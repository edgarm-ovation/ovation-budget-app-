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ovationco.sharepoint.com/sites/Construction/Shared Documents/Windmill/02 - Project Budgets - MP/01 - Pre-Construction Budgets/Construction budget/Level 0/"/>
    </mc:Choice>
  </mc:AlternateContent>
  <xr:revisionPtr revIDLastSave="0" documentId="8_{ECD1D98D-6D69-4AF9-883F-F141326D13AF}" xr6:coauthVersionLast="47" xr6:coauthVersionMax="47" xr10:uidLastSave="{00000000-0000-0000-0000-000000000000}"/>
  <bookViews>
    <workbookView xWindow="13080" yWindow="-16320" windowWidth="29040" windowHeight="15720" firstSheet="4" activeTab="4" xr2:uid="{6A7BFBCD-C56B-4D68-873A-710029800E87}"/>
  </bookViews>
  <sheets>
    <sheet name="Level 0" sheetId="1" r:id="rId1"/>
    <sheet name="Comparison to Other" sheetId="7" r:id="rId2"/>
    <sheet name="Division Calculations" sheetId="3" r:id="rId3"/>
    <sheet name="Bruner Comparison" sheetId="4" r:id="rId4"/>
    <sheet name="Torrey Comparis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\A" localSheetId="1">#REF!</definedName>
    <definedName name="\A">#REF!</definedName>
    <definedName name="\B" localSheetId="1">#REF!</definedName>
    <definedName name="\B">#REF!</definedName>
    <definedName name="\C" localSheetId="1">#REF!</definedName>
    <definedName name="\C">#REF!</definedName>
    <definedName name="\D">#REF!</definedName>
    <definedName name="\E">#REF!</definedName>
    <definedName name="\F">#REF!</definedName>
    <definedName name="\i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w">#REF!</definedName>
    <definedName name="\X">#REF!</definedName>
    <definedName name="\Y">#REF!</definedName>
    <definedName name="\Z">#REF!</definedName>
    <definedName name="____7HILLS">#REF!</definedName>
    <definedName name="____Ins2">#REF!</definedName>
    <definedName name="____Ins3">#REF!</definedName>
    <definedName name="____NML9798">#REF!</definedName>
    <definedName name="____NML98">#REF!</definedName>
    <definedName name="____PEG1">#REF!</definedName>
    <definedName name="____RR1">#REF!</definedName>
    <definedName name="____SKY98">#REF!</definedName>
    <definedName name="___1Module2_.PRINT_BCCAM">#N/A</definedName>
    <definedName name="___7HILLS">#REF!</definedName>
    <definedName name="___Ins2">#REF!</definedName>
    <definedName name="___Ins3">#REF!</definedName>
    <definedName name="___MT1">#REF!</definedName>
    <definedName name="___MT2">#REF!</definedName>
    <definedName name="___MT3">#REF!</definedName>
    <definedName name="___NML9798">#REF!</definedName>
    <definedName name="___NML98">#REF!</definedName>
    <definedName name="___PEG1">#REF!</definedName>
    <definedName name="___RR1">#REF!</definedName>
    <definedName name="___SKY98">#REF!</definedName>
    <definedName name="__123Graph_A" hidden="1">[1]OCT!$B$13:$B$29</definedName>
    <definedName name="__123Graph_B" hidden="1">[1]OCT!$C$13:$C$29</definedName>
    <definedName name="__123Graph_C" hidden="1">[1]OCT!$D$13:$D$29</definedName>
    <definedName name="__123Graph_D" hidden="1">[1]OCT!$E$13:$E$29</definedName>
    <definedName name="__123Graph_E" hidden="1">[1]OCT!$F$13:$F$29</definedName>
    <definedName name="__123Graph_F" hidden="1">[1]OCT!$G$13:$G$29</definedName>
    <definedName name="__1Module2_.PRINT_BCCAM">#N/A</definedName>
    <definedName name="__2Module2_.PRINT_BCPR">#N/A</definedName>
    <definedName name="__3Module2_.PRINT_BCTAX">#N/A</definedName>
    <definedName name="__4Module2_.PRINT_HSUM">#N/A</definedName>
    <definedName name="__5_96100">#REF!</definedName>
    <definedName name="__7HILLS">#REF!</definedName>
    <definedName name="__96100">#REF!</definedName>
    <definedName name="__FDS_HYPERLINK_TOGGLE_STATE__" hidden="1">"ON"</definedName>
    <definedName name="__Ins2">#REF!</definedName>
    <definedName name="__Ins3">#REF!</definedName>
    <definedName name="__MT1">#REF!</definedName>
    <definedName name="__MT2">#REF!</definedName>
    <definedName name="__MT3">#REF!</definedName>
    <definedName name="__NML9798">#REF!</definedName>
    <definedName name="__NML98">#REF!</definedName>
    <definedName name="__PEG1">#REF!</definedName>
    <definedName name="__RR1">#REF!</definedName>
    <definedName name="__SKY98">#REF!</definedName>
    <definedName name="__soa202">#REF!</definedName>
    <definedName name="__soa207">#REF!</definedName>
    <definedName name="__soa231">#REF!</definedName>
    <definedName name="__soa236">#REF!</definedName>
    <definedName name="_10Module2_.PRINT_HSUM">#N/A</definedName>
    <definedName name="_1201T1">#REF!</definedName>
    <definedName name="_1202T1">#N/A</definedName>
    <definedName name="_1206T1">#REF!</definedName>
    <definedName name="_1207T1">#REF!</definedName>
    <definedName name="_1208T1">#REF!</definedName>
    <definedName name="_1210T1">#REF!</definedName>
    <definedName name="_1211T1">#REF!</definedName>
    <definedName name="_1216T1">#REF!</definedName>
    <definedName name="_1217T1">#REF!</definedName>
    <definedName name="_1218T1">#REF!</definedName>
    <definedName name="_1219T1">#REF!</definedName>
    <definedName name="_1220T1">#REF!</definedName>
    <definedName name="_1220T2">#REF!</definedName>
    <definedName name="_1221T1">#REF!</definedName>
    <definedName name="_1222T1">#REF!</definedName>
    <definedName name="_1223T1">#REF!</definedName>
    <definedName name="_1224T1">#REF!</definedName>
    <definedName name="_1226T2">#REF!</definedName>
    <definedName name="_1231T">#REF!</definedName>
    <definedName name="_1231T1">#REF!</definedName>
    <definedName name="_1233T1">#REF!</definedName>
    <definedName name="_1234T2">#REF!</definedName>
    <definedName name="_1235T1">#REF!</definedName>
    <definedName name="_1236T1">#REF!</definedName>
    <definedName name="_1238T1">#REF!</definedName>
    <definedName name="_1239T1">#REF!</definedName>
    <definedName name="_1239T3">#REF!</definedName>
    <definedName name="_1240T1">#REF!</definedName>
    <definedName name="_1248T3">#REF!</definedName>
    <definedName name="_1251T1">#REF!</definedName>
    <definedName name="_1251T2">#REF!</definedName>
    <definedName name="_1252T1">#REF!</definedName>
    <definedName name="_1252T2">#REF!</definedName>
    <definedName name="_1256T1">#REF!</definedName>
    <definedName name="_1257T1">#REF!</definedName>
    <definedName name="_1258T1">#REF!</definedName>
    <definedName name="_1260T1">#REF!</definedName>
    <definedName name="_1260T2">#REF!</definedName>
    <definedName name="_1261T1">#REF!</definedName>
    <definedName name="_1262T1">#REF!</definedName>
    <definedName name="_1264T1">#REF!</definedName>
    <definedName name="_1265T1">#REF!</definedName>
    <definedName name="_1268T2">#REF!</definedName>
    <definedName name="_1273T1">#REF!</definedName>
    <definedName name="_1276T1">#REF!</definedName>
    <definedName name="_1280T1">#REF!</definedName>
    <definedName name="_1281T1">#REF!</definedName>
    <definedName name="_12Module2_.PRINT_HSUM">#N/A</definedName>
    <definedName name="_13_96100">#REF!</definedName>
    <definedName name="_1Module2_.PRINT_BCCAM">#N/A</definedName>
    <definedName name="_2">#REF!</definedName>
    <definedName name="_2002_B_C_BUDGET">#REF!</definedName>
    <definedName name="_2Module2_.PRINT_BCPR">#N/A</definedName>
    <definedName name="_3">#REF!</definedName>
    <definedName name="_3Module2_.PRINT_BCCAM">#N/A</definedName>
    <definedName name="_3Module2_.PRINT_BCTAX">#N/A</definedName>
    <definedName name="_4Module2_.PRINT_BCPR">#N/A</definedName>
    <definedName name="_4Module2_.PRINT_HSUM">#N/A</definedName>
    <definedName name="_5_96100">#REF!</definedName>
    <definedName name="_6Module2_.PRINT_BCPR">#N/A</definedName>
    <definedName name="_7HILLS">#REF!</definedName>
    <definedName name="_7Module2_.PRINT_BCTAX">#N/A</definedName>
    <definedName name="_96100">#REF!</definedName>
    <definedName name="_9Module2_.PRINT_BCTAX">#N/A</definedName>
    <definedName name="_Fill" hidden="1">#REF!</definedName>
    <definedName name="_xlnm._FilterDatabase" localSheetId="1" hidden="1">'Comparison to Other'!$A$2:$A$30</definedName>
    <definedName name="_xlnm._FilterDatabase" localSheetId="0" hidden="1">'Level 0'!$A$11:$I$103</definedName>
    <definedName name="_xlnm._FilterDatabase" hidden="1">#REF!</definedName>
    <definedName name="_Ins2" localSheetId="1">#REF!</definedName>
    <definedName name="_Ins2">#REF!</definedName>
    <definedName name="_Ins3" localSheetId="1">#REF!</definedName>
    <definedName name="_Ins3">#REF!</definedName>
    <definedName name="_Key1" hidden="1">#REF!</definedName>
    <definedName name="_Key2" hidden="1">#REF!</definedName>
    <definedName name="_MT1">#REF!</definedName>
    <definedName name="_MT2">#REF!</definedName>
    <definedName name="_MT3">#REF!</definedName>
    <definedName name="_NML9798">#REF!</definedName>
    <definedName name="_NML98">#REF!</definedName>
    <definedName name="_Order1" hidden="1">255</definedName>
    <definedName name="_Order2" hidden="1">0</definedName>
    <definedName name="_PEG1">#REF!</definedName>
    <definedName name="_PR1">#REF!</definedName>
    <definedName name="_pr2">#REF!</definedName>
    <definedName name="_Regression_X" hidden="1">'[2]5CM95'!#REF!</definedName>
    <definedName name="_RR1" localSheetId="1">#REF!</definedName>
    <definedName name="_RR1">#REF!</definedName>
    <definedName name="_SKY98" localSheetId="1">#REF!</definedName>
    <definedName name="_SKY98">#REF!</definedName>
    <definedName name="_Sort" localSheetId="1" hidden="1">#REF!</definedName>
    <definedName name="_Sort" hidden="1">#REF!</definedName>
    <definedName name="A">#REF!</definedName>
    <definedName name="A.G._EDWARDS">#REF!</definedName>
    <definedName name="aa">#REF!</definedName>
    <definedName name="aac">#REF!</definedName>
    <definedName name="Absorption">'[3]AVI-JV-PROFORMA'!#REF!</definedName>
    <definedName name="AbsorptionDataTablesDual" localSheetId="1">#REF!</definedName>
    <definedName name="AbsorptionDataTablesDual">#REF!</definedName>
    <definedName name="AbsorptionDataTablesSingle" localSheetId="1">#REF!</definedName>
    <definedName name="AbsorptionDataTablesSingle">#REF!</definedName>
    <definedName name="AbsorptionForSingleTables" localSheetId="1">[4]Assumptions!#REF!</definedName>
    <definedName name="AbsorptionForSingleTables">[4]Assumptions!#REF!</definedName>
    <definedName name="AbsorptionRangeResults" localSheetId="1">#REF!</definedName>
    <definedName name="AbsorptionRangeResults">#REF!</definedName>
    <definedName name="AbsorptionTablesDual" localSheetId="1">[4]Assumptions!#REF!</definedName>
    <definedName name="AbsorptionTablesDual">[4]Assumptions!#REF!</definedName>
    <definedName name="AbsorptionTablesSingle" localSheetId="1">[4]Assumptions!#REF!</definedName>
    <definedName name="AbsorptionTablesSingle">[4]Assumptions!#REF!</definedName>
    <definedName name="Absortion" localSheetId="1">'[5]AVI-JV-PROFORMA'!#REF!</definedName>
    <definedName name="Absortion">'[5]AVI-JV-PROFORMA'!#REF!</definedName>
    <definedName name="accrdays" localSheetId="1">#REF!</definedName>
    <definedName name="accrdays">#REF!</definedName>
    <definedName name="accruals" localSheetId="1">#REF!</definedName>
    <definedName name="accruals">#REF!</definedName>
    <definedName name="acov" localSheetId="1">#REF!</definedName>
    <definedName name="acov">#REF!</definedName>
    <definedName name="actual_360_grossyield">#REF!</definedName>
    <definedName name="ACwvu.ALL." hidden="1">#REF!</definedName>
    <definedName name="ACwvu.CAM._.RATES." hidden="1">#REF!</definedName>
    <definedName name="ACwvu.CAM._.RECOVERIES." hidden="1">'[6]SCHEDULE B+C'!$BV$162</definedName>
    <definedName name="ACwvu.CAM._.RECOVERY." localSheetId="1" hidden="1">#REF!</definedName>
    <definedName name="ACwvu.CAM._.RECOVERY." hidden="1">#REF!</definedName>
    <definedName name="ACwvu.CAM._.TABLE." hidden="1">'[6]SCHEDULE B+C'!$BW$210</definedName>
    <definedName name="ACwvu.INSURANCE._.RECOVERIES." hidden="1">'[6]SCHEDULE B+C'!$CY$159</definedName>
    <definedName name="ACwvu.LSMEET." localSheetId="1" hidden="1">#REF!</definedName>
    <definedName name="ACwvu.LSMEET." hidden="1">#REF!</definedName>
    <definedName name="ACwvu.MARKETING._.REVENUE." localSheetId="1" hidden="1">#REF!</definedName>
    <definedName name="ACwvu.MARKETING._.REVENUE." hidden="1">#REF!</definedName>
    <definedName name="ACwvu.MINIMUM._.RENT." hidden="1">'[6]SCHEDULE B+C'!$A$1</definedName>
    <definedName name="ACwvu.OCCUPANCY." localSheetId="1" hidden="1">#REF!</definedName>
    <definedName name="ACwvu.OCCUPANCY." hidden="1">#REF!</definedName>
    <definedName name="ACwvu.OCCUPANCY._.ANALYSIS." hidden="1">'[6]SCHEDULE B+C'!$BI$168</definedName>
    <definedName name="ACwvu.PERCENTAGE._.RENT." hidden="1">'[6]SCHEDULE B+C'!$G$1:$G$65536</definedName>
    <definedName name="ACwvu.TAX._.RATES." localSheetId="1" hidden="1">#REF!</definedName>
    <definedName name="ACwvu.TAX._.RATES." hidden="1">#REF!</definedName>
    <definedName name="ACwvu.TAX._.RECOVERIES." hidden="1">'[6]SCHEDULE B+C'!$CK$167</definedName>
    <definedName name="ACwvu.TAX._.RECOVERY." localSheetId="1" hidden="1">#REF!</definedName>
    <definedName name="ACwvu.TAX._.RECOVERY." hidden="1">#REF!</definedName>
    <definedName name="ACwvu.WAT." localSheetId="1" hidden="1">#REF!</definedName>
    <definedName name="ACwvu.WAT." hidden="1">#REF!</definedName>
    <definedName name="adfg" localSheetId="1">(VLOOKUP(Grade_4,'Comparison to Other'!fnjh,2))</definedName>
    <definedName name="adfg">(VLOOKUP(Grade_4,fnjh,2))</definedName>
    <definedName name="ADJ" localSheetId="1">#REF!</definedName>
    <definedName name="ADJ">#REF!</definedName>
    <definedName name="ADJBF" localSheetId="1">#REF!</definedName>
    <definedName name="ADJBF">#REF!</definedName>
    <definedName name="Adjustable_term_1" localSheetId="1">#REF!</definedName>
    <definedName name="Adjustable_term_1">#REF!</definedName>
    <definedName name="Adjustable_term_2">#REF!</definedName>
    <definedName name="Adjustable_term_3">#REF!</definedName>
    <definedName name="Adjustable_term_4">#REF!</definedName>
    <definedName name="Adjustable_term_5">#REF!</definedName>
    <definedName name="Adjustable_term_6">#REF!</definedName>
    <definedName name="adjusted_grossyield_bond">#REF!</definedName>
    <definedName name="Adjusted_Spread_1">#REF!</definedName>
    <definedName name="Adjusted_Spread_2">#REF!</definedName>
    <definedName name="Adjusted_Spread_3">#REF!</definedName>
    <definedName name="Adjusted_Spread_4">#REF!</definedName>
    <definedName name="Adjusted_Spread_5">#REF!</definedName>
    <definedName name="Adjusted_Spread_6">#REF!</definedName>
    <definedName name="ADJVFP">#REF!</definedName>
    <definedName name="ADJWSP">#REF!</definedName>
    <definedName name="AdminServices_Gross">#REF!</definedName>
    <definedName name="Advance_Arrears_1">#REF!</definedName>
    <definedName name="Advance_Arrears_2">#REF!</definedName>
    <definedName name="Advance_Arrears_3">#REF!</definedName>
    <definedName name="Advance_Arrears_4">#REF!</definedName>
    <definedName name="Advance_Arrears_5">#REF!</definedName>
    <definedName name="Advance_Arrears_6">#REF!</definedName>
    <definedName name="AEstDS">[7]AMORT!$M$6</definedName>
    <definedName name="aexpense">'[8]PRO FORMA'!#REF!</definedName>
    <definedName name="After_Tax_Cost_of_Equity" localSheetId="1">#REF!</definedName>
    <definedName name="After_Tax_Cost_of_Equity">#REF!</definedName>
    <definedName name="ag" localSheetId="1">(VLOOKUP(Grade_5,'Comparison to Other'!fnjh,2))</definedName>
    <definedName name="ag">(VLOOKUP(Grade_5,fnjh,2))</definedName>
    <definedName name="agea" localSheetId="1">#REF!</definedName>
    <definedName name="agea">#REF!</definedName>
    <definedName name="agha" localSheetId="1">#REF!</definedName>
    <definedName name="agha">#REF!</definedName>
    <definedName name="ALL">[9]A!$A$1:$Q$241</definedName>
    <definedName name="AllNewRepriced_OverUnderTarget" localSheetId="1">#REF!</definedName>
    <definedName name="AllNewRepriced_OverUnderTarget">#REF!</definedName>
    <definedName name="AllNewRepricedCredits_ROA" localSheetId="1">#REF!</definedName>
    <definedName name="AllNewRepricedCredits_ROA">#REF!</definedName>
    <definedName name="AllNewRepricedCredits_ROE" localSheetId="1">#REF!</definedName>
    <definedName name="AllNewRepricedCredits_ROE">#REF!</definedName>
    <definedName name="alloc">#REF!</definedName>
    <definedName name="Alloc._Check">#REF!</definedName>
    <definedName name="Alloc_Lookup_1" localSheetId="1">(VLOOKUP('Comparison to Other'!Grade_1,'Comparison to Other'!AllocTable,2))</definedName>
    <definedName name="Alloc_Lookup_1">(VLOOKUP(Grade_1,AllocTable,2))</definedName>
    <definedName name="Alloc_Lookup_2" localSheetId="1">(VLOOKUP('Comparison to Other'!Grade_2,'Comparison to Other'!AllocTable,2))</definedName>
    <definedName name="Alloc_Lookup_2">(VLOOKUP(Grade_2,AllocTable,2))</definedName>
    <definedName name="Alloc_Lookup_3" localSheetId="1">(VLOOKUP(Grade_3,'Comparison to Other'!AllocTable,2))</definedName>
    <definedName name="Alloc_Lookup_3">(VLOOKUP(Grade_3,AllocTable,2))</definedName>
    <definedName name="Alloc_Lookup_4" localSheetId="1">(VLOOKUP(Grade_4,'Comparison to Other'!AllocTable,2))</definedName>
    <definedName name="Alloc_Lookup_4">(VLOOKUP(Grade_4,AllocTable,2))</definedName>
    <definedName name="Alloc_Lookup_5" localSheetId="1">(VLOOKUP(Grade_5,'Comparison to Other'!AllocTable,2))</definedName>
    <definedName name="Alloc_Lookup_5">(VLOOKUP(Grade_5,AllocTable,2))</definedName>
    <definedName name="Alloc_Lookup_6" localSheetId="1">(VLOOKUP(Grade_6,'Comparison to Other'!AllocTable,2))</definedName>
    <definedName name="Alloc_Lookup_6">(VLOOKUP(Grade_6,AllocTable,2))</definedName>
    <definedName name="AllocTable" localSheetId="1">#REF!</definedName>
    <definedName name="AllocTable">#REF!</definedName>
    <definedName name="AllOtherCont" localSheetId="1">[10]Assumptions!#REF!</definedName>
    <definedName name="AllOtherCont">[10]Assumptions!#REF!</definedName>
    <definedName name="ALLSTATT" localSheetId="1">#REF!</definedName>
    <definedName name="ALLSTATT">#REF!</definedName>
    <definedName name="ALX2003A">'[11]CFALX 2003A Consol'!$A$1</definedName>
    <definedName name="ambac" localSheetId="1">#REF!</definedName>
    <definedName name="ambac">#REF!</definedName>
    <definedName name="Amort">[12]Proforma!$G$32</definedName>
    <definedName name="Amort_Actual" localSheetId="1">#REF!</definedName>
    <definedName name="Amort_Actual">#REF!</definedName>
    <definedName name="amorta" localSheetId="1">#REF!</definedName>
    <definedName name="amorta">#REF!</definedName>
    <definedName name="Amortization_1" localSheetId="1">#REF!</definedName>
    <definedName name="Amortization_1">#REF!</definedName>
    <definedName name="Amortization_1D">#REF!</definedName>
    <definedName name="Amortization_2">#REF!</definedName>
    <definedName name="Amortization_2D">#REF!</definedName>
    <definedName name="Amortization_3">#REF!</definedName>
    <definedName name="Amortization_3D">#REF!</definedName>
    <definedName name="Amortization_4">#REF!</definedName>
    <definedName name="Amortization_4D">#REF!</definedName>
    <definedName name="Amortization_5">#REF!</definedName>
    <definedName name="Amortization_5D">#REF!</definedName>
    <definedName name="Amortization_6">#REF!</definedName>
    <definedName name="Amortization_6D">#REF!</definedName>
    <definedName name="AMOUNT">#REF!</definedName>
    <definedName name="AMT_DEBT_SERVICE">#REF!</definedName>
    <definedName name="AnalysisStartDate">[13]Assumptions!$C$17</definedName>
    <definedName name="Anlzd_Months" localSheetId="1">#REF!</definedName>
    <definedName name="Anlzd_Months">#REF!</definedName>
    <definedName name="ANN_INC_IN_EXPENSES" localSheetId="1">'[3]AVI-JV-PROFORMA'!#REF!</definedName>
    <definedName name="ANN_INC_IN_EXPENSES">'[3]AVI-JV-PROFORMA'!#REF!</definedName>
    <definedName name="ANN_INC_IN_RENT" localSheetId="1">#REF!</definedName>
    <definedName name="ANN_INC_IN_RENT">#REF!</definedName>
    <definedName name="Annual_interest_rate" localSheetId="1">#REF!</definedName>
    <definedName name="Annual_interest_rate">#REF!</definedName>
    <definedName name="AnnualFees_1" localSheetId="1">#REF!</definedName>
    <definedName name="AnnualFees_1">#REF!</definedName>
    <definedName name="AnnualFees_2">#REF!</definedName>
    <definedName name="AnnualFees_3">#REF!</definedName>
    <definedName name="AnnualFees_4">#REF!</definedName>
    <definedName name="AnnualFees_5">#REF!</definedName>
    <definedName name="AnnualFees_6">#REF!</definedName>
    <definedName name="annualpayment">'[14]Loan Information'!$C$44</definedName>
    <definedName name="AnnualPermPmt">'[15]amr sch'!$J$4</definedName>
    <definedName name="Anoigrowth" localSheetId="1">#REF!</definedName>
    <definedName name="Anoigrowth">#REF!</definedName>
    <definedName name="apn">[15]Assumptions!$C$9</definedName>
    <definedName name="APPicture">INDIRECT('[16]Source Data'!$J$9)</definedName>
    <definedName name="apple" localSheetId="1">#REF!</definedName>
    <definedName name="apple">#REF!</definedName>
    <definedName name="Application_of_Funds">#REF!</definedName>
    <definedName name="applicationfee" localSheetId="1">#REF!</definedName>
    <definedName name="applicationfee">#REF!</definedName>
    <definedName name="applicationfeecheck" localSheetId="1">#REF!</definedName>
    <definedName name="applicationfeecheck">#REF!</definedName>
    <definedName name="applicationfeeLC">#REF!</definedName>
    <definedName name="applicatoinfeewired">#REF!</definedName>
    <definedName name="AppraisalEGI">#REF!</definedName>
    <definedName name="appraised">#REF!</definedName>
    <definedName name="april">#N/A</definedName>
    <definedName name="area1">#REF!</definedName>
    <definedName name="arggg">#REF!</definedName>
    <definedName name="ARPicture">INDIRECT('[16]Source Data'!$J$10)</definedName>
    <definedName name="asd" localSheetId="1">#REF!</definedName>
    <definedName name="asd">#REF!</definedName>
    <definedName name="AssDualTable12" localSheetId="1">[4]Assumptions!#REF!</definedName>
    <definedName name="AssDualTable12">[4]Assumptions!#REF!</definedName>
    <definedName name="AssDualTable12Cells" localSheetId="1">[4]Assumptions!#REF!</definedName>
    <definedName name="AssDualTable12Cells">[4]Assumptions!#REF!</definedName>
    <definedName name="AssDualTable13" localSheetId="1">[4]Assumptions!#REF!</definedName>
    <definedName name="AssDualTable13">[4]Assumptions!#REF!</definedName>
    <definedName name="AssDualTable14" localSheetId="1">[4]Assumptions!#REF!</definedName>
    <definedName name="AssDualTable14">[4]Assumptions!#REF!</definedName>
    <definedName name="AssDualTable15">[4]Assumptions!#REF!</definedName>
    <definedName name="AssDualTable16">[4]Assumptions!#REF!</definedName>
    <definedName name="ASSET" localSheetId="1">#REF!</definedName>
    <definedName name="ASSET">#REF!</definedName>
    <definedName name="assump" localSheetId="1">#REF!</definedName>
    <definedName name="assump">#REF!</definedName>
    <definedName name="ASSUMPTIONS___INPUT" localSheetId="1">#REF!</definedName>
    <definedName name="ASSUMPTIONS___INPUT">#REF!</definedName>
    <definedName name="AssumptionsInputRange">[4]Assumptions!$E$5:$G$9,[4]Assumptions!$E$11,[4]Assumptions!$E$12,[4]Assumptions!$L$5:$L$6,[4]Assumptions!$L$12,[4]Assumptions!$F$17:$K$17,[4]Assumptions!$F$19:$K$23,[4]Assumptions!$E$24,[4]Assumptions!$F$31:$K$34,[4]Assumptions!$F$36:$K$36,[4]Assumptions!$F$49:$K$49</definedName>
    <definedName name="AssumptionsPrint" localSheetId="1">#REF!</definedName>
    <definedName name="AssumptionsPrint">#REF!</definedName>
    <definedName name="atermmat" localSheetId="1">#REF!</definedName>
    <definedName name="atermmat">#REF!</definedName>
    <definedName name="avebasedrent">'[15]income stmt yr0'!$N$11</definedName>
    <definedName name="AVERAGEGLA" localSheetId="1">#REF!</definedName>
    <definedName name="AVERAGEGLA">#REF!</definedName>
    <definedName name="AVERAGEGOA" localSheetId="1">#REF!</definedName>
    <definedName name="AVERAGEGOA">#REF!</definedName>
    <definedName name="AverageLife" localSheetId="1">#REF!</definedName>
    <definedName name="AverageLife">#REF!</definedName>
    <definedName name="AvgDirConstCost">[4]Assumptions!$L$47</definedName>
    <definedName name="BADDEBT" localSheetId="1">#REF!</definedName>
    <definedName name="BADDEBT">#REF!</definedName>
    <definedName name="BAL" localSheetId="1">'[17]12_96 CAM'!#REF!</definedName>
    <definedName name="BAL">'[17]12_96 CAM'!#REF!</definedName>
    <definedName name="Bal_Def_Surplus" localSheetId="1">#REF!</definedName>
    <definedName name="Bal_Def_Surplus">#REF!</definedName>
    <definedName name="BALANCE" localSheetId="1">#REF!</definedName>
    <definedName name="BALANCE">#REF!</definedName>
    <definedName name="BalanceAtMaturity" localSheetId="1">#REF!</definedName>
    <definedName name="BalanceAtMaturity">#REF!</definedName>
    <definedName name="BalAvailable">#REF!</definedName>
    <definedName name="BALLOON_BAL">#REF!</definedName>
    <definedName name="Balloonbalance">#REF!</definedName>
    <definedName name="BalNeeded">#REF!</definedName>
    <definedName name="BAMORT">#REF!</definedName>
    <definedName name="BARATZ">#REF!</definedName>
    <definedName name="BASE">#REF!</definedName>
    <definedName name="BASE_BORDER">#REF!</definedName>
    <definedName name="bcov">#REF!</definedName>
    <definedName name="BD">#N/A</definedName>
    <definedName name="BDEBTSERVICE">#REF!</definedName>
    <definedName name="Beg.Bal" localSheetId="1">IF(#REF!&lt;&gt;"",#REF!,"")</definedName>
    <definedName name="Beg.Bal">IF(#REF!&lt;&gt;"",#REF!,"")</definedName>
    <definedName name="BEGBAL" localSheetId="1">#REF!</definedName>
    <definedName name="BEGBAL">#REF!</definedName>
    <definedName name="BeginInflationDate" localSheetId="1">[10]Assumptions!#REF!</definedName>
    <definedName name="BeginInflationDate">[10]Assumptions!#REF!</definedName>
    <definedName name="BERNICK" localSheetId="1">#REF!</definedName>
    <definedName name="BERNICK">#REF!</definedName>
    <definedName name="bey" localSheetId="1">#REF!</definedName>
    <definedName name="bey">#REF!</definedName>
    <definedName name="BFM" localSheetId="1">#REF!</definedName>
    <definedName name="BFM">#REF!</definedName>
    <definedName name="BFMLC">#REF!</definedName>
    <definedName name="BIA">#REF!</definedName>
    <definedName name="BIASWEEP_NETREV">#REF!</definedName>
    <definedName name="bip">#REF!</definedName>
    <definedName name="blank">#REF!</definedName>
    <definedName name="blank_1">#REF!</definedName>
    <definedName name="blank_2">#REF!</definedName>
    <definedName name="blank_3">#REF!</definedName>
    <definedName name="blank_4">#REF!</definedName>
    <definedName name="BLDG">#REF!</definedName>
    <definedName name="BLOAN">#REF!</definedName>
    <definedName name="BlueDualScreen">#REF!</definedName>
    <definedName name="BlueSingleScreen">#REF!</definedName>
    <definedName name="bmat">#REF!</definedName>
    <definedName name="BODY">#REF!</definedName>
    <definedName name="BOM_30">#REF!</definedName>
    <definedName name="BOM_Act">#REF!</definedName>
    <definedName name="bond">#REF!</definedName>
    <definedName name="bonda">#REF!</definedName>
    <definedName name="bondb">#REF!</definedName>
    <definedName name="BONDS">#REF!</definedName>
    <definedName name="Borrower">#REF!</definedName>
    <definedName name="borrower_comment">#REF!</definedName>
    <definedName name="BRIDGE_DATA">'[18]BRDG DTA'!$A$13:$P$49</definedName>
    <definedName name="Broker" localSheetId="1">#REF!</definedName>
    <definedName name="Broker">#REF!</definedName>
    <definedName name="Brokerage_GrossRev" localSheetId="1">#REF!</definedName>
    <definedName name="Brokerage_GrossRev">#REF!</definedName>
    <definedName name="BS">#N/A</definedName>
    <definedName name="buildingcostpersqft" localSheetId="1">#REF!</definedName>
    <definedName name="buildingcostpersqft">#REF!</definedName>
    <definedName name="BusBasic" localSheetId="1">#REF!</definedName>
    <definedName name="BusBasic">#REF!</definedName>
    <definedName name="BusCkg_Balances" localSheetId="1">#REF!</definedName>
    <definedName name="BusCkg_Balances">#REF!</definedName>
    <definedName name="BusMoneyMktCkg">#REF!</definedName>
    <definedName name="BusMoneyMktSavings">#REF!</definedName>
    <definedName name="BusSaver">#REF!</definedName>
    <definedName name="BusTIMMA">#REF!</definedName>
    <definedName name="Buydown_grossyield">#REF!</definedName>
    <definedName name="CA_1">#REF!</definedName>
    <definedName name="CA_2">#REF!</definedName>
    <definedName name="CA_3">#REF!</definedName>
    <definedName name="CA_4">#REF!</definedName>
    <definedName name="CA_5">#REF!</definedName>
    <definedName name="CA_6">#REF!</definedName>
    <definedName name="CA_7">#REF!</definedName>
    <definedName name="cal_grossrate">#REF!</definedName>
    <definedName name="calc">#REF!</definedName>
    <definedName name="Calculated_payment">#REF!</definedName>
    <definedName name="CALL_HELP">#REF!</definedName>
    <definedName name="CAMCODES">[19]PCR96!#REF!</definedName>
    <definedName name="CAMRECOVERIES" localSheetId="1">#REF!</definedName>
    <definedName name="CAMRECOVERIES">#REF!</definedName>
    <definedName name="CAMTABLE" localSheetId="1">#REF!</definedName>
    <definedName name="CAMTABLE">#REF!</definedName>
    <definedName name="Cap_Rate">[12]Proforma!$D$22</definedName>
    <definedName name="CapCorpIntAllocation">[10]Assumptions!#REF!</definedName>
    <definedName name="capirate" localSheetId="1">#REF!</definedName>
    <definedName name="capirate">#REF!</definedName>
    <definedName name="capped" localSheetId="1">#REF!</definedName>
    <definedName name="capped">#REF!</definedName>
    <definedName name="CASH_FLOW_ANALYSIS">#REF!</definedName>
    <definedName name="CASH_Total_Income" localSheetId="1">#REF!</definedName>
    <definedName name="CASH_Total_Income">#REF!</definedName>
    <definedName name="cashcushion">[15]Assumptions!$F$156</definedName>
    <definedName name="CashMgmt_GrossRev" localSheetId="1">#REF!</definedName>
    <definedName name="CashMgmt_GrossRev">#REF!</definedName>
    <definedName name="CASHMGMT_NETREV" localSheetId="1">#REF!</definedName>
    <definedName name="CASHMGMT_NETREV">#REF!</definedName>
    <definedName name="CAST_NA">[18]CAST!$A$13:$P$40</definedName>
    <definedName name="cda">'[20]Sheet 3'!$A$1:$C$4</definedName>
    <definedName name="CDs" localSheetId="1">#REF!</definedName>
    <definedName name="CDs">#REF!</definedName>
    <definedName name="CDs_2" localSheetId="1">#REF!</definedName>
    <definedName name="CDs_2">#REF!</definedName>
    <definedName name="CERIDIAN" localSheetId="1">#REF!</definedName>
    <definedName name="CERIDIAN">#REF!</definedName>
    <definedName name="cf">'[21]Inc Rec'!$A$9:$J$648</definedName>
    <definedName name="CFN" localSheetId="1">#REF!</definedName>
    <definedName name="CFN">#REF!</definedName>
    <definedName name="CFW" localSheetId="1">#REF!</definedName>
    <definedName name="CFW">#REF!</definedName>
    <definedName name="cfyear1" localSheetId="1">#REF!</definedName>
    <definedName name="cfyear1">#REF!</definedName>
    <definedName name="CHARGE">#REF!</definedName>
    <definedName name="CHESEBROUGH">[18]CHEESB!$A$13:$P$46</definedName>
    <definedName name="City" localSheetId="1">#REF!</definedName>
    <definedName name="City">#REF!</definedName>
    <definedName name="CityStateZip">[15]Assumptions!$C$8</definedName>
    <definedName name="Civil_Eng" localSheetId="1">#REF!</definedName>
    <definedName name="Civil_Eng">#REF!</definedName>
    <definedName name="Civil_eng_b181" localSheetId="1">#REF!</definedName>
    <definedName name="Civil_eng_b181">#REF!</definedName>
    <definedName name="Civil_eng_b181_amend" localSheetId="1">#REF!</definedName>
    <definedName name="Civil_eng_b181_amend">#REF!</definedName>
    <definedName name="Civil_eng_blank">#REF!</definedName>
    <definedName name="civil_eng_coi">#REF!</definedName>
    <definedName name="Civil_eng_info">#REF!</definedName>
    <definedName name="Civil_eng_license">#REF!</definedName>
    <definedName name="Civil_eng_quals">#REF!</definedName>
    <definedName name="cleaning">[17]CAMINVBU!#REF!</definedName>
    <definedName name="ClientName" localSheetId="1">#REF!</definedName>
    <definedName name="ClientName">#REF!</definedName>
    <definedName name="closinganalyst" localSheetId="1">#REF!</definedName>
    <definedName name="closinganalyst">#REF!</definedName>
    <definedName name="ClosingCostPercentage" localSheetId="1">[10]Assumptions!#REF!</definedName>
    <definedName name="ClosingCostPercentage">[10]Assumptions!#REF!</definedName>
    <definedName name="CMM" localSheetId="1">#REF!</definedName>
    <definedName name="CMM">#REF!</definedName>
    <definedName name="coa" localSheetId="1">#REF!</definedName>
    <definedName name="coa">#REF!</definedName>
    <definedName name="CODE" localSheetId="1">#REF!</definedName>
    <definedName name="CODE">#REF!</definedName>
    <definedName name="coder">#REF!</definedName>
    <definedName name="COF_date">#REF!</definedName>
    <definedName name="coi">#REF!</definedName>
    <definedName name="combined">#REF!</definedName>
    <definedName name="Comments_company">#REF!</definedName>
    <definedName name="CommercialRE">#REF!</definedName>
    <definedName name="Commit_1">#REF!</definedName>
    <definedName name="Commit_2">#REF!</definedName>
    <definedName name="Commit_3">#REF!</definedName>
    <definedName name="Commit_4">#REF!</definedName>
    <definedName name="Commit_5">#REF!</definedName>
    <definedName name="Commit_6">#REF!</definedName>
    <definedName name="CommitFees_1">#REF!</definedName>
    <definedName name="CommitFees_2">#REF!</definedName>
    <definedName name="CommitFees_3">#REF!</definedName>
    <definedName name="CommitFees_4">#REF!</definedName>
    <definedName name="CommitFees_5">#REF!</definedName>
    <definedName name="CommitFees_6">#REF!</definedName>
    <definedName name="commitmentfee">#REF!</definedName>
    <definedName name="COMMNUM">#REF!</definedName>
    <definedName name="CommunityLocation">[15]Assumptions!$C$7</definedName>
    <definedName name="CommunityName">[22]Assumptions!$C$7</definedName>
    <definedName name="Company" localSheetId="1">#REF!</definedName>
    <definedName name="Company">#REF!</definedName>
    <definedName name="Company_Type" localSheetId="1">#REF!</definedName>
    <definedName name="Company_Type">#REF!</definedName>
    <definedName name="CompanyName" localSheetId="1">'[10]Table of Contents'!#REF!</definedName>
    <definedName name="CompanyName">'[10]Table of Contents'!#REF!</definedName>
    <definedName name="Comparison">#REF!</definedName>
    <definedName name="Completed_By" localSheetId="1">#REF!</definedName>
    <definedName name="Completed_By">#REF!</definedName>
    <definedName name="Comps">[11]Comparison!$A$1</definedName>
    <definedName name="Consol_2003A">'[11]2003A v 2003B'!$A$1</definedName>
    <definedName name="Consol_2005E">'[11]2005E Consol'!$A$1</definedName>
    <definedName name="Consolidated" localSheetId="1">#REF!</definedName>
    <definedName name="Consolidated">#REF!</definedName>
    <definedName name="Contents" localSheetId="1">#REF!</definedName>
    <definedName name="Contents">#REF!</definedName>
    <definedName name="CoNUM" localSheetId="1">#REF!</definedName>
    <definedName name="CoNUM">#REF!</definedName>
    <definedName name="CONVERSION">[23]Sheet1!$A$2:$V$272</definedName>
    <definedName name="ConvTable">[24]Conventions!$AA$4:$AK$37</definedName>
    <definedName name="copy" localSheetId="1">#REF!</definedName>
    <definedName name="copy">#REF!</definedName>
    <definedName name="Cost" localSheetId="1">#REF!</definedName>
    <definedName name="Cost">#REF!</definedName>
    <definedName name="Cost_Center" localSheetId="1">#REF!</definedName>
    <definedName name="Cost_Center">#REF!</definedName>
    <definedName name="Cost2328_DCAmount">#REF!</definedName>
    <definedName name="Cost2328_DCAmount1">#REF!</definedName>
    <definedName name="Cost2328_DCAmount2">#REF!</definedName>
    <definedName name="Cost2328_DCAmount3">#REF!</definedName>
    <definedName name="Cost2328_DCAmount4">#REF!</definedName>
    <definedName name="Cost2328_DCDesc">#REF!</definedName>
    <definedName name="Cost2328_DCDesc1">#REF!</definedName>
    <definedName name="Cost2328_DCDesc2">#REF!</definedName>
    <definedName name="Cost2328_DCDesc3">#REF!</definedName>
    <definedName name="Cost2328_DCDesc4">#REF!</definedName>
    <definedName name="Cost2328_Notes">#REF!</definedName>
    <definedName name="Cost2328_NRAmount">#REF!</definedName>
    <definedName name="Cost2328_NRAmount1">#REF!</definedName>
    <definedName name="Cost2328_NRAmount2">#REF!</definedName>
    <definedName name="Cost2328_NRAmount3">#REF!</definedName>
    <definedName name="Cost2328_NRDesc">#REF!</definedName>
    <definedName name="Cost2328_NRDesc1">#REF!</definedName>
    <definedName name="Cost2328_NRDesc2">#REF!</definedName>
    <definedName name="Cost2328_NRDesc3">#REF!</definedName>
    <definedName name="Cost2328_OCAmount">#REF!</definedName>
    <definedName name="Cost2328_OCAmount1">#REF!</definedName>
    <definedName name="Cost2328_OCAmount2">#REF!</definedName>
    <definedName name="Cost2328_OCAmount3">#REF!</definedName>
    <definedName name="Cost2328_OCAmount4">#REF!</definedName>
    <definedName name="Cost2328_OCDesc">#REF!</definedName>
    <definedName name="Cost2328_OCDesc1">#REF!</definedName>
    <definedName name="Cost2328_OCDesc2">#REF!</definedName>
    <definedName name="Cost2328_OCDesc3">#REF!</definedName>
    <definedName name="Cost2328_OCDesc4">#REF!</definedName>
    <definedName name="Cost2328_OFAmount">#REF!</definedName>
    <definedName name="Cost2328_OFAmount1">#REF!</definedName>
    <definedName name="Cost2328_OFAmount2">#REF!</definedName>
    <definedName name="Cost2328_OFAmount3">#REF!</definedName>
    <definedName name="Cost2328_OFAmount4">#REF!</definedName>
    <definedName name="Cost2328_OFAmount5">#REF!</definedName>
    <definedName name="Cost2328_OFAmount6">#REF!</definedName>
    <definedName name="Cost2328_OFDesc">#REF!</definedName>
    <definedName name="Cost2328_OFDesc1">#REF!</definedName>
    <definedName name="Cost2328_OFDesc2">#REF!</definedName>
    <definedName name="Cost2328_OFDesc3">#REF!</definedName>
    <definedName name="Cost2328_OFDesc4">#REF!</definedName>
    <definedName name="Cost2328_OFDesc5">#REF!</definedName>
    <definedName name="Cost2328_OFDesc6">#REF!</definedName>
    <definedName name="CostInflation">[4]Assumptions!$G$75</definedName>
    <definedName name="CostingName">[10]Assumptions!#REF!</definedName>
    <definedName name="CouponRate_1" localSheetId="1">#REF!</definedName>
    <definedName name="CouponRate_1">#REF!</definedName>
    <definedName name="CouponRate_2" localSheetId="1">#REF!</definedName>
    <definedName name="CouponRate_2">#REF!</definedName>
    <definedName name="CouponRate_3" localSheetId="1">#REF!</definedName>
    <definedName name="CouponRate_3">#REF!</definedName>
    <definedName name="CouponRate_4">#REF!</definedName>
    <definedName name="CouponRate_5">#REF!</definedName>
    <definedName name="CouponRate_6">#REF!</definedName>
    <definedName name="CoverPagePrint">#REF!</definedName>
    <definedName name="cpi">#REF!</definedName>
    <definedName name="CPM">#REF!</definedName>
    <definedName name="CPPicture">INDIRECT('[16]Source Data'!$J$7)</definedName>
    <definedName name="CPRATES" localSheetId="1">[19]MVC96!#REF!</definedName>
    <definedName name="CPRATES">[19]MVC96!#REF!</definedName>
    <definedName name="CredInc_CASH" localSheetId="1">#REF!</definedName>
    <definedName name="CredInc_CASH">#REF!</definedName>
    <definedName name="CredInc_FASB" localSheetId="1">#REF!</definedName>
    <definedName name="CredInc_FASB">#REF!</definedName>
    <definedName name="credit" localSheetId="1">#REF!</definedName>
    <definedName name="credit">#REF!</definedName>
    <definedName name="Credit_Income_Facility_1">#REF!</definedName>
    <definedName name="Credit_Income_Facility_2">#REF!</definedName>
    <definedName name="Credit_Income_Facility_3">#REF!</definedName>
    <definedName name="Credit_Income_Facility_4">#REF!</definedName>
    <definedName name="Credit_Income_Facility_5">#REF!</definedName>
    <definedName name="Credit_Income_Facility_6">#REF!</definedName>
    <definedName name="Credit_Min_Hurdle">#REF!</definedName>
    <definedName name="Credit_status_1">#REF!</definedName>
    <definedName name="Credit_status_2">#REF!</definedName>
    <definedName name="Credit_status_3">#REF!</definedName>
    <definedName name="Credit_status_4">#REF!</definedName>
    <definedName name="Credit_status_5">#REF!</definedName>
    <definedName name="Credit_status_6">#REF!</definedName>
    <definedName name="Credit_Target_Hurdle">#REF!</definedName>
    <definedName name="CreditOnly_ROA_1">#REF!</definedName>
    <definedName name="CreditOnly_ROA_2">#REF!</definedName>
    <definedName name="CreditOnly_ROA_3">#REF!</definedName>
    <definedName name="CreditOnly_ROA_4">#REF!</definedName>
    <definedName name="CreditOnly_ROA_5">#REF!</definedName>
    <definedName name="CreditOnly_ROA_6">#REF!</definedName>
    <definedName name="CreditOnly_ROE_1">#REF!</definedName>
    <definedName name="CreditOnly_ROE_2">#REF!</definedName>
    <definedName name="CreditOnly_ROE_3">#REF!</definedName>
    <definedName name="CreditOnly_ROE_4">#REF!</definedName>
    <definedName name="CreditOnly_ROE_5">#REF!</definedName>
    <definedName name="CreditOnly_ROE_6">#REF!</definedName>
    <definedName name="CreditRevcash_forIR_1">#REF!</definedName>
    <definedName name="CreditRevcash_forIR_2">#REF!</definedName>
    <definedName name="CreditRevcash_forIR_3">#REF!</definedName>
    <definedName name="CreditRevcash_forIR_4">#REF!</definedName>
    <definedName name="CreditRevcash_forIR_5">#REF!</definedName>
    <definedName name="CreditRevcash_forIR_6">#REF!</definedName>
    <definedName name="CredRev_CASH_1">#REF!</definedName>
    <definedName name="CredRev_CASH_2">#REF!</definedName>
    <definedName name="CredRev_CASH_3">#REF!</definedName>
    <definedName name="CredRev_CASH_4">#REF!</definedName>
    <definedName name="CredRev_CASH_5">#REF!</definedName>
    <definedName name="CredRev_CASH_6">#REF!</definedName>
    <definedName name="CredRev_FASB_1">#REF!</definedName>
    <definedName name="CredRev_FASB_2">#REF!</definedName>
    <definedName name="CredRev_FASB_3">#REF!</definedName>
    <definedName name="CredRev_FASB_4">#REF!</definedName>
    <definedName name="CredRev_FASB_5">#REF!</definedName>
    <definedName name="CredRev_FASB_6">#REF!</definedName>
    <definedName name="CreRevCASH_1Thru6">#REF!</definedName>
    <definedName name="CreRevFASB_1thru6">#REF!</definedName>
    <definedName name="CRISP_Number">#REF!</definedName>
    <definedName name="_xlnm.Criteria">'[5]AVI-JV-PROFORMA'!#REF!</definedName>
    <definedName name="CRPicture">INDIRECT('[16]Source Data'!$J$8)</definedName>
    <definedName name="crtname">[25]Sheet2!$A$5:$B$39</definedName>
    <definedName name="CTI" localSheetId="1">#REF!</definedName>
    <definedName name="CTI">#REF!</definedName>
    <definedName name="Cum.Interest" localSheetId="1">IF(#REF!&lt;&gt;"",#REF!+#REF!,"")</definedName>
    <definedName name="Cum.Interest">IF(#REF!&lt;&gt;"",#REF!+#REF!,"")</definedName>
    <definedName name="Current_Commit_Amt_1" localSheetId="1">#REF!</definedName>
    <definedName name="Current_Commit_Amt_1">#REF!</definedName>
    <definedName name="Current_Commit_Amt_2" localSheetId="1">#REF!</definedName>
    <definedName name="Current_Commit_Amt_2">#REF!</definedName>
    <definedName name="Current_Commit_Amt_3">#REF!</definedName>
    <definedName name="Current_Commit_Amt_4">#REF!</definedName>
    <definedName name="Current_Commit_Amt_5">#REF!</definedName>
    <definedName name="Current_Commit_Amt_6">#REF!</definedName>
    <definedName name="CurrentDS">[7]AMORT!$F$6</definedName>
    <definedName name="CWCNo">'[26]User Input'!$B$35</definedName>
    <definedName name="Cwvu._Current_." localSheetId="1" hidden="1">'[6]SCHEDULE E '!$A$3:$IV$13,'[6]SCHEDULE E '!$A$15:$IV$25,'[6]SCHEDULE E '!$A$27:$IV$37,'[6]SCHEDULE E '!$A$39:$IV$49,'[6]SCHEDULE E '!$A$51:$IV$61,'[6]SCHEDULE E '!$A$63:$IV$73,'[6]SCHEDULE E '!$A$75:$IV$85,'[6]SCHEDULE E '!$A$87:$IV$97,'[6]SCHEDULE E '!$A$99:$IV$109,'[6]SCHEDULE E '!$A$111:$IV$121,'[6]SCHEDULE E '!$A$135:$IV$145,'[6]SCHEDULE E '!$A$147:$IV$157,'[6]SCHEDULE E '!$A$159:$IV$169,'[6]SCHEDULE E '!#REF!,'[6]SCHEDULE E '!$A$171:$IV$181,'[6]SCHEDULE E '!$A$183:$IV$193,'[6]SCHEDULE E '!$A$207:$IV$217,'[6]SCHEDULE E '!$A$219:$IV$229,'[6]SCHEDULE E '!$A$231:$IV$241,'[6]SCHEDULE E '!$A$243:$IV$253,'[6]SCHEDULE E '!$A$267:$IV$277,'[6]SCHEDULE E '!$A$279:$IV$289,'[6]SCHEDULE E '!$A$291:$IV$301,'[6]SCHEDULE E '!#REF!</definedName>
    <definedName name="Cwvu._Current_." hidden="1">'[6]SCHEDULE E '!$A$3:$IV$13,'[6]SCHEDULE E '!$A$15:$IV$25,'[6]SCHEDULE E '!$A$27:$IV$37,'[6]SCHEDULE E '!$A$39:$IV$49,'[6]SCHEDULE E '!$A$51:$IV$61,'[6]SCHEDULE E '!$A$63:$IV$73,'[6]SCHEDULE E '!$A$75:$IV$85,'[6]SCHEDULE E '!$A$87:$IV$97,'[6]SCHEDULE E '!$A$99:$IV$109,'[6]SCHEDULE E '!$A$111:$IV$121,'[6]SCHEDULE E '!$A$135:$IV$145,'[6]SCHEDULE E '!$A$147:$IV$157,'[6]SCHEDULE E '!$A$159:$IV$169,'[6]SCHEDULE E '!#REF!,'[6]SCHEDULE E '!$A$171:$IV$181,'[6]SCHEDULE E '!$A$183:$IV$193,'[6]SCHEDULE E '!$A$207:$IV$217,'[6]SCHEDULE E '!$A$219:$IV$229,'[6]SCHEDULE E '!$A$231:$IV$241,'[6]SCHEDULE E '!$A$243:$IV$253,'[6]SCHEDULE E '!$A$267:$IV$277,'[6]SCHEDULE E '!$A$279:$IV$289,'[6]SCHEDULE E '!$A$291:$IV$301,'[6]SCHEDULE E '!#REF!</definedName>
    <definedName name="Cwvu.ACCOUNT._.DETAIL." localSheetId="1" hidden="1">'[6]MARKETING III'!#REF!</definedName>
    <definedName name="Cwvu.ACCOUNT._.DETAIL." hidden="1">'[6]MARKETING III'!#REF!</definedName>
    <definedName name="Cwvu.WAT." localSheetId="1" hidden="1">#REF!</definedName>
    <definedName name="Cwvu.WAT." hidden="1">#REF!</definedName>
    <definedName name="d">#N/A</definedName>
    <definedName name="DAILY" localSheetId="1">#REF!</definedName>
    <definedName name="DAILY">#REF!</definedName>
    <definedName name="DATA_01" localSheetId="1" hidden="1">#REF!</definedName>
    <definedName name="DATA_01" hidden="1">#REF!</definedName>
    <definedName name="DataDualTable12" localSheetId="1">#REF!</definedName>
    <definedName name="DataDualTable12">#REF!</definedName>
    <definedName name="DataDualTable13">#REF!</definedName>
    <definedName name="DataDualTable14">#REF!</definedName>
    <definedName name="DataDualTable15">#REF!</definedName>
    <definedName name="DataDualTable16">#REF!</definedName>
    <definedName name="DATE">#REF!</definedName>
    <definedName name="dated">#REF!</definedName>
    <definedName name="DateOfAnalysis">[27]Assumptions!$C$15</definedName>
    <definedName name="Day_Differencial_1" localSheetId="1">#REF!</definedName>
    <definedName name="Day_Differencial_1">#REF!</definedName>
    <definedName name="Day_Differencial_2" localSheetId="1">#REF!</definedName>
    <definedName name="Day_Differencial_2">#REF!</definedName>
    <definedName name="Day_Differencial_3" localSheetId="1">#REF!</definedName>
    <definedName name="Day_Differencial_3">#REF!</definedName>
    <definedName name="Day_Differencial_4">#REF!</definedName>
    <definedName name="Day_Differencial_5">#REF!</definedName>
    <definedName name="Day_Differencial_6">#REF!</definedName>
    <definedName name="Day_Lookup">#REF!</definedName>
    <definedName name="Day_Table">#REF!</definedName>
    <definedName name="days">#REF!</definedName>
    <definedName name="Days_1">#REF!</definedName>
    <definedName name="Days_2">#REF!</definedName>
    <definedName name="Days_3">#REF!</definedName>
    <definedName name="Days_4">#REF!</definedName>
    <definedName name="Days_5">#REF!</definedName>
    <definedName name="Days_6">#REF!</definedName>
    <definedName name="Days_Range">#REF!</definedName>
    <definedName name="daysbasis">#REF!</definedName>
    <definedName name="dcfltv">#REF!</definedName>
    <definedName name="DCFvalue">#REF!</definedName>
    <definedName name="ddafd">#REF!</definedName>
    <definedName name="ddd">#N/A</definedName>
    <definedName name="debt">#REF!</definedName>
    <definedName name="Debt_Service">[12]Proforma!$G$28</definedName>
    <definedName name="debt2" localSheetId="1">#REF!</definedName>
    <definedName name="debt2">#REF!</definedName>
    <definedName name="debt3" localSheetId="1">#REF!</definedName>
    <definedName name="debt3">#REF!</definedName>
    <definedName name="DEC" localSheetId="1">#REF!</definedName>
    <definedName name="DEC">#REF!</definedName>
    <definedName name="DelayDate">#REF!</definedName>
    <definedName name="DelayFactor">[10]Assumptions!#REF!</definedName>
    <definedName name="DELI" localSheetId="1">#REF!</definedName>
    <definedName name="DELI">#REF!</definedName>
    <definedName name="delivdays" localSheetId="1">#REF!</definedName>
    <definedName name="delivdays">#REF!</definedName>
    <definedName name="delivery" localSheetId="1">#REF!</definedName>
    <definedName name="delivery">#REF!</definedName>
    <definedName name="depr" localSheetId="1">[17]CAMINVBU!#REF!</definedName>
    <definedName name="depr">[17]CAMINVBU!#REF!</definedName>
    <definedName name="Depreciation">#REF!</definedName>
    <definedName name="deregulated" localSheetId="1">#REF!</definedName>
    <definedName name="deregulated">#REF!</definedName>
    <definedName name="Deriv_CashBasis" localSheetId="1">#REF!</definedName>
    <definedName name="Deriv_CashBasis">#REF!</definedName>
    <definedName name="Deriv_CRISP_REV1" localSheetId="1">#REF!</definedName>
    <definedName name="Deriv_CRISP_REV1">#REF!</definedName>
    <definedName name="Deriv_CRISP_REV2">#REF!</definedName>
    <definedName name="Deriv_CRISP_REV3">#REF!</definedName>
    <definedName name="Deriv_CRISP_REV4">#REF!</definedName>
    <definedName name="Deriv_CRISP_REV5">#REF!</definedName>
    <definedName name="Deriv_CRISP_REV6">#REF!</definedName>
    <definedName name="Deriv_Equity_1">#REF!</definedName>
    <definedName name="Deriv_Equity_2">#REF!</definedName>
    <definedName name="Deriv_Equity_3">#REF!</definedName>
    <definedName name="Deriv_Equity_4">#REF!</definedName>
    <definedName name="Deriv_Equity_5">#REF!</definedName>
    <definedName name="Deriv_Equity_6">#REF!</definedName>
    <definedName name="Deriv_Equivalent">#REF!</definedName>
    <definedName name="Deriv_Error_1">#REF!</definedName>
    <definedName name="Deriv_Error_2">#REF!</definedName>
    <definedName name="Deriv_Error_3">#REF!</definedName>
    <definedName name="Deriv_Error_4">#REF!</definedName>
    <definedName name="Deriv_Error_5">#REF!</definedName>
    <definedName name="Deriv_Error_6">#REF!</definedName>
    <definedName name="Deriv_Grade_1">#REF!</definedName>
    <definedName name="Deriv_Grade_2">#REF!</definedName>
    <definedName name="Deriv_Grade_3">#REF!</definedName>
    <definedName name="Deriv_Grade_4">#REF!</definedName>
    <definedName name="Deriv_Grade_5">#REF!</definedName>
    <definedName name="Deriv_Grade_6">#REF!</definedName>
    <definedName name="Deriv_GrossRev_1">#REF!</definedName>
    <definedName name="Deriv_GrossRev_2">#REF!</definedName>
    <definedName name="Deriv_GrossRev_3">#REF!</definedName>
    <definedName name="Deriv_GrossRev_4">#REF!</definedName>
    <definedName name="Deriv_GrossRev_5">#REF!</definedName>
    <definedName name="Deriv_GrossRev_6">#REF!</definedName>
    <definedName name="Deriv_Income_Cash">#REF!</definedName>
    <definedName name="Deriv_Income_FASB">#REF!</definedName>
    <definedName name="Deriv_NetRev_1">#REF!</definedName>
    <definedName name="Deriv_NetRev_2">#REF!</definedName>
    <definedName name="Deriv_NetRev_3">#REF!</definedName>
    <definedName name="Deriv_NetRev_4">#REF!</definedName>
    <definedName name="Deriv_NetRev_5">#REF!</definedName>
    <definedName name="Deriv_NetRev_6">#REF!</definedName>
    <definedName name="Deriv_Notional_1">#REF!</definedName>
    <definedName name="Deriv_Notional_2">#REF!</definedName>
    <definedName name="Deriv_Notional_3">#REF!</definedName>
    <definedName name="Deriv_Notional_4">#REF!</definedName>
    <definedName name="Deriv_Notional_5">#REF!</definedName>
    <definedName name="Deriv_Notional_6">#REF!</definedName>
    <definedName name="Deriv_remain_term1">#REF!</definedName>
    <definedName name="Deriv_remain_term2">#REF!</definedName>
    <definedName name="Deriv_remain_term3">#REF!</definedName>
    <definedName name="Deriv_remain_term4">#REF!</definedName>
    <definedName name="Deriv_remain_term5">#REF!</definedName>
    <definedName name="Deriv_remain_term6">#REF!</definedName>
    <definedName name="Deriv_Status_1">#REF!</definedName>
    <definedName name="Deriv_Status_2">#REF!</definedName>
    <definedName name="Deriv_Status_3">#REF!</definedName>
    <definedName name="Deriv_Status_4">#REF!</definedName>
    <definedName name="Deriv_Status_5">#REF!</definedName>
    <definedName name="Deriv_Status_6">#REF!</definedName>
    <definedName name="Deriv_Term_1">#REF!</definedName>
    <definedName name="Deriv_Term_2">#REF!</definedName>
    <definedName name="Deriv_Term_3">#REF!</definedName>
    <definedName name="Deriv_Term_4">#REF!</definedName>
    <definedName name="Deriv_Term_5">#REF!</definedName>
    <definedName name="Deriv_Term_6">#REF!</definedName>
    <definedName name="Design_Professional_Type">#REF!</definedName>
    <definedName name="DEVELOPER_S_NEW_EQUITY_RETURN">#REF!</definedName>
    <definedName name="dghghfg">[9]A!$A$132:$Q$192</definedName>
    <definedName name="Differential_1" localSheetId="1">#REF!</definedName>
    <definedName name="Differential_1">#REF!</definedName>
    <definedName name="Differential_2" localSheetId="1">#REF!</definedName>
    <definedName name="Differential_2">#REF!</definedName>
    <definedName name="Differential_3" localSheetId="1">#REF!</definedName>
    <definedName name="Differential_3">#REF!</definedName>
    <definedName name="Differential_4">#REF!</definedName>
    <definedName name="Differential_5">#REF!</definedName>
    <definedName name="Differential_6">#REF!</definedName>
    <definedName name="DIRECT">#REF!</definedName>
    <definedName name="DISBURSE">#REF!</definedName>
    <definedName name="DISCOUNT">#REF!</definedName>
    <definedName name="Discount_rate">#REF!</definedName>
    <definedName name="Division_Name">#REF!</definedName>
    <definedName name="DivisionName">[22]Assumptions!$C$6</definedName>
    <definedName name="down" localSheetId="1">#REF!</definedName>
    <definedName name="down">#REF!</definedName>
    <definedName name="down04" localSheetId="1">#REF!</definedName>
    <definedName name="down04">#REF!</definedName>
    <definedName name="DOWNLOAD" localSheetId="1">#REF!</definedName>
    <definedName name="DOWNLOAD">#REF!</definedName>
    <definedName name="download1">#REF!</definedName>
    <definedName name="download3">#REF!</definedName>
    <definedName name="DRAName">[10]Assumptions!#REF!</definedName>
    <definedName name="DRIVER" localSheetId="1">#REF!</definedName>
    <definedName name="DRIVER">#REF!</definedName>
    <definedName name="DSCR">[12]Proforma!$G$34</definedName>
    <definedName name="dsfsdgf" localSheetId="1">#REF!</definedName>
    <definedName name="dsfsdgf">#REF!</definedName>
    <definedName name="dsra" localSheetId="1">#REF!</definedName>
    <definedName name="dsra">#REF!</definedName>
    <definedName name="dsrb" localSheetId="1">#REF!</definedName>
    <definedName name="dsrb">#REF!</definedName>
    <definedName name="dsrrate">#REF!</definedName>
    <definedName name="dur">#REF!</definedName>
    <definedName name="e">[28]ACH!#REF!</definedName>
    <definedName name="ebal" localSheetId="1">#REF!</definedName>
    <definedName name="ebal">#REF!</definedName>
    <definedName name="EconProfit_1" localSheetId="1">#REF!</definedName>
    <definedName name="EconProfit_1">#REF!</definedName>
    <definedName name="EconProfit_2" localSheetId="1">#REF!</definedName>
    <definedName name="EconProfit_2">#REF!</definedName>
    <definedName name="EconProfit_3">#REF!</definedName>
    <definedName name="EconProfit_4">#REF!</definedName>
    <definedName name="EconProfit_5">#REF!</definedName>
    <definedName name="EconProfit_6">#REF!</definedName>
    <definedName name="ECPI">#REF!</definedName>
    <definedName name="ECR_Margin">#REF!</definedName>
    <definedName name="egdf">#REF!</definedName>
    <definedName name="Employee_Contrib">#REF!</definedName>
    <definedName name="Ending.Balance" localSheetId="1">IF(#REF!&lt;&gt;"",#REF!-#REF!,"")</definedName>
    <definedName name="Ending.Balance">IF(#REF!&lt;&gt;"",#REF!-#REF!,"")</definedName>
    <definedName name="endout">#REF!</definedName>
    <definedName name="Entered_payment">#REF!</definedName>
    <definedName name="Equal_Principal_Annual_Table">#REF!</definedName>
    <definedName name="Equal_Principal_Monthly_Table">#REF!</definedName>
    <definedName name="Equal_Principal_Quarterly_Table">#REF!</definedName>
    <definedName name="EQUITY">#REF!</definedName>
    <definedName name="Equity_1">#REF!</definedName>
    <definedName name="Equity_2">#REF!</definedName>
    <definedName name="Equity_3">#REF!</definedName>
    <definedName name="Equity_4">#REF!</definedName>
    <definedName name="Equity_5">#REF!</definedName>
    <definedName name="Equity_6">#REF!</definedName>
    <definedName name="Equity_Grade">#REF!</definedName>
    <definedName name="Equity_Lookup">#REF!</definedName>
    <definedName name="Equity_TaxFactor">#REF!</definedName>
    <definedName name="Equity_WAvgLife_1">#REF!</definedName>
    <definedName name="Equity_WAvgLife_2">#REF!</definedName>
    <definedName name="Equity_WAvgLife_3">#REF!</definedName>
    <definedName name="Equity_WAvgLife_4">#REF!</definedName>
    <definedName name="Equity_WAvgLife_5">#REF!</definedName>
    <definedName name="Equity_WAvgLife_6">#REF!</definedName>
    <definedName name="EquityLegal_lookup">#REF!</definedName>
    <definedName name="ergregaa">'[3]AVI-JV-PROFORMA'!#REF!</definedName>
    <definedName name="ergterg" localSheetId="1">#REF!</definedName>
    <definedName name="ergterg">#REF!</definedName>
    <definedName name="Error_Message_1" localSheetId="1">#REF!</definedName>
    <definedName name="Error_Message_1">#REF!</definedName>
    <definedName name="Error_Message_10" localSheetId="1">#REF!</definedName>
    <definedName name="Error_Message_10">#REF!</definedName>
    <definedName name="Error_Message_11">#REF!</definedName>
    <definedName name="Error_Message_12">#REF!</definedName>
    <definedName name="Error_Message_2">#REF!</definedName>
    <definedName name="Error_Message_3">#REF!</definedName>
    <definedName name="Error_Message_4">#REF!</definedName>
    <definedName name="Error_message_5">#REF!</definedName>
    <definedName name="Error_Message_6">#REF!</definedName>
    <definedName name="Error_Message_7">#REF!</definedName>
    <definedName name="Error_Message_8">#REF!</definedName>
    <definedName name="Error_Message_9">#REF!</definedName>
    <definedName name="EST2003A">'[11]CFEST 2003A Consol'!$A$1</definedName>
    <definedName name="Eurosweep" localSheetId="1">#REF!</definedName>
    <definedName name="Eurosweep">#REF!</definedName>
    <definedName name="ewq">[29]Site!$D$133</definedName>
    <definedName name="Excess_Balances" localSheetId="1">#REF!</definedName>
    <definedName name="Excess_Balances">#REF!</definedName>
    <definedName name="EXI.A1603.UNDERWRITTEN.E.I.X">[14]_EXICashFlowImport!$D$2</definedName>
    <definedName name="EXI.A1612.UNDERWRITTEN.E.I.X">[14]_EXICashFlowImport!$D$11</definedName>
    <definedName name="EXI.A1620.UNDERWRITTEN.E.I.X">[14]_EXICashFlowImport!$D$19</definedName>
    <definedName name="EXI.A3840.AMOUNT.E.I.X">[14]_EXIFunnelImport!$D$9</definedName>
    <definedName name="EXI.A3855.AMOUNT.E.I.X">[14]_EXIFunnelImport!$D$24</definedName>
    <definedName name="EXI.A4041.AMOUNT.E.I.X">[14]_EXIFunnelImport!$E$8</definedName>
    <definedName name="EXI.A4054.AMOUNT.E.I.X">[14]_EXIFunnelImport!$E$21</definedName>
    <definedName name="EXI.A4055.AMOUNT.E.I.X">[14]_EXIFunnelImport!$E$22</definedName>
    <definedName name="EXI.A4254.AMOUNT.E.I.X">[14]_EXIFunnelImport!$F$19</definedName>
    <definedName name="EXI.A4257.AMOUNT.E.I.X">[14]_EXIFunnelImport!$F$22</definedName>
    <definedName name="Existing_UpfrontFee_Cash_1" localSheetId="1">#REF!</definedName>
    <definedName name="Existing_UpfrontFee_Cash_1">#REF!</definedName>
    <definedName name="Existing_UpfrontFee_Cash_2" localSheetId="1">#REF!</definedName>
    <definedName name="Existing_UpfrontFee_Cash_2">#REF!</definedName>
    <definedName name="Existing_UpfrontFee_Cash_3" localSheetId="1">#REF!</definedName>
    <definedName name="Existing_UpfrontFee_Cash_3">#REF!</definedName>
    <definedName name="Existing_UpfrontFee_Cash_4">#REF!</definedName>
    <definedName name="Existing_UpfrontFee_Cash_5">#REF!</definedName>
    <definedName name="Existing_UpfrontFee_Cash_6">#REF!</definedName>
    <definedName name="EXPENSE">'[3]AVI-JV-PROFORMA'!#REF!</definedName>
    <definedName name="ExpenseInflation1">[15]Assumptions!$C$74</definedName>
    <definedName name="ExpenseInflation2">[15]Assumptions!$D$74</definedName>
    <definedName name="ExpenseInflation3">[15]Assumptions!$E$74</definedName>
    <definedName name="EXPFACT" localSheetId="1">#REF!</definedName>
    <definedName name="EXPFACT">#REF!</definedName>
    <definedName name="EXPRESS_EXP" localSheetId="1">'[17]12_96 CAM'!#REF!</definedName>
    <definedName name="EXPRESS_EXP">'[17]12_96 CAM'!#REF!</definedName>
    <definedName name="EXPRESS_SQ" localSheetId="1">'[17]12_96 CAM'!#REF!</definedName>
    <definedName name="EXPRESS_SQ">'[17]12_96 CAM'!#REF!</definedName>
    <definedName name="EXPTABLE" localSheetId="1">[17]CAMINVBU!#REF!</definedName>
    <definedName name="EXPTABLE">[17]CAMINVBU!#REF!</definedName>
    <definedName name="externalappraisalltv" localSheetId="1">#REF!</definedName>
    <definedName name="externalappraisalltv">#REF!</definedName>
    <definedName name="Externalappraisalvalue" localSheetId="1">#REF!</definedName>
    <definedName name="Externalappraisalvalue">#REF!</definedName>
    <definedName name="extra" localSheetId="1">#REF!</definedName>
    <definedName name="extra">#REF!</definedName>
    <definedName name="Facility_1">#REF!</definedName>
    <definedName name="Facility_2">#REF!</definedName>
    <definedName name="Facility_3">#REF!</definedName>
    <definedName name="Facility_4">#REF!</definedName>
    <definedName name="Facility_5">#REF!</definedName>
    <definedName name="Facility_6">#REF!</definedName>
    <definedName name="Facility_Overhead">#REF!</definedName>
    <definedName name="FACILITY_RATING_FROM_MODEL">#REF!</definedName>
    <definedName name="FACILITY_RATING_PER_RM">#REF!</definedName>
    <definedName name="Facility_Status_1">#REF!</definedName>
    <definedName name="Facility_Status_2">#REF!</definedName>
    <definedName name="Facility_Status_3">#REF!</definedName>
    <definedName name="Facility_Status_4">#REF!</definedName>
    <definedName name="Facility_Status_5">#REF!</definedName>
    <definedName name="Facility_Status_6">#REF!</definedName>
    <definedName name="Facility_Status_Deriv1">#REF!</definedName>
    <definedName name="Facility_Status_Deriv2">#REF!</definedName>
    <definedName name="Facility_Status_Deriv3">#REF!</definedName>
    <definedName name="Facility_Status_Deriv4">#REF!</definedName>
    <definedName name="Facility_Status_Deriv5">#REF!</definedName>
    <definedName name="Facility_Status_Deriv6">#REF!</definedName>
    <definedName name="FASB_1">#REF!</definedName>
    <definedName name="FASB_2">#REF!</definedName>
    <definedName name="FASB_3">#REF!</definedName>
    <definedName name="FASB_4">#REF!</definedName>
    <definedName name="FASB_5">#REF!</definedName>
    <definedName name="FASB_6">#REF!</definedName>
    <definedName name="FASB_Total_Income">#REF!</definedName>
    <definedName name="fd" hidden="1">'[30]0900'!#REF!</definedName>
    <definedName name="fdef" localSheetId="1">#REF!</definedName>
    <definedName name="fdef">#REF!</definedName>
    <definedName name="fdsa">[29]Site!$D$67</definedName>
    <definedName name="fee">'[31]Inc Rec'!$A$9:$J$650</definedName>
    <definedName name="FEES" localSheetId="1">#REF!</definedName>
    <definedName name="FEES">#REF!</definedName>
    <definedName name="fghgdh">[9]A!$A$37:$Q$83</definedName>
    <definedName name="Financial_Summary" localSheetId="1">#REF!</definedName>
    <definedName name="Financial_Summary">#REF!</definedName>
    <definedName name="first" localSheetId="1">#REF!</definedName>
    <definedName name="first">#REF!</definedName>
    <definedName name="First_payment_due" localSheetId="1">#REF!</definedName>
    <definedName name="First_payment_due">#REF!</definedName>
    <definedName name="First_payment_no">#REF!</definedName>
    <definedName name="FIRST_PROTECT">'[18]FIRST P'!$A$13:$P$46</definedName>
    <definedName name="FirstYearOperations">#REF!</definedName>
    <definedName name="fix" localSheetId="1">#REF!</definedName>
    <definedName name="fix">#REF!</definedName>
    <definedName name="fnjh" localSheetId="1">#REF!</definedName>
    <definedName name="fnjh">#REF!</definedName>
    <definedName name="FORCE">[18]FORCE!$A$13:$P$38</definedName>
    <definedName name="format">'[32]P TAX INV (2)'!$A$69:$H$132</definedName>
    <definedName name="FORTIS" localSheetId="1">#REF!</definedName>
    <definedName name="FORTIS">#REF!</definedName>
    <definedName name="Free" localSheetId="1">'[3]AVI-JV-PROFORMA'!#REF!</definedName>
    <definedName name="Free">'[3]AVI-JV-PROFORMA'!#REF!</definedName>
    <definedName name="freee" localSheetId="1">'[5]AVI-JV-PROFORMA'!#REF!</definedName>
    <definedName name="freee">'[5]AVI-JV-PROFORMA'!#REF!</definedName>
    <definedName name="FULL" localSheetId="1">#REF!</definedName>
    <definedName name="FULL">#REF!</definedName>
    <definedName name="FUNDING_COST1" localSheetId="1">#REF!</definedName>
    <definedName name="FUNDING_COST1">#REF!</definedName>
    <definedName name="FUNDING_COST2" localSheetId="1">#REF!</definedName>
    <definedName name="FUNDING_COST2">#REF!</definedName>
    <definedName name="FUNDING_COST3">#REF!</definedName>
    <definedName name="FUNDING_COST4">#REF!</definedName>
    <definedName name="FUNDING_COST5">#REF!</definedName>
    <definedName name="FUNDING_COST6">#REF!</definedName>
    <definedName name="FX_GrossRev">#REF!</definedName>
    <definedName name="FX_NETREV">#REF!</definedName>
    <definedName name="g">#REF!</definedName>
    <definedName name="G0A_DS_80_FS_PEX__DISNEY">'[33]8TX95C'!#REF!</definedName>
    <definedName name="GardenGLA">#N/A</definedName>
    <definedName name="GD">#REF!</definedName>
    <definedName name="GDEQUITY">#REF!</definedName>
    <definedName name="GENERAL_MILLS">[18]FORCE!$A$13:$P$40</definedName>
    <definedName name="ghghg" localSheetId="1">#REF!</definedName>
    <definedName name="ghghg">#REF!</definedName>
    <definedName name="ghghgh" localSheetId="1">'[34]PR FUNDING'!#REF!</definedName>
    <definedName name="ghghgh">'[34]PR FUNDING'!#REF!</definedName>
    <definedName name="ghghghg" localSheetId="1">#REF!</definedName>
    <definedName name="ghghghg">#REF!</definedName>
    <definedName name="gla">#N/A</definedName>
    <definedName name="GLA_1" localSheetId="1">#REF!</definedName>
    <definedName name="GLA_1">#REF!</definedName>
    <definedName name="GLA_3" localSheetId="1">#REF!</definedName>
    <definedName name="GLA_3">#REF!</definedName>
    <definedName name="GLA_3.15" localSheetId="1">#REF!</definedName>
    <definedName name="GLA_3.15">#REF!</definedName>
    <definedName name="GOAEXT">#REF!</definedName>
    <definedName name="GOAPEX">#REF!</definedName>
    <definedName name="GoToMortgagorOtherFeeDesc">'[35]Gen Reqs Breakdown'!#REF!</definedName>
    <definedName name="GPR" localSheetId="1">#REF!</definedName>
    <definedName name="GPR">#REF!</definedName>
    <definedName name="Grade_1" localSheetId="1">#REF!</definedName>
    <definedName name="Grade_1">#REF!</definedName>
    <definedName name="Grade_2" localSheetId="1">#REF!</definedName>
    <definedName name="Grade_2">#REF!</definedName>
    <definedName name="Grade_3">#REF!</definedName>
    <definedName name="Grade_4">#REF!</definedName>
    <definedName name="Grade_5">#REF!</definedName>
    <definedName name="Grade_6">#REF!</definedName>
    <definedName name="grade_attribute_exception">#REF!</definedName>
    <definedName name="Grade_lookup">#REF!</definedName>
    <definedName name="grade3_criteria">#REF!</definedName>
    <definedName name="gross">#REF!</definedName>
    <definedName name="GROSS_LEASABLE_AREA">#REF!</definedName>
    <definedName name="grossrate_bond">#REF!</definedName>
    <definedName name="GROSSYLD">#REF!</definedName>
    <definedName name="GRRATE">#REF!</definedName>
    <definedName name="GSP">#REF!</definedName>
    <definedName name="guar">#REF!</definedName>
    <definedName name="hangout">#REF!</definedName>
    <definedName name="hd">#REF!</definedName>
    <definedName name="HEALTH">#REF!</definedName>
    <definedName name="health1">#REF!</definedName>
    <definedName name="Healthcare">#REF!</definedName>
    <definedName name="hgdhd">'[34]PR FUNDING'!#REF!</definedName>
    <definedName name="hgfhgdh" localSheetId="1">#REF!</definedName>
    <definedName name="hgfhgdh">#REF!</definedName>
    <definedName name="hghghgfh">[9]A!$A$1:$Q$36</definedName>
    <definedName name="hghh" localSheetId="1">#REF!</definedName>
    <definedName name="hghh">#REF!</definedName>
    <definedName name="HIS" localSheetId="1">[36]Underwriting!#REF!</definedName>
    <definedName name="HIS">[36]Underwriting!#REF!</definedName>
    <definedName name="historicalyear1occupancy" localSheetId="1">[37]Underwriting!#REF!</definedName>
    <definedName name="historicalyear1occupancy">[37]Underwriting!#REF!</definedName>
    <definedName name="historicalyear2occupancy">[37]Underwriting!#REF!</definedName>
    <definedName name="historicalyear3">[37]Underwriting!#REF!</definedName>
    <definedName name="historicalyear3dscr">[37]Underwriting!$I$43</definedName>
    <definedName name="historicalyear3occupancy">[37]Underwriting!#REF!</definedName>
    <definedName name="hj" localSheetId="1">#REF!</definedName>
    <definedName name="hj">#REF!</definedName>
    <definedName name="hjghjh">[9]A!$A$85:$Q$130</definedName>
    <definedName name="HUD_Project_Number">[38]Checklist!$C$28</definedName>
    <definedName name="IAP" localSheetId="1">#REF!</definedName>
    <definedName name="IAP">#REF!</definedName>
    <definedName name="ICDCPriceAmount" localSheetId="1">[4]Assumptions!#REF!</definedName>
    <definedName name="ICDCPriceAmount">[4]Assumptions!#REF!</definedName>
    <definedName name="ID" localSheetId="1">#REF!</definedName>
    <definedName name="ID">#REF!</definedName>
    <definedName name="ID_BUILD" localSheetId="1">'[17]12_96 CAM'!#REF!</definedName>
    <definedName name="ID_BUILD">'[17]12_96 CAM'!#REF!</definedName>
    <definedName name="IL_SQ" localSheetId="1">'[17]12_96 CAM'!#REF!</definedName>
    <definedName name="IL_SQ">'[17]12_96 CAM'!#REF!</definedName>
    <definedName name="In_place_GPR" localSheetId="1">#REF!</definedName>
    <definedName name="In_place_GPR">#REF!</definedName>
    <definedName name="Inbedded_fee_for_yield" localSheetId="1">#REF!</definedName>
    <definedName name="Inbedded_fee_for_yield">#REF!</definedName>
    <definedName name="Inbedded_fee_grossyield" localSheetId="1">#REF!</definedName>
    <definedName name="Inbedded_fee_grossyield">#REF!</definedName>
    <definedName name="IncomeStmtSummaryPrint">#REF!</definedName>
    <definedName name="INCREADIBLE">[18]INCREDBL!$A$13:$P$41</definedName>
    <definedName name="Increase_Commit_1" localSheetId="1">#REF!</definedName>
    <definedName name="Increase_Commit_1">#REF!</definedName>
    <definedName name="Increase_Commit_2" localSheetId="1">#REF!</definedName>
    <definedName name="Increase_Commit_2">#REF!</definedName>
    <definedName name="Increase_Commit_3" localSheetId="1">#REF!</definedName>
    <definedName name="Increase_Commit_3">#REF!</definedName>
    <definedName name="Increase_Commit_4">#REF!</definedName>
    <definedName name="Increase_Commit_5">#REF!</definedName>
    <definedName name="Increase_Commit_6">#REF!</definedName>
    <definedName name="Index_1">#REF!</definedName>
    <definedName name="Index_2">#REF!</definedName>
    <definedName name="Index_3">#REF!</definedName>
    <definedName name="Index_4">#REF!</definedName>
    <definedName name="Index_5">#REF!</definedName>
    <definedName name="Index_6">#REF!</definedName>
    <definedName name="Index_Range">#REF!</definedName>
    <definedName name="inflation1">[15]Assumptions!$C$73</definedName>
    <definedName name="inflation2">[15]Assumptions!$D$73</definedName>
    <definedName name="inflation3">[15]Assumptions!$E$73</definedName>
    <definedName name="INFORMIX">[18]INFORMIX!$A$13:$Q$47</definedName>
    <definedName name="INPUT" localSheetId="1">#REF!</definedName>
    <definedName name="INPUT">#REF!</definedName>
    <definedName name="Input_backup">#REF!</definedName>
    <definedName name="Ins" localSheetId="1">#REF!</definedName>
    <definedName name="Ins">#REF!</definedName>
    <definedName name="insclaims" localSheetId="1">[17]CAMINVBU!#REF!</definedName>
    <definedName name="insclaims">[17]CAMINVBU!#REF!</definedName>
    <definedName name="INSCODE" localSheetId="1">#REF!</definedName>
    <definedName name="INSCODE">#REF!</definedName>
    <definedName name="insurance" localSheetId="1">#REF!</definedName>
    <definedName name="insurance">#REF!</definedName>
    <definedName name="Int_Pmt_Freq_Table" localSheetId="1">#REF!</definedName>
    <definedName name="Int_Pmt_Freq_Table">#REF!</definedName>
    <definedName name="Int_Rate">[12]Proforma!$G$30</definedName>
    <definedName name="IntBearingCkg" localSheetId="1">#REF!</definedName>
    <definedName name="IntBearingCkg">#REF!</definedName>
    <definedName name="Interest" localSheetId="1">IF(#REF!&lt;&gt;"",#REF!*'Comparison to Other'!Periodic_rate,"")</definedName>
    <definedName name="Interest">IF(#REF!&lt;&gt;"",#REF!*[0]!Periodic_rate,"")</definedName>
    <definedName name="Interest_Freq_Factor_1" localSheetId="1">#REF!</definedName>
    <definedName name="Interest_Freq_Factor_1">#REF!</definedName>
    <definedName name="Interest_Freq_Factor_2" localSheetId="1">#REF!</definedName>
    <definedName name="Interest_Freq_Factor_2">#REF!</definedName>
    <definedName name="Interest_Freq_Factor_3">#REF!</definedName>
    <definedName name="Interest_Freq_Factor_4">#REF!</definedName>
    <definedName name="Interest_Freq_Factor_5">#REF!</definedName>
    <definedName name="Interest_Freq_Factor_6">#REF!</definedName>
    <definedName name="Interest_Only_Table">#REF!</definedName>
    <definedName name="Interest_Payment_Freq_1">#REF!</definedName>
    <definedName name="Interest_Payment_Freq_2">#REF!</definedName>
    <definedName name="Interest_Payment_Freq_3">#REF!</definedName>
    <definedName name="Interest_Payment_Freq_4">#REF!</definedName>
    <definedName name="Interest_Payment_Freq_5">#REF!</definedName>
    <definedName name="Interest_Payment_Freq_6">#REF!</definedName>
    <definedName name="Interest_Type">#REF!</definedName>
    <definedName name="Interest_type_1">#REF!</definedName>
    <definedName name="Interest_type_2">#REF!</definedName>
    <definedName name="Interest_type_3">#REF!</definedName>
    <definedName name="Interest_type_4">#REF!</definedName>
    <definedName name="Interest_type_5">#REF!</definedName>
    <definedName name="Interest_Type_6">#REF!</definedName>
    <definedName name="InterestMarginChange_1">#REF!</definedName>
    <definedName name="InterestMarginChange_2">#REF!</definedName>
    <definedName name="InterestMarginChange_3">#REF!</definedName>
    <definedName name="InterestMarginChange_4">#REF!</definedName>
    <definedName name="InterestMarginChange_5">#REF!</definedName>
    <definedName name="InterestMarginChange_6">#REF!</definedName>
    <definedName name="InterestRate">[15]Assumptions!$G$132</definedName>
    <definedName name="internalcounsel" localSheetId="1">#REF!</definedName>
    <definedName name="internalcounsel">#REF!</definedName>
    <definedName name="International" localSheetId="1">#REF!</definedName>
    <definedName name="International">#REF!</definedName>
    <definedName name="International_GrossRev" localSheetId="1">#REF!</definedName>
    <definedName name="International_GrossRev">#REF!</definedName>
    <definedName name="INTERPOLATED_TBillindex">#REF!</definedName>
    <definedName name="INTL_NETREV">#REF!</definedName>
    <definedName name="INTonlydebtserv">#REF!</definedName>
    <definedName name="INTPMTS">#REF!</definedName>
    <definedName name="IntroPrintArea" hidden="1">#REF!</definedName>
    <definedName name="investment_type">#REF!</definedName>
    <definedName name="InvestmentMgt_Gross">#REF!</definedName>
    <definedName name="InvestmentNumber">#REF!</definedName>
    <definedName name="InvestorName1">#REF!</definedName>
    <definedName name="InvestorName2">#REF!</definedName>
    <definedName name="InvestorName3">#REF!</definedName>
    <definedName name="InvestorName4">#REF!</definedName>
    <definedName name="InvestorName5">#REF!</definedName>
    <definedName name="Invoice">#REF!</definedName>
    <definedName name="IO_rate">[39]Inputs!$F$16</definedName>
    <definedName name="IPLICO_account1" localSheetId="1">#REF!</definedName>
    <definedName name="IPLICO_account1">#REF!</definedName>
    <definedName name="IPLICO_loanamt1" localSheetId="1">#REF!</definedName>
    <definedName name="IPLICO_loanamt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_Commit_amount_1">#REF!</definedName>
    <definedName name="IR_Commit_amount_2">#REF!</definedName>
    <definedName name="IR_Commit_amount_3">#REF!</definedName>
    <definedName name="IR_Commit_amount_4">#REF!</definedName>
    <definedName name="IR_Commit_amount_5">#REF!</definedName>
    <definedName name="IR_Commit_amount_6">#REF!</definedName>
    <definedName name="IR_Equity_1">#REF!</definedName>
    <definedName name="IR_Equity_2">#REF!</definedName>
    <definedName name="IR_Equity_3">#REF!</definedName>
    <definedName name="IR_Equity_4">#REF!</definedName>
    <definedName name="IR_Equity_5">#REF!</definedName>
    <definedName name="IR_Equity_6">#REF!</definedName>
    <definedName name="IRR_Analysis">#REF!</definedName>
    <definedName name="IrrCalcFields">[4]Assumptions!$F$192,[4]Assumptions!$F$194,[4]Assumptions!$F$196,[4]Assumptions!$F$198,[4]Assumptions!$F$200</definedName>
    <definedName name="issuer" localSheetId="1">#REF!</definedName>
    <definedName name="issuer">#REF!</definedName>
    <definedName name="JHRE_loanamt1" localSheetId="1">#REF!</definedName>
    <definedName name="JHRE_loanamt1">#REF!</definedName>
    <definedName name="jr6d" localSheetId="1" hidden="1">{"LCPR",#N/A,TRUE,"LC"}</definedName>
    <definedName name="jr6d" hidden="1">{"LCPR",#N/A,TRUE,"LC"}</definedName>
    <definedName name="KEY_EQUIVALENT_GRADE">#REF!</definedName>
    <definedName name="Key_Global_Fin">#REF!</definedName>
    <definedName name="KeyCapitalPartners_GrossRev">#REF!</definedName>
    <definedName name="KeyGlobalFinance_GrossRev">#REF!</definedName>
    <definedName name="KeyInsurance_GrossRev">#REF!</definedName>
    <definedName name="klk">#REF!</definedName>
    <definedName name="KNUTSON">#REF!</definedName>
    <definedName name="LA_1">#REF!</definedName>
    <definedName name="LA_2">#REF!</definedName>
    <definedName name="LA_3">#REF!</definedName>
    <definedName name="LA_4">#REF!</definedName>
    <definedName name="LA_5">#REF!</definedName>
    <definedName name="LA_6">#REF!</definedName>
    <definedName name="LA_7">#REF!</definedName>
    <definedName name="lagdays">#REF!</definedName>
    <definedName name="LAND">#REF!</definedName>
    <definedName name="LandBasisManualOverride">[10]Assumptions!#REF!</definedName>
    <definedName name="landcostperacre" localSheetId="1">#REF!</definedName>
    <definedName name="landcostperacre">#REF!</definedName>
    <definedName name="landscape" localSheetId="1">[17]CAMINVBU!#REF!</definedName>
    <definedName name="landscape">[17]CAMINVBU!#REF!</definedName>
    <definedName name="LargeCorp" localSheetId="1">#REF!</definedName>
    <definedName name="LargeCorp">#REF!</definedName>
    <definedName name="LastApprovedGrade_1" localSheetId="1">#REF!</definedName>
    <definedName name="LastApprovedGrade_1">#REF!</definedName>
    <definedName name="LastApprovedGrade_2" localSheetId="1">#REF!</definedName>
    <definedName name="LastApprovedGrade_2">#REF!</definedName>
    <definedName name="LastApprovedGrade_3">#REF!</definedName>
    <definedName name="LastApprovedGrade_4">#REF!</definedName>
    <definedName name="LastApprovedGrade_5">#REF!</definedName>
    <definedName name="LastApprovedGrade_6">#REF!</definedName>
    <definedName name="LastApprovedIndex_1">#REF!</definedName>
    <definedName name="LastApprovedIndex_2">#REF!</definedName>
    <definedName name="LastApprovedIndex_3">#REF!</definedName>
    <definedName name="LastApprovedIndex_4">#REF!</definedName>
    <definedName name="LastApprovedIndex_5">#REF!</definedName>
    <definedName name="LastApprovedIndex_6">#REF!</definedName>
    <definedName name="LastApprovedSpread_1">#REF!</definedName>
    <definedName name="LastApprovedSpread_2">#REF!</definedName>
    <definedName name="LastApprovedSpread_3">#REF!</definedName>
    <definedName name="LastApprovedSpread_4">#REF!</definedName>
    <definedName name="LastApprovedSpread_5">#REF!</definedName>
    <definedName name="LastApprovedSpread_6">#REF!</definedName>
    <definedName name="LC_PayInArrears_1">#REF!</definedName>
    <definedName name="LC_PayInArrears_2">#REF!</definedName>
    <definedName name="LC_PayInArrears_3">#REF!</definedName>
    <definedName name="LC_PayInArrears_4">#REF!</definedName>
    <definedName name="LC_PayInArrears_5">#REF!</definedName>
    <definedName name="LC_PayInArrears_6">#REF!</definedName>
    <definedName name="Leasing">#REF!</definedName>
    <definedName name="LeftBalance">#REF!</definedName>
    <definedName name="LeftBalanceQtr">#REF!</definedName>
    <definedName name="LeftBalanceYr">#REF!</definedName>
    <definedName name="LeftCashFlow">#REF!</definedName>
    <definedName name="LeftCashFlowQtr">#REF!</definedName>
    <definedName name="LeftCashFlowYr">#REF!</definedName>
    <definedName name="LeftPandL">#REF!</definedName>
    <definedName name="LeftPandLQtr">#REF!</definedName>
    <definedName name="LeftPandLYr">#REF!</definedName>
    <definedName name="Legal_1">#REF!</definedName>
    <definedName name="Legal_2">#REF!</definedName>
    <definedName name="Legal_3">#REF!</definedName>
    <definedName name="Legal_4">#REF!</definedName>
    <definedName name="Legal_5">#REF!</definedName>
    <definedName name="Legal_6">#REF!</definedName>
    <definedName name="Legal_Table">#REF!</definedName>
    <definedName name="Lender_JHLICO">#REF!</definedName>
    <definedName name="Lender_JHREF">#REF!</definedName>
    <definedName name="lender_vote">#REF!</definedName>
    <definedName name="LEONE">[18]LEONE!$A$13:$P$42</definedName>
    <definedName name="LeveredIRR" localSheetId="1">#REF!</definedName>
    <definedName name="LeveredIRR">#REF!</definedName>
    <definedName name="LFBMonthlyEscalationFactor" localSheetId="1">[10]Assumptions!#REF!</definedName>
    <definedName name="LFBMonthlyEscalationFactor">[10]Assumptions!#REF!</definedName>
    <definedName name="LIBOR_PRIME_Rate" localSheetId="1">#REF!</definedName>
    <definedName name="LIBOR_PRIME_Rate">#REF!</definedName>
    <definedName name="Libor_PrimeMinus_Sprd1" localSheetId="1">#REF!</definedName>
    <definedName name="Libor_PrimeMinus_Sprd1">#REF!</definedName>
    <definedName name="Libor_PrimeMinus_Sprd2" localSheetId="1">#REF!</definedName>
    <definedName name="Libor_PrimeMinus_Sprd2">#REF!</definedName>
    <definedName name="Libor_PrimeMinus_Sprd3">#REF!</definedName>
    <definedName name="Libor_PrimeMinus_Sprd4">#REF!</definedName>
    <definedName name="Libor_PrimeMinus_Sprd5">#REF!</definedName>
    <definedName name="Libor_PrimeMinus_Sprd6">#REF!</definedName>
    <definedName name="LifeCoMonthlySpread">#REF!</definedName>
    <definedName name="LifeCoSASpread">#REF!</definedName>
    <definedName name="LifeCoSpread">#REF!</definedName>
    <definedName name="limited">#REF!</definedName>
    <definedName name="Liq_Adj_Table2001_1">#REF!</definedName>
    <definedName name="Liq_Adj_Table2001_2">#REF!</definedName>
    <definedName name="Liq_Adj_Table2001_3">#REF!</definedName>
    <definedName name="Liq_Adj_Table2001_4">#REF!</definedName>
    <definedName name="Liq_Adj_Table2001_5">#REF!</definedName>
    <definedName name="Liq_Adj_Table2001_6">#REF!</definedName>
    <definedName name="Liq_Premium_Adj1_Months2001">#REF!</definedName>
    <definedName name="Liq_Premium_Adj10_Months2001">#REF!</definedName>
    <definedName name="Liq_Premium_Adj2_months2001">#REF!</definedName>
    <definedName name="Liq_Premium_Adj3_months2001">#REF!</definedName>
    <definedName name="Liq_Premium_Adj5_months2001">#REF!</definedName>
    <definedName name="Liq_Premium_LIBOR_Months2001">#REF!</definedName>
    <definedName name="Liq_Premium_Prime_Months2001">#REF!</definedName>
    <definedName name="LiqMonth_adj_1">#REF!</definedName>
    <definedName name="LiqMonth_adj_2">#REF!</definedName>
    <definedName name="LiqMonth_adj_3">#REF!</definedName>
    <definedName name="LiqMonth_adj_4">#REF!</definedName>
    <definedName name="LiqMonth_adj_5">#REF!</definedName>
    <definedName name="LiqMonth_adj_6">#REF!</definedName>
    <definedName name="LiqPrem_Adj_1">#REF!</definedName>
    <definedName name="LiqPrem_Adj_2">#REF!</definedName>
    <definedName name="LiqPrem_Adj_3">#REF!</definedName>
    <definedName name="LiqPrem_Adj_4">#REF!</definedName>
    <definedName name="LiqPrem_Adj_5">#REF!</definedName>
    <definedName name="LiqPrem_Adj_6">#REF!</definedName>
    <definedName name="LiqPrem_LIBOR_1">#REF!</definedName>
    <definedName name="LiqPrem_LIBOR_2">#REF!</definedName>
    <definedName name="LiqPrem_LIBOR_3">#REF!</definedName>
    <definedName name="LiqPrem_LIBOR_4">#REF!</definedName>
    <definedName name="LiqPrem_LIBOR_5">#REF!</definedName>
    <definedName name="LiqPrem_LIBOR_6">#REF!</definedName>
    <definedName name="LiqPrem_Prime_1">#REF!</definedName>
    <definedName name="LiqPrem_Prime_2">#REF!</definedName>
    <definedName name="LiqPrem_Prime_3">#REF!</definedName>
    <definedName name="LiqPrem_Prime_4">#REF!</definedName>
    <definedName name="LiqPrem_Prime_5">#REF!</definedName>
    <definedName name="LiqPrem_Prime_6">#REF!</definedName>
    <definedName name="LiqTbl2000_Adj_1">#REF!</definedName>
    <definedName name="LiqTbl2000_Adj_2">#REF!</definedName>
    <definedName name="LiqTbl2000_Adj_3">#REF!</definedName>
    <definedName name="LiqTbl2000_Adj_4">#REF!</definedName>
    <definedName name="LiqTbl2000_Adj_5">#REF!</definedName>
    <definedName name="LiqTbl2000_Adj_6">#REF!</definedName>
    <definedName name="Liquidity_Adjustable_Table_1">#REF!</definedName>
    <definedName name="Liquidity_Adjustable_Table_2">#REF!</definedName>
    <definedName name="Liquidity_Adjustable_Table_3">#REF!</definedName>
    <definedName name="Liquidity_Adjustable_Table_4">#REF!</definedName>
    <definedName name="Liquidity_Adjustable_Table_5">#REF!</definedName>
    <definedName name="Liquidity_Adjustable_Table_6">#REF!</definedName>
    <definedName name="Liquidity_Charge_Table">#REF!</definedName>
    <definedName name="Liquidity_Credit_1">#REF!</definedName>
    <definedName name="Liquidity_Credit_2">#REF!</definedName>
    <definedName name="Liquidity_Credit_3">#REF!</definedName>
    <definedName name="Liquidity_Credit_4">#REF!</definedName>
    <definedName name="Liquidity_Credit_5">#REF!</definedName>
    <definedName name="Liquidity_Credit_6">#REF!</definedName>
    <definedName name="Liquidity_Credit_Table">#REF!</definedName>
    <definedName name="Liquidity_Error_1">#REF!</definedName>
    <definedName name="Liquidity_Error_2">#REF!</definedName>
    <definedName name="Liquidity_Error_3">#REF!</definedName>
    <definedName name="Liquidity_Error_4">#REF!</definedName>
    <definedName name="Liquidity_Error_5">#REF!</definedName>
    <definedName name="Liquidity_Error_6">#REF!</definedName>
    <definedName name="Liquidity_Libor_WAL">#REF!</definedName>
    <definedName name="Liquidity_Premium_1">#REF!</definedName>
    <definedName name="Liquidity_Premium_2">#REF!</definedName>
    <definedName name="Liquidity_Premium_3">#REF!</definedName>
    <definedName name="Liquidity_Premium_4">#REF!</definedName>
    <definedName name="Liquidity_Premium_5">#REF!</definedName>
    <definedName name="Liquidity_Premium_6">#REF!</definedName>
    <definedName name="Liquidity_Premium_Charge_1">#REF!</definedName>
    <definedName name="Liquidity_Premium_Charge_2">#REF!</definedName>
    <definedName name="Liquidity_Premium_Charge_3">#REF!</definedName>
    <definedName name="Liquidity_Premium_Charge_4">#REF!</definedName>
    <definedName name="Liquidity_Premium_Charge_5">#REF!</definedName>
    <definedName name="Liquidity_Premium_Charge_6">#REF!</definedName>
    <definedName name="Liquidity_Table_Adj1">#REF!</definedName>
    <definedName name="Liquidity_Table_Adj10">#REF!</definedName>
    <definedName name="Liquidity_Table_Adj2">#REF!</definedName>
    <definedName name="Liquidity_Table_Adj3">#REF!</definedName>
    <definedName name="Liquidity_Table_Adj5">#REF!</definedName>
    <definedName name="Liquidity_Table_LIBOR">#REF!</definedName>
    <definedName name="Liquidity_Table_PRIME">#REF!</definedName>
    <definedName name="Liquidity_Table2000">#REF!</definedName>
    <definedName name="Liquidity_Table2000_Adj1">#REF!</definedName>
    <definedName name="Liquidity_Table2000_Adj10">#REF!</definedName>
    <definedName name="Liquidity_Table2000_Adj2">#REF!</definedName>
    <definedName name="Liquidity_Table2000_Adj3">#REF!</definedName>
    <definedName name="Liquidity_Table2000_Adj5">#REF!</definedName>
    <definedName name="Liquidity_Table2000_LIBOR">#REF!</definedName>
    <definedName name="Liquidity_WAL_ADJ1">#REF!</definedName>
    <definedName name="Liquidity_WAL_Adj10">#REF!</definedName>
    <definedName name="Liquidity_WAL_Adj2">#REF!</definedName>
    <definedName name="Liquidity_WAL_Adj3">#REF!</definedName>
    <definedName name="Liquidity_WAL_Adj5">#REF!</definedName>
    <definedName name="Liquidity_WAL_LIBOR">#REF!</definedName>
    <definedName name="Liquidity_WAL_PRIME">#REF!</definedName>
    <definedName name="Liquidity_WAvgLife_1">#REF!</definedName>
    <definedName name="Liquidity_WAvgLife_2">#REF!</definedName>
    <definedName name="Liquidity_WAvgLife_3">#REF!</definedName>
    <definedName name="Liquidity_WAvgLife_4">#REF!</definedName>
    <definedName name="Liquidity_WAvgLife_5">#REF!</definedName>
    <definedName name="Liquidity_WAvgLife_6">#REF!</definedName>
    <definedName name="LiqWAL_Adj_1">#REF!</definedName>
    <definedName name="LiqWAL_Adj_2">#REF!</definedName>
    <definedName name="LiqWAL_Adj_3">#REF!</definedName>
    <definedName name="LiqWAL_Adj_4">#REF!</definedName>
    <definedName name="LiqWAL_Adj_5">#REF!</definedName>
    <definedName name="LiqWAL_Adj_6">#REF!</definedName>
    <definedName name="LIST">[40]TABLE!$A$2:$F$166</definedName>
    <definedName name="LLP_Deriv_1" localSheetId="1">#REF!</definedName>
    <definedName name="LLP_Deriv_1">#REF!</definedName>
    <definedName name="LLP_Deriv_2" localSheetId="1">#REF!</definedName>
    <definedName name="LLP_Deriv_2">#REF!</definedName>
    <definedName name="LLP_Deriv_3" localSheetId="1">#REF!</definedName>
    <definedName name="LLP_Deriv_3">#REF!</definedName>
    <definedName name="LLP_Deriv_4">#REF!</definedName>
    <definedName name="LLP_Deriv_5">#REF!</definedName>
    <definedName name="LLP_Deriv_6">#REF!</definedName>
    <definedName name="LLP_Grade">#REF!</definedName>
    <definedName name="LLP_Table">#REF!</definedName>
    <definedName name="loan">#REF!</definedName>
    <definedName name="Loan_Amort">[39]Inputs!#REF!</definedName>
    <definedName name="Loan_Amount">[12]Proforma!$G$24</definedName>
    <definedName name="Loan_Analysis" localSheetId="1">#REF!</definedName>
    <definedName name="Loan_Analysis">#REF!</definedName>
    <definedName name="Loan_End">[41]Inputs!$F$26</definedName>
    <definedName name="Loan_Equivalent" localSheetId="1">#REF!</definedName>
    <definedName name="Loan_Equivalent">#REF!</definedName>
    <definedName name="Loan_Term">[41]Inputs!$F$18</definedName>
    <definedName name="loan_terms_info_vote" localSheetId="1">#REF!</definedName>
    <definedName name="loan_terms_info_vote">#REF!</definedName>
    <definedName name="Loancommitmentreduction" localSheetId="1">[10]Assumptions!#REF!</definedName>
    <definedName name="Loancommitmentreduction">[10]Assumptions!#REF!</definedName>
    <definedName name="LoanFee">[15]Assumptions!$E$119</definedName>
    <definedName name="LoanLoss_1" localSheetId="1">#REF!</definedName>
    <definedName name="LoanLoss_1">#REF!</definedName>
    <definedName name="LoanLoss_2" localSheetId="1">#REF!</definedName>
    <definedName name="LoanLoss_2">#REF!</definedName>
    <definedName name="LoanLoss_3" localSheetId="1">#REF!</definedName>
    <definedName name="LoanLoss_3">#REF!</definedName>
    <definedName name="LoanLoss_4">#REF!</definedName>
    <definedName name="LoanLoss_5">#REF!</definedName>
    <definedName name="LoanLoss_6">#REF!</definedName>
    <definedName name="LoanLoss1thru6">#REF!</definedName>
    <definedName name="LoanRequest">[39]Inputs!$C$14</definedName>
    <definedName name="LoanToAssetRatio">[13]Assumptions!$E$118</definedName>
    <definedName name="LOANTYPE_1" localSheetId="1">#REF!</definedName>
    <definedName name="LOANTYPE_1">#REF!</definedName>
    <definedName name="LOANTYPE_2" localSheetId="1">#REF!</definedName>
    <definedName name="LOANTYPE_2">#REF!</definedName>
    <definedName name="LOANTYPE_3" localSheetId="1">#REF!</definedName>
    <definedName name="LOANTYPE_3">#REF!</definedName>
    <definedName name="LOANTYPE_4">#REF!</definedName>
    <definedName name="LOANTYPE_5">#REF!</definedName>
    <definedName name="LOANTYPE_6">#REF!</definedName>
    <definedName name="LOB">#REF!</definedName>
    <definedName name="LOB_Executive_Approval">#REF!</definedName>
    <definedName name="LOB_Lookup">#REF!</definedName>
    <definedName name="LOB_ROE_Table">#REF!</definedName>
    <definedName name="LOB_Table">#REF!</definedName>
    <definedName name="LOB_Target_Lookup">#REF!</definedName>
    <definedName name="location_description">#REF!</definedName>
    <definedName name="lockoutterm">#REF!</definedName>
    <definedName name="LongTermCostInflation">[10]Assumptions!#REF!</definedName>
    <definedName name="LongTermRevInflation">[10]Assumptions!#REF!</definedName>
    <definedName name="Look1Area" localSheetId="1">#REF!</definedName>
    <definedName name="Look1Area">#REF!</definedName>
    <definedName name="Look2Area" localSheetId="1">#REF!</definedName>
    <definedName name="Look2Area">#REF!</definedName>
    <definedName name="Look3Area" localSheetId="1">#REF!</definedName>
    <definedName name="Look3Area">#REF!</definedName>
    <definedName name="Look4Area">#REF!</definedName>
    <definedName name="Look5Area">#REF!</definedName>
    <definedName name="lookumup">#REF!</definedName>
    <definedName name="lot_takedown">#REF!</definedName>
    <definedName name="LP_CAPITAL_ACCOUNT">#REF!</definedName>
    <definedName name="LP_INTEREST">#REF!</definedName>
    <definedName name="lsupexp">'[42]2005E Assumptions'!$D$82</definedName>
    <definedName name="LTV">[12]Proforma!$G$26</definedName>
    <definedName name="ltva" localSheetId="1">#REF!</definedName>
    <definedName name="ltva">#REF!</definedName>
    <definedName name="MacaulayDuration" localSheetId="1">#REF!</definedName>
    <definedName name="MacaulayDuration">#REF!</definedName>
    <definedName name="MAIER">[18]MAIRE!$A$13:$P$36</definedName>
    <definedName name="MAIN" localSheetId="1">#REF!</definedName>
    <definedName name="MAIN">#REF!</definedName>
    <definedName name="maintsal" localSheetId="1">[17]CAMINVBU!#REF!</definedName>
    <definedName name="maintsal">[17]CAMINVBU!#REF!</definedName>
    <definedName name="MAINWARE">[18]MAINWR!$A$13:$Q$50</definedName>
    <definedName name="managementfee">[15]Assumptions!$C$76</definedName>
    <definedName name="MARKET02" localSheetId="1">#REF!</definedName>
    <definedName name="MARKET02">#REF!</definedName>
    <definedName name="MASTER">[18]MASTER!$A$13:$P$35</definedName>
    <definedName name="max" localSheetId="1">#REF!</definedName>
    <definedName name="max">#REF!</definedName>
    <definedName name="MaximumLoanCommit" localSheetId="1">[10]Assumptions!#REF!</definedName>
    <definedName name="MaximumLoanCommit">[10]Assumptions!#REF!</definedName>
    <definedName name="mbia" localSheetId="1">#REF!</definedName>
    <definedName name="mbia">#REF!</definedName>
    <definedName name="mcapped" localSheetId="1">#REF!</definedName>
    <definedName name="mcapped">#REF!</definedName>
    <definedName name="MCI" localSheetId="1">#REF!</definedName>
    <definedName name="MCI">#REF!</definedName>
    <definedName name="Media">#REF!</definedName>
    <definedName name="Mel">#REF!</definedName>
    <definedName name="MEP_1">#REF!</definedName>
    <definedName name="MEP_2">#REF!</definedName>
    <definedName name="MEP_3">#REF!</definedName>
    <definedName name="MEP_4">#REF!</definedName>
    <definedName name="MEP_5">#REF!</definedName>
    <definedName name="MEP_6">#REF!</definedName>
    <definedName name="MEP_7">#REF!</definedName>
    <definedName name="MERCK">[18]MERCK!$A$13:$P$51</definedName>
    <definedName name="MERRY_EXP">'[17]12_96 CAM'!#REF!</definedName>
    <definedName name="MERRY_SQ">'[17]12_96 CAM'!#REF!</definedName>
    <definedName name="mgmt" localSheetId="1">#REF!</definedName>
    <definedName name="mgmt">#REF!</definedName>
    <definedName name="MGrossRent" localSheetId="1">'[43]Rent_Roll (Current)'!#REF!</definedName>
    <definedName name="MGrossRent">'[43]Rent_Roll (Current)'!#REF!</definedName>
    <definedName name="MGrossRentIII" localSheetId="1">#REF!</definedName>
    <definedName name="MGrossRentIII">#REF!</definedName>
    <definedName name="MinusSpread_1" localSheetId="1">#REF!</definedName>
    <definedName name="MinusSpread_1">#REF!</definedName>
    <definedName name="misc">'[42]2005E Assumptions'!$D$9</definedName>
    <definedName name="mkt" localSheetId="1">#REF!</definedName>
    <definedName name="mkt">#REF!</definedName>
    <definedName name="MKTG">#N/A</definedName>
    <definedName name="mktnoi" localSheetId="1">#REF!</definedName>
    <definedName name="mktnoi">#REF!</definedName>
    <definedName name="mktrnt" localSheetId="1">#REF!</definedName>
    <definedName name="mktrnt">#REF!</definedName>
    <definedName name="MM_BB_Approval" localSheetId="1">#REF!</definedName>
    <definedName name="MM_BB_Approval">#REF!</definedName>
    <definedName name="mmodified">#REF!</definedName>
    <definedName name="mnonprofit">#REF!</definedName>
    <definedName name="ModifiedDuration">#REF!</definedName>
    <definedName name="Module1.PRINT_2">#N/A</definedName>
    <definedName name="Module1.PRINT_3">#N/A</definedName>
    <definedName name="Module1.PRINT_A">#N/A</definedName>
    <definedName name="Module1.PRINT_BCCAM">#N/A</definedName>
    <definedName name="Module1.PRINT_BCMR">#N/A</definedName>
    <definedName name="Module1.PRINT_BCTAX">#N/A</definedName>
    <definedName name="Module1.PRINT_D">#N/A</definedName>
    <definedName name="Module1.PRINT_DETAILS">#N/A</definedName>
    <definedName name="Module1.PRINT_EDET">#N/A</definedName>
    <definedName name="Module1.PRINT_ESUM">#N/A</definedName>
    <definedName name="Module1.PRINT_F">#N/A</definedName>
    <definedName name="Module1.PRINT_GDET">#N/A</definedName>
    <definedName name="Module1.PRINT_GSUM">#N/A</definedName>
    <definedName name="Module1.PRINT_HDET">#N/A</definedName>
    <definedName name="Module1.PRINT_HSUM">#N/A</definedName>
    <definedName name="Module1.PRINT_J">#N/A</definedName>
    <definedName name="Module1.PRINT_OCCUPANCY">#N/A</definedName>
    <definedName name="Module1.PRINT_RECRATES">#N/A</definedName>
    <definedName name="Module1.PRINT_REVENUES">#N/A</definedName>
    <definedName name="Module2.PRINT_2">#N/A</definedName>
    <definedName name="Module2.PRINT_BCCAM">#N/A</definedName>
    <definedName name="Module2.PRINT_BCMR">#N/A</definedName>
    <definedName name="Module2.PRINT_BCPR">#N/A</definedName>
    <definedName name="Module2.PRINT_BCTAX">#N/A</definedName>
    <definedName name="Module2.PRINT_D">#N/A</definedName>
    <definedName name="Module2.PRINT_DETAILS">#N/A</definedName>
    <definedName name="Module2.PRINT_EDET">#N/A</definedName>
    <definedName name="Module2.PRINT_EXPENSES">#N/A</definedName>
    <definedName name="Module2.PRINT_F">#N/A</definedName>
    <definedName name="Module2.PRINT_GDET">#N/A</definedName>
    <definedName name="Module2.PRINT_HDET">#N/A</definedName>
    <definedName name="Module2.PRINT_HSUM">#N/A</definedName>
    <definedName name="Module2.PRINT_IDET">#N/A</definedName>
    <definedName name="Module2.PRINT_ISUM">#N/A</definedName>
    <definedName name="Module2.PRINT_J">#N/A</definedName>
    <definedName name="Module2.PRINT_REVENUES">#N/A</definedName>
    <definedName name="Module3.PRINT_GSUM">#N/A</definedName>
    <definedName name="Module4.PRINT_A">#N/A</definedName>
    <definedName name="Module4.PRINT_ESUM">#N/A</definedName>
    <definedName name="Module4.PRINT_REVENUES">#N/A</definedName>
    <definedName name="MOND">#REF!</definedName>
    <definedName name="MoneyMarket">#REF!</definedName>
    <definedName name="monthly">#REF!</definedName>
    <definedName name="monthlyloss">'[11]2004B Assumptions'!$L$6</definedName>
    <definedName name="Monthlypayment" localSheetId="1">#REF!</definedName>
    <definedName name="Monthlypayment">#REF!</definedName>
    <definedName name="Mortgage_Monthly_Table" localSheetId="1">#REF!</definedName>
    <definedName name="Mortgage_Monthly_Table">#REF!</definedName>
    <definedName name="mregulated" localSheetId="1">#REF!</definedName>
    <definedName name="mregulated">#REF!</definedName>
    <definedName name="MRI">#REF!</definedName>
    <definedName name="net">#REF!</definedName>
    <definedName name="Net_adjusted_grossyield">#REF!</definedName>
    <definedName name="Net_Liquidity_Premium_1">#REF!</definedName>
    <definedName name="Net_Liquidity_Premium_2">#REF!</definedName>
    <definedName name="Net_Liquidity_Premium_3">#REF!</definedName>
    <definedName name="Net_Liquidity_Premium_4">#REF!</definedName>
    <definedName name="Net_Liquidity_Premium_5">#REF!</definedName>
    <definedName name="Net_Liquidity_Premium_6">#REF!</definedName>
    <definedName name="NetInc_Deriv1_FASB">#REF!</definedName>
    <definedName name="NetInc_Deriv2_FASB">#REF!</definedName>
    <definedName name="NetInc_Deriv3_FASB">#REF!</definedName>
    <definedName name="NetInc_Deriv4_FASB">#REF!</definedName>
    <definedName name="NetInc_Deriv5_FASB">#REF!</definedName>
    <definedName name="NetInc_Deriv6_FASB">#REF!</definedName>
    <definedName name="NetIncome_Cash">#REF!</definedName>
    <definedName name="NetIncome_FASB">#REF!</definedName>
    <definedName name="NetRev_CRISP">#REF!</definedName>
    <definedName name="NetRevCRISP">#REF!</definedName>
    <definedName name="NetRevNonCredit">#REF!</definedName>
    <definedName name="NetSpreadChange_1">#REF!</definedName>
    <definedName name="NetSpreadChange_2">#REF!</definedName>
    <definedName name="NetSpreadChange_3">#REF!</definedName>
    <definedName name="NetSpreadChange_4">#REF!</definedName>
    <definedName name="NetSpreadChange_5">#REF!</definedName>
    <definedName name="NetSpreadChange_6">#REF!</definedName>
    <definedName name="NETYLD">#REF!</definedName>
    <definedName name="NHEQUITY">#REF!</definedName>
    <definedName name="NICK">#REF!</definedName>
    <definedName name="NoCommitFee_1">#REF!</definedName>
    <definedName name="NoCommitFee_2">#REF!</definedName>
    <definedName name="NoCommitFee_3">#REF!</definedName>
    <definedName name="NoCommitFee_4">#REF!</definedName>
    <definedName name="NoCommitFee_5">#REF!</definedName>
    <definedName name="NoCommitFee_6">#REF!</definedName>
    <definedName name="NoCondos">[44]Assumptions!$C$51</definedName>
    <definedName name="NOI">[12]Proforma!$G$20</definedName>
    <definedName name="NominalCal">[24]Conventions!$AB$78</definedName>
    <definedName name="NonCredit_Income_Cash" localSheetId="1">#REF!</definedName>
    <definedName name="NonCredit_Income_Cash">#REF!</definedName>
    <definedName name="NonCredit_Income_FASB" localSheetId="1">#REF!</definedName>
    <definedName name="NonCredit_Income_FASB">#REF!</definedName>
    <definedName name="NONE" localSheetId="1">#REF!</definedName>
    <definedName name="NONE">#REF!</definedName>
    <definedName name="NonProfit">#REF!</definedName>
    <definedName name="NoPrePayLang_1">#REF!</definedName>
    <definedName name="NoPrePayLang_2">#REF!</definedName>
    <definedName name="NoPrePayLang_3">#REF!</definedName>
    <definedName name="NoPrePayLang_4">#REF!</definedName>
    <definedName name="NoPrePayLang_5">#REF!</definedName>
    <definedName name="NoPrePayLang_6">#REF!</definedName>
    <definedName name="NoPrimeOption_1">#REF!</definedName>
    <definedName name="NoPrimeOption_2">#REF!</definedName>
    <definedName name="NoPrimeOption_3">#REF!</definedName>
    <definedName name="NoPrimeOption_4">#REF!</definedName>
    <definedName name="NoPrimeOption_5">#REF!</definedName>
    <definedName name="NoPrimeOption_6">#REF!</definedName>
    <definedName name="NORTH_CENTRAL">[18]NORTHC!$A$13:$P$48</definedName>
    <definedName name="Note_Amount" localSheetId="1">#REF!</definedName>
    <definedName name="Note_Amount">#REF!</definedName>
    <definedName name="Note_Rate" localSheetId="1">#REF!</definedName>
    <definedName name="Note_Rate">#REF!</definedName>
    <definedName name="notebdebts" localSheetId="1">#REF!</definedName>
    <definedName name="notebdebts">#REF!</definedName>
    <definedName name="NOTES">#REF!</definedName>
    <definedName name="NoUnits">[45]Assumptions!$C$6</definedName>
    <definedName name="Num_IO_Months">[41]Inputs!$F$15</definedName>
    <definedName name="number_5BR_units">'[14]Rent Roll Analysis'!#REF!</definedName>
    <definedName name="number_doublewide">'[14]Rent Roll Analysis'!#REF!</definedName>
    <definedName name="number_singlewide">'[14]Rent Roll Analysis'!#REF!</definedName>
    <definedName name="NumMonths" localSheetId="1">#REF!</definedName>
    <definedName name="NumMonths">#REF!</definedName>
    <definedName name="OAK2003A">'[11]CFOAK 2003A Conso'!$A$1</definedName>
    <definedName name="OBLIGOR_NUMBER" localSheetId="1">#REF!</definedName>
    <definedName name="OBLIGOR_NUMBER">#REF!</definedName>
    <definedName name="OBLIGOR_RATING_FROM_MODEL" localSheetId="1">#REF!</definedName>
    <definedName name="OBLIGOR_RATING_FROM_MODEL">#REF!</definedName>
    <definedName name="OBLIGOR_RATING_PER_RM" localSheetId="1">#REF!</definedName>
    <definedName name="OBLIGOR_RATING_PER_RM">#REF!</definedName>
    <definedName name="occcost">#REF!</definedName>
    <definedName name="OF_YRS_OF_AMT_DURING_LOAN">#REF!</definedName>
    <definedName name="OFFICER_ID">#REF!</definedName>
    <definedName name="Old_Equity">#REF!</definedName>
    <definedName name="OMNI_OFFICE_PLU">[18]OMNI!$A$13:$P$47</definedName>
    <definedName name="ONE" localSheetId="1">#REF!</definedName>
    <definedName name="ONE">#REF!</definedName>
    <definedName name="ONELEGEND" localSheetId="1">#REF!</definedName>
    <definedName name="ONELEGEND">#REF!</definedName>
    <definedName name="openperiodterm" localSheetId="1">#REF!</definedName>
    <definedName name="openperiodterm">#REF!</definedName>
    <definedName name="Oper_Income_Analysis">#REF!</definedName>
    <definedName name="OPERATING_EXPENSE">#REF!</definedName>
    <definedName name="OPERATING_INCOME_ASSUMPTIONS">#REF!</definedName>
    <definedName name="OPERATING_STATEMENT">#REF!</definedName>
    <definedName name="OperatingIncomeAssumptions">#REF!</definedName>
    <definedName name="OPT_BORDER">#REF!</definedName>
    <definedName name="OptionFeeAmount">#REF!</definedName>
    <definedName name="OPTIONS">#REF!</definedName>
    <definedName name="originating_correspondent">#REF!</definedName>
    <definedName name="other">[17]CAMINVBU!#REF!</definedName>
    <definedName name="Other_CostFactor" localSheetId="1">#REF!</definedName>
    <definedName name="Other_CostFactor">#REF!</definedName>
    <definedName name="Other_Gross_Revenue" localSheetId="1">#REF!</definedName>
    <definedName name="Other_Gross_Revenue">#REF!</definedName>
    <definedName name="Outstanding_1" localSheetId="1">#REF!</definedName>
    <definedName name="Outstanding_1">#REF!</definedName>
    <definedName name="Outstanding_2">#REF!</definedName>
    <definedName name="Outstanding_3">#REF!</definedName>
    <definedName name="Outstanding_4">#REF!</definedName>
    <definedName name="Outstanding_5">#REF!</definedName>
    <definedName name="Outstanding_6">#REF!</definedName>
    <definedName name="Overhead_Facility_1">#REF!</definedName>
    <definedName name="Overhead_Facility_2">#REF!</definedName>
    <definedName name="Overhead_Facility_3">#REF!</definedName>
    <definedName name="Overhead_Facility_4">#REF!</definedName>
    <definedName name="Overhead_Facility_5">#REF!</definedName>
    <definedName name="Overhead_Facility_6">#REF!</definedName>
    <definedName name="PACIFIC">#REF!</definedName>
    <definedName name="page1">'[2]5CM95'!#REF!</definedName>
    <definedName name="page2" localSheetId="1">#REF!</definedName>
    <definedName name="page2">#REF!</definedName>
    <definedName name="PAID_PRESCRIP">[18]PAIDP!$A$13:$P$49</definedName>
    <definedName name="PandLSummaryPrint" localSheetId="1">#REF!</definedName>
    <definedName name="PandLSummaryPrint">#REF!</definedName>
    <definedName name="parklot" localSheetId="1">[17]CAMINVBU!#REF!</definedName>
    <definedName name="parklot">[17]CAMINVBU!#REF!</definedName>
    <definedName name="PARTICIPATION_" localSheetId="1">#REF!</definedName>
    <definedName name="PARTICIPATION_">#REF!</definedName>
    <definedName name="PARTICIPATION_BASE" localSheetId="1">#REF!</definedName>
    <definedName name="PARTICIPATION_BASE">#REF!</definedName>
    <definedName name="Payment" localSheetId="1">#REF!</definedName>
    <definedName name="Payment">#REF!</definedName>
    <definedName name="payment.Num" localSheetId="1">IF(OR(#REF!="",#REF!='Comparison to Other'!Total_payments),"",#REF!+1)</definedName>
    <definedName name="payment.Num">IF(OR(#REF!="",#REF!=[0]!Total_payments),"",#REF!+1)</definedName>
    <definedName name="Payment_Actual">#REF!</definedName>
    <definedName name="Payment_freq_1">#REF!</definedName>
    <definedName name="Payment_freq_2">#REF!</definedName>
    <definedName name="Payment_freq_3">#REF!</definedName>
    <definedName name="Payment_freq_4">#REF!</definedName>
    <definedName name="Payment_freq_5">#REF!</definedName>
    <definedName name="Payment_freq_6">#REF!</definedName>
    <definedName name="Payment_IO">#REF!</definedName>
    <definedName name="Payment_Schedule_1">#REF!</definedName>
    <definedName name="Payment_Schedule_1D">#REF!</definedName>
    <definedName name="Payment_Schedule_2">#REF!</definedName>
    <definedName name="Payment_Schedule_2D">#REF!</definedName>
    <definedName name="Payment_Schedule_3">#REF!</definedName>
    <definedName name="Payment_Schedule_3D">#REF!</definedName>
    <definedName name="Payment_schedule_4">#REF!</definedName>
    <definedName name="Payment_Schedule_4D">#REF!</definedName>
    <definedName name="Payment_Schedule_5">#REF!</definedName>
    <definedName name="Payment_Schedule_5D">#REF!</definedName>
    <definedName name="Payment_Schedule_6">#REF!</definedName>
    <definedName name="Payment_Schedule_6D">#REF!</definedName>
    <definedName name="Payments_per_year">#REF!</definedName>
    <definedName name="PBK">#REF!</definedName>
    <definedName name="PBL2003A">'[11]CFPBL 2003A Consol'!$A$1</definedName>
    <definedName name="PENALTY" localSheetId="1">#REF!</definedName>
    <definedName name="PENALTY">#REF!</definedName>
    <definedName name="PER_02_05" localSheetId="1">'[3]AVI-JV-PROFORMA'!#REF!</definedName>
    <definedName name="PER_02_05">'[3]AVI-JV-PROFORMA'!#REF!</definedName>
    <definedName name="PER_94" localSheetId="1">'[3]AVI-JV-PROFORMA'!#REF!</definedName>
    <definedName name="PER_94">'[3]AVI-JV-PROFORMA'!#REF!</definedName>
    <definedName name="PER_95" localSheetId="1">#REF!</definedName>
    <definedName name="PER_95">#REF!</definedName>
    <definedName name="PER_96" localSheetId="1">#REF!</definedName>
    <definedName name="PER_96">#REF!</definedName>
    <definedName name="PER_97_01" localSheetId="1">'[3]AVI-JV-PROFORMA'!#REF!</definedName>
    <definedName name="PER_97_01">'[3]AVI-JV-PROFORMA'!#REF!</definedName>
    <definedName name="PER_SGI" localSheetId="1">'[3]AVI-JV-PROFORMA'!#REF!</definedName>
    <definedName name="PER_SGI">'[3]AVI-JV-PROFORMA'!#REF!</definedName>
    <definedName name="Period" localSheetId="1">#REF!</definedName>
    <definedName name="Period">#REF!</definedName>
    <definedName name="Periodic_rate" localSheetId="1">'Comparison to Other'!Annual_interest_rate/[46]!Payments_per_year</definedName>
    <definedName name="Periodic_rate">[0]!Annual_interest_rate/[0]!Payments_per_year</definedName>
    <definedName name="permarm">[15]Assumptions!$F$148</definedName>
    <definedName name="permcreditspread">[15]Assumptions!$F$147</definedName>
    <definedName name="permdscr">[15]Assumptions!$F$145</definedName>
    <definedName name="permloan">'[15]sources &amp; uses'!$M$21</definedName>
    <definedName name="permloanfee">[15]Assumptions!$C$142</definedName>
    <definedName name="permrate">[15]Assumptions!$F$146</definedName>
    <definedName name="pfmanfee">'[11]2004B Assumptions'!$F$8</definedName>
    <definedName name="pfmarketexp">'[11]2004B Assumptions'!$F$6</definedName>
    <definedName name="pfmarketexpfs">'[11]2004B Assumptions'!$F$7</definedName>
    <definedName name="pfstabilization">'[11]2004B Assumptions'!$F$5</definedName>
    <definedName name="Picture">INDIRECT('[47]92329'!#REF!)</definedName>
    <definedName name="PID" localSheetId="1">#REF!</definedName>
    <definedName name="PID">#REF!</definedName>
    <definedName name="PierOne_Rent" localSheetId="1">#REF!</definedName>
    <definedName name="PierOne_Rent">#REF!</definedName>
    <definedName name="PierOne_SF" localSheetId="1">#REF!</definedName>
    <definedName name="PierOne_SF">#REF!</definedName>
    <definedName name="Pilot">#REF!</definedName>
    <definedName name="Pilotgrade_1">#REF!</definedName>
    <definedName name="Pilotgrade_2">#REF!</definedName>
    <definedName name="pilotgrade_3">#REF!</definedName>
    <definedName name="pilotgrade_4">#REF!</definedName>
    <definedName name="pilotgrade_5">#REF!</definedName>
    <definedName name="pilotgrade_6">#REF!</definedName>
    <definedName name="Place_CashBasis">#REF!</definedName>
    <definedName name="Place_CostFactor">#REF!</definedName>
    <definedName name="Place_CRISP_REV">#REF!</definedName>
    <definedName name="Place_FASB">#REF!</definedName>
    <definedName name="Place_Gross_REV">#REF!</definedName>
    <definedName name="Place_Net_REV">#REF!</definedName>
    <definedName name="Place_Term">#REF!</definedName>
    <definedName name="PlanSummaryPrint">#REF!</definedName>
    <definedName name="PMT">#REF!</definedName>
    <definedName name="Pmt_to_use">#REF!</definedName>
    <definedName name="pmta">#REF!</definedName>
    <definedName name="PMTConstant">#REF!</definedName>
    <definedName name="PP_Approval">#REF!</definedName>
    <definedName name="pr">#REF!</definedName>
    <definedName name="Pre_Tax_Keis_Equity_Crd">#REF!</definedName>
    <definedName name="PREFRETURN">[15]Assumptions!$G$23</definedName>
    <definedName name="PrePay_NewLoans_1" localSheetId="1">#REF!</definedName>
    <definedName name="PrePay_NewLoans_1">#REF!</definedName>
    <definedName name="PrePay_NewLoans_2" localSheetId="1">#REF!</definedName>
    <definedName name="PrePay_NewLoans_2">#REF!</definedName>
    <definedName name="PrePay_NewLoans_3" localSheetId="1">#REF!</definedName>
    <definedName name="PrePay_NewLoans_3">#REF!</definedName>
    <definedName name="PrePay_NewLoans_4">#REF!</definedName>
    <definedName name="PrePay_NewLoans_5">#REF!</definedName>
    <definedName name="PrePay_NewLoans_6">#REF!</definedName>
    <definedName name="Prepayment_charge_table">#REF!</definedName>
    <definedName name="Prepayment_Penalty_Factor_1">#REF!</definedName>
    <definedName name="Prepayment_Penalty_Factor_2">#REF!</definedName>
    <definedName name="Prepayment_Penalty_Factor_3">#REF!</definedName>
    <definedName name="Prepayment_Penalty_Factor_4">#REF!</definedName>
    <definedName name="Prepayment_Penalty_Factor_5">#REF!</definedName>
    <definedName name="Prepayment_Penalty_Factor_6">#REF!</definedName>
    <definedName name="prepaymentstring">#REF!</definedName>
    <definedName name="PreTaxIncome_CASH">#REF!</definedName>
    <definedName name="PreTaxIncome_FASB">#REF!</definedName>
    <definedName name="PREWO">#REF!</definedName>
    <definedName name="PRICE">#REF!</definedName>
    <definedName name="PRICE1">#REF!</definedName>
    <definedName name="PricingWAL_1">#REF!</definedName>
    <definedName name="PricingWAL_2">#REF!</definedName>
    <definedName name="PricingWAL_3">#REF!</definedName>
    <definedName name="PricingWAL_4">#REF!</definedName>
    <definedName name="PricingWAL_5">#REF!</definedName>
    <definedName name="PricingWAL_6">#REF!</definedName>
    <definedName name="primeminus_1">#REF!</definedName>
    <definedName name="primeminus_2">#REF!</definedName>
    <definedName name="primeminus_3">#REF!</definedName>
    <definedName name="primeminus_4">#REF!</definedName>
    <definedName name="primeminus_5">#REF!</definedName>
    <definedName name="primeminus_6">#REF!</definedName>
    <definedName name="PRIMEOPTION_Yes_NO_1">#REF!</definedName>
    <definedName name="PRIMEOPTION_Yes_NO_2">#REF!</definedName>
    <definedName name="PRIMEOPTION_Yes_NO_3">#REF!</definedName>
    <definedName name="PRIMEOPTION_Yes_NO_4">#REF!</definedName>
    <definedName name="PRIMEOPTION_Yes_NO_5">#REF!</definedName>
    <definedName name="PRIMEOPTION_Yes_NO_6">#REF!</definedName>
    <definedName name="PRIMESPREAD_1">#REF!</definedName>
    <definedName name="PRIMESPREAD_2">#REF!</definedName>
    <definedName name="PRIMESPREAD_3">#REF!</definedName>
    <definedName name="PRIMESPREAD_4">#REF!</definedName>
    <definedName name="PRIMESPREAD_5">#REF!</definedName>
    <definedName name="PRIMESPREAD_6">#REF!</definedName>
    <definedName name="Principal" localSheetId="1">IF(#REF!&lt;&gt;"",MIN(#REF!,[46]!Pmt_to_use-#REF!),"")</definedName>
    <definedName name="Principal">IF(#REF!&lt;&gt;"",MIN(#REF!,[0]!Pmt_to_use-#REF!),"")</definedName>
    <definedName name="principal_comment">#REF!</definedName>
    <definedName name="Print">#REF!</definedName>
    <definedName name="PRINT_2">#N/A</definedName>
    <definedName name="PRINT_3">#N/A</definedName>
    <definedName name="PRINT_A">#N/A</definedName>
    <definedName name="_xlnm.Print_Area" localSheetId="1">'Comparison to Other'!$A$1:$M$30</definedName>
    <definedName name="_xlnm.Print_Area" localSheetId="2">'Division Calculations'!$A$1:$U$95</definedName>
    <definedName name="_xlnm.Print_Area" localSheetId="0">'Level 0'!$A$1:$L$102</definedName>
    <definedName name="_xlnm.Print_Area">#REF!</definedName>
    <definedName name="PRINT_AREA_MI" localSheetId="1">#REF!</definedName>
    <definedName name="PRINT_AREA_MI">#REF!</definedName>
    <definedName name="Print_Area2" localSheetId="1">#REF!</definedName>
    <definedName name="Print_Area2">#REF!</definedName>
    <definedName name="PRINT_BCCAM">#N/A</definedName>
    <definedName name="PRINT_BCINS">#N/A</definedName>
    <definedName name="PRINT_BCMR">#N/A</definedName>
    <definedName name="PRINT_BCPR">#N/A</definedName>
    <definedName name="PRINT_BCTAX">#N/A</definedName>
    <definedName name="PRINT_D">#N/A</definedName>
    <definedName name="PRINT_DETAILS">#N/A</definedName>
    <definedName name="PRINT_EDET">#N/A</definedName>
    <definedName name="PRINT_ESUM">#N/A</definedName>
    <definedName name="PRINT_EXPENSES">#N/A</definedName>
    <definedName name="PRINT_EXPS">#N/A</definedName>
    <definedName name="PRINT_F">#N/A</definedName>
    <definedName name="PRINT_GDET">#N/A</definedName>
    <definedName name="PRINT_GSUM">#N/A</definedName>
    <definedName name="PRINT_HDET">#N/A</definedName>
    <definedName name="PRINT_HSUM">#N/A</definedName>
    <definedName name="PRINT_IDET">#N/A</definedName>
    <definedName name="PRINT_ISUM">#N/A</definedName>
    <definedName name="PRINT_J">#N/A</definedName>
    <definedName name="PRINT_MARKETING">#N/A</definedName>
    <definedName name="PRINT_MKTG">#N/A</definedName>
    <definedName name="PRINT_OCCUPANAL">#N/A</definedName>
    <definedName name="PRINT_OCCUPANCY">#N/A</definedName>
    <definedName name="PRINT_RATES">#N/A</definedName>
    <definedName name="PRINT_RECRATES">#N/A</definedName>
    <definedName name="PRINT_REV">#N/A</definedName>
    <definedName name="PRINT_REVENUES">#N/A</definedName>
    <definedName name="PRINT_TITLE_MD">#REF!</definedName>
    <definedName name="_xlnm.Print_Titles">#N/A</definedName>
    <definedName name="PRINT_TITLES_MI" localSheetId="1">#REF!</definedName>
    <definedName name="PRINT_TITLES_MI">#REF!</definedName>
    <definedName name="PRINT_UTIL">#N/A</definedName>
    <definedName name="PrintTitles" localSheetId="1">#REF!</definedName>
    <definedName name="PrintTitles">#REF!</definedName>
    <definedName name="Private_Bkg">#REF!</definedName>
    <definedName name="Private_Bkg_Inv">#REF!</definedName>
    <definedName name="proceeds">#REF!</definedName>
    <definedName name="profit">#REF!</definedName>
    <definedName name="ProfitProformaSummaryPrint">#REF!</definedName>
    <definedName name="ProformaNOI">#REF!</definedName>
    <definedName name="proformaoccupancy">[37]Underwriting!#REF!</definedName>
    <definedName name="ProFormaPrint">"Macro1"</definedName>
    <definedName name="ProformaStartDate">[15]Assumptions!$C$13</definedName>
    <definedName name="project">[48]Assumptions!$AA$3</definedName>
    <definedName name="Project_City">[38]Checklist!$C$25</definedName>
    <definedName name="Project_County">'[38]@Salient Data Sheet'!$B$24</definedName>
    <definedName name="Project_Name">[38]Checklist!$A$22</definedName>
    <definedName name="Project_State">[38]Checklist!$C$26</definedName>
    <definedName name="Project_Street_Name">[38]Checklist!$C$24</definedName>
    <definedName name="Project_Street_Number">[38]Checklist!$A$24</definedName>
    <definedName name="Project_Zip">'[38]@Salient Data Sheet'!$B$26</definedName>
    <definedName name="ProjectCost">'[49]sources &amp; uses'!$F$46</definedName>
    <definedName name="ProjectDuration">[50]Formulas!$E$71</definedName>
    <definedName name="Projections">'[51] CF Analysis'!$A$3:$I$71</definedName>
    <definedName name="ProjectName">[15]Assumptions!$C$5</definedName>
    <definedName name="ProLFBRng1" localSheetId="1">#REF!</definedName>
    <definedName name="ProLFBRng1">#REF!</definedName>
    <definedName name="ProLFBRng10" localSheetId="1">#REF!</definedName>
    <definedName name="ProLFBRng10">#REF!</definedName>
    <definedName name="ProLFBRng11" localSheetId="1">#REF!</definedName>
    <definedName name="ProLFBRng11">#REF!</definedName>
    <definedName name="ProLFBRng12">#REF!</definedName>
    <definedName name="ProLFBRng13">#REF!</definedName>
    <definedName name="ProLFBRng14">#REF!</definedName>
    <definedName name="ProLFBRng15">#REF!</definedName>
    <definedName name="ProLFBRng16">#REF!</definedName>
    <definedName name="ProLFBRng17">#REF!</definedName>
    <definedName name="ProLFBRng18">#REF!</definedName>
    <definedName name="ProLFBRng19">#REF!</definedName>
    <definedName name="ProLFBRng2">#REF!</definedName>
    <definedName name="ProLFBRng20">#REF!</definedName>
    <definedName name="ProLFBRng21">#REF!</definedName>
    <definedName name="ProLFBRng22">#REF!</definedName>
    <definedName name="ProLFBRng23">#REF!</definedName>
    <definedName name="ProLFBRng24">#REF!</definedName>
    <definedName name="ProLFBRng25">#REF!</definedName>
    <definedName name="ProLFBRng26">#REF!</definedName>
    <definedName name="ProLFBRng27">#REF!</definedName>
    <definedName name="ProLFBRng28">#REF!</definedName>
    <definedName name="ProLFBRng29">#REF!</definedName>
    <definedName name="ProLFBRng3">#REF!</definedName>
    <definedName name="ProLFBRng30">#REF!</definedName>
    <definedName name="ProLFBRng31">#REF!</definedName>
    <definedName name="ProLFBRng32">#REF!</definedName>
    <definedName name="ProLFBRng33">#REF!</definedName>
    <definedName name="ProLFBRng34">#REF!</definedName>
    <definedName name="ProLFBRng35">#REF!</definedName>
    <definedName name="ProLFBRng36">#REF!</definedName>
    <definedName name="ProLFBRng37">#REF!</definedName>
    <definedName name="ProLFBRng38">#REF!</definedName>
    <definedName name="ProLFBRng39">#REF!</definedName>
    <definedName name="ProLFBRng4">#REF!</definedName>
    <definedName name="ProLFBRng40">#REF!</definedName>
    <definedName name="ProLFBRng5">#REF!</definedName>
    <definedName name="ProLFBRng6">#REF!</definedName>
    <definedName name="ProLFBRng7">#REF!</definedName>
    <definedName name="ProLFBRng8">#REF!</definedName>
    <definedName name="ProLFBRng9">#REF!</definedName>
    <definedName name="property_description">#REF!</definedName>
    <definedName name="Property_taxes_increase">'[3]AVI-JV-PROFORMA'!#REF!</definedName>
    <definedName name="propertyname">'[14]Loan Information'!$C$13</definedName>
    <definedName name="propertysubtype">'[14]Loan Information'!$F$12</definedName>
    <definedName name="propertytype" localSheetId="1">#REF!</definedName>
    <definedName name="propertytype">#REF!</definedName>
    <definedName name="PropName" localSheetId="1">#REF!</definedName>
    <definedName name="PropName">#REF!</definedName>
    <definedName name="PropTaxRate" localSheetId="1">[10]Assumptions!#REF!</definedName>
    <definedName name="PropTaxRate">[10]Assumptions!#REF!</definedName>
    <definedName name="prtaxes" localSheetId="1">[17]CAMINVBU!#REF!</definedName>
    <definedName name="prtaxes">[17]CAMINVBU!#REF!</definedName>
    <definedName name="PRUDENTIAL" localSheetId="1">#REF!</definedName>
    <definedName name="PRUDENTIAL">#REF!</definedName>
    <definedName name="PUB2003A">'[11]CFPUB 2003A Consol'!$A$1</definedName>
    <definedName name="Public_Sector" localSheetId="1">#REF!</definedName>
    <definedName name="Public_Sector">#REF!</definedName>
    <definedName name="PURPOSE">[15]Assumptions!$B$24</definedName>
    <definedName name="RACF_ID" localSheetId="1">#REF!</definedName>
    <definedName name="RACF_ID">#REF!</definedName>
    <definedName name="RaContractorrOtherFeeDesc" localSheetId="1">'[35]Gen Reqs Breakdown'!#REF!</definedName>
    <definedName name="RaContractorrOtherFeeDesc">'[35]Gen Reqs Breakdown'!#REF!</definedName>
    <definedName name="Ralphs_rent" localSheetId="1">#REF!</definedName>
    <definedName name="Ralphs_rent">#REF!</definedName>
    <definedName name="Ralphs_SF" localSheetId="1">#REF!</definedName>
    <definedName name="Ralphs_SF">#REF!</definedName>
    <definedName name="randm" localSheetId="1">[17]CAMINVBU!#REF!</definedName>
    <definedName name="randm">[17]CAMINVBU!#REF!</definedName>
    <definedName name="RAROC_1" localSheetId="1">#REF!</definedName>
    <definedName name="RAROC_1">#REF!</definedName>
    <definedName name="RAROC_2" localSheetId="1">#REF!</definedName>
    <definedName name="RAROC_2">#REF!</definedName>
    <definedName name="RAROC_3" localSheetId="1">#REF!</definedName>
    <definedName name="RAROC_3">#REF!</definedName>
    <definedName name="RAROC_4">#REF!</definedName>
    <definedName name="RAROC_5">#REF!</definedName>
    <definedName name="RAROC_6">#REF!</definedName>
    <definedName name="RATE">#REF!</definedName>
    <definedName name="Rate_Adj_1">#REF!</definedName>
    <definedName name="Rate_Adj_2">#REF!</definedName>
    <definedName name="Rate_Adj_3">#REF!</definedName>
    <definedName name="Rate_Adj_4">#REF!</definedName>
    <definedName name="Rate_Adj_5">#REF!</definedName>
    <definedName name="Rate_Adj_6">#REF!</definedName>
    <definedName name="Rate_buydown_for_yield">#REF!</definedName>
    <definedName name="rate2">#REF!</definedName>
    <definedName name="ratea">#REF!</definedName>
    <definedName name="rateb">#REF!</definedName>
    <definedName name="ratelast">#REF!</definedName>
    <definedName name="Ratelockdate">#REF!</definedName>
    <definedName name="RATES">[19]MVC96!#REF!</definedName>
    <definedName name="Rating" localSheetId="1">#REF!</definedName>
    <definedName name="Rating">#REF!</definedName>
    <definedName name="Recoveries" localSheetId="1">#REF!</definedName>
    <definedName name="Recoveries">#REF!</definedName>
    <definedName name="Recovery_Rate" localSheetId="1">#REF!</definedName>
    <definedName name="Recovery_Rate">#REF!</definedName>
    <definedName name="reference_Month">#REF!</definedName>
    <definedName name="RefiDS">[7]AMORT!$T$6</definedName>
    <definedName name="regulated" localSheetId="1">#REF!</definedName>
    <definedName name="regulated">#REF!</definedName>
    <definedName name="Reinvest_Rate">[13]Assumptions!$G$164</definedName>
    <definedName name="Rel_Min_Hurdle" localSheetId="1">#REF!</definedName>
    <definedName name="Rel_Min_Hurdle">#REF!</definedName>
    <definedName name="Rel_Overhead" localSheetId="1">#REF!</definedName>
    <definedName name="Rel_Overhead">#REF!</definedName>
    <definedName name="Rel_Target_Hurdle" localSheetId="1">#REF!</definedName>
    <definedName name="Rel_Target_Hurdle">#REF!</definedName>
    <definedName name="Relationship_Grade">#REF!</definedName>
    <definedName name="RelationshipROE_1">#REF!</definedName>
    <definedName name="RelationshipROE_2">#REF!</definedName>
    <definedName name="RelationshipROE_3">#REF!</definedName>
    <definedName name="RelationshipROE_4">#REF!</definedName>
    <definedName name="RelationshipROE_5">#REF!</definedName>
    <definedName name="RelationshipROE_6">#REF!</definedName>
    <definedName name="RemarketingFees_GrossRev">#REF!</definedName>
    <definedName name="rent">#REF!</definedName>
    <definedName name="Rent.Roll" localSheetId="1">IF('[52]Amortization Table'!XET1048563&lt;&gt;"",DATE(YEAR('Comparison to Other'!First_payment_due),MONTH('Comparison to Other'!First_payment_due)+('[52]Amortization Table'!XET1048563-1)*12/[46]!Payments_per_year,DAY('Comparison to Other'!First_payment_due)),"")</definedName>
    <definedName name="Rent.Roll">IF('[52]Amortization Table'!XET1048563&lt;&gt;"",DATE(YEAR([0]!First_payment_due),MONTH([0]!First_payment_due)+('[52]Amortization Table'!XET1048563-1)*12/[0]!Payments_per_year,DAY([0]!First_payment_due)),"")</definedName>
    <definedName name="RENT_EXPENSE_ADJUSTMENT">'[3]AVI-JV-PROFORMA'!#REF!</definedName>
    <definedName name="rent2000" localSheetId="1">#REF!</definedName>
    <definedName name="rent2000">#REF!</definedName>
    <definedName name="rent2001" localSheetId="1">#REF!</definedName>
    <definedName name="rent2001">#REF!</definedName>
    <definedName name="rentbasedate">'[15]income stmt yr0'!$B$9</definedName>
    <definedName name="rentgrowth2">[10]Assumptions!#REF!</definedName>
    <definedName name="rentroll" localSheetId="1">IF(#REF!&lt;&gt;"",#REF!*'Comparison to Other'!Periodic_rate,"")</definedName>
    <definedName name="rentroll">IF(#REF!&lt;&gt;"",#REF!*[0]!Periodic_rate,"")</definedName>
    <definedName name="REPORT">#REF!</definedName>
    <definedName name="ReportedLiquidityChg_1">#REF!</definedName>
    <definedName name="ReportedLiquidityChg_2">#REF!</definedName>
    <definedName name="ReportedLiquidityChg_3">#REF!</definedName>
    <definedName name="ReportedLiquidityChg_4">#REF!</definedName>
    <definedName name="ReportedLiquidityChg_5">#REF!</definedName>
    <definedName name="ReportedLiquidityChg_6">#REF!</definedName>
    <definedName name="ReportedLiquidityCredit_1">#REF!</definedName>
    <definedName name="ReportedLiquidityCredit_2">#REF!</definedName>
    <definedName name="ReportedLiquidityCredit_3">#REF!</definedName>
    <definedName name="ReportedLiquidityCredit_4">#REF!</definedName>
    <definedName name="ReportedLiquidityCredit_5">#REF!</definedName>
    <definedName name="ReportedLiquidityCredit_6">#REF!</definedName>
    <definedName name="Reposweep">#REF!</definedName>
    <definedName name="Repurchase_Agrmt">#REF!</definedName>
    <definedName name="Req_Usage_Rate_1">#REF!</definedName>
    <definedName name="Req_Usage_Rate_2">#REF!</definedName>
    <definedName name="Req_Usage_Rate_3">#REF!</definedName>
    <definedName name="Req_Usage_Rate_4">#REF!</definedName>
    <definedName name="Req_Usage_Rate_5">#REF!</definedName>
    <definedName name="Req_Usage_Rate_6">#REF!</definedName>
    <definedName name="reserve">#REF!</definedName>
    <definedName name="Residential">#N/A</definedName>
    <definedName name="ResidentialRE">#REF!</definedName>
    <definedName name="RETURN">#REF!</definedName>
    <definedName name="rev">#REF!</definedName>
    <definedName name="Reviewed_by">#REF!</definedName>
    <definedName name="RevInflation">[4]Assumptions!$G$73</definedName>
    <definedName name="rewqrewqrew">[29]Site!$D$189</definedName>
    <definedName name="rewqrewqrewqrewq">[29]Site!$D$252</definedName>
    <definedName name="rfgdf" localSheetId="1">(VLOOKUP(Grade_3,'Comparison to Other'!fnjh,2))</definedName>
    <definedName name="rfgdf">(VLOOKUP(Grade_3,fnjh,2))</definedName>
    <definedName name="rgaaaa" localSheetId="1">#REF!</definedName>
    <definedName name="rgaaaa">#REF!</definedName>
    <definedName name="rgag" localSheetId="1">#REF!</definedName>
    <definedName name="rgag">#REF!</definedName>
    <definedName name="rgaga" localSheetId="1">#REF!</definedName>
    <definedName name="rgaga">#REF!</definedName>
    <definedName name="rgargaagrge">#REF!</definedName>
    <definedName name="rggaea">#REF!</definedName>
    <definedName name="rgggaa">#REF!</definedName>
    <definedName name="rgtrg">#REF!</definedName>
    <definedName name="RiskCalc_lookup">#REF!</definedName>
    <definedName name="RiskCalc_SCORE">#REF!</definedName>
    <definedName name="RJSTEICHEN">#REF!</definedName>
    <definedName name="RM">#REF!</definedName>
    <definedName name="ROE_STATUS">#REF!</definedName>
    <definedName name="ROITENBERG">#REF!</definedName>
    <definedName name="Rollover_answer">#REF!</definedName>
    <definedName name="romanos">#REF!</definedName>
    <definedName name="RoughGradingCont">[10]Assumptions!#REF!</definedName>
    <definedName name="roy" localSheetId="1">#REF!</definedName>
    <definedName name="roy">#REF!</definedName>
    <definedName name="RR" localSheetId="1">#REF!</definedName>
    <definedName name="RR">#REF!</definedName>
    <definedName name="RR_BORDER" localSheetId="1">#REF!</definedName>
    <definedName name="RR_BORDER">#REF!</definedName>
    <definedName name="ruby">#REF!</definedName>
    <definedName name="rvac">#REF!</definedName>
    <definedName name="RVACANCY">#REF!</definedName>
    <definedName name="Rwvu.ALL." hidden="1">'[6]SCHEDULE B+C'!$DF$1:$DG$65536,'[6]SCHEDULE B+C'!$DK$1:$DK$65536</definedName>
    <definedName name="Rwvu.CAM._.RATES." localSheetId="1" hidden="1">#REF!,#REF!,#REF!</definedName>
    <definedName name="Rwvu.CAM._.RATES." hidden="1">#REF!,#REF!,#REF!</definedName>
    <definedName name="Rwvu.CAM._.RECOVERIES." hidden="1">'[6]SCHEDULE B+C'!$B$1:$C$65536,'[6]SCHEDULE B+C'!$E$1:$BH$65536,'[6]SCHEDULE B+C'!$BX$1:$DM$65536</definedName>
    <definedName name="Rwvu.CAM._.RECOVERY." localSheetId="1" hidden="1">#REF!,#REF!,#REF!</definedName>
    <definedName name="Rwvu.CAM._.RECOVERY." hidden="1">#REF!,#REF!,#REF!</definedName>
    <definedName name="Rwvu.CAM._.TABLE." hidden="1">'[6]SCHEDULE B+C'!$B$1:$C$65536,'[6]SCHEDULE B+C'!$E$1:$BH$65536,'[6]SCHEDULE B+C'!$BX$1:$DM$65536</definedName>
    <definedName name="Rwvu.INSURANCE._.RECOVERIES." hidden="1">'[6]SCHEDULE B+C'!$B$1:$C$65536,'[6]SCHEDULE B+C'!$E$1:$BH$65536,'[6]SCHEDULE B+C'!$BJ$1:$CK$65536,'[6]SCHEDULE B+C'!$CZ$1:$EP$65536</definedName>
    <definedName name="Rwvu.LSMEET." localSheetId="1" hidden="1">#REF!,#REF!,#REF!,#REF!</definedName>
    <definedName name="Rwvu.LSMEET." hidden="1">#REF!,#REF!,#REF!,#REF!</definedName>
    <definedName name="Rwvu.MARKETING._.REVENUE." localSheetId="1" hidden="1">#REF!,#REF!,#REF!</definedName>
    <definedName name="Rwvu.MARKETING._.REVENUE." hidden="1">#REF!,#REF!,#REF!</definedName>
    <definedName name="Rwvu.MINIMUM._.RENT." hidden="1">'[6]SCHEDULE B+C'!$B$1:$C$65536,'[6]SCHEDULE B+C'!$X$1:$DL$65536</definedName>
    <definedName name="Rwvu.OCCUPANCY." localSheetId="1" hidden="1">#REF!,#REF!,#REF!</definedName>
    <definedName name="Rwvu.OCCUPANCY." hidden="1">#REF!,#REF!,#REF!</definedName>
    <definedName name="Rwvu.OCCUPANCY._.ANALYSIS." hidden="1">'[6]SCHEDULE B+C'!$B$1:$C$65536,'[6]SCHEDULE B+C'!$H$1:$AV$65536,'[6]SCHEDULE B+C'!$BJ$1:$FG$65536</definedName>
    <definedName name="Rwvu.PERCENTAGE._.RENT." hidden="1">'[6]SCHEDULE B+C'!$B$1:$C$65536,'[6]SCHEDULE B+C'!$E$1:$W$65536,'[6]SCHEDULE B+C'!$AW$1:$DL$65536</definedName>
    <definedName name="Rwvu.TAX._.RATES." localSheetId="1" hidden="1">#REF!,#REF!,#REF!</definedName>
    <definedName name="Rwvu.TAX._.RATES." hidden="1">#REF!,#REF!,#REF!</definedName>
    <definedName name="Rwvu.TAX._.RECOVERIES." hidden="1">'[6]SCHEDULE B+C'!$B$1:$C$65536,'[6]SCHEDULE B+C'!$E$1:$BH$65536,'[6]SCHEDULE B+C'!$BJ$1:$BW$65536,'[6]SCHEDULE B+C'!$CL$1:$EY$65536</definedName>
    <definedName name="Rwvu.TAX._.RECOVERY." localSheetId="1" hidden="1">#REF!,#REF!,#REF!</definedName>
    <definedName name="Rwvu.TAX._.RECOVERY." hidden="1">#REF!,#REF!,#REF!</definedName>
    <definedName name="Rwvu.WAT." localSheetId="1" hidden="1">#REF!</definedName>
    <definedName name="Rwvu.WAT." hidden="1">#REF!</definedName>
    <definedName name="S_and_U_Input">#REF!</definedName>
    <definedName name="sale">#REF!</definedName>
    <definedName name="SALE_PER" localSheetId="1">'[3]AVI-JV-PROFORMA'!#REF!</definedName>
    <definedName name="SALE_PER">'[3]AVI-JV-PROFORMA'!#REF!</definedName>
    <definedName name="SaleCap">[13]Assumptions!$C$165</definedName>
    <definedName name="saledays" localSheetId="1">#REF!</definedName>
    <definedName name="saledays">#REF!</definedName>
    <definedName name="SALES_PERIOD" localSheetId="1">#REF!</definedName>
    <definedName name="SALES_PERIOD">#REF!</definedName>
    <definedName name="SALES_TEAM" localSheetId="1">#REF!</definedName>
    <definedName name="SALES_TEAM">#REF!</definedName>
    <definedName name="SalesRevInflationPerHome">[50]Formulas!$E$349</definedName>
    <definedName name="SalesTaxPrecentage">'[35]Master2328-All Improvements'!#REF!</definedName>
    <definedName name="SaleYear">[15]Assumptions!$C$168</definedName>
    <definedName name="Sample1">[53]Template!#REF!</definedName>
    <definedName name="SandUsesTaxTreatment">#REF!</definedName>
    <definedName name="sas" localSheetId="1">#REF!</definedName>
    <definedName name="sas">#REF!</definedName>
    <definedName name="SAVANNAH" localSheetId="1">#REF!</definedName>
    <definedName name="SAVANNAH">#REF!</definedName>
    <definedName name="Savings" localSheetId="1">#REF!</definedName>
    <definedName name="Savings">#REF!</definedName>
    <definedName name="SBLCPricing_1">#REF!</definedName>
    <definedName name="SBLCPricing_2">#REF!</definedName>
    <definedName name="SBLCPricing_3">#REF!</definedName>
    <definedName name="SBLCPricing_4">#REF!</definedName>
    <definedName name="SBLCPricing_5">#REF!</definedName>
    <definedName name="SBLCPricing_6">#REF!</definedName>
    <definedName name="Scenario">[15]Assumptions!$F$14</definedName>
    <definedName name="ScenarioDescription">[22]Assumptions!$F$14</definedName>
    <definedName name="Scurve_dist" localSheetId="1">#REF!</definedName>
    <definedName name="Scurve_dist">#REF!</definedName>
    <definedName name="SE_1" localSheetId="1">#REF!</definedName>
    <definedName name="SE_1">#REF!</definedName>
    <definedName name="SE_2" localSheetId="1">#REF!</definedName>
    <definedName name="SE_2">#REF!</definedName>
    <definedName name="SE_3">#REF!</definedName>
    <definedName name="SE_4">#REF!</definedName>
    <definedName name="SE_5">#REF!</definedName>
    <definedName name="SE_6">#REF!</definedName>
    <definedName name="SE_7">#REF!</definedName>
    <definedName name="secsal">[17]CAMINVBU!#REF!</definedName>
    <definedName name="Section_of_Act" localSheetId="1">#REF!</definedName>
    <definedName name="Section_of_Act">#REF!</definedName>
    <definedName name="SecuritiesLending_Gross" localSheetId="1">#REF!</definedName>
    <definedName name="SecuritiesLending_Gross">#REF!</definedName>
    <definedName name="Select_LOB" localSheetId="1">#REF!</definedName>
    <definedName name="Select_LOB">#REF!</definedName>
    <definedName name="Semiannual_netyield">#REF!</definedName>
    <definedName name="sencount" hidden="1">1</definedName>
    <definedName name="Sensitivity1Print">#REF!</definedName>
    <definedName name="Sensitivity2Print">#REF!</definedName>
    <definedName name="SensitivityDataPart1Tables">#REF!</definedName>
    <definedName name="SensitivityDataPart2Tables">#REF!</definedName>
    <definedName name="SensitivityDataTables">#REF!</definedName>
    <definedName name="SensitivityPart1Tables">[4]Assumptions!#REF!</definedName>
    <definedName name="SensitivityPart2Tables">[4]Assumptions!#REF!</definedName>
    <definedName name="SensitivityTables">[4]Assumptions!#REF!</definedName>
    <definedName name="serv">#N/A</definedName>
    <definedName name="servicefee">#REF!</definedName>
    <definedName name="servicing_correspondent">#REF!</definedName>
    <definedName name="SF">#REF!</definedName>
    <definedName name="sfdgfsdg">[9]A!$A$193:$Q$241</definedName>
    <definedName name="SFRATE" localSheetId="1">#REF!</definedName>
    <definedName name="SFRATE">#REF!</definedName>
    <definedName name="SFRATECALC" localSheetId="1">#REF!</definedName>
    <definedName name="SFRATECALC">#REF!</definedName>
    <definedName name="SH2003A">'[11]CFSH 2003A Consol'!$A$1</definedName>
    <definedName name="ShortTermCostInflation">[10]Assumptions!#REF!</definedName>
    <definedName name="ShortTermRevInflation">[10]Assumptions!#REF!</definedName>
    <definedName name="Show.Date" localSheetId="1">IF('[52]Amortization Table'!XET1048563&lt;&gt;"",DATE(YEAR('Comparison to Other'!First_payment_due),MONTH('Comparison to Other'!First_payment_due)+('[52]Amortization Table'!XET1048563-1)*12/[46]!Payments_per_year,DAY('Comparison to Other'!First_payment_due)),"")</definedName>
    <definedName name="Show.Date">IF('[52]Amortization Table'!XET1048563&lt;&gt;"",DATE(YEAR([0]!First_payment_due),MONTH([0]!First_payment_due)+('[52]Amortization Table'!XET1048563-1)*12/[0]!Payments_per_year,DAY([0]!First_payment_due)),"")</definedName>
    <definedName name="SISLEY_EXP">'[17]12_96 CAM'!#REF!</definedName>
    <definedName name="SISLEY_SQ">'[17]12_96 CAM'!#REF!</definedName>
    <definedName name="SKYCOURT" localSheetId="1">#REF!</definedName>
    <definedName name="SKYCOURT">#REF!</definedName>
    <definedName name="snowrem" localSheetId="1">[17]CAMINVBU!#REF!</definedName>
    <definedName name="snowrem">[17]CAMINVBU!#REF!</definedName>
    <definedName name="soa221d3" localSheetId="1">#REF!</definedName>
    <definedName name="soa221d3">#REF!</definedName>
    <definedName name="soa221d4" localSheetId="1">#REF!</definedName>
    <definedName name="soa221d4">#REF!</definedName>
    <definedName name="sources" localSheetId="1">#REF!</definedName>
    <definedName name="sources">#REF!</definedName>
    <definedName name="SOURCES_and_Uses">#REF!</definedName>
    <definedName name="SourceUseCover">#REF!</definedName>
    <definedName name="sponsor_1_net_worth">#REF!</definedName>
    <definedName name="sponsor_2_net_worth">#REF!</definedName>
    <definedName name="sponsor_name_1">#REF!</definedName>
    <definedName name="sponsor_name_2">#REF!</definedName>
    <definedName name="Spread_1">#REF!</definedName>
    <definedName name="Spread_2">#REF!</definedName>
    <definedName name="Spread_3">#REF!</definedName>
    <definedName name="Spread_4">#REF!</definedName>
    <definedName name="Spread_5">#REF!</definedName>
    <definedName name="Spread_6">#REF!</definedName>
    <definedName name="Spread_Lookup">#REF!</definedName>
    <definedName name="SQ_8.00">#REF!</definedName>
    <definedName name="SQ_9.00">#REF!</definedName>
    <definedName name="SqFt">[41]Inputs!$C$6</definedName>
    <definedName name="SqFt2">[41]Inputs!$C$12</definedName>
    <definedName name="ssm" hidden="1">[54]SSMGLA12!$B$168</definedName>
    <definedName name="Standby_1" localSheetId="1">#REF!</definedName>
    <definedName name="Standby_1">#REF!</definedName>
    <definedName name="Standby_2" localSheetId="1">#REF!</definedName>
    <definedName name="Standby_2">#REF!</definedName>
    <definedName name="Standby_3" localSheetId="1">#REF!</definedName>
    <definedName name="Standby_3">#REF!</definedName>
    <definedName name="Standby_4">#REF!</definedName>
    <definedName name="Standby_5">#REF!</definedName>
    <definedName name="Standby_6">#REF!</definedName>
    <definedName name="State">#REF!</definedName>
    <definedName name="Status">#REF!</definedName>
    <definedName name="Status_1">#REF!</definedName>
    <definedName name="Status_2">#REF!</definedName>
    <definedName name="Status_3">#REF!</definedName>
    <definedName name="Status_4">#REF!</definedName>
    <definedName name="Status_5">#REF!</definedName>
    <definedName name="Status_6">#REF!</definedName>
    <definedName name="STEWART_TITLE">'[18]STWRT TTLE'!$A$13:$P$40</definedName>
    <definedName name="Stlinerent" localSheetId="1">#REF!</definedName>
    <definedName name="Stlinerent">#REF!</definedName>
    <definedName name="STONEMURPHY" localSheetId="1">#REF!</definedName>
    <definedName name="STONEMURPHY">#REF!</definedName>
    <definedName name="stop">#N/A</definedName>
    <definedName name="stop2" localSheetId="1" hidden="1">{#N/A,#N/A,TRUE,"Cerritos Gardens";#N/A,#N/A,TRUE,"Cerritos Gardens Plus .5%";#N/A,#N/A,TRUE,"Corte Bella";#N/A,#N/A,TRUE,"Corte Bella Plus .05%";#N/A,#N/A,TRUE,"Crystal Springs";#N/A,#N/A,TRUE,"Crystal Springs Plus .05%"}</definedName>
    <definedName name="stop2" hidden="1">{#N/A,#N/A,TRUE,"Cerritos Gardens";#N/A,#N/A,TRUE,"Cerritos Gardens Plus .5%";#N/A,#N/A,TRUE,"Corte Bella";#N/A,#N/A,TRUE,"Corte Bella Plus .05%";#N/A,#N/A,TRUE,"Crystal Springs";#N/A,#N/A,TRUE,"Crystal Springs Plus .05%"}</definedName>
    <definedName name="stop3" localSheetId="1" hidden="1">{#N/A,#N/A,FALSE,"Release Price";#N/A,#N/A,FALSE,"Cash flow for 50 Unit";#N/A,#N/A,FALSE,"Cash Flow for 3 Models"}</definedName>
    <definedName name="stop3" hidden="1">{#N/A,#N/A,FALSE,"Release Price";#N/A,#N/A,FALSE,"Cash flow for 50 Unit";#N/A,#N/A,FALSE,"Cash Flow for 3 Models"}</definedName>
    <definedName name="StreetNo">[15]Assumptions!$C$7</definedName>
    <definedName name="strengths_comment" localSheetId="1">#REF!</definedName>
    <definedName name="strengths_comment">#REF!</definedName>
    <definedName name="struct_eng" localSheetId="1">#REF!</definedName>
    <definedName name="struct_eng">#REF!</definedName>
    <definedName name="struct_eng_b181" localSheetId="1">#REF!</definedName>
    <definedName name="struct_eng_b181">#REF!</definedName>
    <definedName name="struct_eng_b181_amend">#REF!</definedName>
    <definedName name="struct_eng_blank">#REF!</definedName>
    <definedName name="struct_eng_coi">#REF!</definedName>
    <definedName name="struct_eng_info">#REF!</definedName>
    <definedName name="struct_eng_license">#REF!</definedName>
    <definedName name="struct_eng_quals">#REF!</definedName>
    <definedName name="StructuredFinance">#REF!</definedName>
    <definedName name="SUM">#REF!</definedName>
    <definedName name="Summary">#REF!</definedName>
    <definedName name="summary1">#REF!</definedName>
    <definedName name="Summationvalue">#REF!</definedName>
    <definedName name="summationvalueltv">#REF!</definedName>
    <definedName name="SV2003A">'[11]CFSV 2003A Consol'!$A$1</definedName>
    <definedName name="Sweep" localSheetId="1">#REF!</definedName>
    <definedName name="Sweep">#REF!</definedName>
    <definedName name="Swvu.ALL." localSheetId="1" hidden="1">#REF!</definedName>
    <definedName name="Swvu.ALL." hidden="1">#REF!</definedName>
    <definedName name="Swvu.CAM._.RATES." localSheetId="1" hidden="1">#REF!</definedName>
    <definedName name="Swvu.CAM._.RATES." hidden="1">#REF!</definedName>
    <definedName name="Swvu.CAM._.RECOVERIES." hidden="1">'[6]SCHEDULE B+C'!$BV$162</definedName>
    <definedName name="Swvu.CAM._.RECOVERY." localSheetId="1" hidden="1">#REF!</definedName>
    <definedName name="Swvu.CAM._.RECOVERY." hidden="1">#REF!</definedName>
    <definedName name="Swvu.CAM._.TABLE." hidden="1">'[6]SCHEDULE B+C'!$BW$210</definedName>
    <definedName name="Swvu.INSURANCE._.RECOVERIES." hidden="1">'[6]SCHEDULE B+C'!$CY$159</definedName>
    <definedName name="Swvu.LSMEET." localSheetId="1" hidden="1">#REF!</definedName>
    <definedName name="Swvu.LSMEET." hidden="1">#REF!</definedName>
    <definedName name="Swvu.MARKETING._.REVENUE." localSheetId="1" hidden="1">#REF!</definedName>
    <definedName name="Swvu.MARKETING._.REVENUE." hidden="1">#REF!</definedName>
    <definedName name="Swvu.MINIMUM._.RENT." hidden="1">'[6]SCHEDULE B+C'!$A$1</definedName>
    <definedName name="Swvu.OCCUPANCY." localSheetId="1" hidden="1">#REF!</definedName>
    <definedName name="Swvu.OCCUPANCY." hidden="1">#REF!</definedName>
    <definedName name="Swvu.OCCUPANCY._.ANALYSIS." hidden="1">'[6]SCHEDULE B+C'!$BI$168</definedName>
    <definedName name="Swvu.PERCENTAGE._.RENT." hidden="1">'[6]SCHEDULE B+C'!$G$1:$G$65536</definedName>
    <definedName name="Swvu.TAX._.RATES." localSheetId="1" hidden="1">#REF!</definedName>
    <definedName name="Swvu.TAX._.RATES." hidden="1">#REF!</definedName>
    <definedName name="Swvu.TAX._.RECOVERIES." hidden="1">'[6]SCHEDULE B+C'!$CK$167</definedName>
    <definedName name="Swvu.TAX._.RECOVERY." localSheetId="1" hidden="1">#REF!</definedName>
    <definedName name="Swvu.TAX._.RECOVERY." hidden="1">#REF!</definedName>
    <definedName name="Swvu.WAT." localSheetId="1" hidden="1">#REF!</definedName>
    <definedName name="Swvu.WAT." hidden="1">#REF!</definedName>
    <definedName name="t" localSheetId="1">'Comparison to Other'!Annual_interest_rate/[46]!Payments_per_year</definedName>
    <definedName name="t">[0]!Annual_interest_rate/[0]!Payments_per_year</definedName>
    <definedName name="t_cf_brokerage" localSheetId="1">#REF!</definedName>
    <definedName name="t_cf_brokerage">#REF!</definedName>
    <definedName name="t_cf_business_basic" localSheetId="1">#REF!</definedName>
    <definedName name="t_cf_business_basic">#REF!</definedName>
    <definedName name="t_cf_business_checking" localSheetId="1">#REF!</definedName>
    <definedName name="t_cf_business_checking">#REF!</definedName>
    <definedName name="t_cf_business_money_mkt_ckg">#REF!</definedName>
    <definedName name="t_cf_business_saver">#REF!</definedName>
    <definedName name="t_cf_business_timma">#REF!</definedName>
    <definedName name="t_cf_cash_management">#REF!</definedName>
    <definedName name="t_cf_CD_Less_100K">#REF!</definedName>
    <definedName name="t_cf_CD_more_100k">#REF!</definedName>
    <definedName name="t_cf_ECR_Net_Interest_Margin">#REF!</definedName>
    <definedName name="t_cf_eurosweeps">#REF!</definedName>
    <definedName name="t_cf_Excess_balances">#REF!</definedName>
    <definedName name="t_cf_fx">#REF!</definedName>
    <definedName name="t_cf_interest_bearing_checking">#REF!</definedName>
    <definedName name="t_cf_international">#REF!</definedName>
    <definedName name="t_cf_investmentsweep">#REF!</definedName>
    <definedName name="t_cf_Key_Capital_Partners">#REF!</definedName>
    <definedName name="t_cf_key_global_finance">#REF!</definedName>
    <definedName name="t_cf_key_insurance">#REF!</definedName>
    <definedName name="t_cf_Overdraft_Funding_Charge">#REF!</definedName>
    <definedName name="t_cf_placement_fees">#REF!</definedName>
    <definedName name="t_cf_remarketing_fees">#REF!</definedName>
    <definedName name="t_cf_reposweeps">#REF!</definedName>
    <definedName name="t_cf_savings">#REF!</definedName>
    <definedName name="t_cf_total_access">#REF!</definedName>
    <definedName name="t_cf_trust">#REF!</definedName>
    <definedName name="TABLE">#REF!</definedName>
    <definedName name="Table_1">#REF!</definedName>
    <definedName name="Table_1D">#REF!</definedName>
    <definedName name="Table_2">#REF!</definedName>
    <definedName name="Table_2D">#REF!</definedName>
    <definedName name="Table_3">#REF!</definedName>
    <definedName name="Table_3D">#REF!</definedName>
    <definedName name="Table_4">#REF!</definedName>
    <definedName name="Table_4D">#REF!</definedName>
    <definedName name="Table_5">#REF!</definedName>
    <definedName name="Table_5D">#REF!</definedName>
    <definedName name="Table_6">#REF!</definedName>
    <definedName name="Table_6D">#REF!</definedName>
    <definedName name="Table_beg_bal">#REF!</definedName>
    <definedName name="Table_prior_interest">#REF!</definedName>
    <definedName name="Table_start_date">#REF!</definedName>
    <definedName name="Table_start_pmt">#REF!</definedName>
    <definedName name="Table11M">[4]AdminMonthly!#REF!</definedName>
    <definedName name="Table14M">[4]AdminMonthly!#REF!</definedName>
    <definedName name="Table17M">[4]AdminMonthly!#REF!</definedName>
    <definedName name="Table1AM">[4]AdminMonthly!#REF!</definedName>
    <definedName name="Table1BM">[4]AdminMonthly!#REF!</definedName>
    <definedName name="Table1CM">[4]AdminMonthly!#REF!</definedName>
    <definedName name="Table1DM">[4]AdminMonthly!#REF!</definedName>
    <definedName name="Table1EM">[4]AdminMonthly!#REF!</definedName>
    <definedName name="Table20M">[4]AdminMonthly!#REF!</definedName>
    <definedName name="Table8M">[4]AdminMonthly!#REF!</definedName>
    <definedName name="takedowndelay" localSheetId="1">#REF!</definedName>
    <definedName name="takedowndelay">#REF!</definedName>
    <definedName name="tax">'[3]AVI-JV-PROFORMA'!#REF!</definedName>
    <definedName name="Tax_Rate" localSheetId="1">#REF!</definedName>
    <definedName name="Tax_Rate">#REF!</definedName>
    <definedName name="TAXABLE_INCOME">#REF!</definedName>
    <definedName name="TAXCODES" localSheetId="1">[19]PCR96!#REF!</definedName>
    <definedName name="TAXCODES">[19]PCR96!#REF!</definedName>
    <definedName name="TaxCreditAnalysis">#REF!</definedName>
    <definedName name="Taxes" localSheetId="1">#REF!</definedName>
    <definedName name="Taxes">#REF!</definedName>
    <definedName name="Taxes_CASHBASIS" localSheetId="1">#REF!</definedName>
    <definedName name="Taxes_CASHBASIS">#REF!</definedName>
    <definedName name="Taxes_FASB" localSheetId="1">#REF!</definedName>
    <definedName name="Taxes_FASB">#REF!</definedName>
    <definedName name="taxes2">#REF!</definedName>
    <definedName name="TAXRATES">[19]MVC96!#REF!</definedName>
    <definedName name="TAXTABLE" localSheetId="1">#REF!</definedName>
    <definedName name="TAXTABLE">#REF!</definedName>
    <definedName name="Team_Leader_Approval" localSheetId="1">#REF!</definedName>
    <definedName name="Team_Leader_Approval">#REF!</definedName>
    <definedName name="temp" localSheetId="1">#REF!</definedName>
    <definedName name="temp">#REF!</definedName>
    <definedName name="TemplatePrintArea">#REF!</definedName>
    <definedName name="TempTable12">[4]Formulas!#REF!</definedName>
    <definedName name="TENANT" localSheetId="1">#REF!</definedName>
    <definedName name="TENANT">#REF!</definedName>
    <definedName name="TENSUM" localSheetId="1">#REF!</definedName>
    <definedName name="TENSUM">#REF!</definedName>
    <definedName name="Term">[12]Proforma!$C$45</definedName>
    <definedName name="Term_1" localSheetId="1">#REF!</definedName>
    <definedName name="Term_1">#REF!</definedName>
    <definedName name="Term_2" localSheetId="1">#REF!</definedName>
    <definedName name="Term_2">#REF!</definedName>
    <definedName name="Term_3" localSheetId="1">#REF!</definedName>
    <definedName name="Term_3">#REF!</definedName>
    <definedName name="Term_4">#REF!</definedName>
    <definedName name="Term_5">#REF!</definedName>
    <definedName name="Term_6">#REF!</definedName>
    <definedName name="Term_in_Month1">#REF!</definedName>
    <definedName name="Term_in_Month2">#REF!</definedName>
    <definedName name="Term_in_Month3">#REF!</definedName>
    <definedName name="Term_in_Month4">#REF!</definedName>
    <definedName name="Term_in_Month5">#REF!</definedName>
    <definedName name="Term_in_Month6">#REF!</definedName>
    <definedName name="Term_in_years">#REF!</definedName>
    <definedName name="Term_Lease_1">#REF!</definedName>
    <definedName name="Term_Lease_2">#REF!</definedName>
    <definedName name="Term_Lease_3">#REF!</definedName>
    <definedName name="Term_Lease_4">#REF!</definedName>
    <definedName name="Term_Lease_5">#REF!</definedName>
    <definedName name="Term_Lease_6">#REF!</definedName>
    <definedName name="terma">#REF!</definedName>
    <definedName name="th">#REF!</definedName>
    <definedName name="THREE">#REF!</definedName>
    <definedName name="THREELEGEND">#REF!</definedName>
    <definedName name="TI">'[3]AVI-JV-PROFORMA'!#REF!</definedName>
    <definedName name="tic" localSheetId="1">#REF!</definedName>
    <definedName name="tic">#REF!</definedName>
    <definedName name="tica" localSheetId="1">#REF!</definedName>
    <definedName name="tica">#REF!</definedName>
    <definedName name="TIN_NUMBER" localSheetId="1">#REF!</definedName>
    <definedName name="TIN_NUMBER">#REF!</definedName>
    <definedName name="titles">#REF!</definedName>
    <definedName name="TitleTransferDate">[13]Assumptions!$C$19</definedName>
    <definedName name="toc" localSheetId="1">#REF!</definedName>
    <definedName name="toc">#REF!</definedName>
    <definedName name="TopBalanceQtr" localSheetId="1">#REF!</definedName>
    <definedName name="TopBalanceQtr">#REF!</definedName>
    <definedName name="TopBalanceYr" localSheetId="1">#REF!</definedName>
    <definedName name="TopBalanceYr">#REF!</definedName>
    <definedName name="TopCashFlow">#REF!</definedName>
    <definedName name="TopCashFlowQtr">#REF!</definedName>
    <definedName name="TopCashFlowYr">#REF!</definedName>
    <definedName name="TopPandL">#REF!</definedName>
    <definedName name="TopPandLQtr">#REF!</definedName>
    <definedName name="TopPandLYr">#REF!</definedName>
    <definedName name="TOTAL">'[3]AVI-JV-PROFORMA'!#REF!</definedName>
    <definedName name="total_annualized_rent">'[14]Rent Roll Analysis'!$O$33</definedName>
    <definedName name="total_buydownfee" localSheetId="1">#REF!</definedName>
    <definedName name="total_buydownfee">#REF!</definedName>
    <definedName name="Total_Deposits" localSheetId="1">#REF!</definedName>
    <definedName name="Total_Deposits">#REF!</definedName>
    <definedName name="Total_Equity_Cash" localSheetId="1">#REF!</definedName>
    <definedName name="Total_Equity_Cash">#REF!</definedName>
    <definedName name="Total_Equity_Deriv_Cash">#REF!</definedName>
    <definedName name="Total_Equity_Deriv_FASB">#REF!</definedName>
    <definedName name="Total_Equity_FASB">#REF!</definedName>
    <definedName name="Total_Facilities">#REF!</definedName>
    <definedName name="total_inbeddedfee">#REF!</definedName>
    <definedName name="Total_IPLICOallocation">#REF!</definedName>
    <definedName name="Total_JHLICOallocation">#REF!</definedName>
    <definedName name="Total_JHREallocation">#REF!</definedName>
    <definedName name="Total_JHVTallocation">#REF!</definedName>
    <definedName name="TOTAL_LOAN">#REF!</definedName>
    <definedName name="total_number_units">[37]Underwriting!$C$6</definedName>
    <definedName name="Total_Other_Revenue_Gross" localSheetId="1">#REF!</definedName>
    <definedName name="Total_Other_Revenue_Gross">#REF!</definedName>
    <definedName name="TOTAL_OUTSTANDINGS" localSheetId="1">#REF!</definedName>
    <definedName name="TOTAL_OUTSTANDINGS">#REF!</definedName>
    <definedName name="Total_payments" localSheetId="1">[46]!Payments_per_year*[46]!Term_in_years</definedName>
    <definedName name="Total_payments">[0]!Payments_per_year*[0]!Term_in_years</definedName>
    <definedName name="Total_Reimbursement_Income" localSheetId="1">#REF!</definedName>
    <definedName name="Total_Reimbursement_Income">#REF!</definedName>
    <definedName name="Total_Rental_Revenue" localSheetId="1">#REF!</definedName>
    <definedName name="Total_Rental_Revenue">#REF!</definedName>
    <definedName name="Total_Revenue" localSheetId="1">#REF!</definedName>
    <definedName name="Total_Revenue">#REF!</definedName>
    <definedName name="total_site_improvement_costs">#REF!</definedName>
    <definedName name="Total_VLIallocation">#REF!</definedName>
    <definedName name="TotalAccess">#REF!</definedName>
    <definedName name="totalbuildingcosts">#REF!</definedName>
    <definedName name="totalcommitmentfee">#REF!</definedName>
    <definedName name="TotalCredit_OverUnderTarget">#REF!</definedName>
    <definedName name="TotalCredit_ROA">#REF!</definedName>
    <definedName name="TotalCredit_ROE">#REF!</definedName>
    <definedName name="totaldebtserv">#REF!</definedName>
    <definedName name="TotalDep_CRISP">#REF!</definedName>
    <definedName name="TOTALGLA">#REF!</definedName>
    <definedName name="totallandcosts">#REF!</definedName>
    <definedName name="TotalLandPurchPrice">[55]Assumptions!$F$215</definedName>
    <definedName name="TotalRel_OverUnderTarget" localSheetId="1">#REF!</definedName>
    <definedName name="TotalRel_OverUnderTarget">#REF!</definedName>
    <definedName name="TotalRelationship_ROA" localSheetId="1">#REF!</definedName>
    <definedName name="TotalRelationship_ROA">#REF!</definedName>
    <definedName name="TotalRelationship_ROE" localSheetId="1">#REF!</definedName>
    <definedName name="TotalRelationship_ROE">#REF!</definedName>
    <definedName name="TotalRent">#REF!</definedName>
    <definedName name="TotalSpread_1">#REF!</definedName>
    <definedName name="TotalSpread_2">#REF!</definedName>
    <definedName name="TotalSpread_3">#REF!</definedName>
    <definedName name="TotalSpread_4">#REF!</definedName>
    <definedName name="TotalSpread_5">#REF!</definedName>
    <definedName name="TotalSpread_6">#REF!</definedName>
    <definedName name="TotDep_Rev">#REF!</definedName>
    <definedName name="TotRent">#REF!</definedName>
    <definedName name="Transaction_Penalty_1">#REF!</definedName>
    <definedName name="Transaction_Penalty_2">#REF!</definedName>
    <definedName name="Transaction_Penalty_3">#REF!</definedName>
    <definedName name="Transaction_Penalty_4">#REF!</definedName>
    <definedName name="Transaction_Penalty_5">#REF!</definedName>
    <definedName name="Transaction_Penalty_6">#REF!</definedName>
    <definedName name="TRANSAMERICA">[18]TRNSMRCA!$A$13:$P$44</definedName>
    <definedName name="trdep" localSheetId="1">#REF!</definedName>
    <definedName name="trdep">#REF!</definedName>
    <definedName name="TREASH" localSheetId="1">#REF!</definedName>
    <definedName name="TREASH">#REF!</definedName>
    <definedName name="TREASL" localSheetId="1">#REF!</definedName>
    <definedName name="TREASL">#REF!</definedName>
    <definedName name="TRESMANN">#REF!</definedName>
    <definedName name="trrate">#REF!</definedName>
    <definedName name="Trust_GrossRev">#REF!</definedName>
    <definedName name="trustee">#REF!</definedName>
    <definedName name="TSP">#REF!</definedName>
    <definedName name="ttt" localSheetId="1">(VLOOKUP(Grade_6,'Comparison to Other'!fnjh,2))</definedName>
    <definedName name="ttt">(VLOOKUP(Grade_6,fnjh,2))</definedName>
    <definedName name="TWO" localSheetId="1">#REF!</definedName>
    <definedName name="TWO">#REF!</definedName>
    <definedName name="TWO_S_PROP">[18]TWOS!$A$13:$P$45</definedName>
    <definedName name="TWOLEGEND" localSheetId="1">#REF!</definedName>
    <definedName name="TWOLEGEND">#REF!</definedName>
    <definedName name="UMM" localSheetId="1">#REF!</definedName>
    <definedName name="UMM">#REF!</definedName>
    <definedName name="underwrittenbaserent">[37]Underwriting!$F$11</definedName>
    <definedName name="underwrittenltv" localSheetId="1">#REF!</definedName>
    <definedName name="underwrittenltv">#REF!</definedName>
    <definedName name="UnderwrittenNOI" localSheetId="1">#REF!</definedName>
    <definedName name="UnderwrittenNOI">#REF!</definedName>
    <definedName name="UNIT">'[56]income buildup'!$E$17</definedName>
    <definedName name="UnitNo">[15]Assumptions!$C$6</definedName>
    <definedName name="UNITS" localSheetId="1">#REF!</definedName>
    <definedName name="UNITS">#REF!</definedName>
    <definedName name="Units1" localSheetId="1">#REF!</definedName>
    <definedName name="Units1">#REF!</definedName>
    <definedName name="Units1a">[29]Site!$D$5</definedName>
    <definedName name="Units2">[57]Bldg!$D$5</definedName>
    <definedName name="Units2a" localSheetId="1">#REF!</definedName>
    <definedName name="Units2a">#REF!</definedName>
    <definedName name="Units2a2">[57]Bldg!#REF!</definedName>
    <definedName name="Units2b" localSheetId="1">#REF!</definedName>
    <definedName name="Units2b">#REF!</definedName>
    <definedName name="Units2c" localSheetId="1">#REF!</definedName>
    <definedName name="Units2c">#REF!</definedName>
    <definedName name="Units2c2" localSheetId="1">[57]Bldg!#REF!</definedName>
    <definedName name="Units2c2">[57]Bldg!#REF!</definedName>
    <definedName name="Units3" localSheetId="1">#REF!</definedName>
    <definedName name="Units3">#REF!</definedName>
    <definedName name="unittype22" localSheetId="1">'[58]Rent Roll Analysis'!#REF!</definedName>
    <definedName name="unittype22">'[58]Rent Roll Analysis'!#REF!</definedName>
    <definedName name="UnleveredIRR" localSheetId="1">#REF!</definedName>
    <definedName name="UnleveredIRR">#REF!</definedName>
    <definedName name="Unused_Lookup" localSheetId="1">#REF!</definedName>
    <definedName name="Unused_Lookup">#REF!</definedName>
    <definedName name="UpfrontFees_1" localSheetId="1">#REF!</definedName>
    <definedName name="UpfrontFees_1">#REF!</definedName>
    <definedName name="UpfrontFees_2">#REF!</definedName>
    <definedName name="UpfrontFees_3">#REF!</definedName>
    <definedName name="UpfrontFees_4">#REF!</definedName>
    <definedName name="UpfrontFees_5">#REF!</definedName>
    <definedName name="UpfrontFees_6">#REF!</definedName>
    <definedName name="US_WEST">#REF!</definedName>
    <definedName name="Usage_Rate_1">#REF!</definedName>
    <definedName name="Usage_Rate_2">#REF!</definedName>
    <definedName name="Usage_Rate_3">#REF!</definedName>
    <definedName name="Usage_Rate_4">#REF!</definedName>
    <definedName name="Usage_Rate_5">#REF!</definedName>
    <definedName name="Usage_Rate_6">#REF!</definedName>
    <definedName name="Use_Notes">#REF!</definedName>
    <definedName name="use_of_Funds">#REF!</definedName>
    <definedName name="Use_of_funds_amount">#REF!</definedName>
    <definedName name="USES">'[15]sources &amp; uses'!$F$44</definedName>
    <definedName name="UseTable" localSheetId="1">#REF!</definedName>
    <definedName name="UseTable">#REF!</definedName>
    <definedName name="util" localSheetId="1">[17]CAMINVBU!#REF!</definedName>
    <definedName name="util">[17]CAMINVBU!#REF!</definedName>
    <definedName name="UW_Rate">[41]Inputs!$C$19</definedName>
    <definedName name="Vacancy" localSheetId="1">#REF!</definedName>
    <definedName name="Vacancy">#REF!</definedName>
    <definedName name="VACANCY_EXPENSE" localSheetId="1">#REF!</definedName>
    <definedName name="VACANCY_EXPENSE">#REF!</definedName>
    <definedName name="vacancy1">[15]Assumptions!$C$71</definedName>
    <definedName name="vacancy2">[15]Assumptions!$D$71</definedName>
    <definedName name="vacancy3">[15]Assumptions!$E$71</definedName>
    <definedName name="valuation_comment" localSheetId="1">#REF!</definedName>
    <definedName name="valuation_comment">#REF!</definedName>
    <definedName name="ValuationCap">[15]Assumptions!$C$164</definedName>
    <definedName name="Value">[12]Proforma!$G$22</definedName>
    <definedName name="Value_SF">[12]Proforma!$G$38</definedName>
    <definedName name="VarianceBasePrice">[10]Assumptions!#REF!</definedName>
    <definedName name="VarianceDirConstCost">[10]Assumptions!#REF!</definedName>
    <definedName name="VarianceMasterImp">[10]Assumptions!#REF!</definedName>
    <definedName name="VarianceSiteDevCost">[10]Assumptions!#REF!</definedName>
    <definedName name="Version">[4]Project!$D$4</definedName>
    <definedName name="Version_ROEModel" localSheetId="1">#REF!</definedName>
    <definedName name="Version_ROEModel">#REF!</definedName>
    <definedName name="VFP" localSheetId="1">#REF!</definedName>
    <definedName name="VFP">#REF!</definedName>
    <definedName name="VFPLC" localSheetId="1">#REF!</definedName>
    <definedName name="VFPLC">#REF!</definedName>
    <definedName name="VictoryFund_Gross">#REF!</definedName>
    <definedName name="VLI_account1">#REF!</definedName>
    <definedName name="VLI_account2">#REF!</definedName>
    <definedName name="VLI_account3">#REF!</definedName>
    <definedName name="VLI_account4">#REF!</definedName>
    <definedName name="VLI_account5">#REF!</definedName>
    <definedName name="VLI_account6">#REF!</definedName>
    <definedName name="VLI_loanamt1">#REF!</definedName>
    <definedName name="VLI_loanamt2">#REF!</definedName>
    <definedName name="VLI_loanamt3">#REF!</definedName>
    <definedName name="VLI_loanamt4">#REF!</definedName>
    <definedName name="VLI_loanamt5">#REF!</definedName>
    <definedName name="VLI_loanamt6">#REF!</definedName>
    <definedName name="Votedate">#REF!</definedName>
    <definedName name="VV2003A">'[11]CFVV 2003A Consol'!$A$1</definedName>
    <definedName name="WADE\" localSheetId="1">#REF!</definedName>
    <definedName name="WADE\">#REF!</definedName>
    <definedName name="WALDEN_14_15">[18]WALDEN!$A$13:$P$53</definedName>
    <definedName name="WALDEN_7TH">[18]WALDENEXP!$A$13:$P$40</definedName>
    <definedName name="weaknesses_comment" localSheetId="1">#REF!</definedName>
    <definedName name="weaknesses_comment">#REF!</definedName>
    <definedName name="Wealth" localSheetId="1">#REF!</definedName>
    <definedName name="Wealth">#REF!</definedName>
    <definedName name="Weighted_Avg_1" localSheetId="1">#REF!</definedName>
    <definedName name="Weighted_Avg_1">#REF!</definedName>
    <definedName name="Weighted_Avg_1D">#REF!</definedName>
    <definedName name="Weighted_Avg_1D_for_Equity">#REF!</definedName>
    <definedName name="Weighted_Avg_1E_for_Equity">#REF!</definedName>
    <definedName name="Weighted_Avg_1f_for_Equity">#REF!</definedName>
    <definedName name="Weighted_Avg_1g_for_Equity">#REF!</definedName>
    <definedName name="Weighted_Avg_1h_for_Equity">#REF!</definedName>
    <definedName name="Weighted_Avg_1i_for_Equity">#REF!</definedName>
    <definedName name="Weighted_Avg_2">#REF!</definedName>
    <definedName name="Weighted_Avg_2D">#REF!</definedName>
    <definedName name="Weighted_Avg_3">#REF!</definedName>
    <definedName name="Weighted_Avg_3D">#REF!</definedName>
    <definedName name="Weighted_Avg_4">#REF!</definedName>
    <definedName name="Weighted_Avg_4D">#REF!</definedName>
    <definedName name="Weighted_Avg_5">#REF!</definedName>
    <definedName name="Weighted_Avg_5D">#REF!</definedName>
    <definedName name="Weighted_Avg_6">#REF!</definedName>
    <definedName name="Weighted_Avg_6D">#REF!</definedName>
    <definedName name="wescst">#REF!</definedName>
    <definedName name="WEST">#REF!</definedName>
    <definedName name="WH2003A">'[11]CFWH 2003A Consol'!$A$1</definedName>
    <definedName name="Whole_Rel_Grade" localSheetId="1">#REF!</definedName>
    <definedName name="Whole_Rel_Grade">#REF!</definedName>
    <definedName name="Wholegrade_1" localSheetId="1">#REF!</definedName>
    <definedName name="Wholegrade_1">#REF!</definedName>
    <definedName name="Wholegrade_2" localSheetId="1">#REF!</definedName>
    <definedName name="Wholegrade_2">#REF!</definedName>
    <definedName name="Wholegrade_3">#REF!</definedName>
    <definedName name="Wholegrade_4">#REF!</definedName>
    <definedName name="Wholegrade_5">#REF!</definedName>
    <definedName name="Wholegrade_6">#REF!</definedName>
    <definedName name="wrn.ALL." localSheetId="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CGR." localSheetId="1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ONDO." localSheetId="1" hidden="1">{#N/A,#N/A,FALSE,"SPCondo"}</definedName>
    <definedName name="wrn.CONDO." hidden="1">{#N/A,#N/A,FALSE,"SPCondo"}</definedName>
    <definedName name="wrn.DETAIL._.SCHEDULES." localSheetId="1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FORESTPARK." localSheetId="1" hidden="1">{#N/A,#N/A,FALSE,"ForestPark"}</definedName>
    <definedName name="wrn.FORESTPARK." hidden="1">{#N/A,#N/A,FALSE,"ForestPark"}</definedName>
    <definedName name="wrn.LC." localSheetId="1" hidden="1">{"LCPR",#N/A,TRUE,"LC"}</definedName>
    <definedName name="wrn.LC." hidden="1">{"LCPR",#N/A,TRUE,"LC"}</definedName>
    <definedName name="wrn.LETTERED.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MARKETING." localSheetId="1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INRENT." localSheetId="1" hidden="1">{"MINRENT2",#N/A,FALSE,"SCHEDULE B"}</definedName>
    <definedName name="wrn.MINRENT." hidden="1">{"MINRENT2",#N/A,FALSE,"SCHEDULE B"}</definedName>
    <definedName name="wrn.PERCENTAGE._.RENT." localSheetId="1" hidden="1">{"PERCENTAGE RENT",#N/A,TRUE,"SCHEDULE B"}</definedName>
    <definedName name="wrn.PERCENTAGE._.RENT." hidden="1">{"PERCENTAGE RENT",#N/A,TRUE,"SCHEDULE B"}</definedName>
    <definedName name="wrn.Print." localSheetId="1" hidden="1">{#N/A,#N/A,TRUE,"Cerritos Gardens";#N/A,#N/A,TRUE,"Cerritos Gardens Plus .5%";#N/A,#N/A,TRUE,"Corte Bella";#N/A,#N/A,TRUE,"Corte Bella Plus .05%";#N/A,#N/A,TRUE,"Crystal Springs";#N/A,#N/A,TRUE,"Crystal Springs Plus .05%"}</definedName>
    <definedName name="wrn.Print." hidden="1">{#N/A,#N/A,TRUE,"Cerritos Gardens";#N/A,#N/A,TRUE,"Cerritos Gardens Plus .5%";#N/A,#N/A,TRUE,"Corte Bella";#N/A,#N/A,TRUE,"Corte Bella Plus .05%";#N/A,#N/A,TRUE,"Crystal Springs";#N/A,#N/A,TRUE,"Crystal Springs Plus .05%"}</definedName>
    <definedName name="wrn.Projections." localSheetId="1" hidden="1">{#N/A,#N/A,FALSE,"Release Price";#N/A,#N/A,FALSE,"Cash flow for 50 Unit";#N/A,#N/A,FALSE,"Cash Flow for 3 Models"}</definedName>
    <definedName name="wrn.Projections." hidden="1">{#N/A,#N/A,FALSE,"Release Price";#N/A,#N/A,FALSE,"Cash flow for 50 Unit";#N/A,#N/A,FALSE,"Cash Flow for 3 Models"}</definedName>
    <definedName name="wrn.RATES." localSheetId="1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SCHAs." localSheetId="1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EDULE._.H." localSheetId="1" hidden="1">{"ACCOUNT DETAIL",#N/A,FALSE,"SCHEDULE E";"ACCOUNT DETAIL",#N/A,FALSE,"SCHEDULE G";"ACCOUNT DETAIL",#N/A,FALSE,"SCHEDULE H";"ACCOUNT DETAIL",#N/A,FALSE,"SCHEDULE I"}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_.ABC." localSheetId="1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P2." localSheetId="1" hidden="1">{#N/A,#N/A,FALSE,"SP2"}</definedName>
    <definedName name="wrn.SP2." hidden="1">{#N/A,#N/A,FALSE,"SP2"}</definedName>
    <definedName name="wrn.TEST." localSheetId="1" hidden="1">{#N/A,#N/A,FALSE,"SCHEDULE G"}</definedName>
    <definedName name="wrn.TEST." hidden="1">{#N/A,#N/A,FALSE,"SCHEDULE G"}</definedName>
    <definedName name="wrr">#REF!</definedName>
    <definedName name="WSP">#REF!</definedName>
    <definedName name="wsplc">#REF!</definedName>
    <definedName name="wvu.ALL." localSheetId="1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CAM._.RATES." localSheetId="1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localSheetId="1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LSMEET." localSheetId="1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localSheetId="1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localSheetId="1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localSheetId="1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PERCENTAGE._.RENT." localSheetId="1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TAX._.RATES." localSheetId="1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localSheetId="1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ww">#REF!</definedName>
    <definedName name="xxfgg">#REF!</definedName>
    <definedName name="YearBooked_1">#REF!</definedName>
    <definedName name="YearBooked_2">#REF!</definedName>
    <definedName name="YearBooked_3">#REF!</definedName>
    <definedName name="YearBooked_4">#REF!</definedName>
    <definedName name="YearBooked_5">#REF!</definedName>
    <definedName name="YearBooked_6">#REF!</definedName>
    <definedName name="Years_amortized_1">#REF!</definedName>
    <definedName name="Years_amortized_1D">#REF!</definedName>
    <definedName name="Years_amortized_2">#REF!</definedName>
    <definedName name="Years_amortized_2D">#REF!</definedName>
    <definedName name="Years_amortized_3">#REF!</definedName>
    <definedName name="Years_amortized_3D">#REF!</definedName>
    <definedName name="Years_amortized_4">#REF!</definedName>
    <definedName name="Years_amortized_4D">#REF!</definedName>
    <definedName name="Years_amortized_5">#REF!</definedName>
    <definedName name="Years_amortized_5D">#REF!</definedName>
    <definedName name="Years_amortized_6">#REF!</definedName>
    <definedName name="Years_amortized_6D">#REF!</definedName>
    <definedName name="yield1">#REF!</definedName>
    <definedName name="yield2">#REF!</definedName>
    <definedName name="yieldmaint_name1">#REF!</definedName>
    <definedName name="yieldmaint_name10">#REF!</definedName>
    <definedName name="yieldmaint_name11">#REF!</definedName>
    <definedName name="yieldmaint_name12">#REF!</definedName>
    <definedName name="yieldmaint_name13">#REF!</definedName>
    <definedName name="yieldmaint_name14">#REF!</definedName>
    <definedName name="yieldmaint_name15">#REF!</definedName>
    <definedName name="yieldmaint_name16">#REF!</definedName>
    <definedName name="yieldmaint_name2">#REF!</definedName>
    <definedName name="yieldmaint_name3">#REF!</definedName>
    <definedName name="yieldmaint_name4">#REF!</definedName>
    <definedName name="yieldmaint_name5">#REF!</definedName>
    <definedName name="yieldmaint_name6">#REF!</definedName>
    <definedName name="yieldmaint_name7">#REF!</definedName>
    <definedName name="yieldmaint_name8">#REF!</definedName>
    <definedName name="yieldmaint_name9">#REF!</definedName>
    <definedName name="yieldtype1">#REF!</definedName>
    <definedName name="yieldtype10">#REF!</definedName>
    <definedName name="yieldtype11">#REF!</definedName>
    <definedName name="yieldtype12">#REF!</definedName>
    <definedName name="yieldtype13">#REF!</definedName>
    <definedName name="yieldtype14">#REF!</definedName>
    <definedName name="yieldtype15">#REF!</definedName>
    <definedName name="yieldtype16">#REF!</definedName>
    <definedName name="yieldtype2">#REF!</definedName>
    <definedName name="yieldtype3">#REF!</definedName>
    <definedName name="yieldtype4">#REF!</definedName>
    <definedName name="yieldtype5">#REF!</definedName>
    <definedName name="yieldtype6">#REF!</definedName>
    <definedName name="yieldtype7">#REF!</definedName>
    <definedName name="yieldtype8">#REF!</definedName>
    <definedName name="yieldtype9">#REF!</definedName>
    <definedName name="yjfy" localSheetId="1" hidden="1">{#N/A,#N/A,FALSE,"Release Price";#N/A,#N/A,FALSE,"Cash flow for 50 Unit";#N/A,#N/A,FALSE,"Cash Flow for 3 Models"}</definedName>
    <definedName name="yjfy" hidden="1">{#N/A,#N/A,FALSE,"Release Price";#N/A,#N/A,FALSE,"Cash flow for 50 Unit";#N/A,#N/A,FALSE,"Cash Flow for 3 Models"}</definedName>
    <definedName name="Z">'[17]12_96 CAM'!#REF!</definedName>
    <definedName name="Z_28BDDCCC_2551_11D1_BD8E_0020AF42250B_.wvu.Cols" localSheetId="1" hidden="1">#REF!,#REF!,#REF!</definedName>
    <definedName name="Z_28BDDCCC_2551_11D1_BD8E_0020AF42250B_.wvu.Cols" hidden="1">#REF!,#REF!,#REF!</definedName>
    <definedName name="Z_28BDDCCD_2551_11D1_BD8E_0020AF42250B_.wvu.Cols" localSheetId="1" hidden="1">#REF!,#REF!,#REF!</definedName>
    <definedName name="Z_28BDDCCD_2551_11D1_BD8E_0020AF42250B_.wvu.Cols" hidden="1">#REF!,#REF!,#REF!</definedName>
    <definedName name="Z_28BDDCCF_2551_11D1_BD8E_0020AF42250B_.wvu.Cols" localSheetId="1" hidden="1">#REF!,#REF!,#REF!,#REF!</definedName>
    <definedName name="Z_28BDDCCF_2551_11D1_BD8E_0020AF42250B_.wvu.Cols" hidden="1">#REF!,#REF!,#REF!,#REF!</definedName>
    <definedName name="Z_28BDDCD0_2551_11D1_BD8E_0020AF42250B_.wvu.Cols" localSheetId="1" hidden="1">#REF!,#REF!,#REF!</definedName>
    <definedName name="Z_28BDDCD0_2551_11D1_BD8E_0020AF42250B_.wvu.Cols" hidden="1">#REF!,#REF!,#REF!</definedName>
    <definedName name="Z_28BDDCD1_2551_11D1_BD8E_0020AF42250B_.wvu.Cols" localSheetId="1" hidden="1">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localSheetId="1" hidden="1">#REF!,#REF!,#REF!,#REF!</definedName>
    <definedName name="Z_28BDDCD3_2551_11D1_BD8E_0020AF42250B_.wvu.Cols" hidden="1">#REF!,#REF!,#REF!,#REF!</definedName>
    <definedName name="Z_28BDDCD8_2551_11D1_BD8E_0020AF42250B_.wvu.Cols" localSheetId="1" hidden="1">#REF!,#REF!,#REF!</definedName>
    <definedName name="Z_28BDDCD8_2551_11D1_BD8E_0020AF42250B_.wvu.Cols" hidden="1">#REF!,#REF!,#REF!</definedName>
    <definedName name="Z_28BDDCD9_2551_11D1_BD8E_0020AF42250B_.wvu.Cols" localSheetId="1" hidden="1">#REF!,#REF!,#REF!</definedName>
    <definedName name="Z_28BDDCD9_2551_11D1_BD8E_0020AF42250B_.wvu.Cols" hidden="1">#REF!,#REF!,#REF!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localSheetId="1" hidden="1">#REF!,#REF!,#REF!,#REF!</definedName>
    <definedName name="Z_38B66625_465C_11D1_8554_0080C7F00AC6_.wvu.Cols" hidden="1">#REF!,#REF!,#REF!,#REF!</definedName>
    <definedName name="Z_38B66626_465C_11D1_8554_0080C7F00AC6_.wvu.Cols" localSheetId="1" hidden="1">#REF!,#REF!,#REF!</definedName>
    <definedName name="Z_38B66626_465C_11D1_8554_0080C7F00AC6_.wvu.Cols" hidden="1">#REF!,#REF!,#REF!</definedName>
    <definedName name="Z_38B66627_465C_11D1_8554_0080C7F00AC6_.wvu.Cols" localSheetId="1" hidden="1">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localSheetId="1" hidden="1">#REF!,#REF!,#REF!,#REF!,#REF!,#REF!,#REF!</definedName>
    <definedName name="Z_6ECC8A60_F873_11D0_BD29_0020AF42250B_.wvu.Cols" hidden="1">#REF!,#REF!,#REF!,#REF!,#REF!,#REF!,#REF!</definedName>
    <definedName name="Z_6ECC8A65_F873_11D0_BD29_0020AF42250B_.wvu.Cols" localSheetId="1" hidden="1">#REF!,#REF!,#REF!</definedName>
    <definedName name="Z_6ECC8A65_F873_11D0_BD29_0020AF42250B_.wvu.Cols" hidden="1">#REF!,#REF!,#REF!</definedName>
    <definedName name="Z_6ECC8A66_F873_11D0_BD29_0020AF42250B_.wvu.Cols" localSheetId="1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localSheetId="1" hidden="1">#REF!,#REF!,#REF!,#REF!,#REF!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df">#REF!</definedName>
    <definedName name="zeta_lookup">#REF!</definedName>
    <definedName name="ZETA_SCORE">#REF!</definedName>
    <definedName name="zvssd">#N/A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" l="1"/>
  <c r="P18" i="3"/>
  <c r="D29" i="7"/>
  <c r="D26" i="7"/>
  <c r="D25" i="7"/>
  <c r="D24" i="7"/>
  <c r="D23" i="7"/>
  <c r="D22" i="7"/>
  <c r="D21" i="7"/>
  <c r="D20" i="7"/>
  <c r="D19" i="7"/>
  <c r="D18" i="7"/>
  <c r="D16" i="7"/>
  <c r="D15" i="7"/>
  <c r="D14" i="7"/>
  <c r="D13" i="7"/>
  <c r="D12" i="7"/>
  <c r="D11" i="7"/>
  <c r="D10" i="7"/>
  <c r="D9" i="7"/>
  <c r="D8" i="7"/>
  <c r="J68" i="1"/>
  <c r="J65" i="1"/>
  <c r="H13" i="7"/>
  <c r="E75" i="1" l="1"/>
  <c r="D51" i="1"/>
  <c r="E42" i="1"/>
  <c r="E38" i="1"/>
  <c r="D37" i="1"/>
  <c r="D21" i="1"/>
  <c r="J7" i="1"/>
  <c r="D67" i="1" l="1"/>
  <c r="D63" i="1"/>
  <c r="D59" i="1"/>
  <c r="D55" i="1"/>
  <c r="D46" i="1"/>
  <c r="D41" i="1"/>
  <c r="D40" i="1"/>
  <c r="D34" i="1"/>
  <c r="D31" i="1"/>
  <c r="D27" i="1"/>
  <c r="D23" i="1"/>
  <c r="D17" i="1"/>
  <c r="J5" i="1" l="1"/>
  <c r="D30" i="1"/>
  <c r="H7" i="3" l="1"/>
  <c r="H8" i="3"/>
  <c r="H9" i="3"/>
  <c r="H10" i="3"/>
  <c r="H12" i="3"/>
  <c r="H13" i="3"/>
  <c r="H14" i="3"/>
  <c r="H15" i="3"/>
  <c r="H16" i="3"/>
  <c r="H18" i="3"/>
  <c r="H19" i="3"/>
  <c r="H20" i="3"/>
  <c r="H22" i="3"/>
  <c r="H23" i="3"/>
  <c r="H24" i="3"/>
  <c r="H26" i="3"/>
  <c r="H27" i="3"/>
  <c r="H29" i="3"/>
  <c r="H30" i="3"/>
  <c r="H31" i="3"/>
  <c r="H32" i="3"/>
  <c r="H33" i="3"/>
  <c r="H35" i="3"/>
  <c r="H36" i="3"/>
  <c r="H37" i="3"/>
  <c r="H38" i="3"/>
  <c r="H39" i="3"/>
  <c r="H41" i="3"/>
  <c r="H42" i="3"/>
  <c r="H43" i="3"/>
  <c r="H45" i="3"/>
  <c r="H46" i="3"/>
  <c r="H47" i="3"/>
  <c r="H48" i="3"/>
  <c r="H50" i="3"/>
  <c r="H51" i="3"/>
  <c r="H52" i="3"/>
  <c r="H54" i="3"/>
  <c r="H55" i="3"/>
  <c r="H56" i="3"/>
  <c r="H58" i="3"/>
  <c r="H59" i="3"/>
  <c r="H60" i="3"/>
  <c r="H62" i="3"/>
  <c r="H63" i="3"/>
  <c r="H65" i="3"/>
  <c r="H66" i="3"/>
  <c r="H67" i="3"/>
  <c r="H68" i="3"/>
  <c r="H69" i="3"/>
  <c r="H71" i="3"/>
  <c r="H72" i="3"/>
  <c r="H73" i="3"/>
  <c r="H74" i="3"/>
  <c r="H75" i="3"/>
  <c r="H76" i="3"/>
  <c r="H77" i="3"/>
  <c r="H78" i="3"/>
  <c r="H80" i="3"/>
  <c r="H81" i="3"/>
  <c r="H82" i="3"/>
  <c r="H83" i="3"/>
  <c r="H84" i="3"/>
  <c r="H85" i="3"/>
  <c r="H86" i="3"/>
  <c r="H87" i="3"/>
  <c r="H89" i="3"/>
  <c r="H90" i="3"/>
  <c r="H91" i="3"/>
  <c r="H93" i="3"/>
  <c r="H94" i="3"/>
  <c r="H6" i="3"/>
  <c r="L7" i="3"/>
  <c r="M7" i="3"/>
  <c r="L8" i="3"/>
  <c r="M8" i="3"/>
  <c r="L9" i="3"/>
  <c r="M9" i="3"/>
  <c r="L10" i="3"/>
  <c r="M10" i="3"/>
  <c r="L12" i="3"/>
  <c r="M12" i="3"/>
  <c r="L13" i="3"/>
  <c r="M13" i="3"/>
  <c r="L14" i="3"/>
  <c r="M14" i="3"/>
  <c r="L15" i="3"/>
  <c r="M15" i="3"/>
  <c r="L16" i="3"/>
  <c r="M16" i="3"/>
  <c r="L18" i="3"/>
  <c r="M18" i="3"/>
  <c r="L19" i="3"/>
  <c r="M19" i="3"/>
  <c r="L20" i="3"/>
  <c r="M20" i="3"/>
  <c r="L22" i="3"/>
  <c r="M22" i="3"/>
  <c r="L23" i="3"/>
  <c r="M23" i="3"/>
  <c r="L24" i="3"/>
  <c r="M24" i="3"/>
  <c r="L26" i="3"/>
  <c r="M26" i="3"/>
  <c r="L27" i="3"/>
  <c r="M27" i="3"/>
  <c r="L29" i="3"/>
  <c r="M29" i="3"/>
  <c r="L30" i="3"/>
  <c r="M30" i="3"/>
  <c r="L31" i="3"/>
  <c r="M31" i="3"/>
  <c r="L32" i="3"/>
  <c r="M32" i="3"/>
  <c r="L33" i="3"/>
  <c r="M33" i="3"/>
  <c r="L35" i="3"/>
  <c r="M35" i="3"/>
  <c r="L36" i="3"/>
  <c r="M36" i="3"/>
  <c r="L37" i="3"/>
  <c r="M37" i="3"/>
  <c r="L38" i="3"/>
  <c r="M38" i="3"/>
  <c r="L39" i="3"/>
  <c r="M39" i="3"/>
  <c r="L41" i="3"/>
  <c r="M41" i="3"/>
  <c r="L42" i="3"/>
  <c r="M42" i="3"/>
  <c r="L43" i="3"/>
  <c r="M43" i="3"/>
  <c r="L45" i="3"/>
  <c r="M45" i="3"/>
  <c r="L46" i="3"/>
  <c r="M46" i="3"/>
  <c r="L47" i="3"/>
  <c r="M47" i="3"/>
  <c r="L48" i="3"/>
  <c r="M48" i="3"/>
  <c r="L50" i="3"/>
  <c r="M50" i="3"/>
  <c r="L51" i="3"/>
  <c r="M51" i="3"/>
  <c r="L52" i="3"/>
  <c r="M52" i="3"/>
  <c r="L54" i="3"/>
  <c r="M54" i="3"/>
  <c r="L55" i="3"/>
  <c r="M55" i="3"/>
  <c r="L56" i="3"/>
  <c r="M56" i="3"/>
  <c r="L58" i="3"/>
  <c r="M58" i="3"/>
  <c r="L59" i="3"/>
  <c r="M59" i="3"/>
  <c r="L60" i="3"/>
  <c r="M60" i="3"/>
  <c r="L62" i="3"/>
  <c r="M62" i="3"/>
  <c r="L63" i="3"/>
  <c r="M63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80" i="3"/>
  <c r="M80" i="3"/>
  <c r="L81" i="3"/>
  <c r="M81" i="3"/>
  <c r="L82" i="3"/>
  <c r="M82" i="3"/>
  <c r="L84" i="3"/>
  <c r="M84" i="3"/>
  <c r="L85" i="3"/>
  <c r="M85" i="3"/>
  <c r="L86" i="3"/>
  <c r="M86" i="3"/>
  <c r="L87" i="3"/>
  <c r="M87" i="3"/>
  <c r="L89" i="3"/>
  <c r="M89" i="3"/>
  <c r="L90" i="3"/>
  <c r="M90" i="3"/>
  <c r="L91" i="3"/>
  <c r="M91" i="3"/>
  <c r="L93" i="3"/>
  <c r="M93" i="3"/>
  <c r="L94" i="3"/>
  <c r="M94" i="3"/>
  <c r="L6" i="3"/>
  <c r="G5" i="5"/>
  <c r="H5" i="5"/>
  <c r="G6" i="5"/>
  <c r="M8" i="4" l="1"/>
  <c r="M7" i="4"/>
  <c r="M6" i="4"/>
  <c r="D86" i="1"/>
  <c r="I6" i="3"/>
  <c r="I7" i="3"/>
  <c r="I8" i="3"/>
  <c r="I9" i="3"/>
  <c r="I10" i="3"/>
  <c r="I12" i="3"/>
  <c r="I13" i="3"/>
  <c r="I14" i="3"/>
  <c r="I15" i="3"/>
  <c r="I16" i="3"/>
  <c r="I18" i="3"/>
  <c r="I19" i="3"/>
  <c r="I20" i="3"/>
  <c r="I22" i="3"/>
  <c r="I23" i="3"/>
  <c r="I24" i="3"/>
  <c r="I26" i="3"/>
  <c r="I27" i="3"/>
  <c r="I29" i="3"/>
  <c r="I30" i="3"/>
  <c r="I31" i="3"/>
  <c r="I32" i="3"/>
  <c r="I33" i="3"/>
  <c r="I35" i="3"/>
  <c r="I36" i="3"/>
  <c r="I37" i="3"/>
  <c r="I38" i="3"/>
  <c r="I39" i="3"/>
  <c r="I41" i="3"/>
  <c r="I42" i="3"/>
  <c r="I43" i="3"/>
  <c r="I45" i="3"/>
  <c r="I46" i="3"/>
  <c r="I47" i="3"/>
  <c r="I48" i="3"/>
  <c r="I50" i="3"/>
  <c r="I51" i="3"/>
  <c r="I52" i="3"/>
  <c r="I54" i="3"/>
  <c r="I55" i="3"/>
  <c r="I56" i="3"/>
  <c r="I58" i="3"/>
  <c r="I59" i="3"/>
  <c r="I60" i="3"/>
  <c r="I62" i="3"/>
  <c r="I63" i="3"/>
  <c r="I65" i="3"/>
  <c r="I66" i="3"/>
  <c r="I67" i="3"/>
  <c r="I68" i="3"/>
  <c r="I69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G95" i="3"/>
  <c r="H95" i="3" s="1"/>
  <c r="G92" i="3"/>
  <c r="H92" i="3" s="1"/>
  <c r="G88" i="3"/>
  <c r="H88" i="3" s="1"/>
  <c r="G79" i="3"/>
  <c r="H79" i="3" s="1"/>
  <c r="I95" i="3" l="1"/>
  <c r="G70" i="3"/>
  <c r="G64" i="3"/>
  <c r="G61" i="3"/>
  <c r="G57" i="3"/>
  <c r="G53" i="3"/>
  <c r="G49" i="3"/>
  <c r="G44" i="3"/>
  <c r="G40" i="3"/>
  <c r="G34" i="3"/>
  <c r="G28" i="3"/>
  <c r="G25" i="3"/>
  <c r="G21" i="3"/>
  <c r="G17" i="3"/>
  <c r="G11" i="3"/>
  <c r="K83" i="3"/>
  <c r="K92" i="3"/>
  <c r="H11" i="3" l="1"/>
  <c r="I11" i="3"/>
  <c r="H28" i="3"/>
  <c r="I28" i="3"/>
  <c r="L83" i="3"/>
  <c r="M83" i="3"/>
  <c r="H21" i="3"/>
  <c r="I21" i="3"/>
  <c r="H34" i="3"/>
  <c r="I34" i="3"/>
  <c r="H44" i="3"/>
  <c r="I44" i="3"/>
  <c r="H53" i="3"/>
  <c r="I53" i="3"/>
  <c r="H61" i="3"/>
  <c r="I61" i="3"/>
  <c r="I70" i="3"/>
  <c r="H70" i="3"/>
  <c r="H17" i="3"/>
  <c r="I17" i="3"/>
  <c r="H25" i="3"/>
  <c r="I25" i="3"/>
  <c r="H40" i="3"/>
  <c r="I40" i="3"/>
  <c r="H49" i="3"/>
  <c r="I49" i="3"/>
  <c r="H57" i="3"/>
  <c r="I57" i="3"/>
  <c r="H64" i="3"/>
  <c r="I64" i="3"/>
  <c r="L92" i="3"/>
  <c r="M92" i="3"/>
  <c r="D58" i="1"/>
  <c r="D57" i="1"/>
  <c r="G17" i="1" l="1"/>
  <c r="G69" i="1"/>
  <c r="D36" i="1" l="1"/>
  <c r="G18" i="1" l="1"/>
  <c r="D12" i="1"/>
  <c r="D39" i="1" l="1"/>
  <c r="D25" i="1"/>
  <c r="O38" i="4"/>
  <c r="S38" i="4"/>
  <c r="R38" i="4"/>
  <c r="N38" i="4"/>
  <c r="F7" i="4"/>
  <c r="G20" i="1" l="1"/>
  <c r="G22" i="1"/>
  <c r="J6" i="1" l="1"/>
  <c r="H6" i="1"/>
  <c r="N38" i="5" l="1"/>
  <c r="N37" i="5"/>
  <c r="N36" i="5"/>
  <c r="N35" i="5"/>
  <c r="N34" i="5"/>
  <c r="N33" i="5"/>
  <c r="N32" i="5"/>
  <c r="N31" i="5"/>
  <c r="N29" i="5"/>
  <c r="N27" i="5"/>
  <c r="N26" i="5"/>
  <c r="N25" i="5"/>
  <c r="N24" i="5"/>
  <c r="N22" i="5"/>
  <c r="N21" i="5"/>
  <c r="N19" i="5"/>
  <c r="N18" i="5"/>
  <c r="N16" i="5"/>
  <c r="N14" i="5"/>
  <c r="N13" i="5"/>
  <c r="N12" i="5"/>
  <c r="N11" i="5"/>
  <c r="N10" i="5"/>
  <c r="A8" i="5"/>
  <c r="P26" i="5" l="1"/>
  <c r="D10" i="5"/>
  <c r="C10" i="5"/>
  <c r="P20" i="5"/>
  <c r="N20" i="5"/>
  <c r="O27" i="5"/>
  <c r="P30" i="5"/>
  <c r="O15" i="5"/>
  <c r="N15" i="5"/>
  <c r="P15" i="5"/>
  <c r="P27" i="5"/>
  <c r="O34" i="5"/>
  <c r="P9" i="5"/>
  <c r="N9" i="5"/>
  <c r="O16" i="5"/>
  <c r="N30" i="5"/>
  <c r="O12" i="5"/>
  <c r="O24" i="5"/>
  <c r="O19" i="5"/>
  <c r="O31" i="5"/>
  <c r="P19" i="5"/>
  <c r="P31" i="5"/>
  <c r="O38" i="5"/>
  <c r="P34" i="5"/>
  <c r="O9" i="5"/>
  <c r="P16" i="5"/>
  <c r="O35" i="5"/>
  <c r="O30" i="5"/>
  <c r="P35" i="5"/>
  <c r="O37" i="5"/>
  <c r="N17" i="5"/>
  <c r="P17" i="5"/>
  <c r="O17" i="5"/>
  <c r="P37" i="5"/>
  <c r="P12" i="5"/>
  <c r="P24" i="5"/>
  <c r="O26" i="5"/>
  <c r="P38" i="5"/>
  <c r="O13" i="5"/>
  <c r="P13" i="5"/>
  <c r="O20" i="5"/>
  <c r="N39" i="5"/>
  <c r="P39" i="5"/>
  <c r="O39" i="5"/>
  <c r="O10" i="5"/>
  <c r="O21" i="5"/>
  <c r="O32" i="5"/>
  <c r="P10" i="5"/>
  <c r="P21" i="5"/>
  <c r="P32" i="5"/>
  <c r="O14" i="5"/>
  <c r="O25" i="5"/>
  <c r="O36" i="5"/>
  <c r="P14" i="5"/>
  <c r="P25" i="5"/>
  <c r="P36" i="5"/>
  <c r="O18" i="5"/>
  <c r="O29" i="5"/>
  <c r="P18" i="5"/>
  <c r="P29" i="5"/>
  <c r="O11" i="5"/>
  <c r="O22" i="5"/>
  <c r="O33" i="5"/>
  <c r="P11" i="5"/>
  <c r="P22" i="5"/>
  <c r="P33" i="5"/>
  <c r="G40" i="1" l="1"/>
  <c r="G46" i="1"/>
  <c r="K95" i="3" l="1"/>
  <c r="K64" i="3"/>
  <c r="G67" i="1"/>
  <c r="K49" i="3"/>
  <c r="G54" i="1"/>
  <c r="H54" i="1" s="1"/>
  <c r="C48" i="3" s="1"/>
  <c r="G53" i="1"/>
  <c r="K44" i="3"/>
  <c r="K34" i="3"/>
  <c r="K17" i="3"/>
  <c r="K11" i="3"/>
  <c r="L11" i="3" l="1"/>
  <c r="M11" i="3"/>
  <c r="L34" i="3"/>
  <c r="M34" i="3"/>
  <c r="M44" i="3"/>
  <c r="L44" i="3"/>
  <c r="L49" i="3"/>
  <c r="M49" i="3"/>
  <c r="M64" i="3"/>
  <c r="L64" i="3"/>
  <c r="L17" i="3"/>
  <c r="M17" i="3"/>
  <c r="L95" i="3"/>
  <c r="M95" i="3"/>
  <c r="O48" i="3"/>
  <c r="E4" i="3" l="1"/>
  <c r="E48" i="3" l="1"/>
  <c r="G70" i="1"/>
  <c r="G75" i="1"/>
  <c r="H75" i="1" s="1"/>
  <c r="G76" i="1"/>
  <c r="H76" i="1" s="1"/>
  <c r="Q48" i="3" l="1"/>
  <c r="H69" i="1" l="1"/>
  <c r="D66" i="1"/>
  <c r="D53" i="1"/>
  <c r="D16" i="1" l="1"/>
  <c r="D15" i="1"/>
  <c r="C63" i="3"/>
  <c r="O63" i="3" s="1"/>
  <c r="S63" i="3" s="1"/>
  <c r="G23" i="1"/>
  <c r="G21" i="1"/>
  <c r="H21" i="1" s="1"/>
  <c r="C15" i="3" s="1"/>
  <c r="O15" i="3" s="1"/>
  <c r="H20" i="1"/>
  <c r="C14" i="3" s="1"/>
  <c r="O14" i="3" s="1"/>
  <c r="G95" i="1"/>
  <c r="G94" i="1"/>
  <c r="G74" i="1"/>
  <c r="H74" i="1" s="1"/>
  <c r="E63" i="3" l="1"/>
  <c r="E15" i="3"/>
  <c r="E14" i="3"/>
  <c r="C68" i="3"/>
  <c r="C69" i="3"/>
  <c r="G50" i="1"/>
  <c r="K88" i="3"/>
  <c r="K79" i="3"/>
  <c r="K61" i="3"/>
  <c r="K57" i="3"/>
  <c r="K53" i="3"/>
  <c r="K40" i="3"/>
  <c r="K28" i="3"/>
  <c r="K25" i="3"/>
  <c r="K21" i="3"/>
  <c r="M6" i="3"/>
  <c r="L25" i="3" l="1"/>
  <c r="M25" i="3"/>
  <c r="M40" i="3"/>
  <c r="L40" i="3"/>
  <c r="L53" i="3"/>
  <c r="M53" i="3"/>
  <c r="L57" i="3"/>
  <c r="M57" i="3"/>
  <c r="L61" i="3"/>
  <c r="M61" i="3"/>
  <c r="L88" i="3"/>
  <c r="M88" i="3"/>
  <c r="M28" i="3"/>
  <c r="L28" i="3"/>
  <c r="L79" i="3"/>
  <c r="M79" i="3"/>
  <c r="L21" i="3"/>
  <c r="M21" i="3"/>
  <c r="Q14" i="3"/>
  <c r="Q15" i="3"/>
  <c r="Q63" i="3"/>
  <c r="E68" i="3"/>
  <c r="O68" i="3"/>
  <c r="E69" i="3"/>
  <c r="O69" i="3"/>
  <c r="Q69" i="3" l="1"/>
  <c r="Q68" i="3"/>
  <c r="C4" i="3" l="1"/>
  <c r="G66" i="1" l="1"/>
  <c r="H66" i="1" s="1"/>
  <c r="C60" i="3" s="1"/>
  <c r="O60" i="3" s="1"/>
  <c r="G55" i="1"/>
  <c r="H53" i="1"/>
  <c r="C47" i="3" s="1"/>
  <c r="O47" i="3" s="1"/>
  <c r="G62" i="1"/>
  <c r="E60" i="3" l="1"/>
  <c r="E47" i="3"/>
  <c r="Q47" i="3" l="1"/>
  <c r="Q60" i="3"/>
  <c r="G89" i="1" l="1"/>
  <c r="D89" i="1"/>
  <c r="G88" i="1"/>
  <c r="G87" i="1"/>
  <c r="G86" i="1"/>
  <c r="G85" i="1"/>
  <c r="H85" i="1" s="1"/>
  <c r="C78" i="3" s="1"/>
  <c r="O78" i="3" s="1"/>
  <c r="S78" i="3" s="1"/>
  <c r="G84" i="1"/>
  <c r="H84" i="1" s="1"/>
  <c r="G83" i="1"/>
  <c r="H83" i="1" s="1"/>
  <c r="C76" i="3" s="1"/>
  <c r="O76" i="3" s="1"/>
  <c r="S76" i="3" s="1"/>
  <c r="G82" i="1"/>
  <c r="H82" i="1" s="1"/>
  <c r="C75" i="3" s="1"/>
  <c r="O75" i="3" s="1"/>
  <c r="S75" i="3" s="1"/>
  <c r="G81" i="1"/>
  <c r="H81" i="1" s="1"/>
  <c r="C74" i="3" s="1"/>
  <c r="O74" i="3" s="1"/>
  <c r="G80" i="1"/>
  <c r="H80" i="1" s="1"/>
  <c r="C73" i="3" s="1"/>
  <c r="O73" i="3" s="1"/>
  <c r="G79" i="1"/>
  <c r="H79" i="1" s="1"/>
  <c r="C72" i="3" s="1"/>
  <c r="O72" i="3" s="1"/>
  <c r="S72" i="3" s="1"/>
  <c r="G77" i="1"/>
  <c r="D77" i="1"/>
  <c r="G73" i="1"/>
  <c r="G72" i="1"/>
  <c r="H72" i="1" s="1"/>
  <c r="D70" i="1"/>
  <c r="G64" i="1"/>
  <c r="J64" i="1" s="1"/>
  <c r="G63" i="1"/>
  <c r="D62" i="1"/>
  <c r="G60" i="1"/>
  <c r="G59" i="1"/>
  <c r="G58" i="1"/>
  <c r="G57" i="1"/>
  <c r="G51" i="1"/>
  <c r="I51" i="1" s="1"/>
  <c r="J51" i="1" s="1"/>
  <c r="G49" i="1"/>
  <c r="G48" i="1"/>
  <c r="D28" i="7" s="1"/>
  <c r="G45" i="1"/>
  <c r="G44" i="1"/>
  <c r="G42" i="1"/>
  <c r="G41" i="1"/>
  <c r="G39" i="1"/>
  <c r="G38" i="1"/>
  <c r="G37" i="1"/>
  <c r="G36" i="1"/>
  <c r="G34" i="1"/>
  <c r="G33" i="1"/>
  <c r="D27" i="7" s="1"/>
  <c r="G31" i="1"/>
  <c r="G30" i="1"/>
  <c r="G29" i="1"/>
  <c r="D29" i="1"/>
  <c r="G26" i="1"/>
  <c r="D17" i="7" s="1"/>
  <c r="G25" i="1"/>
  <c r="G16" i="1"/>
  <c r="G15" i="1"/>
  <c r="H15" i="1" s="1"/>
  <c r="G13" i="1"/>
  <c r="I13" i="1" s="1"/>
  <c r="D7" i="1"/>
  <c r="D49" i="1"/>
  <c r="C7" i="3" l="1"/>
  <c r="O7" i="3" s="1"/>
  <c r="J13" i="1"/>
  <c r="D42" i="1"/>
  <c r="I42" i="1" s="1"/>
  <c r="J42" i="1" s="1"/>
  <c r="D60" i="1"/>
  <c r="D45" i="1"/>
  <c r="C66" i="3"/>
  <c r="O66" i="3" s="1"/>
  <c r="H7" i="1"/>
  <c r="G7" i="4"/>
  <c r="E19" i="4"/>
  <c r="B22" i="5"/>
  <c r="I89" i="1"/>
  <c r="J89" i="1" s="1"/>
  <c r="I87" i="1"/>
  <c r="J87" i="1" s="1"/>
  <c r="C77" i="3"/>
  <c r="O77" i="3" s="1"/>
  <c r="C45" i="3"/>
  <c r="H23" i="1"/>
  <c r="H22" i="1"/>
  <c r="E5" i="1"/>
  <c r="E72" i="3"/>
  <c r="E74" i="3"/>
  <c r="E76" i="3"/>
  <c r="E78" i="3"/>
  <c r="H16" i="1"/>
  <c r="E73" i="3"/>
  <c r="E75" i="3"/>
  <c r="D4" i="3"/>
  <c r="D95" i="1"/>
  <c r="H95" i="1" s="1"/>
  <c r="H67" i="1"/>
  <c r="I65" i="1" s="1"/>
  <c r="D50" i="1"/>
  <c r="H50" i="1" s="1"/>
  <c r="E6" i="1"/>
  <c r="H30" i="1"/>
  <c r="H45" i="1"/>
  <c r="H55" i="1"/>
  <c r="H59" i="1"/>
  <c r="I60" i="1"/>
  <c r="J60" i="1" s="1"/>
  <c r="H31" i="1"/>
  <c r="H63" i="1"/>
  <c r="D44" i="1"/>
  <c r="H44" i="1" s="1"/>
  <c r="H34" i="1"/>
  <c r="H48" i="1"/>
  <c r="C42" i="3" s="1"/>
  <c r="O42" i="3" s="1"/>
  <c r="E2" i="1"/>
  <c r="H77" i="1"/>
  <c r="C70" i="3" s="1"/>
  <c r="E70" i="3" s="1"/>
  <c r="H57" i="1"/>
  <c r="H62" i="1"/>
  <c r="C56" i="3" s="1"/>
  <c r="O56" i="3" s="1"/>
  <c r="D33" i="1"/>
  <c r="H33" i="1" s="1"/>
  <c r="H73" i="1"/>
  <c r="D26" i="1"/>
  <c r="H26" i="1" s="1"/>
  <c r="H39" i="1"/>
  <c r="H29" i="1"/>
  <c r="H86" i="1"/>
  <c r="H46" i="1"/>
  <c r="C9" i="3"/>
  <c r="H17" i="1"/>
  <c r="H70" i="1"/>
  <c r="H36" i="1"/>
  <c r="H49" i="1"/>
  <c r="C43" i="3" s="1"/>
  <c r="O43" i="3" s="1"/>
  <c r="H37" i="1"/>
  <c r="H25" i="1"/>
  <c r="C19" i="3" s="1"/>
  <c r="O19" i="3" s="1"/>
  <c r="E3" i="1"/>
  <c r="E4" i="1"/>
  <c r="H27" i="1"/>
  <c r="H40" i="1"/>
  <c r="H58" i="1"/>
  <c r="E7" i="1"/>
  <c r="H38" i="1"/>
  <c r="D64" i="1"/>
  <c r="I18" i="1"/>
  <c r="J18" i="1" s="1"/>
  <c r="E7" i="3" l="1"/>
  <c r="C82" i="3"/>
  <c r="O82" i="3" s="1"/>
  <c r="E66" i="3"/>
  <c r="I28" i="1"/>
  <c r="J28" i="1" s="1"/>
  <c r="B25" i="5"/>
  <c r="E22" i="4"/>
  <c r="C80" i="3"/>
  <c r="D80" i="3" s="1"/>
  <c r="P80" i="3" s="1"/>
  <c r="E29" i="4"/>
  <c r="B32" i="5"/>
  <c r="I61" i="1"/>
  <c r="J61" i="1" s="1"/>
  <c r="E31" i="4"/>
  <c r="B34" i="5"/>
  <c r="D22" i="5"/>
  <c r="C22" i="5"/>
  <c r="F19" i="4"/>
  <c r="G19" i="4"/>
  <c r="E16" i="4"/>
  <c r="B19" i="5"/>
  <c r="B12" i="5"/>
  <c r="E9" i="4"/>
  <c r="E12" i="4"/>
  <c r="B15" i="5"/>
  <c r="E25" i="4"/>
  <c r="B28" i="5"/>
  <c r="Q75" i="3"/>
  <c r="Q73" i="3"/>
  <c r="Q72" i="3"/>
  <c r="Q78" i="3"/>
  <c r="Q76" i="3"/>
  <c r="Q74" i="3"/>
  <c r="Q66" i="3"/>
  <c r="Q7" i="3"/>
  <c r="D48" i="3"/>
  <c r="P48" i="3" s="1"/>
  <c r="I14" i="1"/>
  <c r="I68" i="1"/>
  <c r="I47" i="1"/>
  <c r="J47" i="1" s="1"/>
  <c r="I43" i="1"/>
  <c r="J43" i="1" s="1"/>
  <c r="I24" i="1"/>
  <c r="J24" i="1" s="1"/>
  <c r="C32" i="3"/>
  <c r="O32" i="3" s="1"/>
  <c r="I35" i="1"/>
  <c r="J35" i="1" s="1"/>
  <c r="I19" i="1"/>
  <c r="J19" i="1" s="1"/>
  <c r="I64" i="1"/>
  <c r="C51" i="3"/>
  <c r="O51" i="3" s="1"/>
  <c r="I56" i="1"/>
  <c r="J56" i="1" s="1"/>
  <c r="I41" i="1"/>
  <c r="J41" i="1" s="1"/>
  <c r="I52" i="1"/>
  <c r="J52" i="1" s="1"/>
  <c r="I88" i="1"/>
  <c r="J88" i="1" s="1"/>
  <c r="C27" i="3"/>
  <c r="O27" i="3" s="1"/>
  <c r="I32" i="1"/>
  <c r="J32" i="1" s="1"/>
  <c r="I78" i="1"/>
  <c r="J78" i="1" s="1"/>
  <c r="E77" i="3"/>
  <c r="O9" i="3"/>
  <c r="E9" i="3"/>
  <c r="C59" i="3"/>
  <c r="O59" i="3" s="1"/>
  <c r="E45" i="3"/>
  <c r="O45" i="3"/>
  <c r="D15" i="3"/>
  <c r="P15" i="3" s="1"/>
  <c r="D63" i="3"/>
  <c r="P63" i="3" s="1"/>
  <c r="C16" i="3"/>
  <c r="O16" i="3" s="1"/>
  <c r="D74" i="3"/>
  <c r="P74" i="3" s="1"/>
  <c r="D14" i="3"/>
  <c r="P14" i="3" s="1"/>
  <c r="H94" i="1"/>
  <c r="C87" i="3" s="1"/>
  <c r="O87" i="3" s="1"/>
  <c r="D76" i="3"/>
  <c r="P76" i="3" s="1"/>
  <c r="D75" i="3"/>
  <c r="P75" i="3" s="1"/>
  <c r="D45" i="3"/>
  <c r="P45" i="3" s="1"/>
  <c r="D73" i="3"/>
  <c r="P73" i="3" s="1"/>
  <c r="D78" i="3"/>
  <c r="P78" i="3" s="1"/>
  <c r="C12" i="3"/>
  <c r="C10" i="3"/>
  <c r="O10" i="3" s="1"/>
  <c r="C39" i="3"/>
  <c r="O39" i="3" s="1"/>
  <c r="C23" i="3"/>
  <c r="O23" i="3" s="1"/>
  <c r="C24" i="3"/>
  <c r="O24" i="3" s="1"/>
  <c r="C67" i="3"/>
  <c r="O67" i="3" s="1"/>
  <c r="C33" i="3"/>
  <c r="O33" i="3" s="1"/>
  <c r="C20" i="3"/>
  <c r="O20" i="3" s="1"/>
  <c r="C36" i="3"/>
  <c r="O36" i="3" s="1"/>
  <c r="E42" i="3"/>
  <c r="D42" i="3"/>
  <c r="P42" i="3" s="1"/>
  <c r="D9" i="3"/>
  <c r="P9" i="3" s="1"/>
  <c r="C54" i="3"/>
  <c r="O54" i="3" s="1"/>
  <c r="C52" i="3"/>
  <c r="O52" i="3" s="1"/>
  <c r="E56" i="3"/>
  <c r="D56" i="3"/>
  <c r="P56" i="3" s="1"/>
  <c r="E19" i="3"/>
  <c r="D19" i="3"/>
  <c r="P19" i="3" s="1"/>
  <c r="D69" i="3"/>
  <c r="P69" i="3" s="1"/>
  <c r="D68" i="3"/>
  <c r="P68" i="3" s="1"/>
  <c r="D60" i="3"/>
  <c r="P60" i="3" s="1"/>
  <c r="D47" i="3"/>
  <c r="P47" i="3" s="1"/>
  <c r="D72" i="3"/>
  <c r="P72" i="3" s="1"/>
  <c r="C31" i="3"/>
  <c r="O31" i="3" s="1"/>
  <c r="D66" i="3"/>
  <c r="P66" i="3" s="1"/>
  <c r="E43" i="3"/>
  <c r="D43" i="3"/>
  <c r="P43" i="3" s="1"/>
  <c r="C38" i="3"/>
  <c r="O38" i="3" s="1"/>
  <c r="D77" i="3"/>
  <c r="P77" i="3" s="1"/>
  <c r="D7" i="3"/>
  <c r="P7" i="3" s="1"/>
  <c r="C30" i="3"/>
  <c r="O30" i="3" s="1"/>
  <c r="I71" i="1"/>
  <c r="J71" i="1" s="1"/>
  <c r="C22" i="3"/>
  <c r="O22" i="3" s="1"/>
  <c r="E82" i="3" l="1"/>
  <c r="D82" i="3"/>
  <c r="P82" i="3" s="1"/>
  <c r="J14" i="1"/>
  <c r="C55" i="3"/>
  <c r="O55" i="3" s="1"/>
  <c r="B26" i="5"/>
  <c r="E23" i="4"/>
  <c r="H92" i="1"/>
  <c r="C85" i="3" s="1"/>
  <c r="O85" i="3" s="1"/>
  <c r="S85" i="3" s="1"/>
  <c r="O80" i="3"/>
  <c r="E80" i="3"/>
  <c r="Q80" i="3" s="1"/>
  <c r="B21" i="5"/>
  <c r="E18" i="4"/>
  <c r="C50" i="3"/>
  <c r="O50" i="3" s="1"/>
  <c r="E21" i="4"/>
  <c r="B24" i="5"/>
  <c r="D32" i="5"/>
  <c r="C32" i="5"/>
  <c r="G29" i="4"/>
  <c r="F29" i="4"/>
  <c r="G22" i="4"/>
  <c r="F22" i="4"/>
  <c r="C25" i="5"/>
  <c r="D25" i="5"/>
  <c r="B30" i="5"/>
  <c r="E27" i="4"/>
  <c r="C62" i="3"/>
  <c r="E62" i="3" s="1"/>
  <c r="E26" i="4"/>
  <c r="B29" i="5"/>
  <c r="C71" i="3"/>
  <c r="E71" i="3" s="1"/>
  <c r="E28" i="4"/>
  <c r="B31" i="5"/>
  <c r="D34" i="5"/>
  <c r="C34" i="5"/>
  <c r="G31" i="4"/>
  <c r="F31" i="4"/>
  <c r="C81" i="3"/>
  <c r="E81" i="3" s="1"/>
  <c r="E30" i="4"/>
  <c r="B33" i="5"/>
  <c r="C58" i="3"/>
  <c r="E58" i="3" s="1"/>
  <c r="B27" i="5"/>
  <c r="E24" i="4"/>
  <c r="C19" i="5"/>
  <c r="D19" i="5"/>
  <c r="G16" i="4"/>
  <c r="F16" i="4"/>
  <c r="C35" i="3"/>
  <c r="O35" i="3" s="1"/>
  <c r="B18" i="5"/>
  <c r="E15" i="4"/>
  <c r="C26" i="3"/>
  <c r="O26" i="3" s="1"/>
  <c r="E13" i="4"/>
  <c r="B16" i="5"/>
  <c r="C13" i="3"/>
  <c r="O13" i="3" s="1"/>
  <c r="E10" i="4"/>
  <c r="B13" i="5"/>
  <c r="G9" i="4"/>
  <c r="F9" i="4"/>
  <c r="C12" i="5"/>
  <c r="D12" i="5"/>
  <c r="B23" i="5"/>
  <c r="E20" i="4"/>
  <c r="D28" i="5"/>
  <c r="C28" i="5"/>
  <c r="C29" i="3"/>
  <c r="O29" i="3" s="1"/>
  <c r="B17" i="5"/>
  <c r="E14" i="4"/>
  <c r="G25" i="4"/>
  <c r="F25" i="4"/>
  <c r="C15" i="5"/>
  <c r="D15" i="5"/>
  <c r="B14" i="5"/>
  <c r="E11" i="4"/>
  <c r="G12" i="4"/>
  <c r="F12" i="4"/>
  <c r="B11" i="5"/>
  <c r="E8" i="4"/>
  <c r="C8" i="3"/>
  <c r="O8" i="3" s="1"/>
  <c r="D26" i="5"/>
  <c r="C26" i="5"/>
  <c r="F23" i="4"/>
  <c r="G23" i="4"/>
  <c r="E17" i="4"/>
  <c r="B20" i="5"/>
  <c r="Q43" i="3"/>
  <c r="Q45" i="3"/>
  <c r="Q77" i="3"/>
  <c r="Q56" i="3"/>
  <c r="Q9" i="3"/>
  <c r="Q42" i="3"/>
  <c r="Q19" i="3"/>
  <c r="Q82" i="3"/>
  <c r="E32" i="3"/>
  <c r="D32" i="3"/>
  <c r="P32" i="3" s="1"/>
  <c r="E27" i="3"/>
  <c r="D27" i="3"/>
  <c r="P27" i="3" s="1"/>
  <c r="E59" i="3"/>
  <c r="C61" i="3"/>
  <c r="O61" i="3" s="1"/>
  <c r="D59" i="3"/>
  <c r="P59" i="3" s="1"/>
  <c r="N23" i="5"/>
  <c r="P23" i="5"/>
  <c r="O23" i="5"/>
  <c r="C46" i="3"/>
  <c r="E51" i="3"/>
  <c r="I93" i="1"/>
  <c r="J93" i="1" s="1"/>
  <c r="D51" i="3"/>
  <c r="P51" i="3" s="1"/>
  <c r="N28" i="5"/>
  <c r="P28" i="5"/>
  <c r="O28" i="5"/>
  <c r="C37" i="3"/>
  <c r="O37" i="3" s="1"/>
  <c r="E12" i="3"/>
  <c r="O12" i="3"/>
  <c r="C18" i="3"/>
  <c r="D18" i="3" s="1"/>
  <c r="C65" i="3"/>
  <c r="E16" i="3"/>
  <c r="D16" i="3"/>
  <c r="P16" i="3" s="1"/>
  <c r="C41" i="3"/>
  <c r="D12" i="3"/>
  <c r="P12" i="3" s="1"/>
  <c r="E87" i="3"/>
  <c r="D87" i="3"/>
  <c r="P87" i="3" s="1"/>
  <c r="E30" i="3"/>
  <c r="D30" i="3"/>
  <c r="P30" i="3" s="1"/>
  <c r="E52" i="3"/>
  <c r="D52" i="3"/>
  <c r="P52" i="3" s="1"/>
  <c r="D55" i="3"/>
  <c r="P55" i="3" s="1"/>
  <c r="E55" i="3"/>
  <c r="C57" i="3"/>
  <c r="O57" i="3" s="1"/>
  <c r="E67" i="3"/>
  <c r="D67" i="3"/>
  <c r="P67" i="3" s="1"/>
  <c r="E24" i="3"/>
  <c r="D24" i="3"/>
  <c r="P24" i="3" s="1"/>
  <c r="E31" i="3"/>
  <c r="D31" i="3"/>
  <c r="P31" i="3" s="1"/>
  <c r="E39" i="3"/>
  <c r="D39" i="3"/>
  <c r="P39" i="3" s="1"/>
  <c r="E38" i="3"/>
  <c r="D38" i="3"/>
  <c r="P38" i="3" s="1"/>
  <c r="E54" i="3"/>
  <c r="D54" i="3"/>
  <c r="P54" i="3" s="1"/>
  <c r="D23" i="3"/>
  <c r="P23" i="3" s="1"/>
  <c r="E23" i="3"/>
  <c r="E36" i="3"/>
  <c r="D36" i="3"/>
  <c r="P36" i="3" s="1"/>
  <c r="E22" i="3"/>
  <c r="D22" i="3"/>
  <c r="P22" i="3" s="1"/>
  <c r="C25" i="3"/>
  <c r="O25" i="3" s="1"/>
  <c r="E20" i="3"/>
  <c r="D20" i="3"/>
  <c r="P20" i="3" s="1"/>
  <c r="E33" i="3"/>
  <c r="D33" i="3"/>
  <c r="P33" i="3" s="1"/>
  <c r="E10" i="3"/>
  <c r="D10" i="3"/>
  <c r="P10" i="3" s="1"/>
  <c r="H91" i="1"/>
  <c r="C53" i="3" l="1"/>
  <c r="O53" i="3" s="1"/>
  <c r="D50" i="3"/>
  <c r="P50" i="3" s="1"/>
  <c r="E50" i="3"/>
  <c r="Q50" i="3" s="1"/>
  <c r="G21" i="4"/>
  <c r="F21" i="4"/>
  <c r="O62" i="3"/>
  <c r="S62" i="3" s="1"/>
  <c r="D62" i="3"/>
  <c r="P62" i="3" s="1"/>
  <c r="C64" i="3"/>
  <c r="O64" i="3" s="1"/>
  <c r="C24" i="5"/>
  <c r="D24" i="5"/>
  <c r="G18" i="4"/>
  <c r="F18" i="4"/>
  <c r="D21" i="5"/>
  <c r="C21" i="5"/>
  <c r="O71" i="3"/>
  <c r="D30" i="5"/>
  <c r="C30" i="5"/>
  <c r="D71" i="3"/>
  <c r="P71" i="3" s="1"/>
  <c r="G27" i="4"/>
  <c r="F27" i="4"/>
  <c r="C29" i="5"/>
  <c r="D29" i="5"/>
  <c r="O81" i="3"/>
  <c r="G26" i="4"/>
  <c r="F26" i="4"/>
  <c r="D31" i="5"/>
  <c r="C31" i="5"/>
  <c r="G28" i="4"/>
  <c r="F28" i="4"/>
  <c r="D81" i="3"/>
  <c r="P81" i="3" s="1"/>
  <c r="E33" i="4"/>
  <c r="B36" i="5"/>
  <c r="D58" i="3"/>
  <c r="P58" i="3" s="1"/>
  <c r="O58" i="3"/>
  <c r="C33" i="5"/>
  <c r="D33" i="5"/>
  <c r="G30" i="4"/>
  <c r="F30" i="4"/>
  <c r="F24" i="4"/>
  <c r="G24" i="4"/>
  <c r="D27" i="5"/>
  <c r="C27" i="5"/>
  <c r="D13" i="3"/>
  <c r="P13" i="3" s="1"/>
  <c r="E35" i="3"/>
  <c r="Q35" i="3" s="1"/>
  <c r="E26" i="3"/>
  <c r="Q26" i="3" s="1"/>
  <c r="D35" i="3"/>
  <c r="P35" i="3" s="1"/>
  <c r="F15" i="4"/>
  <c r="G15" i="4"/>
  <c r="C28" i="3"/>
  <c r="O28" i="3" s="1"/>
  <c r="C18" i="5"/>
  <c r="D18" i="5"/>
  <c r="D26" i="3"/>
  <c r="P26" i="3" s="1"/>
  <c r="E13" i="3"/>
  <c r="Q13" i="3" s="1"/>
  <c r="C17" i="3"/>
  <c r="O17" i="3" s="1"/>
  <c r="C16" i="5"/>
  <c r="D16" i="5"/>
  <c r="G13" i="4"/>
  <c r="F13" i="4"/>
  <c r="C13" i="5"/>
  <c r="D13" i="5"/>
  <c r="G10" i="4"/>
  <c r="F10" i="4"/>
  <c r="D29" i="3"/>
  <c r="P29" i="3" s="1"/>
  <c r="E29" i="3"/>
  <c r="Q29" i="3" s="1"/>
  <c r="C34" i="3"/>
  <c r="O34" i="3" s="1"/>
  <c r="D8" i="3"/>
  <c r="P8" i="3" s="1"/>
  <c r="E8" i="3"/>
  <c r="Q8" i="3" s="1"/>
  <c r="G14" i="4"/>
  <c r="F14" i="4"/>
  <c r="D11" i="5"/>
  <c r="C11" i="5"/>
  <c r="C11" i="3"/>
  <c r="O11" i="3" s="1"/>
  <c r="F11" i="4"/>
  <c r="G11" i="4"/>
  <c r="C14" i="5"/>
  <c r="D14" i="5"/>
  <c r="F20" i="4"/>
  <c r="G20" i="4"/>
  <c r="F8" i="4"/>
  <c r="G8" i="4"/>
  <c r="D17" i="5"/>
  <c r="C17" i="5"/>
  <c r="D23" i="5"/>
  <c r="C23" i="5"/>
  <c r="C20" i="5"/>
  <c r="D20" i="5"/>
  <c r="G17" i="4"/>
  <c r="F17" i="4"/>
  <c r="Q10" i="3"/>
  <c r="Q33" i="3"/>
  <c r="Q55" i="3"/>
  <c r="Q12" i="3"/>
  <c r="Q20" i="3"/>
  <c r="Q71" i="3"/>
  <c r="Q38" i="3"/>
  <c r="Q22" i="3"/>
  <c r="Q30" i="3"/>
  <c r="Q39" i="3"/>
  <c r="Q87" i="3"/>
  <c r="Q59" i="3"/>
  <c r="Q23" i="3"/>
  <c r="Q67" i="3"/>
  <c r="Q58" i="3"/>
  <c r="Q62" i="3"/>
  <c r="Q81" i="3"/>
  <c r="Q52" i="3"/>
  <c r="Q51" i="3"/>
  <c r="Q36" i="3"/>
  <c r="Q31" i="3"/>
  <c r="Q16" i="3"/>
  <c r="Q27" i="3"/>
  <c r="Q54" i="3"/>
  <c r="Q24" i="3"/>
  <c r="Q32" i="3"/>
  <c r="E61" i="3"/>
  <c r="Q61" i="3" s="1"/>
  <c r="D61" i="3"/>
  <c r="P61" i="3" s="1"/>
  <c r="O46" i="3"/>
  <c r="E46" i="3"/>
  <c r="D46" i="3"/>
  <c r="P46" i="3" s="1"/>
  <c r="C49" i="3"/>
  <c r="C86" i="3"/>
  <c r="D86" i="3" s="1"/>
  <c r="P86" i="3" s="1"/>
  <c r="N41" i="5"/>
  <c r="P41" i="5"/>
  <c r="O41" i="5"/>
  <c r="I90" i="1"/>
  <c r="C40" i="3"/>
  <c r="O40" i="3" s="1"/>
  <c r="D37" i="3"/>
  <c r="P37" i="3" s="1"/>
  <c r="E37" i="3"/>
  <c r="E18" i="3"/>
  <c r="E41" i="3"/>
  <c r="O41" i="3"/>
  <c r="C21" i="3"/>
  <c r="O21" i="3" s="1"/>
  <c r="O18" i="3"/>
  <c r="E65" i="3"/>
  <c r="O65" i="3"/>
  <c r="O70" i="3"/>
  <c r="D65" i="3"/>
  <c r="P65" i="3" s="1"/>
  <c r="C44" i="3"/>
  <c r="D41" i="3"/>
  <c r="P41" i="3" s="1"/>
  <c r="D25" i="3"/>
  <c r="P25" i="3" s="1"/>
  <c r="E25" i="3"/>
  <c r="Q25" i="3" s="1"/>
  <c r="E85" i="3"/>
  <c r="D85" i="3"/>
  <c r="P85" i="3" s="1"/>
  <c r="D57" i="3"/>
  <c r="P57" i="3" s="1"/>
  <c r="E57" i="3"/>
  <c r="Q57" i="3" s="1"/>
  <c r="C84" i="3"/>
  <c r="O84" i="3" s="1"/>
  <c r="S84" i="3" s="1"/>
  <c r="J90" i="1" l="1"/>
  <c r="I97" i="1"/>
  <c r="J97" i="1" s="1"/>
  <c r="I98" i="1"/>
  <c r="J98" i="1" s="1"/>
  <c r="E53" i="3"/>
  <c r="Q53" i="3" s="1"/>
  <c r="D53" i="3"/>
  <c r="P53" i="3" s="1"/>
  <c r="D64" i="3"/>
  <c r="P64" i="3" s="1"/>
  <c r="E64" i="3"/>
  <c r="Q64" i="3" s="1"/>
  <c r="D36" i="5"/>
  <c r="C36" i="5"/>
  <c r="E28" i="3"/>
  <c r="Q28" i="3" s="1"/>
  <c r="G33" i="4"/>
  <c r="F33" i="4"/>
  <c r="D28" i="3"/>
  <c r="P28" i="3" s="1"/>
  <c r="D17" i="3"/>
  <c r="P17" i="3" s="1"/>
  <c r="E17" i="3"/>
  <c r="Q17" i="3" s="1"/>
  <c r="E11" i="3"/>
  <c r="Q11" i="3" s="1"/>
  <c r="D11" i="3"/>
  <c r="P11" i="3" s="1"/>
  <c r="E34" i="3"/>
  <c r="Q34" i="3" s="1"/>
  <c r="D34" i="3"/>
  <c r="P34" i="3" s="1"/>
  <c r="E32" i="4"/>
  <c r="B35" i="5"/>
  <c r="Q65" i="3"/>
  <c r="Q46" i="3"/>
  <c r="Q85" i="3"/>
  <c r="Q41" i="3"/>
  <c r="Q18" i="3"/>
  <c r="Q37" i="3"/>
  <c r="C88" i="3"/>
  <c r="D88" i="3" s="1"/>
  <c r="P88" i="3" s="1"/>
  <c r="E86" i="3"/>
  <c r="O49" i="3"/>
  <c r="E49" i="3"/>
  <c r="Q49" i="3" s="1"/>
  <c r="D49" i="3"/>
  <c r="P49" i="3" s="1"/>
  <c r="O86" i="3"/>
  <c r="D21" i="3"/>
  <c r="P21" i="3" s="1"/>
  <c r="E21" i="3"/>
  <c r="Q21" i="3" s="1"/>
  <c r="D40" i="3"/>
  <c r="P40" i="3" s="1"/>
  <c r="E40" i="3"/>
  <c r="Q40" i="3" s="1"/>
  <c r="Q70" i="3"/>
  <c r="D70" i="3"/>
  <c r="P70" i="3" s="1"/>
  <c r="D44" i="3"/>
  <c r="P44" i="3" s="1"/>
  <c r="O44" i="3"/>
  <c r="E44" i="3"/>
  <c r="Q44" i="3" s="1"/>
  <c r="E84" i="3"/>
  <c r="D84" i="3"/>
  <c r="P84" i="3" s="1"/>
  <c r="C83" i="3"/>
  <c r="O83" i="3" s="1"/>
  <c r="S83" i="3" s="1"/>
  <c r="E12" i="1" l="1"/>
  <c r="G12" i="1" s="1"/>
  <c r="I12" i="1" s="1"/>
  <c r="C35" i="5"/>
  <c r="D35" i="5"/>
  <c r="F32" i="4"/>
  <c r="G32" i="4"/>
  <c r="Q84" i="3"/>
  <c r="Q86" i="3"/>
  <c r="O88" i="3"/>
  <c r="E88" i="3"/>
  <c r="Q88" i="3" s="1"/>
  <c r="C91" i="3"/>
  <c r="E83" i="3"/>
  <c r="D83" i="3"/>
  <c r="P83" i="3" s="1"/>
  <c r="J12" i="1" l="1"/>
  <c r="E6" i="4"/>
  <c r="B9" i="5"/>
  <c r="C6" i="3"/>
  <c r="Q83" i="3"/>
  <c r="D91" i="3"/>
  <c r="P91" i="3" s="1"/>
  <c r="O91" i="3"/>
  <c r="E91" i="3"/>
  <c r="D9" i="5" l="1"/>
  <c r="C9" i="5"/>
  <c r="D6" i="3"/>
  <c r="E6" i="3"/>
  <c r="Q6" i="3" s="1"/>
  <c r="O6" i="3"/>
  <c r="F6" i="4"/>
  <c r="G6" i="4"/>
  <c r="Q91" i="3"/>
  <c r="C79" i="3"/>
  <c r="O79" i="3" s="1"/>
  <c r="S79" i="3" s="1"/>
  <c r="S71" i="3" s="1"/>
  <c r="S95" i="3" s="1"/>
  <c r="E79" i="3" l="1"/>
  <c r="Q79" i="3" s="1"/>
  <c r="D79" i="3"/>
  <c r="P79" i="3" s="1"/>
  <c r="E34" i="4" l="1"/>
  <c r="F34" i="4" s="1"/>
  <c r="C90" i="3"/>
  <c r="D90" i="3" s="1"/>
  <c r="P90" i="3" s="1"/>
  <c r="I96" i="1"/>
  <c r="H100" i="1"/>
  <c r="C93" i="3" s="1"/>
  <c r="H101" i="1"/>
  <c r="B37" i="5"/>
  <c r="D37" i="5" s="1"/>
  <c r="C89" i="3" l="1"/>
  <c r="E89" i="3" s="1"/>
  <c r="Q89" i="3" s="1"/>
  <c r="J96" i="1"/>
  <c r="C37" i="5"/>
  <c r="G34" i="4"/>
  <c r="O90" i="3"/>
  <c r="E90" i="3"/>
  <c r="Q90" i="3" s="1"/>
  <c r="D93" i="3"/>
  <c r="P93" i="3" s="1"/>
  <c r="E93" i="3"/>
  <c r="Q93" i="3" s="1"/>
  <c r="O93" i="3"/>
  <c r="I99" i="1"/>
  <c r="J99" i="1" s="1"/>
  <c r="B38" i="5"/>
  <c r="E35" i="4"/>
  <c r="O89" i="3" l="1"/>
  <c r="D89" i="3"/>
  <c r="P89" i="3" s="1"/>
  <c r="G35" i="4"/>
  <c r="F35" i="4"/>
  <c r="C38" i="5"/>
  <c r="D38" i="5"/>
  <c r="C92" i="3"/>
  <c r="E36" i="4"/>
  <c r="B39" i="5"/>
  <c r="I102" i="1"/>
  <c r="J102" i="1" s="1"/>
  <c r="C94" i="3" l="1"/>
  <c r="D92" i="3"/>
  <c r="P92" i="3" s="1"/>
  <c r="E92" i="3"/>
  <c r="Q92" i="3" s="1"/>
  <c r="O92" i="3"/>
  <c r="O95" i="3" s="1"/>
  <c r="C95" i="3"/>
  <c r="C9" i="1"/>
  <c r="C39" i="5"/>
  <c r="D39" i="5"/>
  <c r="G36" i="4"/>
  <c r="G38" i="4" s="1"/>
  <c r="F36" i="4"/>
  <c r="F38" i="4" s="1"/>
  <c r="B41" i="5"/>
  <c r="E38" i="4"/>
  <c r="C41" i="5" l="1"/>
  <c r="D41" i="5"/>
  <c r="E95" i="3"/>
  <c r="Q95" i="3" s="1"/>
  <c r="D95" i="3"/>
  <c r="P95" i="3" s="1"/>
  <c r="F9" i="1"/>
  <c r="I9" i="1"/>
  <c r="D94" i="3"/>
  <c r="P94" i="3" s="1"/>
  <c r="E94" i="3"/>
  <c r="Q94" i="3" s="1"/>
  <c r="O9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Sorensen</author>
  </authors>
  <commentList>
    <comment ref="K6" authorId="0" shapeId="0" xr:uid="{ED47BE66-35BD-4A4A-9000-551666971DC9}">
      <text>
        <r>
          <rPr>
            <b/>
            <sz val="9"/>
            <color indexed="81"/>
            <rFont val="Tahoma"/>
            <family val="2"/>
          </rPr>
          <t>Erik Sorensen:</t>
        </r>
        <r>
          <rPr>
            <sz val="9"/>
            <color indexed="81"/>
            <rFont val="Tahoma"/>
            <family val="2"/>
          </rPr>
          <t xml:space="preserve">
estimated</t>
        </r>
      </text>
    </comment>
  </commentList>
</comments>
</file>

<file path=xl/sharedStrings.xml><?xml version="1.0" encoding="utf-8"?>
<sst xmlns="http://schemas.openxmlformats.org/spreadsheetml/2006/main" count="559" uniqueCount="279">
  <si>
    <t>Project Details</t>
  </si>
  <si>
    <t>Unit Breakdown</t>
  </si>
  <si>
    <t>Parking</t>
  </si>
  <si>
    <t>Take Offs</t>
  </si>
  <si>
    <t>Project</t>
  </si>
  <si>
    <t>Windmill</t>
  </si>
  <si>
    <t>Studios</t>
  </si>
  <si>
    <t>Garage Parking</t>
  </si>
  <si>
    <t>Slab SF</t>
  </si>
  <si>
    <t xml:space="preserve">Budget Level </t>
  </si>
  <si>
    <t>Level 0</t>
  </si>
  <si>
    <t>1 Br - 1 Ba</t>
  </si>
  <si>
    <t>Cover Parking</t>
  </si>
  <si>
    <t xml:space="preserve">Elevators </t>
  </si>
  <si>
    <t>4 Stops</t>
  </si>
  <si>
    <t>Product</t>
  </si>
  <si>
    <t>Afforable</t>
  </si>
  <si>
    <t>2 Br - 1 Ba</t>
  </si>
  <si>
    <t>Open Parking</t>
  </si>
  <si>
    <t>Roofing</t>
  </si>
  <si>
    <t>Timline</t>
  </si>
  <si>
    <t>2 Br - 2 Ba</t>
  </si>
  <si>
    <t>Accessible Parking</t>
  </si>
  <si>
    <t xml:space="preserve">Stucco </t>
  </si>
  <si>
    <t>Bldg SF</t>
  </si>
  <si>
    <t>3 Br - 2 Ba</t>
  </si>
  <si>
    <t>Total Parking Provided</t>
  </si>
  <si>
    <t xml:space="preserve">Carports </t>
  </si>
  <si>
    <t xml:space="preserve">Acres </t>
  </si>
  <si>
    <t>Totals</t>
  </si>
  <si>
    <t>Parking Ratio</t>
  </si>
  <si>
    <t>Lightweight</t>
  </si>
  <si>
    <t>TOTAL COST</t>
  </si>
  <si>
    <t>PER UNIT</t>
  </si>
  <si>
    <t>PER GSF</t>
  </si>
  <si>
    <t>Description</t>
  </si>
  <si>
    <t>Cost Code</t>
  </si>
  <si>
    <t>Unit Meas.</t>
  </si>
  <si>
    <t>Quantity</t>
  </si>
  <si>
    <t>Unit Cost</t>
  </si>
  <si>
    <t>Escalation %</t>
  </si>
  <si>
    <t>T. Unit Cost</t>
  </si>
  <si>
    <t xml:space="preserve">Sub Total </t>
  </si>
  <si>
    <t>Total</t>
  </si>
  <si>
    <t>Cost /U</t>
  </si>
  <si>
    <t>Description / Details</t>
  </si>
  <si>
    <t xml:space="preserve">General Requirements   </t>
  </si>
  <si>
    <t>01</t>
  </si>
  <si>
    <t>Mo</t>
  </si>
  <si>
    <t>Potholing</t>
  </si>
  <si>
    <t>02</t>
  </si>
  <si>
    <t>LS</t>
  </si>
  <si>
    <t xml:space="preserve">Concrete   </t>
  </si>
  <si>
    <t>03</t>
  </si>
  <si>
    <t xml:space="preserve">Slabs </t>
  </si>
  <si>
    <t>03-3101</t>
  </si>
  <si>
    <t>SF</t>
  </si>
  <si>
    <t>NRC pricing under $10 other over $12.</t>
  </si>
  <si>
    <t>Lightweight Concrete</t>
  </si>
  <si>
    <t>03-3116</t>
  </si>
  <si>
    <t xml:space="preserve">Other </t>
  </si>
  <si>
    <t xml:space="preserve">Masonry   </t>
  </si>
  <si>
    <t>04</t>
  </si>
  <si>
    <t>No elevator shaft</t>
  </si>
  <si>
    <t xml:space="preserve">Metals   </t>
  </si>
  <si>
    <t>05</t>
  </si>
  <si>
    <t>Structural Steel</t>
  </si>
  <si>
    <t>Place holder</t>
  </si>
  <si>
    <t>Stair Handrail</t>
  </si>
  <si>
    <t>Count</t>
  </si>
  <si>
    <t xml:space="preserve">Iron Railings </t>
  </si>
  <si>
    <t>LF</t>
  </si>
  <si>
    <t>Other</t>
  </si>
  <si>
    <t xml:space="preserve">Wood, Plastics, &amp; Composites   </t>
  </si>
  <si>
    <t>06</t>
  </si>
  <si>
    <t xml:space="preserve">Framing </t>
  </si>
  <si>
    <t>06-1100</t>
  </si>
  <si>
    <t>Robindale and WH ave proposals $16.91</t>
  </si>
  <si>
    <t>Finish Carpentry - Units</t>
  </si>
  <si>
    <t>06-2001</t>
  </si>
  <si>
    <t>Unit</t>
  </si>
  <si>
    <t>WH ave of 2 best proposals (Rystin and CMD)</t>
  </si>
  <si>
    <t xml:space="preserve">Thermal &amp; Moisture Protection   </t>
  </si>
  <si>
    <t>07</t>
  </si>
  <si>
    <t xml:space="preserve">Insulation </t>
  </si>
  <si>
    <t>07-2101</t>
  </si>
  <si>
    <t>07-3001</t>
  </si>
  <si>
    <t>Square</t>
  </si>
  <si>
    <t xml:space="preserve">Openings   </t>
  </si>
  <si>
    <t>08</t>
  </si>
  <si>
    <t>Windows &amp; Sliding Glass Doors</t>
  </si>
  <si>
    <t>08-5301</t>
  </si>
  <si>
    <t xml:space="preserve">Finishes   </t>
  </si>
  <si>
    <t>09</t>
  </si>
  <si>
    <t>09-2423</t>
  </si>
  <si>
    <t>SY</t>
  </si>
  <si>
    <t>Drywall</t>
  </si>
  <si>
    <t>09-2905</t>
  </si>
  <si>
    <t>Flooring - Units</t>
  </si>
  <si>
    <t>09-6001</t>
  </si>
  <si>
    <t>Painting</t>
  </si>
  <si>
    <t>09-9101</t>
  </si>
  <si>
    <t xml:space="preserve">Specialties   </t>
  </si>
  <si>
    <t>10</t>
  </si>
  <si>
    <t>Equipment  / Appliances</t>
  </si>
  <si>
    <t xml:space="preserve">Furnishings   </t>
  </si>
  <si>
    <t>12</t>
  </si>
  <si>
    <t>Cabinets Units</t>
  </si>
  <si>
    <t>12-3531</t>
  </si>
  <si>
    <t>Counter Tops Units</t>
  </si>
  <si>
    <t>12-3601</t>
  </si>
  <si>
    <t xml:space="preserve">Special Construction   </t>
  </si>
  <si>
    <t>13</t>
  </si>
  <si>
    <t>Pools and Spas</t>
  </si>
  <si>
    <t>13-1113</t>
  </si>
  <si>
    <t>13-3401</t>
  </si>
  <si>
    <t xml:space="preserve">Conveying Equipment </t>
  </si>
  <si>
    <t>14</t>
  </si>
  <si>
    <t>Stop</t>
  </si>
  <si>
    <t>Durango Station Buildingg elevators</t>
  </si>
  <si>
    <t xml:space="preserve">Fire Suppression   </t>
  </si>
  <si>
    <t xml:space="preserve">Sprinkler System </t>
  </si>
  <si>
    <t>21-1313</t>
  </si>
  <si>
    <t>Pump House</t>
  </si>
  <si>
    <t>21-3000</t>
  </si>
  <si>
    <t xml:space="preserve">Plumbing   </t>
  </si>
  <si>
    <t>22</t>
  </si>
  <si>
    <t>1 Bathroom Unit</t>
  </si>
  <si>
    <t>22-1001</t>
  </si>
  <si>
    <t>2 Bathroom Unit</t>
  </si>
  <si>
    <t>HVAC Standard</t>
  </si>
  <si>
    <t xml:space="preserve">Electrical   </t>
  </si>
  <si>
    <t>26</t>
  </si>
  <si>
    <t>Electrical</t>
  </si>
  <si>
    <t>26-1001</t>
  </si>
  <si>
    <t>26-5001</t>
  </si>
  <si>
    <t xml:space="preserve">Communications  </t>
  </si>
  <si>
    <t>27</t>
  </si>
  <si>
    <t xml:space="preserve">Electronic Safety &amp; Security   </t>
  </si>
  <si>
    <t>Fire Alarm / Two Way Comm AOR</t>
  </si>
  <si>
    <t>28-4601</t>
  </si>
  <si>
    <t xml:space="preserve">Earthwork   </t>
  </si>
  <si>
    <t>31</t>
  </si>
  <si>
    <t>Mass Grading</t>
  </si>
  <si>
    <t>31-2201</t>
  </si>
  <si>
    <t>Acre</t>
  </si>
  <si>
    <t>Reduced other grading cost to lower end range</t>
  </si>
  <si>
    <t xml:space="preserve">Exterior Improvements   </t>
  </si>
  <si>
    <t>Paving</t>
  </si>
  <si>
    <t>32-1216</t>
  </si>
  <si>
    <t>Site Landscaping</t>
  </si>
  <si>
    <t>32-9001</t>
  </si>
  <si>
    <t xml:space="preserve">Walls Masonry </t>
  </si>
  <si>
    <t>Site Concrete</t>
  </si>
  <si>
    <t>On and &amp; sites concrete.</t>
  </si>
  <si>
    <t>Offsite Paving</t>
  </si>
  <si>
    <t xml:space="preserve">Utilities   </t>
  </si>
  <si>
    <t>33</t>
  </si>
  <si>
    <t xml:space="preserve">Water </t>
  </si>
  <si>
    <t>33-1001</t>
  </si>
  <si>
    <t>Sewer</t>
  </si>
  <si>
    <t>33-3001</t>
  </si>
  <si>
    <t>Electric</t>
  </si>
  <si>
    <t>33-7101</t>
  </si>
  <si>
    <t>Off Site Water</t>
  </si>
  <si>
    <t>Off Site Sewer</t>
  </si>
  <si>
    <t>Storm Drain</t>
  </si>
  <si>
    <t>33-4001</t>
  </si>
  <si>
    <t>Off Site Electric</t>
  </si>
  <si>
    <t xml:space="preserve">Traffic Control </t>
  </si>
  <si>
    <t>34-4116</t>
  </si>
  <si>
    <t xml:space="preserve">Electrical Power Generation   </t>
  </si>
  <si>
    <t>48</t>
  </si>
  <si>
    <t xml:space="preserve">Field Surveys, Staking   </t>
  </si>
  <si>
    <t>49</t>
  </si>
  <si>
    <t>Bid Risk &amp; BABA</t>
  </si>
  <si>
    <t>BABA</t>
  </si>
  <si>
    <t>Bid Risk</t>
  </si>
  <si>
    <t xml:space="preserve">FFE </t>
  </si>
  <si>
    <t xml:space="preserve">Interior Furniture </t>
  </si>
  <si>
    <t xml:space="preserve">Unit </t>
  </si>
  <si>
    <t xml:space="preserve">Construction Contingency </t>
  </si>
  <si>
    <t>Sub Bonds</t>
  </si>
  <si>
    <t>GL Insurance</t>
  </si>
  <si>
    <t>50</t>
  </si>
  <si>
    <t>Overhead &amp; Contractor Fee</t>
  </si>
  <si>
    <t>56</t>
  </si>
  <si>
    <t>Overhead</t>
  </si>
  <si>
    <t>Contractor Fee</t>
  </si>
  <si>
    <t>Total Hard Costs</t>
  </si>
  <si>
    <t>SENIOR / AFFORABLE PROJECTS</t>
  </si>
  <si>
    <t>Gagnier</t>
  </si>
  <si>
    <t>Robindale</t>
  </si>
  <si>
    <t>West Henderson</t>
  </si>
  <si>
    <t>Bruner</t>
  </si>
  <si>
    <t>South Nellis</t>
  </si>
  <si>
    <t>Torrey Pines</t>
  </si>
  <si>
    <t>Decatur</t>
  </si>
  <si>
    <t>Pebble</t>
  </si>
  <si>
    <t>Budget</t>
  </si>
  <si>
    <t>Proposal</t>
  </si>
  <si>
    <t>Contract</t>
  </si>
  <si>
    <t>UOM</t>
  </si>
  <si>
    <t>PU</t>
  </si>
  <si>
    <t>Bld Gross SF</t>
  </si>
  <si>
    <t>Per Unit</t>
  </si>
  <si>
    <t>Per Unt</t>
  </si>
  <si>
    <t>Per Landscaping Area SF</t>
  </si>
  <si>
    <t>Per slab square footage</t>
  </si>
  <si>
    <t xml:space="preserve">Appliances </t>
  </si>
  <si>
    <t xml:space="preserve">Per unit </t>
  </si>
  <si>
    <t>Per unit</t>
  </si>
  <si>
    <t>Per exterior elevation stucco takeoff</t>
  </si>
  <si>
    <t>Per roof squares takeoff</t>
  </si>
  <si>
    <t>Per lightwright areas SF</t>
  </si>
  <si>
    <t>Per total SY of unit measurement</t>
  </si>
  <si>
    <t>Windows and Sliding Glass Doors</t>
  </si>
  <si>
    <t>Total Pool Estimate</t>
  </si>
  <si>
    <t>N/A</t>
  </si>
  <si>
    <t>Fire Pump</t>
  </si>
  <si>
    <t>Total Pump House Estimate</t>
  </si>
  <si>
    <t>Bruner Sr</t>
  </si>
  <si>
    <t>VARIANCE</t>
  </si>
  <si>
    <t>Per SF</t>
  </si>
  <si>
    <t>Expl.</t>
  </si>
  <si>
    <t>Bru. Rocky price + Gag @ $50K Demo</t>
  </si>
  <si>
    <t>Gagnier has Dom &amp; Fire Loop.</t>
  </si>
  <si>
    <t>Bruner connection is right outsite.</t>
  </si>
  <si>
    <t>Gagnier worse case POC Badura.</t>
  </si>
  <si>
    <t>Gagnier worse case.</t>
  </si>
  <si>
    <t>Bruner has $400k for gas.</t>
  </si>
  <si>
    <t>Bruner has 1%</t>
  </si>
  <si>
    <t>Constractor Fee</t>
  </si>
  <si>
    <t>Flamingo Riley</t>
  </si>
  <si>
    <t>Variance</t>
  </si>
  <si>
    <t>$</t>
  </si>
  <si>
    <t>$ / GSF</t>
  </si>
  <si>
    <t>$ / U</t>
  </si>
  <si>
    <t>Hard Cost</t>
  </si>
  <si>
    <t>01 - General Requirements</t>
  </si>
  <si>
    <t>02 - Existing Conditions</t>
  </si>
  <si>
    <t>03 - Concrete</t>
  </si>
  <si>
    <t>04 - Masonry</t>
  </si>
  <si>
    <t>05 - Metals</t>
  </si>
  <si>
    <t>06 - Wood, Plastics, &amp; Composites</t>
  </si>
  <si>
    <t>07 - Thermal &amp; Moisture Protection</t>
  </si>
  <si>
    <t>08 - Openings</t>
  </si>
  <si>
    <t>09 - Finishes</t>
  </si>
  <si>
    <t>10 - Specialties</t>
  </si>
  <si>
    <t>11 - Equipment</t>
  </si>
  <si>
    <t>12 - Furnishings</t>
  </si>
  <si>
    <t>13 - Special Construction</t>
  </si>
  <si>
    <t>14 - Conveying Equipment</t>
  </si>
  <si>
    <t>21 - Fire Suppression</t>
  </si>
  <si>
    <t>22 - Plumbing</t>
  </si>
  <si>
    <t>23 - HVAC</t>
  </si>
  <si>
    <t>26 - Electrical</t>
  </si>
  <si>
    <t>27 - Communications</t>
  </si>
  <si>
    <t>28 - Electronic Safety &amp; Security</t>
  </si>
  <si>
    <t>31 - Earthwork</t>
  </si>
  <si>
    <t>32 - Exterior Improvements</t>
  </si>
  <si>
    <t>33 - Utilities</t>
  </si>
  <si>
    <t>34 - Transportation</t>
  </si>
  <si>
    <t>48 - Electrical Power Generation</t>
  </si>
  <si>
    <t>49 - Field Surveys, Staking</t>
  </si>
  <si>
    <t>FFE Extra</t>
  </si>
  <si>
    <t>50 - Sub Bonds / Contractor Insurance</t>
  </si>
  <si>
    <t>55 - Construction Contingency</t>
  </si>
  <si>
    <t>56 - Contractor Fee</t>
  </si>
  <si>
    <t>Comments</t>
  </si>
  <si>
    <t>Leaseable</t>
  </si>
  <si>
    <t>Gross</t>
  </si>
  <si>
    <t>Common Area Doors ($200k)are under (06) Finish Carpentry.</t>
  </si>
  <si>
    <t>New refrigerant cost provided on Hualapai proposal by Enix.</t>
  </si>
  <si>
    <t>DAS System budget. Normal cost aroung $115k to $120k.</t>
  </si>
  <si>
    <t>Esc @ 20% if CC implement new alarm code.</t>
  </si>
  <si>
    <t>Using initial GCW site evalation 5/20/2021 which has worse case scenerio.</t>
  </si>
  <si>
    <t>Minimun amount condired for car charger requirement and rough for solar.</t>
  </si>
  <si>
    <t>Pebble current estimate to completion is at $223k.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</si>
</sst>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#,##0.0"/>
    <numFmt numFmtId="167" formatCode="&quot;$&quot;#,##0.0_);[Red]\(&quot;$&quot;#,##0.0\)"/>
    <numFmt numFmtId="168" formatCode="#,##0.0_);[Red]\(#,##0.0\)"/>
    <numFmt numFmtId="169" formatCode="&quot;$&quot;#,##0.00"/>
    <numFmt numFmtId="170" formatCode="&quot;$&quot;#,##0.000"/>
    <numFmt numFmtId="171" formatCode="_(&quot;$&quot;* #,##0_);_(&quot;$&quot;* \(#,##0\);_(&quot;$&quot;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masis MT Pro"/>
      <family val="1"/>
    </font>
    <font>
      <b/>
      <sz val="11"/>
      <color theme="1"/>
      <name val="Amasis MT Pro"/>
      <family val="1"/>
    </font>
    <font>
      <b/>
      <sz val="11"/>
      <name val="Amasis MT Pro"/>
      <family val="1"/>
    </font>
    <font>
      <sz val="11"/>
      <name val="Amasis MT Pro"/>
      <family val="1"/>
    </font>
    <font>
      <sz val="10"/>
      <color theme="1"/>
      <name val="Geneva"/>
    </font>
    <font>
      <b/>
      <sz val="10"/>
      <color theme="0"/>
      <name val="Geneva"/>
    </font>
    <font>
      <b/>
      <sz val="10"/>
      <name val="Geneva"/>
    </font>
    <font>
      <b/>
      <sz val="10"/>
      <color theme="1"/>
      <name val="Geneva"/>
    </font>
    <font>
      <b/>
      <u val="singleAccounting"/>
      <sz val="10"/>
      <color theme="1"/>
      <name val="Geneva"/>
    </font>
    <font>
      <u val="singleAccounting"/>
      <sz val="10"/>
      <color theme="1"/>
      <name val="Geneva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5" fillId="2" borderId="2" xfId="0" applyFont="1" applyFill="1" applyBorder="1"/>
    <xf numFmtId="0" fontId="0" fillId="3" borderId="0" xfId="0" applyFill="1"/>
    <xf numFmtId="0" fontId="4" fillId="3" borderId="4" xfId="0" applyFont="1" applyFill="1" applyBorder="1"/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left" indent="1"/>
    </xf>
    <xf numFmtId="9" fontId="0" fillId="3" borderId="5" xfId="2" applyFont="1" applyFill="1" applyBorder="1" applyAlignment="1">
      <alignment horizontal="center"/>
    </xf>
    <xf numFmtId="0" fontId="0" fillId="3" borderId="6" xfId="0" applyFill="1" applyBorder="1"/>
    <xf numFmtId="0" fontId="0" fillId="3" borderId="4" xfId="0" applyFill="1" applyBorder="1"/>
    <xf numFmtId="3" fontId="0" fillId="3" borderId="6" xfId="0" applyNumberFormat="1" applyFill="1" applyBorder="1" applyAlignment="1">
      <alignment horizontal="center"/>
    </xf>
    <xf numFmtId="0" fontId="0" fillId="3" borderId="5" xfId="0" applyFill="1" applyBorder="1"/>
    <xf numFmtId="0" fontId="4" fillId="3" borderId="7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left" indent="1"/>
    </xf>
    <xf numFmtId="0" fontId="0" fillId="3" borderId="9" xfId="0" applyFill="1" applyBorder="1" applyAlignment="1">
      <alignment horizontal="center"/>
    </xf>
    <xf numFmtId="9" fontId="0" fillId="3" borderId="8" xfId="2" applyFont="1" applyFill="1" applyBorder="1" applyAlignment="1">
      <alignment horizontal="center"/>
    </xf>
    <xf numFmtId="0" fontId="0" fillId="3" borderId="9" xfId="0" applyFill="1" applyBorder="1"/>
    <xf numFmtId="0" fontId="0" fillId="3" borderId="7" xfId="0" applyFill="1" applyBorder="1"/>
    <xf numFmtId="0" fontId="0" fillId="3" borderId="8" xfId="0" applyFill="1" applyBorder="1"/>
    <xf numFmtId="3" fontId="0" fillId="3" borderId="9" xfId="0" applyNumberFormat="1" applyFill="1" applyBorder="1" applyAlignment="1">
      <alignment horizontal="center"/>
    </xf>
    <xf numFmtId="3" fontId="6" fillId="3" borderId="9" xfId="0" applyNumberFormat="1" applyFont="1" applyFill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1" fontId="6" fillId="3" borderId="9" xfId="0" applyNumberFormat="1" applyFont="1" applyFill="1" applyBorder="1" applyAlignment="1">
      <alignment horizontal="center"/>
    </xf>
    <xf numFmtId="0" fontId="4" fillId="3" borderId="10" xfId="0" applyFont="1" applyFill="1" applyBorder="1"/>
    <xf numFmtId="4" fontId="0" fillId="3" borderId="11" xfId="0" applyNumberFormat="1" applyFill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center"/>
    </xf>
    <xf numFmtId="9" fontId="4" fillId="3" borderId="11" xfId="2" applyFont="1" applyFill="1" applyBorder="1" applyAlignment="1">
      <alignment horizontal="center"/>
    </xf>
    <xf numFmtId="0" fontId="0" fillId="3" borderId="12" xfId="0" applyFill="1" applyBorder="1"/>
    <xf numFmtId="2" fontId="0" fillId="3" borderId="11" xfId="0" applyNumberFormat="1" applyFill="1" applyBorder="1" applyAlignment="1">
      <alignment horizontal="center"/>
    </xf>
    <xf numFmtId="0" fontId="6" fillId="3" borderId="10" xfId="0" applyFont="1" applyFill="1" applyBorder="1"/>
    <xf numFmtId="3" fontId="0" fillId="3" borderId="12" xfId="0" applyNumberFormat="1" applyFill="1" applyBorder="1" applyAlignment="1">
      <alignment horizontal="center"/>
    </xf>
    <xf numFmtId="0" fontId="0" fillId="3" borderId="11" xfId="0" applyFill="1" applyBorder="1"/>
    <xf numFmtId="0" fontId="4" fillId="3" borderId="0" xfId="0" applyFont="1" applyFill="1"/>
    <xf numFmtId="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left" vertical="top" indent="1" readingOrder="1"/>
    </xf>
    <xf numFmtId="0" fontId="6" fillId="4" borderId="16" xfId="0" applyFont="1" applyFill="1" applyBorder="1" applyAlignment="1">
      <alignment horizontal="center"/>
    </xf>
    <xf numFmtId="4" fontId="6" fillId="4" borderId="16" xfId="0" applyNumberFormat="1" applyFont="1" applyFill="1" applyBorder="1" applyAlignment="1">
      <alignment horizontal="right"/>
    </xf>
    <xf numFmtId="3" fontId="6" fillId="4" borderId="16" xfId="0" applyNumberFormat="1" applyFont="1" applyFill="1" applyBorder="1" applyAlignment="1">
      <alignment horizontal="right"/>
    </xf>
    <xf numFmtId="0" fontId="7" fillId="4" borderId="17" xfId="0" applyFont="1" applyFill="1" applyBorder="1" applyAlignment="1">
      <alignment horizontal="left" vertical="top" indent="1" readingOrder="1"/>
    </xf>
    <xf numFmtId="0" fontId="6" fillId="4" borderId="18" xfId="0" applyFont="1" applyFill="1" applyBorder="1" applyAlignment="1">
      <alignment horizontal="center"/>
    </xf>
    <xf numFmtId="3" fontId="6" fillId="4" borderId="18" xfId="0" applyNumberFormat="1" applyFont="1" applyFill="1" applyBorder="1" applyAlignment="1">
      <alignment horizontal="center"/>
    </xf>
    <xf numFmtId="3" fontId="6" fillId="4" borderId="18" xfId="0" applyNumberFormat="1" applyFont="1" applyFill="1" applyBorder="1"/>
    <xf numFmtId="9" fontId="6" fillId="4" borderId="18" xfId="2" applyFont="1" applyFill="1" applyBorder="1" applyAlignment="1">
      <alignment horizontal="center"/>
    </xf>
    <xf numFmtId="4" fontId="6" fillId="4" borderId="18" xfId="0" applyNumberFormat="1" applyFont="1" applyFill="1" applyBorder="1" applyAlignment="1">
      <alignment horizontal="right"/>
    </xf>
    <xf numFmtId="3" fontId="6" fillId="4" borderId="18" xfId="0" applyNumberFormat="1" applyFont="1" applyFill="1" applyBorder="1" applyAlignment="1">
      <alignment horizontal="right"/>
    </xf>
    <xf numFmtId="164" fontId="7" fillId="4" borderId="18" xfId="0" applyNumberFormat="1" applyFont="1" applyFill="1" applyBorder="1"/>
    <xf numFmtId="0" fontId="6" fillId="3" borderId="17" xfId="0" applyFont="1" applyFill="1" applyBorder="1" applyAlignment="1">
      <alignment horizontal="left" vertical="top" indent="3" readingOrder="1"/>
    </xf>
    <xf numFmtId="0" fontId="6" fillId="3" borderId="18" xfId="0" applyFont="1" applyFill="1" applyBorder="1" applyAlignment="1">
      <alignment horizontal="center"/>
    </xf>
    <xf numFmtId="3" fontId="6" fillId="3" borderId="18" xfId="0" applyNumberFormat="1" applyFont="1" applyFill="1" applyBorder="1" applyAlignment="1">
      <alignment horizontal="center"/>
    </xf>
    <xf numFmtId="3" fontId="6" fillId="3" borderId="18" xfId="0" applyNumberFormat="1" applyFont="1" applyFill="1" applyBorder="1"/>
    <xf numFmtId="9" fontId="6" fillId="3" borderId="18" xfId="2" applyFont="1" applyFill="1" applyBorder="1" applyAlignment="1">
      <alignment horizontal="center"/>
    </xf>
    <xf numFmtId="4" fontId="6" fillId="3" borderId="18" xfId="0" applyNumberFormat="1" applyFont="1" applyFill="1" applyBorder="1" applyAlignment="1">
      <alignment horizontal="right"/>
    </xf>
    <xf numFmtId="3" fontId="6" fillId="3" borderId="18" xfId="0" applyNumberFormat="1" applyFont="1" applyFill="1" applyBorder="1" applyAlignment="1">
      <alignment horizontal="right"/>
    </xf>
    <xf numFmtId="0" fontId="6" fillId="3" borderId="18" xfId="0" applyFont="1" applyFill="1" applyBorder="1"/>
    <xf numFmtId="164" fontId="7" fillId="3" borderId="18" xfId="0" applyNumberFormat="1" applyFont="1" applyFill="1" applyBorder="1"/>
    <xf numFmtId="4" fontId="6" fillId="4" borderId="18" xfId="0" applyNumberFormat="1" applyFont="1" applyFill="1" applyBorder="1"/>
    <xf numFmtId="3" fontId="0" fillId="3" borderId="0" xfId="0" applyNumberFormat="1" applyFill="1"/>
    <xf numFmtId="4" fontId="6" fillId="3" borderId="18" xfId="0" applyNumberFormat="1" applyFont="1" applyFill="1" applyBorder="1"/>
    <xf numFmtId="43" fontId="6" fillId="3" borderId="18" xfId="1" applyFont="1" applyFill="1" applyBorder="1"/>
    <xf numFmtId="17" fontId="6" fillId="3" borderId="18" xfId="0" applyNumberFormat="1" applyFont="1" applyFill="1" applyBorder="1" applyAlignment="1">
      <alignment horizontal="center"/>
    </xf>
    <xf numFmtId="166" fontId="6" fillId="4" borderId="18" xfId="0" applyNumberFormat="1" applyFont="1" applyFill="1" applyBorder="1" applyAlignment="1">
      <alignment horizontal="center"/>
    </xf>
    <xf numFmtId="166" fontId="6" fillId="3" borderId="18" xfId="0" applyNumberFormat="1" applyFont="1" applyFill="1" applyBorder="1" applyAlignment="1">
      <alignment horizontal="center"/>
    </xf>
    <xf numFmtId="10" fontId="6" fillId="4" borderId="18" xfId="2" applyNumberFormat="1" applyFont="1" applyFill="1" applyBorder="1" applyAlignment="1">
      <alignment horizontal="center"/>
    </xf>
    <xf numFmtId="0" fontId="6" fillId="4" borderId="9" xfId="0" applyFont="1" applyFill="1" applyBorder="1"/>
    <xf numFmtId="0" fontId="2" fillId="2" borderId="20" xfId="0" applyFont="1" applyFill="1" applyBorder="1" applyAlignment="1">
      <alignment horizontal="left" vertical="top" readingOrder="1"/>
    </xf>
    <xf numFmtId="0" fontId="5" fillId="2" borderId="21" xfId="0" applyFont="1" applyFill="1" applyBorder="1" applyAlignment="1">
      <alignment horizontal="center"/>
    </xf>
    <xf numFmtId="4" fontId="5" fillId="2" borderId="21" xfId="0" applyNumberFormat="1" applyFont="1" applyFill="1" applyBorder="1"/>
    <xf numFmtId="9" fontId="5" fillId="2" borderId="21" xfId="2" applyFont="1" applyFill="1" applyBorder="1" applyAlignment="1">
      <alignment horizontal="center"/>
    </xf>
    <xf numFmtId="3" fontId="5" fillId="2" borderId="21" xfId="0" applyNumberFormat="1" applyFont="1" applyFill="1" applyBorder="1"/>
    <xf numFmtId="164" fontId="2" fillId="2" borderId="18" xfId="0" applyNumberFormat="1" applyFont="1" applyFill="1" applyBorder="1"/>
    <xf numFmtId="0" fontId="6" fillId="2" borderId="17" xfId="0" applyFont="1" applyFill="1" applyBorder="1"/>
    <xf numFmtId="0" fontId="6" fillId="2" borderId="19" xfId="0" applyFont="1" applyFill="1" applyBorder="1"/>
    <xf numFmtId="9" fontId="0" fillId="3" borderId="0" xfId="2" applyFont="1" applyFill="1" applyAlignment="1">
      <alignment horizontal="center"/>
    </xf>
    <xf numFmtId="164" fontId="5" fillId="3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22" xfId="0" applyFont="1" applyBorder="1" applyAlignment="1">
      <alignment horizontal="centerContinuous"/>
    </xf>
    <xf numFmtId="0" fontId="8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0" xfId="0" applyFont="1" applyFill="1" applyAlignment="1">
      <alignment vertical="center"/>
    </xf>
    <xf numFmtId="3" fontId="8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 readingOrder="1"/>
    </xf>
    <xf numFmtId="4" fontId="8" fillId="0" borderId="23" xfId="0" applyNumberFormat="1" applyFont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readingOrder="1"/>
    </xf>
    <xf numFmtId="3" fontId="11" fillId="0" borderId="9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4" fontId="11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readingOrder="1"/>
    </xf>
    <xf numFmtId="164" fontId="8" fillId="0" borderId="0" xfId="0" applyNumberFormat="1" applyFont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3" fontId="2" fillId="6" borderId="13" xfId="0" applyNumberFormat="1" applyFont="1" applyFill="1" applyBorder="1" applyAlignment="1">
      <alignment horizontal="center" vertical="center"/>
    </xf>
    <xf numFmtId="3" fontId="2" fillId="2" borderId="21" xfId="0" applyNumberFormat="1" applyFont="1" applyFill="1" applyBorder="1"/>
    <xf numFmtId="10" fontId="6" fillId="3" borderId="18" xfId="2" applyNumberFormat="1" applyFont="1" applyFill="1" applyBorder="1" applyAlignment="1">
      <alignment horizontal="center"/>
    </xf>
    <xf numFmtId="3" fontId="7" fillId="4" borderId="18" xfId="0" applyNumberFormat="1" applyFont="1" applyFill="1" applyBorder="1" applyAlignment="1">
      <alignment horizontal="right"/>
    </xf>
    <xf numFmtId="0" fontId="7" fillId="7" borderId="13" xfId="0" applyFont="1" applyFill="1" applyBorder="1" applyAlignment="1">
      <alignment horizontal="center" vertical="center"/>
    </xf>
    <xf numFmtId="3" fontId="7" fillId="7" borderId="13" xfId="0" applyNumberFormat="1" applyFont="1" applyFill="1" applyBorder="1" applyAlignment="1">
      <alignment horizontal="center" vertical="center"/>
    </xf>
    <xf numFmtId="3" fontId="7" fillId="4" borderId="18" xfId="0" applyNumberFormat="1" applyFont="1" applyFill="1" applyBorder="1"/>
    <xf numFmtId="0" fontId="2" fillId="8" borderId="0" xfId="0" applyFont="1" applyFill="1" applyAlignment="1">
      <alignment horizontal="centerContinuous"/>
    </xf>
    <xf numFmtId="0" fontId="2" fillId="8" borderId="13" xfId="0" applyFont="1" applyFill="1" applyBorder="1" applyAlignment="1">
      <alignment horizontal="center" vertical="center"/>
    </xf>
    <xf numFmtId="3" fontId="6" fillId="9" borderId="16" xfId="0" applyNumberFormat="1" applyFont="1" applyFill="1" applyBorder="1" applyAlignment="1">
      <alignment horizontal="right"/>
    </xf>
    <xf numFmtId="4" fontId="6" fillId="9" borderId="16" xfId="0" applyNumberFormat="1" applyFont="1" applyFill="1" applyBorder="1" applyAlignment="1">
      <alignment horizontal="right"/>
    </xf>
    <xf numFmtId="3" fontId="6" fillId="9" borderId="18" xfId="0" applyNumberFormat="1" applyFont="1" applyFill="1" applyBorder="1" applyAlignment="1">
      <alignment horizontal="right"/>
    </xf>
    <xf numFmtId="4" fontId="6" fillId="9" borderId="18" xfId="0" applyNumberFormat="1" applyFont="1" applyFill="1" applyBorder="1" applyAlignment="1">
      <alignment horizontal="right"/>
    </xf>
    <xf numFmtId="3" fontId="6" fillId="9" borderId="18" xfId="0" applyNumberFormat="1" applyFont="1" applyFill="1" applyBorder="1"/>
    <xf numFmtId="4" fontId="6" fillId="9" borderId="18" xfId="0" applyNumberFormat="1" applyFont="1" applyFill="1" applyBorder="1"/>
    <xf numFmtId="0" fontId="2" fillId="10" borderId="24" xfId="0" applyFont="1" applyFill="1" applyBorder="1" applyAlignment="1">
      <alignment horizontal="center" vertical="center"/>
    </xf>
    <xf numFmtId="3" fontId="6" fillId="11" borderId="18" xfId="0" applyNumberFormat="1" applyFont="1" applyFill="1" applyBorder="1"/>
    <xf numFmtId="3" fontId="6" fillId="0" borderId="18" xfId="0" applyNumberFormat="1" applyFont="1" applyBorder="1"/>
    <xf numFmtId="3" fontId="2" fillId="10" borderId="18" xfId="0" applyNumberFormat="1" applyFont="1" applyFill="1" applyBorder="1"/>
    <xf numFmtId="0" fontId="12" fillId="0" borderId="0" xfId="0" applyFont="1"/>
    <xf numFmtId="0" fontId="14" fillId="0" borderId="0" xfId="0" applyFont="1" applyAlignment="1">
      <alignment horizontal="left"/>
    </xf>
    <xf numFmtId="165" fontId="15" fillId="0" borderId="0" xfId="0" applyNumberFormat="1" applyFont="1"/>
    <xf numFmtId="8" fontId="15" fillId="0" borderId="0" xfId="0" applyNumberFormat="1" applyFont="1"/>
    <xf numFmtId="6" fontId="15" fillId="0" borderId="0" xfId="0" applyNumberFormat="1" applyFont="1"/>
    <xf numFmtId="43" fontId="16" fillId="0" borderId="0" xfId="1" applyFont="1" applyAlignment="1">
      <alignment horizontal="center"/>
    </xf>
    <xf numFmtId="43" fontId="17" fillId="0" borderId="0" xfId="1" applyFont="1"/>
    <xf numFmtId="0" fontId="12" fillId="0" borderId="0" xfId="0" applyFont="1" applyAlignment="1">
      <alignment horizontal="left" indent="1"/>
    </xf>
    <xf numFmtId="165" fontId="12" fillId="0" borderId="0" xfId="1" applyNumberFormat="1" applyFont="1" applyBorder="1"/>
    <xf numFmtId="38" fontId="12" fillId="0" borderId="0" xfId="0" applyNumberFormat="1" applyFont="1"/>
    <xf numFmtId="38" fontId="12" fillId="0" borderId="0" xfId="0" applyNumberFormat="1" applyFont="1" applyAlignment="1">
      <alignment horizontal="center"/>
    </xf>
    <xf numFmtId="40" fontId="12" fillId="0" borderId="0" xfId="0" applyNumberFormat="1" applyFont="1"/>
    <xf numFmtId="0" fontId="0" fillId="0" borderId="0" xfId="0" applyAlignment="1">
      <alignment horizontal="left"/>
    </xf>
    <xf numFmtId="167" fontId="12" fillId="0" borderId="0" xfId="0" applyNumberFormat="1" applyFont="1"/>
    <xf numFmtId="6" fontId="12" fillId="0" borderId="0" xfId="0" applyNumberFormat="1" applyFont="1"/>
    <xf numFmtId="38" fontId="15" fillId="0" borderId="0" xfId="0" applyNumberFormat="1" applyFont="1" applyAlignment="1">
      <alignment horizontal="center"/>
    </xf>
    <xf numFmtId="168" fontId="12" fillId="0" borderId="0" xfId="0" applyNumberFormat="1" applyFont="1"/>
    <xf numFmtId="0" fontId="12" fillId="0" borderId="0" xfId="0" applyFont="1" applyAlignment="1">
      <alignment horizontal="center"/>
    </xf>
    <xf numFmtId="38" fontId="15" fillId="0" borderId="0" xfId="0" applyNumberFormat="1" applyFont="1" applyAlignment="1">
      <alignment horizontal="center" vertical="center"/>
    </xf>
    <xf numFmtId="38" fontId="15" fillId="0" borderId="0" xfId="0" applyNumberFormat="1" applyFont="1" applyAlignment="1">
      <alignment horizontal="center" vertical="top"/>
    </xf>
    <xf numFmtId="167" fontId="15" fillId="0" borderId="0" xfId="0" applyNumberFormat="1" applyFont="1"/>
    <xf numFmtId="0" fontId="0" fillId="0" borderId="9" xfId="0" applyBorder="1"/>
    <xf numFmtId="6" fontId="12" fillId="0" borderId="9" xfId="0" applyNumberFormat="1" applyFont="1" applyBorder="1"/>
    <xf numFmtId="167" fontId="12" fillId="0" borderId="9" xfId="0" applyNumberFormat="1" applyFont="1" applyBorder="1"/>
    <xf numFmtId="38" fontId="12" fillId="0" borderId="9" xfId="0" applyNumberFormat="1" applyFont="1" applyBorder="1"/>
    <xf numFmtId="168" fontId="12" fillId="0" borderId="9" xfId="0" applyNumberFormat="1" applyFont="1" applyBorder="1"/>
    <xf numFmtId="169" fontId="6" fillId="3" borderId="18" xfId="0" applyNumberFormat="1" applyFont="1" applyFill="1" applyBorder="1" applyAlignment="1">
      <alignment horizontal="right"/>
    </xf>
    <xf numFmtId="169" fontId="0" fillId="3" borderId="0" xfId="0" applyNumberFormat="1" applyFill="1"/>
    <xf numFmtId="0" fontId="3" fillId="3" borderId="18" xfId="0" applyFont="1" applyFill="1" applyBorder="1" applyAlignment="1">
      <alignment horizontal="center"/>
    </xf>
    <xf numFmtId="0" fontId="3" fillId="3" borderId="18" xfId="0" applyFont="1" applyFill="1" applyBorder="1"/>
    <xf numFmtId="0" fontId="8" fillId="0" borderId="9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3" fontId="8" fillId="0" borderId="9" xfId="1" applyNumberFormat="1" applyFont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3" fontId="7" fillId="13" borderId="13" xfId="0" applyNumberFormat="1" applyFont="1" applyFill="1" applyBorder="1" applyAlignment="1">
      <alignment horizontal="center" vertical="center"/>
    </xf>
    <xf numFmtId="166" fontId="6" fillId="3" borderId="18" xfId="0" applyNumberFormat="1" applyFont="1" applyFill="1" applyBorder="1"/>
    <xf numFmtId="166" fontId="6" fillId="3" borderId="18" xfId="0" applyNumberFormat="1" applyFont="1" applyFill="1" applyBorder="1" applyAlignment="1">
      <alignment horizontal="right"/>
    </xf>
    <xf numFmtId="170" fontId="0" fillId="3" borderId="0" xfId="0" applyNumberFormat="1" applyFill="1"/>
    <xf numFmtId="3" fontId="8" fillId="3" borderId="9" xfId="0" applyNumberFormat="1" applyFont="1" applyFill="1" applyBorder="1" applyAlignment="1">
      <alignment horizontal="center" vertical="center"/>
    </xf>
    <xf numFmtId="171" fontId="0" fillId="3" borderId="0" xfId="3" applyNumberFormat="1" applyFont="1" applyFill="1"/>
    <xf numFmtId="171" fontId="8" fillId="0" borderId="0" xfId="3" applyNumberFormat="1" applyFont="1" applyAlignment="1">
      <alignment vertical="center"/>
    </xf>
    <xf numFmtId="44" fontId="8" fillId="0" borderId="0" xfId="3" applyFont="1" applyAlignment="1">
      <alignment vertical="center"/>
    </xf>
    <xf numFmtId="44" fontId="8" fillId="0" borderId="0" xfId="0" applyNumberFormat="1" applyFont="1" applyAlignment="1">
      <alignment vertical="center"/>
    </xf>
    <xf numFmtId="44" fontId="0" fillId="3" borderId="0" xfId="3" applyFont="1" applyFill="1"/>
    <xf numFmtId="0" fontId="8" fillId="15" borderId="0" xfId="0" applyFont="1" applyFill="1" applyAlignment="1">
      <alignment vertical="center"/>
    </xf>
    <xf numFmtId="166" fontId="11" fillId="16" borderId="9" xfId="0" applyNumberFormat="1" applyFont="1" applyFill="1" applyBorder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1" fillId="16" borderId="23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3" fontId="11" fillId="16" borderId="9" xfId="0" applyNumberFormat="1" applyFont="1" applyFill="1" applyBorder="1" applyAlignment="1">
      <alignment horizontal="center" vertical="center"/>
    </xf>
    <xf numFmtId="4" fontId="11" fillId="3" borderId="9" xfId="0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left" vertical="center" readingOrder="1"/>
    </xf>
    <xf numFmtId="3" fontId="8" fillId="16" borderId="25" xfId="0" applyNumberFormat="1" applyFont="1" applyFill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/>
    </xf>
    <xf numFmtId="4" fontId="11" fillId="15" borderId="23" xfId="0" applyNumberFormat="1" applyFont="1" applyFill="1" applyBorder="1" applyAlignment="1">
      <alignment horizontal="center" vertical="center"/>
    </xf>
    <xf numFmtId="3" fontId="11" fillId="15" borderId="9" xfId="1" applyNumberFormat="1" applyFont="1" applyFill="1" applyBorder="1" applyAlignment="1">
      <alignment horizontal="center" vertical="center"/>
    </xf>
    <xf numFmtId="3" fontId="11" fillId="15" borderId="23" xfId="0" applyNumberFormat="1" applyFont="1" applyFill="1" applyBorder="1" applyAlignment="1">
      <alignment horizontal="center" vertical="center"/>
    </xf>
    <xf numFmtId="3" fontId="11" fillId="15" borderId="9" xfId="0" applyNumberFormat="1" applyFont="1" applyFill="1" applyBorder="1" applyAlignment="1">
      <alignment horizontal="center" vertical="center"/>
    </xf>
    <xf numFmtId="166" fontId="11" fillId="15" borderId="9" xfId="0" applyNumberFormat="1" applyFont="1" applyFill="1" applyBorder="1" applyAlignment="1">
      <alignment horizontal="center" vertical="center"/>
    </xf>
    <xf numFmtId="4" fontId="8" fillId="15" borderId="23" xfId="0" applyNumberFormat="1" applyFont="1" applyFill="1" applyBorder="1" applyAlignment="1">
      <alignment horizontal="center" vertical="center"/>
    </xf>
    <xf numFmtId="3" fontId="8" fillId="15" borderId="9" xfId="1" applyNumberFormat="1" applyFont="1" applyFill="1" applyBorder="1" applyAlignment="1">
      <alignment horizontal="center" vertical="center"/>
    </xf>
    <xf numFmtId="3" fontId="8" fillId="15" borderId="23" xfId="0" applyNumberFormat="1" applyFont="1" applyFill="1" applyBorder="1" applyAlignment="1">
      <alignment horizontal="center" vertical="center"/>
    </xf>
    <xf numFmtId="2" fontId="8" fillId="15" borderId="9" xfId="0" applyNumberFormat="1" applyFont="1" applyFill="1" applyBorder="1" applyAlignment="1">
      <alignment horizontal="center" vertical="center"/>
    </xf>
    <xf numFmtId="4" fontId="8" fillId="15" borderId="9" xfId="0" applyNumberFormat="1" applyFont="1" applyFill="1" applyBorder="1" applyAlignment="1">
      <alignment horizontal="center" vertical="center"/>
    </xf>
    <xf numFmtId="1" fontId="8" fillId="15" borderId="9" xfId="0" applyNumberFormat="1" applyFont="1" applyFill="1" applyBorder="1" applyAlignment="1">
      <alignment horizontal="center" vertical="center"/>
    </xf>
    <xf numFmtId="3" fontId="8" fillId="15" borderId="9" xfId="0" applyNumberFormat="1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Continuous"/>
    </xf>
    <xf numFmtId="0" fontId="8" fillId="3" borderId="0" xfId="0" applyFont="1" applyFill="1"/>
    <xf numFmtId="166" fontId="11" fillId="17" borderId="9" xfId="0" applyNumberFormat="1" applyFont="1" applyFill="1" applyBorder="1" applyAlignment="1">
      <alignment horizontal="center" vertical="center"/>
    </xf>
    <xf numFmtId="4" fontId="11" fillId="17" borderId="23" xfId="0" applyNumberFormat="1" applyFont="1" applyFill="1" applyBorder="1" applyAlignment="1">
      <alignment horizontal="center" vertical="center"/>
    </xf>
    <xf numFmtId="3" fontId="11" fillId="17" borderId="9" xfId="1" applyNumberFormat="1" applyFont="1" applyFill="1" applyBorder="1" applyAlignment="1">
      <alignment horizontal="center" vertical="center"/>
    </xf>
    <xf numFmtId="3" fontId="11" fillId="17" borderId="23" xfId="0" applyNumberFormat="1" applyFont="1" applyFill="1" applyBorder="1" applyAlignment="1">
      <alignment horizontal="center" vertical="center"/>
    </xf>
    <xf numFmtId="3" fontId="11" fillId="17" borderId="9" xfId="0" applyNumberFormat="1" applyFont="1" applyFill="1" applyBorder="1" applyAlignment="1">
      <alignment horizontal="center" vertical="center"/>
    </xf>
    <xf numFmtId="3" fontId="8" fillId="17" borderId="25" xfId="0" applyNumberFormat="1" applyFont="1" applyFill="1" applyBorder="1" applyAlignment="1">
      <alignment horizontal="center" vertical="center"/>
    </xf>
    <xf numFmtId="0" fontId="10" fillId="17" borderId="22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3" fontId="8" fillId="17" borderId="0" xfId="0" applyNumberFormat="1" applyFont="1" applyFill="1" applyAlignment="1">
      <alignment horizontal="center" vertical="center"/>
    </xf>
    <xf numFmtId="4" fontId="8" fillId="17" borderId="0" xfId="0" applyNumberFormat="1" applyFont="1" applyFill="1" applyAlignment="1">
      <alignment horizontal="center" vertical="center"/>
    </xf>
    <xf numFmtId="3" fontId="8" fillId="17" borderId="22" xfId="0" applyNumberFormat="1" applyFont="1" applyFill="1" applyBorder="1" applyAlignment="1">
      <alignment horizontal="center" vertical="center"/>
    </xf>
    <xf numFmtId="3" fontId="6" fillId="18" borderId="18" xfId="0" applyNumberFormat="1" applyFont="1" applyFill="1" applyBorder="1"/>
    <xf numFmtId="0" fontId="13" fillId="2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0" fillId="3" borderId="17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13" fillId="14" borderId="0" xfId="0" applyFont="1" applyFill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6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customXml" Target="../customXml/item1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Profiles\Charrison\Local%20Settings\Temporary%20Internet%20Files\OLKF\Accrexp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chrisop\Local%20Settings\Temporary%20Internet%20Files\OLK15E\MODELS\SSHORE\1996\96CAMEX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-%20PRODUCTION\GM\Closed\Colorado%20&amp;%20Stewart%20Creative%20Office\Underwriting\AVI-JV-PROFOR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Models\Lennar%20VestaCalc%202006_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A%20-%20PRODUCTION\GM\Closed\Colorado%20&amp;%20Stewart%20Creative%20Office\Underwriting\AVI-JV-PROFORM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ef-ntdata1\public\TEMP\EXCEL\BUDGETS\WCI98\CPM\CPM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A%20-%20Production\GM\Shaw's%20Marketplace%20-%20G&amp;K\Economics%20-%20Shaw's%20Marketplace%20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%20PROJECTS%20PROFORMAS\Thunder%20Road\TIAA\PROJECT%20PROFORMAS\WIP\A%20PROJECTS%20PROFORMAS\Centennial%20Apts\Forward%20Commitment\Economics%20-%20Centennial%20by%20New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ation3\Windows\PMCOMMON\AMY\ldata\2002\02BUDGETS\02%20New%20product\02Positano\4171c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Arby%20Riley%20Apartments%20BLM%20Pilot%20%232\Arby%20Riley%20Apts%20Proforma%20by%20ovation%20100%25%20@%2080%25AMI%20w%20HOM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lient%20mgt\Real%20Estate\SF\Real%20Estate\Templeton%20Group\Model\2004\Budget%20Rollup_v11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A%20-%20PRODUCTION\BT\Active\BD%20Fox%20&amp;%20Freinds%20Building%20-%20Santa%20Monica\Underwriting\Economics.xl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Models\OVATION\Apts%20Proforma%20by%20Ovation%20v0207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erver210\PROJECT%20PROFORMAS\WIP\A%20PROJECTS%20PROFORMAS\Centennial%20Apts\Forward%20Commitment\Underwriting\PROJECT%20PROFORMAS\WIP\Existent%20Projects%20Refinancing%20&amp;%202nd%20Mortgages\Positano\Positano%20underwriting%20analysis%20by%20churchill.xls?69E4E299" TargetMode="External"/><Relationship Id="rId1" Type="http://schemas.openxmlformats.org/officeDocument/2006/relationships/externalLinkPath" Target="file:///\\69E4E299\Positano%20underwriting%20analysis%20by%20churchil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HUD%20Financing%20-%20Future%20Development\HUD%20221(d)(4)%20Apts%20Proforma%20by%20Ovation%20v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.moyer347\My%20Documents\Company\Cost%20Analysis\2008\0787%20Alafia\Alafia%20Project%20Cost%20templa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chrisop\Local%20Settings\Temporary%20Internet%20Files\OLK15E\MODELS\WSPAVIL\97\WSPCAM9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lfaith\Local%20Settings\Temporary%20Internet%20Files\OLK5\AADATA\TIAA\601TOWER\REPORTS\Closed%20Capit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ef-ntdata1\public\DATA96\MRR\96MASTE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RMW\SLR\SHARE\share\Best%20Practices%20Committee\A&amp;D%20Budget%20CshFlow%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DATA\River%20Heights\River%20Heights\RIVERHTP\REPORTS\PROPMAN\ACCOUNTI\Month%20End\RH%20Bal%20Sheet%20Rec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Models\Lennar%20land%20mode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ef-ntdata1\public\TEMP\windows\TEMP\Budget%20Analysis\Scott\TrizecHahn\98BudTemp\Link\SOL98ex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\sheet\Swapster\Market%20Data\Swapster%20Curv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ef-ntdata1\public\Budget%20Analysis\Scott\Westfield99\DOWNLOAD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r.hazelton304\Local%20Settings\Temporary%20Internet%20Files\OLK63\HUD\HUD%20Apartmen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Duck%20Creek\PROFORMAS\Duck%20Creek%20Apts%20Proforma%20by%20Ovation%20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vation1-my.sharepoint.com/disbreq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ERIC\LDATA\PURCHASING\BIDS\Lone%20Mountain\Budget%20Projection%202005-06-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lfaith\Local%20Settings\Temporary%20Internet%20Files\OLK5\AADATA\SSRRealty\12600%20Whitewater\BankRec\13-524-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lfaith\Local%20Settings\Temporary%20Internet%20Files\OLK5\AADATA\Accounting\COLUMBUS\Xee\Channingway%20Center\Reports\Monthend\Channingway%20Month%20End-20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chrisop\Local%20Settings\Temporary%20Internet%20Files\OLK15E\MODELS\JANSS\96\MODEL96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chrisop\Local%20Settings\Temporary%20Internet%20Files\OLK15E\MODELS\GARDEN\1996\96TAXF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OVATION\Excel%20Files\DEPOSITS%20&amp;%20WIRES\OVATIONDEPOSIT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Grand%20Canyon%20&amp;%20Trop\221d4\Due%20Dilligence\Example%20-%20HUD%202328%20201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PROJECT%20PROFORMAS\Investor%20Reports\Acapella\WIP\A%20PROJECTS%20PROFORMAS\Centennial%20Apts\Forward%20Commitment\Underwriting\PROJECT%20PROFORMAS\WIP\AA%20PROSPECTIVE%20NEW%20PROJECTS\Altessa\Altessa%20Underwrit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%20PROJECTS%20PROFORMAS\Centennial%20Apts\Forward%20Commitment\Underwriting\PROJECT%20PROFORMAS\WIP\AA%20PROSPECTIVE%20NEW%20PROJECTS\Altessa\Altessa%20Underwrit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.karim347\Desktop\Working%20Draft%20-%20Updated%20Report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A%20-%20Production\PW\1.%20Closed\Ezralow%20-%20Westlake%20Village%20Industrial%20Park\Underwriting%20&amp;%20Package\Underwriting%20-%20Westlake%20Village%20Industrial%20Park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Documents%20and%20Settings\chrisop\Local%20Settings\Temporary%20Internet%20Files\OLK15E\WIGGLE\CAM\3INS69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A%20-%20Production\MR\ARA%20-%201515%20Wynkoop%20Substitution\Underwriting%20&amp;%20Package\Underwriting%20-%201515%20Wynkoop%20Substitutio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ocuments\Budget%20Rollup_Carefree%20v7%200922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%20-%20Production\GM\ACTIVE\Brentwood%20Retail%20-%20Avi\Econ.Brentwood%20Retai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Lake%20Las%20Vegas%20Project\Lake%20Las%20Vegas%20Apts%20Proforma%20by%20Ovation%20(version%201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Duck%20Creek\PROFORMAS\Duck%20Creek%20Apts%20Proforma%20by%20Ovation%20v6.xls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OvationFiles/Shared%20Documents/Construction/Decatur%20Rome/05%20-%20Subcontractor%20Files%20-%20DR/01%20-%20Bids/Masonry/Masonry%20Finishes/Stucco%20and%20TIle%20-%20Takeoff%20Comparison.xlsx" TargetMode="External"/><Relationship Id="rId2" Type="http://schemas.openxmlformats.org/officeDocument/2006/relationships/externalLinkPath" Target="https://lasvegasliving.sharepoint.com/sites/OvationFiles/Shared%20Documents/Construction/Decatur%20Rome/05%20-%20Subcontractor%20Files%20-%20DR/01%20-%20Bids/Masonry/Masonry%20Finishes/Stucco%20and%20TIle%20-%20Takeoff%20Comparison.xlsx" TargetMode="External"/><Relationship Id="rId1" Type="http://schemas.openxmlformats.org/officeDocument/2006/relationships/externalLinkPath" Target="/sites/OvationFiles/Shared%20Documents/Construction/Decatur%20Rome/05%20-%20Subcontractor%20Files%20-%20DR/01%20-%20Bids/Masonry/Masonry%20Finishes/Stucco%20and%20TIle%20-%20Takeoff%20Comparison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.moyer347\My%20Documents\Company\Cost%20Analysis\2007\0950%20Tuscany%20Villas\Tuscany%201%2018%2008%20Draft%20Lender's%20Co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nbk791d\Local%20Settings\Temporary%20Internet%20Files\OLK18\Model\LBO%20v.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PROJECT%20PROFORMAS\WIP\AA%20PROSPECTIVE%20NEW%20PROJECTS\Trop%20&amp;%20215%20Corner\Trop%20&amp;%20215%20Apts%20Proforma%20by%20Ovation%20v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winnt\temp\notes2CBB50\Finance\Feasibility%20Studies\Greystone%20South%20Coast\Playa%20Vista\Playa%20Vista%20825%20VestaCalc%2011-20-03%2098.2%25%20of%20MRpr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KTR\Accounting\Peggy's%20Analysis\SunwestReno%20for%20PAM\Analysi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Real%20Estate\Commercial%20Mortgage%20Backed%20Securities\San%20Francisco\Flatt\Deals%20by%20Borrower\Beckstrand\Old%20Mill%20II\Old%20Mill%20II%20Spreads%20BW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feely\Local%20Settings\Temporary%20Internet%20Files\OLK6A\5239905266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erver\accdata\Celine\Test%20Mall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winnt\temp\notes2CBB50\Documents%20and%20Settings\drich\My%20Documents\Research\VestaCalc%202003_1.0W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file:///N:\PROJECT%20PROFORMAS\WIP\A%20PROJECTS%20PROFORMAS\Centennial%20Apts\Forward%20Commitment\Underwriting\Documents%20and%20Settings\mitsanas\My%20Documents\gm%20special\GEORGE\GM\APARTS\70%20units%20torrance%20dcf%20&amp;%20cf\Apt%20Analysis%20DCF%20&amp;%20CF.xls?73C0CA52" TargetMode="External"/><Relationship Id="rId1" Type="http://schemas.openxmlformats.org/officeDocument/2006/relationships/externalLinkPath" Target="file:///\\73C0CA52\Apt%20Analysis%20DCF%20&amp;%20CF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0\Corp%20File%20Share\ERIC\LDATA\PURCHASING\BIDS\Duck%20Creek\Budget%20Projection\Budget%20Projection%202008-11-1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JHREIG%20Multifamily%20VOTE1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OvationFiles/Shared%20Documents/Affordable%20Housing/1.%20New%20Developments/Gagnier/Proformas/Gagnier%20Proforma%20(Draft)%20121024%2015Extra_w_IncAvg.xlsx" TargetMode="External"/><Relationship Id="rId2" Type="http://schemas.openxmlformats.org/officeDocument/2006/relationships/externalLinkPath" Target="https://lasvegasliving.sharepoint.com/sites/OvationFiles/Shared%20Documents/Affordable%20Housing/1.%20New%20Developments/Gagnier/Proformas/Gagnier%20Proforma%20(Draft)%20121024%2015Extra_w_IncAvg.xlsx" TargetMode="External"/><Relationship Id="rId1" Type="http://schemas.openxmlformats.org/officeDocument/2006/relationships/externalLinkPath" Target="/sites/OvationFiles/Shared%20Documents/Affordable%20Housing/1.%20New%20Developments/Gagnier/Proformas/Gagnier%20Proforma%20(Draft)%20121024%2015Extra_w_IncAv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"/>
      <sheetName val="B"/>
      <sheetName val="Current"/>
      <sheetName val="NOV"/>
      <sheetName val="DEC"/>
      <sheetName val="JAN98"/>
      <sheetName val="feb98"/>
      <sheetName val="MAR98"/>
      <sheetName val="apr98"/>
      <sheetName val="MAY98"/>
      <sheetName val="JUN98"/>
      <sheetName val="Accrexp98"/>
      <sheetName val="Mgmt Fee Schd"/>
      <sheetName val="Lookup Values"/>
      <sheetName val="Mgmt_Fee_Schd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 STMT"/>
      <sheetName val="5CM95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I-JV-PROFORMA"/>
      <sheetName val="AVI-JV-PROFORMA PARTICIPATING"/>
      <sheetName val="Rent Roll"/>
      <sheetName val="The Proforma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ssumptions"/>
      <sheetName val="Hen Scratchings"/>
      <sheetName val="Monthly Inputs"/>
      <sheetName val="Monthly Spreads"/>
      <sheetName val="AdminMonthly"/>
      <sheetName val="Formulas"/>
      <sheetName val="AdminDirConst"/>
      <sheetName val="Cover"/>
      <sheetName val="Sensitivity - Single"/>
      <sheetName val="Sensitivity - Dual"/>
      <sheetName val="Investment Overview"/>
      <sheetName val="Income Stmt Summ by Plan"/>
      <sheetName val="Profit Proforma by Plan"/>
      <sheetName val="Monthly Cash Flow"/>
      <sheetName val="Quarterly Cash Flow"/>
      <sheetName val="Annual Cash Flow"/>
      <sheetName val="P&amp;L Stmt."/>
      <sheetName val="Quarterly P&amp;L Stmt."/>
      <sheetName val="Annual P&amp;L Stmt."/>
      <sheetName val="Balance Sheet"/>
      <sheetName val="Quarterly Balance Sheet"/>
      <sheetName val="Annual Balance Sheet"/>
      <sheetName val="Essbase"/>
      <sheetName val="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I-JV-PROFORMA"/>
      <sheetName val="AVI-JV-PROFORMA PARTICIPATING"/>
      <sheetName val="Rent Roll"/>
      <sheetName val="The Proforma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CHEDULE A"/>
      <sheetName val="SCHEDULE B+C"/>
      <sheetName val="SCHEDULE D"/>
      <sheetName val="SCHEDULE E "/>
      <sheetName val="SCHEDULE E (1)"/>
      <sheetName val="SCHEDULE F"/>
      <sheetName val="SCHEDULE G"/>
      <sheetName val="SCHEDULE H"/>
      <sheetName val="SCHEDULE J"/>
      <sheetName val="SCHEDULE 1"/>
      <sheetName val="SCHEDULE 2"/>
      <sheetName val="SCHEDULE 3 "/>
      <sheetName val="MARKETING II"/>
      <sheetName val="MARKETING III"/>
      <sheetName val="SCHEDULE A "/>
      <sheetName val="SCHEDULE B,C,MARKETING"/>
      <sheetName val="CURRENT INCOME SUMMARY"/>
      <sheetName val="SCHEDULE I"/>
      <sheetName val="SCHEDULE 3"/>
      <sheetName val="SCHEDULE B&amp;C"/>
      <sheetName val="SCHEDULE D1"/>
      <sheetName val="SCHEDULE E (2)"/>
      <sheetName val="SCHEDULE L"/>
      <sheetName val="5CM95"/>
      <sheetName val="Query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_Sum"/>
      <sheetName val="Rent_Roll"/>
      <sheetName val="Hist_Bdgt"/>
      <sheetName val="Lease_Exp"/>
      <sheetName val="Proforma"/>
      <sheetName val="Prepayment"/>
      <sheetName val="AMORT"/>
      <sheetName val="Cash Flow Analysis"/>
      <sheetName val="5cm9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 Summary"/>
      <sheetName val="UNIT MIX"/>
      <sheetName val="PRO FORMA"/>
      <sheetName val="holdback"/>
      <sheetName val="COST"/>
      <sheetName val="Exp Comps"/>
      <sheetName val="S&amp;U"/>
      <sheetName val="rent comp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vi-jv-proforma"/>
    </sheet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Table of Contents"/>
      <sheetName val="sources &amp; uses"/>
      <sheetName val="bank loan budget"/>
      <sheetName val="cost analysis"/>
      <sheetName val="project detail"/>
      <sheetName val="income basis"/>
      <sheetName val="income basis (use)"/>
      <sheetName val="income stmt yr0"/>
      <sheetName val="cf summary dist as apts"/>
      <sheetName val="cf summary dist as condo"/>
      <sheetName val="Sensitivity"/>
      <sheetName val="Sensitivity (IRR)"/>
      <sheetName val="annual inc stmt"/>
      <sheetName val="mo income stmt"/>
      <sheetName val="annual balance sheet"/>
      <sheetName val="balance sheet"/>
      <sheetName val="annual cash flow"/>
      <sheetName val="cash flow"/>
      <sheetName val="depreciation analysis"/>
      <sheetName val="tax analysis"/>
      <sheetName val="source &amp; uses mo sch"/>
      <sheetName val="% of completion"/>
      <sheetName val="ownership chart"/>
      <sheetName val="amr sch"/>
      <sheetName val="ovation orig. rents vs. cu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 Output--&gt;"/>
      <sheetName val="Summary"/>
      <sheetName val="__FDSCACHE__"/>
      <sheetName val="Price Per Unit"/>
      <sheetName val="Consolidated"/>
      <sheetName val="Cash Flows.CFVV"/>
      <sheetName val="Cash Flows.CFSH"/>
      <sheetName val="Cash Flows.CFSV"/>
      <sheetName val="Cash Flows.CFPUB"/>
      <sheetName val="Cash Flows.CFWH"/>
      <sheetName val="Cash Flows.CFEST"/>
      <sheetName val="Cash Flows.CFALX"/>
      <sheetName val="Cash Flows.CFPBL"/>
      <sheetName val="Cash Flows.CFOAK"/>
      <sheetName val="Cash Flows.CFN"/>
      <sheetName val="Cash Flows.CFW"/>
      <sheetName val="2003A Consol---&gt;"/>
      <sheetName val="CFVV 2003A Consol"/>
      <sheetName val="CFSH 2003A Consol"/>
      <sheetName val="CFSV 2003A Consol"/>
      <sheetName val="CFPUB 2003A Consol"/>
      <sheetName val="CFWH 2003A Consol"/>
      <sheetName val="CFEST 2003A Consol"/>
      <sheetName val="CFALX 2003A Consol"/>
      <sheetName val="CFPBL 2003A Consol"/>
      <sheetName val="CFOAK 2003A Conso"/>
      <sheetName val="2003A v 2003B"/>
      <sheetName val="2004B Consol---&gt;"/>
      <sheetName val="CFVV 2004B Consol"/>
      <sheetName val="CFSH 2004B Consol"/>
      <sheetName val="CFSV 2004B Consol"/>
      <sheetName val="CFPUB 2004B Consol"/>
      <sheetName val="CFWH 2004B Consol"/>
      <sheetName val="CFEST 2004B Consol"/>
      <sheetName val="CFALX 2004B Consol"/>
      <sheetName val="CFPBL 2004B Consol"/>
      <sheetName val="CFOAK 2004B Consol"/>
      <sheetName val="CFN 2004B Consol"/>
      <sheetName val="2004B Consol"/>
      <sheetName val="Projections 2005==&gt;"/>
      <sheetName val="2005E Consol"/>
      <sheetName val="2005E Assumptions"/>
      <sheetName val="CFVV 2005E"/>
      <sheetName val="CFSH 2005E"/>
      <sheetName val="CFSV 2005E"/>
      <sheetName val="CFPUB 2005E"/>
      <sheetName val="CFWH 2005E"/>
      <sheetName val="CFEST 2005E"/>
      <sheetName val="CFALX 2005E"/>
      <sheetName val="CFPBL 2005E"/>
      <sheetName val="CFOAK 2005E"/>
      <sheetName val="CFN 2005E"/>
      <sheetName val="CFW 2005E"/>
      <sheetName val="RI CFVV 2005"/>
      <sheetName val="RI CFSH 2005"/>
      <sheetName val="RI CFSV 2005"/>
      <sheetName val="RI CFPUB 2005"/>
      <sheetName val="RI CFWH 2005"/>
      <sheetName val="RI CFEST 2005"/>
      <sheetName val="RI CFALX 2005"/>
      <sheetName val="RI CFPBL 2005"/>
      <sheetName val="RI CFOAK 2005"/>
      <sheetName val="RI CFN 2005"/>
      <sheetName val="RI CFW 2005"/>
      <sheetName val="Backup==&gt;"/>
      <sheetName val="2003 IS"/>
      <sheetName val="CF 2002 for all props"/>
      <sheetName val="Unit Mix"/>
      <sheetName val="Capex"/>
      <sheetName val="CFVV Capex"/>
      <sheetName val="CFSH Capex"/>
      <sheetName val="CFSV Capex"/>
      <sheetName val="CFPUB Capex"/>
      <sheetName val="CFWH Capex"/>
      <sheetName val="CFEST Capex"/>
      <sheetName val="CFALX Capex"/>
      <sheetName val="CFPBL Capex"/>
      <sheetName val="CFOAK Capex"/>
      <sheetName val="Charts==&gt;"/>
      <sheetName val="Advertising Summary"/>
      <sheetName val="Occupancy"/>
      <sheetName val="Occupancy Summary"/>
      <sheetName val="Comparison"/>
      <sheetName val="2004B Assumptions"/>
      <sheetName val="CFVV----&gt;"/>
      <sheetName val="Cover. CFVV"/>
      <sheetName val="Yr vs Yr. CFVV"/>
      <sheetName val="CFVV 2004B"/>
      <sheetName val="Gross Potential-IND. CFVV 2004"/>
      <sheetName val="Rental Income-IND.CFVV 2004"/>
      <sheetName val="Misc. Income.CFVV"/>
      <sheetName val="Advertising.CFVV"/>
      <sheetName val="Activities Expenses.CFVV"/>
      <sheetName val="Repairs and Maintenance.CFVV"/>
      <sheetName val="Hsekpg &amp; Laundry.CFVV"/>
      <sheetName val="Vacancy Expenses.CFVV"/>
      <sheetName val="Personel Expenses.CFVV"/>
      <sheetName val="Payroll Burden.CFVV"/>
      <sheetName val="Other PR Expenses.CFVV"/>
      <sheetName val="G &amp; A Expenses.CFVV"/>
      <sheetName val="Fees, Taxes &amp; Insurance.CFVV"/>
      <sheetName val="CF SH-----&gt;"/>
      <sheetName val="Cover.CFSH"/>
      <sheetName val="Yr vs Yr.CFSH"/>
      <sheetName val="CFSH 2004B"/>
      <sheetName val="Gross Potential-IND.CFSH"/>
      <sheetName val="Rental Income-IND.CFSH 2004"/>
      <sheetName val="Misc. Income.CFSH"/>
      <sheetName val="Advertising.CFSH"/>
      <sheetName val="Activities Expenses.CFSH"/>
      <sheetName val="Repairs and Maintenance.CFSH"/>
      <sheetName val="Hsekpg &amp; Laundry.CFSH"/>
      <sheetName val="Vacancy Expenses.CFSH"/>
      <sheetName val="Personel Expenses.CFSH"/>
      <sheetName val="Payroll Burden.CFSH"/>
      <sheetName val="Other PR Expenses.CFSH"/>
      <sheetName val="G &amp; A Expenses.CFSH"/>
      <sheetName val="Fees, Taxes &amp; Insurance.CFSH"/>
      <sheetName val="CFSV----&gt; "/>
      <sheetName val="Cover.CFSV"/>
      <sheetName val="Yr vs Yr.CFSV"/>
      <sheetName val="CFSV 2004B"/>
      <sheetName val="Gross Potential-FS.CFSV"/>
      <sheetName val="Gross Potential-IND.CFSV"/>
      <sheetName val="Rental Income-IND.CFSV 2004"/>
      <sheetName val="Rental Income-FS.CFSV"/>
      <sheetName val="Extra Services Income.CFSV"/>
      <sheetName val="Misc. Income.CFSV"/>
      <sheetName val="Advertising.CFSV"/>
      <sheetName val="Utilities.CFSV"/>
      <sheetName val="Activities Expenses.CFSV"/>
      <sheetName val="Repairs and Maintenance.CFSV"/>
      <sheetName val="Food &amp; Other Dietary.CFSV"/>
      <sheetName val="Hsekpg &amp; Laundry.CFSV"/>
      <sheetName val="Vacancy Expenses.CFSV"/>
      <sheetName val="Personel Expenses.CFSV"/>
      <sheetName val="Payroll Burden.CFSV"/>
      <sheetName val="Other PR Expenses.CFSV"/>
      <sheetName val="G &amp; A Expenses.CFSV"/>
      <sheetName val="Taxes &amp; Insurance.CFSV"/>
      <sheetName val="CF PUB----&gt; "/>
      <sheetName val="Cover.CFPUB"/>
      <sheetName val="Yr vs Yr.CFPUB"/>
      <sheetName val="CFPUB 2004B"/>
      <sheetName val="Gross Potential-IND.CFPUB"/>
      <sheetName val="Gross Potential-FS.CFPUB"/>
      <sheetName val="Rental Income-FS.CFPUB"/>
      <sheetName val="Extra Services Income.CFPUB"/>
      <sheetName val="Misc. Income.CFPUB"/>
      <sheetName val="Advertising.CFPUB"/>
      <sheetName val="Utilities.CFPUB"/>
      <sheetName val="Activities Expenses.CFPUB"/>
      <sheetName val="Repairs and Maintenance.CFPUB"/>
      <sheetName val="Food &amp; Other Dietary.CFPUB"/>
      <sheetName val="Hsekpg &amp; Laundry.CFPUB"/>
      <sheetName val="Vacancy Expenses.CFPUB"/>
      <sheetName val="Personel Expenses.CFPUB"/>
      <sheetName val="Payroll Burden.CFPUB"/>
      <sheetName val="Other PR Expenses.CFPUB"/>
      <sheetName val="G &amp; A Expenses.CFPUB"/>
      <sheetName val="Fees, Taxes &amp; Insurance.CFPUB"/>
      <sheetName val="Rental Income-IND.CFPUB 2004"/>
      <sheetName val="CF WH----&gt;"/>
      <sheetName val="Cover.CFWH"/>
      <sheetName val="Yr vs Yr.CFWH"/>
      <sheetName val="CFWH 2004B"/>
      <sheetName val="Gross Potential-IND.CFWH"/>
      <sheetName val="Gross Potential-FS.CFWH"/>
      <sheetName val="Rental Income-IND.CFWH 2004"/>
      <sheetName val="Rental Income-FS.CFWH"/>
      <sheetName val="Extra Services Income.CFWH"/>
      <sheetName val="Misc. Income.CFWH"/>
      <sheetName val="Advertising.CFWH"/>
      <sheetName val="Utilities.CFWH"/>
      <sheetName val="Activities Expenses.CFWH"/>
      <sheetName val="Repairs and Maintenance.CFWH"/>
      <sheetName val="Food &amp; Other Dietary.CFWH"/>
      <sheetName val="Hsekpg &amp; Laundry.CFWH"/>
      <sheetName val="Vacancy Expenses.CFWH"/>
      <sheetName val="Personel Expenses.CFWH"/>
      <sheetName val="Payroll Burden.CFWH"/>
      <sheetName val="Other PR Expenses.CFWH"/>
      <sheetName val="G &amp; A Expenses.CFWH"/>
      <sheetName val="Fees, Taxes &amp; Insurance.CFWH"/>
      <sheetName val="CF EST----&gt;"/>
      <sheetName val="Cover.CFEST"/>
      <sheetName val="Yr vs Yr.CFEST"/>
      <sheetName val="Gross Potential-IND.CFEST"/>
      <sheetName val="CFEST 2004B"/>
      <sheetName val="Rental Income-FS.CFEST 2004"/>
      <sheetName val="Gross Potential-FS.CFEST"/>
      <sheetName val="Rental Income-IND.CFEST"/>
      <sheetName val="Extra Services Income.CFEST"/>
      <sheetName val="Misc. Income.CFEST"/>
      <sheetName val="Advertising.CFEST"/>
      <sheetName val="Utilities.CFEST"/>
      <sheetName val="Activities Expenses.CFEST"/>
      <sheetName val="Repairs and Maintenance.CFEST"/>
      <sheetName val="Food &amp; Other Dietary.CFEST"/>
      <sheetName val="Hsekpg &amp; Laundry.CFEST"/>
      <sheetName val="Vacancy Expenses.CFEST"/>
      <sheetName val="Personel Expenses.CFEST"/>
      <sheetName val="Payroll Burden.CFEST"/>
      <sheetName val="Other PR Expenses.CFEST"/>
      <sheetName val="G &amp; A Expenses.CFEST"/>
      <sheetName val="Fees, Taxes &amp; Insurance.CFEST"/>
      <sheetName val="CF ALX----&gt;"/>
      <sheetName val="Cover.CFALX"/>
      <sheetName val="Yr vs Yr.CFALX"/>
      <sheetName val="CFALX 2004B"/>
      <sheetName val="Gross Potential-IND.CFALX"/>
      <sheetName val="Gross Potential-FS.CFALX"/>
      <sheetName val="Rental Income-IND.CFALX 2004"/>
      <sheetName val="Rental Income-FS.CFALX"/>
      <sheetName val="Extra Services Income.CFALX"/>
      <sheetName val="Misc. Income.CFALX"/>
      <sheetName val="Advertising.CFALX"/>
      <sheetName val="Utilities.CFALX"/>
      <sheetName val="Activities Expenses.CFALX"/>
      <sheetName val="Repairs and Maintenance.CFALX"/>
      <sheetName val="Food &amp; Other Dietary.CFALX"/>
      <sheetName val="Hsekpg &amp; Laundry.CFALX"/>
      <sheetName val="Vacancy Expenses.CFALX"/>
      <sheetName val="Personel Expenses.CFALX"/>
      <sheetName val="Payroll Burden.CFALX"/>
      <sheetName val="Other PR Expenses.CFALX"/>
      <sheetName val="G &amp; A Expenses.CFALX"/>
      <sheetName val="Fees, Taxes &amp; Insurance.CFALX"/>
      <sheetName val="CF PBL----&gt;"/>
      <sheetName val="Cover.CFPBL"/>
      <sheetName val="Yr vs Yr.CFPBL"/>
      <sheetName val="CFPBL 2004B"/>
      <sheetName val="Gross Potential-IND.CFPBL"/>
      <sheetName val="Gross Potential-FS.CFPBL"/>
      <sheetName val="Rental Income-IND.CFPBL 2004"/>
      <sheetName val="Rental Income-FS.CFPBL"/>
      <sheetName val="Extra Services Income.CFPBL"/>
      <sheetName val="Misc. Income.CFPBL"/>
      <sheetName val="Advertising.CFPBL"/>
      <sheetName val="Utilities.CFPBL"/>
      <sheetName val="Activities Expenses.CFPBL"/>
      <sheetName val="Repairs and Maintenance.CFPBL"/>
      <sheetName val="Food &amp; Other Dietary.CFPBL"/>
      <sheetName val="Hsekpg &amp; Laundry.CFPBL"/>
      <sheetName val="Vacancy Expenses.CFPBL"/>
      <sheetName val="Personel Expenses.CFPBL"/>
      <sheetName val="Payroll Burden.CFPBL"/>
      <sheetName val="Other PR Expenses.CFPBL"/>
      <sheetName val="G &amp; A Expenses.CFPBL"/>
      <sheetName val="Fees, Taxes &amp; Insurance.CFPBL"/>
      <sheetName val="CF OAK----&gt;"/>
      <sheetName val="Cover.CFOAK"/>
      <sheetName val="Yr vs Yr.CFOAK"/>
      <sheetName val="Gross Potential-IND.CFOAK"/>
      <sheetName val="CFOAK 2004B"/>
      <sheetName val="Gross Potential-FS.CFOAK"/>
      <sheetName val="Rental Income-IND.CFOAK"/>
      <sheetName val="Rental Income-FS.CFOAK 2004"/>
      <sheetName val="Extra Services Income.CFOAK"/>
      <sheetName val="Misc. Income.CFOAK"/>
      <sheetName val="Advertising.CFOAK"/>
      <sheetName val="Utilities.CFOAK"/>
      <sheetName val="Activities Expenses.CFOAK"/>
      <sheetName val="Repairs and Maintenance.CFOAK"/>
      <sheetName val="Food &amp; Other Dietary.CFOAK"/>
      <sheetName val="Hsekpg &amp; Laundry.CFOAK"/>
      <sheetName val="Vacancy Expenses.CFOAK"/>
      <sheetName val="Personel Expenses.CFOAK"/>
      <sheetName val="Payroll Burden.CFOAK"/>
      <sheetName val="Other PR Expenses.CFOAK"/>
      <sheetName val="G &amp; A Expenses.CFOAK"/>
      <sheetName val="Fees, Taxes &amp; Insurance.CFOAK"/>
      <sheetName val="CF N----&gt;"/>
      <sheetName val="CFN 2004B"/>
      <sheetName val="Gross Potential-FS.CFN"/>
      <sheetName val="Rental Income-FS.CFN 2004"/>
      <sheetName val="CF W-----&gt;"/>
      <sheetName val="CFW 2004B"/>
      <sheetName val="Gross Potential-FS.CFW"/>
      <sheetName val="Rental Income-FS.CFW 2004"/>
      <sheetName val="W Budget Stbl"/>
      <sheetName val="W Gross Potential Stbl"/>
      <sheetName val="W Rental Income Stbl"/>
      <sheetName val="W Misc. Income Stbl"/>
      <sheetName val="W Advertising Stl"/>
      <sheetName val="W Utilities Stbl"/>
      <sheetName val="W Activities Expenses Stbl"/>
      <sheetName val="W Repairs and Maintenance Stbl"/>
      <sheetName val="W Vacancy Expenses Stbl"/>
      <sheetName val="W Personel Expenses Stbl"/>
      <sheetName val="W Payroll Burden Stbl"/>
      <sheetName val="W Other PR Expenses Stbl"/>
      <sheetName val="W G &amp; A Expenses Stbl"/>
      <sheetName val="W Taxes &amp; Insurance Stbl"/>
      <sheetName val="2003 Actuals==&gt;"/>
      <sheetName val="CFVV 2003A"/>
      <sheetName val="CFSH 2003A"/>
      <sheetName val="CFSV 2003A"/>
      <sheetName val="CFPUB 2003A"/>
      <sheetName val="CFWH 2003A"/>
      <sheetName val="CFEST 2003A"/>
      <sheetName val="CFALX 2003A"/>
      <sheetName val="CFPBL 2003A"/>
      <sheetName val="CFOAK 2003A"/>
      <sheetName val="Misc. Income.CFN"/>
      <sheetName val="Advertising.CFN"/>
      <sheetName val="Utilities.CFN"/>
      <sheetName val="Activities Expenses.CFN"/>
      <sheetName val="Repairs and Maintenance.CFN"/>
      <sheetName val="Guest Suite Expense.CFN"/>
      <sheetName val="Vacancy Expenses.CFN"/>
      <sheetName val="Personel Expenses.CFN"/>
      <sheetName val="Sheet1.CFN"/>
      <sheetName val="Payroll Burden.CFN"/>
      <sheetName val="Other PR Expenses.CFN"/>
      <sheetName val="G &amp; A Expenses.CFN"/>
      <sheetName val="Taxes &amp; Insurance.CFN"/>
      <sheetName val="Extra Services Income.CFW"/>
      <sheetName val="Misc. Income.CFW"/>
      <sheetName val="Advertising.CFW"/>
      <sheetName val="Utilities.CFW"/>
      <sheetName val="Activities Expenses.CFW"/>
      <sheetName val="Repairs and Maintenance.CFW"/>
      <sheetName val="Food &amp; Other Dietary.CFW"/>
      <sheetName val="Hskpg &amp; Laundry.CFW"/>
      <sheetName val="Vacancy Expenses.CFW"/>
      <sheetName val="Personel Expenses.CFW"/>
      <sheetName val="Payroll Burden.CFW"/>
      <sheetName val="Other PR Expenses.CFW"/>
      <sheetName val="G &amp; A Expenses.CFW"/>
      <sheetName val="Taxes &amp; Insurance.CF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  "/>
      <sheetName val="Inv. Summary"/>
      <sheetName val="Rent Roll"/>
      <sheetName val="Proforma"/>
      <sheetName val="Source &amp; Use"/>
      <sheetName val="avi-jv-pro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Table of Contents"/>
      <sheetName val="sources &amp; uses"/>
      <sheetName val="bank loan budget"/>
      <sheetName val="interest reserve cal"/>
      <sheetName val="cost analysis"/>
      <sheetName val="project detail"/>
      <sheetName val="fee calculation"/>
      <sheetName val="based rents"/>
      <sheetName val="income stmt yr0"/>
      <sheetName val="cf summary dist as apts"/>
      <sheetName val="buyout valuation"/>
      <sheetName val="Sensitivity"/>
      <sheetName val="Sensitivity (IRR)"/>
      <sheetName val="annual inc stmt"/>
      <sheetName val="annual balance sheet"/>
      <sheetName val="annual cash flow"/>
      <sheetName val="depreciation analysis"/>
      <sheetName val="mo income stmt"/>
      <sheetName val="balance sheet"/>
      <sheetName val="cash flow"/>
      <sheetName val="source &amp; uses mo sch"/>
      <sheetName val="% of completion"/>
      <sheetName val="ownership chart"/>
      <sheetName val="amr sch"/>
      <sheetName val="CHECK"/>
      <sheetName val="ovation orig. rents vs. curr"/>
      <sheetName val="cf summary dist as condo"/>
      <sheetName val="tax analysis"/>
      <sheetName val="marketing iii"/>
      <sheetName val="schedule 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Information"/>
      <sheetName val="Rent Roll Analysis"/>
      <sheetName val="Underwriting"/>
      <sheetName val="Loan Summary"/>
      <sheetName val="Spread-Cap Rate Matrix"/>
      <sheetName val="unmapped sheet"/>
      <sheetName val="JHDropdowns"/>
      <sheetName val="LaunchingPad"/>
      <sheetName val="GlobalInfo"/>
      <sheetName val="Dropdowns"/>
      <sheetName val="RangeNameInfo"/>
      <sheetName val="RentRoll_Import"/>
      <sheetName val="RentRoll_Export"/>
      <sheetName val="_EXICashFlowImport"/>
      <sheetName val="_EXICashFlowExport"/>
      <sheetName val="_EXIChartOfAccounts"/>
      <sheetName val="_EXIFunnelImport"/>
      <sheetName val="_EXIFunnel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1d4"/>
      <sheetName val="CHECK"/>
      <sheetName val="Assumptions"/>
      <sheetName val="INDEX"/>
      <sheetName val="Table of Contents"/>
      <sheetName val="Table of Contents (2)"/>
      <sheetName val="Investment Summary"/>
      <sheetName val="Investment Summary (5yr)"/>
      <sheetName val="Investment Analysis"/>
      <sheetName val="CF Dist Analysis"/>
      <sheetName val="CF Dist Analysis (5yr)"/>
      <sheetName val="sources &amp; uses"/>
      <sheetName val="HUD budget"/>
      <sheetName val="Mortgage (FHA) (2)"/>
      <sheetName val="perm loan"/>
      <sheetName val="cost analysis"/>
      <sheetName val="bank loan budget"/>
      <sheetName val="interest reserve cal"/>
      <sheetName val="fee calculation"/>
      <sheetName val="project detail"/>
      <sheetName val="base rents"/>
      <sheetName val="income stmt yr0"/>
      <sheetName val="Const Loan (0)"/>
      <sheetName val="FMV Analysis"/>
      <sheetName val="site detail"/>
      <sheetName val="Const Loan (1)"/>
      <sheetName val="Sensitivity"/>
      <sheetName val="Sensitivity (3)"/>
      <sheetName val="Sensitivity (4)"/>
      <sheetName val="Sensitivity (5)"/>
      <sheetName val="annual inc stmt"/>
      <sheetName val="annual balance sheet"/>
      <sheetName val="annual cash flow"/>
      <sheetName val="depreciation analysis"/>
      <sheetName val="tax analysis"/>
      <sheetName val="ownership chart"/>
      <sheetName val="summary (v5)"/>
      <sheetName val="Bank budgets"/>
      <sheetName val="budgets (v5)"/>
      <sheetName val="CF Split (V5)"/>
      <sheetName val="interest reserve cal (v1)"/>
      <sheetName val="mo income stmt"/>
      <sheetName val="balance sheet"/>
      <sheetName val="cash flow"/>
      <sheetName val="amr sch"/>
      <sheetName val="source &amp; uses mo sch"/>
      <sheetName val="% of completion"/>
      <sheetName val="&lt;&gt;"/>
      <sheetName val="Const Loan"/>
      <sheetName val="Appraisal (0)"/>
      <sheetName val="perm lo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SF Values"/>
      <sheetName val="D3G MF Bldg Comps"/>
      <sheetName val="Site Cost Data"/>
      <sheetName val="Architect Fee Calc"/>
      <sheetName val="Other Fees"/>
      <sheetName val="Not Used1"/>
      <sheetName val="92326 Master"/>
      <sheetName val="92326 AT"/>
      <sheetName val="92326 BA"/>
      <sheetName val="92326 BB"/>
      <sheetName val="92326 BT"/>
      <sheetName val="92326 C"/>
      <sheetName val="92326 Lease"/>
      <sheetName val="92326 GR7"/>
      <sheetName val="92326 GR6SH"/>
      <sheetName val="92326 GR12"/>
      <sheetName val="D3G LI"/>
      <sheetName val="92331-B"/>
      <sheetName val="2328 Master"/>
      <sheetName val="2328 TYPE A"/>
      <sheetName val="2328 TYPE B"/>
      <sheetName val="2328 TYPE 1"/>
      <sheetName val="2328 TYPE 2"/>
      <sheetName val="2328 TYPE 3"/>
      <sheetName val="2328 CLUBHOUSE"/>
      <sheetName val="2328 LI"/>
      <sheetName val="2328 GR"/>
      <sheetName val="92329-Work"/>
      <sheetName val="92329"/>
      <sheetName val="Site Info"/>
      <sheetName val="92264 Section G"/>
      <sheetName val="92264 Section M CNA"/>
      <sheetName val="226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_96 CAM"/>
      <sheetName val="CAMINVBU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ST P (2)"/>
      <sheetName val="MERCK"/>
      <sheetName val="FIRST P"/>
      <sheetName val="CHEESB"/>
      <sheetName val="OMNI"/>
      <sheetName val="OMNI (2)"/>
      <sheetName val="WALDEN"/>
      <sheetName val="FORCE"/>
      <sheetName val="INCREDBL"/>
      <sheetName val="MASTER"/>
      <sheetName val="KOSIERADZKI"/>
      <sheetName val="WALDENEXP"/>
      <sheetName val="BRDG DTA"/>
      <sheetName val="STWRT TTLE"/>
      <sheetName val="TRNSMRCA"/>
      <sheetName val="LEONE"/>
      <sheetName val="TWOS"/>
      <sheetName val="CAST"/>
      <sheetName val="MAIRE"/>
      <sheetName val="PAIDP"/>
      <sheetName val="INFORMIX"/>
      <sheetName val="MAINWR"/>
      <sheetName val="NORTHC"/>
      <sheetName val="PAID PRES EXP"/>
      <sheetName val="KNAPPENBERGER"/>
      <sheetName val="INFORMIX-GILMAN"/>
      <sheetName val="Sheet1"/>
      <sheetName val="Sheet2"/>
      <sheetName val="Sheet3"/>
      <sheetName val="12_96 CAM"/>
      <sheetName val="CAMINVBU"/>
      <sheetName val="RECONCILIATION"/>
      <sheetName val="Sch01"/>
      <sheetName val="1120 Pg1"/>
      <sheetName val="Assumptions"/>
      <sheetName val="FIRST_P_(2)"/>
      <sheetName val="FIRST_P"/>
      <sheetName val="OMNI_(2)"/>
      <sheetName val="BRDG_DTA"/>
      <sheetName val="STWRT_TTLE"/>
      <sheetName val="PAID_PRES_EXP"/>
      <sheetName val="12_96_CAM"/>
      <sheetName val="1120_Pg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96"/>
      <sheetName val="EA96"/>
      <sheetName val="EGR96"/>
      <sheetName val="ENF96"/>
      <sheetName val="GSP96"/>
      <sheetName val="MER96"/>
      <sheetName val="MID96"/>
      <sheetName val="MON96"/>
      <sheetName val="MVC96"/>
      <sheetName val="PBO96"/>
      <sheetName val="PCR96"/>
      <sheetName val="CRITERIA1"/>
      <sheetName val="BRDG DTA"/>
      <sheetName val="CAST"/>
      <sheetName val="CHEESB"/>
      <sheetName val="FIRST P"/>
      <sheetName val="FORCE"/>
      <sheetName val="INCREDBL"/>
      <sheetName val="INFORMIX"/>
      <sheetName val="LEONE"/>
      <sheetName val="MAIRE"/>
      <sheetName val="MAINWR"/>
      <sheetName val="MASTER"/>
      <sheetName val="MERCK"/>
      <sheetName val="NORTHC"/>
      <sheetName val="OMNI"/>
      <sheetName val="PAIDP"/>
      <sheetName val="STWRT TTLE"/>
      <sheetName val="TRNSMRCA"/>
      <sheetName val="TWOS"/>
      <sheetName val="WALDEN"/>
      <sheetName val="WALDENEXP"/>
      <sheetName val="File Admin"/>
      <sheetName val="Sheet2"/>
      <sheetName val="Common Area Maintenance"/>
      <sheetName val="Gen-Info"/>
      <sheetName val="npv"/>
      <sheetName val="DETAIL"/>
      <sheetName val="RENT"/>
      <sheetName val="Input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3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Rec"/>
      <sheetName val="Checklist"/>
      <sheetName val="Cover"/>
      <sheetName val="Contact"/>
      <sheetName val="Table of Cont"/>
      <sheetName val="Mgmt fees"/>
      <sheetName val="Dues"/>
      <sheetName val="AR "/>
      <sheetName val="Other Assets"/>
      <sheetName val="Payee 1"/>
      <sheetName val="Payee 2"/>
      <sheetName val="Payee 3"/>
      <sheetName val="RE"/>
      <sheetName val="RE Taxes"/>
      <sheetName val="Variance"/>
      <sheetName val="JE FORM"/>
      <sheetName val="Inc Rec"/>
      <sheetName val="Cash Flow"/>
      <sheetName val="Corp. Recvbl Recon."/>
      <sheetName val="Bte. Recon."/>
      <sheetName val="Instructions"/>
      <sheetName val="BRDG DTA"/>
      <sheetName val="CAST"/>
      <sheetName val="CHEESB"/>
      <sheetName val="FIRST P"/>
      <sheetName val="FORCE"/>
      <sheetName val="INCREDBL"/>
      <sheetName val="INFORMIX"/>
      <sheetName val="LEONE"/>
      <sheetName val="MAIRE"/>
      <sheetName val="MAINWR"/>
      <sheetName val="MASTER"/>
      <sheetName val="MERCK"/>
      <sheetName val="NORTHC"/>
      <sheetName val="OMNI"/>
      <sheetName val="PAIDP"/>
      <sheetName val="STWRT TTLE"/>
      <sheetName val="TRNSMRCA"/>
      <sheetName val="TWOS"/>
      <sheetName val="WALDEN"/>
      <sheetName val="WALDENEXP"/>
      <sheetName val="CB Dump"/>
      <sheetName val="Sheet2"/>
      <sheetName val="Cover Sheet"/>
      <sheetName val="#REF"/>
      <sheetName val="7"/>
      <sheetName val="6"/>
      <sheetName val="9"/>
      <sheetName val="14"/>
      <sheetName val="11"/>
      <sheetName val="Contents"/>
      <sheetName val="TAXES P9.1"/>
      <sheetName val="Rent Roll P8"/>
      <sheetName val="Lease Commission P10.5"/>
      <sheetName val="Vacancy Loss"/>
      <sheetName val="PCR96"/>
      <sheetName val="MVC96"/>
      <sheetName val="Bank_Rec"/>
      <sheetName val="Table_of_Cont"/>
      <sheetName val="Mgmt_fees"/>
      <sheetName val="AR_"/>
      <sheetName val="Other_Assets"/>
      <sheetName val="Payee_1"/>
      <sheetName val="Payee_2"/>
      <sheetName val="Payee_3"/>
      <sheetName val="RE_Taxes"/>
      <sheetName val="JE_FORM"/>
      <sheetName val="Inc_Rec"/>
      <sheetName val="Cash_Flow"/>
      <sheetName val="Corp__Recvbl_Recon_"/>
      <sheetName val="Bte__Recon_"/>
      <sheetName val="BRDG_DTA"/>
      <sheetName val="FIRST_P"/>
      <sheetName val="STWRT_TTLE"/>
      <sheetName val="CB_Dump"/>
      <sheetName val="Cover_Sheet"/>
      <sheetName val="TAXES_P9_1"/>
      <sheetName val="Rent_Roll_P8"/>
      <sheetName val="Lease_Commission_P10_5"/>
      <sheetName val="Copp mgt fee"/>
      <sheetName val="Amortization Schedule"/>
      <sheetName val="ORGANIZ. COSTS"/>
      <sheetName val="Basic Input Sheet"/>
      <sheetName val="File Admin"/>
      <sheetName val="BKREC"/>
      <sheetName val="TAX"/>
      <sheetName val="0900"/>
      <sheetName val="Data"/>
      <sheetName val="Allowance"/>
      <sheetName val="BS &amp; 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ssumptions"/>
      <sheetName val="Product Desc"/>
      <sheetName val="Land Residual - SFD"/>
      <sheetName val="Land Residual - SFA"/>
      <sheetName val="Absorption"/>
      <sheetName val="Costing"/>
      <sheetName val="Inv Overview"/>
      <sheetName val="Monthly Cash Flow"/>
      <sheetName val="Quarterly Cash Flow"/>
      <sheetName val="Annual Cash Flow"/>
      <sheetName val="Monthly Fin Stmt"/>
      <sheetName val="3rd Party Financing"/>
      <sheetName val="Tierred Return"/>
      <sheetName val="Tiered Returns 2"/>
      <sheetName val="Tiered Return 3"/>
      <sheetName val="Tiered Return"/>
      <sheetName val="Residual Revenue"/>
      <sheetName val="Diagnostic"/>
      <sheetName val="Inflation"/>
      <sheetName val="Formulas"/>
      <sheetName val="Finance"/>
      <sheetName val="LIBOR Forwards"/>
      <sheetName val="Monthly Fin Stmt (Internal)"/>
      <sheetName val="Homebuilding Closings"/>
      <sheetName val="GEN_INFO"/>
      <sheetName val="JV_INFO"/>
      <sheetName val="BY_PARCEL"/>
      <sheetName val="BY_QUARTER"/>
      <sheetName val="HS_BY_PHASE"/>
      <sheetName val="Chart"/>
      <sheetName val="Defaults"/>
      <sheetName val="Summary CF"/>
      <sheetName val="Variance"/>
      <sheetName val="Notes"/>
      <sheetName val="Design 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CHEDULE A"/>
      <sheetName val="SCHEDULE B&amp;C"/>
      <sheetName val="SCHEDULE D"/>
      <sheetName val="SCHEDULE D1"/>
      <sheetName val="SCHEDULE E "/>
      <sheetName val="SCHEDULE E (1)"/>
      <sheetName val="SCHEDULE F"/>
      <sheetName val="SCHEDULE G"/>
      <sheetName val="SCHEDULE H"/>
      <sheetName val="SCHEDULE I"/>
      <sheetName val="SCHEDULE J"/>
      <sheetName val="SCHEDULE K"/>
      <sheetName val="SCHEDULE 1"/>
      <sheetName val="SCHEDULE 2"/>
      <sheetName val="SCHEDULE 3"/>
      <sheetName val="MARKETING II"/>
      <sheetName val="MARKETING III"/>
      <sheetName val="Sheet1"/>
      <sheetName val="Market temp"/>
      <sheetName val="Inc Rec"/>
      <sheetName val="PCR96"/>
      <sheetName val="MVC96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es"/>
      <sheetName val="Convention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Input"/>
      <sheetName val="Inc Rec"/>
      <sheetName val="By dept-bymonthBud"/>
      <sheetName val="Accountant Copy Only"/>
      <sheetName val="Tables"/>
      <sheetName val="234 #1"/>
      <sheetName val="RANGES"/>
      <sheetName val="2GD01Budget"/>
      <sheetName val="Conversion"/>
      <sheetName val="PropertyMappings"/>
      <sheetName val="cash allow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Input"/>
      <sheetName val="Instruction"/>
      <sheetName val="Notes"/>
      <sheetName val="Summary"/>
      <sheetName val="S&amp;U"/>
      <sheetName val="2013"/>
      <sheetName val="Rents"/>
      <sheetName val="Other Income"/>
      <sheetName val="Commercial I&amp;E"/>
      <sheetName val="2328-Total"/>
      <sheetName val="2328-Main"/>
      <sheetName val="2328-Sub1"/>
      <sheetName val="2328-Sub2"/>
      <sheetName val="CNA"/>
      <sheetName val="Other Fees"/>
      <sheetName val="Prepaids"/>
      <sheetName val="Cash"/>
      <sheetName val="Bond Costs"/>
      <sheetName val="IOD"/>
      <sheetName val="2264"/>
      <sheetName val="2264-A"/>
      <sheetName val="2264-J"/>
      <sheetName val="2438"/>
      <sheetName val="2283"/>
      <sheetName val="RC by Formula"/>
      <sheetName val="Purchase Costs"/>
      <sheetName val="Refinance Costs"/>
      <sheetName val="R R D"/>
      <sheetName val="Reserve Deposits"/>
      <sheetName val="Sensitivity"/>
      <sheetName val="Exec Sum"/>
      <sheetName val="Summary Costs"/>
      <sheetName val="Rent Comps"/>
      <sheetName val="Expense Comps"/>
      <sheetName val="Occupancy Comps"/>
      <sheetName val="Calc1"/>
      <sheetName val="Calc2"/>
      <sheetName val="Calc3"/>
      <sheetName val="12_96 cam"/>
      <sheetName val="caminvb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DEX"/>
      <sheetName val="Table of Contents"/>
      <sheetName val="Investment Summary"/>
      <sheetName val="Investment Analysis"/>
      <sheetName val="CF Split Analysis"/>
      <sheetName val="sources &amp; uses"/>
      <sheetName val="perm loan"/>
      <sheetName val="perm loan (2)"/>
      <sheetName val="fee calculation"/>
      <sheetName val="CHECK"/>
      <sheetName val="bank loan budget"/>
      <sheetName val="interest reserve cal"/>
      <sheetName val="cost analysis"/>
      <sheetName val="project detail"/>
      <sheetName val="site detail"/>
      <sheetName val="base rents"/>
      <sheetName val="income stmt yr0"/>
      <sheetName val="Sensitivity"/>
      <sheetName val="Sensitivity (3)"/>
      <sheetName val="Sensitivity (4)"/>
      <sheetName val="Sensitivity (5)"/>
      <sheetName val="annual inc stmt"/>
      <sheetName val="annual balance sheet"/>
      <sheetName val="annual cash flow"/>
      <sheetName val="depreciation analysis"/>
      <sheetName val="tax analysis"/>
      <sheetName val="summary (verona)"/>
      <sheetName val="budgets (verona)"/>
      <sheetName val="mo income stmt"/>
      <sheetName val="balance sheet"/>
      <sheetName val="cash flow"/>
      <sheetName val="ownership chart"/>
      <sheetName val="amr sch"/>
      <sheetName val="source &amp; uses mo sch"/>
      <sheetName val="% of completion"/>
      <sheetName val="&lt;&gt;"/>
      <sheetName val="ovation orig. rents vs. curr"/>
      <sheetName val="buyout valuation"/>
      <sheetName val="cf 30 yr sale"/>
      <sheetName val="CF Split Analysis (4)"/>
      <sheetName val="Sensitivity (IRR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H"/>
      <sheetName val="ACH2"/>
      <sheetName val="Wire2"/>
      <sheetName val="PymtAdvice"/>
      <sheetName val="PymtAdvice 2"/>
      <sheetName val="Approve"/>
      <sheetName val="DisbRe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s"/>
      <sheetName val="Clubhouse"/>
      <sheetName val="Garages"/>
      <sheetName val="Site"/>
      <sheetName val="Sheet2"/>
      <sheetName val="Sheet3"/>
      <sheetName val="pcr96"/>
      <sheetName val="mvc9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1"/>
      <sheetName val="1001"/>
      <sheetName val="0901"/>
      <sheetName val="0801"/>
      <sheetName val="0701"/>
      <sheetName val="0601"/>
      <sheetName val="0501"/>
      <sheetName val="0401"/>
      <sheetName val="0301"/>
      <sheetName val="0201"/>
      <sheetName val="0101"/>
      <sheetName val="1200"/>
      <sheetName val="1100"/>
      <sheetName val="1000"/>
      <sheetName val="0900"/>
      <sheetName val="030!"/>
      <sheetName val=" 401"/>
      <sheetName val="Inc Rec"/>
      <sheetName val="ACCT ANALYSIS"/>
      <sheetName val="12_96 CAM"/>
      <sheetName val="CAMINVBU"/>
      <sheetName val="CalcSheet"/>
      <sheetName val="_401"/>
      <sheetName val="Inc_Rec"/>
      <sheetName val="ACCT_ANALYSIS"/>
      <sheetName val="Condo Assumptions"/>
      <sheetName val="RECONCILIATION"/>
      <sheetName val="13-524-D"/>
      <sheetName val="Vacancy Loss"/>
      <sheetName val="RENT"/>
      <sheetName val="Bldg Summary"/>
      <sheetName val="Companies"/>
      <sheetName val="XAG Inputs &amp; Log"/>
      <sheetName val="Estimated RI "/>
      <sheetName val="File Admin"/>
      <sheetName val="Basic Input Sheet"/>
      <sheetName val="Sheet2"/>
      <sheetName val="ACCRD INS (2001)"/>
      <sheetName val="Input"/>
      <sheetName val="tax1730&amp;2210"/>
      <sheetName val="2060 Accr"/>
      <sheetName val="June Variance"/>
      <sheetName val="0601_x0000__x0000__x0000__x0000__x0000__x0000__x0000__x0000__x0000__x0009__x0000__x0012_[13-524-D.xls]0"/>
      <sheetName val="Bldg_Summary"/>
      <sheetName val="File_Admin"/>
      <sheetName val="XAG_Inputs_&amp;_Log"/>
      <sheetName val="Estimated_RI_"/>
      <sheetName val="ACCRD_INS_(2001)"/>
      <sheetName val="Vacancy_Loss"/>
      <sheetName val="Basic_Input_Sheet"/>
      <sheetName val="Detail"/>
      <sheetName val="Loan Amortization Schedule"/>
      <sheetName val="Depr Anal"/>
      <sheetName val="#REF"/>
      <sheetName val="Project Reporting Information"/>
      <sheetName val="WorkSheetName"/>
      <sheetName val="LEASGR"/>
      <sheetName val="Accr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s"/>
      <sheetName val="Mgmt YTD"/>
      <sheetName val="Mgmt Fee Invoice"/>
      <sheetName val="Cklst"/>
      <sheetName val="Cover"/>
      <sheetName val="Contact"/>
      <sheetName val="Inc Rec"/>
      <sheetName val="RR"/>
      <sheetName val="Cash Flow"/>
      <sheetName val="Balance Sheet"/>
      <sheetName val="3110"/>
      <sheetName val="Retained Earnings"/>
      <sheetName val="Variance"/>
      <sheetName val="Corp. Rec."/>
      <sheetName val="BTE Recv."/>
      <sheetName val="JE FORM"/>
      <sheetName val="Instructions"/>
      <sheetName val="Security Deposit"/>
      <sheetName val="Notes and Mortgages Pay."/>
      <sheetName val="Contributions"/>
      <sheetName val="Manual Billing"/>
      <sheetName val="One Time Charge for oPx"/>
      <sheetName val="0900"/>
      <sheetName val="Cal"/>
      <sheetName val="RECONCILIATION"/>
      <sheetName val="Mgmt_YTD"/>
      <sheetName val="Mgmt_Fee_Invoice"/>
      <sheetName val="Inc_Rec"/>
      <sheetName val="Cash_Flow"/>
      <sheetName val="Balance_Sheet"/>
      <sheetName val="Retained_Earnings"/>
      <sheetName val="Corp__Rec_"/>
      <sheetName val="BTE_Recv_"/>
      <sheetName val="JE_FORM"/>
      <sheetName val="Security_Deposit"/>
      <sheetName val="Notes_and_Mortgages_Pay_"/>
      <sheetName val="Manual_Billing"/>
      <sheetName val="One_Time_Charge_for_oPx"/>
      <sheetName val="Summary Esc. 1st  half 2005-06"/>
      <sheetName val="ACCT ANALYSIS"/>
      <sheetName val="tax1730&amp;2210"/>
      <sheetName val="Bldg Summary"/>
      <sheetName val="Input"/>
      <sheetName val="2060 Accr"/>
      <sheetName val="Sheet1"/>
      <sheetName val="Channingway Month End-2002"/>
      <sheetName val="Base Accounts"/>
      <sheetName val="#REF"/>
      <sheetName val="Property Tax Estimate"/>
      <sheetName val="Detail"/>
      <sheetName val="Companies"/>
      <sheetName val="WorkSheetName"/>
      <sheetName val="N-Clean-Vac - 483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TAX INV (2)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TX95C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MB AUTO INS"/>
      <sheetName val="MGMT FEES"/>
      <sheetName val="Paradise-BR Ovation LLC"/>
      <sheetName val="D"/>
      <sheetName val="E"/>
      <sheetName val="Dep fr IUB to NSB"/>
      <sheetName val="TRF IUB TO NSB"/>
      <sheetName val="REIMB INTERCO"/>
      <sheetName val="REIMB COBRA"/>
      <sheetName val="MISC"/>
      <sheetName val="PAYROLL REIMB"/>
      <sheetName val="ALM CONTRIBUTION"/>
      <sheetName val="ALM Distribution"/>
      <sheetName val="SHARON HARRY PR"/>
      <sheetName val="PR FUNDING"/>
      <sheetName val="COVER PAYROLL"/>
      <sheetName val="Draw IUB LOC"/>
      <sheetName val="misc 2 "/>
      <sheetName val="Centennial Contractor Fee"/>
      <sheetName val="Thunder Road Contractor Fee"/>
      <sheetName val="Centennial Developer Fee"/>
      <sheetName val="deferred fees &amp; interco"/>
      <sheetName val="Lone Mountain Developer Fee"/>
      <sheetName val="Lone Mountain Contractor Fee"/>
      <sheetName val="Lone Mtn Contr Fee Paradise"/>
      <sheetName val="Ins Claim Reimb"/>
      <sheetName val="IUB Loan - PM portion"/>
      <sheetName val="IUB Loan pymt"/>
      <sheetName val="PAYROLL REIMB (2)"/>
      <sheetName val="ADP"/>
      <sheetName val="ada"/>
      <sheetName val="Sheet1"/>
      <sheetName val="IUB Loan pymt (2)"/>
      <sheetName val="IUB Loan pymt (3)"/>
      <sheetName val="WWS "/>
      <sheetName val="Turn-Rite reimbursements"/>
      <sheetName val="Bnk Chgs"/>
      <sheetName val="cash "/>
      <sheetName val="SHARON PR"/>
      <sheetName val="ALM Personal Exp"/>
      <sheetName val="PR FUNDING (2)"/>
      <sheetName val="LMS  "/>
      <sheetName val="MISC 5"/>
      <sheetName val="trf to WWS"/>
      <sheetName val="trf to LMS"/>
      <sheetName val="LMS Contractor Fee"/>
      <sheetName val="Bnk Chg Reimb"/>
      <sheetName val="Turn-Rite reimbursement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2328-All Improvements"/>
      <sheetName val="Bldg A"/>
      <sheetName val="Bldg B"/>
      <sheetName val="Bldg C"/>
      <sheetName val="Bldg F"/>
      <sheetName val="Club-Leasing"/>
      <sheetName val="Carports"/>
      <sheetName val="Trash Encloser"/>
      <sheetName val="Site Breakdown"/>
      <sheetName val="Gen Reqs Break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summary (nml &amp; ovation)"/>
      <sheetName val="cf summary"/>
      <sheetName val="Underwriting"/>
      <sheetName val="annual inc stmt"/>
      <sheetName val="annual inc stmt (2)"/>
      <sheetName val="Calculator"/>
      <sheetName val="Madera amrt"/>
      <sheetName val="Amort-Schs"/>
      <sheetName val="PMT-Analysis"/>
      <sheetName val="Prepay Penaltie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summary (nml &amp; ovation)"/>
      <sheetName val="cf summary"/>
      <sheetName val="Underwriting"/>
      <sheetName val="annual inc stmt"/>
      <sheetName val="annual inc stmt (2)"/>
      <sheetName val="Calculator"/>
      <sheetName val="Madera amrt"/>
      <sheetName val="Amort-Schs"/>
      <sheetName val="PMT-Analysis"/>
      <sheetName val="Prepay Penaltie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nts"/>
      <sheetName val="Checklist"/>
      <sheetName val="@Salient Data Sheet"/>
      <sheetName val="2328 Master"/>
      <sheetName val="2328 TYPE 1"/>
      <sheetName val="2328 TYPE 2"/>
      <sheetName val="2328 TYPE 3"/>
      <sheetName val="2328 TYPE 4"/>
      <sheetName val="2328 TYPE 5"/>
      <sheetName val="2328 TYPE 6"/>
      <sheetName val="2328 TYPE 7"/>
      <sheetName val="2328 TYPE 8"/>
      <sheetName val="2328 TYPE 9"/>
      <sheetName val="2328 TYPE 10"/>
      <sheetName val="2328 TYPE 11"/>
      <sheetName val="2328 TYPE 12"/>
      <sheetName val="2328 TYPE 13"/>
      <sheetName val="2328 TYPE 14"/>
      <sheetName val="2328 TYPE 15"/>
      <sheetName val="2328 TYPE 16"/>
      <sheetName val="SF Table"/>
      <sheetName val="Other Fees"/>
      <sheetName val="Coverpage"/>
      <sheetName val="221d4 Report"/>
      <sheetName val="AE Appendix Page"/>
      <sheetName val="Cost Apps 1"/>
      <sheetName val="MF Bldg Comps"/>
      <sheetName val="CH Comps"/>
      <sheetName val="92326 Master"/>
      <sheetName val="92326 Type 1"/>
      <sheetName val="92326 Type 2"/>
      <sheetName val="92326 Type 3"/>
      <sheetName val="92326 Type 4"/>
      <sheetName val="92326 Type 5"/>
      <sheetName val="92326 Type 6"/>
      <sheetName val="92326 Type 7"/>
      <sheetName val="92326 Type 8"/>
      <sheetName val="92326 Type 9"/>
      <sheetName val="92326 Type 10"/>
      <sheetName val="92326 Type 11"/>
      <sheetName val="92326 Type 12"/>
      <sheetName val="92326 Type 13"/>
      <sheetName val="92326 Type 14"/>
      <sheetName val="92326 Type 15"/>
      <sheetName val="92326 Type 16"/>
      <sheetName val="@Site $ Back Up"/>
      <sheetName val="Bldg Cost $ Back Up"/>
      <sheetName val="Bldg 2 Cost $ Back Up"/>
      <sheetName val="Accessory 1 Cost $ Back Up"/>
      <sheetName val="Accessory 2 Cost $ Back Up"/>
      <sheetName val="Accessory 3 Cost $ Back Up"/>
      <sheetName val="Accessory 4 Cost $ Back Up"/>
      <sheetName val="Accessory 5 Cost $ Back Up"/>
      <sheetName val="Accessory 6 Cost $ Back Up"/>
      <sheetName val="Cost Apps 2"/>
      <sheetName val="AE Fee"/>
      <sheetName val="Cost Apps 3"/>
      <sheetName val="92331-B"/>
      <sheetName val="Cost Apps 4"/>
      <sheetName val="92329 (NC)"/>
      <sheetName val="92329 - Work (NC)"/>
      <sheetName val="92329 (SR)"/>
      <sheetName val="92329 - Work (SR)"/>
      <sheetName val="Cost Apps 5"/>
      <sheetName val="92264"/>
      <sheetName val="92264 Section G"/>
      <sheetName val="92264 Section M CNA"/>
      <sheetName val="Resume Appendix"/>
      <sheetName val="Sheet1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Inputs"/>
      <sheetName val="Summary"/>
      <sheetName val="RentRoll-Stabilized"/>
      <sheetName val="H&amp;B"/>
      <sheetName val="Proforma"/>
      <sheetName val="Cost"/>
      <sheetName val="Sale Comps"/>
      <sheetName val="Income Comps"/>
      <sheetName val="Land Comps"/>
      <sheetName val="Proforma - 1.50x DCR"/>
      <sheetName val="Rent Roll"/>
      <sheetName val="Sources &amp; Uses"/>
      <sheetName val="Sales Comps"/>
      <sheetName val="Land Sale Comps"/>
      <sheetName val="Asking Rent Comps"/>
      <sheetName val="Am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ummary"/>
      <sheetName val="RentRoll-Stabilized"/>
      <sheetName val="Cost"/>
      <sheetName val="Sale Comps"/>
      <sheetName val="Income Comps"/>
      <sheetName val="Land Comps"/>
      <sheetName val="Appraisal Comparisons"/>
      <sheetName val="Portfolio Info --&gt;"/>
      <sheetName val="Portfolio Analysis"/>
      <sheetName val="Updated Portfolio Analysis"/>
      <sheetName val="Historical Information"/>
      <sheetName val="Rent Rollover Schedule"/>
      <sheetName val="Wynkoop Info --&gt;"/>
      <sheetName val="Rent Roll - Wynkoop"/>
      <sheetName val="H&amp;B &amp; Proforma - Wynkoop"/>
      <sheetName val="W - 2012"/>
      <sheetName val="W - 2013"/>
      <sheetName val="W - Oct T-12"/>
      <sheetName val="W - Oct 2014 YTD"/>
      <sheetName val="Festival Info --&gt;"/>
      <sheetName val="Festival Comp"/>
      <sheetName val="F - Oct 14 T-12"/>
      <sheetName val="F - Newmark Orig UW"/>
      <sheetName val="Admiral Info --&gt;"/>
      <sheetName val="Admiral Comp"/>
      <sheetName val="A - Oct 14 T-12"/>
      <sheetName val="A - Newmark Orig UW"/>
      <sheetName val="Mission Hills Info --&gt;"/>
      <sheetName val="Mission Hills Comp"/>
      <sheetName val="M - Oct 14 T-12"/>
      <sheetName val="M - Newmark Orig UW"/>
      <sheetName val="Alexandria Commons Info --&gt;"/>
      <sheetName val="Rent Roll - Alexandria"/>
      <sheetName val="H&amp;B - Alexandria"/>
      <sheetName val="Proforma - Alexandria"/>
      <sheetName val="A - 2012"/>
      <sheetName val="A - 2013"/>
      <sheetName val="A - Oct T-12"/>
      <sheetName val="A  - Oct 2014 YTD"/>
      <sheetName val="St. John's --&gt;"/>
      <sheetName val="Rent Roll - St. Johns"/>
      <sheetName val="H&amp;B - St. Johns"/>
      <sheetName val="Proforma - St. Johns"/>
      <sheetName val="SJ - 2011"/>
      <sheetName val="SJ - 2012"/>
      <sheetName val="SJ - 2013"/>
      <sheetName val="SJ - Oct 2014 YTD"/>
      <sheetName val="McCook --&gt;"/>
      <sheetName val="MC - Oct 2014 YTD"/>
      <sheetName val="Proforma - McC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Ind."/>
      <sheetName val="Cash Flows.CFALX"/>
      <sheetName val="Cash Flows.CFPBL"/>
      <sheetName val="Cash Flows.CFPUB"/>
      <sheetName val="Cash Flows.CFSH"/>
      <sheetName val="Cash Flows.CFSV"/>
      <sheetName val="Cash Flows.CFVV"/>
      <sheetName val="Cash Flows.CFWH"/>
      <sheetName val="Loss to Lease"/>
      <sheetName val="Cash Flows.CFEST"/>
      <sheetName val="Cash Flows.CFOAK"/>
      <sheetName val="Cash Flows.CFN"/>
      <sheetName val="Cash Flows.CFW"/>
      <sheetName val="2004B Consol---&gt;"/>
      <sheetName val="CFVV 2004B Consol"/>
      <sheetName val="CFSH 2004B Consol"/>
      <sheetName val="CFSV 2004B Consol"/>
      <sheetName val="CFPUB 2004B Consol"/>
      <sheetName val="CFWH 2004B Consol"/>
      <sheetName val="CFEST 2004B Consol"/>
      <sheetName val="CFALX 2004B Consol"/>
      <sheetName val="CFPBL 2004B Consol"/>
      <sheetName val="CFOAK 2004B Consol"/>
      <sheetName val="CFN 2004B Consol"/>
      <sheetName val="2004B Consol"/>
      <sheetName val="Projections 2005==&gt;"/>
      <sheetName val="2005E Assumptions"/>
      <sheetName val="CFVV 2005E"/>
      <sheetName val="CFSH 2005E"/>
      <sheetName val="CFSV 2005E"/>
      <sheetName val="CFPUB 2005E"/>
      <sheetName val="CFWH 2005E"/>
      <sheetName val="CFEST 2005E"/>
      <sheetName val="CFALX 2005E"/>
      <sheetName val="CFPBL 2005E"/>
      <sheetName val="CFOAK 2005E"/>
      <sheetName val="CFN 2005E"/>
      <sheetName val="CFW 2005E"/>
      <sheetName val="RI CFVV 2005"/>
      <sheetName val="RI CFSH 2005"/>
      <sheetName val="RI CFSV 2005"/>
      <sheetName val="RI CFPUB 2005"/>
      <sheetName val="RI CFWH 2005"/>
      <sheetName val="RI CFEST 2005"/>
      <sheetName val="RI CFALX 2005"/>
      <sheetName val="RI CFPBL 2005"/>
      <sheetName val="RI CFOAK 2005"/>
      <sheetName val="RI CFN 2005"/>
      <sheetName val="RI CFW 2005"/>
      <sheetName val="Backup==&gt;"/>
      <sheetName val="CFVV----&gt;"/>
      <sheetName val="CFVV 2004B"/>
      <sheetName val="Gross Potential-IND. CFVV 2004"/>
      <sheetName val="Rental Income-IND.CFVV 2004"/>
      <sheetName val="Misc. Income.CFVV"/>
      <sheetName val="Advertising.CFVV"/>
      <sheetName val="Activities Expenses.CFVV"/>
      <sheetName val="CF SH-----&gt;"/>
      <sheetName val="CFSH 2004B"/>
      <sheetName val="Gross Potential-IND.CFSH"/>
      <sheetName val="Rental Income-IND.CFSH 2004"/>
      <sheetName val="Misc. Income.CFSH"/>
      <sheetName val="Advertising.CFSH"/>
      <sheetName val="Vacancy Expenses.CFSH"/>
      <sheetName val="Fees, Taxes &amp; Insurance.CFSH"/>
      <sheetName val="CFSV----&gt; "/>
      <sheetName val="CFSV 2004B"/>
      <sheetName val="Gross Potential-FS.CFSV"/>
      <sheetName val="Gross Potential-IND.CFSV"/>
      <sheetName val="Rental Income-IND.CFSV 2004"/>
      <sheetName val="Rental Income-FS.CFSV"/>
      <sheetName val="Repairs and Maintenance.CFSV"/>
      <sheetName val="CF PUB----&gt; "/>
      <sheetName val="CFPUB 2004B"/>
      <sheetName val="Gross Potential-IND.CFPUB"/>
      <sheetName val="Rental Income-IND.CFPUB 2004"/>
      <sheetName val="CF WH----&gt;"/>
      <sheetName val="CFWH 2004B"/>
      <sheetName val="Gross Potential-IND.CFWH"/>
      <sheetName val="Rental Income-IND.CFWH 2004"/>
      <sheetName val="CF EST----&gt;"/>
      <sheetName val="CFEST 2004B"/>
      <sheetName val="Rental Income-FS.CFEST 2004"/>
      <sheetName val="Gross Potential-FS.CFEST"/>
      <sheetName val="CF ALX----&gt;"/>
      <sheetName val="CFALX 2004B"/>
      <sheetName val="Gross Potential-IND.CFALX"/>
      <sheetName val="Rental Income-IND.CFALX 2004"/>
      <sheetName val="CF PBL----&gt;"/>
      <sheetName val="CFPBL 2004B"/>
      <sheetName val="Gross Potential-IND.CFPBL"/>
      <sheetName val="Rental Income-IND.CFPBL 2004"/>
      <sheetName val="Vacancy Expenses.CFPBL"/>
      <sheetName val="CF OAK----&gt;"/>
      <sheetName val="CFOAK 2004B"/>
      <sheetName val="Gross Potential-FS.CFOAK"/>
      <sheetName val="Rental Income-FS.CFOAK 2004"/>
      <sheetName val="CF N----&gt;"/>
      <sheetName val="CFN 2004B"/>
      <sheetName val="Gross Potential-FS.CFN"/>
      <sheetName val="Rental Income-FS.CFN 2004"/>
      <sheetName val="CF W-----&gt;"/>
      <sheetName val="CFW 2004B"/>
      <sheetName val="Gross Potential-FS.CFW"/>
      <sheetName val="Rental Income-FS.CFW 2004"/>
      <sheetName val="W Budget Stbl"/>
      <sheetName val="W Gross Potential Stbl"/>
      <sheetName val="W Rental Income Stbl"/>
      <sheetName val="W Misc. Income Stbl"/>
      <sheetName val="W Advertising Stl"/>
      <sheetName val="W Utilities Stbl"/>
      <sheetName val="W Activities Expenses Stbl"/>
      <sheetName val="W Repairs and Maintenance Stbl"/>
      <sheetName val="W Vacancy Expenses Stbl"/>
      <sheetName val="W Personel Expenses Stbl"/>
      <sheetName val="W Payroll Burden Stbl"/>
      <sheetName val="W Other PR Expenses Stbl"/>
      <sheetName val="W G &amp; A Expenses Stbl"/>
      <sheetName val="W Taxes &amp; Insurance Stbl"/>
      <sheetName val="CF 2002 for all props"/>
      <sheetName val="Unit Mix"/>
      <sheetName val="Capex"/>
      <sheetName val="CFVV Capex"/>
      <sheetName val="CFSH Capex"/>
      <sheetName val="CFSV Capex"/>
      <sheetName val="CFPUB Capex"/>
      <sheetName val="CFWH Capex"/>
      <sheetName val="CFEST Capex"/>
      <sheetName val="CFALX Capex"/>
      <sheetName val="CFPBL Capex"/>
      <sheetName val="CFOAK Capex"/>
      <sheetName val="Charts==&gt;"/>
      <sheetName val="Advertising Summary"/>
      <sheetName val="Occupancy"/>
      <sheetName val="Occupanc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_Roll (2006)"/>
      <sheetName val="Rent_Roll (Current)"/>
      <sheetName val="Cost_Equity_SourcesUses"/>
      <sheetName val="Inv_Sum"/>
    </sheetNames>
    <sheetDataSet>
      <sheetData sheetId="0"/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Table of Contents"/>
      <sheetName val="Investment Analysis"/>
      <sheetName val="CF Split Analysis"/>
      <sheetName val="summary"/>
      <sheetName val="sources &amp; uses"/>
      <sheetName val="perm loan"/>
      <sheetName val="fee calculation"/>
      <sheetName val="bank loan budget"/>
      <sheetName val="interest reserve cal"/>
      <sheetName val="cost analysis"/>
      <sheetName val="project detail"/>
      <sheetName val="base rents"/>
      <sheetName val="rent basis (2)"/>
      <sheetName val="income stmt yr0"/>
      <sheetName val="Sensitivity"/>
      <sheetName val="Sensitivity (2)"/>
      <sheetName val="Sensitivity (IRR)"/>
      <sheetName val="annual inc stmt"/>
      <sheetName val="annual balance sheet"/>
      <sheetName val="annual cash flow"/>
      <sheetName val="depreciation analysis"/>
      <sheetName val="tax analysis"/>
      <sheetName val="mo income stmt"/>
      <sheetName val="balance sheet"/>
      <sheetName val="cash flow"/>
      <sheetName val="condo sale cash flow"/>
      <sheetName val="source &amp; uses mo sch"/>
      <sheetName val="% of completion"/>
      <sheetName val="amr sch"/>
      <sheetName val="SID sch"/>
      <sheetName val="ownership chart"/>
      <sheetName val="CHECK"/>
      <sheetName val="ovation orig. rents vs. curr"/>
      <sheetName val="cf summary dist as apts"/>
      <sheetName val="cf summary dist as condo"/>
      <sheetName val="buyout valuation"/>
      <sheetName val="cf 30 yr sale"/>
      <sheetName val="a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Assumptions"/>
      <sheetName val="INDEX"/>
      <sheetName val="Table of Contents"/>
      <sheetName val="Table of Contents (2)"/>
      <sheetName val="Investment Summary"/>
      <sheetName val="Investment Analysis"/>
      <sheetName val="CF Split Analysis"/>
      <sheetName val="sources &amp; uses"/>
      <sheetName val="perm loan"/>
      <sheetName val="interest reserve cal"/>
      <sheetName val="interest reserve cal (1)"/>
      <sheetName val="interest reserve cal (2)"/>
      <sheetName val="fee calculation"/>
      <sheetName val="bank loan budget"/>
      <sheetName val="cost analysis"/>
      <sheetName val="project detail"/>
      <sheetName val="site detail"/>
      <sheetName val="base rents"/>
      <sheetName val="income stmt yr0"/>
      <sheetName val="Appraisal (0)"/>
      <sheetName val="Const Loan (0)"/>
      <sheetName val="Const Loan (00)"/>
      <sheetName val="FMV"/>
      <sheetName val="Const Loan (1)"/>
      <sheetName val="Const Loan (2)"/>
      <sheetName val="Const Loan (3)"/>
      <sheetName val="Const Loan (4)"/>
      <sheetName val="Sensitivity"/>
      <sheetName val="Sensitivity (3)"/>
      <sheetName val="Sensitivity (4)"/>
      <sheetName val="Sensitivity (5)"/>
      <sheetName val="annual inc stmt"/>
      <sheetName val="annual balance sheet"/>
      <sheetName val="annual cash flow"/>
      <sheetName val="depreciation analysis"/>
      <sheetName val="tax analysis"/>
      <sheetName val="summary (v6)"/>
      <sheetName val="Bank budgets"/>
      <sheetName val="budgets (v6)"/>
      <sheetName val="CF Split (V5)"/>
      <sheetName val="mo income stmt"/>
      <sheetName val="mo income stmt (2)"/>
      <sheetName val="balance sheet"/>
      <sheetName val="cash flow"/>
      <sheetName val="ownership chart"/>
      <sheetName val="amr sch"/>
      <sheetName val="source &amp; uses mo sch"/>
      <sheetName val="% of completion"/>
      <sheetName val="&lt;&gt;"/>
      <sheetName val="ovation orig. rents vs. curr"/>
      <sheetName val="buyout valuation"/>
      <sheetName val="Sensitivity (IRR)"/>
      <sheetName val="Appraisal"/>
      <sheetName val="Appraisal (3)"/>
      <sheetName val="perm lo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hat Changed (2)"/>
      <sheetName val="Sheet1"/>
      <sheetName val="Stucco and TIle - Takeoff Compa"/>
    </sheetNames>
    <definedNames>
      <definedName name="Payments_per_year" refersTo="#REF!"/>
      <definedName name="Pmt_to_use" refersTo="#REF!"/>
      <definedName name="Term_in_years" refersTo="#REF!"/>
    </definedNames>
    <sheetDataSet>
      <sheetData sheetId="0"/>
      <sheetData sheetId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Square Footage Take-offs"/>
      <sheetName val="Cost Estimate Worksheet"/>
      <sheetName val="92329"/>
      <sheetName val="92329-Work"/>
      <sheetName val="SNA"/>
      <sheetName val="92264 Section G - Rehab Only"/>
      <sheetName val="92264 Section M CNA"/>
      <sheetName val="2264"/>
      <sheetName val="Architect Fee Calc"/>
      <sheetName val="92331-B"/>
      <sheetName val="92326 Master"/>
      <sheetName val="92326 CC"/>
      <sheetName val="D3G LI"/>
      <sheetName val="2328-Main"/>
      <sheetName val="2328- Clubhouse"/>
      <sheetName val="2328-LI Page 1"/>
      <sheetName val="2328-LI Page 2"/>
      <sheetName val="2328-LI Page 3"/>
      <sheetName val="Other 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ummary"/>
      <sheetName val="AVP"/>
      <sheetName val="Assumptions"/>
      <sheetName val="IS, CYE(3)"/>
      <sheetName val="IS, FYE(2)"/>
      <sheetName val="CF"/>
      <sheetName val="BS"/>
      <sheetName val="debt"/>
      <sheetName val="Debt Refinancing"/>
      <sheetName val="BSadj"/>
      <sheetName val="BOCA Mgmt Equity"/>
      <sheetName val="Returns"/>
      <sheetName val="ratios"/>
      <sheetName val="CMBS Analysis"/>
      <sheetName val="BREAK"/>
      <sheetName val="ownership summary"/>
      <sheetName val="Modu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Assumptions"/>
      <sheetName val="INDEX"/>
      <sheetName val="Table of Contents"/>
      <sheetName val="Table of Contents (2)"/>
      <sheetName val="Investment Summary"/>
      <sheetName val="Sensitivity (0)"/>
      <sheetName val="sources &amp; uses"/>
      <sheetName val="project detail"/>
      <sheetName val="income stmt yr0"/>
      <sheetName val="base rents (2)"/>
      <sheetName val="Expenses Analysis"/>
      <sheetName val="FMV Analysis"/>
      <sheetName val="Const Loan (1)"/>
      <sheetName val="Const Loan (0)"/>
      <sheetName val="site detail"/>
      <sheetName val="Investment Analysis"/>
      <sheetName val="Investment Summary (5yr)"/>
      <sheetName val="CF Dist Analysis"/>
      <sheetName val="CF Dist Analysis (5yr)"/>
      <sheetName val="perm loan"/>
      <sheetName val="cost analysis"/>
      <sheetName val="bank loan budget"/>
      <sheetName val="interest reserve cal"/>
      <sheetName val="fee calculation"/>
      <sheetName val="Sensitivity"/>
      <sheetName val="Sensitivity (3)"/>
      <sheetName val="annual inc stmt"/>
      <sheetName val="annual balance sheet"/>
      <sheetName val="annual cash flow"/>
      <sheetName val="depreciation analysis"/>
      <sheetName val="tax analysis"/>
      <sheetName val="ownership chart"/>
      <sheetName val="summary (v5)"/>
      <sheetName val="Bank budgets"/>
      <sheetName val="budgets (v5)"/>
      <sheetName val="CF Split (V5)"/>
      <sheetName val="interest reserve cal (v1)"/>
      <sheetName val="mo income stmt"/>
      <sheetName val="balance sheet"/>
      <sheetName val="cash flow"/>
      <sheetName val="amr sch"/>
      <sheetName val="source &amp; uses mo sch"/>
      <sheetName val="% of completion"/>
      <sheetName val="&lt;&gt;"/>
      <sheetName val="Appraisal (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Notes Sheet"/>
      <sheetName val="Assumptions"/>
      <sheetName val="Monthly Inputs"/>
      <sheetName val="Monthly Spreads"/>
      <sheetName val="Data Tables"/>
      <sheetName val="AdminMonthly"/>
      <sheetName val="Formulas"/>
      <sheetName val="Inflation"/>
      <sheetName val="AdminDirConst"/>
      <sheetName val="Cover"/>
      <sheetName val="Sensitivity - Single"/>
      <sheetName val="Sensitivity - Dual"/>
      <sheetName val="Investment Overview (old)"/>
      <sheetName val="Investment Overview"/>
      <sheetName val="Income Stmt Summ by Plan"/>
      <sheetName val="Profit Proforma by Plan"/>
      <sheetName val="Sheet1"/>
      <sheetName val="Monthly Cash Flow"/>
      <sheetName val="Quarterly Cash Flow"/>
      <sheetName val="Q CF Investor"/>
      <sheetName val="Annual Cash Flow"/>
      <sheetName val="P&amp;L Stmt."/>
      <sheetName val="Quarterly P&amp;L Stmt."/>
      <sheetName val="Annual P&amp;L Stmt."/>
      <sheetName val="Balance Sheet"/>
      <sheetName val="Quarterly Balance Sheet"/>
      <sheetName val="Annual 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s Total Project Ph IV"/>
      <sheetName val="Costs Total Project Ph III"/>
      <sheetName val="Costs Total Project Ph II"/>
      <sheetName val="Costs Total Project Ph I"/>
      <sheetName val="Costs Total Project"/>
      <sheetName val="Budget Total Project"/>
      <sheetName val=" CF Analysis"/>
      <sheetName val="Construction Costs"/>
      <sheetName val="Cash Flow (1)"/>
      <sheetName val="Cash Flow (2)"/>
      <sheetName val="Cash Flow (3)"/>
      <sheetName val="Cash Flow (4)"/>
      <sheetName val="Cash Flow (5)"/>
      <sheetName val="Cash Flow (6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Prescreen"/>
      <sheetName val="Property Pics"/>
      <sheetName val="Property Maps"/>
      <sheetName val="Assumptions"/>
      <sheetName val="Rent Roll &amp; Vacancy"/>
      <sheetName val="Concessions"/>
      <sheetName val="Property Analysis Form"/>
      <sheetName val="Inc Exp"/>
      <sheetName val="ctData"/>
      <sheetName val="Sheet1"/>
      <sheetName val="Inc Exp Comments"/>
      <sheetName val="Optg Stmt Summary"/>
      <sheetName val="Rollover"/>
      <sheetName val="Sensitivity Analysis"/>
      <sheetName val="Replacement Reserve"/>
      <sheetName val="Proforma"/>
      <sheetName val="DSC"/>
      <sheetName val="Amortization Table"/>
      <sheetName val="CBA B-Note"/>
      <sheetName val="RENT ROLL PKG"/>
      <sheetName val="PAF PKG"/>
      <sheetName val="Inc Expense (2)"/>
      <sheetName val="HISTORY PKG"/>
      <sheetName val="pr fu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3990526602"/>
      <sheetName val="Template"/>
      <sheetName val="Sheet3"/>
      <sheetName val="Data Lookup"/>
      <sheetName val="8TX95C"/>
      <sheetName val="ENCUMBRANCE"/>
      <sheetName val="CSH T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SMCAMEXP97"/>
      <sheetName val="Sheet1 (2)"/>
      <sheetName val="SCountyCAMEXP97 "/>
      <sheetName val="Contrib"/>
      <sheetName val="Exppool"/>
      <sheetName val="SSMCAMEXP96"/>
      <sheetName val="SShoreGLA96CAM"/>
      <sheetName val="Sheet1"/>
      <sheetName val="GLA96TAX"/>
      <sheetName val="SSMGLA12"/>
      <sheetName val="SCounty"/>
      <sheetName val="SC.GLA97"/>
      <sheetName val="Tenants"/>
      <sheetName val="Sales Data"/>
      <sheetName val="Sheet3"/>
      <sheetName val="Contrib (2)"/>
      <sheetName val="Input"/>
      <sheetName val="SCH-28 Cash Disbursements"/>
      <sheetName val="Template"/>
      <sheetName val="3-00 RECONCILIATION"/>
      <sheetName val="Test Malls"/>
      <sheetName val="Mgmt Fee Schd"/>
      <sheetName val="Summary"/>
      <sheetName val="Sheet1_(2)"/>
      <sheetName val="SCountyCAMEXP97_"/>
      <sheetName val="SC_GLA97"/>
      <sheetName val="Sales_Data"/>
      <sheetName val="Contrib_(2)"/>
      <sheetName val="SCH-28_Cash_Disbursements"/>
      <sheetName val="3-00_RECONCILIATION"/>
      <sheetName val="Test_Malls"/>
      <sheetName val="Mgmt_Fee_Schd"/>
      <sheetName val="Note 4-10"/>
      <sheetName val="Hyperion NOI"/>
      <sheetName val="HYP NOI @ 100%"/>
      <sheetName val="Spacenet Inc"/>
      <sheetName val="gen reqs breakdown"/>
      <sheetName val="master2328-all improv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dminMonthly"/>
      <sheetName val="Formulas"/>
      <sheetName val="Menu"/>
      <sheetName val="Hen Scratchings"/>
      <sheetName val="Monthly Inputs"/>
      <sheetName val="Monthly Spreads"/>
      <sheetName val="Data Tables"/>
      <sheetName val="AdminDirConst"/>
      <sheetName val="Cover"/>
      <sheetName val="Sensitivity - Single"/>
      <sheetName val="Sensitivity - Dual"/>
      <sheetName val="Investment Overview"/>
      <sheetName val="Income Stmt Summ by Plan"/>
      <sheetName val="Profit Proforma by Plan"/>
      <sheetName val="Monthly Cash Flow"/>
      <sheetName val="Quarterly Cash Flow"/>
      <sheetName val="Annual Cash Flow"/>
      <sheetName val="P&amp;L Stmt."/>
      <sheetName val="Quarterly P&amp;L Stmt."/>
      <sheetName val="Annual P&amp;L Stmt."/>
      <sheetName val="Balance Sheet"/>
      <sheetName val="Quarterly Balance Sheet"/>
      <sheetName val="Annual Balance Sheet"/>
      <sheetName val="Essbase"/>
      <sheetName val="Project"/>
      <sheetName val="underwri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buildup"/>
      <sheetName val="DCF FOR LPS"/>
    </sheetNames>
    <sheetDataSet>
      <sheetData sheetId="0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hanges"/>
      <sheetName val="Bldg"/>
      <sheetName val="Site"/>
      <sheetName val="Clubhouse"/>
      <sheetName val="Upg"/>
      <sheetName val="Sheet3"/>
      <sheetName val="underwri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Information"/>
      <sheetName val="Rent Roll Analysis"/>
      <sheetName val="Underwriting"/>
      <sheetName val="unmapped sheet"/>
      <sheetName val="Vote Cover - 1"/>
      <sheetName val="Vote Loan Info - 2"/>
      <sheetName val="Allocation, Prepay &amp; Dates - 3"/>
      <sheetName val="Vote Comments - 4"/>
      <sheetName val="Vote Use-Fees-Borrower Info - 5"/>
      <sheetName val="Vote Principal-Sponsor- 6"/>
      <sheetName val="Vote Escrows- 7"/>
      <sheetName val="Vote Property Info A - 8 "/>
      <sheetName val="Vote Property Info B - 9"/>
      <sheetName val="Vote Valuation- 10"/>
      <sheetName val="Vote Cash Flow- 11"/>
      <sheetName val="Vote Cash Flow Footnotes - 12"/>
      <sheetName val="Vote Rent Roll - 13"/>
      <sheetName val="New Rating"/>
      <sheetName val="Vote Duration"/>
      <sheetName val="Vote Rate Circle"/>
      <sheetName val="Rate Reset"/>
      <sheetName val="Variable to Fixed"/>
      <sheetName val="Cmte. of Finance Pg 1"/>
      <sheetName val="Cmte. of Finance Pg 2"/>
      <sheetName val="VLI  Listing Sheet"/>
      <sheetName val="IPLICO  Listing Sheet "/>
      <sheetName val="JHRECO LTD  Listing Sheet  "/>
      <sheetName val="Vote - Open Text"/>
      <sheetName val="Vote Rating"/>
      <sheetName val="JHREF Re-Fi"/>
      <sheetName val="JHLICO Rate Circle"/>
      <sheetName val="JHREF Rate Lock"/>
      <sheetName val="LaunchingPad"/>
      <sheetName val="GlobalInfo"/>
      <sheetName val="JHDropdowns"/>
      <sheetName val="Dropdowns"/>
      <sheetName val="RangeNameInfo"/>
      <sheetName val="RentRoll_Import"/>
      <sheetName val="RentRoll_Export"/>
      <sheetName val="_EXICashFlowImport"/>
      <sheetName val="_EXICashFlowExport"/>
      <sheetName val="_EXIChartOfAccounts"/>
      <sheetName val="_EXIFunnelImport"/>
      <sheetName val="_EXIFunnel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date_checklist"/>
      <sheetName val="Source_Use_Comp"/>
      <sheetName val="Ovation_Fees_Comp"/>
      <sheetName val="Const_Comp"/>
      <sheetName val="HC_Comp"/>
      <sheetName val="IS_Comp"/>
      <sheetName val="Op_CF_Comp"/>
      <sheetName val="Capital_Comp"/>
      <sheetName val="For_Side-By-Side"/>
      <sheetName val="Praxis_Dev_Cost"/>
      <sheetName val="Praxis_Expenses"/>
      <sheetName val="Input"/>
      <sheetName val="Rates"/>
      <sheetName val="Ovation_Expenses"/>
      <sheetName val="Insurance_Bonds"/>
      <sheetName val="re_tax_backup"/>
      <sheetName val="Historical_Recap"/>
      <sheetName val="for_forward_planning"/>
      <sheetName val="Updates"/>
      <sheetName val="Land_Sale"/>
      <sheetName val="Draw_Sched"/>
      <sheetName val="Timing"/>
      <sheetName val="Financing"/>
      <sheetName val="SC_Comp_w_Master"/>
      <sheetName val="Hard_Cost_Detail"/>
      <sheetName val="Soft_Cost_Detail"/>
      <sheetName val="Cover"/>
      <sheetName val="Flow"/>
      <sheetName val="UW_Highlights"/>
      <sheetName val="Project_Sum"/>
      <sheetName val="Const_Cost_Summ"/>
      <sheetName val="Stab_Ops"/>
      <sheetName val="Income"/>
      <sheetName val="HUD_Max_Rents"/>
      <sheetName val="Expenses"/>
      <sheetName val="Construction_Interest"/>
      <sheetName val="Operating_Debt"/>
      <sheetName val="Operating"/>
      <sheetName val="TaxCredits"/>
      <sheetName val="Reserves"/>
      <sheetName val="Debt"/>
      <sheetName val="Interest_Sanity_Test"/>
      <sheetName val="Depreciation"/>
      <sheetName val="InvestorBenefits"/>
      <sheetName val="Quarterly IRR"/>
      <sheetName val="HOME_Units"/>
      <sheetName val="Lease Up"/>
      <sheetName val="Use of Cash"/>
      <sheetName val="GAHP"/>
      <sheetName val="CHF_Loan"/>
      <sheetName val="Sponsor_Loan"/>
      <sheetName val="Citi_Salary_Schedule"/>
      <sheetName val="Draw_Curve"/>
      <sheetName val="Sensitivities"/>
      <sheetName val="Cap_Draw_Comp"/>
      <sheetName val="Const_Int_Comp"/>
      <sheetName val="Draw_Curves_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C13">
            <v>190</v>
          </cell>
        </row>
        <row r="15">
          <cell r="C15">
            <v>133584</v>
          </cell>
        </row>
        <row r="20">
          <cell r="C20">
            <v>161920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9">
          <cell r="B9" t="str">
            <v>Hard Cost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2665-7F14-422E-9A7C-A35107B25E5E}">
  <sheetPr>
    <tabColor theme="3" tint="0.499984740745262"/>
    <pageSetUpPr fitToPage="1"/>
  </sheetPr>
  <dimension ref="A1:O105"/>
  <sheetViews>
    <sheetView showGridLines="0" view="pageBreakPreview" zoomScaleNormal="100" zoomScaleSheetLayoutView="100" workbookViewId="0">
      <pane ySplit="11" topLeftCell="A48" activePane="bottomLeft" state="frozen"/>
      <selection pane="bottomLeft" activeCell="F67" sqref="F67"/>
    </sheetView>
  </sheetViews>
  <sheetFormatPr defaultColWidth="9.140625" defaultRowHeight="14.45"/>
  <cols>
    <col min="1" max="1" width="34.28515625" style="5" bestFit="1" customWidth="1"/>
    <col min="2" max="3" width="14.85546875" style="38" bestFit="1" customWidth="1"/>
    <col min="4" max="4" width="8.7109375" style="5" bestFit="1" customWidth="1"/>
    <col min="5" max="5" width="13.28515625" style="5" bestFit="1" customWidth="1"/>
    <col min="6" max="6" width="12.85546875" style="5" customWidth="1"/>
    <col min="7" max="7" width="11.42578125" style="5" bestFit="1" customWidth="1"/>
    <col min="8" max="8" width="13.7109375" style="5" bestFit="1" customWidth="1"/>
    <col min="9" max="9" width="14.42578125" style="5" bestFit="1" customWidth="1"/>
    <col min="10" max="10" width="9.140625" style="5"/>
    <col min="11" max="11" width="19.140625" style="5" customWidth="1"/>
    <col min="12" max="12" width="32.28515625" style="5" customWidth="1"/>
    <col min="13" max="13" width="13.140625" style="5" customWidth="1"/>
    <col min="14" max="14" width="42.5703125" style="5" bestFit="1" customWidth="1"/>
    <col min="15" max="16" width="14.85546875" style="5" customWidth="1"/>
    <col min="17" max="16384" width="9.140625" style="5"/>
  </cols>
  <sheetData>
    <row r="1" spans="1:14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2"/>
      <c r="I1" s="1" t="s">
        <v>3</v>
      </c>
      <c r="J1" s="3"/>
      <c r="K1" s="4"/>
    </row>
    <row r="2" spans="1:14">
      <c r="A2" s="6" t="s">
        <v>4</v>
      </c>
      <c r="B2" s="7" t="s">
        <v>5</v>
      </c>
      <c r="C2" s="8" t="s">
        <v>6</v>
      </c>
      <c r="D2" s="23">
        <v>0</v>
      </c>
      <c r="E2" s="9">
        <f t="shared" ref="E2:E7" si="0">D2/$D$7</f>
        <v>0</v>
      </c>
      <c r="F2" s="6" t="s">
        <v>7</v>
      </c>
      <c r="G2" s="10"/>
      <c r="H2" s="7">
        <v>0</v>
      </c>
      <c r="I2" s="11" t="s">
        <v>8</v>
      </c>
      <c r="J2" s="12">
        <v>76473</v>
      </c>
      <c r="K2" s="13"/>
    </row>
    <row r="3" spans="1:14">
      <c r="A3" s="14" t="s">
        <v>9</v>
      </c>
      <c r="B3" s="15" t="s">
        <v>10</v>
      </c>
      <c r="C3" s="16" t="s">
        <v>11</v>
      </c>
      <c r="D3" s="22">
        <v>207</v>
      </c>
      <c r="E3" s="18">
        <f t="shared" si="0"/>
        <v>0.64687499999999998</v>
      </c>
      <c r="F3" s="14" t="s">
        <v>12</v>
      </c>
      <c r="G3" s="19"/>
      <c r="H3" s="15">
        <v>320</v>
      </c>
      <c r="I3" s="20" t="s">
        <v>13</v>
      </c>
      <c r="J3" s="17">
        <v>4</v>
      </c>
      <c r="K3" s="21" t="s">
        <v>14</v>
      </c>
    </row>
    <row r="4" spans="1:14">
      <c r="A4" s="14" t="s">
        <v>15</v>
      </c>
      <c r="B4" s="15" t="s">
        <v>16</v>
      </c>
      <c r="C4" s="16" t="s">
        <v>17</v>
      </c>
      <c r="D4" s="22">
        <v>113</v>
      </c>
      <c r="E4" s="18">
        <f t="shared" si="0"/>
        <v>0.35312500000000002</v>
      </c>
      <c r="F4" s="14" t="s">
        <v>18</v>
      </c>
      <c r="G4" s="19"/>
      <c r="H4" s="15">
        <v>198</v>
      </c>
      <c r="I4" s="20" t="s">
        <v>19</v>
      </c>
      <c r="J4" s="22">
        <v>1126</v>
      </c>
      <c r="K4" s="21"/>
    </row>
    <row r="5" spans="1:14">
      <c r="A5" s="14" t="s">
        <v>20</v>
      </c>
      <c r="B5" s="15">
        <v>24</v>
      </c>
      <c r="C5" s="16" t="s">
        <v>21</v>
      </c>
      <c r="D5" s="22">
        <v>0</v>
      </c>
      <c r="E5" s="18">
        <f t="shared" si="0"/>
        <v>0</v>
      </c>
      <c r="F5" s="14" t="s">
        <v>22</v>
      </c>
      <c r="G5" s="19"/>
      <c r="H5" s="15">
        <v>12</v>
      </c>
      <c r="I5" s="20" t="s">
        <v>23</v>
      </c>
      <c r="J5" s="23">
        <f>(9142.43+7582.01)*1.03</f>
        <v>17226.173200000001</v>
      </c>
      <c r="K5" s="21"/>
    </row>
    <row r="6" spans="1:14">
      <c r="A6" s="14" t="s">
        <v>24</v>
      </c>
      <c r="B6" s="24">
        <v>316920</v>
      </c>
      <c r="C6" s="16" t="s">
        <v>25</v>
      </c>
      <c r="D6" s="22">
        <v>0</v>
      </c>
      <c r="E6" s="18">
        <f t="shared" si="0"/>
        <v>0</v>
      </c>
      <c r="F6" s="14" t="s">
        <v>26</v>
      </c>
      <c r="G6" s="19"/>
      <c r="H6" s="15">
        <f>SUM(H2:H5)</f>
        <v>530</v>
      </c>
      <c r="I6" s="20" t="s">
        <v>27</v>
      </c>
      <c r="J6" s="25">
        <f>H3</f>
        <v>320</v>
      </c>
      <c r="K6" s="21"/>
    </row>
    <row r="7" spans="1:14">
      <c r="A7" s="26" t="s">
        <v>28</v>
      </c>
      <c r="B7" s="27">
        <v>13.01</v>
      </c>
      <c r="C7" s="28" t="s">
        <v>29</v>
      </c>
      <c r="D7" s="29">
        <f>SUM(D2:D6)</f>
        <v>320</v>
      </c>
      <c r="E7" s="30">
        <f t="shared" si="0"/>
        <v>1</v>
      </c>
      <c r="F7" s="26" t="s">
        <v>30</v>
      </c>
      <c r="G7" s="31"/>
      <c r="H7" s="32">
        <f>H6/D7</f>
        <v>1.65625</v>
      </c>
      <c r="I7" s="33" t="s">
        <v>31</v>
      </c>
      <c r="J7" s="34">
        <f>(73099.09+151291.19)*1.05</f>
        <v>235609.79399999999</v>
      </c>
      <c r="K7" s="35"/>
    </row>
    <row r="8" spans="1:14">
      <c r="A8" s="36"/>
      <c r="B8" s="37"/>
    </row>
    <row r="9" spans="1:14">
      <c r="A9" s="36"/>
      <c r="B9" s="39" t="s">
        <v>32</v>
      </c>
      <c r="C9" s="40">
        <f>I102</f>
        <v>56343546.375707261</v>
      </c>
      <c r="E9" s="41" t="s">
        <v>33</v>
      </c>
      <c r="F9" s="42">
        <f>C9/D7</f>
        <v>176073.58242408518</v>
      </c>
      <c r="H9" s="41" t="s">
        <v>34</v>
      </c>
      <c r="I9" s="42">
        <f>C9/B6</f>
        <v>177.78476074626803</v>
      </c>
    </row>
    <row r="10" spans="1:14">
      <c r="A10" s="36"/>
    </row>
    <row r="11" spans="1:14" ht="30.75" customHeight="1">
      <c r="A11" s="43" t="s">
        <v>35</v>
      </c>
      <c r="B11" s="44" t="s">
        <v>36</v>
      </c>
      <c r="C11" s="44" t="s">
        <v>37</v>
      </c>
      <c r="D11" s="44" t="s">
        <v>38</v>
      </c>
      <c r="E11" s="44" t="s">
        <v>39</v>
      </c>
      <c r="F11" s="45" t="s">
        <v>40</v>
      </c>
      <c r="G11" s="44" t="s">
        <v>41</v>
      </c>
      <c r="H11" s="44" t="s">
        <v>42</v>
      </c>
      <c r="I11" s="44" t="s">
        <v>43</v>
      </c>
      <c r="J11" s="44" t="s">
        <v>44</v>
      </c>
      <c r="K11" s="221" t="s">
        <v>45</v>
      </c>
      <c r="L11" s="222"/>
      <c r="N11" s="169"/>
    </row>
    <row r="12" spans="1:14">
      <c r="A12" s="46" t="s">
        <v>46</v>
      </c>
      <c r="B12" s="47" t="s">
        <v>47</v>
      </c>
      <c r="C12" s="51" t="s">
        <v>48</v>
      </c>
      <c r="D12" s="51">
        <f>B5</f>
        <v>24</v>
      </c>
      <c r="E12" s="56">
        <f>0.06*SUM(I13:I95,I97:I98)/B5</f>
        <v>117382.38828272348</v>
      </c>
      <c r="F12" s="54"/>
      <c r="G12" s="56">
        <f>E12</f>
        <v>117382.38828272348</v>
      </c>
      <c r="H12" s="56"/>
      <c r="I12" s="114">
        <f>D12*G12</f>
        <v>2817177.3187853633</v>
      </c>
      <c r="J12" s="114">
        <f>I12/$D$7</f>
        <v>8803.6791212042608</v>
      </c>
      <c r="K12" s="219"/>
      <c r="L12" s="220"/>
      <c r="N12" s="169"/>
    </row>
    <row r="13" spans="1:14">
      <c r="A13" s="50" t="s">
        <v>49</v>
      </c>
      <c r="B13" s="51" t="s">
        <v>50</v>
      </c>
      <c r="C13" s="51" t="s">
        <v>51</v>
      </c>
      <c r="D13" s="52">
        <v>1</v>
      </c>
      <c r="E13" s="53">
        <v>8000</v>
      </c>
      <c r="F13" s="54">
        <v>0</v>
      </c>
      <c r="G13" s="56">
        <f>E13*(1+F13)</f>
        <v>8000</v>
      </c>
      <c r="H13" s="56"/>
      <c r="I13" s="114">
        <f>$G$13*$D$13</f>
        <v>8000</v>
      </c>
      <c r="J13" s="114">
        <f>I13/$D$7</f>
        <v>25</v>
      </c>
      <c r="K13" s="219"/>
      <c r="L13" s="220"/>
      <c r="M13" s="68"/>
      <c r="N13" s="169"/>
    </row>
    <row r="14" spans="1:14">
      <c r="A14" s="50" t="s">
        <v>52</v>
      </c>
      <c r="B14" s="51" t="s">
        <v>53</v>
      </c>
      <c r="C14" s="51"/>
      <c r="D14" s="52"/>
      <c r="E14" s="53"/>
      <c r="F14" s="54"/>
      <c r="G14" s="56"/>
      <c r="H14" s="56"/>
      <c r="I14" s="57">
        <f>SUM(H15:H17)</f>
        <v>1672110.7344</v>
      </c>
      <c r="J14" s="114">
        <f>I14/$D$7</f>
        <v>5225.3460450000002</v>
      </c>
      <c r="K14" s="219"/>
      <c r="L14" s="220"/>
      <c r="N14" s="169"/>
    </row>
    <row r="15" spans="1:14">
      <c r="A15" s="58" t="s">
        <v>54</v>
      </c>
      <c r="B15" s="59" t="s">
        <v>55</v>
      </c>
      <c r="C15" s="59" t="s">
        <v>56</v>
      </c>
      <c r="D15" s="60">
        <f>J2</f>
        <v>76473</v>
      </c>
      <c r="E15" s="69">
        <v>11.99</v>
      </c>
      <c r="F15" s="62">
        <v>0</v>
      </c>
      <c r="G15" s="63">
        <f>E15*(1+F15)</f>
        <v>11.99</v>
      </c>
      <c r="H15" s="64">
        <f>G15*D15</f>
        <v>916911.27</v>
      </c>
      <c r="I15" s="65"/>
      <c r="J15" s="65"/>
      <c r="K15" s="217" t="s">
        <v>57</v>
      </c>
      <c r="L15" s="218"/>
      <c r="N15" s="169"/>
    </row>
    <row r="16" spans="1:14">
      <c r="A16" s="58" t="s">
        <v>58</v>
      </c>
      <c r="B16" s="59" t="s">
        <v>59</v>
      </c>
      <c r="C16" s="59" t="s">
        <v>56</v>
      </c>
      <c r="D16" s="60">
        <f>J7</f>
        <v>235609.79399999999</v>
      </c>
      <c r="E16" s="69">
        <v>2.6</v>
      </c>
      <c r="F16" s="62">
        <v>0</v>
      </c>
      <c r="G16" s="63">
        <f t="shared" ref="G16" si="1">E16*(1+F16)</f>
        <v>2.6</v>
      </c>
      <c r="H16" s="64">
        <f>G16*D16</f>
        <v>612585.46440000006</v>
      </c>
      <c r="I16" s="65"/>
      <c r="J16" s="65"/>
      <c r="K16" s="217"/>
      <c r="L16" s="218"/>
      <c r="N16" s="169"/>
    </row>
    <row r="17" spans="1:14">
      <c r="A17" s="58" t="s">
        <v>60</v>
      </c>
      <c r="B17" s="59"/>
      <c r="C17" s="59" t="s">
        <v>56</v>
      </c>
      <c r="D17" s="60">
        <f>B6</f>
        <v>316920</v>
      </c>
      <c r="E17" s="69">
        <v>0.45</v>
      </c>
      <c r="F17" s="62">
        <v>0</v>
      </c>
      <c r="G17" s="63">
        <f>E17</f>
        <v>0.45</v>
      </c>
      <c r="H17" s="64">
        <f t="shared" ref="H17" si="2">G17*D17</f>
        <v>142614</v>
      </c>
      <c r="I17" s="66"/>
      <c r="J17" s="66"/>
      <c r="K17" s="217"/>
      <c r="L17" s="218"/>
      <c r="M17" s="68"/>
      <c r="N17" s="169"/>
    </row>
    <row r="18" spans="1:14">
      <c r="A18" s="50" t="s">
        <v>61</v>
      </c>
      <c r="B18" s="51" t="s">
        <v>62</v>
      </c>
      <c r="C18" s="51" t="s">
        <v>51</v>
      </c>
      <c r="D18" s="52">
        <v>1</v>
      </c>
      <c r="E18" s="53">
        <v>120000</v>
      </c>
      <c r="F18" s="54">
        <v>0</v>
      </c>
      <c r="G18" s="56">
        <f>E18*(1+F18)</f>
        <v>120000</v>
      </c>
      <c r="H18" s="56"/>
      <c r="I18" s="114">
        <f>$G$18*$D$18</f>
        <v>120000</v>
      </c>
      <c r="J18" s="114">
        <f>I18/$D$7</f>
        <v>375</v>
      </c>
      <c r="K18" s="219" t="s">
        <v>63</v>
      </c>
      <c r="L18" s="220"/>
      <c r="N18" s="169"/>
    </row>
    <row r="19" spans="1:14">
      <c r="A19" s="50" t="s">
        <v>64</v>
      </c>
      <c r="B19" s="51" t="s">
        <v>65</v>
      </c>
      <c r="C19" s="51"/>
      <c r="D19" s="52"/>
      <c r="E19" s="53"/>
      <c r="F19" s="54">
        <v>0</v>
      </c>
      <c r="G19" s="56"/>
      <c r="H19" s="56"/>
      <c r="I19" s="114">
        <f>SUM(H20:H23)</f>
        <v>473612.79999999999</v>
      </c>
      <c r="J19" s="114">
        <f>I19/$D$7</f>
        <v>1480.04</v>
      </c>
      <c r="K19" s="219"/>
      <c r="L19" s="220"/>
    </row>
    <row r="20" spans="1:14">
      <c r="A20" s="58" t="s">
        <v>66</v>
      </c>
      <c r="B20" s="59"/>
      <c r="C20" s="59" t="s">
        <v>51</v>
      </c>
      <c r="D20" s="60">
        <v>1</v>
      </c>
      <c r="E20" s="61">
        <v>250000</v>
      </c>
      <c r="F20" s="62">
        <v>0</v>
      </c>
      <c r="G20" s="64">
        <f t="shared" ref="G20:G22" si="3">E20*(1+F20)</f>
        <v>250000</v>
      </c>
      <c r="H20" s="64">
        <f t="shared" ref="H20:H22" si="4">G20*D20</f>
        <v>250000</v>
      </c>
      <c r="I20" s="65"/>
      <c r="J20" s="65"/>
      <c r="K20" s="217" t="s">
        <v>67</v>
      </c>
      <c r="L20" s="218"/>
      <c r="M20" s="68"/>
    </row>
    <row r="21" spans="1:14">
      <c r="A21" s="58" t="s">
        <v>68</v>
      </c>
      <c r="B21" s="59"/>
      <c r="C21" s="59" t="s">
        <v>69</v>
      </c>
      <c r="D21" s="60">
        <f>10*3</f>
        <v>30</v>
      </c>
      <c r="E21" s="61">
        <v>2250</v>
      </c>
      <c r="F21" s="62">
        <v>0</v>
      </c>
      <c r="G21" s="64">
        <f t="shared" si="3"/>
        <v>2250</v>
      </c>
      <c r="H21" s="64">
        <f t="shared" si="4"/>
        <v>67500</v>
      </c>
      <c r="I21" s="65"/>
      <c r="J21" s="65"/>
      <c r="K21" s="217"/>
      <c r="L21" s="218"/>
    </row>
    <row r="22" spans="1:14">
      <c r="A22" s="58" t="s">
        <v>70</v>
      </c>
      <c r="B22" s="59"/>
      <c r="C22" s="59" t="s">
        <v>71</v>
      </c>
      <c r="D22" s="60">
        <v>1352.4</v>
      </c>
      <c r="E22" s="61">
        <v>92</v>
      </c>
      <c r="F22" s="62">
        <v>0</v>
      </c>
      <c r="G22" s="64">
        <f t="shared" si="3"/>
        <v>92</v>
      </c>
      <c r="H22" s="64">
        <f t="shared" si="4"/>
        <v>124420.8</v>
      </c>
      <c r="I22" s="65"/>
      <c r="J22" s="65"/>
      <c r="K22" s="217"/>
      <c r="L22" s="218"/>
    </row>
    <row r="23" spans="1:14">
      <c r="A23" s="58" t="s">
        <v>72</v>
      </c>
      <c r="B23" s="59"/>
      <c r="C23" s="59" t="s">
        <v>56</v>
      </c>
      <c r="D23" s="60">
        <f>B6</f>
        <v>316920</v>
      </c>
      <c r="E23" s="69">
        <v>0.1</v>
      </c>
      <c r="F23" s="62">
        <v>0</v>
      </c>
      <c r="G23" s="63">
        <f t="shared" ref="G23" si="5">E23*(1+F23)</f>
        <v>0.1</v>
      </c>
      <c r="H23" s="64">
        <f t="shared" ref="H23" si="6">G23*D23</f>
        <v>31692</v>
      </c>
      <c r="I23" s="66"/>
      <c r="J23" s="66"/>
      <c r="K23" s="217"/>
      <c r="L23" s="218"/>
    </row>
    <row r="24" spans="1:14">
      <c r="A24" s="50" t="s">
        <v>73</v>
      </c>
      <c r="B24" s="51" t="s">
        <v>74</v>
      </c>
      <c r="C24" s="51"/>
      <c r="D24" s="52"/>
      <c r="E24" s="53"/>
      <c r="F24" s="54"/>
      <c r="G24" s="53"/>
      <c r="H24" s="53"/>
      <c r="I24" s="57">
        <f>SUM(H25:H27)</f>
        <v>7050352</v>
      </c>
      <c r="J24" s="57">
        <f>I24/$D$7</f>
        <v>22032.35</v>
      </c>
      <c r="K24" s="219"/>
      <c r="L24" s="220"/>
    </row>
    <row r="25" spans="1:14">
      <c r="A25" s="58" t="s">
        <v>75</v>
      </c>
      <c r="B25" s="59" t="s">
        <v>76</v>
      </c>
      <c r="C25" s="59" t="s">
        <v>56</v>
      </c>
      <c r="D25" s="60">
        <f>$B$6</f>
        <v>316920</v>
      </c>
      <c r="E25" s="69">
        <v>18</v>
      </c>
      <c r="F25" s="62">
        <v>0</v>
      </c>
      <c r="G25" s="64">
        <f>E25*(1+F25)</f>
        <v>18</v>
      </c>
      <c r="H25" s="64">
        <f>G25*D25</f>
        <v>5704560</v>
      </c>
      <c r="I25" s="65"/>
      <c r="J25" s="65"/>
      <c r="K25" s="217" t="s">
        <v>77</v>
      </c>
      <c r="L25" s="218"/>
    </row>
    <row r="26" spans="1:14">
      <c r="A26" s="58" t="s">
        <v>78</v>
      </c>
      <c r="B26" s="59" t="s">
        <v>79</v>
      </c>
      <c r="C26" s="59" t="s">
        <v>80</v>
      </c>
      <c r="D26" s="60">
        <f>$D$7</f>
        <v>320</v>
      </c>
      <c r="E26" s="61">
        <v>2621</v>
      </c>
      <c r="F26" s="62">
        <v>0</v>
      </c>
      <c r="G26" s="64">
        <f>E26*(1+F26)</f>
        <v>2621</v>
      </c>
      <c r="H26" s="64">
        <f>G26*D26</f>
        <v>838720</v>
      </c>
      <c r="I26" s="65"/>
      <c r="J26" s="65"/>
      <c r="K26" s="217" t="s">
        <v>81</v>
      </c>
      <c r="L26" s="218"/>
      <c r="M26" s="68"/>
    </row>
    <row r="27" spans="1:14">
      <c r="A27" s="58" t="s">
        <v>72</v>
      </c>
      <c r="B27" s="59"/>
      <c r="C27" s="59" t="s">
        <v>56</v>
      </c>
      <c r="D27" s="60">
        <f>B6</f>
        <v>316920</v>
      </c>
      <c r="E27" s="69">
        <v>1.5</v>
      </c>
      <c r="F27" s="62">
        <v>0</v>
      </c>
      <c r="G27" s="63">
        <v>1.6</v>
      </c>
      <c r="H27" s="64">
        <f t="shared" ref="H27" si="7">G27*D27</f>
        <v>507072</v>
      </c>
      <c r="I27" s="65"/>
      <c r="J27" s="65"/>
      <c r="K27" s="217"/>
      <c r="L27" s="218"/>
    </row>
    <row r="28" spans="1:14">
      <c r="A28" s="50" t="s">
        <v>82</v>
      </c>
      <c r="B28" s="51" t="s">
        <v>83</v>
      </c>
      <c r="C28" s="51"/>
      <c r="D28" s="52"/>
      <c r="E28" s="67"/>
      <c r="F28" s="54"/>
      <c r="G28" s="53"/>
      <c r="H28" s="53"/>
      <c r="I28" s="57">
        <f>SUM(H29:H31)</f>
        <v>1538368</v>
      </c>
      <c r="J28" s="57">
        <f>I28/$D$7</f>
        <v>4807.3999999999996</v>
      </c>
      <c r="K28" s="219"/>
      <c r="L28" s="220"/>
    </row>
    <row r="29" spans="1:14">
      <c r="A29" s="58" t="s">
        <v>84</v>
      </c>
      <c r="B29" s="59" t="s">
        <v>85</v>
      </c>
      <c r="C29" s="59" t="s">
        <v>56</v>
      </c>
      <c r="D29" s="60">
        <f>B6</f>
        <v>316920</v>
      </c>
      <c r="E29" s="165">
        <v>2.4500000000000002</v>
      </c>
      <c r="F29" s="62">
        <v>0</v>
      </c>
      <c r="G29" s="166">
        <f t="shared" ref="G29:G31" si="8">E29*(1+F29)</f>
        <v>2.4500000000000002</v>
      </c>
      <c r="H29" s="64">
        <f t="shared" ref="H29:H31" si="9">G29*D29</f>
        <v>776454</v>
      </c>
      <c r="I29" s="65"/>
      <c r="J29" s="65"/>
      <c r="K29" s="217"/>
      <c r="L29" s="218"/>
    </row>
    <row r="30" spans="1:14">
      <c r="A30" s="58" t="s">
        <v>19</v>
      </c>
      <c r="B30" s="59" t="s">
        <v>86</v>
      </c>
      <c r="C30" s="59" t="s">
        <v>87</v>
      </c>
      <c r="D30" s="60">
        <f>J4</f>
        <v>1126</v>
      </c>
      <c r="E30" s="61">
        <v>550</v>
      </c>
      <c r="F30" s="62">
        <v>0</v>
      </c>
      <c r="G30" s="61">
        <f t="shared" si="8"/>
        <v>550</v>
      </c>
      <c r="H30" s="61">
        <f t="shared" si="9"/>
        <v>619300</v>
      </c>
      <c r="I30" s="65"/>
      <c r="J30" s="65"/>
      <c r="K30" s="217"/>
      <c r="L30" s="218"/>
    </row>
    <row r="31" spans="1:14">
      <c r="A31" s="58" t="s">
        <v>72</v>
      </c>
      <c r="B31" s="59"/>
      <c r="C31" s="59" t="s">
        <v>56</v>
      </c>
      <c r="D31" s="60">
        <f>B6</f>
        <v>316920</v>
      </c>
      <c r="E31" s="69">
        <v>0.45</v>
      </c>
      <c r="F31" s="62">
        <v>0</v>
      </c>
      <c r="G31" s="69">
        <f t="shared" si="8"/>
        <v>0.45</v>
      </c>
      <c r="H31" s="61">
        <f t="shared" si="9"/>
        <v>142614</v>
      </c>
      <c r="I31" s="65"/>
      <c r="J31" s="65"/>
      <c r="K31" s="217"/>
      <c r="L31" s="218"/>
    </row>
    <row r="32" spans="1:14">
      <c r="A32" s="50" t="s">
        <v>88</v>
      </c>
      <c r="B32" s="51" t="s">
        <v>89</v>
      </c>
      <c r="C32" s="51"/>
      <c r="D32" s="52"/>
      <c r="E32" s="53"/>
      <c r="F32" s="54"/>
      <c r="G32" s="53"/>
      <c r="H32" s="53"/>
      <c r="I32" s="57">
        <f>SUM(H33:H34)</f>
        <v>543076</v>
      </c>
      <c r="J32" s="57">
        <f>I32/$D$7</f>
        <v>1697.1125</v>
      </c>
      <c r="K32" s="219"/>
      <c r="L32" s="220"/>
    </row>
    <row r="33" spans="1:15">
      <c r="A33" s="58" t="s">
        <v>90</v>
      </c>
      <c r="B33" s="59" t="s">
        <v>91</v>
      </c>
      <c r="C33" s="59" t="s">
        <v>80</v>
      </c>
      <c r="D33" s="60">
        <f>$D$7</f>
        <v>320</v>
      </c>
      <c r="E33" s="61">
        <v>1400</v>
      </c>
      <c r="F33" s="62">
        <v>0</v>
      </c>
      <c r="G33" s="61">
        <f>E33*(1+F33)</f>
        <v>1400</v>
      </c>
      <c r="H33" s="61">
        <f>G33*D33</f>
        <v>448000</v>
      </c>
      <c r="I33" s="65"/>
      <c r="J33" s="65"/>
      <c r="K33" s="217"/>
      <c r="L33" s="218"/>
      <c r="M33" s="157"/>
    </row>
    <row r="34" spans="1:15">
      <c r="A34" s="58" t="s">
        <v>72</v>
      </c>
      <c r="B34" s="59"/>
      <c r="C34" s="59" t="s">
        <v>56</v>
      </c>
      <c r="D34" s="60">
        <f>B6</f>
        <v>316920</v>
      </c>
      <c r="E34" s="69">
        <v>0.3</v>
      </c>
      <c r="F34" s="62">
        <v>0</v>
      </c>
      <c r="G34" s="69">
        <f t="shared" ref="G34" si="10">E34*(1+F34)</f>
        <v>0.3</v>
      </c>
      <c r="H34" s="61">
        <f t="shared" ref="H34" si="11">G34*D34</f>
        <v>95076</v>
      </c>
      <c r="I34" s="65"/>
      <c r="J34" s="65"/>
      <c r="K34" s="217"/>
      <c r="L34" s="218"/>
      <c r="N34" s="169"/>
      <c r="O34" s="169"/>
    </row>
    <row r="35" spans="1:15">
      <c r="A35" s="50" t="s">
        <v>92</v>
      </c>
      <c r="B35" s="51" t="s">
        <v>93</v>
      </c>
      <c r="C35" s="51"/>
      <c r="D35" s="52"/>
      <c r="E35" s="53"/>
      <c r="F35" s="54"/>
      <c r="G35" s="53"/>
      <c r="H35" s="53"/>
      <c r="I35" s="57">
        <f>SUM(H36:H40)</f>
        <v>4943219.4280000003</v>
      </c>
      <c r="J35" s="57">
        <f>I35/$D$7</f>
        <v>15447.560712500001</v>
      </c>
      <c r="K35" s="219"/>
      <c r="L35" s="220"/>
    </row>
    <row r="36" spans="1:15">
      <c r="A36" s="58" t="s">
        <v>23</v>
      </c>
      <c r="B36" s="59" t="s">
        <v>94</v>
      </c>
      <c r="C36" s="59" t="s">
        <v>95</v>
      </c>
      <c r="D36" s="60">
        <f>J5</f>
        <v>17226.173200000001</v>
      </c>
      <c r="E36" s="69">
        <v>40</v>
      </c>
      <c r="F36" s="62">
        <v>0</v>
      </c>
      <c r="G36" s="69">
        <f t="shared" ref="G36:G42" si="12">E36*(1+F36)</f>
        <v>40</v>
      </c>
      <c r="H36" s="61">
        <f t="shared" ref="H36:H40" si="13">G36*D36</f>
        <v>689046.92800000007</v>
      </c>
      <c r="I36" s="65"/>
      <c r="J36" s="65"/>
      <c r="K36" s="223"/>
      <c r="L36" s="224"/>
      <c r="N36" s="169"/>
      <c r="O36" s="169"/>
    </row>
    <row r="37" spans="1:15">
      <c r="A37" s="58" t="s">
        <v>96</v>
      </c>
      <c r="B37" s="59" t="s">
        <v>97</v>
      </c>
      <c r="C37" s="59" t="s">
        <v>56</v>
      </c>
      <c r="D37" s="60">
        <f>$B$6</f>
        <v>316920</v>
      </c>
      <c r="E37" s="69">
        <v>7.4</v>
      </c>
      <c r="F37" s="62">
        <v>0</v>
      </c>
      <c r="G37" s="69">
        <f t="shared" si="12"/>
        <v>7.4</v>
      </c>
      <c r="H37" s="61">
        <f t="shared" si="13"/>
        <v>2345208</v>
      </c>
      <c r="I37" s="65"/>
      <c r="J37" s="65"/>
      <c r="K37" s="217"/>
      <c r="L37" s="218"/>
    </row>
    <row r="38" spans="1:15">
      <c r="A38" s="58" t="s">
        <v>98</v>
      </c>
      <c r="B38" s="59" t="s">
        <v>99</v>
      </c>
      <c r="C38" s="59" t="s">
        <v>95</v>
      </c>
      <c r="D38" s="60">
        <v>26590</v>
      </c>
      <c r="E38" s="69">
        <f>2.15*9</f>
        <v>19.349999999999998</v>
      </c>
      <c r="F38" s="62">
        <v>0</v>
      </c>
      <c r="G38" s="69">
        <f t="shared" si="12"/>
        <v>19.349999999999998</v>
      </c>
      <c r="H38" s="61">
        <f t="shared" si="13"/>
        <v>514516.49999999994</v>
      </c>
      <c r="I38" s="70"/>
      <c r="J38" s="70"/>
      <c r="K38" s="217"/>
      <c r="L38" s="218"/>
    </row>
    <row r="39" spans="1:15">
      <c r="A39" s="58" t="s">
        <v>100</v>
      </c>
      <c r="B39" s="59" t="s">
        <v>101</v>
      </c>
      <c r="C39" s="59" t="s">
        <v>56</v>
      </c>
      <c r="D39" s="60">
        <f>$B$6</f>
        <v>316920</v>
      </c>
      <c r="E39" s="69">
        <v>1.9</v>
      </c>
      <c r="F39" s="62">
        <v>0</v>
      </c>
      <c r="G39" s="69">
        <f t="shared" si="12"/>
        <v>1.9</v>
      </c>
      <c r="H39" s="61">
        <f t="shared" si="13"/>
        <v>602148</v>
      </c>
      <c r="I39" s="65"/>
      <c r="J39" s="65"/>
      <c r="K39" s="217"/>
      <c r="L39" s="218"/>
    </row>
    <row r="40" spans="1:15">
      <c r="A40" s="58" t="s">
        <v>72</v>
      </c>
      <c r="B40" s="59"/>
      <c r="C40" s="59" t="s">
        <v>56</v>
      </c>
      <c r="D40" s="60">
        <f>B6</f>
        <v>316920</v>
      </c>
      <c r="E40" s="69">
        <v>2.5</v>
      </c>
      <c r="F40" s="62">
        <v>0</v>
      </c>
      <c r="G40" s="69">
        <f>E40*(1+F40)</f>
        <v>2.5</v>
      </c>
      <c r="H40" s="61">
        <f t="shared" si="13"/>
        <v>792300</v>
      </c>
      <c r="I40" s="65"/>
      <c r="J40" s="65"/>
      <c r="K40" s="217"/>
      <c r="L40" s="218"/>
    </row>
    <row r="41" spans="1:15">
      <c r="A41" s="50" t="s">
        <v>102</v>
      </c>
      <c r="B41" s="51" t="s">
        <v>103</v>
      </c>
      <c r="C41" s="51" t="s">
        <v>56</v>
      </c>
      <c r="D41" s="52">
        <f>B6</f>
        <v>316920</v>
      </c>
      <c r="E41" s="67">
        <v>1.3</v>
      </c>
      <c r="F41" s="54">
        <v>0</v>
      </c>
      <c r="G41" s="67">
        <f t="shared" si="12"/>
        <v>1.3</v>
      </c>
      <c r="H41" s="53"/>
      <c r="I41" s="117">
        <f>$G$41*$D$41</f>
        <v>411996</v>
      </c>
      <c r="J41" s="117">
        <f>I41/$D$7</f>
        <v>1287.4875</v>
      </c>
      <c r="K41" s="219"/>
      <c r="L41" s="220"/>
    </row>
    <row r="42" spans="1:15">
      <c r="A42" s="50" t="s">
        <v>104</v>
      </c>
      <c r="B42" s="51">
        <v>11</v>
      </c>
      <c r="C42" s="51" t="s">
        <v>80</v>
      </c>
      <c r="D42" s="52">
        <f>D7</f>
        <v>320</v>
      </c>
      <c r="E42" s="53">
        <f>3489</f>
        <v>3489</v>
      </c>
      <c r="F42" s="54">
        <v>0</v>
      </c>
      <c r="G42" s="56">
        <f t="shared" si="12"/>
        <v>3489</v>
      </c>
      <c r="H42" s="56"/>
      <c r="I42" s="114">
        <f>$G$42*$D$42</f>
        <v>1116480</v>
      </c>
      <c r="J42" s="114">
        <f>I42/$D$7</f>
        <v>3489</v>
      </c>
      <c r="K42" s="219"/>
      <c r="L42" s="220"/>
    </row>
    <row r="43" spans="1:15">
      <c r="A43" s="50" t="s">
        <v>105</v>
      </c>
      <c r="B43" s="51" t="s">
        <v>106</v>
      </c>
      <c r="C43" s="51"/>
      <c r="D43" s="52"/>
      <c r="E43" s="53"/>
      <c r="F43" s="54"/>
      <c r="G43" s="53"/>
      <c r="H43" s="53"/>
      <c r="I43" s="57">
        <f>SUM(H44:H46)</f>
        <v>2034680</v>
      </c>
      <c r="J43" s="57">
        <f>I43/$D$7</f>
        <v>6358.375</v>
      </c>
      <c r="K43" s="219"/>
      <c r="L43" s="220"/>
    </row>
    <row r="44" spans="1:15">
      <c r="A44" s="58" t="s">
        <v>107</v>
      </c>
      <c r="B44" s="59" t="s">
        <v>108</v>
      </c>
      <c r="C44" s="59" t="s">
        <v>80</v>
      </c>
      <c r="D44" s="60">
        <f>$D$7</f>
        <v>320</v>
      </c>
      <c r="E44" s="61">
        <v>3500</v>
      </c>
      <c r="F44" s="62">
        <v>0</v>
      </c>
      <c r="G44" s="61">
        <f t="shared" ref="G44:G46" si="14">E44*(1+F44)</f>
        <v>3500</v>
      </c>
      <c r="H44" s="61">
        <f>G44*D44</f>
        <v>1120000</v>
      </c>
      <c r="I44" s="61"/>
      <c r="J44" s="61"/>
      <c r="K44" s="217"/>
      <c r="L44" s="218"/>
    </row>
    <row r="45" spans="1:15">
      <c r="A45" s="58" t="s">
        <v>109</v>
      </c>
      <c r="B45" s="59" t="s">
        <v>110</v>
      </c>
      <c r="C45" s="59" t="s">
        <v>80</v>
      </c>
      <c r="D45" s="60">
        <f>$D$7</f>
        <v>320</v>
      </c>
      <c r="E45" s="61">
        <v>1868</v>
      </c>
      <c r="F45" s="62">
        <v>0</v>
      </c>
      <c r="G45" s="165">
        <f t="shared" si="14"/>
        <v>1868</v>
      </c>
      <c r="H45" s="61">
        <f t="shared" ref="H45:H46" si="15">G45*D45</f>
        <v>597760</v>
      </c>
      <c r="I45" s="61"/>
      <c r="J45" s="61"/>
      <c r="K45" s="217"/>
      <c r="L45" s="218"/>
    </row>
    <row r="46" spans="1:15">
      <c r="A46" s="58" t="s">
        <v>72</v>
      </c>
      <c r="B46" s="71"/>
      <c r="C46" s="59" t="s">
        <v>56</v>
      </c>
      <c r="D46" s="60">
        <f>B6</f>
        <v>316920</v>
      </c>
      <c r="E46" s="69">
        <v>1</v>
      </c>
      <c r="F46" s="62">
        <v>0</v>
      </c>
      <c r="G46" s="69">
        <f t="shared" si="14"/>
        <v>1</v>
      </c>
      <c r="H46" s="61">
        <f t="shared" si="15"/>
        <v>316920</v>
      </c>
      <c r="I46" s="61"/>
      <c r="J46" s="61"/>
      <c r="K46" s="217"/>
      <c r="L46" s="218"/>
    </row>
    <row r="47" spans="1:15">
      <c r="A47" s="50" t="s">
        <v>111</v>
      </c>
      <c r="B47" s="51" t="s">
        <v>112</v>
      </c>
      <c r="C47" s="51"/>
      <c r="D47" s="52"/>
      <c r="E47" s="53"/>
      <c r="F47" s="54"/>
      <c r="G47" s="53"/>
      <c r="H47" s="53"/>
      <c r="I47" s="57">
        <f>SUM(H48:H50)</f>
        <v>1023200</v>
      </c>
      <c r="J47" s="57">
        <f>I47/$D$7</f>
        <v>3197.5</v>
      </c>
      <c r="K47" s="219"/>
      <c r="L47" s="220"/>
    </row>
    <row r="48" spans="1:15">
      <c r="A48" s="58" t="s">
        <v>113</v>
      </c>
      <c r="B48" s="59" t="s">
        <v>114</v>
      </c>
      <c r="C48" s="59" t="s">
        <v>51</v>
      </c>
      <c r="D48" s="60">
        <v>1</v>
      </c>
      <c r="E48" s="61">
        <v>260000</v>
      </c>
      <c r="F48" s="62">
        <v>0</v>
      </c>
      <c r="G48" s="64">
        <f t="shared" ref="G48:G51" si="16">E48*(1+F48)</f>
        <v>260000</v>
      </c>
      <c r="H48" s="64">
        <f>G48*D48</f>
        <v>260000</v>
      </c>
      <c r="I48" s="65"/>
      <c r="J48" s="65"/>
      <c r="K48" s="217"/>
      <c r="L48" s="218"/>
    </row>
    <row r="49" spans="1:12">
      <c r="A49" s="58" t="s">
        <v>27</v>
      </c>
      <c r="B49" s="59" t="s">
        <v>115</v>
      </c>
      <c r="C49" s="59" t="s">
        <v>69</v>
      </c>
      <c r="D49" s="60">
        <f>J6</f>
        <v>320</v>
      </c>
      <c r="E49" s="61">
        <v>2350</v>
      </c>
      <c r="F49" s="62">
        <v>0</v>
      </c>
      <c r="G49" s="61">
        <f t="shared" si="16"/>
        <v>2350</v>
      </c>
      <c r="H49" s="61">
        <f>G49*D49</f>
        <v>752000</v>
      </c>
      <c r="I49" s="65"/>
      <c r="J49" s="65"/>
      <c r="K49" s="217"/>
      <c r="L49" s="218"/>
    </row>
    <row r="50" spans="1:12">
      <c r="A50" s="58" t="s">
        <v>72</v>
      </c>
      <c r="B50" s="71"/>
      <c r="C50" s="59" t="s">
        <v>80</v>
      </c>
      <c r="D50" s="60">
        <f>$D$7</f>
        <v>320</v>
      </c>
      <c r="E50" s="61">
        <v>35</v>
      </c>
      <c r="F50" s="62">
        <v>0</v>
      </c>
      <c r="G50" s="61">
        <f t="shared" si="16"/>
        <v>35</v>
      </c>
      <c r="H50" s="61">
        <f t="shared" ref="H50" si="17">G50*D50</f>
        <v>11200</v>
      </c>
      <c r="I50" s="65"/>
      <c r="J50" s="65"/>
      <c r="K50" s="217"/>
      <c r="L50" s="218"/>
    </row>
    <row r="51" spans="1:12">
      <c r="A51" s="50" t="s">
        <v>116</v>
      </c>
      <c r="B51" s="51" t="s">
        <v>117</v>
      </c>
      <c r="C51" s="51" t="s">
        <v>118</v>
      </c>
      <c r="D51" s="52">
        <f>$J$3</f>
        <v>4</v>
      </c>
      <c r="E51" s="53">
        <v>167000</v>
      </c>
      <c r="F51" s="54">
        <v>0</v>
      </c>
      <c r="G51" s="53">
        <f t="shared" si="16"/>
        <v>167000</v>
      </c>
      <c r="H51" s="53"/>
      <c r="I51" s="57">
        <f>G51*D51</f>
        <v>668000</v>
      </c>
      <c r="J51" s="57">
        <f>I51/$D$7</f>
        <v>2087.5</v>
      </c>
      <c r="K51" s="219" t="s">
        <v>119</v>
      </c>
      <c r="L51" s="220"/>
    </row>
    <row r="52" spans="1:12">
      <c r="A52" s="50" t="s">
        <v>120</v>
      </c>
      <c r="B52" s="51">
        <v>21</v>
      </c>
      <c r="C52" s="51"/>
      <c r="D52" s="52"/>
      <c r="E52" s="53"/>
      <c r="F52" s="54"/>
      <c r="G52" s="53"/>
      <c r="H52" s="53"/>
      <c r="I52" s="57">
        <f>SUM(H53:H55)</f>
        <v>1012376</v>
      </c>
      <c r="J52" s="57">
        <f>I52/$D$7</f>
        <v>3163.6750000000002</v>
      </c>
      <c r="K52" s="219"/>
      <c r="L52" s="220"/>
    </row>
    <row r="53" spans="1:12">
      <c r="A53" s="58" t="s">
        <v>121</v>
      </c>
      <c r="B53" s="59" t="s">
        <v>122</v>
      </c>
      <c r="C53" s="59" t="s">
        <v>56</v>
      </c>
      <c r="D53" s="60">
        <f>$B$6</f>
        <v>316920</v>
      </c>
      <c r="E53" s="69">
        <v>2.65</v>
      </c>
      <c r="F53" s="62">
        <v>0</v>
      </c>
      <c r="G53" s="63">
        <f>E53*(1+F53)</f>
        <v>2.65</v>
      </c>
      <c r="H53" s="61">
        <f>G53*D53</f>
        <v>839838</v>
      </c>
      <c r="I53" s="65"/>
      <c r="J53" s="65"/>
      <c r="K53" s="217"/>
      <c r="L53" s="218"/>
    </row>
    <row r="54" spans="1:12">
      <c r="A54" s="58" t="s">
        <v>123</v>
      </c>
      <c r="B54" s="59" t="s">
        <v>124</v>
      </c>
      <c r="C54" s="59" t="s">
        <v>51</v>
      </c>
      <c r="D54" s="60">
        <v>1</v>
      </c>
      <c r="E54" s="61">
        <v>125000</v>
      </c>
      <c r="F54" s="62">
        <v>0</v>
      </c>
      <c r="G54" s="64">
        <f>E54*(1+F54)</f>
        <v>125000</v>
      </c>
      <c r="H54" s="61">
        <f>G54*D54</f>
        <v>125000</v>
      </c>
      <c r="I54" s="65"/>
      <c r="J54" s="65"/>
      <c r="K54" s="217"/>
      <c r="L54" s="218"/>
    </row>
    <row r="55" spans="1:12">
      <c r="A55" s="58" t="s">
        <v>72</v>
      </c>
      <c r="B55" s="59"/>
      <c r="C55" s="59" t="s">
        <v>56</v>
      </c>
      <c r="D55" s="60">
        <f>B6</f>
        <v>316920</v>
      </c>
      <c r="E55" s="69">
        <v>0.15</v>
      </c>
      <c r="F55" s="62">
        <v>0</v>
      </c>
      <c r="G55" s="61">
        <f t="shared" ref="G55" si="18">E55*(1+F55)</f>
        <v>0.15</v>
      </c>
      <c r="H55" s="61">
        <f>G55*D55</f>
        <v>47538</v>
      </c>
      <c r="I55" s="65"/>
      <c r="J55" s="65"/>
      <c r="K55" s="217"/>
      <c r="L55" s="218"/>
    </row>
    <row r="56" spans="1:12">
      <c r="A56" s="50" t="s">
        <v>125</v>
      </c>
      <c r="B56" s="51" t="s">
        <v>126</v>
      </c>
      <c r="C56" s="51"/>
      <c r="D56" s="52"/>
      <c r="E56" s="53"/>
      <c r="F56" s="54"/>
      <c r="G56" s="53"/>
      <c r="H56" s="53"/>
      <c r="I56" s="57">
        <f>SUM(H57:H59)</f>
        <v>3407538</v>
      </c>
      <c r="J56" s="57">
        <f>I56/$D$7</f>
        <v>10648.55625</v>
      </c>
      <c r="K56" s="219"/>
      <c r="L56" s="220"/>
    </row>
    <row r="57" spans="1:12">
      <c r="A57" s="58" t="s">
        <v>127</v>
      </c>
      <c r="B57" s="59" t="s">
        <v>128</v>
      </c>
      <c r="C57" s="59" t="s">
        <v>69</v>
      </c>
      <c r="D57" s="60">
        <f>D2+D3+D4</f>
        <v>320</v>
      </c>
      <c r="E57" s="61">
        <v>10500</v>
      </c>
      <c r="F57" s="62">
        <v>0</v>
      </c>
      <c r="G57" s="64">
        <f t="shared" ref="G57:G60" si="19">E57*(1+F57)</f>
        <v>10500</v>
      </c>
      <c r="H57" s="64">
        <f>G57*D57</f>
        <v>3360000</v>
      </c>
      <c r="I57" s="65"/>
      <c r="J57" s="65"/>
      <c r="K57" s="217"/>
      <c r="L57" s="218"/>
    </row>
    <row r="58" spans="1:12">
      <c r="A58" s="58" t="s">
        <v>129</v>
      </c>
      <c r="B58" s="59" t="s">
        <v>128</v>
      </c>
      <c r="C58" s="59" t="s">
        <v>69</v>
      </c>
      <c r="D58" s="60">
        <f>SUM(D5:D6)</f>
        <v>0</v>
      </c>
      <c r="E58" s="61">
        <v>13089.7</v>
      </c>
      <c r="F58" s="62">
        <v>0</v>
      </c>
      <c r="G58" s="61">
        <f t="shared" si="19"/>
        <v>13089.7</v>
      </c>
      <c r="H58" s="61">
        <f>G58*D58</f>
        <v>0</v>
      </c>
      <c r="I58" s="65"/>
      <c r="J58" s="65"/>
      <c r="K58" s="217"/>
      <c r="L58" s="218"/>
    </row>
    <row r="59" spans="1:12">
      <c r="A59" s="58" t="s">
        <v>72</v>
      </c>
      <c r="B59" s="59"/>
      <c r="C59" s="59" t="s">
        <v>56</v>
      </c>
      <c r="D59" s="60">
        <f>B6</f>
        <v>316920</v>
      </c>
      <c r="E59" s="69">
        <v>0.15</v>
      </c>
      <c r="F59" s="62">
        <v>0</v>
      </c>
      <c r="G59" s="69">
        <f t="shared" si="19"/>
        <v>0.15</v>
      </c>
      <c r="H59" s="61">
        <f>G59*D59</f>
        <v>47538</v>
      </c>
      <c r="I59" s="65"/>
      <c r="J59" s="65"/>
      <c r="K59" s="217"/>
      <c r="L59" s="218"/>
    </row>
    <row r="60" spans="1:12">
      <c r="A60" s="50" t="s">
        <v>130</v>
      </c>
      <c r="B60" s="51">
        <v>23</v>
      </c>
      <c r="C60" s="51" t="s">
        <v>80</v>
      </c>
      <c r="D60" s="52">
        <f>$D$7</f>
        <v>320</v>
      </c>
      <c r="E60" s="67">
        <v>11000</v>
      </c>
      <c r="F60" s="54">
        <v>0.05</v>
      </c>
      <c r="G60" s="55">
        <f t="shared" si="19"/>
        <v>11550</v>
      </c>
      <c r="H60" s="56"/>
      <c r="I60" s="57">
        <f>G60*D60</f>
        <v>3696000</v>
      </c>
      <c r="J60" s="57">
        <f>I60/$D$7</f>
        <v>11550</v>
      </c>
      <c r="K60" s="219"/>
      <c r="L60" s="220"/>
    </row>
    <row r="61" spans="1:12">
      <c r="A61" s="50" t="s">
        <v>131</v>
      </c>
      <c r="B61" s="51" t="s">
        <v>132</v>
      </c>
      <c r="C61" s="51"/>
      <c r="D61" s="52"/>
      <c r="E61" s="53"/>
      <c r="F61" s="54"/>
      <c r="G61" s="53"/>
      <c r="H61" s="53"/>
      <c r="I61" s="57">
        <f>SUM(H62:H63)</f>
        <v>4595340</v>
      </c>
      <c r="J61" s="57">
        <f>I61/$D$7</f>
        <v>14360.4375</v>
      </c>
      <c r="K61" s="219"/>
      <c r="L61" s="220"/>
    </row>
    <row r="62" spans="1:12">
      <c r="A62" s="58" t="s">
        <v>133</v>
      </c>
      <c r="B62" s="59" t="s">
        <v>134</v>
      </c>
      <c r="C62" s="59" t="s">
        <v>56</v>
      </c>
      <c r="D62" s="60">
        <f>$B$6</f>
        <v>316920</v>
      </c>
      <c r="E62" s="69">
        <v>12.5</v>
      </c>
      <c r="F62" s="62">
        <v>0</v>
      </c>
      <c r="G62" s="63">
        <f>E62*(1+F62)</f>
        <v>12.5</v>
      </c>
      <c r="H62" s="64">
        <f t="shared" ref="H62:H63" si="20">G62*D62</f>
        <v>3961500</v>
      </c>
      <c r="I62" s="65"/>
      <c r="J62" s="65"/>
      <c r="K62" s="217"/>
      <c r="L62" s="218"/>
    </row>
    <row r="63" spans="1:12">
      <c r="A63" s="58" t="s">
        <v>72</v>
      </c>
      <c r="B63" s="59" t="s">
        <v>135</v>
      </c>
      <c r="C63" s="59" t="s">
        <v>56</v>
      </c>
      <c r="D63" s="60">
        <f>B6</f>
        <v>316920</v>
      </c>
      <c r="E63" s="69">
        <v>2</v>
      </c>
      <c r="F63" s="62">
        <v>0</v>
      </c>
      <c r="G63" s="69">
        <f t="shared" ref="G63:G64" si="21">E63*(1+F63)</f>
        <v>2</v>
      </c>
      <c r="H63" s="61">
        <f t="shared" si="20"/>
        <v>633840</v>
      </c>
      <c r="I63" s="65"/>
      <c r="J63" s="65"/>
      <c r="K63" s="217"/>
      <c r="L63" s="218"/>
    </row>
    <row r="64" spans="1:12">
      <c r="A64" s="50" t="s">
        <v>136</v>
      </c>
      <c r="B64" s="51" t="s">
        <v>137</v>
      </c>
      <c r="C64" s="51" t="s">
        <v>80</v>
      </c>
      <c r="D64" s="52">
        <f>$D$7</f>
        <v>320</v>
      </c>
      <c r="E64" s="53">
        <v>700</v>
      </c>
      <c r="F64" s="54">
        <v>0</v>
      </c>
      <c r="G64" s="53">
        <f t="shared" si="21"/>
        <v>700</v>
      </c>
      <c r="H64" s="53"/>
      <c r="I64" s="57">
        <f>G64*D64</f>
        <v>224000</v>
      </c>
      <c r="J64" s="57">
        <f>K64*G64</f>
        <v>0</v>
      </c>
      <c r="K64" s="219"/>
      <c r="L64" s="220"/>
    </row>
    <row r="65" spans="1:14">
      <c r="A65" s="50" t="s">
        <v>138</v>
      </c>
      <c r="B65" s="51">
        <v>28</v>
      </c>
      <c r="C65" s="51"/>
      <c r="D65" s="52"/>
      <c r="E65" s="53"/>
      <c r="F65" s="54"/>
      <c r="G65" s="53"/>
      <c r="H65" s="53"/>
      <c r="I65" s="57">
        <f>H66+H67</f>
        <v>823992</v>
      </c>
      <c r="J65" s="57">
        <f>L66+L67</f>
        <v>0</v>
      </c>
      <c r="K65" s="219"/>
      <c r="L65" s="220"/>
    </row>
    <row r="66" spans="1:14">
      <c r="A66" s="58" t="s">
        <v>139</v>
      </c>
      <c r="B66" s="59" t="s">
        <v>140</v>
      </c>
      <c r="C66" s="59" t="s">
        <v>56</v>
      </c>
      <c r="D66" s="60">
        <f>$B$6</f>
        <v>316920</v>
      </c>
      <c r="E66" s="69">
        <v>1.65</v>
      </c>
      <c r="F66" s="62">
        <v>0</v>
      </c>
      <c r="G66" s="63">
        <f>E66*(1+F66)</f>
        <v>1.65</v>
      </c>
      <c r="H66" s="61">
        <f>G66*D66</f>
        <v>522918</v>
      </c>
      <c r="I66" s="65"/>
      <c r="J66" s="65"/>
      <c r="K66" s="223"/>
      <c r="L66" s="224"/>
    </row>
    <row r="67" spans="1:14">
      <c r="A67" s="58" t="s">
        <v>72</v>
      </c>
      <c r="B67" s="59"/>
      <c r="C67" s="59" t="s">
        <v>56</v>
      </c>
      <c r="D67" s="60">
        <f>B6</f>
        <v>316920</v>
      </c>
      <c r="E67" s="69">
        <v>0.95</v>
      </c>
      <c r="F67" s="62">
        <v>0</v>
      </c>
      <c r="G67" s="63">
        <f>E67*(1+F67)</f>
        <v>0.95</v>
      </c>
      <c r="H67" s="61">
        <f>G67*D67</f>
        <v>301074</v>
      </c>
      <c r="I67" s="65"/>
      <c r="J67" s="65"/>
      <c r="K67" s="217"/>
      <c r="L67" s="218"/>
    </row>
    <row r="68" spans="1:14">
      <c r="A68" s="50" t="s">
        <v>141</v>
      </c>
      <c r="B68" s="51" t="s">
        <v>142</v>
      </c>
      <c r="C68" s="51"/>
      <c r="D68" s="72"/>
      <c r="E68" s="53"/>
      <c r="F68" s="54"/>
      <c r="G68" s="53"/>
      <c r="H68" s="53"/>
      <c r="I68" s="57">
        <f>SUM(H69:H70)</f>
        <v>782531</v>
      </c>
      <c r="J68" s="57">
        <f>SUM(L69:L70)</f>
        <v>0</v>
      </c>
      <c r="K68" s="219"/>
      <c r="L68" s="220"/>
    </row>
    <row r="69" spans="1:14">
      <c r="A69" s="58" t="s">
        <v>143</v>
      </c>
      <c r="B69" s="59" t="s">
        <v>144</v>
      </c>
      <c r="C69" s="59" t="s">
        <v>51</v>
      </c>
      <c r="D69" s="60">
        <v>1</v>
      </c>
      <c r="E69" s="61">
        <v>652431</v>
      </c>
      <c r="F69" s="62">
        <v>0</v>
      </c>
      <c r="G69" s="61">
        <f t="shared" ref="G69:G70" si="22">E69*(1+F69)</f>
        <v>652431</v>
      </c>
      <c r="H69" s="61">
        <f t="shared" ref="H69" si="23">G69*D69</f>
        <v>652431</v>
      </c>
      <c r="I69" s="65"/>
      <c r="J69" s="65"/>
      <c r="K69" s="223"/>
      <c r="L69" s="224"/>
    </row>
    <row r="70" spans="1:14">
      <c r="A70" s="58" t="s">
        <v>72</v>
      </c>
      <c r="B70" s="59"/>
      <c r="C70" s="59" t="s">
        <v>145</v>
      </c>
      <c r="D70" s="73">
        <f>$B$7</f>
        <v>13.01</v>
      </c>
      <c r="E70" s="61">
        <v>10000</v>
      </c>
      <c r="F70" s="62">
        <v>0</v>
      </c>
      <c r="G70" s="61">
        <f t="shared" si="22"/>
        <v>10000</v>
      </c>
      <c r="H70" s="61">
        <f t="shared" ref="H70" si="24">G70*D70</f>
        <v>130100</v>
      </c>
      <c r="I70" s="65"/>
      <c r="J70" s="65"/>
      <c r="K70" s="217"/>
      <c r="L70" s="218"/>
      <c r="N70" s="5" t="s">
        <v>146</v>
      </c>
    </row>
    <row r="71" spans="1:14">
      <c r="A71" s="50" t="s">
        <v>147</v>
      </c>
      <c r="B71" s="51">
        <v>32</v>
      </c>
      <c r="C71" s="51"/>
      <c r="D71" s="72"/>
      <c r="E71" s="53"/>
      <c r="F71" s="54"/>
      <c r="G71" s="53"/>
      <c r="H71" s="53"/>
      <c r="I71" s="57">
        <f>SUM(H72:H77)</f>
        <v>5109722.3599999994</v>
      </c>
      <c r="J71" s="57">
        <f>I71/$D$7</f>
        <v>15967.882374999997</v>
      </c>
      <c r="K71" s="219"/>
      <c r="L71" s="220"/>
    </row>
    <row r="72" spans="1:14">
      <c r="A72" s="58" t="s">
        <v>148</v>
      </c>
      <c r="B72" s="59" t="s">
        <v>149</v>
      </c>
      <c r="C72" s="59" t="s">
        <v>51</v>
      </c>
      <c r="D72" s="60">
        <v>1</v>
      </c>
      <c r="E72" s="61">
        <v>590237</v>
      </c>
      <c r="F72" s="62">
        <v>0</v>
      </c>
      <c r="G72" s="61">
        <f t="shared" ref="G72:G77" si="25">E72*(1+F72)</f>
        <v>590237</v>
      </c>
      <c r="H72" s="61">
        <f t="shared" ref="H72:H77" si="26">G72*D72</f>
        <v>590237</v>
      </c>
      <c r="I72" s="159"/>
      <c r="J72" s="159"/>
      <c r="K72" s="223"/>
      <c r="L72" s="224"/>
    </row>
    <row r="73" spans="1:14">
      <c r="A73" s="58" t="s">
        <v>150</v>
      </c>
      <c r="B73" s="59" t="s">
        <v>151</v>
      </c>
      <c r="C73" s="59" t="s">
        <v>56</v>
      </c>
      <c r="D73" s="60">
        <v>279704.92</v>
      </c>
      <c r="E73" s="69">
        <v>8</v>
      </c>
      <c r="F73" s="62">
        <v>0</v>
      </c>
      <c r="G73" s="69">
        <f t="shared" si="25"/>
        <v>8</v>
      </c>
      <c r="H73" s="61">
        <f t="shared" si="26"/>
        <v>2237639.36</v>
      </c>
      <c r="I73" s="159"/>
      <c r="J73" s="159"/>
      <c r="K73" s="223"/>
      <c r="L73" s="224"/>
    </row>
    <row r="74" spans="1:14">
      <c r="A74" s="58" t="s">
        <v>152</v>
      </c>
      <c r="B74" s="59"/>
      <c r="C74" s="59" t="s">
        <v>51</v>
      </c>
      <c r="D74" s="73">
        <v>1</v>
      </c>
      <c r="E74" s="61">
        <v>550578</v>
      </c>
      <c r="F74" s="62">
        <v>0</v>
      </c>
      <c r="G74" s="61">
        <f t="shared" ref="G74" si="27">E74*(1+F74)</f>
        <v>550578</v>
      </c>
      <c r="H74" s="61">
        <f t="shared" si="26"/>
        <v>550578</v>
      </c>
      <c r="I74" s="159"/>
      <c r="J74" s="159"/>
      <c r="K74" s="223"/>
      <c r="L74" s="224"/>
    </row>
    <row r="75" spans="1:14">
      <c r="A75" s="58" t="s">
        <v>153</v>
      </c>
      <c r="B75" s="59"/>
      <c r="C75" s="59" t="s">
        <v>51</v>
      </c>
      <c r="D75" s="73">
        <v>1</v>
      </c>
      <c r="E75" s="61">
        <f>77722+63827+12946+161977+2000+12000+20000+5000+38060+69562+5000+12500+12000+2000+10000</f>
        <v>504594</v>
      </c>
      <c r="F75" s="62">
        <v>0</v>
      </c>
      <c r="G75" s="61">
        <f t="shared" ref="G75" si="28">E75*(1+F75)</f>
        <v>504594</v>
      </c>
      <c r="H75" s="61">
        <f t="shared" ref="H75" si="29">G75*D75</f>
        <v>504594</v>
      </c>
      <c r="I75" s="159"/>
      <c r="J75" s="159"/>
      <c r="K75" s="223" t="s">
        <v>154</v>
      </c>
      <c r="L75" s="224"/>
    </row>
    <row r="76" spans="1:14">
      <c r="A76" s="58" t="s">
        <v>155</v>
      </c>
      <c r="B76" s="59" t="s">
        <v>149</v>
      </c>
      <c r="C76" s="59" t="s">
        <v>51</v>
      </c>
      <c r="D76" s="73">
        <v>1</v>
      </c>
      <c r="E76" s="61">
        <v>250924</v>
      </c>
      <c r="F76" s="62">
        <v>0</v>
      </c>
      <c r="G76" s="61">
        <f t="shared" ref="G76" si="30">E76*(1+F76)</f>
        <v>250924</v>
      </c>
      <c r="H76" s="61">
        <f t="shared" ref="H76" si="31">G76*D76</f>
        <v>250924</v>
      </c>
      <c r="I76" s="159"/>
      <c r="J76" s="159"/>
      <c r="K76" s="225"/>
      <c r="L76" s="226"/>
    </row>
    <row r="77" spans="1:14">
      <c r="A77" s="58" t="s">
        <v>72</v>
      </c>
      <c r="B77" s="158"/>
      <c r="C77" s="59" t="s">
        <v>145</v>
      </c>
      <c r="D77" s="73">
        <f>$B$7</f>
        <v>13.01</v>
      </c>
      <c r="E77" s="61">
        <v>75000</v>
      </c>
      <c r="F77" s="62">
        <v>0</v>
      </c>
      <c r="G77" s="61">
        <f t="shared" si="25"/>
        <v>75000</v>
      </c>
      <c r="H77" s="61">
        <f t="shared" si="26"/>
        <v>975750</v>
      </c>
      <c r="I77" s="159"/>
      <c r="J77" s="159"/>
      <c r="K77" s="225"/>
      <c r="L77" s="226"/>
    </row>
    <row r="78" spans="1:14">
      <c r="A78" s="50" t="s">
        <v>156</v>
      </c>
      <c r="B78" s="51" t="s">
        <v>157</v>
      </c>
      <c r="C78" s="51"/>
      <c r="D78" s="52"/>
      <c r="E78" s="53"/>
      <c r="F78" s="54"/>
      <c r="G78" s="67"/>
      <c r="H78" s="53"/>
      <c r="I78" s="57">
        <f>SUM(H79:H86)</f>
        <v>1900406</v>
      </c>
      <c r="J78" s="57">
        <f>I78/$D$7</f>
        <v>5938.7687500000002</v>
      </c>
      <c r="K78" s="219"/>
      <c r="L78" s="220"/>
    </row>
    <row r="79" spans="1:14">
      <c r="A79" s="58" t="s">
        <v>158</v>
      </c>
      <c r="B79" s="59" t="s">
        <v>159</v>
      </c>
      <c r="C79" s="59" t="s">
        <v>51</v>
      </c>
      <c r="D79" s="60">
        <v>1</v>
      </c>
      <c r="E79" s="61">
        <v>739197</v>
      </c>
      <c r="F79" s="62">
        <v>0</v>
      </c>
      <c r="G79" s="61">
        <f t="shared" ref="G79:G89" si="32">E79*(1+F79)</f>
        <v>739197</v>
      </c>
      <c r="H79" s="61">
        <f t="shared" ref="H79:H86" si="33">G79*D79</f>
        <v>739197</v>
      </c>
      <c r="I79" s="65"/>
      <c r="J79" s="65"/>
      <c r="K79" s="223"/>
      <c r="L79" s="224"/>
    </row>
    <row r="80" spans="1:14">
      <c r="A80" s="58" t="s">
        <v>160</v>
      </c>
      <c r="B80" s="59" t="s">
        <v>161</v>
      </c>
      <c r="C80" s="59" t="s">
        <v>51</v>
      </c>
      <c r="D80" s="60">
        <v>1</v>
      </c>
      <c r="E80" s="61">
        <v>191264</v>
      </c>
      <c r="F80" s="62">
        <v>0</v>
      </c>
      <c r="G80" s="61">
        <f t="shared" si="32"/>
        <v>191264</v>
      </c>
      <c r="H80" s="61">
        <f t="shared" si="33"/>
        <v>191264</v>
      </c>
      <c r="I80" s="65"/>
      <c r="J80" s="65"/>
      <c r="K80" s="223"/>
      <c r="L80" s="224"/>
    </row>
    <row r="81" spans="1:14">
      <c r="A81" s="58" t="s">
        <v>162</v>
      </c>
      <c r="B81" s="59" t="s">
        <v>163</v>
      </c>
      <c r="C81" s="59" t="s">
        <v>51</v>
      </c>
      <c r="D81" s="60">
        <v>1</v>
      </c>
      <c r="E81" s="61">
        <v>99151</v>
      </c>
      <c r="F81" s="62">
        <v>0</v>
      </c>
      <c r="G81" s="61">
        <f t="shared" si="32"/>
        <v>99151</v>
      </c>
      <c r="H81" s="61">
        <f t="shared" si="33"/>
        <v>99151</v>
      </c>
      <c r="I81" s="65"/>
      <c r="J81" s="65"/>
      <c r="K81" s="223"/>
      <c r="L81" s="224"/>
    </row>
    <row r="82" spans="1:14">
      <c r="A82" s="58" t="s">
        <v>164</v>
      </c>
      <c r="B82" s="59" t="s">
        <v>159</v>
      </c>
      <c r="C82" s="59" t="s">
        <v>51</v>
      </c>
      <c r="D82" s="60">
        <v>1</v>
      </c>
      <c r="E82" s="61">
        <v>299500</v>
      </c>
      <c r="F82" s="62">
        <v>0</v>
      </c>
      <c r="G82" s="61">
        <f t="shared" si="32"/>
        <v>299500</v>
      </c>
      <c r="H82" s="61">
        <f t="shared" si="33"/>
        <v>299500</v>
      </c>
      <c r="I82" s="65"/>
      <c r="J82" s="65"/>
      <c r="K82" s="223"/>
      <c r="L82" s="224"/>
    </row>
    <row r="83" spans="1:14">
      <c r="A83" s="58" t="s">
        <v>165</v>
      </c>
      <c r="B83" s="59" t="s">
        <v>161</v>
      </c>
      <c r="C83" s="59" t="s">
        <v>51</v>
      </c>
      <c r="D83" s="60">
        <v>1</v>
      </c>
      <c r="E83" s="61">
        <v>25000</v>
      </c>
      <c r="F83" s="62">
        <v>0</v>
      </c>
      <c r="G83" s="61">
        <f t="shared" si="32"/>
        <v>25000</v>
      </c>
      <c r="H83" s="61">
        <f t="shared" si="33"/>
        <v>25000</v>
      </c>
      <c r="I83" s="65"/>
      <c r="J83" s="65"/>
      <c r="K83" s="223"/>
      <c r="L83" s="224"/>
    </row>
    <row r="84" spans="1:14">
      <c r="A84" s="58" t="s">
        <v>166</v>
      </c>
      <c r="B84" s="59" t="s">
        <v>167</v>
      </c>
      <c r="C84" s="59" t="s">
        <v>51</v>
      </c>
      <c r="D84" s="60">
        <v>1</v>
      </c>
      <c r="E84" s="61">
        <v>50000</v>
      </c>
      <c r="F84" s="62">
        <v>0</v>
      </c>
      <c r="G84" s="61">
        <f t="shared" si="32"/>
        <v>50000</v>
      </c>
      <c r="H84" s="61">
        <f t="shared" si="33"/>
        <v>50000</v>
      </c>
      <c r="I84" s="65"/>
      <c r="J84" s="65"/>
      <c r="K84" s="223"/>
      <c r="L84" s="224"/>
    </row>
    <row r="85" spans="1:14">
      <c r="A85" s="58" t="s">
        <v>168</v>
      </c>
      <c r="B85" s="59" t="s">
        <v>163</v>
      </c>
      <c r="C85" s="59" t="s">
        <v>51</v>
      </c>
      <c r="D85" s="60">
        <v>1</v>
      </c>
      <c r="E85" s="61">
        <v>171044</v>
      </c>
      <c r="F85" s="62">
        <v>0</v>
      </c>
      <c r="G85" s="61">
        <f t="shared" si="32"/>
        <v>171044</v>
      </c>
      <c r="H85" s="61">
        <f t="shared" si="33"/>
        <v>171044</v>
      </c>
      <c r="I85" s="159"/>
      <c r="J85" s="159"/>
      <c r="K85" s="223"/>
      <c r="L85" s="224"/>
    </row>
    <row r="86" spans="1:14">
      <c r="A86" s="58" t="s">
        <v>72</v>
      </c>
      <c r="B86" s="158"/>
      <c r="C86" s="59" t="s">
        <v>145</v>
      </c>
      <c r="D86" s="60">
        <f>B7</f>
        <v>13.01</v>
      </c>
      <c r="E86" s="61">
        <v>25000</v>
      </c>
      <c r="F86" s="62">
        <v>0</v>
      </c>
      <c r="G86" s="61">
        <f t="shared" si="32"/>
        <v>25000</v>
      </c>
      <c r="H86" s="61">
        <f t="shared" si="33"/>
        <v>325250</v>
      </c>
      <c r="I86" s="159"/>
      <c r="J86" s="159"/>
      <c r="K86" s="223"/>
      <c r="L86" s="224"/>
    </row>
    <row r="87" spans="1:14">
      <c r="A87" s="50" t="s">
        <v>169</v>
      </c>
      <c r="B87" s="51" t="s">
        <v>170</v>
      </c>
      <c r="C87" s="51" t="s">
        <v>51</v>
      </c>
      <c r="D87" s="52">
        <v>1</v>
      </c>
      <c r="E87" s="53">
        <v>15000</v>
      </c>
      <c r="F87" s="54">
        <v>0</v>
      </c>
      <c r="G87" s="56">
        <f t="shared" si="32"/>
        <v>15000</v>
      </c>
      <c r="H87" s="56"/>
      <c r="I87" s="57">
        <f>G87*D87</f>
        <v>15000</v>
      </c>
      <c r="J87" s="57">
        <f>I87/$D$7</f>
        <v>46.875</v>
      </c>
      <c r="K87" s="219"/>
      <c r="L87" s="220"/>
    </row>
    <row r="88" spans="1:14">
      <c r="A88" s="50" t="s">
        <v>171</v>
      </c>
      <c r="B88" s="51" t="s">
        <v>172</v>
      </c>
      <c r="C88" s="51" t="s">
        <v>80</v>
      </c>
      <c r="D88" s="52">
        <v>320</v>
      </c>
      <c r="E88" s="53">
        <v>1500</v>
      </c>
      <c r="F88" s="54">
        <v>0</v>
      </c>
      <c r="G88" s="56">
        <f t="shared" si="32"/>
        <v>1500</v>
      </c>
      <c r="H88" s="56"/>
      <c r="I88" s="57">
        <f>G88*D88</f>
        <v>480000</v>
      </c>
      <c r="J88" s="57">
        <f>I88/$D$7</f>
        <v>1500</v>
      </c>
      <c r="K88" s="219"/>
      <c r="L88" s="220"/>
    </row>
    <row r="89" spans="1:14">
      <c r="A89" s="50" t="s">
        <v>173</v>
      </c>
      <c r="B89" s="51" t="s">
        <v>174</v>
      </c>
      <c r="C89" s="51" t="s">
        <v>145</v>
      </c>
      <c r="D89" s="72">
        <f>$B$7</f>
        <v>13.01</v>
      </c>
      <c r="E89" s="53">
        <v>25000</v>
      </c>
      <c r="F89" s="54">
        <v>0</v>
      </c>
      <c r="G89" s="56">
        <f t="shared" si="32"/>
        <v>25000</v>
      </c>
      <c r="H89" s="56"/>
      <c r="I89" s="114">
        <f>$G$89*$D$89</f>
        <v>325250</v>
      </c>
      <c r="J89" s="114">
        <f>I89/$D$7</f>
        <v>1016.40625</v>
      </c>
      <c r="K89" s="219"/>
      <c r="L89" s="220"/>
    </row>
    <row r="90" spans="1:14">
      <c r="A90" s="50" t="s">
        <v>175</v>
      </c>
      <c r="B90" s="51"/>
      <c r="C90" s="51"/>
      <c r="D90" s="74"/>
      <c r="E90" s="67"/>
      <c r="F90" s="54"/>
      <c r="G90" s="55"/>
      <c r="H90" s="56"/>
      <c r="I90" s="57">
        <f>H91+H92</f>
        <v>879505.00644800009</v>
      </c>
      <c r="J90" s="57">
        <f>I90/$D$7</f>
        <v>2748.4531451500002</v>
      </c>
      <c r="K90" s="219"/>
      <c r="L90" s="220"/>
    </row>
    <row r="91" spans="1:14">
      <c r="A91" s="58" t="s">
        <v>176</v>
      </c>
      <c r="B91" s="59"/>
      <c r="C91" s="59"/>
      <c r="D91" s="60"/>
      <c r="E91" s="113">
        <v>0</v>
      </c>
      <c r="F91" s="62"/>
      <c r="G91" s="69"/>
      <c r="H91" s="61">
        <f>E91*SUM($I$13:$I$89)</f>
        <v>0</v>
      </c>
      <c r="I91" s="65"/>
      <c r="J91" s="65"/>
      <c r="K91" s="217"/>
      <c r="L91" s="218"/>
    </row>
    <row r="92" spans="1:14">
      <c r="A92" s="58" t="s">
        <v>177</v>
      </c>
      <c r="B92" s="59"/>
      <c r="C92" s="59"/>
      <c r="D92" s="73"/>
      <c r="E92" s="113">
        <v>0.02</v>
      </c>
      <c r="F92" s="62"/>
      <c r="G92" s="69"/>
      <c r="H92" s="61">
        <f>E92*SUM($I$13:$I$89)</f>
        <v>879505.00644800009</v>
      </c>
      <c r="I92" s="65"/>
      <c r="J92" s="65"/>
      <c r="K92" s="217"/>
      <c r="L92" s="218"/>
    </row>
    <row r="93" spans="1:14">
      <c r="A93" s="50" t="s">
        <v>178</v>
      </c>
      <c r="B93" s="51"/>
      <c r="C93" s="51"/>
      <c r="D93" s="52"/>
      <c r="E93" s="53"/>
      <c r="F93" s="54"/>
      <c r="G93" s="55"/>
      <c r="H93" s="56"/>
      <c r="I93" s="114">
        <f>H95+H94</f>
        <v>1155000</v>
      </c>
      <c r="J93" s="114">
        <f>I93/$D$7</f>
        <v>3609.375</v>
      </c>
      <c r="K93" s="219"/>
      <c r="L93" s="220"/>
    </row>
    <row r="94" spans="1:14">
      <c r="A94" s="58" t="s">
        <v>179</v>
      </c>
      <c r="B94" s="59"/>
      <c r="C94" s="59" t="s">
        <v>51</v>
      </c>
      <c r="D94" s="73">
        <v>1.5</v>
      </c>
      <c r="E94" s="61">
        <v>450000</v>
      </c>
      <c r="F94" s="62">
        <v>0</v>
      </c>
      <c r="G94" s="61">
        <f t="shared" ref="G94:G95" si="34">E94*(1+F94)</f>
        <v>450000</v>
      </c>
      <c r="H94" s="61">
        <f>G94*D94</f>
        <v>675000</v>
      </c>
      <c r="I94" s="65"/>
      <c r="J94" s="65"/>
      <c r="K94" s="217"/>
      <c r="L94" s="218"/>
    </row>
    <row r="95" spans="1:14">
      <c r="A95" s="58" t="s">
        <v>72</v>
      </c>
      <c r="B95" s="59"/>
      <c r="C95" s="59" t="s">
        <v>180</v>
      </c>
      <c r="D95" s="60">
        <f>$D$7</f>
        <v>320</v>
      </c>
      <c r="E95" s="61">
        <v>1500</v>
      </c>
      <c r="F95" s="62">
        <v>0</v>
      </c>
      <c r="G95" s="61">
        <f t="shared" si="34"/>
        <v>1500</v>
      </c>
      <c r="H95" s="61">
        <f>G95*D95</f>
        <v>480000</v>
      </c>
      <c r="I95" s="65"/>
      <c r="J95" s="65"/>
      <c r="K95" s="217"/>
      <c r="L95" s="218"/>
    </row>
    <row r="96" spans="1:14">
      <c r="A96" s="50" t="s">
        <v>181</v>
      </c>
      <c r="B96" s="51">
        <v>55</v>
      </c>
      <c r="C96" s="51"/>
      <c r="D96" s="51"/>
      <c r="E96" s="74">
        <v>0.06</v>
      </c>
      <c r="F96" s="54"/>
      <c r="G96" s="55"/>
      <c r="H96" s="56"/>
      <c r="I96" s="114">
        <f>SUM(I13:I95,I97:I98)*E96</f>
        <v>2817177.3187853633</v>
      </c>
      <c r="J96" s="114">
        <f>I96/$D$7</f>
        <v>8803.6791212042608</v>
      </c>
      <c r="K96" s="219"/>
      <c r="L96" s="220"/>
      <c r="N96" s="173"/>
    </row>
    <row r="97" spans="1:12">
      <c r="A97" s="50" t="s">
        <v>182</v>
      </c>
      <c r="B97" s="51">
        <v>50</v>
      </c>
      <c r="C97" s="51"/>
      <c r="D97" s="51"/>
      <c r="E97" s="74">
        <v>9.1999999999999998E-3</v>
      </c>
      <c r="F97" s="54"/>
      <c r="G97" s="55"/>
      <c r="H97" s="56"/>
      <c r="I97" s="114">
        <f>SUM($I$13:$I$95)*E97</f>
        <v>423289.74902540166</v>
      </c>
      <c r="J97" s="114">
        <f>I97/$D$7</f>
        <v>1322.7804657043803</v>
      </c>
      <c r="K97" s="219"/>
      <c r="L97" s="220"/>
    </row>
    <row r="98" spans="1:12">
      <c r="A98" s="50" t="s">
        <v>183</v>
      </c>
      <c r="B98" s="51" t="s">
        <v>184</v>
      </c>
      <c r="C98" s="51"/>
      <c r="D98" s="51"/>
      <c r="E98" s="74">
        <v>1.1299999999999999E-2</v>
      </c>
      <c r="F98" s="75"/>
      <c r="G98" s="67"/>
      <c r="H98" s="56"/>
      <c r="I98" s="114">
        <f>SUM($I$13:$I$95)*E98</f>
        <v>519910.23521598242</v>
      </c>
      <c r="J98" s="114">
        <f>I98/$D$7</f>
        <v>1624.719485049945</v>
      </c>
      <c r="K98" s="219"/>
      <c r="L98" s="220"/>
    </row>
    <row r="99" spans="1:12">
      <c r="A99" s="50" t="s">
        <v>185</v>
      </c>
      <c r="B99" s="51" t="s">
        <v>186</v>
      </c>
      <c r="C99" s="51"/>
      <c r="D99" s="74"/>
      <c r="E99" s="67"/>
      <c r="F99" s="54"/>
      <c r="G99" s="55"/>
      <c r="H99" s="56"/>
      <c r="I99" s="57">
        <f>H100+H101</f>
        <v>3756236.4250471513</v>
      </c>
      <c r="J99" s="114">
        <f>I99/$D$7</f>
        <v>11738.238828272348</v>
      </c>
      <c r="K99" s="219"/>
      <c r="L99" s="220"/>
    </row>
    <row r="100" spans="1:12">
      <c r="A100" s="58" t="s">
        <v>187</v>
      </c>
      <c r="B100" s="59"/>
      <c r="C100" s="59"/>
      <c r="D100" s="60"/>
      <c r="E100" s="113">
        <v>0.02</v>
      </c>
      <c r="F100" s="62"/>
      <c r="G100" s="69"/>
      <c r="H100" s="61">
        <f>SUM($I$13:$I$95,$I$97:$I$98)*E100</f>
        <v>939059.10626178794</v>
      </c>
      <c r="I100" s="65"/>
      <c r="J100" s="65"/>
      <c r="K100" s="217"/>
      <c r="L100" s="218"/>
    </row>
    <row r="101" spans="1:12">
      <c r="A101" s="58" t="s">
        <v>188</v>
      </c>
      <c r="B101" s="59"/>
      <c r="C101" s="59"/>
      <c r="D101" s="73"/>
      <c r="E101" s="113">
        <v>0.06</v>
      </c>
      <c r="F101" s="62"/>
      <c r="G101" s="69"/>
      <c r="H101" s="61">
        <f>SUM($I$13:$I$95,$I$97:$I$98)*E101</f>
        <v>2817177.3187853633</v>
      </c>
      <c r="I101" s="65"/>
      <c r="J101" s="65"/>
      <c r="K101" s="217"/>
      <c r="L101" s="218"/>
    </row>
    <row r="102" spans="1:12" ht="15" thickBot="1">
      <c r="A102" s="76" t="s">
        <v>189</v>
      </c>
      <c r="B102" s="77"/>
      <c r="C102" s="77"/>
      <c r="D102" s="77"/>
      <c r="E102" s="78"/>
      <c r="F102" s="79"/>
      <c r="G102" s="80"/>
      <c r="H102" s="80"/>
      <c r="I102" s="81">
        <f>SUM(I12:I99)</f>
        <v>56343546.375707261</v>
      </c>
      <c r="J102" s="81">
        <f>I102/$D$7</f>
        <v>176073.58242408518</v>
      </c>
      <c r="K102" s="82"/>
      <c r="L102" s="83"/>
    </row>
    <row r="103" spans="1:12">
      <c r="D103" s="38"/>
      <c r="E103" s="38"/>
      <c r="F103" s="84"/>
      <c r="I103" s="85"/>
      <c r="K103" s="85"/>
    </row>
    <row r="104" spans="1:12">
      <c r="I104" s="157"/>
    </row>
    <row r="105" spans="1:12">
      <c r="I105" s="167"/>
    </row>
  </sheetData>
  <mergeCells count="91">
    <mergeCell ref="K57:L57"/>
    <mergeCell ref="K51:L51"/>
    <mergeCell ref="K52:L52"/>
    <mergeCell ref="K56:L56"/>
    <mergeCell ref="K49:L49"/>
    <mergeCell ref="K50:L50"/>
    <mergeCell ref="K53:L53"/>
    <mergeCell ref="K54:L54"/>
    <mergeCell ref="K55:L55"/>
    <mergeCell ref="K86:L86"/>
    <mergeCell ref="K91:L91"/>
    <mergeCell ref="K92:L92"/>
    <mergeCell ref="K94:L94"/>
    <mergeCell ref="K101:L101"/>
    <mergeCell ref="K96:L96"/>
    <mergeCell ref="K97:L97"/>
    <mergeCell ref="K98:L98"/>
    <mergeCell ref="K99:L99"/>
    <mergeCell ref="K95:L95"/>
    <mergeCell ref="K100:L100"/>
    <mergeCell ref="K87:L87"/>
    <mergeCell ref="K88:L88"/>
    <mergeCell ref="K89:L89"/>
    <mergeCell ref="K90:L90"/>
    <mergeCell ref="K93:L93"/>
    <mergeCell ref="K85:L85"/>
    <mergeCell ref="K73:L73"/>
    <mergeCell ref="K74:L74"/>
    <mergeCell ref="K75:L75"/>
    <mergeCell ref="K76:L76"/>
    <mergeCell ref="K77:L77"/>
    <mergeCell ref="K79:L79"/>
    <mergeCell ref="K78:L78"/>
    <mergeCell ref="K80:L80"/>
    <mergeCell ref="K81:L81"/>
    <mergeCell ref="K82:L82"/>
    <mergeCell ref="K83:L83"/>
    <mergeCell ref="K84:L84"/>
    <mergeCell ref="K72:L72"/>
    <mergeCell ref="K71:L71"/>
    <mergeCell ref="K58:L58"/>
    <mergeCell ref="K59:L59"/>
    <mergeCell ref="K62:L62"/>
    <mergeCell ref="K63:L63"/>
    <mergeCell ref="K66:L66"/>
    <mergeCell ref="K67:L67"/>
    <mergeCell ref="K69:L69"/>
    <mergeCell ref="K70:L70"/>
    <mergeCell ref="K68:L68"/>
    <mergeCell ref="K64:L64"/>
    <mergeCell ref="K65:L65"/>
    <mergeCell ref="K60:L60"/>
    <mergeCell ref="K61:L61"/>
    <mergeCell ref="K39:L39"/>
    <mergeCell ref="K40:L40"/>
    <mergeCell ref="K44:L44"/>
    <mergeCell ref="K45:L45"/>
    <mergeCell ref="K46:L46"/>
    <mergeCell ref="K48:L48"/>
    <mergeCell ref="K47:L47"/>
    <mergeCell ref="K41:L41"/>
    <mergeCell ref="K42:L42"/>
    <mergeCell ref="K43:L43"/>
    <mergeCell ref="K38:L38"/>
    <mergeCell ref="K35:L35"/>
    <mergeCell ref="K32:L32"/>
    <mergeCell ref="K23:L23"/>
    <mergeCell ref="K25:L25"/>
    <mergeCell ref="K26:L26"/>
    <mergeCell ref="K27:L27"/>
    <mergeCell ref="K29:L29"/>
    <mergeCell ref="K30:L30"/>
    <mergeCell ref="K28:L28"/>
    <mergeCell ref="K24:L24"/>
    <mergeCell ref="K31:L31"/>
    <mergeCell ref="K33:L33"/>
    <mergeCell ref="K34:L34"/>
    <mergeCell ref="K36:L36"/>
    <mergeCell ref="K37:L37"/>
    <mergeCell ref="K22:L22"/>
    <mergeCell ref="K18:L18"/>
    <mergeCell ref="K19:L19"/>
    <mergeCell ref="K11:L11"/>
    <mergeCell ref="K20:L20"/>
    <mergeCell ref="K15:L15"/>
    <mergeCell ref="K16:L16"/>
    <mergeCell ref="K17:L17"/>
    <mergeCell ref="K21:L21"/>
    <mergeCell ref="K12:L12"/>
    <mergeCell ref="K13:L13"/>
    <mergeCell ref="K14:L14"/>
  </mergeCells>
  <conditionalFormatting sqref="D2">
    <cfRule type="expression" dxfId="2" priority="1">
      <formula>MOD(ROW(),2)</formula>
    </cfRule>
  </conditionalFormatting>
  <conditionalFormatting sqref="I103:K103">
    <cfRule type="cellIs" dxfId="1" priority="2" operator="lessThan">
      <formula>0</formula>
    </cfRule>
    <cfRule type="cellIs" dxfId="0" priority="3" operator="greaterThan">
      <formula>0</formula>
    </cfRule>
  </conditionalFormatting>
  <dataValidations count="2">
    <dataValidation type="list" allowBlank="1" showInputMessage="1" showErrorMessage="1" sqref="B3" xr:uid="{3E630228-9EB4-4BBC-A663-1F43C9D0484E}">
      <formula1>"Level 0, Level 1, Level 2, Level 3"</formula1>
    </dataValidation>
    <dataValidation type="list" allowBlank="1" showInputMessage="1" showErrorMessage="1" sqref="B4" xr:uid="{A72F7C2D-D980-430E-A362-184E5FEA6F40}">
      <formula1>"Urban, Market, Senior, Afforable"</formula1>
    </dataValidation>
  </dataValidations>
  <printOptions horizontalCentered="1" verticalCentered="1"/>
  <pageMargins left="0.1" right="0.1" top="0.7" bottom="0.25" header="0.35" footer="0.05"/>
  <pageSetup paperSize="3" scale="68" orientation="portrait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9CD3-7681-454A-ADAF-1A915E4D86C1}">
  <sheetPr>
    <pageSetUpPr fitToPage="1"/>
  </sheetPr>
  <dimension ref="A1:V34"/>
  <sheetViews>
    <sheetView showGridLines="0" zoomScale="85" zoomScaleNormal="85" workbookViewId="0">
      <selection activeCell="C23" sqref="C23"/>
    </sheetView>
  </sheetViews>
  <sheetFormatPr defaultColWidth="9.140625" defaultRowHeight="14.45"/>
  <cols>
    <col min="1" max="1" width="38.85546875" style="86" bestFit="1" customWidth="1"/>
    <col min="2" max="2" width="0.28515625" style="86" customWidth="1"/>
    <col min="3" max="3" width="29" style="87" bestFit="1" customWidth="1"/>
    <col min="4" max="4" width="17.7109375" style="201" customWidth="1"/>
    <col min="5" max="5" width="2.42578125" style="87" customWidth="1"/>
    <col min="6" max="9" width="17.7109375" style="86" customWidth="1"/>
    <col min="10" max="13" width="14.5703125" style="87" bestFit="1" customWidth="1"/>
    <col min="14" max="14" width="1.42578125" style="87" customWidth="1"/>
    <col min="15" max="18" width="9.140625" style="86"/>
    <col min="19" max="19" width="12.5703125" style="86" bestFit="1" customWidth="1"/>
    <col min="20" max="20" width="13.85546875" style="86" bestFit="1" customWidth="1"/>
    <col min="21" max="21" width="15.5703125" style="86" bestFit="1" customWidth="1"/>
    <col min="22" max="22" width="13.85546875" style="86" bestFit="1" customWidth="1"/>
    <col min="23" max="16384" width="9.140625" style="86"/>
  </cols>
  <sheetData>
    <row r="1" spans="1:21" ht="21.75" customHeight="1" thickBot="1">
      <c r="D1" s="200"/>
      <c r="F1" s="88" t="s">
        <v>190</v>
      </c>
      <c r="G1" s="88"/>
      <c r="H1" s="88"/>
      <c r="I1" s="88"/>
      <c r="J1" s="88"/>
      <c r="K1" s="88"/>
      <c r="L1" s="88"/>
      <c r="M1" s="88"/>
    </row>
    <row r="2" spans="1:21" s="89" customFormat="1" ht="21" customHeight="1" thickBot="1">
      <c r="C2" s="91"/>
      <c r="D2" s="208" t="s">
        <v>5</v>
      </c>
      <c r="E2" s="91"/>
      <c r="F2" s="90" t="s">
        <v>191</v>
      </c>
      <c r="G2" s="90" t="s">
        <v>192</v>
      </c>
      <c r="H2" s="90" t="s">
        <v>193</v>
      </c>
      <c r="I2" s="90" t="s">
        <v>194</v>
      </c>
      <c r="J2" s="90" t="s">
        <v>195</v>
      </c>
      <c r="K2" s="90" t="s">
        <v>196</v>
      </c>
      <c r="L2" s="90" t="s">
        <v>197</v>
      </c>
      <c r="M2" s="90" t="s">
        <v>198</v>
      </c>
      <c r="N2" s="87"/>
    </row>
    <row r="3" spans="1:21" s="89" customFormat="1" ht="21" customHeight="1">
      <c r="A3" s="92" t="s">
        <v>199</v>
      </c>
      <c r="C3" s="91"/>
      <c r="D3" s="209">
        <v>190</v>
      </c>
      <c r="E3" s="91"/>
      <c r="F3" s="91">
        <v>190</v>
      </c>
      <c r="G3" s="91">
        <v>363</v>
      </c>
      <c r="H3" s="91">
        <v>390</v>
      </c>
      <c r="I3" s="91">
        <v>194</v>
      </c>
      <c r="J3" s="91">
        <v>50</v>
      </c>
      <c r="K3" s="91">
        <v>190</v>
      </c>
      <c r="L3" s="91">
        <v>276</v>
      </c>
      <c r="M3" s="91">
        <v>195</v>
      </c>
      <c r="N3" s="87"/>
    </row>
    <row r="4" spans="1:21" s="89" customFormat="1" ht="21" customHeight="1">
      <c r="A4" s="174" t="s">
        <v>200</v>
      </c>
      <c r="C4" s="91"/>
      <c r="D4" s="210">
        <v>191224</v>
      </c>
      <c r="E4" s="91"/>
      <c r="F4" s="93">
        <v>191224</v>
      </c>
      <c r="G4" s="93">
        <v>362571</v>
      </c>
      <c r="H4" s="93">
        <v>422635</v>
      </c>
      <c r="I4" s="93">
        <v>196289</v>
      </c>
      <c r="J4" s="93">
        <v>34388</v>
      </c>
      <c r="K4" s="93">
        <v>188825</v>
      </c>
      <c r="L4" s="94">
        <v>258464</v>
      </c>
      <c r="M4" s="93">
        <v>184108</v>
      </c>
      <c r="N4" s="87"/>
    </row>
    <row r="5" spans="1:21" s="89" customFormat="1" ht="21" customHeight="1">
      <c r="A5" s="89" t="s">
        <v>201</v>
      </c>
      <c r="C5" s="91"/>
      <c r="D5" s="211">
        <v>4.1399999999999997</v>
      </c>
      <c r="E5" s="91"/>
      <c r="F5" s="95">
        <v>4.1399999999999997</v>
      </c>
      <c r="G5" s="95">
        <v>17.350000000000001</v>
      </c>
      <c r="H5" s="95">
        <v>15.826000000000001</v>
      </c>
      <c r="I5" s="95">
        <v>4.9000000000000004</v>
      </c>
      <c r="J5" s="95">
        <v>1.3</v>
      </c>
      <c r="K5" s="95">
        <v>5</v>
      </c>
      <c r="L5" s="96">
        <v>9.4499999999999993</v>
      </c>
      <c r="M5" s="95">
        <v>5</v>
      </c>
      <c r="N5" s="87"/>
    </row>
    <row r="6" spans="1:21" s="89" customFormat="1" ht="21" customHeight="1" thickBot="1">
      <c r="C6" s="91"/>
      <c r="D6" s="212">
        <v>180338</v>
      </c>
      <c r="E6" s="91"/>
      <c r="F6" s="97">
        <v>180338</v>
      </c>
      <c r="G6" s="97">
        <v>755766</v>
      </c>
      <c r="H6" s="97">
        <v>689380.56</v>
      </c>
      <c r="I6" s="97">
        <v>213444.00000000003</v>
      </c>
      <c r="J6" s="97">
        <v>56628</v>
      </c>
      <c r="K6" s="97">
        <v>217800</v>
      </c>
      <c r="L6" s="98">
        <v>411641.99999999994</v>
      </c>
      <c r="M6" s="97">
        <v>217800</v>
      </c>
      <c r="N6" s="87"/>
    </row>
    <row r="7" spans="1:21" s="89" customFormat="1" ht="21" customHeight="1" thickBot="1">
      <c r="A7" s="99" t="s">
        <v>35</v>
      </c>
      <c r="C7" s="90" t="s">
        <v>202</v>
      </c>
      <c r="D7" s="208" t="s">
        <v>203</v>
      </c>
      <c r="E7" s="90"/>
      <c r="F7" s="90" t="s">
        <v>203</v>
      </c>
      <c r="G7" s="90" t="s">
        <v>203</v>
      </c>
      <c r="H7" s="90" t="s">
        <v>203</v>
      </c>
      <c r="I7" s="90" t="s">
        <v>203</v>
      </c>
      <c r="J7" s="90" t="s">
        <v>203</v>
      </c>
      <c r="K7" s="90" t="s">
        <v>203</v>
      </c>
      <c r="L7" s="90" t="s">
        <v>203</v>
      </c>
      <c r="M7" s="90" t="s">
        <v>203</v>
      </c>
      <c r="N7" s="87"/>
      <c r="U7" s="171"/>
    </row>
    <row r="8" spans="1:21" s="89" customFormat="1" ht="21" customHeight="1">
      <c r="A8" s="100" t="s">
        <v>75</v>
      </c>
      <c r="C8" s="91" t="s">
        <v>204</v>
      </c>
      <c r="D8" s="202">
        <f>'Level 0'!G25</f>
        <v>18</v>
      </c>
      <c r="E8" s="91"/>
      <c r="F8" s="175">
        <v>19.899999999999999</v>
      </c>
      <c r="G8" s="193">
        <v>17.039126543490791</v>
      </c>
      <c r="H8" s="101">
        <v>16.779696428360168</v>
      </c>
      <c r="I8" s="101">
        <v>18.68</v>
      </c>
      <c r="J8" s="101">
        <v>20.075375130859602</v>
      </c>
      <c r="K8" s="102">
        <v>19.921525221766185</v>
      </c>
      <c r="L8" s="102">
        <v>22.888453474247783</v>
      </c>
      <c r="M8" s="102">
        <v>19.011015273643732</v>
      </c>
      <c r="N8" s="87"/>
      <c r="U8" s="172"/>
    </row>
    <row r="9" spans="1:21" s="89" customFormat="1" ht="21" customHeight="1">
      <c r="A9" s="103" t="s">
        <v>133</v>
      </c>
      <c r="C9" s="91" t="s">
        <v>204</v>
      </c>
      <c r="D9" s="203">
        <f>'Level 0'!G62</f>
        <v>12.5</v>
      </c>
      <c r="E9" s="91"/>
      <c r="F9" s="188">
        <v>13.453143956825503</v>
      </c>
      <c r="G9" s="193">
        <v>12.801216865110558</v>
      </c>
      <c r="H9" s="161">
        <v>11.447112756870586</v>
      </c>
      <c r="I9" s="161">
        <v>10.06</v>
      </c>
      <c r="J9" s="106">
        <v>12.504361986739561</v>
      </c>
      <c r="K9" s="106">
        <v>9.2699536607970341</v>
      </c>
      <c r="L9" s="106">
        <v>10.176017980518527</v>
      </c>
      <c r="M9" s="106">
        <v>12.134289764703325</v>
      </c>
      <c r="N9" s="87"/>
    </row>
    <row r="10" spans="1:21" s="89" customFormat="1" ht="21" customHeight="1">
      <c r="A10" s="103" t="s">
        <v>130</v>
      </c>
      <c r="C10" s="91" t="s">
        <v>205</v>
      </c>
      <c r="D10" s="204">
        <f>'Level 0'!G60</f>
        <v>11550</v>
      </c>
      <c r="E10" s="91"/>
      <c r="F10" s="189">
        <v>10358.126721763085</v>
      </c>
      <c r="G10" s="194">
        <v>10358.126721763085</v>
      </c>
      <c r="H10" s="162">
        <v>10170.479487179487</v>
      </c>
      <c r="I10" s="162">
        <v>9875</v>
      </c>
      <c r="J10" s="105">
        <v>10148.68</v>
      </c>
      <c r="K10" s="105">
        <v>9739.273684210526</v>
      </c>
      <c r="L10" s="105">
        <v>10104.673913043478</v>
      </c>
      <c r="M10" s="105">
        <v>9218.251282051282</v>
      </c>
      <c r="N10" s="87"/>
    </row>
    <row r="11" spans="1:21" s="89" customFormat="1" ht="21" customHeight="1">
      <c r="A11" s="103" t="s">
        <v>96</v>
      </c>
      <c r="C11" s="91" t="s">
        <v>204</v>
      </c>
      <c r="D11" s="202">
        <f>'Level 0'!G37</f>
        <v>7.4</v>
      </c>
      <c r="E11" s="91"/>
      <c r="F11" s="175">
        <v>7.64</v>
      </c>
      <c r="G11" s="193">
        <v>7.3637604772582472</v>
      </c>
      <c r="H11" s="196">
        <v>7.1643995409750731</v>
      </c>
      <c r="I11" s="161">
        <v>7.2940664020907944</v>
      </c>
      <c r="J11" s="106">
        <v>7.7384863906013726</v>
      </c>
      <c r="K11" s="106">
        <v>8.0157076658281472</v>
      </c>
      <c r="L11" s="106">
        <v>7.3585310751947759</v>
      </c>
      <c r="M11" s="106">
        <v>8.0768353357811726</v>
      </c>
      <c r="N11" s="87"/>
    </row>
    <row r="12" spans="1:21" s="89" customFormat="1" ht="21" customHeight="1">
      <c r="A12" s="103" t="s">
        <v>125</v>
      </c>
      <c r="C12" s="91" t="s">
        <v>206</v>
      </c>
      <c r="D12" s="205">
        <f>'Level 0'!G57</f>
        <v>10500</v>
      </c>
      <c r="E12" s="91"/>
      <c r="F12" s="190">
        <v>10515.956140350878</v>
      </c>
      <c r="G12" s="195">
        <v>10456.129476584021</v>
      </c>
      <c r="H12" s="168">
        <v>12220.556410256409</v>
      </c>
      <c r="I12" s="168">
        <v>10069</v>
      </c>
      <c r="J12" s="105">
        <v>10196.24</v>
      </c>
      <c r="K12" s="105">
        <v>10526.310526315789</v>
      </c>
      <c r="L12" s="105">
        <v>11042.514492753624</v>
      </c>
      <c r="M12" s="105">
        <v>10050.210256410257</v>
      </c>
      <c r="N12" s="87"/>
      <c r="P12" s="176"/>
    </row>
    <row r="13" spans="1:21" s="89" customFormat="1" ht="21" customHeight="1">
      <c r="A13" s="103" t="s">
        <v>150</v>
      </c>
      <c r="B13" s="177"/>
      <c r="C13" s="178" t="s">
        <v>207</v>
      </c>
      <c r="D13" s="202">
        <f>'Level 0'!G73</f>
        <v>8</v>
      </c>
      <c r="E13" s="178"/>
      <c r="F13" s="175">
        <v>13.68</v>
      </c>
      <c r="G13" s="179">
        <v>9</v>
      </c>
      <c r="H13" s="197">
        <f>(2066905+2326356.65+2429874)/3/304555</f>
        <v>7.4678746039303254</v>
      </c>
      <c r="I13" s="180">
        <v>13.681366807557163</v>
      </c>
      <c r="J13" s="106">
        <v>10.5</v>
      </c>
      <c r="K13" s="106">
        <v>12.00755801444598</v>
      </c>
      <c r="L13" s="107">
        <v>13.483701335263834</v>
      </c>
      <c r="M13" s="106">
        <v>21.389000664746291</v>
      </c>
      <c r="N13" s="87"/>
    </row>
    <row r="14" spans="1:21" s="89" customFormat="1" ht="21" customHeight="1">
      <c r="A14" s="103" t="s">
        <v>54</v>
      </c>
      <c r="C14" s="91" t="s">
        <v>208</v>
      </c>
      <c r="D14" s="203">
        <f>'Level 0'!G15</f>
        <v>11.99</v>
      </c>
      <c r="E14" s="91"/>
      <c r="F14" s="188">
        <v>14.719437058174979</v>
      </c>
      <c r="G14" s="193">
        <v>10.385551819843402</v>
      </c>
      <c r="H14" s="197">
        <v>10.97520850262225</v>
      </c>
      <c r="I14" s="180">
        <v>11.11</v>
      </c>
      <c r="J14" s="106">
        <v>16.778815751652775</v>
      </c>
      <c r="K14" s="106">
        <v>11.989966555183946</v>
      </c>
      <c r="L14" s="106">
        <v>15.882902522578636</v>
      </c>
      <c r="M14" s="106">
        <v>16.06089511654935</v>
      </c>
      <c r="N14" s="87"/>
    </row>
    <row r="15" spans="1:21" s="89" customFormat="1" ht="21" customHeight="1">
      <c r="A15" s="103" t="s">
        <v>209</v>
      </c>
      <c r="C15" s="91" t="s">
        <v>210</v>
      </c>
      <c r="D15" s="206">
        <f>'Level 0'!G42</f>
        <v>3489</v>
      </c>
      <c r="E15" s="91"/>
      <c r="F15" s="181">
        <v>3663</v>
      </c>
      <c r="G15" s="181">
        <v>3361</v>
      </c>
      <c r="H15" s="181">
        <v>3328.1895463917531</v>
      </c>
      <c r="I15" s="168">
        <v>3169.7043298969074</v>
      </c>
      <c r="J15" s="168">
        <v>3064.4850000000001</v>
      </c>
      <c r="K15" s="168">
        <v>3488.5</v>
      </c>
      <c r="L15" s="105">
        <v>3454.478260869565</v>
      </c>
      <c r="M15" s="105">
        <v>3201.4974358974359</v>
      </c>
      <c r="N15" s="87"/>
    </row>
    <row r="16" spans="1:21" s="89" customFormat="1" ht="21" customHeight="1">
      <c r="A16" s="103" t="s">
        <v>107</v>
      </c>
      <c r="C16" s="91" t="s">
        <v>211</v>
      </c>
      <c r="D16" s="206">
        <f>'Level 0'!G44</f>
        <v>3500</v>
      </c>
      <c r="E16" s="91"/>
      <c r="F16" s="181">
        <v>3318</v>
      </c>
      <c r="G16" s="181">
        <v>2593</v>
      </c>
      <c r="H16" s="194">
        <v>3451.3189743589742</v>
      </c>
      <c r="I16" s="168">
        <v>4150.2474226804125</v>
      </c>
      <c r="J16" s="168">
        <v>1985.2</v>
      </c>
      <c r="K16" s="168">
        <v>3778.0052631578947</v>
      </c>
      <c r="L16" s="105">
        <v>3705.427536231884</v>
      </c>
      <c r="M16" s="105">
        <v>3113.7333333333331</v>
      </c>
      <c r="N16" s="87"/>
      <c r="R16" s="176"/>
    </row>
    <row r="17" spans="1:22" s="89" customFormat="1" ht="21" customHeight="1">
      <c r="A17" s="103" t="s">
        <v>78</v>
      </c>
      <c r="C17" s="91" t="s">
        <v>211</v>
      </c>
      <c r="D17" s="206">
        <f>'Level 0'!G26</f>
        <v>2621</v>
      </c>
      <c r="E17" s="91"/>
      <c r="F17" s="191">
        <v>3213.0526315789475</v>
      </c>
      <c r="G17" s="181">
        <v>3531</v>
      </c>
      <c r="H17" s="194">
        <v>2621</v>
      </c>
      <c r="I17" s="105">
        <v>2607.1546391752577</v>
      </c>
      <c r="J17" s="105">
        <v>2710.9004975124376</v>
      </c>
      <c r="K17" s="104">
        <v>3210.0359473684207</v>
      </c>
      <c r="L17" s="104">
        <v>2983.358695652174</v>
      </c>
      <c r="M17" s="104">
        <v>3081.2324102564098</v>
      </c>
      <c r="N17" s="87"/>
      <c r="S17" s="170"/>
      <c r="T17" s="170"/>
      <c r="U17" s="170"/>
      <c r="V17" s="170"/>
    </row>
    <row r="18" spans="1:22" s="89" customFormat="1" ht="21" customHeight="1">
      <c r="A18" s="103" t="s">
        <v>84</v>
      </c>
      <c r="C18" s="91" t="s">
        <v>204</v>
      </c>
      <c r="D18" s="203">
        <f>'Level 0'!G29</f>
        <v>2.4500000000000002</v>
      </c>
      <c r="E18" s="91"/>
      <c r="F18" s="188">
        <v>2.6960005020290341</v>
      </c>
      <c r="G18" s="193">
        <v>2.3587573192560907</v>
      </c>
      <c r="H18" s="196">
        <v>2.3176239544760846</v>
      </c>
      <c r="I18" s="161">
        <v>2.5</v>
      </c>
      <c r="J18" s="161">
        <v>2.5423112713737348</v>
      </c>
      <c r="K18" s="161">
        <v>2.6983715080100623</v>
      </c>
      <c r="L18" s="161">
        <v>2.2715182087566053</v>
      </c>
      <c r="M18" s="161">
        <v>2.5011406348447651</v>
      </c>
      <c r="N18" s="87"/>
    </row>
    <row r="19" spans="1:22" s="89" customFormat="1" ht="21" customHeight="1">
      <c r="A19" s="103" t="s">
        <v>23</v>
      </c>
      <c r="C19" s="91" t="s">
        <v>212</v>
      </c>
      <c r="D19" s="205">
        <f>'Level 0'!G36</f>
        <v>40</v>
      </c>
      <c r="E19" s="91"/>
      <c r="F19" s="188">
        <v>55.094999466894123</v>
      </c>
      <c r="G19" s="193">
        <v>39.624942379415835</v>
      </c>
      <c r="H19" s="196">
        <v>40.060754270861118</v>
      </c>
      <c r="I19" s="106">
        <v>39.836808110538797</v>
      </c>
      <c r="J19" s="106">
        <v>39.371015724606885</v>
      </c>
      <c r="K19" s="106">
        <v>40.818673883626523</v>
      </c>
      <c r="L19" s="106">
        <v>42.234691987031034</v>
      </c>
      <c r="M19" s="106">
        <v>46.688382082225402</v>
      </c>
      <c r="N19" s="87"/>
    </row>
    <row r="20" spans="1:22" s="89" customFormat="1" ht="21" customHeight="1">
      <c r="A20" s="103" t="s">
        <v>121</v>
      </c>
      <c r="C20" s="91" t="s">
        <v>204</v>
      </c>
      <c r="D20" s="203">
        <f>'Level 0'!G53</f>
        <v>2.65</v>
      </c>
      <c r="E20" s="91"/>
      <c r="F20" s="188">
        <v>3.373990712462871</v>
      </c>
      <c r="G20" s="193">
        <v>3.1224229185456092</v>
      </c>
      <c r="H20" s="161">
        <v>2.5314041667159608</v>
      </c>
      <c r="I20" s="160">
        <v>2.65</v>
      </c>
      <c r="J20" s="106">
        <v>3.2147842270559499</v>
      </c>
      <c r="K20" s="106">
        <v>2.4530650072818747</v>
      </c>
      <c r="L20" s="106">
        <v>2.94</v>
      </c>
      <c r="M20" s="106">
        <v>2.4480196406457102</v>
      </c>
      <c r="N20" s="87"/>
    </row>
    <row r="21" spans="1:22" s="89" customFormat="1" ht="21" customHeight="1">
      <c r="A21" s="103" t="s">
        <v>19</v>
      </c>
      <c r="C21" s="91" t="s">
        <v>213</v>
      </c>
      <c r="D21" s="205">
        <f>'Level 0'!G30</f>
        <v>550</v>
      </c>
      <c r="E21" s="91"/>
      <c r="F21" s="188">
        <v>697.17311233885823</v>
      </c>
      <c r="G21" s="195">
        <v>504.64069062062526</v>
      </c>
      <c r="H21" s="198">
        <v>507.25165484811487</v>
      </c>
      <c r="I21" s="160">
        <v>596</v>
      </c>
      <c r="J21" s="105">
        <v>491.39688696603508</v>
      </c>
      <c r="K21" s="105">
        <v>603.39840194194392</v>
      </c>
      <c r="L21" s="105">
        <v>598.38652482269504</v>
      </c>
      <c r="M21" s="105">
        <v>535.74239713774602</v>
      </c>
      <c r="N21" s="87"/>
    </row>
    <row r="22" spans="1:22" s="89" customFormat="1" ht="21" customHeight="1">
      <c r="A22" s="103" t="s">
        <v>100</v>
      </c>
      <c r="C22" s="91" t="s">
        <v>204</v>
      </c>
      <c r="D22" s="202">
        <f>'Level 0'!G39</f>
        <v>1.9</v>
      </c>
      <c r="E22" s="91"/>
      <c r="F22" s="175">
        <v>1.92</v>
      </c>
      <c r="G22" s="193">
        <v>2.5351255340333343</v>
      </c>
      <c r="H22" s="196">
        <v>1.7784199131638412</v>
      </c>
      <c r="I22" s="160">
        <v>1.58</v>
      </c>
      <c r="J22" s="106">
        <v>2.053361637780621</v>
      </c>
      <c r="K22" s="106">
        <v>1.8370925460082086</v>
      </c>
      <c r="L22" s="106">
        <v>2.0978638463145352</v>
      </c>
      <c r="M22" s="106">
        <v>1.9319964368740088</v>
      </c>
      <c r="N22" s="87"/>
    </row>
    <row r="23" spans="1:22" s="89" customFormat="1" ht="21" customHeight="1">
      <c r="A23" s="103" t="s">
        <v>58</v>
      </c>
      <c r="C23" s="91" t="s">
        <v>214</v>
      </c>
      <c r="D23" s="203">
        <f>'Level 0'!G16</f>
        <v>2.6</v>
      </c>
      <c r="E23" s="91"/>
      <c r="F23" s="188">
        <v>2.6618085753721488</v>
      </c>
      <c r="G23" s="193">
        <v>2.66</v>
      </c>
      <c r="H23" s="196">
        <v>2.4969183565077508</v>
      </c>
      <c r="I23" s="160">
        <v>2.8</v>
      </c>
      <c r="J23" s="106">
        <v>2.9324030537438697</v>
      </c>
      <c r="K23" s="106">
        <v>2.9421303874469915</v>
      </c>
      <c r="L23" s="106">
        <v>1.2965677535227078</v>
      </c>
      <c r="M23" s="106">
        <v>1.1000000000000001</v>
      </c>
      <c r="N23" s="87"/>
    </row>
    <row r="24" spans="1:22" s="89" customFormat="1" ht="21" customHeight="1">
      <c r="A24" s="103" t="s">
        <v>139</v>
      </c>
      <c r="C24" s="91" t="s">
        <v>204</v>
      </c>
      <c r="D24" s="203">
        <f>'Level 0'!G66</f>
        <v>1.65</v>
      </c>
      <c r="E24" s="91"/>
      <c r="F24" s="188">
        <v>1.6117223779441912</v>
      </c>
      <c r="G24" s="193">
        <v>1.304296261973517</v>
      </c>
      <c r="H24" s="161">
        <v>2.0881383068920778</v>
      </c>
      <c r="I24" s="161">
        <v>1.3350213206038035</v>
      </c>
      <c r="J24" s="106">
        <v>1.9774339886006747</v>
      </c>
      <c r="K24" s="106">
        <v>1.6733483384085794</v>
      </c>
      <c r="L24" s="106">
        <v>1.94</v>
      </c>
      <c r="M24" s="106">
        <v>1.5534360266799923</v>
      </c>
      <c r="N24" s="87"/>
    </row>
    <row r="25" spans="1:22" s="89" customFormat="1" ht="21" customHeight="1">
      <c r="A25" s="103" t="s">
        <v>98</v>
      </c>
      <c r="C25" s="91" t="s">
        <v>215</v>
      </c>
      <c r="D25" s="202">
        <f>'Level 0'!G38</f>
        <v>19.349999999999998</v>
      </c>
      <c r="E25" s="91"/>
      <c r="F25" s="192">
        <v>26.640865650422558</v>
      </c>
      <c r="G25" s="175">
        <v>17.099999999999998</v>
      </c>
      <c r="H25" s="175">
        <v>20</v>
      </c>
      <c r="I25" s="182">
        <v>22.5</v>
      </c>
      <c r="J25" s="182">
        <v>24.63</v>
      </c>
      <c r="K25" s="180">
        <v>20.97</v>
      </c>
      <c r="L25" s="106">
        <v>18.7547692208889</v>
      </c>
      <c r="M25" s="106">
        <v>16.261535681798357</v>
      </c>
      <c r="N25" s="87"/>
    </row>
    <row r="26" spans="1:22" s="89" customFormat="1" ht="21" customHeight="1">
      <c r="A26" s="103" t="s">
        <v>109</v>
      </c>
      <c r="C26" s="91" t="s">
        <v>211</v>
      </c>
      <c r="D26" s="206">
        <f>'Level 0'!G45</f>
        <v>1868</v>
      </c>
      <c r="E26" s="91"/>
      <c r="F26" s="181">
        <v>1532</v>
      </c>
      <c r="G26" s="181">
        <v>1545</v>
      </c>
      <c r="H26" s="181">
        <v>1868.4432989690722</v>
      </c>
      <c r="I26" s="168">
        <v>1868.4432989690722</v>
      </c>
      <c r="J26" s="168">
        <v>1100</v>
      </c>
      <c r="K26" s="168">
        <v>1724</v>
      </c>
      <c r="L26" s="168">
        <v>1551.7282608695652</v>
      </c>
      <c r="M26" s="105">
        <v>1600.251282051282</v>
      </c>
      <c r="N26" s="87"/>
    </row>
    <row r="27" spans="1:22" s="89" customFormat="1" ht="21" customHeight="1">
      <c r="A27" s="103" t="s">
        <v>216</v>
      </c>
      <c r="C27" s="91" t="s">
        <v>211</v>
      </c>
      <c r="D27" s="206">
        <f>'Level 0'!G33</f>
        <v>1400</v>
      </c>
      <c r="E27" s="91"/>
      <c r="F27" s="181">
        <v>1450</v>
      </c>
      <c r="G27" s="181">
        <v>1550</v>
      </c>
      <c r="H27" s="199">
        <v>1259.8212948717949</v>
      </c>
      <c r="I27" s="105">
        <v>1335.8659793814434</v>
      </c>
      <c r="J27" s="105">
        <v>1300.6084000000001</v>
      </c>
      <c r="K27" s="105">
        <v>1157.8947368421052</v>
      </c>
      <c r="L27" s="105">
        <v>1408.8260869565217</v>
      </c>
      <c r="M27" s="105">
        <v>739.27143589743582</v>
      </c>
      <c r="N27" s="87"/>
    </row>
    <row r="28" spans="1:22" s="89" customFormat="1" ht="21" customHeight="1">
      <c r="A28" s="103" t="s">
        <v>113</v>
      </c>
      <c r="C28" s="91" t="s">
        <v>217</v>
      </c>
      <c r="D28" s="206">
        <f>'Level 0'!G48</f>
        <v>260000</v>
      </c>
      <c r="E28" s="91"/>
      <c r="F28" s="181">
        <v>257146.66666666666</v>
      </c>
      <c r="G28" s="191">
        <v>257146.66666666666</v>
      </c>
      <c r="H28" s="191">
        <v>253813.33333333334</v>
      </c>
      <c r="I28" s="104">
        <v>249085</v>
      </c>
      <c r="J28" s="104" t="s">
        <v>218</v>
      </c>
      <c r="K28" s="105">
        <v>245000</v>
      </c>
      <c r="L28" s="105">
        <v>228710</v>
      </c>
      <c r="M28" s="105">
        <v>208310</v>
      </c>
      <c r="N28" s="87"/>
    </row>
    <row r="29" spans="1:22" s="89" customFormat="1" ht="21" customHeight="1" thickBot="1">
      <c r="A29" s="183" t="s">
        <v>219</v>
      </c>
      <c r="C29" s="91" t="s">
        <v>220</v>
      </c>
      <c r="D29" s="207">
        <f>'Level 0'!E54</f>
        <v>125000</v>
      </c>
      <c r="E29" s="91"/>
      <c r="F29" s="184">
        <v>125000</v>
      </c>
      <c r="G29" s="184">
        <v>125000</v>
      </c>
      <c r="H29" s="185" t="s">
        <v>218</v>
      </c>
      <c r="I29" s="186">
        <v>103700</v>
      </c>
      <c r="J29" s="185" t="s">
        <v>218</v>
      </c>
      <c r="K29" s="186">
        <v>133300</v>
      </c>
      <c r="L29" s="186">
        <v>160560</v>
      </c>
      <c r="M29" s="186">
        <v>120800</v>
      </c>
      <c r="N29" s="87"/>
    </row>
    <row r="30" spans="1:22" s="89" customFormat="1" ht="21" customHeight="1">
      <c r="A30" s="108" t="s">
        <v>189</v>
      </c>
      <c r="C30" s="91"/>
      <c r="D30" s="201"/>
      <c r="E30" s="91"/>
      <c r="F30" s="86"/>
      <c r="G30" s="86"/>
      <c r="H30" s="86"/>
      <c r="I30" s="86"/>
      <c r="J30" s="109"/>
      <c r="K30" s="109"/>
      <c r="L30" s="109"/>
      <c r="M30" s="109"/>
      <c r="N30" s="87"/>
    </row>
    <row r="32" spans="1:22" s="87" customFormat="1">
      <c r="A32" s="86"/>
      <c r="B32" s="86"/>
      <c r="D32" s="201"/>
      <c r="F32" s="86"/>
      <c r="G32" s="86"/>
      <c r="H32" s="86"/>
      <c r="I32" s="86"/>
      <c r="O32" s="86"/>
      <c r="P32" s="86"/>
    </row>
    <row r="33" spans="1:16" s="87" customFormat="1">
      <c r="A33" s="86"/>
      <c r="B33" s="86"/>
      <c r="D33" s="201"/>
      <c r="F33" s="86"/>
      <c r="G33" s="86"/>
      <c r="H33" s="86"/>
      <c r="I33" s="86"/>
      <c r="O33" s="86"/>
      <c r="P33" s="86"/>
    </row>
    <row r="34" spans="1:16" s="87" customFormat="1">
      <c r="A34" s="86"/>
      <c r="B34" s="86"/>
      <c r="D34" s="201"/>
      <c r="F34" s="86"/>
      <c r="G34" s="86"/>
      <c r="H34" s="86"/>
      <c r="I34" s="86"/>
      <c r="L34" s="187"/>
      <c r="O34" s="86"/>
      <c r="P34" s="86"/>
    </row>
  </sheetData>
  <printOptions horizontalCentered="1"/>
  <pageMargins left="0.2" right="0.2" top="0.75" bottom="0.25" header="0.15" footer="0"/>
  <pageSetup paperSize="3" scale="98" orientation="landscape" horizontalDpi="1200" verticalDpi="1200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98B6-9BBE-4956-96A5-A5A8E9536A18}">
  <sheetPr>
    <pageSetUpPr fitToPage="1"/>
  </sheetPr>
  <dimension ref="A4:U95"/>
  <sheetViews>
    <sheetView showGridLines="0" workbookViewId="0">
      <pane xSplit="2" ySplit="5" topLeftCell="C81" activePane="bottomRight" state="frozen"/>
      <selection pane="bottomRight" activeCell="L105" sqref="L105"/>
      <selection pane="bottomLeft" activeCell="A6" sqref="A6"/>
      <selection pane="topRight" activeCell="C1" sqref="C1"/>
    </sheetView>
  </sheetViews>
  <sheetFormatPr defaultRowHeight="14.45"/>
  <cols>
    <col min="1" max="1" width="30.7109375" customWidth="1"/>
    <col min="2" max="2" width="1" customWidth="1"/>
    <col min="3" max="3" width="14.28515625" bestFit="1" customWidth="1"/>
    <col min="4" max="5" width="9.42578125" customWidth="1"/>
    <col min="6" max="6" width="1" customWidth="1"/>
    <col min="7" max="7" width="14.28515625" hidden="1" customWidth="1"/>
    <col min="8" max="9" width="9.42578125" hidden="1" customWidth="1"/>
    <col min="10" max="10" width="1" customWidth="1"/>
    <col min="11" max="11" width="11.7109375" bestFit="1" customWidth="1"/>
    <col min="12" max="13" width="9.42578125" customWidth="1"/>
    <col min="14" max="14" width="1" customWidth="1"/>
    <col min="15" max="15" width="10.140625" bestFit="1" customWidth="1"/>
    <col min="16" max="16" width="10.5703125" customWidth="1"/>
    <col min="17" max="17" width="6.5703125" bestFit="1" customWidth="1"/>
    <col min="18" max="18" width="1" customWidth="1"/>
    <col min="19" max="19" width="13.7109375" hidden="1" customWidth="1"/>
    <col min="20" max="20" width="1" hidden="1" customWidth="1"/>
    <col min="21" max="21" width="33.5703125" hidden="1" customWidth="1"/>
  </cols>
  <sheetData>
    <row r="4" spans="1:19">
      <c r="C4" s="115" t="str">
        <f>'Level 0'!B2</f>
        <v>Windmill</v>
      </c>
      <c r="D4" s="115">
        <f>'Level 0'!D7</f>
        <v>320</v>
      </c>
      <c r="E4" s="116">
        <f>'Level 0'!B6</f>
        <v>316920</v>
      </c>
      <c r="G4" s="163" t="s">
        <v>191</v>
      </c>
      <c r="H4" s="163">
        <v>190</v>
      </c>
      <c r="I4" s="164">
        <v>191224</v>
      </c>
      <c r="K4" s="110" t="s">
        <v>221</v>
      </c>
      <c r="L4" s="110">
        <v>194</v>
      </c>
      <c r="M4" s="111">
        <v>196289</v>
      </c>
      <c r="O4" s="118" t="s">
        <v>222</v>
      </c>
      <c r="P4" s="118"/>
      <c r="Q4" s="118"/>
    </row>
    <row r="5" spans="1:19">
      <c r="A5" s="43" t="s">
        <v>35</v>
      </c>
      <c r="C5" s="44" t="s">
        <v>43</v>
      </c>
      <c r="D5" s="44" t="s">
        <v>205</v>
      </c>
      <c r="E5" s="44" t="s">
        <v>223</v>
      </c>
      <c r="G5" s="44" t="s">
        <v>43</v>
      </c>
      <c r="H5" s="44" t="s">
        <v>205</v>
      </c>
      <c r="I5" s="44" t="s">
        <v>223</v>
      </c>
      <c r="K5" s="44" t="s">
        <v>43</v>
      </c>
      <c r="L5" s="44" t="s">
        <v>205</v>
      </c>
      <c r="M5" s="44" t="s">
        <v>223</v>
      </c>
      <c r="O5" s="119" t="s">
        <v>43</v>
      </c>
      <c r="P5" s="119" t="s">
        <v>205</v>
      </c>
      <c r="Q5" s="119" t="s">
        <v>223</v>
      </c>
      <c r="S5" s="126" t="s">
        <v>224</v>
      </c>
    </row>
    <row r="6" spans="1:19">
      <c r="A6" s="46" t="s">
        <v>46</v>
      </c>
      <c r="C6" s="49">
        <f>VLOOKUP(A6,'Level 0'!$A$12:$I$102,9,FALSE)</f>
        <v>2817177.3187853633</v>
      </c>
      <c r="D6" s="49">
        <f>C6/$D$4</f>
        <v>8803.6791212042608</v>
      </c>
      <c r="E6" s="48">
        <f>C6/$E$4</f>
        <v>8.8892380373134028</v>
      </c>
      <c r="G6" s="49">
        <v>1639003.2991789686</v>
      </c>
      <c r="H6" s="49">
        <f t="shared" ref="H6:H37" si="0">G6/$H$4</f>
        <v>8626.3331535735197</v>
      </c>
      <c r="I6" s="48">
        <f t="shared" ref="I6:I37" si="1">G6/$I$4</f>
        <v>8.5711171148965022</v>
      </c>
      <c r="K6" s="48">
        <v>1692096</v>
      </c>
      <c r="L6" s="49">
        <f t="shared" ref="L6:L37" si="2">K6/$L$4</f>
        <v>8722.1443298969079</v>
      </c>
      <c r="M6" s="48">
        <f t="shared" ref="M6:M37" si="3">K6/$M$4</f>
        <v>8.6204321179485355</v>
      </c>
      <c r="O6" s="120">
        <f t="shared" ref="O6:O37" si="4">C6-K6</f>
        <v>1125081.3187853633</v>
      </c>
      <c r="P6" s="120">
        <f>L6-D6</f>
        <v>-81.534791307352862</v>
      </c>
      <c r="Q6" s="121">
        <f t="shared" ref="Q6:Q37" si="5">E6-M6</f>
        <v>0.26880591936486731</v>
      </c>
    </row>
    <row r="7" spans="1:19">
      <c r="A7" s="50" t="s">
        <v>49</v>
      </c>
      <c r="C7" s="56">
        <f>VLOOKUP(A7,'Level 0'!$A$12:$I$102,9,FALSE)</f>
        <v>8000</v>
      </c>
      <c r="D7" s="56">
        <f t="shared" ref="D7:D74" si="6">C7/$D$4</f>
        <v>25</v>
      </c>
      <c r="E7" s="55">
        <f t="shared" ref="E7:E74" si="7">C7/$E$4</f>
        <v>2.5242963523917708E-2</v>
      </c>
      <c r="G7" s="56">
        <v>16000</v>
      </c>
      <c r="H7" s="56">
        <f t="shared" si="0"/>
        <v>84.21052631578948</v>
      </c>
      <c r="I7" s="55">
        <f t="shared" si="1"/>
        <v>8.3671505668744511E-2</v>
      </c>
      <c r="K7" s="56">
        <v>3500</v>
      </c>
      <c r="L7" s="56">
        <f t="shared" si="2"/>
        <v>18.041237113402062</v>
      </c>
      <c r="M7" s="55">
        <f t="shared" si="3"/>
        <v>1.7830851448629316E-2</v>
      </c>
      <c r="O7" s="122">
        <f t="shared" si="4"/>
        <v>4500</v>
      </c>
      <c r="P7" s="122">
        <f t="shared" ref="P7:P67" si="8">L7-D7</f>
        <v>-6.9587628865979383</v>
      </c>
      <c r="Q7" s="123">
        <f t="shared" si="5"/>
        <v>7.4121120752883921E-3</v>
      </c>
    </row>
    <row r="8" spans="1:19">
      <c r="A8" s="50" t="s">
        <v>52</v>
      </c>
      <c r="C8" s="56">
        <f>VLOOKUP(A8,'Level 0'!$A$12:$I$102,9,FALSE)</f>
        <v>1672110.7344</v>
      </c>
      <c r="D8" s="56">
        <f t="shared" si="6"/>
        <v>5225.3460450000002</v>
      </c>
      <c r="E8" s="55">
        <f t="shared" si="7"/>
        <v>5.2761287845513065</v>
      </c>
      <c r="G8" s="56">
        <v>1055314.8999999999</v>
      </c>
      <c r="H8" s="56">
        <f t="shared" si="0"/>
        <v>5554.2889473684208</v>
      </c>
      <c r="I8" s="55">
        <f t="shared" si="1"/>
        <v>5.5187366648537832</v>
      </c>
      <c r="K8" s="56">
        <v>1089279.82</v>
      </c>
      <c r="L8" s="56">
        <f t="shared" si="2"/>
        <v>5614.8444329896911</v>
      </c>
      <c r="M8" s="55">
        <f t="shared" si="3"/>
        <v>5.5493676161170526</v>
      </c>
      <c r="O8" s="122">
        <f t="shared" si="4"/>
        <v>582830.91439999989</v>
      </c>
      <c r="P8" s="122">
        <f t="shared" si="8"/>
        <v>389.49838798969085</v>
      </c>
      <c r="Q8" s="123">
        <f t="shared" si="5"/>
        <v>-0.27323883156574613</v>
      </c>
    </row>
    <row r="9" spans="1:19">
      <c r="A9" s="58" t="s">
        <v>54</v>
      </c>
      <c r="C9" s="64">
        <f>VLOOKUP(A9,'Level 0'!$A$12:$I$102,8,FALSE)</f>
        <v>916911.27</v>
      </c>
      <c r="D9" s="64">
        <f t="shared" si="6"/>
        <v>2865.3477187500002</v>
      </c>
      <c r="E9" s="63">
        <f>C9/$E$4</f>
        <v>2.8931947179098825</v>
      </c>
      <c r="G9" s="64">
        <v>563410.1</v>
      </c>
      <c r="H9" s="64">
        <f t="shared" si="0"/>
        <v>2965.3163157894737</v>
      </c>
      <c r="I9" s="63">
        <f t="shared" si="1"/>
        <v>2.9463357109986195</v>
      </c>
      <c r="K9" s="64">
        <v>576982.78</v>
      </c>
      <c r="L9" s="64">
        <f t="shared" si="2"/>
        <v>2974.1380412371136</v>
      </c>
      <c r="M9" s="156">
        <f t="shared" si="3"/>
        <v>2.939455496742049</v>
      </c>
      <c r="O9" s="64">
        <f t="shared" si="4"/>
        <v>339928.49</v>
      </c>
      <c r="P9" s="64">
        <f t="shared" si="8"/>
        <v>108.79032248711337</v>
      </c>
      <c r="Q9" s="63">
        <f t="shared" si="5"/>
        <v>-4.6260778832166505E-2</v>
      </c>
    </row>
    <row r="10" spans="1:19">
      <c r="A10" s="58" t="s">
        <v>58</v>
      </c>
      <c r="C10" s="64">
        <f>VLOOKUP(A10,'Level 0'!$A$12:$I$102,8,FALSE)</f>
        <v>612585.46440000006</v>
      </c>
      <c r="D10" s="64">
        <f t="shared" si="6"/>
        <v>1914.3295762500002</v>
      </c>
      <c r="E10" s="63">
        <f t="shared" si="7"/>
        <v>1.9329340666414239</v>
      </c>
      <c r="G10" s="64">
        <v>377386.8</v>
      </c>
      <c r="H10" s="64">
        <f t="shared" si="0"/>
        <v>1986.2463157894736</v>
      </c>
      <c r="I10" s="63">
        <f t="shared" si="1"/>
        <v>1.9735326109693343</v>
      </c>
      <c r="K10" s="64">
        <v>432915</v>
      </c>
      <c r="L10" s="64">
        <f t="shared" si="2"/>
        <v>2231.5206185567008</v>
      </c>
      <c r="M10" s="63">
        <f t="shared" si="3"/>
        <v>2.20549801568096</v>
      </c>
      <c r="O10" s="64">
        <f t="shared" si="4"/>
        <v>179670.46440000006</v>
      </c>
      <c r="P10" s="64">
        <f t="shared" si="8"/>
        <v>317.19104230670064</v>
      </c>
      <c r="Q10" s="63">
        <f t="shared" si="5"/>
        <v>-0.27256394903953618</v>
      </c>
    </row>
    <row r="11" spans="1:19">
      <c r="A11" s="58" t="s">
        <v>60</v>
      </c>
      <c r="C11" s="64">
        <f>C8-C9-C10</f>
        <v>142613.99999999988</v>
      </c>
      <c r="D11" s="64">
        <f t="shared" si="6"/>
        <v>445.66874999999965</v>
      </c>
      <c r="E11" s="63">
        <f t="shared" si="7"/>
        <v>0.44999999999999962</v>
      </c>
      <c r="G11" s="64">
        <f>G8-G9-G10</f>
        <v>114517.99999999994</v>
      </c>
      <c r="H11" s="64">
        <f t="shared" si="0"/>
        <v>602.72631578947335</v>
      </c>
      <c r="I11" s="63">
        <f t="shared" si="1"/>
        <v>0.59886834288582991</v>
      </c>
      <c r="K11" s="64">
        <f>K8-K9-K10</f>
        <v>79382.040000000037</v>
      </c>
      <c r="L11" s="64">
        <f t="shared" si="2"/>
        <v>409.18577319587649</v>
      </c>
      <c r="M11" s="63">
        <f t="shared" si="3"/>
        <v>0.40441410369404318</v>
      </c>
      <c r="O11" s="64">
        <f t="shared" si="4"/>
        <v>63231.959999999846</v>
      </c>
      <c r="P11" s="64">
        <f t="shared" si="8"/>
        <v>-36.482976804123155</v>
      </c>
      <c r="Q11" s="63">
        <f t="shared" si="5"/>
        <v>4.5585896305956441E-2</v>
      </c>
    </row>
    <row r="12" spans="1:19">
      <c r="A12" s="50" t="s">
        <v>61</v>
      </c>
      <c r="C12" s="56">
        <f>VLOOKUP(A12,'Level 0'!$A$12:$I$102,9,FALSE)</f>
        <v>120000</v>
      </c>
      <c r="D12" s="56">
        <f t="shared" si="6"/>
        <v>375</v>
      </c>
      <c r="E12" s="55">
        <f t="shared" si="7"/>
        <v>0.37864445285876563</v>
      </c>
      <c r="G12" s="56">
        <v>130500</v>
      </c>
      <c r="H12" s="56">
        <f t="shared" si="0"/>
        <v>686.84210526315792</v>
      </c>
      <c r="I12" s="55">
        <f t="shared" si="1"/>
        <v>0.68244571811069743</v>
      </c>
      <c r="K12" s="56">
        <v>112800</v>
      </c>
      <c r="L12" s="56">
        <f t="shared" si="2"/>
        <v>581.4432989690722</v>
      </c>
      <c r="M12" s="55">
        <f t="shared" si="3"/>
        <v>0.57466286954439627</v>
      </c>
      <c r="O12" s="122">
        <f t="shared" si="4"/>
        <v>7200</v>
      </c>
      <c r="P12" s="122">
        <f t="shared" si="8"/>
        <v>206.4432989690722</v>
      </c>
      <c r="Q12" s="123">
        <f t="shared" si="5"/>
        <v>-0.19601841668563064</v>
      </c>
    </row>
    <row r="13" spans="1:19">
      <c r="A13" s="50" t="s">
        <v>64</v>
      </c>
      <c r="C13" s="56">
        <f>VLOOKUP(A13,'Level 0'!$A$12:$I$102,9,FALSE)</f>
        <v>473612.79999999999</v>
      </c>
      <c r="D13" s="56">
        <f t="shared" si="6"/>
        <v>1480.04</v>
      </c>
      <c r="E13" s="55">
        <f t="shared" si="7"/>
        <v>1.4944238293575665</v>
      </c>
      <c r="G13" s="56">
        <v>418954</v>
      </c>
      <c r="H13" s="56">
        <f t="shared" si="0"/>
        <v>2205.0210526315791</v>
      </c>
      <c r="I13" s="55">
        <f t="shared" si="1"/>
        <v>2.1909069991214492</v>
      </c>
      <c r="K13" s="56">
        <v>325412.12789407256</v>
      </c>
      <c r="L13" s="56">
        <f t="shared" si="2"/>
        <v>1677.3821025467657</v>
      </c>
      <c r="M13" s="55">
        <f t="shared" si="3"/>
        <v>1.6578215177318778</v>
      </c>
      <c r="O13" s="122">
        <f t="shared" si="4"/>
        <v>148200.67210592743</v>
      </c>
      <c r="P13" s="122">
        <f t="shared" si="8"/>
        <v>197.34210254676577</v>
      </c>
      <c r="Q13" s="123">
        <f t="shared" si="5"/>
        <v>-0.16339768837431135</v>
      </c>
    </row>
    <row r="14" spans="1:19">
      <c r="A14" s="58" t="s">
        <v>66</v>
      </c>
      <c r="C14" s="64">
        <f>VLOOKUP(A14,'Level 0'!$A$12:$I$102,8,FALSE)</f>
        <v>250000</v>
      </c>
      <c r="D14" s="64">
        <f>C14/$D$4</f>
        <v>781.25</v>
      </c>
      <c r="E14" s="63">
        <f t="shared" ref="E14:E17" si="9">C14/$E$4</f>
        <v>0.7888426101224284</v>
      </c>
      <c r="G14" s="64">
        <v>130000</v>
      </c>
      <c r="H14" s="64">
        <f t="shared" si="0"/>
        <v>684.21052631578948</v>
      </c>
      <c r="I14" s="63">
        <f t="shared" si="1"/>
        <v>0.6798309835585491</v>
      </c>
      <c r="K14" s="64">
        <v>112826.12789407259</v>
      </c>
      <c r="L14" s="64">
        <f t="shared" si="2"/>
        <v>581.57797883542571</v>
      </c>
      <c r="M14" s="63">
        <f t="shared" si="3"/>
        <v>0.57479597885807454</v>
      </c>
      <c r="O14" s="64">
        <f t="shared" si="4"/>
        <v>137173.87210592741</v>
      </c>
      <c r="P14" s="64">
        <f t="shared" si="8"/>
        <v>-199.67202116457429</v>
      </c>
      <c r="Q14" s="63">
        <f t="shared" si="5"/>
        <v>0.21404663126435386</v>
      </c>
    </row>
    <row r="15" spans="1:19">
      <c r="A15" s="58" t="s">
        <v>68</v>
      </c>
      <c r="C15" s="64">
        <f>VLOOKUP(A15,'Level 0'!$A$12:$I$102,8,FALSE)</f>
        <v>67500</v>
      </c>
      <c r="D15" s="64">
        <f>C15/$D$4</f>
        <v>210.9375</v>
      </c>
      <c r="E15" s="63">
        <f t="shared" ref="E15:E16" si="10">C15/$E$4</f>
        <v>0.21298750473305567</v>
      </c>
      <c r="G15" s="64">
        <v>24000</v>
      </c>
      <c r="H15" s="64">
        <f t="shared" si="0"/>
        <v>126.31578947368421</v>
      </c>
      <c r="I15" s="63">
        <f t="shared" si="1"/>
        <v>0.12550725850311675</v>
      </c>
      <c r="K15" s="64">
        <v>56000</v>
      </c>
      <c r="L15" s="64">
        <f t="shared" si="2"/>
        <v>288.65979381443299</v>
      </c>
      <c r="M15" s="63">
        <f t="shared" si="3"/>
        <v>0.28529362317806906</v>
      </c>
      <c r="O15" s="64">
        <f t="shared" si="4"/>
        <v>11500</v>
      </c>
      <c r="P15" s="64">
        <f t="shared" si="8"/>
        <v>77.722293814432987</v>
      </c>
      <c r="Q15" s="63">
        <f t="shared" si="5"/>
        <v>-7.230611844501339E-2</v>
      </c>
    </row>
    <row r="16" spans="1:19">
      <c r="A16" s="58" t="s">
        <v>70</v>
      </c>
      <c r="C16" s="64">
        <f>VLOOKUP(A16,'Level 0'!$A$12:$I$102,8,FALSE)</f>
        <v>124420.8</v>
      </c>
      <c r="D16" s="64">
        <f>C16/$D$4</f>
        <v>388.815</v>
      </c>
      <c r="E16" s="63">
        <f t="shared" si="10"/>
        <v>0.39259371450208258</v>
      </c>
      <c r="G16" s="64">
        <v>124292</v>
      </c>
      <c r="H16" s="64">
        <f t="shared" si="0"/>
        <v>654.16842105263163</v>
      </c>
      <c r="I16" s="63">
        <f t="shared" si="1"/>
        <v>0.64998117391122456</v>
      </c>
      <c r="K16" s="64">
        <v>146556</v>
      </c>
      <c r="L16" s="64">
        <f t="shared" si="2"/>
        <v>755.4432989690722</v>
      </c>
      <c r="M16" s="63">
        <f t="shared" si="3"/>
        <v>0.74663378997294805</v>
      </c>
      <c r="O16" s="64">
        <f t="shared" si="4"/>
        <v>-22135.199999999997</v>
      </c>
      <c r="P16" s="64">
        <f t="shared" si="8"/>
        <v>366.6282989690722</v>
      </c>
      <c r="Q16" s="63">
        <f t="shared" si="5"/>
        <v>-0.35404007547086547</v>
      </c>
    </row>
    <row r="17" spans="1:17">
      <c r="A17" s="58" t="s">
        <v>72</v>
      </c>
      <c r="C17" s="61">
        <f>C13-SUM(C14:C16)</f>
        <v>31692</v>
      </c>
      <c r="D17" s="61">
        <f>C17/$D$4</f>
        <v>99.037499999999994</v>
      </c>
      <c r="E17" s="61">
        <f t="shared" si="9"/>
        <v>0.1</v>
      </c>
      <c r="G17" s="61">
        <f>G13-SUM(G14:G16)</f>
        <v>140662</v>
      </c>
      <c r="H17" s="61">
        <f t="shared" si="0"/>
        <v>740.32631578947371</v>
      </c>
      <c r="I17" s="61">
        <f t="shared" si="1"/>
        <v>0.73558758314855877</v>
      </c>
      <c r="K17" s="61">
        <f>K13-SUM(K14:K16)</f>
        <v>10030</v>
      </c>
      <c r="L17" s="61">
        <f t="shared" si="2"/>
        <v>51.701030927835049</v>
      </c>
      <c r="M17" s="69">
        <f t="shared" si="3"/>
        <v>5.1098125722786297E-2</v>
      </c>
      <c r="O17" s="61">
        <f t="shared" si="4"/>
        <v>21662</v>
      </c>
      <c r="P17" s="61">
        <f t="shared" si="8"/>
        <v>-47.336469072164945</v>
      </c>
      <c r="Q17" s="61">
        <f t="shared" si="5"/>
        <v>4.8901874277213708E-2</v>
      </c>
    </row>
    <row r="18" spans="1:17">
      <c r="A18" s="50" t="s">
        <v>73</v>
      </c>
      <c r="C18" s="53">
        <f>VLOOKUP(A18,'Level 0'!$A$12:$I$102,9,FALSE)</f>
        <v>7050352</v>
      </c>
      <c r="D18" s="53">
        <f t="shared" si="6"/>
        <v>22032.35</v>
      </c>
      <c r="E18" s="67">
        <f t="shared" si="7"/>
        <v>22.246472295847532</v>
      </c>
      <c r="G18" s="53">
        <v>4314821.2361572981</v>
      </c>
      <c r="H18" s="53">
        <f t="shared" si="0"/>
        <v>22709.585453459462</v>
      </c>
      <c r="I18" s="67">
        <f t="shared" si="1"/>
        <v>22.564224345047158</v>
      </c>
      <c r="K18" s="53">
        <v>4804000.7</v>
      </c>
      <c r="L18" s="53">
        <f t="shared" si="2"/>
        <v>24762.89020618557</v>
      </c>
      <c r="M18" s="67">
        <f t="shared" si="3"/>
        <v>24.474120811660359</v>
      </c>
      <c r="O18" s="124">
        <f t="shared" si="4"/>
        <v>2246351.2999999998</v>
      </c>
      <c r="P18" s="124">
        <f>L18-D18</f>
        <v>2730.5402061855712</v>
      </c>
      <c r="Q18" s="125">
        <f t="shared" si="5"/>
        <v>-2.2276485158128274</v>
      </c>
    </row>
    <row r="19" spans="1:17">
      <c r="A19" s="58" t="s">
        <v>75</v>
      </c>
      <c r="C19" s="64">
        <f>VLOOKUP(A19,'Level 0'!$A$12:$I$102,8,FALSE)</f>
        <v>5704560</v>
      </c>
      <c r="D19" s="64">
        <f t="shared" si="6"/>
        <v>17826.75</v>
      </c>
      <c r="E19" s="63">
        <f t="shared" si="7"/>
        <v>18</v>
      </c>
      <c r="G19" s="64">
        <v>3572064.32</v>
      </c>
      <c r="H19" s="64">
        <f t="shared" si="0"/>
        <v>18800.338526315787</v>
      </c>
      <c r="I19" s="63">
        <f t="shared" si="1"/>
        <v>18.68</v>
      </c>
      <c r="K19" s="64">
        <v>4023924.5</v>
      </c>
      <c r="L19" s="64">
        <f t="shared" si="2"/>
        <v>20741.878865979383</v>
      </c>
      <c r="M19" s="63">
        <f t="shared" si="3"/>
        <v>20.5</v>
      </c>
      <c r="O19" s="64">
        <f t="shared" si="4"/>
        <v>1680635.5</v>
      </c>
      <c r="P19" s="64">
        <f t="shared" si="8"/>
        <v>2915.1288659793827</v>
      </c>
      <c r="Q19" s="63">
        <f t="shared" si="5"/>
        <v>-2.5</v>
      </c>
    </row>
    <row r="20" spans="1:17">
      <c r="A20" s="58" t="s">
        <v>78</v>
      </c>
      <c r="C20" s="64">
        <f>VLOOKUP(A20,'Level 0'!$A$12:$I$102,8,FALSE)</f>
        <v>838720</v>
      </c>
      <c r="D20" s="64">
        <f t="shared" si="6"/>
        <v>2621</v>
      </c>
      <c r="E20" s="63">
        <f t="shared" si="7"/>
        <v>2.6464722958475324</v>
      </c>
      <c r="G20" s="64">
        <v>495900</v>
      </c>
      <c r="H20" s="64">
        <f t="shared" si="0"/>
        <v>2610</v>
      </c>
      <c r="I20" s="63">
        <f t="shared" si="1"/>
        <v>2.5932937288206501</v>
      </c>
      <c r="K20" s="64">
        <v>619345</v>
      </c>
      <c r="L20" s="64">
        <f t="shared" si="2"/>
        <v>3192.5</v>
      </c>
      <c r="M20" s="63">
        <f t="shared" si="3"/>
        <v>3.1552710544146643</v>
      </c>
      <c r="O20" s="64">
        <f t="shared" si="4"/>
        <v>219375</v>
      </c>
      <c r="P20" s="64">
        <f t="shared" si="8"/>
        <v>571.5</v>
      </c>
      <c r="Q20" s="63">
        <f t="shared" si="5"/>
        <v>-0.50879875856713186</v>
      </c>
    </row>
    <row r="21" spans="1:17">
      <c r="A21" s="58" t="s">
        <v>72</v>
      </c>
      <c r="C21" s="64">
        <f>C18-C19-C20</f>
        <v>507072</v>
      </c>
      <c r="D21" s="64">
        <f t="shared" si="6"/>
        <v>1584.6</v>
      </c>
      <c r="E21" s="63">
        <f t="shared" si="7"/>
        <v>1.6</v>
      </c>
      <c r="G21" s="64">
        <f>G18-G19-G20</f>
        <v>246856.91615729826</v>
      </c>
      <c r="H21" s="64">
        <f t="shared" si="0"/>
        <v>1299.2469271436751</v>
      </c>
      <c r="I21" s="63">
        <f t="shared" si="1"/>
        <v>1.2909306162265106</v>
      </c>
      <c r="K21" s="64">
        <f>K18-K19-K20</f>
        <v>160731.20000000019</v>
      </c>
      <c r="L21" s="64">
        <f t="shared" si="2"/>
        <v>828.51134020618656</v>
      </c>
      <c r="M21" s="63">
        <f t="shared" si="3"/>
        <v>0.81884975724569475</v>
      </c>
      <c r="O21" s="64">
        <f t="shared" si="4"/>
        <v>346340.79999999981</v>
      </c>
      <c r="P21" s="64">
        <f t="shared" si="8"/>
        <v>-756.08865979381335</v>
      </c>
      <c r="Q21" s="63">
        <f t="shared" si="5"/>
        <v>0.78115024275430534</v>
      </c>
    </row>
    <row r="22" spans="1:17">
      <c r="A22" s="50" t="s">
        <v>82</v>
      </c>
      <c r="C22" s="53">
        <f>VLOOKUP(A22,'Level 0'!$A$12:$I$102,9,FALSE)</f>
        <v>1538368</v>
      </c>
      <c r="D22" s="53">
        <f t="shared" si="6"/>
        <v>4807.3999999999996</v>
      </c>
      <c r="E22" s="67">
        <f t="shared" si="7"/>
        <v>4.8541209137952794</v>
      </c>
      <c r="G22" s="53">
        <v>905735.11800000002</v>
      </c>
      <c r="H22" s="53">
        <f t="shared" si="0"/>
        <v>4767.026936842105</v>
      </c>
      <c r="I22" s="67">
        <f t="shared" si="1"/>
        <v>4.7365138162573732</v>
      </c>
      <c r="K22" s="53">
        <v>905486.76</v>
      </c>
      <c r="L22" s="53">
        <f t="shared" si="2"/>
        <v>4667.4575257731958</v>
      </c>
      <c r="M22" s="67">
        <f t="shared" si="3"/>
        <v>4.6130285446459052</v>
      </c>
      <c r="O22" s="124">
        <f t="shared" si="4"/>
        <v>632881.24</v>
      </c>
      <c r="P22" s="124">
        <f t="shared" si="8"/>
        <v>-139.94247422680382</v>
      </c>
      <c r="Q22" s="125">
        <f t="shared" si="5"/>
        <v>0.24109236914937426</v>
      </c>
    </row>
    <row r="23" spans="1:17">
      <c r="A23" s="58" t="s">
        <v>84</v>
      </c>
      <c r="C23" s="64">
        <f>VLOOKUP(A23,'Level 0'!$A$12:$I$102,8,FALSE)</f>
        <v>776454</v>
      </c>
      <c r="D23" s="64">
        <f t="shared" si="6"/>
        <v>2426.4187499999998</v>
      </c>
      <c r="E23" s="63">
        <f t="shared" si="7"/>
        <v>2.4500000000000002</v>
      </c>
      <c r="G23" s="64">
        <v>520033.66800000001</v>
      </c>
      <c r="H23" s="64">
        <f t="shared" si="0"/>
        <v>2737.019305263158</v>
      </c>
      <c r="I23" s="63">
        <f t="shared" si="1"/>
        <v>2.7195</v>
      </c>
      <c r="K23" s="64">
        <v>529980.30000000005</v>
      </c>
      <c r="L23" s="64">
        <f t="shared" si="2"/>
        <v>2731.8572164948455</v>
      </c>
      <c r="M23" s="63">
        <f t="shared" si="3"/>
        <v>2.7</v>
      </c>
      <c r="O23" s="64">
        <f t="shared" si="4"/>
        <v>246473.69999999995</v>
      </c>
      <c r="P23" s="64">
        <f t="shared" si="8"/>
        <v>305.43846649484567</v>
      </c>
      <c r="Q23" s="63">
        <f t="shared" si="5"/>
        <v>-0.25</v>
      </c>
    </row>
    <row r="24" spans="1:17">
      <c r="A24" s="58" t="s">
        <v>19</v>
      </c>
      <c r="C24" s="61">
        <f>VLOOKUP(A24,'Level 0'!$A$12:$I$102,8,FALSE)</f>
        <v>619300</v>
      </c>
      <c r="D24" s="61">
        <f t="shared" si="6"/>
        <v>1935.3125</v>
      </c>
      <c r="E24" s="69">
        <f t="shared" si="7"/>
        <v>1.9541209137952795</v>
      </c>
      <c r="G24" s="61">
        <v>296742.33</v>
      </c>
      <c r="H24" s="61">
        <f t="shared" si="0"/>
        <v>1561.8017368421054</v>
      </c>
      <c r="I24" s="69">
        <f t="shared" si="1"/>
        <v>1.5518048466719661</v>
      </c>
      <c r="K24" s="61">
        <v>303688.89</v>
      </c>
      <c r="L24" s="61">
        <f t="shared" si="2"/>
        <v>1565.406649484536</v>
      </c>
      <c r="M24" s="69">
        <f t="shared" si="3"/>
        <v>1.5471518526254655</v>
      </c>
      <c r="O24" s="61">
        <f t="shared" si="4"/>
        <v>315611.11</v>
      </c>
      <c r="P24" s="61">
        <f t="shared" si="8"/>
        <v>-369.90585051546395</v>
      </c>
      <c r="Q24" s="69">
        <f t="shared" si="5"/>
        <v>0.40696906116981402</v>
      </c>
    </row>
    <row r="25" spans="1:17">
      <c r="A25" s="58" t="s">
        <v>72</v>
      </c>
      <c r="C25" s="64">
        <f>C22-C23-C24</f>
        <v>142614</v>
      </c>
      <c r="D25" s="61">
        <f t="shared" si="6"/>
        <v>445.66874999999999</v>
      </c>
      <c r="E25" s="69">
        <f t="shared" si="7"/>
        <v>0.45</v>
      </c>
      <c r="G25" s="64">
        <f>G22-G23-G24</f>
        <v>88959.12</v>
      </c>
      <c r="H25" s="61">
        <f t="shared" si="0"/>
        <v>468.20589473684208</v>
      </c>
      <c r="I25" s="69">
        <f t="shared" si="1"/>
        <v>0.46520896958540764</v>
      </c>
      <c r="K25" s="64">
        <f>K22-K23-K24</f>
        <v>71817.569999999949</v>
      </c>
      <c r="L25" s="61">
        <f t="shared" si="2"/>
        <v>370.19365979381416</v>
      </c>
      <c r="M25" s="69">
        <f t="shared" si="3"/>
        <v>0.36587669202043899</v>
      </c>
      <c r="O25" s="64">
        <f t="shared" si="4"/>
        <v>70796.430000000051</v>
      </c>
      <c r="P25" s="61">
        <f t="shared" si="8"/>
        <v>-75.475090206185826</v>
      </c>
      <c r="Q25" s="69">
        <f t="shared" si="5"/>
        <v>8.4123307979561024E-2</v>
      </c>
    </row>
    <row r="26" spans="1:17">
      <c r="A26" s="50" t="s">
        <v>88</v>
      </c>
      <c r="C26" s="53">
        <f>VLOOKUP(A26,'Level 0'!$A$12:$I$102,9,FALSE)</f>
        <v>543076</v>
      </c>
      <c r="D26" s="53">
        <f t="shared" si="6"/>
        <v>1697.1125</v>
      </c>
      <c r="E26" s="67">
        <f t="shared" si="7"/>
        <v>1.7136059573393916</v>
      </c>
      <c r="G26" s="53">
        <v>319450</v>
      </c>
      <c r="H26" s="53">
        <f t="shared" si="0"/>
        <v>1681.3157894736842</v>
      </c>
      <c r="I26" s="67">
        <f t="shared" si="1"/>
        <v>1.6705539053675271</v>
      </c>
      <c r="K26" s="53">
        <v>279109.57894736843</v>
      </c>
      <c r="L26" s="53">
        <f t="shared" si="2"/>
        <v>1438.7091698317961</v>
      </c>
      <c r="M26" s="67">
        <f t="shared" si="3"/>
        <v>1.4219318400285723</v>
      </c>
      <c r="O26" s="124">
        <f t="shared" si="4"/>
        <v>263966.42105263157</v>
      </c>
      <c r="P26" s="124">
        <f t="shared" si="8"/>
        <v>-258.40333016820387</v>
      </c>
      <c r="Q26" s="125">
        <f t="shared" si="5"/>
        <v>0.29167411731081927</v>
      </c>
    </row>
    <row r="27" spans="1:17">
      <c r="A27" s="58" t="s">
        <v>90</v>
      </c>
      <c r="C27" s="61">
        <f>VLOOKUP(A27,'Level 0'!$A$12:$I$102,8,FALSE)</f>
        <v>448000</v>
      </c>
      <c r="D27" s="61">
        <f t="shared" si="6"/>
        <v>1400</v>
      </c>
      <c r="E27" s="69">
        <f t="shared" si="7"/>
        <v>1.4136059573393915</v>
      </c>
      <c r="G27" s="61">
        <v>262390</v>
      </c>
      <c r="H27" s="61">
        <f t="shared" si="0"/>
        <v>1381</v>
      </c>
      <c r="I27" s="69">
        <f t="shared" si="1"/>
        <v>1.372160398276367</v>
      </c>
      <c r="K27" s="61">
        <v>224631.5789473684</v>
      </c>
      <c r="L27" s="61">
        <f t="shared" si="2"/>
        <v>1157.8947368421052</v>
      </c>
      <c r="M27" s="69">
        <f t="shared" si="3"/>
        <v>1.1443920899661641</v>
      </c>
      <c r="O27" s="61">
        <f t="shared" si="4"/>
        <v>223368.4210526316</v>
      </c>
      <c r="P27" s="61">
        <f t="shared" si="8"/>
        <v>-242.1052631578948</v>
      </c>
      <c r="Q27" s="69">
        <f t="shared" si="5"/>
        <v>0.26921386737322739</v>
      </c>
    </row>
    <row r="28" spans="1:17">
      <c r="A28" s="58" t="s">
        <v>72</v>
      </c>
      <c r="C28" s="61">
        <f>C26-C27</f>
        <v>95076</v>
      </c>
      <c r="D28" s="61">
        <f t="shared" si="6"/>
        <v>297.11250000000001</v>
      </c>
      <c r="E28" s="69">
        <f t="shared" si="7"/>
        <v>0.3</v>
      </c>
      <c r="G28" s="61">
        <f>G26-G27</f>
        <v>57060</v>
      </c>
      <c r="H28" s="61">
        <f t="shared" si="0"/>
        <v>300.31578947368422</v>
      </c>
      <c r="I28" s="69">
        <f t="shared" si="1"/>
        <v>0.29839350709116008</v>
      </c>
      <c r="K28" s="61">
        <f>K26-K27</f>
        <v>54478.000000000029</v>
      </c>
      <c r="L28" s="61">
        <f t="shared" si="2"/>
        <v>280.81443298969089</v>
      </c>
      <c r="M28" s="69">
        <f t="shared" si="3"/>
        <v>0.27753975006240811</v>
      </c>
      <c r="O28" s="61">
        <f t="shared" si="4"/>
        <v>40597.999999999971</v>
      </c>
      <c r="P28" s="61">
        <f t="shared" si="8"/>
        <v>-16.298067010309126</v>
      </c>
      <c r="Q28" s="69">
        <f t="shared" si="5"/>
        <v>2.2460249937591881E-2</v>
      </c>
    </row>
    <row r="29" spans="1:17">
      <c r="A29" s="50" t="s">
        <v>92</v>
      </c>
      <c r="C29" s="53">
        <f>VLOOKUP(A29,'Level 0'!$A$12:$I$102,9,FALSE)</f>
        <v>4943219.4280000003</v>
      </c>
      <c r="D29" s="53">
        <f t="shared" si="6"/>
        <v>15447.560712500001</v>
      </c>
      <c r="E29" s="67">
        <f t="shared" si="7"/>
        <v>15.597688463965671</v>
      </c>
      <c r="G29" s="53">
        <v>3031250.8699683729</v>
      </c>
      <c r="H29" s="53">
        <f t="shared" si="0"/>
        <v>15953.951947201962</v>
      </c>
      <c r="I29" s="67">
        <f t="shared" si="1"/>
        <v>15.851832771871589</v>
      </c>
      <c r="K29" s="53">
        <v>3261602.3529548887</v>
      </c>
      <c r="L29" s="53">
        <f t="shared" si="2"/>
        <v>16812.383262654064</v>
      </c>
      <c r="M29" s="67">
        <f t="shared" si="3"/>
        <v>16.616327725725277</v>
      </c>
      <c r="O29" s="124">
        <f t="shared" si="4"/>
        <v>1681617.0750451116</v>
      </c>
      <c r="P29" s="124">
        <f t="shared" si="8"/>
        <v>1364.8225501540637</v>
      </c>
      <c r="Q29" s="125">
        <f t="shared" si="5"/>
        <v>-1.0186392617596063</v>
      </c>
    </row>
    <row r="30" spans="1:17">
      <c r="A30" s="58" t="s">
        <v>23</v>
      </c>
      <c r="C30" s="61">
        <f>VLOOKUP(A30,'Level 0'!$A$12:$I$102,8,FALSE)</f>
        <v>689046.92800000007</v>
      </c>
      <c r="D30" s="61">
        <f t="shared" si="6"/>
        <v>2153.2716500000001</v>
      </c>
      <c r="E30" s="69">
        <f t="shared" si="7"/>
        <v>2.174198308721444</v>
      </c>
      <c r="G30" s="61">
        <v>334992</v>
      </c>
      <c r="H30" s="61">
        <f t="shared" si="0"/>
        <v>1763.1157894736841</v>
      </c>
      <c r="I30" s="69">
        <f t="shared" si="1"/>
        <v>1.7518303141865037</v>
      </c>
      <c r="K30" s="61">
        <v>482655.68</v>
      </c>
      <c r="L30" s="61">
        <f t="shared" si="2"/>
        <v>2487.9158762886595</v>
      </c>
      <c r="M30" s="69">
        <f t="shared" si="3"/>
        <v>2.4589033516906196</v>
      </c>
      <c r="O30" s="61">
        <f t="shared" si="4"/>
        <v>206391.24800000008</v>
      </c>
      <c r="P30" s="61">
        <f t="shared" si="8"/>
        <v>334.64422628865941</v>
      </c>
      <c r="Q30" s="69">
        <f t="shared" si="5"/>
        <v>-0.28470504296917554</v>
      </c>
    </row>
    <row r="31" spans="1:17">
      <c r="A31" s="58" t="s">
        <v>96</v>
      </c>
      <c r="C31" s="61">
        <f>VLOOKUP(A31,'Level 0'!$A$12:$I$102,8,FALSE)</f>
        <v>2345208</v>
      </c>
      <c r="D31" s="61">
        <f t="shared" si="6"/>
        <v>7328.7749999999996</v>
      </c>
      <c r="E31" s="69">
        <f t="shared" si="7"/>
        <v>7.4</v>
      </c>
      <c r="G31" s="61">
        <v>1472424.8</v>
      </c>
      <c r="H31" s="61">
        <f t="shared" si="0"/>
        <v>7749.6042105263159</v>
      </c>
      <c r="I31" s="69">
        <f t="shared" si="1"/>
        <v>7.7</v>
      </c>
      <c r="K31" s="61">
        <v>1574237.78</v>
      </c>
      <c r="L31" s="61">
        <f t="shared" si="2"/>
        <v>8114.6277319587634</v>
      </c>
      <c r="M31" s="69">
        <f t="shared" si="3"/>
        <v>8.02</v>
      </c>
      <c r="O31" s="61">
        <f t="shared" si="4"/>
        <v>770970.22</v>
      </c>
      <c r="P31" s="61">
        <f t="shared" si="8"/>
        <v>785.8527319587638</v>
      </c>
      <c r="Q31" s="69">
        <f t="shared" si="5"/>
        <v>-0.61999999999999922</v>
      </c>
    </row>
    <row r="32" spans="1:17">
      <c r="A32" s="58" t="s">
        <v>98</v>
      </c>
      <c r="C32" s="61">
        <f>VLOOKUP(A32,'Level 0'!$A$12:$I$102,8,FALSE)</f>
        <v>514516.49999999994</v>
      </c>
      <c r="D32" s="61">
        <f t="shared" si="6"/>
        <v>1607.8640624999998</v>
      </c>
      <c r="E32" s="69">
        <f t="shared" si="7"/>
        <v>1.6234901552442256</v>
      </c>
      <c r="G32" s="61">
        <v>299556</v>
      </c>
      <c r="H32" s="61">
        <f t="shared" si="0"/>
        <v>1576.6105263157895</v>
      </c>
      <c r="I32" s="69">
        <f t="shared" si="1"/>
        <v>1.5665188470066518</v>
      </c>
      <c r="K32" s="61">
        <v>305547.12</v>
      </c>
      <c r="L32" s="61">
        <f t="shared" si="2"/>
        <v>1574.9851546391753</v>
      </c>
      <c r="M32" s="69">
        <f t="shared" si="3"/>
        <v>1.5566186592218616</v>
      </c>
      <c r="O32" s="61">
        <f t="shared" si="4"/>
        <v>208969.37999999995</v>
      </c>
      <c r="P32" s="61">
        <f t="shared" si="8"/>
        <v>-32.878907860824484</v>
      </c>
      <c r="Q32" s="69">
        <f t="shared" si="5"/>
        <v>6.6871496022363974E-2</v>
      </c>
    </row>
    <row r="33" spans="1:17">
      <c r="A33" s="58" t="s">
        <v>100</v>
      </c>
      <c r="C33" s="61">
        <f>VLOOKUP(A33,'Level 0'!$A$12:$I$102,8,FALSE)</f>
        <v>602148</v>
      </c>
      <c r="D33" s="61">
        <f t="shared" si="6"/>
        <v>1881.7125000000001</v>
      </c>
      <c r="E33" s="69">
        <f t="shared" si="7"/>
        <v>1.9</v>
      </c>
      <c r="G33" s="61">
        <v>367150.07999999996</v>
      </c>
      <c r="H33" s="61">
        <f t="shared" si="0"/>
        <v>1932.368842105263</v>
      </c>
      <c r="I33" s="69">
        <f t="shared" si="1"/>
        <v>1.9199999999999997</v>
      </c>
      <c r="K33" s="61">
        <v>361171.76</v>
      </c>
      <c r="L33" s="61">
        <f t="shared" si="2"/>
        <v>1861.7101030927836</v>
      </c>
      <c r="M33" s="69">
        <f t="shared" si="3"/>
        <v>1.84</v>
      </c>
      <c r="O33" s="61">
        <f t="shared" si="4"/>
        <v>240976.24</v>
      </c>
      <c r="P33" s="61">
        <f t="shared" si="8"/>
        <v>-20.002396907216507</v>
      </c>
      <c r="Q33" s="69">
        <f t="shared" si="5"/>
        <v>5.9999999999999831E-2</v>
      </c>
    </row>
    <row r="34" spans="1:17">
      <c r="A34" s="58" t="s">
        <v>72</v>
      </c>
      <c r="C34" s="61">
        <f>C29-SUM(C30:C33)</f>
        <v>792300</v>
      </c>
      <c r="D34" s="61">
        <f t="shared" si="6"/>
        <v>2475.9375</v>
      </c>
      <c r="E34" s="69">
        <f t="shared" si="7"/>
        <v>2.5</v>
      </c>
      <c r="G34" s="61">
        <f>G29-SUM(G30:G33)</f>
        <v>557127.98996837297</v>
      </c>
      <c r="H34" s="61">
        <f t="shared" si="0"/>
        <v>2932.2525787809104</v>
      </c>
      <c r="I34" s="69">
        <f t="shared" si="1"/>
        <v>2.9134836106784348</v>
      </c>
      <c r="K34" s="61">
        <f>K29-SUM(K30:K33)</f>
        <v>537990.01295488887</v>
      </c>
      <c r="L34" s="61">
        <f t="shared" si="2"/>
        <v>2773.1443966746847</v>
      </c>
      <c r="M34" s="69">
        <f t="shared" si="3"/>
        <v>2.7408057148127956</v>
      </c>
      <c r="O34" s="61">
        <f t="shared" si="4"/>
        <v>254309.98704511113</v>
      </c>
      <c r="P34" s="61">
        <f t="shared" si="8"/>
        <v>297.20689667468469</v>
      </c>
      <c r="Q34" s="69">
        <f t="shared" si="5"/>
        <v>-0.24080571481279556</v>
      </c>
    </row>
    <row r="35" spans="1:17">
      <c r="A35" s="50" t="s">
        <v>102</v>
      </c>
      <c r="C35" s="53">
        <f>VLOOKUP(A35,'Level 0'!$A$12:$I$102,9,FALSE)</f>
        <v>411996</v>
      </c>
      <c r="D35" s="53">
        <f t="shared" si="6"/>
        <v>1287.4875</v>
      </c>
      <c r="E35" s="67">
        <f t="shared" si="7"/>
        <v>1.3</v>
      </c>
      <c r="G35" s="53">
        <v>255620</v>
      </c>
      <c r="H35" s="53">
        <f t="shared" si="0"/>
        <v>1345.3684210526317</v>
      </c>
      <c r="I35" s="67">
        <f t="shared" si="1"/>
        <v>1.3367568924402795</v>
      </c>
      <c r="K35" s="53">
        <v>233950</v>
      </c>
      <c r="L35" s="53">
        <f t="shared" si="2"/>
        <v>1205.9278350515465</v>
      </c>
      <c r="M35" s="67">
        <f t="shared" si="3"/>
        <v>1.1918650561162367</v>
      </c>
      <c r="O35" s="124">
        <f t="shared" si="4"/>
        <v>178046</v>
      </c>
      <c r="P35" s="124">
        <f t="shared" si="8"/>
        <v>-81.559664948453474</v>
      </c>
      <c r="Q35" s="125">
        <f t="shared" si="5"/>
        <v>0.10813494388376332</v>
      </c>
    </row>
    <row r="36" spans="1:17">
      <c r="A36" s="50" t="s">
        <v>104</v>
      </c>
      <c r="C36" s="56">
        <f>VLOOKUP(A36,'Level 0'!$A$12:$I$102,9,FALSE)</f>
        <v>1116480</v>
      </c>
      <c r="D36" s="56">
        <f t="shared" si="6"/>
        <v>3489</v>
      </c>
      <c r="E36" s="55">
        <f t="shared" si="7"/>
        <v>3.5229079893979551</v>
      </c>
      <c r="G36" s="56">
        <v>633504</v>
      </c>
      <c r="H36" s="56">
        <f t="shared" si="0"/>
        <v>3334.2315789473682</v>
      </c>
      <c r="I36" s="55">
        <f t="shared" si="1"/>
        <v>3.31288959544827</v>
      </c>
      <c r="K36" s="56">
        <v>621090.50256410253</v>
      </c>
      <c r="L36" s="56">
        <f t="shared" si="2"/>
        <v>3201.4974358974359</v>
      </c>
      <c r="M36" s="55">
        <f t="shared" si="3"/>
        <v>3.1641635678214395</v>
      </c>
      <c r="O36" s="122">
        <f t="shared" si="4"/>
        <v>495389.49743589747</v>
      </c>
      <c r="P36" s="122">
        <f t="shared" si="8"/>
        <v>-287.50256410256407</v>
      </c>
      <c r="Q36" s="123">
        <f t="shared" si="5"/>
        <v>0.35874442157651565</v>
      </c>
    </row>
    <row r="37" spans="1:17">
      <c r="A37" s="50" t="s">
        <v>105</v>
      </c>
      <c r="C37" s="53">
        <f>VLOOKUP(A37,'Level 0'!$A$12:$I$102,9,FALSE)</f>
        <v>2034680</v>
      </c>
      <c r="D37" s="53">
        <f t="shared" si="6"/>
        <v>6358.375</v>
      </c>
      <c r="E37" s="67">
        <f t="shared" si="7"/>
        <v>6.4201691278556101</v>
      </c>
      <c r="G37" s="53">
        <v>1156370</v>
      </c>
      <c r="H37" s="53">
        <f t="shared" si="0"/>
        <v>6086.1578947368425</v>
      </c>
      <c r="I37" s="67">
        <f t="shared" si="1"/>
        <v>6.0472011881353804</v>
      </c>
      <c r="K37" s="53">
        <v>1046615.3613445379</v>
      </c>
      <c r="L37" s="53">
        <f t="shared" si="2"/>
        <v>5394.9245430130823</v>
      </c>
      <c r="M37" s="67">
        <f t="shared" si="3"/>
        <v>5.3320122948537003</v>
      </c>
      <c r="O37" s="124">
        <f t="shared" si="4"/>
        <v>988064.63865546207</v>
      </c>
      <c r="P37" s="124">
        <f t="shared" si="8"/>
        <v>-963.45045698691774</v>
      </c>
      <c r="Q37" s="125">
        <f t="shared" si="5"/>
        <v>1.0881568330019098</v>
      </c>
    </row>
    <row r="38" spans="1:17">
      <c r="A38" s="58" t="s">
        <v>107</v>
      </c>
      <c r="C38" s="61">
        <f>VLOOKUP(A38,'Level 0'!$A$12:$I$102,8,FALSE)</f>
        <v>1120000</v>
      </c>
      <c r="D38" s="61">
        <f t="shared" si="6"/>
        <v>3500</v>
      </c>
      <c r="E38" s="69">
        <f t="shared" si="7"/>
        <v>3.5340148933484792</v>
      </c>
      <c r="G38" s="61">
        <v>598690</v>
      </c>
      <c r="H38" s="61">
        <f t="shared" ref="H38:H66" si="11">G38/$H$4</f>
        <v>3151</v>
      </c>
      <c r="I38" s="69">
        <f t="shared" ref="I38:I66" si="12">G38/$I$4</f>
        <v>3.1308308580512905</v>
      </c>
      <c r="K38" s="61">
        <v>610712</v>
      </c>
      <c r="L38" s="61">
        <f t="shared" ref="L38:L66" si="13">K38/$L$4</f>
        <v>3148</v>
      </c>
      <c r="M38" s="69">
        <f t="shared" ref="M38:M66" si="14">K38/$M$4</f>
        <v>3.1112899856843734</v>
      </c>
      <c r="O38" s="61">
        <f t="shared" ref="O38:O66" si="15">C38-K38</f>
        <v>509288</v>
      </c>
      <c r="P38" s="61">
        <f t="shared" si="8"/>
        <v>-352</v>
      </c>
      <c r="Q38" s="69">
        <f t="shared" ref="Q38:Q66" si="16">E38-M38</f>
        <v>0.42272490766410575</v>
      </c>
    </row>
    <row r="39" spans="1:17">
      <c r="A39" s="58" t="s">
        <v>109</v>
      </c>
      <c r="C39" s="61">
        <f>VLOOKUP(A39,'Level 0'!$A$12:$I$102,8,FALSE)</f>
        <v>597760</v>
      </c>
      <c r="D39" s="61">
        <f t="shared" si="6"/>
        <v>1868</v>
      </c>
      <c r="E39" s="69">
        <f t="shared" si="7"/>
        <v>1.8861542345071312</v>
      </c>
      <c r="G39" s="61">
        <v>309510</v>
      </c>
      <c r="H39" s="61">
        <f t="shared" si="11"/>
        <v>1629</v>
      </c>
      <c r="I39" s="69">
        <f t="shared" si="12"/>
        <v>1.6185729824708195</v>
      </c>
      <c r="K39" s="61">
        <v>338777.26900000003</v>
      </c>
      <c r="L39" s="61">
        <f t="shared" si="13"/>
        <v>1746.2745824742269</v>
      </c>
      <c r="M39" s="69">
        <f t="shared" si="14"/>
        <v>1.7259106164889526</v>
      </c>
      <c r="O39" s="61">
        <f t="shared" si="15"/>
        <v>258982.73099999997</v>
      </c>
      <c r="P39" s="61">
        <f t="shared" si="8"/>
        <v>-121.72541752577308</v>
      </c>
      <c r="Q39" s="69">
        <f t="shared" si="16"/>
        <v>0.16024361801817855</v>
      </c>
    </row>
    <row r="40" spans="1:17">
      <c r="A40" s="58" t="s">
        <v>72</v>
      </c>
      <c r="C40" s="64">
        <f>C37-C38-C39</f>
        <v>316920</v>
      </c>
      <c r="D40" s="61">
        <f t="shared" si="6"/>
        <v>990.375</v>
      </c>
      <c r="E40" s="69">
        <f t="shared" si="7"/>
        <v>1</v>
      </c>
      <c r="G40" s="64">
        <f>G37-G38-G39</f>
        <v>248170</v>
      </c>
      <c r="H40" s="61">
        <f t="shared" si="11"/>
        <v>1306.1578947368421</v>
      </c>
      <c r="I40" s="69">
        <f t="shared" si="12"/>
        <v>1.2977973476132703</v>
      </c>
      <c r="K40" s="64">
        <f>K37-K38-K39</f>
        <v>97126.092344537901</v>
      </c>
      <c r="L40" s="61">
        <f t="shared" si="13"/>
        <v>500.64996053885517</v>
      </c>
      <c r="M40" s="69">
        <f t="shared" si="14"/>
        <v>0.49481169268037384</v>
      </c>
      <c r="O40" s="64">
        <f t="shared" si="15"/>
        <v>219793.9076554621</v>
      </c>
      <c r="P40" s="61">
        <f t="shared" si="8"/>
        <v>-489.72503946114483</v>
      </c>
      <c r="Q40" s="69">
        <f t="shared" si="16"/>
        <v>0.50518830731962616</v>
      </c>
    </row>
    <row r="41" spans="1:17">
      <c r="A41" s="50" t="s">
        <v>111</v>
      </c>
      <c r="C41" s="53">
        <f>VLOOKUP(A41,'Level 0'!$A$12:$I$102,9,FALSE)</f>
        <v>1023200</v>
      </c>
      <c r="D41" s="53">
        <f t="shared" si="6"/>
        <v>3197.5</v>
      </c>
      <c r="E41" s="67">
        <f t="shared" si="7"/>
        <v>3.2285750347090749</v>
      </c>
      <c r="G41" s="53">
        <v>536257</v>
      </c>
      <c r="H41" s="53">
        <f t="shared" si="11"/>
        <v>2822.4052631578948</v>
      </c>
      <c r="I41" s="67">
        <f t="shared" si="12"/>
        <v>2.8043394134627451</v>
      </c>
      <c r="K41" s="53">
        <v>572485</v>
      </c>
      <c r="L41" s="53">
        <f t="shared" si="13"/>
        <v>2950.9536082474228</v>
      </c>
      <c r="M41" s="67">
        <f t="shared" si="14"/>
        <v>2.9165414261624441</v>
      </c>
      <c r="O41" s="124">
        <f t="shared" si="15"/>
        <v>450715</v>
      </c>
      <c r="P41" s="124">
        <f t="shared" si="8"/>
        <v>-246.54639175257716</v>
      </c>
      <c r="Q41" s="125">
        <f t="shared" si="16"/>
        <v>0.31203360854663087</v>
      </c>
    </row>
    <row r="42" spans="1:17">
      <c r="A42" s="58" t="s">
        <v>113</v>
      </c>
      <c r="C42" s="64">
        <f>VLOOKUP(A42,'Level 0'!$A$12:$I$102,8,FALSE)</f>
        <v>260000</v>
      </c>
      <c r="D42" s="64">
        <f t="shared" si="6"/>
        <v>812.5</v>
      </c>
      <c r="E42" s="63">
        <f t="shared" si="7"/>
        <v>0.82039631452732553</v>
      </c>
      <c r="G42" s="64">
        <v>245000</v>
      </c>
      <c r="H42" s="64">
        <f t="shared" si="11"/>
        <v>1289.4736842105262</v>
      </c>
      <c r="I42" s="63">
        <f t="shared" si="12"/>
        <v>1.2812199305526504</v>
      </c>
      <c r="K42" s="64">
        <v>245000</v>
      </c>
      <c r="L42" s="64">
        <f t="shared" si="13"/>
        <v>1262.8865979381444</v>
      </c>
      <c r="M42" s="63">
        <f t="shared" si="14"/>
        <v>1.2481596014040521</v>
      </c>
      <c r="O42" s="64">
        <f t="shared" si="15"/>
        <v>15000</v>
      </c>
      <c r="P42" s="64">
        <f t="shared" si="8"/>
        <v>450.3865979381444</v>
      </c>
      <c r="Q42" s="63">
        <f t="shared" si="16"/>
        <v>-0.4277632868767266</v>
      </c>
    </row>
    <row r="43" spans="1:17">
      <c r="A43" s="58" t="s">
        <v>27</v>
      </c>
      <c r="C43" s="61">
        <f>VLOOKUP(A43,'Level 0'!$A$12:$I$102,8,FALSE)</f>
        <v>752000</v>
      </c>
      <c r="D43" s="61">
        <f t="shared" si="6"/>
        <v>2350</v>
      </c>
      <c r="E43" s="69">
        <f t="shared" si="7"/>
        <v>2.3728385712482645</v>
      </c>
      <c r="G43" s="61">
        <v>284208</v>
      </c>
      <c r="H43" s="61">
        <f t="shared" si="11"/>
        <v>1495.8315789473684</v>
      </c>
      <c r="I43" s="69">
        <f t="shared" si="12"/>
        <v>1.4862569551939087</v>
      </c>
      <c r="K43" s="61">
        <v>320436</v>
      </c>
      <c r="L43" s="61">
        <f t="shared" si="13"/>
        <v>1651.7319587628865</v>
      </c>
      <c r="M43" s="69">
        <f t="shared" si="14"/>
        <v>1.6324704899408524</v>
      </c>
      <c r="O43" s="61">
        <f t="shared" si="15"/>
        <v>431564</v>
      </c>
      <c r="P43" s="61">
        <f t="shared" si="8"/>
        <v>-698.26804123711349</v>
      </c>
      <c r="Q43" s="69">
        <f t="shared" si="16"/>
        <v>0.74036808130741205</v>
      </c>
    </row>
    <row r="44" spans="1:17">
      <c r="A44" s="58" t="s">
        <v>72</v>
      </c>
      <c r="C44" s="64">
        <f>C41-C42-C43</f>
        <v>11200</v>
      </c>
      <c r="D44" s="61">
        <f t="shared" si="6"/>
        <v>35</v>
      </c>
      <c r="E44" s="69">
        <f t="shared" si="7"/>
        <v>3.5340148933484791E-2</v>
      </c>
      <c r="G44" s="64">
        <f>G41-G42-G43</f>
        <v>7049</v>
      </c>
      <c r="H44" s="61">
        <f t="shared" si="11"/>
        <v>37.1</v>
      </c>
      <c r="I44" s="69">
        <f t="shared" si="12"/>
        <v>3.6862527716186255E-2</v>
      </c>
      <c r="K44" s="64">
        <f>K41-K42-K43</f>
        <v>7049</v>
      </c>
      <c r="L44" s="61">
        <f t="shared" si="13"/>
        <v>36.335051546391753</v>
      </c>
      <c r="M44" s="69">
        <f t="shared" si="14"/>
        <v>3.5911334817539442E-2</v>
      </c>
      <c r="O44" s="64">
        <f t="shared" si="15"/>
        <v>4151</v>
      </c>
      <c r="P44" s="61">
        <f t="shared" si="8"/>
        <v>1.3350515463917532</v>
      </c>
      <c r="Q44" s="69">
        <f t="shared" si="16"/>
        <v>-5.7118588405465076E-4</v>
      </c>
    </row>
    <row r="45" spans="1:17">
      <c r="A45" s="50" t="s">
        <v>116</v>
      </c>
      <c r="C45" s="53">
        <f>VLOOKUP(A45,'Level 0'!$A$12:$I$102,9,FALSE)</f>
        <v>668000</v>
      </c>
      <c r="D45" s="53">
        <f t="shared" si="6"/>
        <v>2087.5</v>
      </c>
      <c r="E45" s="67">
        <f t="shared" si="7"/>
        <v>2.1077874542471284</v>
      </c>
      <c r="G45" s="53">
        <v>333000</v>
      </c>
      <c r="H45" s="53">
        <f t="shared" si="11"/>
        <v>1752.6315789473683</v>
      </c>
      <c r="I45" s="67">
        <f t="shared" si="12"/>
        <v>1.741413211730745</v>
      </c>
      <c r="K45" s="53">
        <v>323200</v>
      </c>
      <c r="L45" s="53">
        <f t="shared" si="13"/>
        <v>1665.979381443299</v>
      </c>
      <c r="M45" s="67">
        <f t="shared" si="14"/>
        <v>1.6465517680562844</v>
      </c>
      <c r="O45" s="124">
        <f t="shared" si="15"/>
        <v>344800</v>
      </c>
      <c r="P45" s="124">
        <f t="shared" si="8"/>
        <v>-421.52061855670104</v>
      </c>
      <c r="Q45" s="125">
        <f t="shared" si="16"/>
        <v>0.46123568619084399</v>
      </c>
    </row>
    <row r="46" spans="1:17">
      <c r="A46" s="50" t="s">
        <v>120</v>
      </c>
      <c r="C46" s="53">
        <f>VLOOKUP(A46,'Level 0'!$A$12:$I$102,9,FALSE)</f>
        <v>1012376</v>
      </c>
      <c r="D46" s="53">
        <f t="shared" si="6"/>
        <v>3163.6750000000002</v>
      </c>
      <c r="E46" s="67">
        <f t="shared" si="7"/>
        <v>3.1944213050612142</v>
      </c>
      <c r="G46" s="53">
        <v>656743.6</v>
      </c>
      <c r="H46" s="53">
        <f t="shared" si="11"/>
        <v>3456.5452631578946</v>
      </c>
      <c r="I46" s="67">
        <f t="shared" si="12"/>
        <v>3.4344203656444798</v>
      </c>
      <c r="K46" s="53">
        <v>623908.05000000005</v>
      </c>
      <c r="L46" s="53">
        <f t="shared" si="13"/>
        <v>3216.02087628866</v>
      </c>
      <c r="M46" s="67">
        <f t="shared" si="14"/>
        <v>3.1785176449011407</v>
      </c>
      <c r="O46" s="124">
        <f t="shared" si="15"/>
        <v>388467.94999999995</v>
      </c>
      <c r="P46" s="124">
        <f t="shared" si="8"/>
        <v>52.345876288659838</v>
      </c>
      <c r="Q46" s="125">
        <f t="shared" si="16"/>
        <v>1.5903660160073496E-2</v>
      </c>
    </row>
    <row r="47" spans="1:17">
      <c r="A47" s="58" t="s">
        <v>121</v>
      </c>
      <c r="C47" s="64">
        <f>VLOOKUP(A47,'Level 0'!$A$12:$I$102,8,FALSE)</f>
        <v>839838</v>
      </c>
      <c r="D47" s="64">
        <f t="shared" si="6"/>
        <v>2624.4937500000001</v>
      </c>
      <c r="E47" s="63">
        <f t="shared" si="7"/>
        <v>2.65</v>
      </c>
      <c r="G47" s="64">
        <v>506743.6</v>
      </c>
      <c r="H47" s="64">
        <f t="shared" si="11"/>
        <v>2667.0715789473684</v>
      </c>
      <c r="I47" s="63">
        <f t="shared" si="12"/>
        <v>2.65</v>
      </c>
      <c r="K47" s="64">
        <v>480908.05000000005</v>
      </c>
      <c r="L47" s="64">
        <f t="shared" si="13"/>
        <v>2478.9074742268044</v>
      </c>
      <c r="M47" s="63">
        <f t="shared" si="14"/>
        <v>2.4500000000000002</v>
      </c>
      <c r="O47" s="64">
        <f t="shared" si="15"/>
        <v>358929.94999999995</v>
      </c>
      <c r="P47" s="64">
        <f t="shared" si="8"/>
        <v>-145.58627577319567</v>
      </c>
      <c r="Q47" s="63">
        <f t="shared" si="16"/>
        <v>0.19999999999999973</v>
      </c>
    </row>
    <row r="48" spans="1:17">
      <c r="A48" s="58" t="s">
        <v>123</v>
      </c>
      <c r="C48" s="64">
        <f>VLOOKUP(A48,'Level 0'!$A$12:$I$102,8,FALSE)</f>
        <v>125000</v>
      </c>
      <c r="D48" s="64">
        <f t="shared" ref="D48" si="17">C48/$D$4</f>
        <v>390.625</v>
      </c>
      <c r="E48" s="63">
        <f t="shared" ref="E48" si="18">C48/$E$4</f>
        <v>0.3944213050612142</v>
      </c>
      <c r="G48" s="64">
        <v>125000</v>
      </c>
      <c r="H48" s="64">
        <f t="shared" si="11"/>
        <v>657.89473684210532</v>
      </c>
      <c r="I48" s="63">
        <f t="shared" si="12"/>
        <v>0.65368363803706653</v>
      </c>
      <c r="K48" s="64">
        <v>133000</v>
      </c>
      <c r="L48" s="64">
        <f t="shared" si="13"/>
        <v>685.56701030927832</v>
      </c>
      <c r="M48" s="63">
        <f t="shared" si="14"/>
        <v>0.67757235504791402</v>
      </c>
      <c r="O48" s="64">
        <f t="shared" si="15"/>
        <v>-8000</v>
      </c>
      <c r="P48" s="64">
        <f t="shared" si="8"/>
        <v>294.94201030927832</v>
      </c>
      <c r="Q48" s="63">
        <f t="shared" si="16"/>
        <v>-0.28315104998669982</v>
      </c>
    </row>
    <row r="49" spans="1:21">
      <c r="A49" s="58" t="s">
        <v>72</v>
      </c>
      <c r="C49" s="61">
        <f>C46-C47</f>
        <v>172538</v>
      </c>
      <c r="D49" s="61">
        <f t="shared" si="6"/>
        <v>539.18124999999998</v>
      </c>
      <c r="E49" s="61">
        <f t="shared" si="7"/>
        <v>0.54442130506121422</v>
      </c>
      <c r="G49" s="61">
        <f>G46-G47-G48</f>
        <v>25000</v>
      </c>
      <c r="H49" s="61">
        <f t="shared" si="11"/>
        <v>131.57894736842104</v>
      </c>
      <c r="I49" s="61">
        <f t="shared" si="12"/>
        <v>0.13073672760741328</v>
      </c>
      <c r="K49" s="61">
        <f>K46-K47-K48</f>
        <v>10000</v>
      </c>
      <c r="L49" s="61">
        <f t="shared" si="13"/>
        <v>51.546391752577321</v>
      </c>
      <c r="M49" s="61">
        <f t="shared" si="14"/>
        <v>5.0945289853226619E-2</v>
      </c>
      <c r="O49" s="61">
        <f t="shared" si="15"/>
        <v>162538</v>
      </c>
      <c r="P49" s="61">
        <f t="shared" si="8"/>
        <v>-487.63485824742264</v>
      </c>
      <c r="Q49" s="61">
        <f t="shared" si="16"/>
        <v>0.49347601520798762</v>
      </c>
    </row>
    <row r="50" spans="1:21">
      <c r="A50" s="50" t="s">
        <v>125</v>
      </c>
      <c r="C50" s="53">
        <f>VLOOKUP(A50,'Level 0'!$A$12:$I$102,9,FALSE)</f>
        <v>3407538</v>
      </c>
      <c r="D50" s="53">
        <f t="shared" si="6"/>
        <v>10648.55625</v>
      </c>
      <c r="E50" s="67">
        <f t="shared" si="7"/>
        <v>10.752044680045437</v>
      </c>
      <c r="G50" s="53">
        <v>1946110</v>
      </c>
      <c r="H50" s="53">
        <f t="shared" si="11"/>
        <v>10242.684210526315</v>
      </c>
      <c r="I50" s="67">
        <f t="shared" si="12"/>
        <v>10.177122118562524</v>
      </c>
      <c r="K50" s="53">
        <v>2072717.2631578948</v>
      </c>
      <c r="L50" s="53">
        <f t="shared" si="13"/>
        <v>10684.109603906674</v>
      </c>
      <c r="M50" s="67">
        <f t="shared" si="14"/>
        <v>10.559518175536555</v>
      </c>
      <c r="O50" s="124">
        <f t="shared" si="15"/>
        <v>1334820.7368421052</v>
      </c>
      <c r="P50" s="124">
        <f t="shared" si="8"/>
        <v>35.553353906674602</v>
      </c>
      <c r="Q50" s="125">
        <f t="shared" si="16"/>
        <v>0.19252650450888176</v>
      </c>
    </row>
    <row r="51" spans="1:21">
      <c r="A51" s="58" t="s">
        <v>127</v>
      </c>
      <c r="C51" s="64">
        <f>VLOOKUP(A51,'Level 0'!$A$12:$I$102,8,FALSE)</f>
        <v>3360000</v>
      </c>
      <c r="D51" s="64">
        <f t="shared" si="6"/>
        <v>10500</v>
      </c>
      <c r="E51" s="63">
        <f t="shared" si="7"/>
        <v>10.602044680045438</v>
      </c>
      <c r="G51" s="64">
        <v>1913110</v>
      </c>
      <c r="H51" s="64">
        <f t="shared" si="11"/>
        <v>10069</v>
      </c>
      <c r="I51" s="63">
        <f t="shared" si="12"/>
        <v>10.004549638120737</v>
      </c>
      <c r="K51" s="64">
        <v>2042105.2631578948</v>
      </c>
      <c r="L51" s="64">
        <f t="shared" si="13"/>
        <v>10526.315789473685</v>
      </c>
      <c r="M51" s="63">
        <f t="shared" si="14"/>
        <v>10.403564454237857</v>
      </c>
      <c r="O51" s="64">
        <f t="shared" si="15"/>
        <v>1317894.7368421052</v>
      </c>
      <c r="P51" s="64">
        <f t="shared" si="8"/>
        <v>26.315789473685072</v>
      </c>
      <c r="Q51" s="63">
        <f t="shared" si="16"/>
        <v>0.19848022580758062</v>
      </c>
    </row>
    <row r="52" spans="1:21">
      <c r="A52" s="58" t="s">
        <v>129</v>
      </c>
      <c r="C52" s="61">
        <f>VLOOKUP(A52,'Level 0'!$A$12:$I$102,8,FALSE)</f>
        <v>0</v>
      </c>
      <c r="D52" s="61">
        <f t="shared" si="6"/>
        <v>0</v>
      </c>
      <c r="E52" s="69">
        <f t="shared" si="7"/>
        <v>0</v>
      </c>
      <c r="G52" s="61">
        <v>0</v>
      </c>
      <c r="H52" s="61">
        <f t="shared" si="11"/>
        <v>0</v>
      </c>
      <c r="I52" s="69">
        <f t="shared" si="12"/>
        <v>0</v>
      </c>
      <c r="K52" s="61">
        <v>0</v>
      </c>
      <c r="L52" s="61">
        <f t="shared" si="13"/>
        <v>0</v>
      </c>
      <c r="M52" s="69">
        <f t="shared" si="14"/>
        <v>0</v>
      </c>
      <c r="O52" s="61">
        <f t="shared" si="15"/>
        <v>0</v>
      </c>
      <c r="P52" s="61">
        <f t="shared" si="8"/>
        <v>0</v>
      </c>
      <c r="Q52" s="69">
        <f t="shared" si="16"/>
        <v>0</v>
      </c>
    </row>
    <row r="53" spans="1:21">
      <c r="A53" s="58" t="s">
        <v>72</v>
      </c>
      <c r="C53" s="64">
        <f>C50-C51-C52</f>
        <v>47538</v>
      </c>
      <c r="D53" s="61">
        <f t="shared" si="6"/>
        <v>148.55625000000001</v>
      </c>
      <c r="E53" s="69">
        <f t="shared" si="7"/>
        <v>0.15</v>
      </c>
      <c r="G53" s="64">
        <f>G50-G51-G52</f>
        <v>33000</v>
      </c>
      <c r="H53" s="61">
        <f t="shared" si="11"/>
        <v>173.68421052631578</v>
      </c>
      <c r="I53" s="69">
        <f t="shared" si="12"/>
        <v>0.17257248044178555</v>
      </c>
      <c r="K53" s="64">
        <f>K50-K51-K52</f>
        <v>30612</v>
      </c>
      <c r="L53" s="61">
        <f t="shared" si="13"/>
        <v>157.79381443298968</v>
      </c>
      <c r="M53" s="69">
        <f t="shared" si="14"/>
        <v>0.15595372129869733</v>
      </c>
      <c r="O53" s="64">
        <f t="shared" si="15"/>
        <v>16926</v>
      </c>
      <c r="P53" s="61">
        <f t="shared" si="8"/>
        <v>9.2375644329896716</v>
      </c>
      <c r="Q53" s="69">
        <f t="shared" si="16"/>
        <v>-5.9537212986973398E-3</v>
      </c>
    </row>
    <row r="54" spans="1:21">
      <c r="A54" s="50" t="s">
        <v>130</v>
      </c>
      <c r="C54" s="56">
        <f>VLOOKUP(A54,'Level 0'!$A$12:$I$102,9,FALSE)</f>
        <v>3696000</v>
      </c>
      <c r="D54" s="56">
        <f t="shared" si="6"/>
        <v>11550</v>
      </c>
      <c r="E54" s="55">
        <f t="shared" si="7"/>
        <v>11.66224914804998</v>
      </c>
      <c r="G54" s="56">
        <v>1891250</v>
      </c>
      <c r="H54" s="56">
        <f t="shared" si="11"/>
        <v>9953.9473684210534</v>
      </c>
      <c r="I54" s="55">
        <f t="shared" si="12"/>
        <v>9.890233443500815</v>
      </c>
      <c r="K54" s="56">
        <v>2078302.6000000003</v>
      </c>
      <c r="L54" s="56">
        <f t="shared" si="13"/>
        <v>10712.900000000001</v>
      </c>
      <c r="M54" s="55">
        <f t="shared" si="14"/>
        <v>10.587972835971453</v>
      </c>
      <c r="O54" s="122">
        <f t="shared" si="15"/>
        <v>1617697.3999999997</v>
      </c>
      <c r="P54" s="122">
        <f t="shared" si="8"/>
        <v>-837.09999999999854</v>
      </c>
      <c r="Q54" s="123">
        <f t="shared" si="16"/>
        <v>1.0742763120785277</v>
      </c>
    </row>
    <row r="55" spans="1:21">
      <c r="A55" s="50" t="s">
        <v>131</v>
      </c>
      <c r="C55" s="53">
        <f>VLOOKUP(A55,'Level 0'!$A$12:$I$102,9,FALSE)</f>
        <v>4595340</v>
      </c>
      <c r="D55" s="53">
        <f t="shared" si="6"/>
        <v>14360.4375</v>
      </c>
      <c r="E55" s="67">
        <f t="shared" si="7"/>
        <v>14.5</v>
      </c>
      <c r="G55" s="53">
        <v>2265457.4400000004</v>
      </c>
      <c r="H55" s="53">
        <f t="shared" si="11"/>
        <v>11923.460210526318</v>
      </c>
      <c r="I55" s="67">
        <f t="shared" si="12"/>
        <v>11.847139689578716</v>
      </c>
      <c r="K55" s="53">
        <v>2246065.4308303986</v>
      </c>
      <c r="L55" s="53">
        <f t="shared" si="13"/>
        <v>11577.656859950508</v>
      </c>
      <c r="M55" s="67">
        <f t="shared" si="14"/>
        <v>11.442645440296698</v>
      </c>
      <c r="O55" s="124">
        <f t="shared" si="15"/>
        <v>2349274.5691696014</v>
      </c>
      <c r="P55" s="124">
        <f t="shared" si="8"/>
        <v>-2782.7806400494919</v>
      </c>
      <c r="Q55" s="125">
        <f t="shared" si="16"/>
        <v>3.0573545597033025</v>
      </c>
    </row>
    <row r="56" spans="1:21">
      <c r="A56" s="58" t="s">
        <v>133</v>
      </c>
      <c r="C56" s="64">
        <f>VLOOKUP(A56,'Level 0'!$A$12:$I$102,8,FALSE)</f>
        <v>3961500</v>
      </c>
      <c r="D56" s="64">
        <f t="shared" si="6"/>
        <v>12379.6875</v>
      </c>
      <c r="E56" s="63">
        <f t="shared" si="7"/>
        <v>12.5</v>
      </c>
      <c r="G56" s="64">
        <v>1923713.4400000002</v>
      </c>
      <c r="H56" s="64">
        <f t="shared" si="11"/>
        <v>10124.80757894737</v>
      </c>
      <c r="I56" s="63">
        <f t="shared" si="12"/>
        <v>10.06</v>
      </c>
      <c r="K56" s="64">
        <v>1910569.4308303986</v>
      </c>
      <c r="L56" s="64">
        <f t="shared" si="13"/>
        <v>9848.2960352082409</v>
      </c>
      <c r="M56" s="63">
        <f t="shared" si="14"/>
        <v>9.7334513438368866</v>
      </c>
      <c r="O56" s="64">
        <f t="shared" si="15"/>
        <v>2050930.5691696014</v>
      </c>
      <c r="P56" s="64">
        <f t="shared" si="8"/>
        <v>-2531.3914647917591</v>
      </c>
      <c r="Q56" s="63">
        <f t="shared" si="16"/>
        <v>2.7665486561631134</v>
      </c>
    </row>
    <row r="57" spans="1:21">
      <c r="A57" s="58" t="s">
        <v>72</v>
      </c>
      <c r="C57" s="61">
        <f>C55-C56</f>
        <v>633840</v>
      </c>
      <c r="D57" s="61">
        <f t="shared" si="6"/>
        <v>1980.75</v>
      </c>
      <c r="E57" s="69">
        <f t="shared" si="7"/>
        <v>2</v>
      </c>
      <c r="G57" s="61">
        <f>G55-G56</f>
        <v>341744.00000000023</v>
      </c>
      <c r="H57" s="61">
        <f t="shared" si="11"/>
        <v>1798.6526315789486</v>
      </c>
      <c r="I57" s="69">
        <f t="shared" si="12"/>
        <v>1.7871396895787153</v>
      </c>
      <c r="K57" s="61">
        <f>K55-K56</f>
        <v>335496</v>
      </c>
      <c r="L57" s="61">
        <f t="shared" si="13"/>
        <v>1729.3608247422681</v>
      </c>
      <c r="M57" s="69">
        <f t="shared" si="14"/>
        <v>1.7091940964598118</v>
      </c>
      <c r="O57" s="61">
        <f t="shared" si="15"/>
        <v>298344</v>
      </c>
      <c r="P57" s="61">
        <f t="shared" si="8"/>
        <v>-251.38917525773195</v>
      </c>
      <c r="Q57" s="69">
        <f t="shared" si="16"/>
        <v>0.2908059035401882</v>
      </c>
    </row>
    <row r="58" spans="1:21">
      <c r="A58" s="50" t="s">
        <v>136</v>
      </c>
      <c r="C58" s="53">
        <f>VLOOKUP(A58,'Level 0'!$A$12:$I$102,9,FALSE)</f>
        <v>224000</v>
      </c>
      <c r="D58" s="53">
        <f t="shared" si="6"/>
        <v>700</v>
      </c>
      <c r="E58" s="67">
        <f t="shared" si="7"/>
        <v>0.70680297866969577</v>
      </c>
      <c r="G58" s="53">
        <v>87850.8</v>
      </c>
      <c r="H58" s="53">
        <f t="shared" si="11"/>
        <v>462.37263157894739</v>
      </c>
      <c r="I58" s="67">
        <f t="shared" si="12"/>
        <v>0.45941304438773378</v>
      </c>
      <c r="K58" s="53">
        <v>117610.51</v>
      </c>
      <c r="L58" s="53">
        <f t="shared" si="13"/>
        <v>606.23974226804125</v>
      </c>
      <c r="M58" s="67">
        <f t="shared" si="14"/>
        <v>0.59917015217358072</v>
      </c>
      <c r="O58" s="124">
        <f t="shared" si="15"/>
        <v>106389.49</v>
      </c>
      <c r="P58" s="124">
        <f t="shared" si="8"/>
        <v>-93.760257731958745</v>
      </c>
      <c r="Q58" s="125">
        <f t="shared" si="16"/>
        <v>0.10763282649611505</v>
      </c>
    </row>
    <row r="59" spans="1:21">
      <c r="A59" s="50" t="s">
        <v>138</v>
      </c>
      <c r="C59" s="53">
        <f>VLOOKUP(A59,'Level 0'!$A$12:$I$102,9,FALSE)</f>
        <v>823992</v>
      </c>
      <c r="D59" s="53">
        <f t="shared" si="6"/>
        <v>2574.9749999999999</v>
      </c>
      <c r="E59" s="67">
        <f t="shared" si="7"/>
        <v>2.6</v>
      </c>
      <c r="G59" s="53">
        <v>475001.45885714283</v>
      </c>
      <c r="H59" s="53">
        <f t="shared" si="11"/>
        <v>2500.0076781954886</v>
      </c>
      <c r="I59" s="67">
        <f t="shared" si="12"/>
        <v>2.4840054535892087</v>
      </c>
      <c r="K59" s="53">
        <v>521084</v>
      </c>
      <c r="L59" s="53">
        <f t="shared" si="13"/>
        <v>2686</v>
      </c>
      <c r="M59" s="67">
        <f t="shared" si="14"/>
        <v>2.6546775417878741</v>
      </c>
      <c r="O59" s="124">
        <f t="shared" si="15"/>
        <v>302908</v>
      </c>
      <c r="P59" s="124">
        <f t="shared" si="8"/>
        <v>111.02500000000009</v>
      </c>
      <c r="Q59" s="125">
        <f t="shared" si="16"/>
        <v>-5.4677541787873984E-2</v>
      </c>
    </row>
    <row r="60" spans="1:21">
      <c r="A60" s="58" t="s">
        <v>139</v>
      </c>
      <c r="C60" s="64">
        <f>VLOOKUP(A60,'Level 0'!$A$12:$I$102,8,FALSE)</f>
        <v>522918</v>
      </c>
      <c r="D60" s="64">
        <f t="shared" si="6"/>
        <v>1634.1187500000001</v>
      </c>
      <c r="E60" s="63">
        <f t="shared" si="7"/>
        <v>1.65</v>
      </c>
      <c r="G60" s="64">
        <v>267044.31599999999</v>
      </c>
      <c r="H60" s="64">
        <f t="shared" si="11"/>
        <v>1405.4964</v>
      </c>
      <c r="I60" s="63">
        <f t="shared" si="12"/>
        <v>1.3964999999999999</v>
      </c>
      <c r="K60" s="64">
        <v>322622</v>
      </c>
      <c r="L60" s="64">
        <f t="shared" si="13"/>
        <v>1663</v>
      </c>
      <c r="M60" s="63">
        <f t="shared" si="14"/>
        <v>1.6436071303027679</v>
      </c>
      <c r="O60" s="64">
        <f t="shared" si="15"/>
        <v>200296</v>
      </c>
      <c r="P60" s="64">
        <f t="shared" si="8"/>
        <v>28.881249999999909</v>
      </c>
      <c r="Q60" s="63">
        <f t="shared" si="16"/>
        <v>6.3928696972319621E-3</v>
      </c>
    </row>
    <row r="61" spans="1:21">
      <c r="A61" s="58" t="s">
        <v>72</v>
      </c>
      <c r="C61" s="61">
        <f>C59-C60</f>
        <v>301074</v>
      </c>
      <c r="D61" s="61">
        <f t="shared" si="6"/>
        <v>940.85625000000005</v>
      </c>
      <c r="E61" s="61">
        <f t="shared" si="7"/>
        <v>0.95</v>
      </c>
      <c r="G61" s="61">
        <f>G59-G60</f>
        <v>207957.14285714284</v>
      </c>
      <c r="H61" s="61">
        <f t="shared" si="11"/>
        <v>1094.5112781954886</v>
      </c>
      <c r="I61" s="61">
        <f t="shared" si="12"/>
        <v>1.0875054535892086</v>
      </c>
      <c r="K61" s="61">
        <f>K59-K60</f>
        <v>198462</v>
      </c>
      <c r="L61" s="61">
        <f t="shared" si="13"/>
        <v>1023</v>
      </c>
      <c r="M61" s="61">
        <f t="shared" si="14"/>
        <v>1.0110704114851061</v>
      </c>
      <c r="O61" s="61">
        <f t="shared" si="15"/>
        <v>102612</v>
      </c>
      <c r="P61" s="61">
        <f t="shared" si="8"/>
        <v>82.143749999999955</v>
      </c>
      <c r="Q61" s="61">
        <f t="shared" si="16"/>
        <v>-6.1070411485106169E-2</v>
      </c>
    </row>
    <row r="62" spans="1:21">
      <c r="A62" s="50" t="s">
        <v>141</v>
      </c>
      <c r="C62" s="53">
        <f>VLOOKUP(A62,'Level 0'!$A$12:$I$102,9,FALSE)</f>
        <v>782531</v>
      </c>
      <c r="D62" s="53">
        <f t="shared" si="6"/>
        <v>2445.4093750000002</v>
      </c>
      <c r="E62" s="67">
        <f t="shared" si="7"/>
        <v>2.4691751861668561</v>
      </c>
      <c r="G62" s="53">
        <v>669372.75</v>
      </c>
      <c r="H62" s="53">
        <f t="shared" si="11"/>
        <v>3523.0144736842103</v>
      </c>
      <c r="I62" s="67">
        <f t="shared" si="12"/>
        <v>3.5004641153830063</v>
      </c>
      <c r="K62" s="53">
        <v>347262</v>
      </c>
      <c r="L62" s="53">
        <f t="shared" si="13"/>
        <v>1790.0103092783504</v>
      </c>
      <c r="M62" s="67">
        <f t="shared" si="14"/>
        <v>1.7691363245011182</v>
      </c>
      <c r="O62" s="124">
        <f t="shared" si="15"/>
        <v>435269</v>
      </c>
      <c r="P62" s="124">
        <f t="shared" si="8"/>
        <v>-655.39906572164978</v>
      </c>
      <c r="Q62" s="125">
        <f t="shared" si="16"/>
        <v>0.70003886166573781</v>
      </c>
      <c r="S62" s="127">
        <f>O62</f>
        <v>435269</v>
      </c>
    </row>
    <row r="63" spans="1:21">
      <c r="A63" s="58" t="s">
        <v>143</v>
      </c>
      <c r="C63" s="61">
        <f>VLOOKUP(A63,'Level 0'!$A$12:$I$102,8,FALSE)</f>
        <v>652431</v>
      </c>
      <c r="D63" s="61">
        <f t="shared" ref="D63" si="19">C63/$D$4</f>
        <v>2038.846875</v>
      </c>
      <c r="E63" s="69">
        <f t="shared" ref="E63" si="20">C63/$E$4</f>
        <v>2.0586614918591444</v>
      </c>
      <c r="G63" s="61">
        <v>479614</v>
      </c>
      <c r="H63" s="61">
        <f t="shared" si="11"/>
        <v>2524.2842105263157</v>
      </c>
      <c r="I63" s="69">
        <f t="shared" si="12"/>
        <v>2.5081265949880769</v>
      </c>
      <c r="K63" s="61">
        <v>156000</v>
      </c>
      <c r="L63" s="61">
        <f t="shared" si="13"/>
        <v>804.12371134020623</v>
      </c>
      <c r="M63" s="69">
        <f t="shared" si="14"/>
        <v>0.79474652171033522</v>
      </c>
      <c r="O63" s="61">
        <f t="shared" si="15"/>
        <v>496431</v>
      </c>
      <c r="P63" s="61">
        <f t="shared" si="8"/>
        <v>-1234.7231636597937</v>
      </c>
      <c r="Q63" s="69">
        <f t="shared" si="16"/>
        <v>1.263914970148809</v>
      </c>
      <c r="S63" s="128">
        <f>O63</f>
        <v>496431</v>
      </c>
      <c r="U63" t="s">
        <v>225</v>
      </c>
    </row>
    <row r="64" spans="1:21">
      <c r="A64" s="58" t="s">
        <v>72</v>
      </c>
      <c r="C64" s="61">
        <f>C62-SUM(C63:C63)</f>
        <v>130100</v>
      </c>
      <c r="D64" s="61">
        <f t="shared" si="6"/>
        <v>406.5625</v>
      </c>
      <c r="E64" s="69">
        <f t="shared" si="7"/>
        <v>0.41051369430771173</v>
      </c>
      <c r="G64" s="61">
        <f>G62-SUM(G63:G63)</f>
        <v>189758.75</v>
      </c>
      <c r="H64" s="61">
        <f t="shared" si="11"/>
        <v>998.73026315789468</v>
      </c>
      <c r="I64" s="69">
        <f t="shared" si="12"/>
        <v>0.99233752039492951</v>
      </c>
      <c r="K64" s="61">
        <f>K62-SUM(K63:K63)</f>
        <v>191262</v>
      </c>
      <c r="L64" s="61">
        <f t="shared" si="13"/>
        <v>985.88659793814429</v>
      </c>
      <c r="M64" s="69">
        <f t="shared" si="14"/>
        <v>0.97438980279078302</v>
      </c>
      <c r="O64" s="61">
        <f t="shared" si="15"/>
        <v>-61162</v>
      </c>
      <c r="P64" s="61">
        <f t="shared" si="8"/>
        <v>579.32409793814429</v>
      </c>
      <c r="Q64" s="69">
        <f t="shared" si="16"/>
        <v>-0.56387610848307124</v>
      </c>
    </row>
    <row r="65" spans="1:21">
      <c r="A65" s="50" t="s">
        <v>147</v>
      </c>
      <c r="C65" s="53">
        <f>VLOOKUP(A65,'Level 0'!$A$12:$I$102,9,FALSE)</f>
        <v>5109722.3599999994</v>
      </c>
      <c r="D65" s="53">
        <f t="shared" si="6"/>
        <v>15967.882374999997</v>
      </c>
      <c r="E65" s="67">
        <f t="shared" si="7"/>
        <v>16.123066893853338</v>
      </c>
      <c r="G65" s="53">
        <v>2276962.98</v>
      </c>
      <c r="H65" s="53">
        <f t="shared" si="11"/>
        <v>11984.015684210526</v>
      </c>
      <c r="I65" s="67">
        <f t="shared" si="12"/>
        <v>11.907307555536962</v>
      </c>
      <c r="K65" s="53">
        <v>2005246.9073471352</v>
      </c>
      <c r="L65" s="53">
        <f t="shared" si="13"/>
        <v>10336.324264675955</v>
      </c>
      <c r="M65" s="67">
        <f t="shared" si="14"/>
        <v>10.215788492208606</v>
      </c>
      <c r="O65" s="124">
        <f t="shared" si="15"/>
        <v>3104475.4526528642</v>
      </c>
      <c r="P65" s="124">
        <f t="shared" si="8"/>
        <v>-5631.558110324042</v>
      </c>
      <c r="Q65" s="125">
        <f t="shared" si="16"/>
        <v>5.9072784016447315</v>
      </c>
    </row>
    <row r="66" spans="1:21">
      <c r="A66" s="58" t="s">
        <v>148</v>
      </c>
      <c r="C66" s="61">
        <f>VLOOKUP(A66,'Level 0'!$A$12:$I$102,8,FALSE)+'Level 0'!H76</f>
        <v>841161</v>
      </c>
      <c r="D66" s="61">
        <f t="shared" si="6"/>
        <v>2628.6281250000002</v>
      </c>
      <c r="E66" s="69">
        <f t="shared" si="7"/>
        <v>2.654174555092768</v>
      </c>
      <c r="G66" s="61">
        <v>660378</v>
      </c>
      <c r="H66" s="61">
        <f t="shared" si="11"/>
        <v>3475.6736842105265</v>
      </c>
      <c r="I66" s="69">
        <f t="shared" si="12"/>
        <v>3.453426348157135</v>
      </c>
      <c r="K66" s="61">
        <v>639940</v>
      </c>
      <c r="L66" s="61">
        <f t="shared" si="13"/>
        <v>3298.6597938144332</v>
      </c>
      <c r="M66" s="69">
        <f t="shared" si="14"/>
        <v>3.2601928788673842</v>
      </c>
      <c r="O66" s="61">
        <f t="shared" si="15"/>
        <v>201221</v>
      </c>
      <c r="P66" s="61">
        <f t="shared" si="8"/>
        <v>670.03166881443303</v>
      </c>
      <c r="Q66" s="69">
        <f t="shared" si="16"/>
        <v>-0.60601832377461617</v>
      </c>
    </row>
    <row r="67" spans="1:21">
      <c r="A67" s="58" t="s">
        <v>150</v>
      </c>
      <c r="C67" s="61">
        <f>VLOOKUP(A67,'Level 0'!$A$12:$I$102,8,FALSE)</f>
        <v>2237639.36</v>
      </c>
      <c r="D67" s="61">
        <f t="shared" si="6"/>
        <v>6992.6229999999996</v>
      </c>
      <c r="E67" s="69">
        <f t="shared" si="7"/>
        <v>7.0605810930203203</v>
      </c>
      <c r="G67" s="61">
        <v>547151.57999999996</v>
      </c>
      <c r="H67" s="61">
        <f t="shared" ref="H67:H95" si="21">G67/$H$4</f>
        <v>2879.7451578947366</v>
      </c>
      <c r="I67" s="69">
        <f t="shared" ref="I67:I95" si="22">G67/$I$4</f>
        <v>2.8613122829770319</v>
      </c>
      <c r="K67" s="61">
        <v>669885.16845824628</v>
      </c>
      <c r="L67" s="61">
        <f t="shared" ref="L67:L95" si="23">K67/$L$4</f>
        <v>3453.0163322590015</v>
      </c>
      <c r="M67" s="69">
        <f t="shared" ref="M67:M95" si="24">K67/$M$4</f>
        <v>3.41274940754829</v>
      </c>
      <c r="O67" s="61">
        <f t="shared" ref="O67:O94" si="25">C67-K67</f>
        <v>1567754.1915417537</v>
      </c>
      <c r="P67" s="213">
        <f t="shared" si="8"/>
        <v>-3539.6066677409981</v>
      </c>
      <c r="Q67" s="69">
        <f t="shared" ref="Q67:Q94" si="26">E67-M67</f>
        <v>3.6478316854720303</v>
      </c>
    </row>
    <row r="68" spans="1:21">
      <c r="A68" s="58" t="s">
        <v>152</v>
      </c>
      <c r="C68" s="61">
        <f>VLOOKUP(A68,'Level 0'!$A$12:$I$102,8,FALSE)</f>
        <v>550578</v>
      </c>
      <c r="D68" s="61">
        <f t="shared" si="6"/>
        <v>1720.5562500000001</v>
      </c>
      <c r="E68" s="69">
        <f t="shared" si="7"/>
        <v>1.7372775463839454</v>
      </c>
      <c r="G68" s="61">
        <v>254473</v>
      </c>
      <c r="H68" s="61">
        <f t="shared" si="21"/>
        <v>1339.3315789473684</v>
      </c>
      <c r="I68" s="69">
        <f t="shared" si="22"/>
        <v>1.3307586913776512</v>
      </c>
      <c r="K68" s="61">
        <v>124343</v>
      </c>
      <c r="L68" s="61">
        <f t="shared" si="23"/>
        <v>640.9432989690722</v>
      </c>
      <c r="M68" s="69">
        <f t="shared" si="24"/>
        <v>0.63346901762197572</v>
      </c>
      <c r="O68" s="61">
        <f t="shared" si="25"/>
        <v>426235</v>
      </c>
      <c r="P68" s="61">
        <f t="shared" ref="P68:P95" si="27">L68-D68</f>
        <v>-1079.6129510309279</v>
      </c>
      <c r="Q68" s="69">
        <f t="shared" si="26"/>
        <v>1.1038085287619697</v>
      </c>
    </row>
    <row r="69" spans="1:21">
      <c r="A69" s="58" t="s">
        <v>153</v>
      </c>
      <c r="C69" s="61">
        <f>VLOOKUP(A69,'Level 0'!$A$12:$I$102,8,FALSE)</f>
        <v>504594</v>
      </c>
      <c r="D69" s="61">
        <f t="shared" si="6"/>
        <v>1576.85625</v>
      </c>
      <c r="E69" s="69">
        <f t="shared" si="7"/>
        <v>1.5921809920484664</v>
      </c>
      <c r="G69" s="61">
        <v>371834</v>
      </c>
      <c r="H69" s="61">
        <f t="shared" si="21"/>
        <v>1957.0210526315789</v>
      </c>
      <c r="I69" s="69">
        <f t="shared" si="22"/>
        <v>1.9444944149269967</v>
      </c>
      <c r="K69" s="61">
        <v>280237</v>
      </c>
      <c r="L69" s="61">
        <f t="shared" si="23"/>
        <v>1444.520618556701</v>
      </c>
      <c r="M69" s="69">
        <f t="shared" si="24"/>
        <v>1.4276755192598669</v>
      </c>
      <c r="O69" s="61">
        <f t="shared" si="25"/>
        <v>224357</v>
      </c>
      <c r="P69" s="61">
        <f t="shared" si="27"/>
        <v>-132.33563144329901</v>
      </c>
      <c r="Q69" s="69">
        <f t="shared" si="26"/>
        <v>0.1645054727885995</v>
      </c>
    </row>
    <row r="70" spans="1:21">
      <c r="A70" s="58" t="s">
        <v>72</v>
      </c>
      <c r="C70" s="64">
        <f>'Level 0'!H77</f>
        <v>975750</v>
      </c>
      <c r="D70" s="61">
        <f t="shared" si="6"/>
        <v>3049.21875</v>
      </c>
      <c r="E70" s="69">
        <f>C70/$E$4</f>
        <v>3.078852707307838</v>
      </c>
      <c r="G70" s="64">
        <f>G65-SUM(G66:G69)</f>
        <v>443126.39999999991</v>
      </c>
      <c r="H70" s="61">
        <f t="shared" si="21"/>
        <v>2332.2442105263153</v>
      </c>
      <c r="I70" s="69">
        <f>G70/$I$4</f>
        <v>2.3173158180981464</v>
      </c>
      <c r="K70" s="64">
        <v>290842</v>
      </c>
      <c r="L70" s="61">
        <f t="shared" si="23"/>
        <v>1499.1855670103093</v>
      </c>
      <c r="M70" s="69">
        <f t="shared" si="24"/>
        <v>1.4817029991492137</v>
      </c>
      <c r="O70" s="64">
        <f t="shared" si="25"/>
        <v>684908</v>
      </c>
      <c r="P70" s="61">
        <f t="shared" si="27"/>
        <v>-1550.0331829896907</v>
      </c>
      <c r="Q70" s="69">
        <f t="shared" si="26"/>
        <v>1.5971497081586243</v>
      </c>
    </row>
    <row r="71" spans="1:21">
      <c r="A71" s="50" t="s">
        <v>156</v>
      </c>
      <c r="C71" s="53">
        <f>VLOOKUP(A71,'Level 0'!$A$12:$I$102,9,FALSE)</f>
        <v>1900406</v>
      </c>
      <c r="D71" s="53">
        <f t="shared" si="6"/>
        <v>5938.7687500000002</v>
      </c>
      <c r="E71" s="67">
        <f t="shared" si="7"/>
        <v>5.9964849173292949</v>
      </c>
      <c r="G71" s="53">
        <v>2770772</v>
      </c>
      <c r="H71" s="53">
        <f t="shared" si="21"/>
        <v>14583.010526315789</v>
      </c>
      <c r="I71" s="67">
        <f t="shared" si="22"/>
        <v>14.489666569049911</v>
      </c>
      <c r="K71" s="53">
        <v>1619983</v>
      </c>
      <c r="L71" s="53">
        <f t="shared" si="23"/>
        <v>8350.4278350515469</v>
      </c>
      <c r="M71" s="67">
        <f t="shared" si="24"/>
        <v>8.2530503492299623</v>
      </c>
      <c r="O71" s="124">
        <f t="shared" si="25"/>
        <v>280423</v>
      </c>
      <c r="P71" s="124">
        <f t="shared" si="27"/>
        <v>2411.6590850515468</v>
      </c>
      <c r="Q71" s="125">
        <f t="shared" si="26"/>
        <v>-2.2565654319006674</v>
      </c>
      <c r="S71" s="127">
        <f>SUM(S72:S79)</f>
        <v>144715</v>
      </c>
    </row>
    <row r="72" spans="1:21">
      <c r="A72" s="58" t="s">
        <v>158</v>
      </c>
      <c r="C72" s="61">
        <f>VLOOKUP(A72,'Level 0'!$A$12:$I$102,8,FALSE)</f>
        <v>739197</v>
      </c>
      <c r="D72" s="61">
        <f t="shared" si="6"/>
        <v>2309.9906249999999</v>
      </c>
      <c r="E72" s="69">
        <f t="shared" si="7"/>
        <v>2.3324403634986748</v>
      </c>
      <c r="G72" s="61">
        <v>709904</v>
      </c>
      <c r="H72" s="61">
        <f t="shared" si="21"/>
        <v>3736.3368421052633</v>
      </c>
      <c r="I72" s="69">
        <f t="shared" si="22"/>
        <v>3.7124210350165252</v>
      </c>
      <c r="K72" s="61">
        <v>424224</v>
      </c>
      <c r="L72" s="61">
        <f t="shared" si="23"/>
        <v>2186.7216494845361</v>
      </c>
      <c r="M72" s="69">
        <f t="shared" si="24"/>
        <v>2.1612214642695209</v>
      </c>
      <c r="O72" s="61">
        <f t="shared" si="25"/>
        <v>314973</v>
      </c>
      <c r="P72" s="61">
        <f t="shared" si="27"/>
        <v>-123.26897551546381</v>
      </c>
      <c r="Q72" s="69">
        <f t="shared" si="26"/>
        <v>0.1712188992291539</v>
      </c>
      <c r="S72" s="61">
        <f>O72</f>
        <v>314973</v>
      </c>
      <c r="U72" t="s">
        <v>226</v>
      </c>
    </row>
    <row r="73" spans="1:21">
      <c r="A73" s="58" t="s">
        <v>160</v>
      </c>
      <c r="C73" s="61">
        <f>VLOOKUP(A73,'Level 0'!$A$12:$I$102,8,FALSE)</f>
        <v>191264</v>
      </c>
      <c r="D73" s="61">
        <f t="shared" si="6"/>
        <v>597.70000000000005</v>
      </c>
      <c r="E73" s="69">
        <f t="shared" si="7"/>
        <v>0.60350877192982455</v>
      </c>
      <c r="G73" s="61">
        <v>97548</v>
      </c>
      <c r="H73" s="61">
        <f t="shared" si="21"/>
        <v>513.41052631578953</v>
      </c>
      <c r="I73" s="69">
        <f t="shared" si="22"/>
        <v>0.51012425218591806</v>
      </c>
      <c r="K73" s="61">
        <v>68283</v>
      </c>
      <c r="L73" s="61">
        <f t="shared" si="23"/>
        <v>351.9742268041237</v>
      </c>
      <c r="M73" s="69">
        <f t="shared" si="24"/>
        <v>0.34786972270478733</v>
      </c>
      <c r="O73" s="61">
        <f t="shared" si="25"/>
        <v>122981</v>
      </c>
      <c r="P73" s="61">
        <f t="shared" si="27"/>
        <v>-245.72577319587634</v>
      </c>
      <c r="Q73" s="69">
        <f t="shared" si="26"/>
        <v>0.25563904922503722</v>
      </c>
    </row>
    <row r="74" spans="1:21">
      <c r="A74" s="58" t="s">
        <v>162</v>
      </c>
      <c r="C74" s="61">
        <f>VLOOKUP(A74,'Level 0'!$A$12:$I$102,8,FALSE)</f>
        <v>99151</v>
      </c>
      <c r="D74" s="61">
        <f t="shared" si="6"/>
        <v>309.84687500000001</v>
      </c>
      <c r="E74" s="69">
        <f t="shared" si="7"/>
        <v>0.31285813454499556</v>
      </c>
      <c r="G74" s="61">
        <v>165810.5</v>
      </c>
      <c r="H74" s="61">
        <f t="shared" si="21"/>
        <v>872.68684210526317</v>
      </c>
      <c r="I74" s="69">
        <f t="shared" si="22"/>
        <v>0.86710088691796006</v>
      </c>
      <c r="K74" s="61">
        <v>136424</v>
      </c>
      <c r="L74" s="61">
        <f t="shared" si="23"/>
        <v>703.21649484536078</v>
      </c>
      <c r="M74" s="69">
        <f t="shared" si="24"/>
        <v>0.69501602229365889</v>
      </c>
      <c r="O74" s="61">
        <f t="shared" si="25"/>
        <v>-37273</v>
      </c>
      <c r="P74" s="61">
        <f t="shared" si="27"/>
        <v>393.36961984536077</v>
      </c>
      <c r="Q74" s="69">
        <f t="shared" si="26"/>
        <v>-0.38215788774866333</v>
      </c>
    </row>
    <row r="75" spans="1:21">
      <c r="A75" s="58" t="s">
        <v>164</v>
      </c>
      <c r="C75" s="61">
        <f>VLOOKUP(A75,'Level 0'!$A$12:$I$102,8,FALSE)</f>
        <v>299500</v>
      </c>
      <c r="D75" s="61">
        <f t="shared" ref="D75:D95" si="28">C75/$D$4</f>
        <v>935.9375</v>
      </c>
      <c r="E75" s="69">
        <f t="shared" ref="E75:E95" si="29">C75/$E$4</f>
        <v>0.94503344692666924</v>
      </c>
      <c r="G75" s="61">
        <v>489421</v>
      </c>
      <c r="H75" s="61">
        <f t="shared" si="21"/>
        <v>2575.9</v>
      </c>
      <c r="I75" s="69">
        <f t="shared" si="22"/>
        <v>2.5594119984939128</v>
      </c>
      <c r="K75" s="61">
        <v>299756</v>
      </c>
      <c r="L75" s="61">
        <f t="shared" si="23"/>
        <v>1545.1340206185566</v>
      </c>
      <c r="M75" s="69">
        <f t="shared" si="24"/>
        <v>1.5271156305243798</v>
      </c>
      <c r="O75" s="61">
        <f t="shared" si="25"/>
        <v>-256</v>
      </c>
      <c r="P75" s="61">
        <f t="shared" si="27"/>
        <v>609.19652061855663</v>
      </c>
      <c r="Q75" s="69">
        <f t="shared" si="26"/>
        <v>-0.58208218359771058</v>
      </c>
      <c r="S75" s="61">
        <f t="shared" ref="S75:S76" si="30">O75</f>
        <v>-256</v>
      </c>
      <c r="U75" t="s">
        <v>227</v>
      </c>
    </row>
    <row r="76" spans="1:21">
      <c r="A76" s="58" t="s">
        <v>165</v>
      </c>
      <c r="C76" s="61">
        <f>VLOOKUP(A76,'Level 0'!$A$12:$I$102,8,FALSE)</f>
        <v>25000</v>
      </c>
      <c r="D76" s="61">
        <f t="shared" si="28"/>
        <v>78.125</v>
      </c>
      <c r="E76" s="69">
        <f t="shared" si="29"/>
        <v>7.8884261012242843E-2</v>
      </c>
      <c r="G76" s="61">
        <v>820185</v>
      </c>
      <c r="H76" s="61">
        <f t="shared" si="21"/>
        <v>4316.7631578947367</v>
      </c>
      <c r="I76" s="69">
        <f t="shared" si="22"/>
        <v>4.2891321173074513</v>
      </c>
      <c r="K76" s="61">
        <v>51885</v>
      </c>
      <c r="L76" s="61">
        <f t="shared" si="23"/>
        <v>267.44845360824741</v>
      </c>
      <c r="M76" s="69">
        <f t="shared" si="24"/>
        <v>0.26432963640346629</v>
      </c>
      <c r="O76" s="61">
        <f t="shared" si="25"/>
        <v>-26885</v>
      </c>
      <c r="P76" s="61">
        <f t="shared" si="27"/>
        <v>189.32345360824741</v>
      </c>
      <c r="Q76" s="69">
        <f t="shared" si="26"/>
        <v>-0.18544537539122347</v>
      </c>
      <c r="S76" s="61">
        <f t="shared" si="30"/>
        <v>-26885</v>
      </c>
      <c r="U76" t="s">
        <v>228</v>
      </c>
    </row>
    <row r="77" spans="1:21">
      <c r="A77" s="58" t="s">
        <v>166</v>
      </c>
      <c r="C77" s="61">
        <f>VLOOKUP(A77,'Level 0'!$A$12:$I$102,8,FALSE)</f>
        <v>50000</v>
      </c>
      <c r="D77" s="61">
        <f t="shared" si="28"/>
        <v>156.25</v>
      </c>
      <c r="E77" s="69">
        <f t="shared" si="29"/>
        <v>0.15776852202448569</v>
      </c>
      <c r="G77" s="61">
        <v>25000</v>
      </c>
      <c r="H77" s="61">
        <f t="shared" si="21"/>
        <v>131.57894736842104</v>
      </c>
      <c r="I77" s="69">
        <f t="shared" si="22"/>
        <v>0.13073672760741328</v>
      </c>
      <c r="K77" s="61">
        <v>0</v>
      </c>
      <c r="L77" s="61">
        <f t="shared" si="23"/>
        <v>0</v>
      </c>
      <c r="M77" s="69">
        <f t="shared" si="24"/>
        <v>0</v>
      </c>
      <c r="O77" s="61">
        <f t="shared" si="25"/>
        <v>50000</v>
      </c>
      <c r="P77" s="61">
        <f t="shared" si="27"/>
        <v>-156.25</v>
      </c>
      <c r="Q77" s="69">
        <f t="shared" si="26"/>
        <v>0.15776852202448569</v>
      </c>
      <c r="S77" s="61"/>
    </row>
    <row r="78" spans="1:21">
      <c r="A78" s="58" t="s">
        <v>168</v>
      </c>
      <c r="C78" s="61">
        <f>VLOOKUP(A78,'Level 0'!$A$12:$I$102,8,FALSE)</f>
        <v>171044</v>
      </c>
      <c r="D78" s="61">
        <f t="shared" si="28"/>
        <v>534.51250000000005</v>
      </c>
      <c r="E78" s="69">
        <f t="shared" si="29"/>
        <v>0.53970718162312259</v>
      </c>
      <c r="G78" s="61">
        <v>301303.5</v>
      </c>
      <c r="H78" s="61">
        <f t="shared" si="21"/>
        <v>1585.8078947368422</v>
      </c>
      <c r="I78" s="69">
        <f t="shared" si="22"/>
        <v>1.5756573442664101</v>
      </c>
      <c r="K78" s="61">
        <v>149161</v>
      </c>
      <c r="L78" s="61">
        <f t="shared" si="23"/>
        <v>768.87113402061857</v>
      </c>
      <c r="M78" s="69">
        <f t="shared" si="24"/>
        <v>0.75990503797971354</v>
      </c>
      <c r="O78" s="61">
        <f t="shared" si="25"/>
        <v>21883</v>
      </c>
      <c r="P78" s="61">
        <f t="shared" si="27"/>
        <v>234.35863402061852</v>
      </c>
      <c r="Q78" s="69">
        <f t="shared" si="26"/>
        <v>-0.22019785635659095</v>
      </c>
      <c r="S78" s="61">
        <f>O78</f>
        <v>21883</v>
      </c>
      <c r="U78" t="s">
        <v>229</v>
      </c>
    </row>
    <row r="79" spans="1:21">
      <c r="A79" s="58" t="s">
        <v>72</v>
      </c>
      <c r="C79" s="64">
        <f>C71-SUM(C72:C78)</f>
        <v>325250</v>
      </c>
      <c r="D79" s="61">
        <f t="shared" si="28"/>
        <v>1016.40625</v>
      </c>
      <c r="E79" s="69">
        <f t="shared" si="29"/>
        <v>1.0262842357692794</v>
      </c>
      <c r="G79" s="64">
        <f>G71-SUM(G72:G78)</f>
        <v>161600</v>
      </c>
      <c r="H79" s="61">
        <f t="shared" si="21"/>
        <v>850.52631578947364</v>
      </c>
      <c r="I79" s="69">
        <f t="shared" si="22"/>
        <v>0.8450822072543196</v>
      </c>
      <c r="K79" s="64">
        <f>K71-SUM(K72:K78)</f>
        <v>490250</v>
      </c>
      <c r="L79" s="61">
        <f t="shared" si="23"/>
        <v>2527.0618556701029</v>
      </c>
      <c r="M79" s="69">
        <f t="shared" si="24"/>
        <v>2.497592835054435</v>
      </c>
      <c r="O79" s="64">
        <f t="shared" si="25"/>
        <v>-165000</v>
      </c>
      <c r="P79" s="61">
        <f t="shared" si="27"/>
        <v>1510.6556056701029</v>
      </c>
      <c r="Q79" s="69">
        <f t="shared" si="26"/>
        <v>-1.4713085992851556</v>
      </c>
      <c r="S79" s="64">
        <f>O79</f>
        <v>-165000</v>
      </c>
      <c r="U79" t="s">
        <v>230</v>
      </c>
    </row>
    <row r="80" spans="1:21">
      <c r="A80" s="50" t="s">
        <v>169</v>
      </c>
      <c r="C80" s="56">
        <f>VLOOKUP(A80,'Level 0'!$A$12:$I$102,9,FALSE)</f>
        <v>15000</v>
      </c>
      <c r="D80" s="56">
        <f t="shared" si="28"/>
        <v>46.875</v>
      </c>
      <c r="E80" s="55">
        <f t="shared" si="29"/>
        <v>4.7330556607345704E-2</v>
      </c>
      <c r="G80" s="56">
        <v>7500</v>
      </c>
      <c r="H80" s="56">
        <f t="shared" si="21"/>
        <v>39.473684210526315</v>
      </c>
      <c r="I80" s="55">
        <f t="shared" si="22"/>
        <v>3.9221018282223991E-2</v>
      </c>
      <c r="K80" s="56">
        <v>7500</v>
      </c>
      <c r="L80" s="56">
        <f t="shared" si="23"/>
        <v>38.659793814432987</v>
      </c>
      <c r="M80" s="55">
        <f t="shared" si="24"/>
        <v>3.8208967389919968E-2</v>
      </c>
      <c r="O80" s="122">
        <f t="shared" si="25"/>
        <v>7500</v>
      </c>
      <c r="P80" s="122">
        <f t="shared" si="27"/>
        <v>-8.2152061855670127</v>
      </c>
      <c r="Q80" s="123">
        <f t="shared" si="26"/>
        <v>9.1215892174257365E-3</v>
      </c>
    </row>
    <row r="81" spans="1:21">
      <c r="A81" s="50" t="s">
        <v>171</v>
      </c>
      <c r="C81" s="56">
        <f>VLOOKUP(A81,'Level 0'!$A$12:$I$102,9,FALSE)</f>
        <v>480000</v>
      </c>
      <c r="D81" s="56">
        <f t="shared" si="28"/>
        <v>1500</v>
      </c>
      <c r="E81" s="55">
        <f t="shared" si="29"/>
        <v>1.5145778114350625</v>
      </c>
      <c r="G81" s="56">
        <v>350000</v>
      </c>
      <c r="H81" s="56">
        <f t="shared" si="21"/>
        <v>1842.1052631578948</v>
      </c>
      <c r="I81" s="55">
        <f t="shared" si="22"/>
        <v>1.8303141865037862</v>
      </c>
      <c r="K81" s="56">
        <v>392850</v>
      </c>
      <c r="L81" s="56">
        <f t="shared" si="23"/>
        <v>2025</v>
      </c>
      <c r="M81" s="55">
        <f t="shared" si="24"/>
        <v>2.0013857118840077</v>
      </c>
      <c r="O81" s="122">
        <f t="shared" si="25"/>
        <v>87150</v>
      </c>
      <c r="P81" s="122">
        <f t="shared" si="27"/>
        <v>525</v>
      </c>
      <c r="Q81" s="123">
        <f t="shared" si="26"/>
        <v>-0.48680790044894517</v>
      </c>
    </row>
    <row r="82" spans="1:21">
      <c r="A82" s="50" t="s">
        <v>173</v>
      </c>
      <c r="C82" s="56">
        <f>VLOOKUP(A82,'Level 0'!$A$12:$I$102,9,FALSE)</f>
        <v>325250</v>
      </c>
      <c r="D82" s="56">
        <f t="shared" si="28"/>
        <v>1016.40625</v>
      </c>
      <c r="E82" s="55">
        <f t="shared" si="29"/>
        <v>1.0262842357692794</v>
      </c>
      <c r="G82" s="56">
        <v>224512.69999999998</v>
      </c>
      <c r="H82" s="56">
        <f t="shared" si="21"/>
        <v>1181.6457894736841</v>
      </c>
      <c r="I82" s="55">
        <f t="shared" si="22"/>
        <v>1.1740822281721959</v>
      </c>
      <c r="K82" s="56">
        <v>234787.5</v>
      </c>
      <c r="L82" s="56">
        <f t="shared" si="23"/>
        <v>1210.2448453608247</v>
      </c>
      <c r="M82" s="55">
        <f t="shared" si="24"/>
        <v>1.1961317241414444</v>
      </c>
      <c r="O82" s="122">
        <f t="shared" si="25"/>
        <v>90462.5</v>
      </c>
      <c r="P82" s="122">
        <f t="shared" si="27"/>
        <v>193.83859536082468</v>
      </c>
      <c r="Q82" s="123">
        <f t="shared" si="26"/>
        <v>-0.16984748837216501</v>
      </c>
    </row>
    <row r="83" spans="1:21">
      <c r="A83" s="50" t="s">
        <v>175</v>
      </c>
      <c r="C83" s="56">
        <f>VLOOKUP(A83,'Level 0'!$A$12:$I$102,9,FALSE)</f>
        <v>879505.00644800009</v>
      </c>
      <c r="D83" s="56">
        <f t="shared" si="28"/>
        <v>2748.4531451500002</v>
      </c>
      <c r="E83" s="55">
        <f t="shared" si="29"/>
        <v>2.7751640996087343</v>
      </c>
      <c r="G83" s="56">
        <v>582710.28304323566</v>
      </c>
      <c r="H83" s="56">
        <f t="shared" si="21"/>
        <v>3066.8962265433456</v>
      </c>
      <c r="I83" s="55">
        <f t="shared" si="22"/>
        <v>3.0472654219304882</v>
      </c>
      <c r="K83" s="56">
        <f>K85</f>
        <v>516916.98930080794</v>
      </c>
      <c r="L83" s="56">
        <f t="shared" si="23"/>
        <v>2664.5205634062263</v>
      </c>
      <c r="M83" s="55">
        <f t="shared" si="24"/>
        <v>2.6334485849986904</v>
      </c>
      <c r="O83" s="122">
        <f t="shared" si="25"/>
        <v>362588.01714719215</v>
      </c>
      <c r="P83" s="122">
        <f t="shared" si="27"/>
        <v>-83.932581743773881</v>
      </c>
      <c r="Q83" s="123">
        <f t="shared" si="26"/>
        <v>0.14171551461004395</v>
      </c>
      <c r="S83" s="127">
        <f>O83</f>
        <v>362588.01714719215</v>
      </c>
    </row>
    <row r="84" spans="1:21">
      <c r="A84" s="58" t="s">
        <v>176</v>
      </c>
      <c r="C84" s="64">
        <f>VLOOKUP(A84,'Level 0'!$A$12:$I$102,8,FALSE)</f>
        <v>0</v>
      </c>
      <c r="D84" s="64">
        <f t="shared" si="28"/>
        <v>0</v>
      </c>
      <c r="E84" s="63">
        <f t="shared" si="29"/>
        <v>0</v>
      </c>
      <c r="G84" s="64">
        <v>0</v>
      </c>
      <c r="H84" s="64">
        <f t="shared" si="21"/>
        <v>0</v>
      </c>
      <c r="I84" s="63">
        <f t="shared" si="22"/>
        <v>0</v>
      </c>
      <c r="K84" s="64">
        <v>0</v>
      </c>
      <c r="L84" s="64">
        <f t="shared" si="23"/>
        <v>0</v>
      </c>
      <c r="M84" s="69">
        <f t="shared" si="24"/>
        <v>0</v>
      </c>
      <c r="O84" s="64">
        <f t="shared" si="25"/>
        <v>0</v>
      </c>
      <c r="P84" s="61">
        <f t="shared" si="27"/>
        <v>0</v>
      </c>
      <c r="Q84" s="69">
        <f t="shared" si="26"/>
        <v>0</v>
      </c>
      <c r="S84" s="64">
        <f t="shared" ref="S84:S85" si="31">O84</f>
        <v>0</v>
      </c>
    </row>
    <row r="85" spans="1:21">
      <c r="A85" s="58" t="s">
        <v>177</v>
      </c>
      <c r="C85" s="61">
        <f>VLOOKUP(A85,'Level 0'!$A$12:$I$102,8,FALSE)</f>
        <v>879505.00644800009</v>
      </c>
      <c r="D85" s="61">
        <f t="shared" si="28"/>
        <v>2748.4531451500002</v>
      </c>
      <c r="E85" s="69">
        <f t="shared" si="29"/>
        <v>2.7751640996087343</v>
      </c>
      <c r="G85" s="61">
        <v>582710.28304323566</v>
      </c>
      <c r="H85" s="61">
        <f t="shared" si="21"/>
        <v>3066.8962265433456</v>
      </c>
      <c r="I85" s="69">
        <f t="shared" si="22"/>
        <v>3.0472654219304882</v>
      </c>
      <c r="K85" s="61">
        <v>516916.98930080794</v>
      </c>
      <c r="L85" s="61">
        <f t="shared" si="23"/>
        <v>2664.5205634062263</v>
      </c>
      <c r="M85" s="69">
        <f t="shared" si="24"/>
        <v>2.6334485849986904</v>
      </c>
      <c r="O85" s="61">
        <f t="shared" si="25"/>
        <v>362588.01714719215</v>
      </c>
      <c r="P85" s="61">
        <f t="shared" si="27"/>
        <v>-83.932581743773881</v>
      </c>
      <c r="Q85" s="69">
        <f t="shared" si="26"/>
        <v>0.14171551461004395</v>
      </c>
      <c r="S85" s="64">
        <f t="shared" si="31"/>
        <v>362588.01714719215</v>
      </c>
      <c r="U85" t="s">
        <v>231</v>
      </c>
    </row>
    <row r="86" spans="1:21">
      <c r="A86" s="50" t="s">
        <v>178</v>
      </c>
      <c r="C86" s="56">
        <f>VLOOKUP(A86,'Level 0'!$A$12:$I$102,9,FALSE)</f>
        <v>1155000</v>
      </c>
      <c r="D86" s="56">
        <f t="shared" si="28"/>
        <v>3609.375</v>
      </c>
      <c r="E86" s="55">
        <f t="shared" si="29"/>
        <v>3.6444528587656189</v>
      </c>
      <c r="G86" s="56">
        <v>768200</v>
      </c>
      <c r="H86" s="56">
        <f t="shared" si="21"/>
        <v>4043.1578947368421</v>
      </c>
      <c r="I86" s="55">
        <f t="shared" si="22"/>
        <v>4.0172781659205956</v>
      </c>
      <c r="K86" s="56">
        <v>691024.09</v>
      </c>
      <c r="L86" s="56">
        <f t="shared" si="23"/>
        <v>3561.9798453608246</v>
      </c>
      <c r="M86" s="55">
        <f t="shared" si="24"/>
        <v>3.5204422560612159</v>
      </c>
      <c r="O86" s="122">
        <f t="shared" si="25"/>
        <v>463975.91000000003</v>
      </c>
      <c r="P86" s="122">
        <f t="shared" si="27"/>
        <v>-47.395154639175416</v>
      </c>
      <c r="Q86" s="123">
        <f t="shared" si="26"/>
        <v>0.12401060270440301</v>
      </c>
    </row>
    <row r="87" spans="1:21">
      <c r="A87" s="58" t="s">
        <v>179</v>
      </c>
      <c r="C87" s="64">
        <f>VLOOKUP(A87,'Level 0'!$A$12:$I$102,8,FALSE)</f>
        <v>675000</v>
      </c>
      <c r="D87" s="64">
        <f>C87/$D$4</f>
        <v>2109.375</v>
      </c>
      <c r="E87" s="63">
        <f t="shared" si="29"/>
        <v>2.1298750473305565</v>
      </c>
      <c r="G87" s="64">
        <v>500000</v>
      </c>
      <c r="H87" s="64">
        <f t="shared" si="21"/>
        <v>2631.5789473684213</v>
      </c>
      <c r="I87" s="63">
        <f t="shared" si="22"/>
        <v>2.6147345521482661</v>
      </c>
      <c r="K87" s="64">
        <v>500000</v>
      </c>
      <c r="L87" s="64">
        <f t="shared" si="23"/>
        <v>2577.319587628866</v>
      </c>
      <c r="M87" s="63">
        <f t="shared" si="24"/>
        <v>2.547264492661331</v>
      </c>
      <c r="O87" s="64">
        <f t="shared" si="25"/>
        <v>175000</v>
      </c>
      <c r="P87" s="64">
        <f t="shared" si="27"/>
        <v>467.94458762886597</v>
      </c>
      <c r="Q87" s="63">
        <f t="shared" si="26"/>
        <v>-0.41738944533077449</v>
      </c>
    </row>
    <row r="88" spans="1:21">
      <c r="A88" s="58" t="s">
        <v>72</v>
      </c>
      <c r="C88" s="61">
        <f>C86-C87</f>
        <v>480000</v>
      </c>
      <c r="D88" s="61">
        <f t="shared" si="28"/>
        <v>1500</v>
      </c>
      <c r="E88" s="69">
        <f t="shared" si="29"/>
        <v>1.5145778114350625</v>
      </c>
      <c r="G88" s="61">
        <f>G86-G87</f>
        <v>268200</v>
      </c>
      <c r="H88" s="61">
        <f t="shared" si="21"/>
        <v>1411.578947368421</v>
      </c>
      <c r="I88" s="69">
        <f t="shared" si="22"/>
        <v>1.4025436137723297</v>
      </c>
      <c r="K88" s="61">
        <f>K86-K87</f>
        <v>191024.08999999997</v>
      </c>
      <c r="L88" s="61">
        <f t="shared" si="23"/>
        <v>984.66025773195861</v>
      </c>
      <c r="M88" s="69">
        <f t="shared" si="24"/>
        <v>0.97317776339988471</v>
      </c>
      <c r="O88" s="61">
        <f t="shared" si="25"/>
        <v>288975.91000000003</v>
      </c>
      <c r="P88" s="61">
        <f t="shared" si="27"/>
        <v>-515.33974226804139</v>
      </c>
      <c r="Q88" s="69">
        <f t="shared" si="26"/>
        <v>0.54140004803517783</v>
      </c>
    </row>
    <row r="89" spans="1:21">
      <c r="A89" s="50" t="s">
        <v>181</v>
      </c>
      <c r="C89" s="56">
        <f>VLOOKUP(A89,'Level 0'!$A$12:$I$102,9,FALSE)</f>
        <v>2817177.3187853633</v>
      </c>
      <c r="D89" s="56">
        <f t="shared" si="28"/>
        <v>8803.6791212042608</v>
      </c>
      <c r="E89" s="55">
        <f t="shared" si="29"/>
        <v>8.8892380373134028</v>
      </c>
      <c r="G89" s="56">
        <v>1639003.2991789686</v>
      </c>
      <c r="H89" s="56">
        <f t="shared" si="21"/>
        <v>8626.3331535735197</v>
      </c>
      <c r="I89" s="55">
        <f t="shared" si="22"/>
        <v>8.5711171148965022</v>
      </c>
      <c r="K89" s="56">
        <v>1607491</v>
      </c>
      <c r="L89" s="56">
        <f t="shared" si="23"/>
        <v>8286.0360824742274</v>
      </c>
      <c r="M89" s="55">
        <f t="shared" si="24"/>
        <v>8.1894094931453107</v>
      </c>
      <c r="O89" s="122">
        <f t="shared" si="25"/>
        <v>1209686.3187853633</v>
      </c>
      <c r="P89" s="122">
        <f t="shared" si="27"/>
        <v>-517.64303873003337</v>
      </c>
      <c r="Q89" s="123">
        <f t="shared" si="26"/>
        <v>0.69982854416809204</v>
      </c>
    </row>
    <row r="90" spans="1:21">
      <c r="A90" s="50" t="s">
        <v>182</v>
      </c>
      <c r="C90" s="56">
        <f>VLOOKUP(A90,'Level 0'!$A$12:$I$102,9,FALSE)</f>
        <v>423289.74902540166</v>
      </c>
      <c r="D90" s="56">
        <f t="shared" si="28"/>
        <v>1322.7804657043803</v>
      </c>
      <c r="E90" s="55">
        <f t="shared" si="29"/>
        <v>1.3356359618370619</v>
      </c>
      <c r="G90" s="56">
        <v>824895.3255894843</v>
      </c>
      <c r="H90" s="56">
        <f t="shared" si="21"/>
        <v>4341.5543452078118</v>
      </c>
      <c r="I90" s="55">
        <f t="shared" si="22"/>
        <v>4.3137646194488362</v>
      </c>
      <c r="K90" s="56">
        <v>335996.04304552515</v>
      </c>
      <c r="L90" s="56">
        <f t="shared" si="23"/>
        <v>1731.9383662140472</v>
      </c>
      <c r="M90" s="55">
        <f t="shared" si="24"/>
        <v>1.7117415802491487</v>
      </c>
      <c r="O90" s="122">
        <f t="shared" si="25"/>
        <v>87293.705979876511</v>
      </c>
      <c r="P90" s="122">
        <f t="shared" si="27"/>
        <v>409.15790050966689</v>
      </c>
      <c r="Q90" s="123">
        <f t="shared" si="26"/>
        <v>-0.37610561841208678</v>
      </c>
    </row>
    <row r="91" spans="1:21">
      <c r="A91" s="50" t="s">
        <v>183</v>
      </c>
      <c r="C91" s="53">
        <f>VLOOKUP(A91,'Level 0'!$A$12:$I$102,9,FALSE)</f>
        <v>519910.23521598242</v>
      </c>
      <c r="D91" s="53">
        <f t="shared" si="28"/>
        <v>1624.719485049945</v>
      </c>
      <c r="E91" s="67">
        <f t="shared" si="29"/>
        <v>1.640509387908565</v>
      </c>
      <c r="G91" s="53">
        <v>206018.85576907583</v>
      </c>
      <c r="H91" s="53">
        <f t="shared" si="21"/>
        <v>1084.3097672056622</v>
      </c>
      <c r="I91" s="67">
        <f t="shared" si="22"/>
        <v>1.0773692411469054</v>
      </c>
      <c r="K91" s="53">
        <v>505187.23195447482</v>
      </c>
      <c r="L91" s="53">
        <f t="shared" si="23"/>
        <v>2604.0578966725507</v>
      </c>
      <c r="M91" s="67">
        <f t="shared" si="24"/>
        <v>2.5736909962069947</v>
      </c>
      <c r="O91" s="124">
        <f t="shared" si="25"/>
        <v>14723.003261507605</v>
      </c>
      <c r="P91" s="124">
        <f t="shared" si="27"/>
        <v>979.33841162260569</v>
      </c>
      <c r="Q91" s="125">
        <f t="shared" si="26"/>
        <v>-0.93318160829842967</v>
      </c>
    </row>
    <row r="92" spans="1:21">
      <c r="A92" s="50" t="s">
        <v>185</v>
      </c>
      <c r="C92" s="56">
        <f>VLOOKUP(A92,'Level 0'!$A$12:$I$102,9,FALSE)</f>
        <v>3756236.4250471513</v>
      </c>
      <c r="D92" s="56">
        <f t="shared" si="28"/>
        <v>11738.238828272348</v>
      </c>
      <c r="E92" s="55">
        <f t="shared" si="29"/>
        <v>11.852317383084536</v>
      </c>
      <c r="G92" s="56">
        <f>G93+G94</f>
        <v>2330841.1321729426</v>
      </c>
      <c r="H92" s="56">
        <f t="shared" si="21"/>
        <v>12267.584906173382</v>
      </c>
      <c r="I92" s="55">
        <f t="shared" si="22"/>
        <v>12.189061687721953</v>
      </c>
      <c r="K92" s="56">
        <f>K93+K94</f>
        <v>2256128</v>
      </c>
      <c r="L92" s="56">
        <f t="shared" si="23"/>
        <v>11629.525773195875</v>
      </c>
      <c r="M92" s="55">
        <f t="shared" si="24"/>
        <v>11.493909490598046</v>
      </c>
      <c r="O92" s="122">
        <f t="shared" si="25"/>
        <v>1500108.4250471513</v>
      </c>
      <c r="P92" s="122">
        <f t="shared" si="27"/>
        <v>-108.7130550764723</v>
      </c>
      <c r="Q92" s="123">
        <f t="shared" si="26"/>
        <v>0.35840789248648974</v>
      </c>
    </row>
    <row r="93" spans="1:21">
      <c r="A93" s="58" t="s">
        <v>187</v>
      </c>
      <c r="C93" s="64">
        <f>'Level 0'!H100</f>
        <v>939059.10626178794</v>
      </c>
      <c r="D93" s="64">
        <f t="shared" si="28"/>
        <v>2934.5597070680874</v>
      </c>
      <c r="E93" s="63">
        <f t="shared" si="29"/>
        <v>2.9630793457711344</v>
      </c>
      <c r="G93" s="64">
        <v>582710.28304323566</v>
      </c>
      <c r="H93" s="64">
        <f t="shared" si="21"/>
        <v>3066.8962265433456</v>
      </c>
      <c r="I93" s="63">
        <f t="shared" si="22"/>
        <v>3.0472654219304882</v>
      </c>
      <c r="K93" s="64">
        <v>564032</v>
      </c>
      <c r="L93" s="64">
        <f t="shared" si="23"/>
        <v>2907.3814432989689</v>
      </c>
      <c r="M93" s="63">
        <f t="shared" si="24"/>
        <v>2.8734773726495115</v>
      </c>
      <c r="O93" s="64">
        <f t="shared" si="25"/>
        <v>375027.10626178794</v>
      </c>
      <c r="P93" s="64">
        <f t="shared" si="27"/>
        <v>-27.17826376911853</v>
      </c>
      <c r="Q93" s="63">
        <f t="shared" si="26"/>
        <v>8.960197312162288E-2</v>
      </c>
    </row>
    <row r="94" spans="1:21">
      <c r="A94" s="58" t="s">
        <v>232</v>
      </c>
      <c r="C94" s="61">
        <f>C92-C93</f>
        <v>2817177.3187853633</v>
      </c>
      <c r="D94" s="61">
        <f t="shared" si="28"/>
        <v>8803.6791212042608</v>
      </c>
      <c r="E94" s="69">
        <f t="shared" si="29"/>
        <v>8.8892380373134028</v>
      </c>
      <c r="G94" s="61">
        <v>1748130.8491297069</v>
      </c>
      <c r="H94" s="61">
        <f t="shared" si="21"/>
        <v>9200.6886796300369</v>
      </c>
      <c r="I94" s="69">
        <f t="shared" si="22"/>
        <v>9.1417962657914629</v>
      </c>
      <c r="K94" s="61">
        <v>1692096</v>
      </c>
      <c r="L94" s="61">
        <f t="shared" si="23"/>
        <v>8722.1443298969079</v>
      </c>
      <c r="M94" s="69">
        <f t="shared" si="24"/>
        <v>8.6204321179485355</v>
      </c>
      <c r="O94" s="61">
        <f t="shared" si="25"/>
        <v>1125081.3187853633</v>
      </c>
      <c r="P94" s="61">
        <f t="shared" si="27"/>
        <v>-81.534791307352862</v>
      </c>
      <c r="Q94" s="69">
        <f t="shared" si="26"/>
        <v>0.26880591936486731</v>
      </c>
    </row>
    <row r="95" spans="1:21" ht="15" thickBot="1">
      <c r="A95" s="76" t="s">
        <v>189</v>
      </c>
      <c r="C95" s="112">
        <f>SUM(C89:C92,C71,C65,C62,C59,C58,C55,C54,C50,C46,C45,C41,SUM(C35:C37),C29,C26,C22,SUM(C12:C13),SUM(C6:C8),SUM(C80:C83),C86,C18)</f>
        <v>56343546.375707261</v>
      </c>
      <c r="D95" s="112">
        <f t="shared" si="28"/>
        <v>176073.58242408518</v>
      </c>
      <c r="E95" s="112">
        <f t="shared" si="29"/>
        <v>177.78476074626803</v>
      </c>
      <c r="G95" s="112">
        <f>SUM(G89:G92,G71,G65,G62,G59,G58,G55,G54,G50,G46,G45,G41,SUM(G35:G37),G29,G26,G22,SUM(G12:G13),SUM(G6:G8),SUM(G80:G83),G86,G18)</f>
        <v>34718983.047915488</v>
      </c>
      <c r="H95" s="112">
        <f t="shared" si="21"/>
        <v>182731.48972587098</v>
      </c>
      <c r="I95" s="112">
        <f t="shared" si="22"/>
        <v>181.56184918166909</v>
      </c>
      <c r="K95" s="112">
        <f>SUM(K89:K92,K71,K65,K62,K59,K58,K55,K54,K50,K46,K45,K41,SUM(K35:K37),K29,K26,K22,SUM(K12:K13),SUM(K6:K8),SUM(K80:K83),K86,K18)</f>
        <v>33450688.819341213</v>
      </c>
      <c r="L95" s="112">
        <f t="shared" si="23"/>
        <v>172426.23102753202</v>
      </c>
      <c r="M95" s="112">
        <f t="shared" si="24"/>
        <v>170.4155037691425</v>
      </c>
      <c r="O95" s="112">
        <f>SUM(O89:O92,O71,O65,O62,O59,O58,O55,O54,O50,O46,O45,O41,SUM(O35:O37),O29,O26,O22,SUM(O12:O13),SUM(O6:O8),SUM(O80:O83),O86,O18)</f>
        <v>22892857.556366049</v>
      </c>
      <c r="P95" s="112">
        <f t="shared" si="27"/>
        <v>-3647.3513965531602</v>
      </c>
      <c r="Q95" s="112">
        <f t="shared" ref="Q95" si="32">E95-M95</f>
        <v>7.3692569771255307</v>
      </c>
      <c r="S95" s="129">
        <f>S83+S71+S63</f>
        <v>1003734.0171471921</v>
      </c>
    </row>
  </sheetData>
  <printOptions horizontalCentered="1"/>
  <pageMargins left="0.2" right="0.2" top="0.75" bottom="0.25" header="0.15" footer="0"/>
  <pageSetup paperSize="3" scale="79" orientation="portrait" r:id="rId1"/>
  <headerFooter>
    <oddHeader>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BC6C-F6D2-4952-9DCF-038C56B98CFF}">
  <dimension ref="A3:T38"/>
  <sheetViews>
    <sheetView showGridLines="0" topLeftCell="A4" workbookViewId="0">
      <selection activeCell="O8" sqref="O8"/>
    </sheetView>
  </sheetViews>
  <sheetFormatPr defaultRowHeight="14.45"/>
  <cols>
    <col min="5" max="5" width="11.7109375" bestFit="1" customWidth="1"/>
    <col min="6" max="6" width="12.28515625" bestFit="1" customWidth="1"/>
    <col min="8" max="8" width="2.140625" customWidth="1"/>
    <col min="9" max="9" width="11.7109375" hidden="1" customWidth="1"/>
    <col min="10" max="10" width="8.7109375" hidden="1" customWidth="1"/>
    <col min="11" max="12" width="0" hidden="1" customWidth="1"/>
    <col min="13" max="13" width="11.7109375" bestFit="1" customWidth="1"/>
    <col min="14" max="14" width="8.7109375" bestFit="1" customWidth="1"/>
    <col min="17" max="17" width="10.7109375" bestFit="1" customWidth="1"/>
  </cols>
  <sheetData>
    <row r="3" spans="1:20">
      <c r="A3" s="130"/>
      <c r="B3" s="130"/>
      <c r="C3" s="130"/>
      <c r="D3" s="130"/>
      <c r="E3" s="215" t="s">
        <v>233</v>
      </c>
      <c r="F3" s="215"/>
      <c r="G3" s="215"/>
      <c r="H3" s="130"/>
      <c r="I3" s="214" t="s">
        <v>191</v>
      </c>
      <c r="J3" s="214"/>
      <c r="K3" s="214"/>
      <c r="L3" s="130"/>
      <c r="M3" s="227" t="s">
        <v>194</v>
      </c>
      <c r="N3" s="227"/>
      <c r="O3" s="227"/>
      <c r="P3" s="130"/>
      <c r="Q3" s="216" t="s">
        <v>234</v>
      </c>
      <c r="R3" s="216"/>
      <c r="S3" s="216"/>
      <c r="T3" s="130"/>
    </row>
    <row r="4" spans="1:20" ht="17.45">
      <c r="A4" s="130"/>
      <c r="C4" s="142"/>
      <c r="D4" s="142"/>
      <c r="E4" s="135" t="s">
        <v>235</v>
      </c>
      <c r="F4" s="135" t="s">
        <v>236</v>
      </c>
      <c r="G4" s="135" t="s">
        <v>237</v>
      </c>
      <c r="H4" s="130"/>
      <c r="I4" s="135" t="s">
        <v>235</v>
      </c>
      <c r="J4" s="135" t="s">
        <v>236</v>
      </c>
      <c r="K4" s="135" t="s">
        <v>237</v>
      </c>
      <c r="L4" s="136"/>
      <c r="M4" s="135" t="s">
        <v>235</v>
      </c>
      <c r="N4" s="135" t="s">
        <v>236</v>
      </c>
      <c r="O4" s="135" t="s">
        <v>237</v>
      </c>
      <c r="P4" s="130"/>
      <c r="Q4" s="135" t="s">
        <v>235</v>
      </c>
      <c r="R4" s="135" t="s">
        <v>236</v>
      </c>
      <c r="S4" s="135" t="s">
        <v>237</v>
      </c>
      <c r="T4" s="130"/>
    </row>
    <row r="5" spans="1:20" ht="17.45">
      <c r="A5" s="130"/>
      <c r="B5" s="131" t="s">
        <v>238</v>
      </c>
      <c r="C5" s="142"/>
      <c r="D5" s="142"/>
      <c r="E5" s="135"/>
      <c r="F5" s="135"/>
      <c r="G5" s="135"/>
      <c r="H5" s="130"/>
      <c r="I5" s="135"/>
      <c r="J5" s="135"/>
      <c r="K5" s="135"/>
      <c r="L5" s="136"/>
      <c r="M5" s="135"/>
      <c r="N5" s="135"/>
      <c r="O5" s="135"/>
      <c r="P5" s="130"/>
      <c r="Q5" s="135"/>
      <c r="R5" s="135"/>
      <c r="S5" s="135"/>
      <c r="T5" s="130"/>
    </row>
    <row r="6" spans="1:20">
      <c r="A6" s="130"/>
      <c r="B6" t="s">
        <v>239</v>
      </c>
      <c r="C6" s="142"/>
      <c r="D6" s="142"/>
      <c r="E6" s="144">
        <f>'Level 0'!I12</f>
        <v>2817177.3187853633</v>
      </c>
      <c r="F6" s="143">
        <f>E6/'Level 0'!B6</f>
        <v>8.8892380373134028</v>
      </c>
      <c r="G6" s="144">
        <f>E6/'Level 0'!D7</f>
        <v>8803.6791212042608</v>
      </c>
      <c r="H6" s="130"/>
      <c r="I6" s="144">
        <v>1787886.6883213853</v>
      </c>
      <c r="J6" s="143">
        <v>11.041790318190374</v>
      </c>
      <c r="K6" s="144">
        <v>9409.9299385336071</v>
      </c>
      <c r="L6" s="130"/>
      <c r="M6" s="144">
        <f>'Division Calculations'!K6</f>
        <v>1692096</v>
      </c>
      <c r="N6" s="143">
        <v>8.6291781821334972</v>
      </c>
      <c r="O6" s="144">
        <v>8537.5487643232136</v>
      </c>
      <c r="P6" s="130"/>
      <c r="Q6" s="144">
        <v>131602.2280426817</v>
      </c>
      <c r="R6" s="143">
        <v>2.4126121360568771</v>
      </c>
      <c r="S6" s="144">
        <v>872.38117421039351</v>
      </c>
      <c r="T6" s="145"/>
    </row>
    <row r="7" spans="1:20">
      <c r="A7" s="130"/>
      <c r="B7" t="s">
        <v>240</v>
      </c>
      <c r="C7" s="142"/>
      <c r="D7" s="142"/>
      <c r="E7" s="139"/>
      <c r="F7" s="143">
        <f>E7/'Level 0'!B7</f>
        <v>0</v>
      </c>
      <c r="G7" s="139">
        <f>E7/'Level 0'!D7</f>
        <v>0</v>
      </c>
      <c r="H7" s="130"/>
      <c r="I7" s="139">
        <v>8000</v>
      </c>
      <c r="J7" s="146">
        <v>4.9407114624505928E-2</v>
      </c>
      <c r="K7" s="139">
        <v>42.10526315789474</v>
      </c>
      <c r="L7" s="130"/>
      <c r="M7" s="139">
        <f>'Division Calculations'!K7</f>
        <v>3500</v>
      </c>
      <c r="N7" s="146">
        <v>1.8234865061998541E-2</v>
      </c>
      <c r="O7" s="139">
        <v>18.041237113402062</v>
      </c>
      <c r="P7" s="130"/>
      <c r="Q7" s="139">
        <v>4500</v>
      </c>
      <c r="R7" s="146">
        <v>3.1172249562507387E-2</v>
      </c>
      <c r="S7" s="139">
        <v>24.064026044492678</v>
      </c>
      <c r="T7" s="147"/>
    </row>
    <row r="8" spans="1:20">
      <c r="A8" s="130"/>
      <c r="B8" t="s">
        <v>241</v>
      </c>
      <c r="C8" s="142"/>
      <c r="D8" s="142"/>
      <c r="E8" s="139">
        <f>'Level 0'!I14</f>
        <v>1672110.7344</v>
      </c>
      <c r="F8" s="143">
        <f>E8/'Level 0'!B6</f>
        <v>5.2761287845513065</v>
      </c>
      <c r="G8" s="144">
        <f>E8/'Level 0'!D7</f>
        <v>5225.3460450000002</v>
      </c>
      <c r="H8" s="130"/>
      <c r="I8" s="139">
        <v>1097353.5501214834</v>
      </c>
      <c r="J8" s="146">
        <v>6.7771340793075803</v>
      </c>
      <c r="K8" s="139">
        <v>5775.5450006393867</v>
      </c>
      <c r="L8" s="130"/>
      <c r="M8" s="139">
        <f>'Division Calculations'!K8</f>
        <v>1089279.82</v>
      </c>
      <c r="N8" s="146">
        <v>5.6751058664165885</v>
      </c>
      <c r="O8" s="139">
        <v>5614.8444329896911</v>
      </c>
      <c r="P8" s="130"/>
      <c r="Q8" s="139">
        <v>8073.7301214833278</v>
      </c>
      <c r="R8" s="146">
        <v>1.1020282128909917</v>
      </c>
      <c r="S8" s="139">
        <v>160.70056764969559</v>
      </c>
      <c r="T8" s="148"/>
    </row>
    <row r="9" spans="1:20">
      <c r="A9" s="130"/>
      <c r="B9" t="s">
        <v>242</v>
      </c>
      <c r="C9" s="142"/>
      <c r="D9" s="142"/>
      <c r="E9" s="139">
        <f>'Level 0'!I18</f>
        <v>120000</v>
      </c>
      <c r="F9" s="143">
        <f>E9/'Level 0'!B6</f>
        <v>0.37864445285876563</v>
      </c>
      <c r="G9" s="139">
        <f>E9/'Level 0'!D7</f>
        <v>375</v>
      </c>
      <c r="H9" s="130"/>
      <c r="I9" s="139">
        <v>114000</v>
      </c>
      <c r="J9" s="146">
        <v>0.70405138339920947</v>
      </c>
      <c r="K9" s="139">
        <v>600</v>
      </c>
      <c r="L9" s="130"/>
      <c r="M9" s="139">
        <v>112800</v>
      </c>
      <c r="N9" s="146">
        <v>0.58768365114098153</v>
      </c>
      <c r="O9" s="139">
        <v>581.4432989690722</v>
      </c>
      <c r="P9" s="130"/>
      <c r="Q9" s="139">
        <v>1200</v>
      </c>
      <c r="R9" s="146">
        <v>0.11636773225822794</v>
      </c>
      <c r="S9" s="139">
        <v>18.556701030927798</v>
      </c>
      <c r="T9" s="149"/>
    </row>
    <row r="10" spans="1:20">
      <c r="A10" s="130"/>
      <c r="B10" t="s">
        <v>243</v>
      </c>
      <c r="C10" s="142"/>
      <c r="D10" s="142"/>
      <c r="E10" s="139">
        <f>'Level 0'!I19</f>
        <v>473612.79999999999</v>
      </c>
      <c r="F10" s="143">
        <f>E10/'Level 0'!B6</f>
        <v>1.4944238293575665</v>
      </c>
      <c r="G10" s="144">
        <f>E10/'Level 0'!D7</f>
        <v>1480.04</v>
      </c>
      <c r="H10" s="130"/>
      <c r="I10" s="139">
        <v>342950</v>
      </c>
      <c r="J10" s="146">
        <v>2.1180212450592886</v>
      </c>
      <c r="K10" s="139">
        <v>1805</v>
      </c>
      <c r="L10" s="130"/>
      <c r="M10" s="139">
        <v>325412.12789407256</v>
      </c>
      <c r="N10" s="146">
        <v>1.6953846404817785</v>
      </c>
      <c r="O10" s="139">
        <v>1677.3821025467657</v>
      </c>
      <c r="P10" s="130"/>
      <c r="Q10" s="139">
        <v>17537.872105927439</v>
      </c>
      <c r="R10" s="146">
        <v>0.42263660457751007</v>
      </c>
      <c r="S10" s="139">
        <v>127.61789745323426</v>
      </c>
      <c r="T10" s="149"/>
    </row>
    <row r="11" spans="1:20">
      <c r="A11" s="130"/>
      <c r="B11" t="s">
        <v>244</v>
      </c>
      <c r="C11" s="142"/>
      <c r="D11" s="142"/>
      <c r="E11" s="139">
        <f>'Level 0'!I24</f>
        <v>7050352</v>
      </c>
      <c r="F11" s="143">
        <f>E11/'Level 0'!B6</f>
        <v>22.246472295847532</v>
      </c>
      <c r="G11" s="139">
        <f>E11/'Level 0'!D7</f>
        <v>22032.35</v>
      </c>
      <c r="H11" s="130"/>
      <c r="I11" s="139">
        <v>4802924.5</v>
      </c>
      <c r="J11" s="146">
        <v>29.662330163043478</v>
      </c>
      <c r="K11" s="139">
        <v>25278.55</v>
      </c>
      <c r="L11" s="130"/>
      <c r="M11" s="139">
        <v>4804000.7</v>
      </c>
      <c r="N11" s="146">
        <v>25.028658434927582</v>
      </c>
      <c r="O11" s="139">
        <v>24762.89020618557</v>
      </c>
      <c r="P11" s="130"/>
      <c r="Q11" s="139">
        <v>-1076.2000000001863</v>
      </c>
      <c r="R11" s="146">
        <v>4.6336717281158961</v>
      </c>
      <c r="S11" s="139">
        <v>515.65979381442958</v>
      </c>
      <c r="T11" s="147"/>
    </row>
    <row r="12" spans="1:20">
      <c r="A12" s="130"/>
      <c r="B12" t="s">
        <v>245</v>
      </c>
      <c r="C12" s="142"/>
      <c r="D12" s="142"/>
      <c r="E12" s="139">
        <f>'Level 0'!I28</f>
        <v>1538368</v>
      </c>
      <c r="F12" s="143">
        <f>E12/'Level 0'!B6</f>
        <v>4.8541209137952794</v>
      </c>
      <c r="G12" s="144">
        <f>E12/'Level 0'!D7</f>
        <v>4807.3999999999996</v>
      </c>
      <c r="H12" s="130"/>
      <c r="I12" s="139">
        <v>943030.3</v>
      </c>
      <c r="J12" s="146">
        <v>5.8240507658102771</v>
      </c>
      <c r="K12" s="139">
        <v>4963.3173684210533</v>
      </c>
      <c r="L12" s="130"/>
      <c r="M12" s="139">
        <v>905486.76</v>
      </c>
      <c r="N12" s="146">
        <v>4.7175511097217884</v>
      </c>
      <c r="O12" s="139">
        <v>4667.4575257731958</v>
      </c>
      <c r="P12" s="130"/>
      <c r="Q12" s="139">
        <v>37543.540000000037</v>
      </c>
      <c r="R12" s="146">
        <v>1.1064996560884888</v>
      </c>
      <c r="S12" s="139">
        <v>295.85984264785748</v>
      </c>
      <c r="T12" s="147"/>
    </row>
    <row r="13" spans="1:20">
      <c r="A13" s="130"/>
      <c r="B13" t="s">
        <v>246</v>
      </c>
      <c r="C13" s="142"/>
      <c r="D13" s="142"/>
      <c r="E13" s="139">
        <f>'Level 0'!I32</f>
        <v>543076</v>
      </c>
      <c r="F13" s="143">
        <f>E13/'Level 0'!B6</f>
        <v>1.7136059573393916</v>
      </c>
      <c r="G13" s="139">
        <f>E13/'Level 0'!D7</f>
        <v>1697.1125</v>
      </c>
      <c r="H13" s="130"/>
      <c r="I13" s="139">
        <v>296000</v>
      </c>
      <c r="J13" s="146">
        <v>1.8280632411067195</v>
      </c>
      <c r="K13" s="139">
        <v>1557.8947368421052</v>
      </c>
      <c r="L13" s="130"/>
      <c r="M13" s="139">
        <v>279109.57894736843</v>
      </c>
      <c r="N13" s="146">
        <v>1.4541501456047121</v>
      </c>
      <c r="O13" s="139">
        <v>1438.7091698317961</v>
      </c>
      <c r="P13" s="130"/>
      <c r="Q13" s="139">
        <v>16890.421052631573</v>
      </c>
      <c r="R13" s="146">
        <v>0.37391309550200735</v>
      </c>
      <c r="S13" s="139">
        <v>119.18556701030911</v>
      </c>
      <c r="T13" s="149"/>
    </row>
    <row r="14" spans="1:20">
      <c r="A14" s="130"/>
      <c r="B14" t="s">
        <v>247</v>
      </c>
      <c r="C14" s="142"/>
      <c r="D14" s="142"/>
      <c r="E14" s="139">
        <f>'Level 0'!I35</f>
        <v>4943219.4280000003</v>
      </c>
      <c r="F14" s="143">
        <f>E14/'Level 0'!B6</f>
        <v>15.597688463965671</v>
      </c>
      <c r="G14" s="144">
        <f>E14/'Level 0'!D7</f>
        <v>15447.560712500001</v>
      </c>
      <c r="H14" s="130"/>
      <c r="I14" s="139">
        <v>3247896.5861538462</v>
      </c>
      <c r="J14" s="146">
        <v>20.058649865080572</v>
      </c>
      <c r="K14" s="139">
        <v>17094.192558704453</v>
      </c>
      <c r="L14" s="130"/>
      <c r="M14" s="139">
        <v>3261602.3529548887</v>
      </c>
      <c r="N14" s="146">
        <v>16.992822512008381</v>
      </c>
      <c r="O14" s="139">
        <v>16812.383262654064</v>
      </c>
      <c r="P14" s="130"/>
      <c r="Q14" s="139">
        <v>-13705.766801042482</v>
      </c>
      <c r="R14" s="146">
        <v>3.0658273530721907</v>
      </c>
      <c r="S14" s="139">
        <v>281.80929605038909</v>
      </c>
      <c r="T14" s="147"/>
    </row>
    <row r="15" spans="1:20">
      <c r="A15" s="130"/>
      <c r="B15" t="s">
        <v>248</v>
      </c>
      <c r="C15" s="142"/>
      <c r="D15" s="142"/>
      <c r="E15" s="139">
        <f>'Level 0'!I41</f>
        <v>411996</v>
      </c>
      <c r="F15" s="143">
        <f>E15/'Level 0'!B6</f>
        <v>1.3</v>
      </c>
      <c r="G15" s="139">
        <f>E15/'Level 0'!D7</f>
        <v>1287.4875</v>
      </c>
      <c r="H15" s="130"/>
      <c r="I15" s="139">
        <v>237500</v>
      </c>
      <c r="J15" s="146">
        <v>1.4667737154150198</v>
      </c>
      <c r="K15" s="139">
        <v>1250</v>
      </c>
      <c r="L15" s="130"/>
      <c r="M15" s="139">
        <v>233950</v>
      </c>
      <c r="N15" s="146">
        <v>1.2188704803584454</v>
      </c>
      <c r="O15" s="139">
        <v>1205.9278350515465</v>
      </c>
      <c r="P15" s="130"/>
      <c r="Q15" s="139">
        <v>3550</v>
      </c>
      <c r="R15" s="146">
        <v>0.24790323505657441</v>
      </c>
      <c r="S15" s="139">
        <v>44.072164948453519</v>
      </c>
      <c r="T15" s="149"/>
    </row>
    <row r="16" spans="1:20">
      <c r="A16" s="130"/>
      <c r="B16" t="s">
        <v>249</v>
      </c>
      <c r="C16" s="142"/>
      <c r="D16" s="142"/>
      <c r="E16" s="139">
        <f>'Level 0'!I42</f>
        <v>1116480</v>
      </c>
      <c r="F16" s="143">
        <f>E16/'Level 0'!B6</f>
        <v>3.5229079893979551</v>
      </c>
      <c r="G16" s="144">
        <f>E16/'Level 0'!D7</f>
        <v>3489</v>
      </c>
      <c r="H16" s="130"/>
      <c r="I16" s="139">
        <v>617500</v>
      </c>
      <c r="J16" s="146">
        <v>3.8136116600790513</v>
      </c>
      <c r="K16" s="139">
        <v>3250</v>
      </c>
      <c r="L16" s="130"/>
      <c r="M16" s="139">
        <v>621090.50256410253</v>
      </c>
      <c r="N16" s="146">
        <v>3.2358575730129338</v>
      </c>
      <c r="O16" s="139">
        <v>3201.4974358974359</v>
      </c>
      <c r="P16" s="130"/>
      <c r="Q16" s="139">
        <v>-3590.5025641025277</v>
      </c>
      <c r="R16" s="146">
        <v>0.57775408706611753</v>
      </c>
      <c r="S16" s="139">
        <v>48.502564102564065</v>
      </c>
      <c r="T16" s="147"/>
    </row>
    <row r="17" spans="1:20">
      <c r="A17" s="130"/>
      <c r="B17" t="s">
        <v>250</v>
      </c>
      <c r="C17" s="142"/>
      <c r="D17" s="142"/>
      <c r="E17" s="139">
        <f>'Level 0'!I43</f>
        <v>2034680</v>
      </c>
      <c r="F17" s="143">
        <f>E17/'Level 0'!B6</f>
        <v>6.4201691278556101</v>
      </c>
      <c r="G17" s="139">
        <f>E17/'Level 0'!D7</f>
        <v>6358.375</v>
      </c>
      <c r="H17" s="130"/>
      <c r="I17" s="139">
        <v>1021250</v>
      </c>
      <c r="J17" s="146">
        <v>6.307126976284585</v>
      </c>
      <c r="K17" s="139">
        <v>5375</v>
      </c>
      <c r="L17" s="130"/>
      <c r="M17" s="139">
        <v>1046615.3613445379</v>
      </c>
      <c r="N17" s="146">
        <v>5.452825681694998</v>
      </c>
      <c r="O17" s="139">
        <v>5394.9245430130823</v>
      </c>
      <c r="P17" s="130"/>
      <c r="Q17" s="139">
        <v>-25365.361344537931</v>
      </c>
      <c r="R17" s="146">
        <v>0.85430129458958692</v>
      </c>
      <c r="S17" s="139">
        <v>-19.924543013082257</v>
      </c>
      <c r="T17" s="147"/>
    </row>
    <row r="18" spans="1:20">
      <c r="A18" s="130"/>
      <c r="B18" t="s">
        <v>251</v>
      </c>
      <c r="C18" s="142"/>
      <c r="D18" s="142"/>
      <c r="E18" s="139">
        <f>'Level 0'!I47</f>
        <v>1023200</v>
      </c>
      <c r="F18" s="143">
        <f>E18/'Level 0'!B6</f>
        <v>3.2285750347090749</v>
      </c>
      <c r="G18" s="144">
        <f>E18/'Level 0'!D7</f>
        <v>3197.5</v>
      </c>
      <c r="H18" s="130"/>
      <c r="I18" s="139">
        <v>662875</v>
      </c>
      <c r="J18" s="146">
        <v>4.0938426383399209</v>
      </c>
      <c r="K18" s="139">
        <v>3488.8157894736842</v>
      </c>
      <c r="L18" s="130"/>
      <c r="M18" s="139">
        <v>572485</v>
      </c>
      <c r="N18" s="146">
        <v>2.9826247785766387</v>
      </c>
      <c r="O18" s="139">
        <v>2950.9536082474228</v>
      </c>
      <c r="P18" s="130"/>
      <c r="Q18" s="139">
        <v>90390</v>
      </c>
      <c r="R18" s="146">
        <v>1.1112178597632822</v>
      </c>
      <c r="S18" s="139">
        <v>537.86218122626133</v>
      </c>
      <c r="T18" s="147"/>
    </row>
    <row r="19" spans="1:20">
      <c r="A19" s="130"/>
      <c r="B19" t="s">
        <v>252</v>
      </c>
      <c r="C19" s="142"/>
      <c r="D19" s="142"/>
      <c r="E19" s="139">
        <f>'Level 0'!I51</f>
        <v>668000</v>
      </c>
      <c r="F19" s="143">
        <f>E19/'Level 0'!B6</f>
        <v>2.1077874542471284</v>
      </c>
      <c r="G19" s="139">
        <f>E19/'Level 0'!D7</f>
        <v>2087.5</v>
      </c>
      <c r="H19" s="130"/>
      <c r="I19" s="139">
        <v>368264</v>
      </c>
      <c r="J19" s="146">
        <v>2.2743577075098815</v>
      </c>
      <c r="K19" s="139">
        <v>1938.2315789473685</v>
      </c>
      <c r="L19" s="130"/>
      <c r="M19" s="139">
        <v>323200</v>
      </c>
      <c r="N19" s="146">
        <v>1.6838595394394082</v>
      </c>
      <c r="O19" s="139">
        <v>1665.979381443299</v>
      </c>
      <c r="P19" s="130"/>
      <c r="Q19" s="139">
        <v>45064</v>
      </c>
      <c r="R19" s="146">
        <v>0.59049816807047328</v>
      </c>
      <c r="S19" s="139">
        <v>272.2521975040695</v>
      </c>
      <c r="T19" s="147"/>
    </row>
    <row r="20" spans="1:20">
      <c r="A20" s="130"/>
      <c r="B20" t="s">
        <v>253</v>
      </c>
      <c r="C20" s="142"/>
      <c r="D20" s="142"/>
      <c r="E20" s="139">
        <f>'Level 0'!I52</f>
        <v>1012376</v>
      </c>
      <c r="F20" s="143">
        <f>E20/'Level 0'!B6</f>
        <v>3.1944213050612142</v>
      </c>
      <c r="G20" s="144">
        <f>E20/'Level 0'!D7</f>
        <v>3163.6750000000002</v>
      </c>
      <c r="H20" s="130"/>
      <c r="I20" s="139">
        <v>1228085.656</v>
      </c>
      <c r="J20" s="146">
        <v>7.5845210968379444</v>
      </c>
      <c r="K20" s="139">
        <v>6463.6087157894735</v>
      </c>
      <c r="L20" s="130"/>
      <c r="M20" s="139">
        <v>623908.05000000005</v>
      </c>
      <c r="N20" s="146">
        <v>3.2505368865270401</v>
      </c>
      <c r="O20" s="139">
        <v>3216.02087628866</v>
      </c>
      <c r="P20" s="130"/>
      <c r="Q20" s="139">
        <v>604177.60599999991</v>
      </c>
      <c r="R20" s="146">
        <v>4.3339842103109039</v>
      </c>
      <c r="S20" s="139">
        <v>3247.5878395008135</v>
      </c>
      <c r="T20" s="147"/>
    </row>
    <row r="21" spans="1:20">
      <c r="A21" s="130"/>
      <c r="B21" t="s">
        <v>254</v>
      </c>
      <c r="C21" s="142"/>
      <c r="D21" s="142"/>
      <c r="E21" s="139">
        <f>'Level 0'!I56</f>
        <v>3407538</v>
      </c>
      <c r="F21" s="143">
        <f>E21/'Level 0'!B6</f>
        <v>10.752044680045437</v>
      </c>
      <c r="G21" s="139">
        <f>E21/'Level 0'!D7</f>
        <v>10648.55625</v>
      </c>
      <c r="H21" s="130"/>
      <c r="I21" s="139">
        <v>2028440</v>
      </c>
      <c r="J21" s="146">
        <v>12.527420948616601</v>
      </c>
      <c r="K21" s="139">
        <v>10676</v>
      </c>
      <c r="L21" s="130"/>
      <c r="M21" s="139">
        <v>2072717.2631578948</v>
      </c>
      <c r="N21" s="146">
        <v>10.79877703010261</v>
      </c>
      <c r="O21" s="139">
        <v>10684.109603906674</v>
      </c>
      <c r="P21" s="130"/>
      <c r="Q21" s="139">
        <v>-44277.263157894835</v>
      </c>
      <c r="R21" s="146">
        <v>1.7286439185139919</v>
      </c>
      <c r="S21" s="139">
        <v>-8.1096039066742378</v>
      </c>
      <c r="T21" s="147"/>
    </row>
    <row r="22" spans="1:20">
      <c r="A22" s="130"/>
      <c r="B22" t="s">
        <v>255</v>
      </c>
      <c r="C22" s="142"/>
      <c r="D22" s="142"/>
      <c r="E22" s="139">
        <f>'Level 0'!I60</f>
        <v>3696000</v>
      </c>
      <c r="F22" s="143">
        <f>E22/'Level 0'!B6</f>
        <v>11.66224914804998</v>
      </c>
      <c r="G22" s="144">
        <f>E22/'Level 0'!D7</f>
        <v>11550</v>
      </c>
      <c r="H22" s="130"/>
      <c r="I22" s="139">
        <v>2035451.0000000002</v>
      </c>
      <c r="J22" s="146">
        <v>12.570720108695653</v>
      </c>
      <c r="K22" s="139">
        <v>10712.900000000001</v>
      </c>
      <c r="L22" s="130"/>
      <c r="M22" s="139">
        <v>2078302.6000000003</v>
      </c>
      <c r="N22" s="146">
        <v>10.827876419714496</v>
      </c>
      <c r="O22" s="139">
        <v>10712.900000000001</v>
      </c>
      <c r="P22" s="130"/>
      <c r="Q22" s="139">
        <v>-42851.600000000093</v>
      </c>
      <c r="R22" s="146">
        <v>1.7428436889811572</v>
      </c>
      <c r="S22" s="139">
        <v>0</v>
      </c>
      <c r="T22" s="147"/>
    </row>
    <row r="23" spans="1:20">
      <c r="A23" s="130"/>
      <c r="B23" t="s">
        <v>256</v>
      </c>
      <c r="C23" s="142"/>
      <c r="D23" s="142"/>
      <c r="E23" s="139">
        <f>'Level 0'!I61</f>
        <v>4595340</v>
      </c>
      <c r="F23" s="143">
        <f>E23/'Level 0'!B6</f>
        <v>14.5</v>
      </c>
      <c r="G23" s="139">
        <f>E23/'Level 0'!D7</f>
        <v>14360.4375</v>
      </c>
      <c r="H23" s="130"/>
      <c r="I23" s="139">
        <v>2224078.9814999998</v>
      </c>
      <c r="J23" s="146">
        <v>13.735665646615612</v>
      </c>
      <c r="K23" s="139">
        <v>11705.678849999998</v>
      </c>
      <c r="L23" s="130"/>
      <c r="M23" s="139">
        <v>2246065.4308303986</v>
      </c>
      <c r="N23" s="146">
        <v>11.701914300460553</v>
      </c>
      <c r="O23" s="139">
        <v>11577.656859950508</v>
      </c>
      <c r="P23" s="130"/>
      <c r="Q23" s="139">
        <v>-21986.449330398813</v>
      </c>
      <c r="R23" s="146">
        <v>2.0337513461550589</v>
      </c>
      <c r="S23" s="139">
        <v>128.02199004949034</v>
      </c>
      <c r="T23" s="147"/>
    </row>
    <row r="24" spans="1:20">
      <c r="A24" s="130"/>
      <c r="B24" t="s">
        <v>257</v>
      </c>
      <c r="C24" s="142"/>
      <c r="D24" s="142"/>
      <c r="E24" s="139">
        <f>'Level 0'!I64</f>
        <v>224000</v>
      </c>
      <c r="F24" s="143">
        <f>E24/'Level 0'!B6</f>
        <v>0.70680297866969577</v>
      </c>
      <c r="G24" s="144">
        <f>E24/'Level 0'!D7</f>
        <v>700</v>
      </c>
      <c r="H24" s="130"/>
      <c r="I24" s="139">
        <v>133000</v>
      </c>
      <c r="J24" s="146">
        <v>0.82139328063241102</v>
      </c>
      <c r="K24" s="139">
        <v>700</v>
      </c>
      <c r="L24" s="130"/>
      <c r="M24" s="139">
        <v>117610.51</v>
      </c>
      <c r="N24" s="146">
        <v>0.61274622277795143</v>
      </c>
      <c r="O24" s="139">
        <v>606.23974226804125</v>
      </c>
      <c r="P24" s="130"/>
      <c r="Q24" s="139">
        <v>15389.490000000005</v>
      </c>
      <c r="R24" s="146">
        <v>0.20864705785445958</v>
      </c>
      <c r="S24" s="139">
        <v>93.760257731958745</v>
      </c>
      <c r="T24" s="149"/>
    </row>
    <row r="25" spans="1:20">
      <c r="A25" s="130"/>
      <c r="B25" t="s">
        <v>258</v>
      </c>
      <c r="C25" s="142"/>
      <c r="D25" s="142"/>
      <c r="E25" s="139">
        <f>'Level 0'!I65</f>
        <v>823992</v>
      </c>
      <c r="F25" s="143">
        <f>E25/'Level 0'!B6</f>
        <v>2.6</v>
      </c>
      <c r="G25" s="139">
        <f>E25/'Level 0'!D7</f>
        <v>2574.9749999999999</v>
      </c>
      <c r="H25" s="130"/>
      <c r="I25" s="139">
        <v>0</v>
      </c>
      <c r="J25" s="146">
        <v>0</v>
      </c>
      <c r="K25" s="139">
        <v>0</v>
      </c>
      <c r="L25" s="130"/>
      <c r="M25" s="139">
        <v>521084</v>
      </c>
      <c r="N25" s="146">
        <v>2.7148275502761279</v>
      </c>
      <c r="O25" s="139">
        <v>2686</v>
      </c>
      <c r="P25" s="130"/>
      <c r="Q25" s="139">
        <v>-521084</v>
      </c>
      <c r="R25" s="146">
        <v>-2.7148275502761279</v>
      </c>
      <c r="S25" s="139">
        <v>-2686</v>
      </c>
      <c r="T25" s="147"/>
    </row>
    <row r="26" spans="1:20">
      <c r="A26" s="130"/>
      <c r="B26" t="s">
        <v>259</v>
      </c>
      <c r="C26" s="142"/>
      <c r="D26" s="142"/>
      <c r="E26" s="139">
        <f>'Level 0'!I68</f>
        <v>782531</v>
      </c>
      <c r="F26" s="143">
        <f>E26/'Level 0'!B6</f>
        <v>2.4691751861668561</v>
      </c>
      <c r="G26" s="144">
        <f>E26/'Level 0'!D7</f>
        <v>2445.4093750000002</v>
      </c>
      <c r="H26" s="130"/>
      <c r="I26" s="139">
        <v>669561.15999999992</v>
      </c>
      <c r="J26" s="146">
        <v>4.1351356225296438</v>
      </c>
      <c r="K26" s="139">
        <v>3524.0061052631577</v>
      </c>
      <c r="L26" s="130"/>
      <c r="M26" s="139">
        <v>347262</v>
      </c>
      <c r="N26" s="146">
        <v>1.809221631759925</v>
      </c>
      <c r="O26" s="139">
        <v>1790.0103092783504</v>
      </c>
      <c r="P26" s="130"/>
      <c r="Q26" s="139">
        <v>322299.15999999992</v>
      </c>
      <c r="R26" s="146">
        <v>2.3259139907697186</v>
      </c>
      <c r="S26" s="139">
        <v>1733.9957959848073</v>
      </c>
      <c r="T26" s="149"/>
    </row>
    <row r="27" spans="1:20">
      <c r="A27" s="130"/>
      <c r="B27" t="s">
        <v>260</v>
      </c>
      <c r="C27" s="142"/>
      <c r="D27" s="142"/>
      <c r="E27" s="139">
        <f>'Level 0'!I71</f>
        <v>5109722.3599999994</v>
      </c>
      <c r="F27" s="143">
        <f>E27/'Level 0'!B6</f>
        <v>16.123066893853338</v>
      </c>
      <c r="G27" s="139">
        <f>E27/'Level 0'!D7</f>
        <v>15967.882374999997</v>
      </c>
      <c r="H27" s="130"/>
      <c r="I27" s="139">
        <v>2071879.6384582464</v>
      </c>
      <c r="J27" s="146">
        <v>12.79569934818581</v>
      </c>
      <c r="K27" s="139">
        <v>10904.629676096034</v>
      </c>
      <c r="L27" s="130"/>
      <c r="M27" s="139">
        <v>2302071.9073471352</v>
      </c>
      <c r="N27" s="146">
        <v>11.993705883855034</v>
      </c>
      <c r="O27" s="139">
        <v>11866.350037871831</v>
      </c>
      <c r="P27" s="130"/>
      <c r="Q27" s="139">
        <v>-230192.26888888888</v>
      </c>
      <c r="R27" s="146">
        <v>0.80199346433077601</v>
      </c>
      <c r="S27" s="139">
        <v>-961.72036177579685</v>
      </c>
      <c r="T27" s="147"/>
    </row>
    <row r="28" spans="1:20">
      <c r="A28" s="130"/>
      <c r="B28" t="s">
        <v>261</v>
      </c>
      <c r="C28" s="142"/>
      <c r="D28" s="142"/>
      <c r="E28" s="139">
        <f>'Level 0'!I78</f>
        <v>1900406</v>
      </c>
      <c r="F28" s="143">
        <f>E28/'Level 0'!B6</f>
        <v>5.9964849173292949</v>
      </c>
      <c r="G28" s="144">
        <f>E28/'Level 0'!D7</f>
        <v>5938.7687500000002</v>
      </c>
      <c r="H28" s="130"/>
      <c r="I28" s="139">
        <v>3039786</v>
      </c>
      <c r="J28" s="146">
        <v>18.773381916996048</v>
      </c>
      <c r="K28" s="139">
        <v>15998.873684210526</v>
      </c>
      <c r="L28" s="130"/>
      <c r="M28" s="139">
        <v>1619983</v>
      </c>
      <c r="N28" s="146">
        <v>8.4400489736375945</v>
      </c>
      <c r="O28" s="139">
        <v>8350.4278350515469</v>
      </c>
      <c r="P28" s="130"/>
      <c r="Q28" s="139">
        <v>1419803</v>
      </c>
      <c r="R28" s="146">
        <v>10.333332943358453</v>
      </c>
      <c r="S28" s="139">
        <v>7648.4458491589794</v>
      </c>
      <c r="T28" s="147"/>
    </row>
    <row r="29" spans="1:20">
      <c r="A29" s="130"/>
      <c r="B29" t="s">
        <v>262</v>
      </c>
      <c r="C29" s="142"/>
      <c r="D29" s="142"/>
      <c r="E29" s="139">
        <f>'Level 0'!I87</f>
        <v>15000</v>
      </c>
      <c r="F29" s="143">
        <f>E29/'Level 0'!B6</f>
        <v>4.7330556607345704E-2</v>
      </c>
      <c r="G29" s="139">
        <f>E29/'Level 0'!D7</f>
        <v>46.875</v>
      </c>
      <c r="H29" s="130"/>
      <c r="I29" s="139">
        <v>10000</v>
      </c>
      <c r="J29" s="146">
        <v>6.1758893280632408E-2</v>
      </c>
      <c r="K29" s="139">
        <v>52.631578947368418</v>
      </c>
      <c r="L29" s="130"/>
      <c r="M29" s="139">
        <v>7500</v>
      </c>
      <c r="N29" s="146">
        <v>3.9074710847139732E-2</v>
      </c>
      <c r="O29" s="139">
        <v>38.659793814432987</v>
      </c>
      <c r="P29" s="130"/>
      <c r="Q29" s="139">
        <v>2500</v>
      </c>
      <c r="R29" s="146">
        <v>2.2684182433492676E-2</v>
      </c>
      <c r="S29" s="139">
        <v>13.97178513293543</v>
      </c>
      <c r="T29" s="147"/>
    </row>
    <row r="30" spans="1:20">
      <c r="A30" s="130"/>
      <c r="B30" t="s">
        <v>263</v>
      </c>
      <c r="C30" s="142"/>
      <c r="D30" s="142"/>
      <c r="E30" s="139">
        <f>'Level 0'!I88</f>
        <v>480000</v>
      </c>
      <c r="F30" s="143">
        <f>E30/'Level 0'!B6</f>
        <v>1.5145778114350625</v>
      </c>
      <c r="G30" s="144">
        <f>E30/'Level 0'!D7</f>
        <v>1500</v>
      </c>
      <c r="H30" s="130"/>
      <c r="I30" s="139">
        <v>182400</v>
      </c>
      <c r="J30" s="146">
        <v>1.1264822134387351</v>
      </c>
      <c r="K30" s="139">
        <v>960</v>
      </c>
      <c r="L30" s="130"/>
      <c r="M30" s="139">
        <v>392850</v>
      </c>
      <c r="N30" s="146">
        <v>2.0467333541731789</v>
      </c>
      <c r="O30" s="139">
        <v>2025</v>
      </c>
      <c r="P30" s="130"/>
      <c r="Q30" s="139">
        <v>-210450</v>
      </c>
      <c r="R30" s="146">
        <v>-0.92025114073444381</v>
      </c>
      <c r="S30" s="139">
        <v>-1065</v>
      </c>
      <c r="T30" s="147"/>
    </row>
    <row r="31" spans="1:20">
      <c r="A31" s="130"/>
      <c r="B31" t="s">
        <v>264</v>
      </c>
      <c r="C31" s="142"/>
      <c r="D31" s="142"/>
      <c r="E31" s="139">
        <f>'Level 0'!I89</f>
        <v>325250</v>
      </c>
      <c r="F31" s="143">
        <f>E31/'Level 0'!B6</f>
        <v>1.0262842357692794</v>
      </c>
      <c r="G31" s="139">
        <f>E31/'Level 0'!D7</f>
        <v>1016.40625</v>
      </c>
      <c r="H31" s="130"/>
      <c r="I31" s="139">
        <v>240000</v>
      </c>
      <c r="J31" s="146">
        <v>1.482213438735178</v>
      </c>
      <c r="K31" s="139">
        <v>1263.1578947368421</v>
      </c>
      <c r="L31" s="130"/>
      <c r="M31" s="139">
        <v>234787.5</v>
      </c>
      <c r="N31" s="146">
        <v>1.2232338230697093</v>
      </c>
      <c r="O31" s="139">
        <v>1210.2448453608247</v>
      </c>
      <c r="P31" s="130"/>
      <c r="Q31" s="139">
        <v>5212.5</v>
      </c>
      <c r="R31" s="146">
        <v>0.25897961566546868</v>
      </c>
      <c r="S31" s="139">
        <v>52.913049376017398</v>
      </c>
      <c r="T31" s="147"/>
    </row>
    <row r="32" spans="1:20">
      <c r="A32" s="130"/>
      <c r="B32" t="s">
        <v>177</v>
      </c>
      <c r="C32" s="142"/>
      <c r="D32" s="142"/>
      <c r="E32" s="139">
        <f>'Level 0'!I90</f>
        <v>879505.00644800009</v>
      </c>
      <c r="F32" s="143">
        <f>E32/'Level 0'!B6</f>
        <v>2.7751640996087343</v>
      </c>
      <c r="G32" s="144">
        <f>E32/'Level 0'!D7</f>
        <v>2748.4531451500002</v>
      </c>
      <c r="H32" s="130"/>
      <c r="I32" s="139">
        <v>552444.52744467161</v>
      </c>
      <c r="J32" s="146">
        <v>3.4118362613924877</v>
      </c>
      <c r="K32" s="139">
        <v>2907.6027760245875</v>
      </c>
      <c r="L32" s="130"/>
      <c r="M32" s="139">
        <v>0</v>
      </c>
      <c r="N32" s="146">
        <v>0</v>
      </c>
      <c r="O32" s="139">
        <v>0</v>
      </c>
      <c r="P32" s="130"/>
      <c r="Q32" s="139">
        <v>552444.52744467161</v>
      </c>
      <c r="R32" s="146">
        <v>3.4118362613924877</v>
      </c>
      <c r="S32" s="139">
        <v>2907.6027760245875</v>
      </c>
      <c r="T32" s="149"/>
    </row>
    <row r="33" spans="1:20">
      <c r="A33" s="130"/>
      <c r="B33" t="s">
        <v>265</v>
      </c>
      <c r="C33" s="142"/>
      <c r="D33" s="142"/>
      <c r="E33" s="139">
        <f>'Level 0'!I93</f>
        <v>1155000</v>
      </c>
      <c r="F33" s="143">
        <f>E33/'Level 0'!B6</f>
        <v>3.6444528587656189</v>
      </c>
      <c r="G33" s="139">
        <f>E33/'Level 0'!D7</f>
        <v>3609.375</v>
      </c>
      <c r="H33" s="130"/>
      <c r="I33" s="139">
        <v>950000</v>
      </c>
      <c r="J33" s="146">
        <v>5.8670948616600791</v>
      </c>
      <c r="K33" s="139">
        <v>5000</v>
      </c>
      <c r="L33" s="130"/>
      <c r="M33" s="139">
        <v>691024.09</v>
      </c>
      <c r="N33" s="146">
        <v>3.6002088673543815</v>
      </c>
      <c r="O33" s="139">
        <v>3561.9798453608246</v>
      </c>
      <c r="P33" s="130"/>
      <c r="Q33" s="139">
        <v>258975.91000000003</v>
      </c>
      <c r="R33" s="146">
        <v>2.2668859943056976</v>
      </c>
      <c r="S33" s="139">
        <v>1438.0201546391754</v>
      </c>
      <c r="T33" s="149"/>
    </row>
    <row r="34" spans="1:20">
      <c r="A34" s="130"/>
      <c r="B34" t="s">
        <v>266</v>
      </c>
      <c r="C34" s="142"/>
      <c r="D34" s="142"/>
      <c r="E34" s="139">
        <f>SUM('Level 0'!I97:I98)</f>
        <v>943199.98424138408</v>
      </c>
      <c r="F34" s="143">
        <f>E34/'Level 0'!B6</f>
        <v>2.9761453497456269</v>
      </c>
      <c r="G34" s="144">
        <f>E34/'Level 0'!D7</f>
        <v>2947.4999507543253</v>
      </c>
      <c r="H34" s="130"/>
      <c r="I34" s="139">
        <v>673440.57234483806</v>
      </c>
      <c r="J34" s="146">
        <v>4.1590944438292867</v>
      </c>
      <c r="K34" s="139">
        <v>3544.4240649728317</v>
      </c>
      <c r="L34" s="130"/>
      <c r="M34" s="139">
        <v>771042.4496046569</v>
      </c>
      <c r="N34" s="146">
        <v>4.0171014358896366</v>
      </c>
      <c r="O34" s="139">
        <v>3974.4456165188499</v>
      </c>
      <c r="P34" s="130"/>
      <c r="Q34" s="139">
        <v>-97601.877259818837</v>
      </c>
      <c r="R34" s="146">
        <v>0.14199300793965008</v>
      </c>
      <c r="S34" s="139">
        <v>-430.02155154601815</v>
      </c>
      <c r="T34" s="149"/>
    </row>
    <row r="35" spans="1:20">
      <c r="A35" s="130"/>
      <c r="B35" t="s">
        <v>267</v>
      </c>
      <c r="C35" s="142"/>
      <c r="D35" s="142"/>
      <c r="E35" s="139">
        <f>'Level 0'!I96</f>
        <v>2817177.3187853633</v>
      </c>
      <c r="F35" s="143">
        <f>E35/'Level 0'!B6</f>
        <v>8.8892380373134028</v>
      </c>
      <c r="G35" s="139">
        <f>E35/'Level 0'!D7</f>
        <v>8803.6791212042608</v>
      </c>
      <c r="H35" s="130"/>
      <c r="I35" s="139">
        <v>1698492.3539053157</v>
      </c>
      <c r="J35" s="146">
        <v>10.489700802280852</v>
      </c>
      <c r="K35" s="139">
        <v>8939.433441606925</v>
      </c>
      <c r="L35" s="130"/>
      <c r="M35" s="139">
        <v>1573470.2372647687</v>
      </c>
      <c r="N35" s="146">
        <v>8.1977192730268236</v>
      </c>
      <c r="O35" s="139">
        <v>8110.6713261070554</v>
      </c>
      <c r="P35" s="130"/>
      <c r="Q35" s="139">
        <v>125022.11664054706</v>
      </c>
      <c r="R35" s="146">
        <v>2.2919815292540289</v>
      </c>
      <c r="S35" s="139">
        <v>828.76211549986965</v>
      </c>
      <c r="T35" s="130"/>
    </row>
    <row r="36" spans="1:20">
      <c r="A36" s="130"/>
      <c r="B36" t="s">
        <v>268</v>
      </c>
      <c r="C36" s="142"/>
      <c r="D36" s="142"/>
      <c r="E36" s="139">
        <f>'Level 0'!I99</f>
        <v>3756236.4250471513</v>
      </c>
      <c r="F36" s="143">
        <f>E36/'Level 0'!B6</f>
        <v>11.852317383084536</v>
      </c>
      <c r="G36" s="144">
        <f>E36/'Level 0'!D7</f>
        <v>11738.238828272348</v>
      </c>
      <c r="H36" s="130"/>
      <c r="I36" s="139">
        <v>2383848.9177618469</v>
      </c>
      <c r="J36" s="146">
        <v>14.722387090920497</v>
      </c>
      <c r="K36" s="139">
        <v>12546.573251378142</v>
      </c>
      <c r="L36" s="130"/>
      <c r="M36" s="139">
        <v>2208379.280371605</v>
      </c>
      <c r="N36" s="146">
        <v>11.505570909511331</v>
      </c>
      <c r="O36" s="139">
        <v>11383.398352430953</v>
      </c>
      <c r="P36" s="130"/>
      <c r="Q36" s="139">
        <v>175469.63739024196</v>
      </c>
      <c r="R36" s="146">
        <v>3.2168161814091665</v>
      </c>
      <c r="S36" s="139">
        <v>1163.1748989471889</v>
      </c>
      <c r="T36" s="130"/>
    </row>
    <row r="37" spans="1:20">
      <c r="A37" s="130"/>
      <c r="B37" s="142"/>
      <c r="C37" s="142"/>
      <c r="D37" s="142"/>
      <c r="E37" s="132"/>
      <c r="F37" s="150"/>
      <c r="G37" s="132"/>
      <c r="H37" s="130"/>
      <c r="I37" s="132"/>
      <c r="J37" s="150"/>
      <c r="K37" s="132"/>
      <c r="L37" s="130"/>
      <c r="M37" s="132"/>
      <c r="N37" s="150"/>
      <c r="O37" s="132"/>
      <c r="P37" s="130"/>
      <c r="Q37" s="132"/>
      <c r="R37" s="150"/>
      <c r="S37" s="132"/>
      <c r="T37" s="130"/>
    </row>
    <row r="38" spans="1:20">
      <c r="A38" s="130"/>
      <c r="B38" s="131" t="s">
        <v>189</v>
      </c>
      <c r="C38" s="131"/>
      <c r="D38" s="131"/>
      <c r="E38" s="134">
        <f>SUM(E6:E36)</f>
        <v>56335546.375707254</v>
      </c>
      <c r="F38" s="150">
        <f>SUM(F6:F36)</f>
        <v>177.75951778274407</v>
      </c>
      <c r="G38" s="134">
        <f>SUM(G6:G36)</f>
        <v>176048.58242408524</v>
      </c>
      <c r="H38" s="130"/>
      <c r="I38" s="134">
        <v>35668339.432011634</v>
      </c>
      <c r="J38" s="150">
        <v>220.28371684789795</v>
      </c>
      <c r="K38" s="134">
        <v>187728.10227374543</v>
      </c>
      <c r="L38" s="130"/>
      <c r="M38" s="134">
        <v>33042874.982560139</v>
      </c>
      <c r="N38" s="150">
        <f>SUM(N6:N36)</f>
        <v>172.15210473356328</v>
      </c>
      <c r="O38" s="134">
        <f>SUM(O6:O36)</f>
        <v>170324.09784824812</v>
      </c>
      <c r="P38" s="130"/>
      <c r="Q38" s="134">
        <v>2625464.4494514898</v>
      </c>
      <c r="R38" s="150">
        <f>SUM(R6:R36)</f>
        <v>48.131612114334665</v>
      </c>
      <c r="S38" s="134">
        <f>SUM(S6:S36)</f>
        <v>17404.004425497329</v>
      </c>
      <c r="T38" s="130"/>
    </row>
  </sheetData>
  <mergeCells count="4">
    <mergeCell ref="E3:G3"/>
    <mergeCell ref="I3:K3"/>
    <mergeCell ref="M3:O3"/>
    <mergeCell ref="Q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F28B-506E-4E68-8AAC-4040830BCA1F}">
  <sheetPr>
    <pageSetUpPr fitToPage="1"/>
  </sheetPr>
  <dimension ref="A2:R41"/>
  <sheetViews>
    <sheetView showGridLines="0" tabSelected="1" workbookViewId="0">
      <selection activeCell="G26" sqref="G26"/>
    </sheetView>
  </sheetViews>
  <sheetFormatPr defaultRowHeight="14.45"/>
  <cols>
    <col min="1" max="1" width="34.85546875" bestFit="1" customWidth="1"/>
    <col min="2" max="2" width="11.7109375" bestFit="1" customWidth="1"/>
    <col min="3" max="3" width="8.7109375" bestFit="1" customWidth="1"/>
    <col min="5" max="5" width="3.28515625" customWidth="1"/>
    <col min="6" max="6" width="11.7109375" bestFit="1" customWidth="1"/>
    <col min="7" max="7" width="8.7109375" bestFit="1" customWidth="1"/>
    <col min="9" max="9" width="2.140625" customWidth="1"/>
    <col min="10" max="10" width="11.7109375" bestFit="1" customWidth="1"/>
    <col min="11" max="11" width="8.7109375" bestFit="1" customWidth="1"/>
    <col min="13" max="13" width="2.7109375" customWidth="1"/>
    <col min="14" max="14" width="10.7109375" bestFit="1" customWidth="1"/>
    <col min="15" max="15" width="8.7109375" bestFit="1" customWidth="1"/>
    <col min="16" max="16" width="8.140625" bestFit="1" customWidth="1"/>
    <col min="17" max="17" width="2.42578125" customWidth="1"/>
    <col min="18" max="18" width="68.7109375" bestFit="1" customWidth="1"/>
  </cols>
  <sheetData>
    <row r="2" spans="1:18">
      <c r="A2" s="130"/>
      <c r="B2" s="214" t="s">
        <v>233</v>
      </c>
      <c r="C2" s="214"/>
      <c r="D2" s="214"/>
      <c r="E2" s="130"/>
      <c r="F2" s="214" t="s">
        <v>191</v>
      </c>
      <c r="G2" s="214"/>
      <c r="H2" s="214"/>
      <c r="I2" s="130"/>
      <c r="J2" s="215" t="s">
        <v>196</v>
      </c>
      <c r="K2" s="215"/>
      <c r="L2" s="215"/>
      <c r="M2" s="130"/>
      <c r="N2" s="216" t="s">
        <v>234</v>
      </c>
      <c r="O2" s="216"/>
      <c r="P2" s="216"/>
      <c r="Q2" s="130"/>
    </row>
    <row r="3" spans="1:18">
      <c r="A3" s="131"/>
      <c r="B3" s="132"/>
      <c r="C3" s="133"/>
      <c r="D3" s="134"/>
      <c r="E3" s="131"/>
      <c r="F3" s="132"/>
      <c r="G3" s="133"/>
      <c r="H3" s="134"/>
      <c r="I3" s="130"/>
      <c r="J3" s="132"/>
      <c r="K3" s="133"/>
      <c r="L3" s="134"/>
      <c r="M3" s="130"/>
      <c r="N3" s="132"/>
      <c r="O3" s="133"/>
      <c r="P3" s="134"/>
      <c r="Q3" s="130"/>
    </row>
    <row r="4" spans="1:18" ht="17.45">
      <c r="A4" s="130"/>
      <c r="B4" s="135" t="s">
        <v>235</v>
      </c>
      <c r="C4" s="135" t="s">
        <v>236</v>
      </c>
      <c r="D4" s="135" t="s">
        <v>237</v>
      </c>
      <c r="E4" s="130"/>
      <c r="F4" s="135" t="s">
        <v>235</v>
      </c>
      <c r="G4" s="135" t="s">
        <v>236</v>
      </c>
      <c r="H4" s="135" t="s">
        <v>237</v>
      </c>
      <c r="I4" s="136"/>
      <c r="J4" s="135" t="s">
        <v>235</v>
      </c>
      <c r="K4" s="135" t="s">
        <v>236</v>
      </c>
      <c r="L4" s="135" t="s">
        <v>237</v>
      </c>
      <c r="M4" s="130"/>
      <c r="N4" s="135" t="s">
        <v>235</v>
      </c>
      <c r="O4" s="135" t="s">
        <v>236</v>
      </c>
      <c r="P4" s="135" t="s">
        <v>237</v>
      </c>
      <c r="Q4" s="135"/>
      <c r="R4" s="135" t="s">
        <v>269</v>
      </c>
    </row>
    <row r="5" spans="1:18">
      <c r="A5" s="137" t="s">
        <v>270</v>
      </c>
      <c r="B5" s="138"/>
      <c r="C5" s="139"/>
      <c r="D5" s="139"/>
      <c r="E5" s="137"/>
      <c r="F5" s="138"/>
      <c r="G5" s="139">
        <f>[59]Input!C15</f>
        <v>133584</v>
      </c>
      <c r="H5" s="139">
        <f>[59]Input!C13</f>
        <v>190</v>
      </c>
      <c r="I5" s="140"/>
      <c r="J5" s="138"/>
      <c r="K5" s="139">
        <v>201630.00000000003</v>
      </c>
      <c r="L5" s="139">
        <v>276</v>
      </c>
      <c r="M5" s="130"/>
      <c r="N5" s="140"/>
      <c r="O5" s="139">
        <v>344214</v>
      </c>
      <c r="P5" s="139">
        <v>388</v>
      </c>
      <c r="Q5" s="130"/>
    </row>
    <row r="6" spans="1:18">
      <c r="A6" s="137" t="s">
        <v>271</v>
      </c>
      <c r="B6" s="138"/>
      <c r="C6" s="139"/>
      <c r="D6" s="139"/>
      <c r="E6" s="137"/>
      <c r="F6" s="138"/>
      <c r="G6" s="139">
        <f>[59]Input!C20</f>
        <v>161920</v>
      </c>
      <c r="H6" s="139"/>
      <c r="I6" s="140"/>
      <c r="J6" s="138"/>
      <c r="K6" s="139">
        <v>254891</v>
      </c>
      <c r="L6" s="139"/>
      <c r="M6" s="130"/>
      <c r="N6" s="140"/>
      <c r="O6" s="139"/>
      <c r="P6" s="139"/>
      <c r="Q6" s="130"/>
    </row>
    <row r="7" spans="1:18">
      <c r="A7" s="137"/>
      <c r="B7" s="138"/>
      <c r="C7" s="141"/>
      <c r="D7" s="139"/>
      <c r="E7" s="137"/>
      <c r="F7" s="138"/>
      <c r="G7" s="141"/>
      <c r="H7" s="139"/>
      <c r="I7" s="140"/>
      <c r="J7" s="138"/>
      <c r="K7" s="141"/>
      <c r="L7" s="139"/>
      <c r="M7" s="140"/>
      <c r="N7" s="140"/>
      <c r="O7" s="140"/>
      <c r="P7" s="140"/>
      <c r="Q7" s="140"/>
    </row>
    <row r="8" spans="1:18">
      <c r="A8" s="131" t="str">
        <f>[59]Const_Cost_Summ!B9</f>
        <v>Hard Cost</v>
      </c>
      <c r="B8" s="139"/>
      <c r="C8" s="143"/>
      <c r="D8" s="144"/>
      <c r="E8" s="131"/>
      <c r="F8" s="139"/>
      <c r="G8" s="143"/>
      <c r="H8" s="144"/>
      <c r="I8" s="140"/>
      <c r="J8" s="139"/>
      <c r="K8" s="143"/>
      <c r="L8" s="144"/>
      <c r="M8" s="140"/>
      <c r="N8" s="139"/>
      <c r="O8" s="143"/>
      <c r="P8" s="144"/>
      <c r="Q8" s="140"/>
    </row>
    <row r="9" spans="1:18">
      <c r="A9" s="151" t="s">
        <v>239</v>
      </c>
      <c r="B9" s="152">
        <f>'Level 0'!I12</f>
        <v>2817177.3187853633</v>
      </c>
      <c r="C9" s="153">
        <f t="shared" ref="C9:C39" si="0">B9/$G$6</f>
        <v>17.398575338348341</v>
      </c>
      <c r="D9" s="152">
        <f t="shared" ref="D9:D39" si="1">B9/$H$5</f>
        <v>14827.249046238754</v>
      </c>
      <c r="E9" s="151"/>
      <c r="F9" s="152">
        <v>1787886.6883213853</v>
      </c>
      <c r="G9" s="153">
        <v>11.041790318190374</v>
      </c>
      <c r="H9" s="152">
        <v>9409.9299385336071</v>
      </c>
      <c r="I9" s="140"/>
      <c r="J9" s="152">
        <v>1675207.2629476115</v>
      </c>
      <c r="K9" s="153">
        <v>8.8717450705553365</v>
      </c>
      <c r="L9" s="152">
        <v>8816.8803313032186</v>
      </c>
      <c r="M9" s="140"/>
      <c r="N9" s="152">
        <f t="shared" ref="N9:P24" si="2">F9-J9</f>
        <v>112679.42537377379</v>
      </c>
      <c r="O9" s="153">
        <f t="shared" si="2"/>
        <v>2.1700452476350378</v>
      </c>
      <c r="P9" s="152">
        <f t="shared" si="2"/>
        <v>593.04960723038857</v>
      </c>
      <c r="Q9" s="140"/>
      <c r="R9" s="151"/>
    </row>
    <row r="10" spans="1:18">
      <c r="A10" s="151" t="s">
        <v>240</v>
      </c>
      <c r="B10" s="154"/>
      <c r="C10" s="155">
        <f t="shared" si="0"/>
        <v>0</v>
      </c>
      <c r="D10" s="154">
        <f t="shared" si="1"/>
        <v>0</v>
      </c>
      <c r="E10" s="151"/>
      <c r="F10" s="154">
        <v>8000</v>
      </c>
      <c r="G10" s="155">
        <v>4.9407114624505928E-2</v>
      </c>
      <c r="H10" s="154">
        <v>42.10526315789474</v>
      </c>
      <c r="I10" s="140"/>
      <c r="J10" s="154">
        <v>3500</v>
      </c>
      <c r="K10" s="155">
        <v>1.8535681186283594E-2</v>
      </c>
      <c r="L10" s="154">
        <v>18.421052631578949</v>
      </c>
      <c r="M10" s="140"/>
      <c r="N10" s="154">
        <f t="shared" si="2"/>
        <v>4500</v>
      </c>
      <c r="O10" s="155">
        <f t="shared" si="2"/>
        <v>3.0871433438222334E-2</v>
      </c>
      <c r="P10" s="154">
        <f t="shared" si="2"/>
        <v>23.684210526315791</v>
      </c>
      <c r="Q10" s="140"/>
      <c r="R10" s="151"/>
    </row>
    <row r="11" spans="1:18">
      <c r="A11" s="151" t="s">
        <v>241</v>
      </c>
      <c r="B11" s="154">
        <f>'Level 0'!I14</f>
        <v>1672110.7344</v>
      </c>
      <c r="C11" s="155">
        <f t="shared" si="0"/>
        <v>10.326770839920949</v>
      </c>
      <c r="D11" s="154">
        <f t="shared" si="1"/>
        <v>8800.5828126315791</v>
      </c>
      <c r="E11" s="151"/>
      <c r="F11" s="154">
        <v>1097353.5501214834</v>
      </c>
      <c r="G11" s="155">
        <v>6.7771340793075803</v>
      </c>
      <c r="H11" s="154">
        <v>5775.5450006393867</v>
      </c>
      <c r="I11" s="140"/>
      <c r="J11" s="154">
        <v>855751.3</v>
      </c>
      <c r="K11" s="155">
        <v>4.5319809347279225</v>
      </c>
      <c r="L11" s="154">
        <v>4503.9542105263163</v>
      </c>
      <c r="M11" s="140"/>
      <c r="N11" s="154">
        <f t="shared" si="2"/>
        <v>241602.25012148335</v>
      </c>
      <c r="O11" s="155">
        <f t="shared" si="2"/>
        <v>2.2451531445796578</v>
      </c>
      <c r="P11" s="154">
        <f t="shared" si="2"/>
        <v>1271.5907901130704</v>
      </c>
      <c r="Q11" s="140"/>
      <c r="R11" s="151"/>
    </row>
    <row r="12" spans="1:18">
      <c r="A12" s="151" t="s">
        <v>242</v>
      </c>
      <c r="B12" s="154">
        <f>'Level 0'!I18</f>
        <v>120000</v>
      </c>
      <c r="C12" s="155">
        <f t="shared" si="0"/>
        <v>0.74110671936758898</v>
      </c>
      <c r="D12" s="154">
        <f t="shared" si="1"/>
        <v>631.57894736842104</v>
      </c>
      <c r="E12" s="151"/>
      <c r="F12" s="154">
        <v>114000</v>
      </c>
      <c r="G12" s="155">
        <v>0.70405138339920947</v>
      </c>
      <c r="H12" s="154">
        <v>600</v>
      </c>
      <c r="I12" s="140"/>
      <c r="J12" s="154">
        <v>154110</v>
      </c>
      <c r="K12" s="155">
        <v>0.8161525221766186</v>
      </c>
      <c r="L12" s="154">
        <v>811.10526315789468</v>
      </c>
      <c r="M12" s="140"/>
      <c r="N12" s="154">
        <f t="shared" si="2"/>
        <v>-40110</v>
      </c>
      <c r="O12" s="155">
        <f t="shared" si="2"/>
        <v>-0.11210113877740913</v>
      </c>
      <c r="P12" s="154">
        <f t="shared" si="2"/>
        <v>-211.10526315789468</v>
      </c>
      <c r="Q12" s="140"/>
      <c r="R12" s="151"/>
    </row>
    <row r="13" spans="1:18">
      <c r="A13" s="151" t="s">
        <v>243</v>
      </c>
      <c r="B13" s="154">
        <f>'Level 0'!I19</f>
        <v>473612.79999999999</v>
      </c>
      <c r="C13" s="155">
        <f t="shared" si="0"/>
        <v>2.9249802371541502</v>
      </c>
      <c r="D13" s="154">
        <f t="shared" si="1"/>
        <v>2492.6989473684212</v>
      </c>
      <c r="E13" s="151"/>
      <c r="F13" s="154">
        <v>342950</v>
      </c>
      <c r="G13" s="155">
        <v>2.1180212450592886</v>
      </c>
      <c r="H13" s="154">
        <v>1805</v>
      </c>
      <c r="I13" s="140"/>
      <c r="J13" s="154">
        <v>288724</v>
      </c>
      <c r="K13" s="155">
        <v>1.5290560042367272</v>
      </c>
      <c r="L13" s="154">
        <v>1519.6</v>
      </c>
      <c r="M13" s="140"/>
      <c r="N13" s="154">
        <f t="shared" si="2"/>
        <v>54226</v>
      </c>
      <c r="O13" s="155">
        <f t="shared" si="2"/>
        <v>0.58896524082256141</v>
      </c>
      <c r="P13" s="154">
        <f t="shared" si="2"/>
        <v>285.40000000000009</v>
      </c>
      <c r="Q13" s="140"/>
      <c r="R13" s="151"/>
    </row>
    <row r="14" spans="1:18">
      <c r="A14" s="151" t="s">
        <v>244</v>
      </c>
      <c r="B14" s="154">
        <f>'Level 0'!I24</f>
        <v>7050352</v>
      </c>
      <c r="C14" s="155">
        <f t="shared" si="0"/>
        <v>43.54219367588933</v>
      </c>
      <c r="D14" s="154">
        <f t="shared" si="1"/>
        <v>37107.115789473683</v>
      </c>
      <c r="E14" s="151"/>
      <c r="F14" s="154">
        <v>4802924.5</v>
      </c>
      <c r="G14" s="155">
        <v>29.662330163043478</v>
      </c>
      <c r="H14" s="154">
        <v>25278.55</v>
      </c>
      <c r="I14" s="140"/>
      <c r="J14" s="154">
        <v>4782473.5</v>
      </c>
      <c r="K14" s="155">
        <v>25.327544022242819</v>
      </c>
      <c r="L14" s="154">
        <v>25170.913157894738</v>
      </c>
      <c r="M14" s="140"/>
      <c r="N14" s="154">
        <f t="shared" si="2"/>
        <v>20451</v>
      </c>
      <c r="O14" s="155">
        <f t="shared" si="2"/>
        <v>4.3347861408006594</v>
      </c>
      <c r="P14" s="154">
        <f t="shared" si="2"/>
        <v>107.63684210526117</v>
      </c>
      <c r="Q14" s="140"/>
      <c r="R14" s="151"/>
    </row>
    <row r="15" spans="1:18">
      <c r="A15" s="151" t="s">
        <v>245</v>
      </c>
      <c r="B15" s="154">
        <f>'Level 0'!I28</f>
        <v>1538368</v>
      </c>
      <c r="C15" s="155">
        <f t="shared" si="0"/>
        <v>9.5007905138339925</v>
      </c>
      <c r="D15" s="154">
        <f t="shared" si="1"/>
        <v>8096.6736842105265</v>
      </c>
      <c r="E15" s="151"/>
      <c r="F15" s="154">
        <v>943030.3</v>
      </c>
      <c r="G15" s="155">
        <v>5.8240507658102771</v>
      </c>
      <c r="H15" s="154">
        <v>4963.3173684210533</v>
      </c>
      <c r="I15" s="140"/>
      <c r="J15" s="154">
        <v>886843.75</v>
      </c>
      <c r="K15" s="155">
        <v>4.6966437177280547</v>
      </c>
      <c r="L15" s="154">
        <v>4667.5986842105267</v>
      </c>
      <c r="M15" s="140"/>
      <c r="N15" s="154">
        <f t="shared" si="2"/>
        <v>56186.550000000047</v>
      </c>
      <c r="O15" s="155">
        <f t="shared" si="2"/>
        <v>1.1274070480822225</v>
      </c>
      <c r="P15" s="154">
        <f t="shared" si="2"/>
        <v>295.71868421052659</v>
      </c>
      <c r="Q15" s="140"/>
      <c r="R15" s="151"/>
    </row>
    <row r="16" spans="1:18">
      <c r="A16" s="151" t="s">
        <v>246</v>
      </c>
      <c r="B16" s="154">
        <f>'Level 0'!I32</f>
        <v>543076</v>
      </c>
      <c r="C16" s="155">
        <f t="shared" si="0"/>
        <v>3.3539772727272728</v>
      </c>
      <c r="D16" s="154">
        <f t="shared" si="1"/>
        <v>2858.2947368421051</v>
      </c>
      <c r="E16" s="151"/>
      <c r="F16" s="154">
        <v>296000</v>
      </c>
      <c r="G16" s="155">
        <v>1.8280632411067195</v>
      </c>
      <c r="H16" s="154">
        <v>1557.8947368421052</v>
      </c>
      <c r="I16" s="140"/>
      <c r="J16" s="154">
        <v>462292.91000000003</v>
      </c>
      <c r="K16" s="155">
        <v>2.4482611412683704</v>
      </c>
      <c r="L16" s="154">
        <v>2433.1205789473688</v>
      </c>
      <c r="M16" s="140"/>
      <c r="N16" s="154">
        <f t="shared" si="2"/>
        <v>-166292.91000000003</v>
      </c>
      <c r="O16" s="155">
        <f t="shared" si="2"/>
        <v>-0.62019790016165088</v>
      </c>
      <c r="P16" s="154">
        <f t="shared" si="2"/>
        <v>-875.22584210526361</v>
      </c>
      <c r="Q16" s="140"/>
      <c r="R16" s="151" t="s">
        <v>272</v>
      </c>
    </row>
    <row r="17" spans="1:18">
      <c r="A17" s="151" t="s">
        <v>247</v>
      </c>
      <c r="B17" s="154">
        <f>'Level 0'!I35</f>
        <v>4943219.4280000003</v>
      </c>
      <c r="C17" s="155">
        <f t="shared" si="0"/>
        <v>30.528776111660083</v>
      </c>
      <c r="D17" s="154">
        <f t="shared" si="1"/>
        <v>26016.944357894739</v>
      </c>
      <c r="E17" s="151"/>
      <c r="F17" s="154">
        <v>3247896.5861538462</v>
      </c>
      <c r="G17" s="155">
        <v>20.058649865080572</v>
      </c>
      <c r="H17" s="154">
        <v>17094.192558704453</v>
      </c>
      <c r="I17" s="140"/>
      <c r="J17" s="154">
        <v>3275902.9399999995</v>
      </c>
      <c r="K17" s="155">
        <v>17.348883569442602</v>
      </c>
      <c r="L17" s="154">
        <v>17241.594421052629</v>
      </c>
      <c r="M17" s="140"/>
      <c r="N17" s="154">
        <f t="shared" si="2"/>
        <v>-28006.353846153244</v>
      </c>
      <c r="O17" s="155">
        <f t="shared" si="2"/>
        <v>2.7097662956379693</v>
      </c>
      <c r="P17" s="154">
        <f t="shared" si="2"/>
        <v>-147.4018623481752</v>
      </c>
      <c r="Q17" s="140"/>
      <c r="R17" s="151"/>
    </row>
    <row r="18" spans="1:18">
      <c r="A18" s="151" t="s">
        <v>248</v>
      </c>
      <c r="B18" s="154">
        <f>'Level 0'!I41</f>
        <v>411996</v>
      </c>
      <c r="C18" s="155">
        <f t="shared" si="0"/>
        <v>2.544441699604743</v>
      </c>
      <c r="D18" s="154">
        <f t="shared" si="1"/>
        <v>2168.4</v>
      </c>
      <c r="E18" s="151"/>
      <c r="F18" s="154">
        <v>237500</v>
      </c>
      <c r="G18" s="155">
        <v>1.4667737154150198</v>
      </c>
      <c r="H18" s="154">
        <v>1250</v>
      </c>
      <c r="I18" s="140"/>
      <c r="J18" s="154">
        <v>207648</v>
      </c>
      <c r="K18" s="155">
        <v>1.0996848934198331</v>
      </c>
      <c r="L18" s="154">
        <v>1092.8842105263159</v>
      </c>
      <c r="M18" s="140"/>
      <c r="N18" s="154">
        <f t="shared" si="2"/>
        <v>29852</v>
      </c>
      <c r="O18" s="155">
        <f t="shared" si="2"/>
        <v>0.36708882199518666</v>
      </c>
      <c r="P18" s="154">
        <f t="shared" si="2"/>
        <v>157.11578947368412</v>
      </c>
      <c r="Q18" s="140"/>
      <c r="R18" s="151"/>
    </row>
    <row r="19" spans="1:18">
      <c r="A19" s="151" t="s">
        <v>249</v>
      </c>
      <c r="B19" s="154">
        <f>'Level 0'!I42</f>
        <v>1116480</v>
      </c>
      <c r="C19" s="155">
        <f t="shared" si="0"/>
        <v>6.8952569169960478</v>
      </c>
      <c r="D19" s="154">
        <f t="shared" si="1"/>
        <v>5876.2105263157891</v>
      </c>
      <c r="E19" s="151"/>
      <c r="F19" s="154">
        <v>617500</v>
      </c>
      <c r="G19" s="155">
        <v>3.8136116600790513</v>
      </c>
      <c r="H19" s="154">
        <v>3250</v>
      </c>
      <c r="I19" s="140"/>
      <c r="J19" s="154">
        <v>555940</v>
      </c>
      <c r="K19" s="155">
        <v>2.9442075996292862</v>
      </c>
      <c r="L19" s="154">
        <v>2926</v>
      </c>
      <c r="M19" s="140"/>
      <c r="N19" s="154">
        <f t="shared" si="2"/>
        <v>61560</v>
      </c>
      <c r="O19" s="155">
        <f t="shared" si="2"/>
        <v>0.86940406044976504</v>
      </c>
      <c r="P19" s="154">
        <f t="shared" si="2"/>
        <v>324</v>
      </c>
      <c r="Q19" s="140"/>
      <c r="R19" s="151"/>
    </row>
    <row r="20" spans="1:18">
      <c r="A20" s="151" t="s">
        <v>250</v>
      </c>
      <c r="B20" s="154">
        <f>'Level 0'!I43</f>
        <v>2034680</v>
      </c>
      <c r="C20" s="155">
        <f t="shared" si="0"/>
        <v>12.565958498023715</v>
      </c>
      <c r="D20" s="154">
        <f t="shared" si="1"/>
        <v>10708.842105263158</v>
      </c>
      <c r="E20" s="151"/>
      <c r="F20" s="154">
        <v>1021250</v>
      </c>
      <c r="G20" s="155">
        <v>6.307126976284585</v>
      </c>
      <c r="H20" s="154">
        <v>5375</v>
      </c>
      <c r="I20" s="140"/>
      <c r="J20" s="154">
        <v>1126769</v>
      </c>
      <c r="K20" s="155">
        <v>5.9672659870250229</v>
      </c>
      <c r="L20" s="154">
        <v>5930.363157894737</v>
      </c>
      <c r="M20" s="140"/>
      <c r="N20" s="154">
        <f t="shared" si="2"/>
        <v>-105519</v>
      </c>
      <c r="O20" s="155">
        <f t="shared" si="2"/>
        <v>0.3398609892595621</v>
      </c>
      <c r="P20" s="154">
        <f t="shared" si="2"/>
        <v>-555.36315789473701</v>
      </c>
      <c r="Q20" s="140"/>
      <c r="R20" s="151"/>
    </row>
    <row r="21" spans="1:18">
      <c r="A21" s="151" t="s">
        <v>251</v>
      </c>
      <c r="B21" s="154">
        <f>'Level 0'!I47</f>
        <v>1023200</v>
      </c>
      <c r="C21" s="155">
        <f t="shared" si="0"/>
        <v>6.3191699604743086</v>
      </c>
      <c r="D21" s="154">
        <f t="shared" si="1"/>
        <v>5385.2631578947367</v>
      </c>
      <c r="E21" s="151"/>
      <c r="F21" s="154">
        <v>662875</v>
      </c>
      <c r="G21" s="155">
        <v>4.0938426383399209</v>
      </c>
      <c r="H21" s="154">
        <v>3488.8157894736842</v>
      </c>
      <c r="I21" s="140"/>
      <c r="J21" s="154">
        <v>514455.07</v>
      </c>
      <c r="K21" s="155">
        <v>2.7245071891963457</v>
      </c>
      <c r="L21" s="154">
        <v>2707.6582631578949</v>
      </c>
      <c r="M21" s="140"/>
      <c r="N21" s="154">
        <f t="shared" si="2"/>
        <v>148419.93</v>
      </c>
      <c r="O21" s="155">
        <f t="shared" si="2"/>
        <v>1.3693354491435752</v>
      </c>
      <c r="P21" s="154">
        <f t="shared" si="2"/>
        <v>781.15752631578926</v>
      </c>
      <c r="Q21" s="140"/>
      <c r="R21" s="151"/>
    </row>
    <row r="22" spans="1:18">
      <c r="A22" s="151" t="s">
        <v>252</v>
      </c>
      <c r="B22" s="154">
        <f>'Level 0'!I51</f>
        <v>668000</v>
      </c>
      <c r="C22" s="155">
        <f t="shared" si="0"/>
        <v>4.1254940711462451</v>
      </c>
      <c r="D22" s="154">
        <f t="shared" si="1"/>
        <v>3515.7894736842104</v>
      </c>
      <c r="E22" s="151"/>
      <c r="F22" s="154">
        <v>368264</v>
      </c>
      <c r="G22" s="155">
        <v>2.2743577075098815</v>
      </c>
      <c r="H22" s="154">
        <v>1938.2315789473685</v>
      </c>
      <c r="I22" s="140"/>
      <c r="J22" s="154">
        <v>337555</v>
      </c>
      <c r="K22" s="155">
        <v>1.7876605322388455</v>
      </c>
      <c r="L22" s="154">
        <v>1776.6052631578948</v>
      </c>
      <c r="M22" s="140"/>
      <c r="N22" s="154">
        <f t="shared" si="2"/>
        <v>30709</v>
      </c>
      <c r="O22" s="155">
        <f t="shared" si="2"/>
        <v>0.48669717527103606</v>
      </c>
      <c r="P22" s="154">
        <f t="shared" si="2"/>
        <v>161.62631578947367</v>
      </c>
      <c r="Q22" s="140"/>
      <c r="R22" s="151"/>
    </row>
    <row r="23" spans="1:18">
      <c r="A23" s="151" t="s">
        <v>253</v>
      </c>
      <c r="B23" s="154">
        <f>'Level 0'!I52</f>
        <v>1012376</v>
      </c>
      <c r="C23" s="155">
        <f t="shared" si="0"/>
        <v>6.2523221343873514</v>
      </c>
      <c r="D23" s="154">
        <f t="shared" si="1"/>
        <v>5328.2947368421055</v>
      </c>
      <c r="E23" s="151"/>
      <c r="F23" s="154">
        <v>644722.5</v>
      </c>
      <c r="G23" s="155">
        <v>3.9817348073122529</v>
      </c>
      <c r="H23" s="154">
        <v>3393.2763157894738</v>
      </c>
      <c r="I23" s="140"/>
      <c r="J23" s="154">
        <v>661214.75</v>
      </c>
      <c r="K23" s="155">
        <v>3.5017330861909177</v>
      </c>
      <c r="L23" s="154">
        <v>3480.0776315789471</v>
      </c>
      <c r="M23" s="140"/>
      <c r="N23" s="154">
        <f t="shared" si="2"/>
        <v>-16492.25</v>
      </c>
      <c r="O23" s="155">
        <f t="shared" si="2"/>
        <v>0.48000172112133521</v>
      </c>
      <c r="P23" s="154">
        <f t="shared" si="2"/>
        <v>-86.801315789473392</v>
      </c>
      <c r="Q23" s="140"/>
      <c r="R23" s="151"/>
    </row>
    <row r="24" spans="1:18">
      <c r="A24" s="151" t="s">
        <v>254</v>
      </c>
      <c r="B24" s="154">
        <f>'Level 0'!I56</f>
        <v>3407538</v>
      </c>
      <c r="C24" s="155">
        <f t="shared" si="0"/>
        <v>21.044577569169959</v>
      </c>
      <c r="D24" s="154">
        <f t="shared" si="1"/>
        <v>17934.410526315791</v>
      </c>
      <c r="E24" s="151"/>
      <c r="F24" s="154">
        <v>2028440</v>
      </c>
      <c r="G24" s="155">
        <v>12.527420948616601</v>
      </c>
      <c r="H24" s="154">
        <v>10676</v>
      </c>
      <c r="I24" s="140"/>
      <c r="J24" s="154">
        <v>2166278.5</v>
      </c>
      <c r="K24" s="155">
        <v>11.4724136104859</v>
      </c>
      <c r="L24" s="154">
        <v>11401.465789473685</v>
      </c>
      <c r="M24" s="140"/>
      <c r="N24" s="154">
        <f t="shared" si="2"/>
        <v>-137838.5</v>
      </c>
      <c r="O24" s="155">
        <f t="shared" si="2"/>
        <v>1.0550073381307019</v>
      </c>
      <c r="P24" s="154">
        <f t="shared" si="2"/>
        <v>-725.46578947368471</v>
      </c>
      <c r="Q24" s="140"/>
      <c r="R24" s="151"/>
    </row>
    <row r="25" spans="1:18">
      <c r="A25" s="151" t="s">
        <v>255</v>
      </c>
      <c r="B25" s="154">
        <f>'Level 0'!I60</f>
        <v>3696000</v>
      </c>
      <c r="C25" s="155">
        <f t="shared" si="0"/>
        <v>22.826086956521738</v>
      </c>
      <c r="D25" s="154">
        <f t="shared" si="1"/>
        <v>19452.63157894737</v>
      </c>
      <c r="E25" s="151"/>
      <c r="F25" s="154">
        <v>2035451.0000000002</v>
      </c>
      <c r="G25" s="155">
        <v>12.570720108695653</v>
      </c>
      <c r="H25" s="154">
        <v>10712.900000000001</v>
      </c>
      <c r="I25" s="140"/>
      <c r="J25" s="154">
        <v>1751619.5</v>
      </c>
      <c r="K25" s="155">
        <v>9.2764173176221369</v>
      </c>
      <c r="L25" s="154">
        <v>9219.0499999999993</v>
      </c>
      <c r="M25" s="140"/>
      <c r="N25" s="154">
        <f t="shared" ref="N25:P38" si="3">F25-J25</f>
        <v>283831.50000000023</v>
      </c>
      <c r="O25" s="155">
        <f t="shared" si="3"/>
        <v>3.2943027910735161</v>
      </c>
      <c r="P25" s="154">
        <f t="shared" si="3"/>
        <v>1493.8500000000022</v>
      </c>
      <c r="Q25" s="140"/>
      <c r="R25" s="151" t="s">
        <v>273</v>
      </c>
    </row>
    <row r="26" spans="1:18">
      <c r="A26" s="151" t="s">
        <v>256</v>
      </c>
      <c r="B26" s="154">
        <f>'Level 0'!I61</f>
        <v>4595340</v>
      </c>
      <c r="C26" s="155">
        <f t="shared" si="0"/>
        <v>28.380311264822133</v>
      </c>
      <c r="D26" s="154">
        <f t="shared" si="1"/>
        <v>24186</v>
      </c>
      <c r="E26" s="151"/>
      <c r="F26" s="154">
        <v>2224078.9814999998</v>
      </c>
      <c r="G26" s="155">
        <v>13.735665646615612</v>
      </c>
      <c r="H26" s="154">
        <v>11705.678849999998</v>
      </c>
      <c r="I26" s="140"/>
      <c r="J26" s="154">
        <v>2257308</v>
      </c>
      <c r="K26" s="155">
        <v>11.954497550642129</v>
      </c>
      <c r="L26" s="154">
        <v>11880.568421052632</v>
      </c>
      <c r="M26" s="140"/>
      <c r="N26" s="154">
        <f t="shared" si="3"/>
        <v>-33229.018500000238</v>
      </c>
      <c r="O26" s="155">
        <f t="shared" si="3"/>
        <v>1.7811680959734826</v>
      </c>
      <c r="P26" s="154">
        <f t="shared" si="3"/>
        <v>-174.88957105263398</v>
      </c>
      <c r="Q26" s="140"/>
      <c r="R26" s="151"/>
    </row>
    <row r="27" spans="1:18">
      <c r="A27" s="151" t="s">
        <v>257</v>
      </c>
      <c r="B27" s="154">
        <f>'Level 0'!I64</f>
        <v>224000</v>
      </c>
      <c r="C27" s="155">
        <f t="shared" si="0"/>
        <v>1.383399209486166</v>
      </c>
      <c r="D27" s="154">
        <f t="shared" si="1"/>
        <v>1178.9473684210527</v>
      </c>
      <c r="E27" s="151"/>
      <c r="F27" s="154">
        <v>133000</v>
      </c>
      <c r="G27" s="155">
        <v>0.82139328063241102</v>
      </c>
      <c r="H27" s="154">
        <v>700</v>
      </c>
      <c r="I27" s="140"/>
      <c r="J27" s="154">
        <v>900</v>
      </c>
      <c r="K27" s="155">
        <v>4.7663180193300674E-3</v>
      </c>
      <c r="L27" s="154">
        <v>4.7368421052631575</v>
      </c>
      <c r="M27" s="140"/>
      <c r="N27" s="154">
        <f t="shared" si="3"/>
        <v>132100</v>
      </c>
      <c r="O27" s="155">
        <f t="shared" si="3"/>
        <v>0.81662696261308099</v>
      </c>
      <c r="P27" s="154">
        <f t="shared" si="3"/>
        <v>695.26315789473688</v>
      </c>
      <c r="Q27" s="140"/>
      <c r="R27" s="151" t="s">
        <v>274</v>
      </c>
    </row>
    <row r="28" spans="1:18">
      <c r="A28" s="151" t="s">
        <v>258</v>
      </c>
      <c r="B28" s="154">
        <f>'Level 0'!I65</f>
        <v>823992</v>
      </c>
      <c r="C28" s="155">
        <f t="shared" si="0"/>
        <v>5.088883399209486</v>
      </c>
      <c r="D28" s="154">
        <f t="shared" si="1"/>
        <v>4336.8</v>
      </c>
      <c r="E28" s="151"/>
      <c r="F28" s="154">
        <v>583363.15599999996</v>
      </c>
      <c r="G28" s="155">
        <v>3.6027862895256915</v>
      </c>
      <c r="H28" s="154">
        <v>3070.3323999999998</v>
      </c>
      <c r="I28" s="140"/>
      <c r="J28" s="154">
        <v>464996.5</v>
      </c>
      <c r="K28" s="155">
        <v>2.4625791076393484</v>
      </c>
      <c r="L28" s="154">
        <v>2447.35</v>
      </c>
      <c r="M28" s="140"/>
      <c r="N28" s="154">
        <f t="shared" si="3"/>
        <v>118366.65599999996</v>
      </c>
      <c r="O28" s="155">
        <f t="shared" si="3"/>
        <v>1.1402071818863431</v>
      </c>
      <c r="P28" s="154">
        <f t="shared" si="3"/>
        <v>622.98239999999987</v>
      </c>
      <c r="Q28" s="140"/>
      <c r="R28" s="151" t="s">
        <v>275</v>
      </c>
    </row>
    <row r="29" spans="1:18">
      <c r="A29" s="151" t="s">
        <v>259</v>
      </c>
      <c r="B29" s="154">
        <f>'Level 0'!I68</f>
        <v>782531</v>
      </c>
      <c r="C29" s="155">
        <f t="shared" si="0"/>
        <v>4.8328248517786561</v>
      </c>
      <c r="D29" s="154">
        <f t="shared" si="1"/>
        <v>4118.5842105263155</v>
      </c>
      <c r="E29" s="151"/>
      <c r="F29" s="154">
        <v>669561.15999999992</v>
      </c>
      <c r="G29" s="155">
        <v>4.1351356225296438</v>
      </c>
      <c r="H29" s="154">
        <v>3524.0061052631577</v>
      </c>
      <c r="I29" s="140"/>
      <c r="J29" s="154">
        <v>609629.75</v>
      </c>
      <c r="K29" s="155">
        <v>3.2285436250496491</v>
      </c>
      <c r="L29" s="154">
        <v>3208.5776315789471</v>
      </c>
      <c r="M29" s="140"/>
      <c r="N29" s="154">
        <f t="shared" si="3"/>
        <v>59931.409999999916</v>
      </c>
      <c r="O29" s="155">
        <f t="shared" si="3"/>
        <v>0.90659199747999475</v>
      </c>
      <c r="P29" s="154">
        <f t="shared" si="3"/>
        <v>315.42847368421053</v>
      </c>
      <c r="Q29" s="140"/>
      <c r="R29" s="151"/>
    </row>
    <row r="30" spans="1:18">
      <c r="A30" s="151" t="s">
        <v>260</v>
      </c>
      <c r="B30" s="154">
        <f>'Level 0'!I71</f>
        <v>5109722.3599999994</v>
      </c>
      <c r="C30" s="155">
        <f t="shared" si="0"/>
        <v>31.557079792490114</v>
      </c>
      <c r="D30" s="154">
        <f t="shared" si="1"/>
        <v>26893.275578947367</v>
      </c>
      <c r="E30" s="151"/>
      <c r="F30" s="154">
        <v>2071879.6384582464</v>
      </c>
      <c r="G30" s="155">
        <v>12.79569934818581</v>
      </c>
      <c r="H30" s="154">
        <v>10904.629676096034</v>
      </c>
      <c r="I30" s="140"/>
      <c r="J30" s="154">
        <v>2186782.4500000002</v>
      </c>
      <c r="K30" s="155">
        <v>11.581000661988615</v>
      </c>
      <c r="L30" s="154">
        <v>11509.381315789475</v>
      </c>
      <c r="M30" s="140"/>
      <c r="N30" s="154">
        <f t="shared" si="3"/>
        <v>-114902.81154175382</v>
      </c>
      <c r="O30" s="155">
        <f t="shared" si="3"/>
        <v>1.2146986861971953</v>
      </c>
      <c r="P30" s="154">
        <f t="shared" si="3"/>
        <v>-604.75163969344067</v>
      </c>
      <c r="Q30" s="140"/>
      <c r="R30" s="151"/>
    </row>
    <row r="31" spans="1:18">
      <c r="A31" s="151" t="s">
        <v>261</v>
      </c>
      <c r="B31" s="154">
        <f>'Level 0'!I78</f>
        <v>1900406</v>
      </c>
      <c r="C31" s="155">
        <f t="shared" si="0"/>
        <v>11.736697134387352</v>
      </c>
      <c r="D31" s="154">
        <f t="shared" si="1"/>
        <v>10002.136842105263</v>
      </c>
      <c r="E31" s="151"/>
      <c r="F31" s="154">
        <v>3039786</v>
      </c>
      <c r="G31" s="155">
        <v>18.773381916996048</v>
      </c>
      <c r="H31" s="154">
        <v>15998.873684210526</v>
      </c>
      <c r="I31" s="140"/>
      <c r="J31" s="154">
        <v>1788881</v>
      </c>
      <c r="K31" s="155">
        <v>9.4737508274857678</v>
      </c>
      <c r="L31" s="154">
        <v>9415.1631578947363</v>
      </c>
      <c r="M31" s="140"/>
      <c r="N31" s="154">
        <f t="shared" si="3"/>
        <v>1250905</v>
      </c>
      <c r="O31" s="155">
        <f t="shared" si="3"/>
        <v>9.2996310895102798</v>
      </c>
      <c r="P31" s="154">
        <f t="shared" si="3"/>
        <v>6583.71052631579</v>
      </c>
      <c r="Q31" s="140"/>
      <c r="R31" s="151" t="s">
        <v>276</v>
      </c>
    </row>
    <row r="32" spans="1:18">
      <c r="A32" s="151" t="s">
        <v>262</v>
      </c>
      <c r="B32" s="154">
        <f>'Level 0'!I87</f>
        <v>15000</v>
      </c>
      <c r="C32" s="155">
        <f t="shared" si="0"/>
        <v>9.2638339920948623E-2</v>
      </c>
      <c r="D32" s="154">
        <f t="shared" si="1"/>
        <v>78.94736842105263</v>
      </c>
      <c r="E32" s="151"/>
      <c r="F32" s="154">
        <v>10000</v>
      </c>
      <c r="G32" s="155">
        <v>6.1758893280632408E-2</v>
      </c>
      <c r="H32" s="154">
        <v>52.631578947368418</v>
      </c>
      <c r="I32" s="140"/>
      <c r="J32" s="154">
        <v>7500</v>
      </c>
      <c r="K32" s="155">
        <v>3.971931682775056E-2</v>
      </c>
      <c r="L32" s="154">
        <v>39.473684210526315</v>
      </c>
      <c r="M32" s="140"/>
      <c r="N32" s="154">
        <f t="shared" si="3"/>
        <v>2500</v>
      </c>
      <c r="O32" s="155">
        <f t="shared" si="3"/>
        <v>2.2039576452881848E-2</v>
      </c>
      <c r="P32" s="154">
        <f t="shared" si="3"/>
        <v>13.157894736842103</v>
      </c>
      <c r="Q32" s="140"/>
      <c r="R32" s="151"/>
    </row>
    <row r="33" spans="1:18">
      <c r="A33" s="151" t="s">
        <v>263</v>
      </c>
      <c r="B33" s="154">
        <f>'Level 0'!I88</f>
        <v>480000</v>
      </c>
      <c r="C33" s="155">
        <f t="shared" si="0"/>
        <v>2.9644268774703559</v>
      </c>
      <c r="D33" s="154">
        <f t="shared" si="1"/>
        <v>2526.3157894736842</v>
      </c>
      <c r="E33" s="151"/>
      <c r="F33" s="154">
        <v>182400</v>
      </c>
      <c r="G33" s="155">
        <v>1.1264822134387351</v>
      </c>
      <c r="H33" s="154">
        <v>960</v>
      </c>
      <c r="I33" s="140"/>
      <c r="J33" s="154">
        <v>707152.38</v>
      </c>
      <c r="K33" s="155">
        <v>3.7450145902290481</v>
      </c>
      <c r="L33" s="154">
        <v>3721.8546315789472</v>
      </c>
      <c r="M33" s="140"/>
      <c r="N33" s="154">
        <f t="shared" si="3"/>
        <v>-524752.38</v>
      </c>
      <c r="O33" s="155">
        <f t="shared" si="3"/>
        <v>-2.6185323767903128</v>
      </c>
      <c r="P33" s="154">
        <f t="shared" si="3"/>
        <v>-2761.8546315789472</v>
      </c>
      <c r="Q33" s="140"/>
      <c r="R33" s="151" t="s">
        <v>277</v>
      </c>
    </row>
    <row r="34" spans="1:18">
      <c r="A34" s="151" t="s">
        <v>264</v>
      </c>
      <c r="B34" s="154">
        <f>'Level 0'!I89</f>
        <v>325250</v>
      </c>
      <c r="C34" s="155">
        <f t="shared" si="0"/>
        <v>2.0087080039525693</v>
      </c>
      <c r="D34" s="154">
        <f t="shared" si="1"/>
        <v>1711.8421052631579</v>
      </c>
      <c r="E34" s="151"/>
      <c r="F34" s="154">
        <v>240000</v>
      </c>
      <c r="G34" s="155">
        <v>1.482213438735178</v>
      </c>
      <c r="H34" s="154">
        <v>1263.1578947368421</v>
      </c>
      <c r="I34" s="140"/>
      <c r="J34" s="154">
        <v>149353.1</v>
      </c>
      <c r="K34" s="155">
        <v>0.79096041308089504</v>
      </c>
      <c r="L34" s="154">
        <v>786.06894736842105</v>
      </c>
      <c r="M34" s="140"/>
      <c r="N34" s="154">
        <f t="shared" si="3"/>
        <v>90646.9</v>
      </c>
      <c r="O34" s="155">
        <f t="shared" si="3"/>
        <v>0.69125302565428293</v>
      </c>
      <c r="P34" s="154">
        <f t="shared" si="3"/>
        <v>477.08894736842103</v>
      </c>
      <c r="Q34" s="140"/>
      <c r="R34" s="151" t="s">
        <v>278</v>
      </c>
    </row>
    <row r="35" spans="1:18">
      <c r="A35" s="151" t="s">
        <v>177</v>
      </c>
      <c r="B35" s="154">
        <f>'Level 0'!I90</f>
        <v>879505.00644800009</v>
      </c>
      <c r="C35" s="155">
        <f t="shared" si="0"/>
        <v>5.4317255833003957</v>
      </c>
      <c r="D35" s="154">
        <f t="shared" si="1"/>
        <v>4628.9737181473693</v>
      </c>
      <c r="E35" s="151"/>
      <c r="F35" s="154">
        <v>552444.52744467161</v>
      </c>
      <c r="G35" s="155">
        <v>3.4118362613924877</v>
      </c>
      <c r="H35" s="154">
        <v>2907.6027760245875</v>
      </c>
      <c r="I35" s="140"/>
      <c r="J35" s="154">
        <v>0</v>
      </c>
      <c r="K35" s="155">
        <v>0</v>
      </c>
      <c r="L35" s="154">
        <v>0</v>
      </c>
      <c r="M35" s="140"/>
      <c r="N35" s="154">
        <f t="shared" si="3"/>
        <v>552444.52744467161</v>
      </c>
      <c r="O35" s="155">
        <f t="shared" si="3"/>
        <v>3.4118362613924877</v>
      </c>
      <c r="P35" s="154">
        <f t="shared" si="3"/>
        <v>2907.6027760245875</v>
      </c>
      <c r="Q35" s="140"/>
      <c r="R35" s="151"/>
    </row>
    <row r="36" spans="1:18">
      <c r="A36" s="151" t="s">
        <v>265</v>
      </c>
      <c r="B36" s="154">
        <f>'Level 0'!I93</f>
        <v>1155000</v>
      </c>
      <c r="C36" s="155">
        <f t="shared" si="0"/>
        <v>7.1331521739130439</v>
      </c>
      <c r="D36" s="154">
        <f t="shared" si="1"/>
        <v>6078.9473684210525</v>
      </c>
      <c r="E36" s="151"/>
      <c r="F36" s="154">
        <v>950000</v>
      </c>
      <c r="G36" s="155">
        <v>5.8670948616600791</v>
      </c>
      <c r="H36" s="154">
        <v>5000</v>
      </c>
      <c r="I36" s="140"/>
      <c r="J36" s="154">
        <v>1161406.5315</v>
      </c>
      <c r="K36" s="155">
        <v>6.1507031987289817</v>
      </c>
      <c r="L36" s="154">
        <v>6112.6659552631581</v>
      </c>
      <c r="M36" s="140"/>
      <c r="N36" s="154">
        <f t="shared" si="3"/>
        <v>-211406.53150000004</v>
      </c>
      <c r="O36" s="155">
        <f t="shared" si="3"/>
        <v>-0.28360833706890265</v>
      </c>
      <c r="P36" s="154">
        <f t="shared" si="3"/>
        <v>-1112.6659552631581</v>
      </c>
      <c r="Q36" s="140"/>
      <c r="R36" s="151"/>
    </row>
    <row r="37" spans="1:18">
      <c r="A37" s="151" t="s">
        <v>266</v>
      </c>
      <c r="B37" s="154">
        <f>SUM('Level 0'!I97:I98)</f>
        <v>943199.98424138408</v>
      </c>
      <c r="C37" s="155">
        <f t="shared" si="0"/>
        <v>5.8250987169057815</v>
      </c>
      <c r="D37" s="154">
        <f t="shared" si="1"/>
        <v>4964.2104433757058</v>
      </c>
      <c r="E37" s="151"/>
      <c r="F37" s="154">
        <v>673440.57234483806</v>
      </c>
      <c r="G37" s="155">
        <v>4.1590944438292867</v>
      </c>
      <c r="H37" s="154">
        <v>3544.4240649728317</v>
      </c>
      <c r="I37" s="140"/>
      <c r="J37" s="154">
        <v>555133.11762686167</v>
      </c>
      <c r="K37" s="155">
        <v>2.9399344240797651</v>
      </c>
      <c r="L37" s="154">
        <v>2921.753250667693</v>
      </c>
      <c r="M37" s="140"/>
      <c r="N37" s="154">
        <f t="shared" si="3"/>
        <v>118307.45471797639</v>
      </c>
      <c r="O37" s="155">
        <f t="shared" si="3"/>
        <v>1.2191600197495216</v>
      </c>
      <c r="P37" s="154">
        <f t="shared" si="3"/>
        <v>622.67081430513872</v>
      </c>
      <c r="Q37" s="140"/>
      <c r="R37" s="151"/>
    </row>
    <row r="38" spans="1:18">
      <c r="A38" s="151" t="s">
        <v>267</v>
      </c>
      <c r="B38" s="154">
        <f>'Level 0'!I96</f>
        <v>2817177.3187853633</v>
      </c>
      <c r="C38" s="155">
        <f t="shared" si="0"/>
        <v>17.398575338348341</v>
      </c>
      <c r="D38" s="154">
        <f t="shared" si="1"/>
        <v>14827.249046238754</v>
      </c>
      <c r="E38" s="151"/>
      <c r="F38" s="154">
        <v>1698492.3539053157</v>
      </c>
      <c r="G38" s="155">
        <v>10.489700802280852</v>
      </c>
      <c r="H38" s="154">
        <v>8939.433441606925</v>
      </c>
      <c r="I38" s="140"/>
      <c r="J38" s="154">
        <v>1591446.899800231</v>
      </c>
      <c r="K38" s="155">
        <v>8.4281578170275697</v>
      </c>
      <c r="L38" s="154">
        <v>8376.0363147380576</v>
      </c>
      <c r="M38" s="140"/>
      <c r="N38" s="154">
        <f t="shared" si="3"/>
        <v>107045.45410508476</v>
      </c>
      <c r="O38" s="155">
        <f t="shared" si="3"/>
        <v>2.0615429852532827</v>
      </c>
      <c r="P38" s="154">
        <f t="shared" si="3"/>
        <v>563.39712686886742</v>
      </c>
      <c r="Q38" s="140"/>
      <c r="R38" s="151"/>
    </row>
    <row r="39" spans="1:18">
      <c r="A39" s="151" t="s">
        <v>268</v>
      </c>
      <c r="B39" s="154">
        <f>'Level 0'!I99</f>
        <v>3756236.4250471513</v>
      </c>
      <c r="C39" s="155">
        <f t="shared" si="0"/>
        <v>23.198100451131122</v>
      </c>
      <c r="D39" s="154">
        <f t="shared" si="1"/>
        <v>19769.665394985008</v>
      </c>
      <c r="E39" s="151"/>
      <c r="F39" s="154">
        <v>2383848.9177618469</v>
      </c>
      <c r="G39" s="155">
        <v>14.722387090920497</v>
      </c>
      <c r="H39" s="154">
        <v>12546.573251378142</v>
      </c>
      <c r="I39" s="140"/>
      <c r="J39" s="154">
        <v>2233609.6839301488</v>
      </c>
      <c r="K39" s="155">
        <v>11.828993427407116</v>
      </c>
      <c r="L39" s="154">
        <v>11755.840441737626</v>
      </c>
      <c r="M39" s="140"/>
      <c r="N39" s="154">
        <f>F39-J39</f>
        <v>150239.23383169807</v>
      </c>
      <c r="O39" s="155">
        <f>G39-K39</f>
        <v>2.8933936635133808</v>
      </c>
      <c r="P39" s="154">
        <f>H39-L39</f>
        <v>790.73280964051628</v>
      </c>
      <c r="Q39" s="140"/>
      <c r="R39" s="151"/>
    </row>
    <row r="40" spans="1:18">
      <c r="A40" s="142"/>
      <c r="B40" s="132"/>
      <c r="C40" s="150"/>
      <c r="D40" s="132"/>
      <c r="E40" s="142"/>
      <c r="F40" s="132"/>
      <c r="G40" s="150"/>
      <c r="H40" s="132"/>
      <c r="I40" s="140"/>
      <c r="J40" s="132"/>
      <c r="K40" s="150"/>
      <c r="L40" s="132"/>
      <c r="M40" s="140"/>
      <c r="N40" s="132"/>
      <c r="O40" s="150"/>
      <c r="P40" s="132"/>
      <c r="Q40" s="140"/>
    </row>
    <row r="41" spans="1:18">
      <c r="A41" s="131" t="s">
        <v>189</v>
      </c>
      <c r="B41" s="134">
        <f>SUM(B9:B39)</f>
        <v>56335546.375707254</v>
      </c>
      <c r="C41" s="150">
        <f>B41/$G$6</f>
        <v>347.92209965234224</v>
      </c>
      <c r="D41" s="134">
        <f>B41/$H$5</f>
        <v>296502.87566161714</v>
      </c>
      <c r="E41" s="131"/>
      <c r="F41" s="134">
        <v>35668339.432011634</v>
      </c>
      <c r="G41" s="150">
        <v>220.28371684789795</v>
      </c>
      <c r="H41" s="134">
        <v>187728.10227374543</v>
      </c>
      <c r="I41" s="140"/>
      <c r="J41" s="134">
        <v>33420384.895804849</v>
      </c>
      <c r="K41" s="150">
        <v>176.99131415757896</v>
      </c>
      <c r="L41" s="134">
        <v>175896.76260949922</v>
      </c>
      <c r="M41" s="140"/>
      <c r="N41" s="134">
        <f>F41-J41</f>
        <v>2247954.5362067856</v>
      </c>
      <c r="O41" s="150">
        <f>G41-K41</f>
        <v>43.292402690318994</v>
      </c>
      <c r="P41" s="134">
        <f>H41-L41</f>
        <v>11831.339664246218</v>
      </c>
      <c r="Q41" s="140"/>
    </row>
  </sheetData>
  <mergeCells count="4">
    <mergeCell ref="F2:H2"/>
    <mergeCell ref="J2:L2"/>
    <mergeCell ref="N2:P2"/>
    <mergeCell ref="B2:D2"/>
  </mergeCells>
  <pageMargins left="0.7" right="0.7" top="0.75" bottom="0.75" header="0.3" footer="0.3"/>
  <pageSetup scale="61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f068e7-c9bb-4725-97f3-1c2dc85159f3">
      <Terms xmlns="http://schemas.microsoft.com/office/infopath/2007/PartnerControls"/>
    </lcf76f155ced4ddcb4097134ff3c332f>
    <TaxCatchAll xmlns="4e92597e-5b46-4d1b-902f-47e9ae7c3c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17A48C4ED034C8E36595417A70FA7" ma:contentTypeVersion="13" ma:contentTypeDescription="Create a new document." ma:contentTypeScope="" ma:versionID="beda784ec6848bd6b033ef57eda2c7f3">
  <xsd:schema xmlns:xsd="http://www.w3.org/2001/XMLSchema" xmlns:xs="http://www.w3.org/2001/XMLSchema" xmlns:p="http://schemas.microsoft.com/office/2006/metadata/properties" xmlns:ns2="2ef068e7-c9bb-4725-97f3-1c2dc85159f3" xmlns:ns3="4e92597e-5b46-4d1b-902f-47e9ae7c3c22" targetNamespace="http://schemas.microsoft.com/office/2006/metadata/properties" ma:root="true" ma:fieldsID="48345bc7d524223f544a20acb54cdae8" ns2:_="" ns3:_="">
    <xsd:import namespace="2ef068e7-c9bb-4725-97f3-1c2dc85159f3"/>
    <xsd:import namespace="4e92597e-5b46-4d1b-902f-47e9ae7c3c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068e7-c9bb-4725-97f3-1c2dc8515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da4bc3-7db5-4444-a7c1-2e26fae20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2597e-5b46-4d1b-902f-47e9ae7c3c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03f9da-2e20-4aac-a6a2-483043c2b3f0}" ma:internalName="TaxCatchAll" ma:showField="CatchAllData" ma:web="4e92597e-5b46-4d1b-902f-47e9ae7c3c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F2FC3-C872-4296-9B77-1FC97E29318F}"/>
</file>

<file path=customXml/itemProps2.xml><?xml version="1.0" encoding="utf-8"?>
<ds:datastoreItem xmlns:ds="http://schemas.openxmlformats.org/officeDocument/2006/customXml" ds:itemID="{18D5599F-E26E-4245-AE6B-4B21A6821287}"/>
</file>

<file path=customXml/itemProps3.xml><?xml version="1.0" encoding="utf-8"?>
<ds:datastoreItem xmlns:ds="http://schemas.openxmlformats.org/officeDocument/2006/customXml" ds:itemID="{1D0CE1DF-2B7D-4439-985D-BD485731F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Alvarez</dc:creator>
  <cp:keywords/>
  <dc:description/>
  <cp:lastModifiedBy/>
  <cp:revision/>
  <dcterms:created xsi:type="dcterms:W3CDTF">2024-09-18T20:35:50Z</dcterms:created>
  <dcterms:modified xsi:type="dcterms:W3CDTF">2026-06-18T16:09:58Z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0x01010056117A48C4ED034C8E36595417A70FA7</vt:lpwstr>
  </property>
  <property fmtid="{D5CDD505-2E9C-101B-9397-08002B2CF9AE}" pid="4" name="_ExtendedDescription">
    <vt:lpwstr/>
  </property>
</Properties>
</file>