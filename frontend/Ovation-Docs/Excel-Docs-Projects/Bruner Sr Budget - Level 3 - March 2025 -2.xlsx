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ovationco.sharepoint.com/sites/Construction/Shared Documents/Bruner Seniors/02 - Project Budgets &amp; Draws - MP/01 - Pre-Construction Budgets/Construction budget/Level 3/"/>
    </mc:Choice>
  </mc:AlternateContent>
  <xr:revisionPtr revIDLastSave="0" documentId="8_{B202D17B-5443-47D7-9274-69C0F6895D6A}" xr6:coauthVersionLast="47" xr6:coauthVersionMax="47" xr10:uidLastSave="{00000000-0000-0000-0000-000000000000}"/>
  <bookViews>
    <workbookView xWindow="28680" yWindow="-240" windowWidth="29040" windowHeight="15720" firstSheet="2" activeTab="2" xr2:uid="{D3E59FA3-19F8-4545-8253-C3582123240F}"/>
  </bookViews>
  <sheets>
    <sheet name="Scenario 1 - Phase 1" sheetId="4" state="hidden" r:id="rId1"/>
    <sheet name="_REFERENCE888777888" sheetId="11" state="veryHidden" r:id="rId2"/>
    <sheet name="LEVEL 3" sheetId="6" r:id="rId3"/>
    <sheet name="LEVEL 2 (Match)" sheetId="14" r:id="rId4"/>
    <sheet name="Comparison to Previous" sheetId="13" r:id="rId5"/>
    <sheet name="Comparison to Other" sheetId="12" r:id="rId6"/>
    <sheet name="Sheet3" sheetId="10" r:id="rId7"/>
    <sheet name="Comparison to Previous (Match)" sheetId="15" state="hidden" r:id="rId8"/>
    <sheet name="Sheet1" sheetId="9" state="hidden" r:id="rId9"/>
    <sheet name="Combined Ph 1 &amp; 2" sheetId="7" state="hidden" r:id="rId10"/>
    <sheet name="Summary Combined Ph 1 &amp; 2 (2)" sheetId="8" state="hidden" r:id="rId11"/>
    <sheet name="Sheet2" sheetId="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A" localSheetId="5">#REF!</definedName>
    <definedName name="\A">#REF!</definedName>
    <definedName name="\B" localSheetId="5">#REF!</definedName>
    <definedName name="\B">#REF!</definedName>
    <definedName name="\C">#REF!</definedName>
    <definedName name="\D">#REF!</definedName>
    <definedName name="\E">#REF!</definedName>
    <definedName name="\F">#REF!</definedName>
    <definedName name="\i">#REF!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w">#REF!</definedName>
    <definedName name="\X">#REF!</definedName>
    <definedName name="\Y">#REF!</definedName>
    <definedName name="\Z">#REF!</definedName>
    <definedName name="____7HILLS">#REF!</definedName>
    <definedName name="____Ins2">#REF!</definedName>
    <definedName name="____Ins3">#REF!</definedName>
    <definedName name="____NML9798">#REF!</definedName>
    <definedName name="____NML98">#REF!</definedName>
    <definedName name="____PEG1">#REF!</definedName>
    <definedName name="____RR1">#REF!</definedName>
    <definedName name="____SKY98">#REF!</definedName>
    <definedName name="___1Module2_.PRINT_BCCAM">#N/A</definedName>
    <definedName name="___7HILLS">#REF!</definedName>
    <definedName name="___Ins2">#REF!</definedName>
    <definedName name="___Ins3">#REF!</definedName>
    <definedName name="___MT1">#REF!</definedName>
    <definedName name="___MT2">#REF!</definedName>
    <definedName name="___MT3">#REF!</definedName>
    <definedName name="___NML9798">#REF!</definedName>
    <definedName name="___NML98">#REF!</definedName>
    <definedName name="___PEG1">#REF!</definedName>
    <definedName name="___RR1">#REF!</definedName>
    <definedName name="___SKY98">#REF!</definedName>
    <definedName name="__123Graph_A" hidden="1">[1]OCT!$B$13:$B$29</definedName>
    <definedName name="__123Graph_B" hidden="1">[1]OCT!$C$13:$C$29</definedName>
    <definedName name="__123Graph_C" hidden="1">[1]OCT!$D$13:$D$29</definedName>
    <definedName name="__123Graph_D" hidden="1">[1]OCT!$E$13:$E$29</definedName>
    <definedName name="__123Graph_E" hidden="1">[1]OCT!$F$13:$F$29</definedName>
    <definedName name="__123Graph_F" hidden="1">[1]OCT!$G$13:$G$29</definedName>
    <definedName name="__1Module2_.PRINT_BCCAM">#N/A</definedName>
    <definedName name="__2Module2_.PRINT_BCPR">#N/A</definedName>
    <definedName name="__3Module2_.PRINT_BCTAX">#N/A</definedName>
    <definedName name="__4Module2_.PRINT_HSUM">#N/A</definedName>
    <definedName name="__5_96100">#REF!</definedName>
    <definedName name="__7HILLS">#REF!</definedName>
    <definedName name="__96100">#REF!</definedName>
    <definedName name="__FDS_HYPERLINK_TOGGLE_STATE__" hidden="1">"ON"</definedName>
    <definedName name="__Ins2">#REF!</definedName>
    <definedName name="__Ins3">#REF!</definedName>
    <definedName name="__MT1">#REF!</definedName>
    <definedName name="__MT2">#REF!</definedName>
    <definedName name="__MT3">#REF!</definedName>
    <definedName name="__NML9798">#REF!</definedName>
    <definedName name="__NML98">#REF!</definedName>
    <definedName name="__PEG1">#REF!</definedName>
    <definedName name="__RR1">#REF!</definedName>
    <definedName name="__SKY98">#REF!</definedName>
    <definedName name="__soa202">#REF!</definedName>
    <definedName name="__soa207">#REF!</definedName>
    <definedName name="__soa231">#REF!</definedName>
    <definedName name="__soa236">#REF!</definedName>
    <definedName name="_10Module2_.PRINT_HSUM">#N/A</definedName>
    <definedName name="_1201T1">#REF!</definedName>
    <definedName name="_1202T1">#N/A</definedName>
    <definedName name="_1206T1">#REF!</definedName>
    <definedName name="_1207T1">#REF!</definedName>
    <definedName name="_1208T1">#REF!</definedName>
    <definedName name="_1210T1">#REF!</definedName>
    <definedName name="_1211T1">#REF!</definedName>
    <definedName name="_1216T1">#REF!</definedName>
    <definedName name="_1217T1">#REF!</definedName>
    <definedName name="_1218T1">#REF!</definedName>
    <definedName name="_1219T1">#REF!</definedName>
    <definedName name="_1220T1">#REF!</definedName>
    <definedName name="_1220T2">#REF!</definedName>
    <definedName name="_1221T1">#REF!</definedName>
    <definedName name="_1222T1">#REF!</definedName>
    <definedName name="_1223T1">#REF!</definedName>
    <definedName name="_1224T1">#REF!</definedName>
    <definedName name="_1226T2">#REF!</definedName>
    <definedName name="_1231T">#REF!</definedName>
    <definedName name="_1231T1">#REF!</definedName>
    <definedName name="_1233T1">#REF!</definedName>
    <definedName name="_1234T2">#REF!</definedName>
    <definedName name="_1235T1">#REF!</definedName>
    <definedName name="_1236T1">#REF!</definedName>
    <definedName name="_1238T1">#REF!</definedName>
    <definedName name="_1239T1">#REF!</definedName>
    <definedName name="_1239T3">#REF!</definedName>
    <definedName name="_1240T1">#REF!</definedName>
    <definedName name="_1248T3">#REF!</definedName>
    <definedName name="_1251T1">#REF!</definedName>
    <definedName name="_1251T2">#REF!</definedName>
    <definedName name="_1252T1">#REF!</definedName>
    <definedName name="_1252T2">#REF!</definedName>
    <definedName name="_1256T1">#REF!</definedName>
    <definedName name="_1257T1">#REF!</definedName>
    <definedName name="_1258T1">#REF!</definedName>
    <definedName name="_1260T1">#REF!</definedName>
    <definedName name="_1260T2">#REF!</definedName>
    <definedName name="_1261T1">#REF!</definedName>
    <definedName name="_1262T1">#REF!</definedName>
    <definedName name="_1264T1">#REF!</definedName>
    <definedName name="_1265T1">#REF!</definedName>
    <definedName name="_1268T2">#REF!</definedName>
    <definedName name="_1273T1">#REF!</definedName>
    <definedName name="_1276T1">#REF!</definedName>
    <definedName name="_1280T1">#REF!</definedName>
    <definedName name="_1281T1">#REF!</definedName>
    <definedName name="_12Module2_.PRINT_HSUM">#N/A</definedName>
    <definedName name="_13_96100">#REF!</definedName>
    <definedName name="_1Module2_.PRINT_BCCAM">#N/A</definedName>
    <definedName name="_2">#REF!</definedName>
    <definedName name="_2002_B_C_BUDGET">#REF!</definedName>
    <definedName name="_2Module2_.PRINT_BCPR">#N/A</definedName>
    <definedName name="_3">#REF!</definedName>
    <definedName name="_3Module2_.PRINT_BCCAM">#N/A</definedName>
    <definedName name="_3Module2_.PRINT_BCTAX">#N/A</definedName>
    <definedName name="_4Module2_.PRINT_BCPR">#N/A</definedName>
    <definedName name="_4Module2_.PRINT_HSUM">#N/A</definedName>
    <definedName name="_5_96100">#REF!</definedName>
    <definedName name="_6Module2_.PRINT_BCPR">#N/A</definedName>
    <definedName name="_7HILLS">#REF!</definedName>
    <definedName name="_7Module2_.PRINT_BCTAX">#N/A</definedName>
    <definedName name="_96100">#REF!</definedName>
    <definedName name="_9Module2_.PRINT_BCTAX">#N/A</definedName>
    <definedName name="_Fill" hidden="1">#REF!</definedName>
    <definedName name="_xlnm._FilterDatabase" localSheetId="5" hidden="1">'Comparison to Other'!$A$2:$F$29</definedName>
    <definedName name="_xlnm._FilterDatabase" localSheetId="3" hidden="1">'LEVEL 2 (Match)'!$A$19:$L$368</definedName>
    <definedName name="_xlnm._FilterDatabase" localSheetId="2" hidden="1">'LEVEL 3'!$A$19:$L$373</definedName>
    <definedName name="_xlnm._FilterDatabase" localSheetId="0" hidden="1">'Scenario 1 - Phase 1'!$A$19:$L$364</definedName>
    <definedName name="_xlnm._FilterDatabase" hidden="1">#REF!</definedName>
    <definedName name="_Ins2" localSheetId="5">#REF!</definedName>
    <definedName name="_Ins2">#REF!</definedName>
    <definedName name="_Ins3" localSheetId="5">#REF!</definedName>
    <definedName name="_Ins3">#REF!</definedName>
    <definedName name="_Key1" hidden="1">#REF!</definedName>
    <definedName name="_Key2" hidden="1">#REF!</definedName>
    <definedName name="_MT1">#REF!</definedName>
    <definedName name="_MT2">#REF!</definedName>
    <definedName name="_MT3">#REF!</definedName>
    <definedName name="_NML9798">#REF!</definedName>
    <definedName name="_NML98">#REF!</definedName>
    <definedName name="_Order1" hidden="1">255</definedName>
    <definedName name="_Order2" hidden="1">0</definedName>
    <definedName name="_PEG1">#REF!</definedName>
    <definedName name="_PR1">#REF!</definedName>
    <definedName name="_pr2">#REF!</definedName>
    <definedName name="_Regression_X" hidden="1">'[2]5CM95'!#REF!</definedName>
    <definedName name="_RR1" localSheetId="5">#REF!</definedName>
    <definedName name="_RR1">#REF!</definedName>
    <definedName name="_SKY98" localSheetId="5">#REF!</definedName>
    <definedName name="_SKY98">#REF!</definedName>
    <definedName name="_Sort" localSheetId="5" hidden="1">#REF!</definedName>
    <definedName name="_Sort" hidden="1">#REF!</definedName>
    <definedName name="A">#REF!</definedName>
    <definedName name="A.G._EDWARDS">#REF!</definedName>
    <definedName name="aa">#REF!</definedName>
    <definedName name="aac">#REF!</definedName>
    <definedName name="Absorption">'[3]AVI-JV-PROFORMA'!#REF!</definedName>
    <definedName name="AbsorptionDataTablesDual" localSheetId="5">#REF!</definedName>
    <definedName name="AbsorptionDataTablesDual">#REF!</definedName>
    <definedName name="AbsorptionDataTablesSingle" localSheetId="5">#REF!</definedName>
    <definedName name="AbsorptionDataTablesSingle">#REF!</definedName>
    <definedName name="AbsorptionForSingleTables" localSheetId="5">[4]Assumptions!#REF!</definedName>
    <definedName name="AbsorptionForSingleTables">[4]Assumptions!#REF!</definedName>
    <definedName name="AbsorptionRangeResults" localSheetId="5">#REF!</definedName>
    <definedName name="AbsorptionRangeResults">#REF!</definedName>
    <definedName name="AbsorptionTablesDual" localSheetId="5">[4]Assumptions!#REF!</definedName>
    <definedName name="AbsorptionTablesDual">[4]Assumptions!#REF!</definedName>
    <definedName name="AbsorptionTablesSingle" localSheetId="5">[4]Assumptions!#REF!</definedName>
    <definedName name="AbsorptionTablesSingle">[4]Assumptions!#REF!</definedName>
    <definedName name="Absortion" localSheetId="5">'[5]AVI-JV-PROFORMA'!#REF!</definedName>
    <definedName name="Absortion">'[5]AVI-JV-PROFORMA'!#REF!</definedName>
    <definedName name="accrdays" localSheetId="5">#REF!</definedName>
    <definedName name="accrdays">#REF!</definedName>
    <definedName name="accruals" localSheetId="5">#REF!</definedName>
    <definedName name="accruals">#REF!</definedName>
    <definedName name="acov" localSheetId="5">#REF!</definedName>
    <definedName name="acov">#REF!</definedName>
    <definedName name="actual_360_grossyield">#REF!</definedName>
    <definedName name="ACwvu.ALL." hidden="1">#REF!</definedName>
    <definedName name="ACwvu.CAM._.RATES." hidden="1">#REF!</definedName>
    <definedName name="ACwvu.CAM._.RECOVERIES." hidden="1">'[6]SCHEDULE B+C'!$BV$162</definedName>
    <definedName name="ACwvu.CAM._.RECOVERY." localSheetId="5" hidden="1">#REF!</definedName>
    <definedName name="ACwvu.CAM._.RECOVERY." hidden="1">#REF!</definedName>
    <definedName name="ACwvu.CAM._.TABLE." hidden="1">'[6]SCHEDULE B+C'!$BW$210</definedName>
    <definedName name="ACwvu.INSURANCE._.RECOVERIES." hidden="1">'[6]SCHEDULE B+C'!$CY$159</definedName>
    <definedName name="ACwvu.LSMEET." localSheetId="5" hidden="1">#REF!</definedName>
    <definedName name="ACwvu.LSMEET." hidden="1">#REF!</definedName>
    <definedName name="ACwvu.MARKETING._.REVENUE." localSheetId="5" hidden="1">#REF!</definedName>
    <definedName name="ACwvu.MARKETING._.REVENUE." hidden="1">#REF!</definedName>
    <definedName name="ACwvu.MINIMUM._.RENT." hidden="1">'[6]SCHEDULE B+C'!$A$1</definedName>
    <definedName name="ACwvu.OCCUPANCY." localSheetId="5" hidden="1">#REF!</definedName>
    <definedName name="ACwvu.OCCUPANCY." hidden="1">#REF!</definedName>
    <definedName name="ACwvu.OCCUPANCY._.ANALYSIS." hidden="1">'[6]SCHEDULE B+C'!$BI$168</definedName>
    <definedName name="ACwvu.PERCENTAGE._.RENT." hidden="1">'[6]SCHEDULE B+C'!$G$1:$G$65536</definedName>
    <definedName name="ACwvu.TAX._.RATES." localSheetId="5" hidden="1">#REF!</definedName>
    <definedName name="ACwvu.TAX._.RATES." hidden="1">#REF!</definedName>
    <definedName name="ACwvu.TAX._.RECOVERIES." hidden="1">'[6]SCHEDULE B+C'!$CK$167</definedName>
    <definedName name="ACwvu.TAX._.RECOVERY." localSheetId="5" hidden="1">#REF!</definedName>
    <definedName name="ACwvu.TAX._.RECOVERY." hidden="1">#REF!</definedName>
    <definedName name="ACwvu.WAT." localSheetId="5" hidden="1">#REF!</definedName>
    <definedName name="ACwvu.WAT." hidden="1">#REF!</definedName>
    <definedName name="adfg" localSheetId="5">(VLOOKUP(Grade_4,'Comparison to Other'!fnjh,2))</definedName>
    <definedName name="adfg">(VLOOKUP(Grade_4,fnjh,2))</definedName>
    <definedName name="ADJ" localSheetId="5">#REF!</definedName>
    <definedName name="ADJ">#REF!</definedName>
    <definedName name="ADJBF" localSheetId="5">#REF!</definedName>
    <definedName name="ADJBF">#REF!</definedName>
    <definedName name="Adjustable_term_1" localSheetId="5">#REF!</definedName>
    <definedName name="Adjustable_term_1">#REF!</definedName>
    <definedName name="Adjustable_term_2">#REF!</definedName>
    <definedName name="Adjustable_term_3">#REF!</definedName>
    <definedName name="Adjustable_term_4">#REF!</definedName>
    <definedName name="Adjustable_term_5">#REF!</definedName>
    <definedName name="Adjustable_term_6">#REF!</definedName>
    <definedName name="adjusted_grossyield_bond">#REF!</definedName>
    <definedName name="Adjusted_Spread_1">#REF!</definedName>
    <definedName name="Adjusted_Spread_2">#REF!</definedName>
    <definedName name="Adjusted_Spread_3">#REF!</definedName>
    <definedName name="Adjusted_Spread_4">#REF!</definedName>
    <definedName name="Adjusted_Spread_5">#REF!</definedName>
    <definedName name="Adjusted_Spread_6">#REF!</definedName>
    <definedName name="ADJVFP">#REF!</definedName>
    <definedName name="ADJWSP">#REF!</definedName>
    <definedName name="AdminServices_Gross">#REF!</definedName>
    <definedName name="Advance_Arrears_1">#REF!</definedName>
    <definedName name="Advance_Arrears_2">#REF!</definedName>
    <definedName name="Advance_Arrears_3">#REF!</definedName>
    <definedName name="Advance_Arrears_4">#REF!</definedName>
    <definedName name="Advance_Arrears_5">#REF!</definedName>
    <definedName name="Advance_Arrears_6">#REF!</definedName>
    <definedName name="AEstDS">[7]AMORT!$M$6</definedName>
    <definedName name="aexpense">'[8]PRO FORMA'!#REF!</definedName>
    <definedName name="After_Tax_Cost_of_Equity" localSheetId="5">#REF!</definedName>
    <definedName name="After_Tax_Cost_of_Equity">#REF!</definedName>
    <definedName name="ag" localSheetId="5">(VLOOKUP(Grade_5,'Comparison to Other'!fnjh,2))</definedName>
    <definedName name="ag">(VLOOKUP(Grade_5,fnjh,2))</definedName>
    <definedName name="agea" localSheetId="5">#REF!</definedName>
    <definedName name="agea">#REF!</definedName>
    <definedName name="agha" localSheetId="5">#REF!</definedName>
    <definedName name="agha">#REF!</definedName>
    <definedName name="ALL">[9]A!$A$1:$Q$241</definedName>
    <definedName name="AllNewRepriced_OverUnderTarget" localSheetId="5">#REF!</definedName>
    <definedName name="AllNewRepriced_OverUnderTarget">#REF!</definedName>
    <definedName name="AllNewRepricedCredits_ROA" localSheetId="5">#REF!</definedName>
    <definedName name="AllNewRepricedCredits_ROA">#REF!</definedName>
    <definedName name="AllNewRepricedCredits_ROE" localSheetId="5">#REF!</definedName>
    <definedName name="AllNewRepricedCredits_ROE">#REF!</definedName>
    <definedName name="alloc">#REF!</definedName>
    <definedName name="Alloc._Check">#REF!</definedName>
    <definedName name="Alloc_Lookup_1" localSheetId="5">(VLOOKUP('Comparison to Other'!Grade_1,'Comparison to Other'!AllocTable,2))</definedName>
    <definedName name="Alloc_Lookup_1">(VLOOKUP(Grade_1,AllocTable,2))</definedName>
    <definedName name="Alloc_Lookup_2" localSheetId="5">(VLOOKUP('Comparison to Other'!Grade_2,'Comparison to Other'!AllocTable,2))</definedName>
    <definedName name="Alloc_Lookup_2">(VLOOKUP(Grade_2,AllocTable,2))</definedName>
    <definedName name="Alloc_Lookup_3" localSheetId="5">(VLOOKUP(Grade_3,'Comparison to Other'!AllocTable,2))</definedName>
    <definedName name="Alloc_Lookup_3">(VLOOKUP(Grade_3,AllocTable,2))</definedName>
    <definedName name="Alloc_Lookup_4" localSheetId="5">(VLOOKUP(Grade_4,'Comparison to Other'!AllocTable,2))</definedName>
    <definedName name="Alloc_Lookup_4">(VLOOKUP(Grade_4,AllocTable,2))</definedName>
    <definedName name="Alloc_Lookup_5" localSheetId="5">(VLOOKUP(Grade_5,'Comparison to Other'!AllocTable,2))</definedName>
    <definedName name="Alloc_Lookup_5">(VLOOKUP(Grade_5,AllocTable,2))</definedName>
    <definedName name="Alloc_Lookup_6" localSheetId="5">(VLOOKUP(Grade_6,'Comparison to Other'!AllocTable,2))</definedName>
    <definedName name="Alloc_Lookup_6">(VLOOKUP(Grade_6,AllocTable,2))</definedName>
    <definedName name="AllocTable" localSheetId="5">#REF!</definedName>
    <definedName name="AllocTable">#REF!</definedName>
    <definedName name="AllOtherCont" localSheetId="5">[10]Assumptions!#REF!</definedName>
    <definedName name="AllOtherCont">[10]Assumptions!#REF!</definedName>
    <definedName name="ALLSTATT" localSheetId="5">#REF!</definedName>
    <definedName name="ALLSTATT">#REF!</definedName>
    <definedName name="ALX2003A">'[11]CFALX 2003A Consol'!$A$1</definedName>
    <definedName name="ambac" localSheetId="5">#REF!</definedName>
    <definedName name="ambac">#REF!</definedName>
    <definedName name="Amort">[12]Proforma!$G$32</definedName>
    <definedName name="Amort_Actual" localSheetId="5">#REF!</definedName>
    <definedName name="Amort_Actual">#REF!</definedName>
    <definedName name="amorta" localSheetId="5">#REF!</definedName>
    <definedName name="amorta">#REF!</definedName>
    <definedName name="Amortization_1" localSheetId="5">#REF!</definedName>
    <definedName name="Amortization_1">#REF!</definedName>
    <definedName name="Amortization_1D">#REF!</definedName>
    <definedName name="Amortization_2">#REF!</definedName>
    <definedName name="Amortization_2D">#REF!</definedName>
    <definedName name="Amortization_3">#REF!</definedName>
    <definedName name="Amortization_3D">#REF!</definedName>
    <definedName name="Amortization_4">#REF!</definedName>
    <definedName name="Amortization_4D">#REF!</definedName>
    <definedName name="Amortization_5">#REF!</definedName>
    <definedName name="Amortization_5D">#REF!</definedName>
    <definedName name="Amortization_6">#REF!</definedName>
    <definedName name="Amortization_6D">#REF!</definedName>
    <definedName name="AMOUNT">#REF!</definedName>
    <definedName name="AMT_DEBT_SERVICE">#REF!</definedName>
    <definedName name="AnalysisStartDate">[13]Assumptions!$C$17</definedName>
    <definedName name="Anlzd_Months" localSheetId="5">#REF!</definedName>
    <definedName name="Anlzd_Months">#REF!</definedName>
    <definedName name="ANN_INC_IN_EXPENSES">'[3]AVI-JV-PROFORMA'!#REF!</definedName>
    <definedName name="ANN_INC_IN_RENT" localSheetId="5">#REF!</definedName>
    <definedName name="ANN_INC_IN_RENT">#REF!</definedName>
    <definedName name="Annual_interest_rate" localSheetId="5">#REF!</definedName>
    <definedName name="Annual_interest_rate">#REF!</definedName>
    <definedName name="AnnualFees_1" localSheetId="5">#REF!</definedName>
    <definedName name="AnnualFees_1">#REF!</definedName>
    <definedName name="AnnualFees_2">#REF!</definedName>
    <definedName name="AnnualFees_3">#REF!</definedName>
    <definedName name="AnnualFees_4">#REF!</definedName>
    <definedName name="AnnualFees_5">#REF!</definedName>
    <definedName name="AnnualFees_6">#REF!</definedName>
    <definedName name="annualpayment">'[14]Loan Information'!$C$44</definedName>
    <definedName name="AnnualPermPmt">'[15]amr sch'!$J$4</definedName>
    <definedName name="Anoigrowth" localSheetId="5">#REF!</definedName>
    <definedName name="Anoigrowth">#REF!</definedName>
    <definedName name="apn">[15]Assumptions!$C$9</definedName>
    <definedName name="APPicture">INDIRECT('[16]Source Data'!$J$9)</definedName>
    <definedName name="apple" localSheetId="5">#REF!</definedName>
    <definedName name="apple">#REF!</definedName>
    <definedName name="applicationfee">#REF!</definedName>
    <definedName name="applicationfeecheck">#REF!</definedName>
    <definedName name="applicationfeeLC">#REF!</definedName>
    <definedName name="applicatoinfeewired">#REF!</definedName>
    <definedName name="AppraisalEGI">#REF!</definedName>
    <definedName name="appraised">#REF!</definedName>
    <definedName name="april">#N/A</definedName>
    <definedName name="area1">#REF!</definedName>
    <definedName name="arggg">#REF!</definedName>
    <definedName name="ARPicture">INDIRECT('[16]Source Data'!$J$10)</definedName>
    <definedName name="asd" localSheetId="5">#REF!</definedName>
    <definedName name="asd">#REF!</definedName>
    <definedName name="AssDualTable12" localSheetId="5">[4]Assumptions!#REF!</definedName>
    <definedName name="AssDualTable12">[4]Assumptions!#REF!</definedName>
    <definedName name="AssDualTable12Cells" localSheetId="5">[4]Assumptions!#REF!</definedName>
    <definedName name="AssDualTable12Cells">[4]Assumptions!#REF!</definedName>
    <definedName name="AssDualTable13" localSheetId="5">[4]Assumptions!#REF!</definedName>
    <definedName name="AssDualTable13">[4]Assumptions!#REF!</definedName>
    <definedName name="AssDualTable14" localSheetId="5">[4]Assumptions!#REF!</definedName>
    <definedName name="AssDualTable14">[4]Assumptions!#REF!</definedName>
    <definedName name="AssDualTable15">[4]Assumptions!#REF!</definedName>
    <definedName name="AssDualTable16">[4]Assumptions!#REF!</definedName>
    <definedName name="ASSET" localSheetId="5">#REF!</definedName>
    <definedName name="ASSET">#REF!</definedName>
    <definedName name="assump" localSheetId="5">#REF!</definedName>
    <definedName name="assump">#REF!</definedName>
    <definedName name="ASSUMPTIONS___INPUT" localSheetId="5">#REF!</definedName>
    <definedName name="ASSUMPTIONS___INPUT">#REF!</definedName>
    <definedName name="AssumptionsInputRange">[4]Assumptions!$E$5:$G$9,[4]Assumptions!$E$11,[4]Assumptions!$E$12,[4]Assumptions!$L$5:$L$6,[4]Assumptions!$L$12,[4]Assumptions!$F$17:$K$17,[4]Assumptions!$F$19:$K$23,[4]Assumptions!$E$24,[4]Assumptions!$F$31:$K$34,[4]Assumptions!$F$36:$K$36,[4]Assumptions!$F$49:$K$49</definedName>
    <definedName name="AssumptionsPrint" localSheetId="5">#REF!</definedName>
    <definedName name="AssumptionsPrint">#REF!</definedName>
    <definedName name="atermmat" localSheetId="5">#REF!</definedName>
    <definedName name="atermmat">#REF!</definedName>
    <definedName name="avebasedrent">'[15]income stmt yr0'!$N$11</definedName>
    <definedName name="AVERAGEGLA" localSheetId="5">#REF!</definedName>
    <definedName name="AVERAGEGLA">#REF!</definedName>
    <definedName name="AVERAGEGOA" localSheetId="5">#REF!</definedName>
    <definedName name="AVERAGEGOA">#REF!</definedName>
    <definedName name="AverageLife" localSheetId="5">#REF!</definedName>
    <definedName name="AverageLife">#REF!</definedName>
    <definedName name="AvgDirConstCost">[4]Assumptions!$L$47</definedName>
    <definedName name="BADDEBT" localSheetId="5">#REF!</definedName>
    <definedName name="BADDEBT">#REF!</definedName>
    <definedName name="BAL">'[17]12_96 CAM'!#REF!</definedName>
    <definedName name="Bal_Def_Surplus" localSheetId="5">#REF!</definedName>
    <definedName name="Bal_Def_Surplus">#REF!</definedName>
    <definedName name="BALANCE" localSheetId="5">#REF!</definedName>
    <definedName name="BALANCE">#REF!</definedName>
    <definedName name="BalanceAtMaturity" localSheetId="5">#REF!</definedName>
    <definedName name="BalanceAtMaturity">#REF!</definedName>
    <definedName name="BalAvailable">#REF!</definedName>
    <definedName name="BALLOON_BAL">#REF!</definedName>
    <definedName name="Balloonbalance">#REF!</definedName>
    <definedName name="BalNeeded">#REF!</definedName>
    <definedName name="BAMORT">#REF!</definedName>
    <definedName name="BARATZ">#REF!</definedName>
    <definedName name="BASE">#REF!</definedName>
    <definedName name="BASE_BORDER">#REF!</definedName>
    <definedName name="bcov">#REF!</definedName>
    <definedName name="BD">#N/A</definedName>
    <definedName name="BDEBTSERVICE">#REF!</definedName>
    <definedName name="Beg.Bal" localSheetId="5">IF(#REF!&lt;&gt;"",#REF!,"")</definedName>
    <definedName name="Beg.Bal">IF(#REF!&lt;&gt;"",#REF!,"")</definedName>
    <definedName name="BEGBAL">#REF!</definedName>
    <definedName name="BeginInflationDate">[10]Assumptions!#REF!</definedName>
    <definedName name="BERNICK" localSheetId="5">#REF!</definedName>
    <definedName name="BERNICK">#REF!</definedName>
    <definedName name="bey" localSheetId="5">#REF!</definedName>
    <definedName name="bey">#REF!</definedName>
    <definedName name="BFM" localSheetId="5">#REF!</definedName>
    <definedName name="BFM">#REF!</definedName>
    <definedName name="BFMLC">#REF!</definedName>
    <definedName name="BIA">#REF!</definedName>
    <definedName name="BIASWEEP_NETREV">#REF!</definedName>
    <definedName name="bip">#REF!</definedName>
    <definedName name="blank">#REF!</definedName>
    <definedName name="blank_1">#REF!</definedName>
    <definedName name="blank_2">#REF!</definedName>
    <definedName name="blank_3">#REF!</definedName>
    <definedName name="blank_4">#REF!</definedName>
    <definedName name="BLDG">#REF!</definedName>
    <definedName name="BLOAN">#REF!</definedName>
    <definedName name="BlueDualScreen">#REF!</definedName>
    <definedName name="BlueSingleScreen">#REF!</definedName>
    <definedName name="bmat">#REF!</definedName>
    <definedName name="BODY">#REF!</definedName>
    <definedName name="BOM_30">#REF!</definedName>
    <definedName name="BOM_Act">#REF!</definedName>
    <definedName name="bond">#REF!</definedName>
    <definedName name="bonda">#REF!</definedName>
    <definedName name="bondb">#REF!</definedName>
    <definedName name="BONDS">#REF!</definedName>
    <definedName name="Borrower">#REF!</definedName>
    <definedName name="borrower_comment">#REF!</definedName>
    <definedName name="BRIDGE_DATA">'[18]BRDG DTA'!$A$13:$P$49</definedName>
    <definedName name="Broker" localSheetId="5">#REF!</definedName>
    <definedName name="Broker">#REF!</definedName>
    <definedName name="Brokerage_GrossRev" localSheetId="5">#REF!</definedName>
    <definedName name="Brokerage_GrossRev">#REF!</definedName>
    <definedName name="BS">#N/A</definedName>
    <definedName name="buildingcostpersqft" localSheetId="5">#REF!</definedName>
    <definedName name="buildingcostpersqft">#REF!</definedName>
    <definedName name="BusBasic">#REF!</definedName>
    <definedName name="BusCkg_Balances">#REF!</definedName>
    <definedName name="BusMoneyMktCkg">#REF!</definedName>
    <definedName name="BusMoneyMktSavings">#REF!</definedName>
    <definedName name="BusSaver">#REF!</definedName>
    <definedName name="BusTIMMA">#REF!</definedName>
    <definedName name="Buydown_grossyield">#REF!</definedName>
    <definedName name="CA_1">#REF!</definedName>
    <definedName name="CA_2">#REF!</definedName>
    <definedName name="CA_3">#REF!</definedName>
    <definedName name="CA_4">#REF!</definedName>
    <definedName name="CA_5">#REF!</definedName>
    <definedName name="CA_6">#REF!</definedName>
    <definedName name="CA_7">#REF!</definedName>
    <definedName name="cal_grossrate">#REF!</definedName>
    <definedName name="calc">#REF!</definedName>
    <definedName name="Calculated_payment">#REF!</definedName>
    <definedName name="CALL_HELP">#REF!</definedName>
    <definedName name="CAMCODES">[19]PCR96!#REF!</definedName>
    <definedName name="CAMRECOVERIES" localSheetId="5">#REF!</definedName>
    <definedName name="CAMRECOVERIES">#REF!</definedName>
    <definedName name="CAMTABLE" localSheetId="5">#REF!</definedName>
    <definedName name="CAMTABLE">#REF!</definedName>
    <definedName name="Cap_Rate">[12]Proforma!$D$22</definedName>
    <definedName name="CapCorpIntAllocation">[10]Assumptions!#REF!</definedName>
    <definedName name="capirate" localSheetId="5">#REF!</definedName>
    <definedName name="capirate">#REF!</definedName>
    <definedName name="capped" localSheetId="5">#REF!</definedName>
    <definedName name="capped">#REF!</definedName>
    <definedName name="CASH_Total_Income" localSheetId="5">#REF!</definedName>
    <definedName name="CASH_Total_Income">#REF!</definedName>
    <definedName name="cashcushion">[15]Assumptions!$F$156</definedName>
    <definedName name="CashMgmt_GrossRev" localSheetId="5">#REF!</definedName>
    <definedName name="CashMgmt_GrossRev">#REF!</definedName>
    <definedName name="CASHMGMT_NETREV" localSheetId="5">#REF!</definedName>
    <definedName name="CASHMGMT_NETREV">#REF!</definedName>
    <definedName name="CAST_NA">[18]CAST!$A$13:$P$40</definedName>
    <definedName name="cda">'[20]Sheet 3'!$A$1:$C$4</definedName>
    <definedName name="CDs" localSheetId="5">#REF!</definedName>
    <definedName name="CDs">#REF!</definedName>
    <definedName name="CDs_2" localSheetId="5">#REF!</definedName>
    <definedName name="CDs_2">#REF!</definedName>
    <definedName name="CERIDIAN" localSheetId="5">#REF!</definedName>
    <definedName name="CERIDIAN">#REF!</definedName>
    <definedName name="cf">'[21]Inc Rec'!$A$9:$J$648</definedName>
    <definedName name="CFN" localSheetId="5">#REF!</definedName>
    <definedName name="CFN">#REF!</definedName>
    <definedName name="CFW" localSheetId="5">#REF!</definedName>
    <definedName name="CFW">#REF!</definedName>
    <definedName name="cfyear1" localSheetId="5">#REF!</definedName>
    <definedName name="cfyear1">#REF!</definedName>
    <definedName name="CHARGE">#REF!</definedName>
    <definedName name="CHESEBROUGH">[18]CHEESB!$A$13:$P$46</definedName>
    <definedName name="City" localSheetId="5">#REF!</definedName>
    <definedName name="City">#REF!</definedName>
    <definedName name="CityStateZip">[15]Assumptions!$C$8</definedName>
    <definedName name="Civil_Eng" localSheetId="5">#REF!</definedName>
    <definedName name="Civil_Eng">#REF!</definedName>
    <definedName name="Civil_eng_b181" localSheetId="5">#REF!</definedName>
    <definedName name="Civil_eng_b181">#REF!</definedName>
    <definedName name="Civil_eng_b181_amend" localSheetId="5">#REF!</definedName>
    <definedName name="Civil_eng_b181_amend">#REF!</definedName>
    <definedName name="Civil_eng_blank">#REF!</definedName>
    <definedName name="civil_eng_coi">#REF!</definedName>
    <definedName name="Civil_eng_info">#REF!</definedName>
    <definedName name="Civil_eng_license">#REF!</definedName>
    <definedName name="Civil_eng_quals">#REF!</definedName>
    <definedName name="cleaning">[17]CAMINVBU!#REF!</definedName>
    <definedName name="ClientName" localSheetId="5">#REF!</definedName>
    <definedName name="ClientName">#REF!</definedName>
    <definedName name="closinganalyst" localSheetId="5">#REF!</definedName>
    <definedName name="closinganalyst">#REF!</definedName>
    <definedName name="ClosingCostPercentage" localSheetId="5">[10]Assumptions!#REF!</definedName>
    <definedName name="ClosingCostPercentage">[10]Assumptions!#REF!</definedName>
    <definedName name="CMM" localSheetId="5">#REF!</definedName>
    <definedName name="CMM">#REF!</definedName>
    <definedName name="coa" localSheetId="5">#REF!</definedName>
    <definedName name="coa">#REF!</definedName>
    <definedName name="CODE" localSheetId="5">#REF!</definedName>
    <definedName name="CODE">#REF!</definedName>
    <definedName name="coder">#REF!</definedName>
    <definedName name="COF_date">#REF!</definedName>
    <definedName name="coi">#REF!</definedName>
    <definedName name="combined">#REF!</definedName>
    <definedName name="Comments_company">#REF!</definedName>
    <definedName name="CommercialRE">#REF!</definedName>
    <definedName name="Commit_1">#REF!</definedName>
    <definedName name="Commit_2">#REF!</definedName>
    <definedName name="Commit_3">#REF!</definedName>
    <definedName name="Commit_4">#REF!</definedName>
    <definedName name="Commit_5">#REF!</definedName>
    <definedName name="Commit_6">#REF!</definedName>
    <definedName name="CommitFees_1">#REF!</definedName>
    <definedName name="CommitFees_2">#REF!</definedName>
    <definedName name="CommitFees_3">#REF!</definedName>
    <definedName name="CommitFees_4">#REF!</definedName>
    <definedName name="CommitFees_5">#REF!</definedName>
    <definedName name="CommitFees_6">#REF!</definedName>
    <definedName name="commitmentfee">#REF!</definedName>
    <definedName name="COMMNUM">#REF!</definedName>
    <definedName name="CommunityLocation">[15]Assumptions!$C$7</definedName>
    <definedName name="CommunityName">[22]Assumptions!$C$7</definedName>
    <definedName name="Company" localSheetId="5">#REF!</definedName>
    <definedName name="Company">#REF!</definedName>
    <definedName name="Company_Type" localSheetId="5">#REF!</definedName>
    <definedName name="Company_Type">#REF!</definedName>
    <definedName name="CompanyName" localSheetId="5">'[10]Table of Contents'!#REF!</definedName>
    <definedName name="CompanyName">'[10]Table of Contents'!#REF!</definedName>
    <definedName name="Comparison">#REF!</definedName>
    <definedName name="Completed_By" localSheetId="5">#REF!</definedName>
    <definedName name="Completed_By">#REF!</definedName>
    <definedName name="Comps">[11]Comparison!$A$1</definedName>
    <definedName name="Consol_2003A">'[11]2003A v 2003B'!$A$1</definedName>
    <definedName name="Consol_2005E">'[11]2005E Consol'!$A$1</definedName>
    <definedName name="Consolidated" localSheetId="5">#REF!</definedName>
    <definedName name="Consolidated">#REF!</definedName>
    <definedName name="Contents" localSheetId="5">#REF!</definedName>
    <definedName name="Contents">#REF!</definedName>
    <definedName name="CoNUM" localSheetId="5">#REF!</definedName>
    <definedName name="CoNUM">#REF!</definedName>
    <definedName name="CONVERSION">[23]Sheet1!$A$2:$V$272</definedName>
    <definedName name="ConvTable">[24]Conventions!$AA$4:$AK$37</definedName>
    <definedName name="copy" localSheetId="5">#REF!</definedName>
    <definedName name="copy">#REF!</definedName>
    <definedName name="Cost" localSheetId="5">#REF!</definedName>
    <definedName name="Cost">#REF!</definedName>
    <definedName name="Cost_Center" localSheetId="5">#REF!</definedName>
    <definedName name="Cost_Center">#REF!</definedName>
    <definedName name="Cost2328_DCAmount">#REF!</definedName>
    <definedName name="Cost2328_DCAmount1">#REF!</definedName>
    <definedName name="Cost2328_DCAmount2">#REF!</definedName>
    <definedName name="Cost2328_DCAmount3">#REF!</definedName>
    <definedName name="Cost2328_DCAmount4">#REF!</definedName>
    <definedName name="Cost2328_DCDesc">#REF!</definedName>
    <definedName name="Cost2328_DCDesc1">#REF!</definedName>
    <definedName name="Cost2328_DCDesc2">#REF!</definedName>
    <definedName name="Cost2328_DCDesc3">#REF!</definedName>
    <definedName name="Cost2328_DCDesc4">#REF!</definedName>
    <definedName name="Cost2328_Notes">#REF!</definedName>
    <definedName name="Cost2328_NRAmount">#REF!</definedName>
    <definedName name="Cost2328_NRAmount1">#REF!</definedName>
    <definedName name="Cost2328_NRAmount2">#REF!</definedName>
    <definedName name="Cost2328_NRAmount3">#REF!</definedName>
    <definedName name="Cost2328_NRDesc">#REF!</definedName>
    <definedName name="Cost2328_NRDesc1">#REF!</definedName>
    <definedName name="Cost2328_NRDesc2">#REF!</definedName>
    <definedName name="Cost2328_NRDesc3">#REF!</definedName>
    <definedName name="Cost2328_OCAmount">#REF!</definedName>
    <definedName name="Cost2328_OCAmount1">#REF!</definedName>
    <definedName name="Cost2328_OCAmount2">#REF!</definedName>
    <definedName name="Cost2328_OCAmount3">#REF!</definedName>
    <definedName name="Cost2328_OCAmount4">#REF!</definedName>
    <definedName name="Cost2328_OCDesc">#REF!</definedName>
    <definedName name="Cost2328_OCDesc1">#REF!</definedName>
    <definedName name="Cost2328_OCDesc2">#REF!</definedName>
    <definedName name="Cost2328_OCDesc3">#REF!</definedName>
    <definedName name="Cost2328_OCDesc4">#REF!</definedName>
    <definedName name="Cost2328_OFAmount">#REF!</definedName>
    <definedName name="Cost2328_OFAmount1">#REF!</definedName>
    <definedName name="Cost2328_OFAmount2">#REF!</definedName>
    <definedName name="Cost2328_OFAmount3">#REF!</definedName>
    <definedName name="Cost2328_OFAmount4">#REF!</definedName>
    <definedName name="Cost2328_OFAmount5">#REF!</definedName>
    <definedName name="Cost2328_OFAmount6">#REF!</definedName>
    <definedName name="Cost2328_OFDesc">#REF!</definedName>
    <definedName name="Cost2328_OFDesc1">#REF!</definedName>
    <definedName name="Cost2328_OFDesc2">#REF!</definedName>
    <definedName name="Cost2328_OFDesc3">#REF!</definedName>
    <definedName name="Cost2328_OFDesc4">#REF!</definedName>
    <definedName name="Cost2328_OFDesc5">#REF!</definedName>
    <definedName name="Cost2328_OFDesc6">#REF!</definedName>
    <definedName name="CostInflation">[4]Assumptions!$G$75</definedName>
    <definedName name="CostingName">[10]Assumptions!#REF!</definedName>
    <definedName name="CouponRate_1" localSheetId="5">#REF!</definedName>
    <definedName name="CouponRate_1">#REF!</definedName>
    <definedName name="CouponRate_2" localSheetId="5">#REF!</definedName>
    <definedName name="CouponRate_2">#REF!</definedName>
    <definedName name="CouponRate_3" localSheetId="5">#REF!</definedName>
    <definedName name="CouponRate_3">#REF!</definedName>
    <definedName name="CouponRate_4">#REF!</definedName>
    <definedName name="CouponRate_5">#REF!</definedName>
    <definedName name="CouponRate_6">#REF!</definedName>
    <definedName name="CoverPagePrint">#REF!</definedName>
    <definedName name="cpi">#REF!</definedName>
    <definedName name="CPM">#REF!</definedName>
    <definedName name="CPPicture">INDIRECT('[16]Source Data'!$J$7)</definedName>
    <definedName name="CPRATES" localSheetId="5">[19]MVC96!#REF!</definedName>
    <definedName name="CPRATES">[19]MVC96!#REF!</definedName>
    <definedName name="CredInc_CASH" localSheetId="5">#REF!</definedName>
    <definedName name="CredInc_CASH">#REF!</definedName>
    <definedName name="CredInc_FASB" localSheetId="5">#REF!</definedName>
    <definedName name="CredInc_FASB">#REF!</definedName>
    <definedName name="credit" localSheetId="5">#REF!</definedName>
    <definedName name="credit">#REF!</definedName>
    <definedName name="Credit_Income_Facility_1">#REF!</definedName>
    <definedName name="Credit_Income_Facility_2">#REF!</definedName>
    <definedName name="Credit_Income_Facility_3">#REF!</definedName>
    <definedName name="Credit_Income_Facility_4">#REF!</definedName>
    <definedName name="Credit_Income_Facility_5">#REF!</definedName>
    <definedName name="Credit_Income_Facility_6">#REF!</definedName>
    <definedName name="Credit_Min_Hurdle">#REF!</definedName>
    <definedName name="Credit_status_1">#REF!</definedName>
    <definedName name="Credit_status_2">#REF!</definedName>
    <definedName name="Credit_status_3">#REF!</definedName>
    <definedName name="Credit_status_4">#REF!</definedName>
    <definedName name="Credit_status_5">#REF!</definedName>
    <definedName name="Credit_status_6">#REF!</definedName>
    <definedName name="Credit_Target_Hurdle">#REF!</definedName>
    <definedName name="CreditOnly_ROA_1">#REF!</definedName>
    <definedName name="CreditOnly_ROA_2">#REF!</definedName>
    <definedName name="CreditOnly_ROA_3">#REF!</definedName>
    <definedName name="CreditOnly_ROA_4">#REF!</definedName>
    <definedName name="CreditOnly_ROA_5">#REF!</definedName>
    <definedName name="CreditOnly_ROA_6">#REF!</definedName>
    <definedName name="CreditOnly_ROE_1">#REF!</definedName>
    <definedName name="CreditOnly_ROE_2">#REF!</definedName>
    <definedName name="CreditOnly_ROE_3">#REF!</definedName>
    <definedName name="CreditOnly_ROE_4">#REF!</definedName>
    <definedName name="CreditOnly_ROE_5">#REF!</definedName>
    <definedName name="CreditOnly_ROE_6">#REF!</definedName>
    <definedName name="CreditRevcash_forIR_1">#REF!</definedName>
    <definedName name="CreditRevcash_forIR_2">#REF!</definedName>
    <definedName name="CreditRevcash_forIR_3">#REF!</definedName>
    <definedName name="CreditRevcash_forIR_4">#REF!</definedName>
    <definedName name="CreditRevcash_forIR_5">#REF!</definedName>
    <definedName name="CreditRevcash_forIR_6">#REF!</definedName>
    <definedName name="CredRev_CASH_1">#REF!</definedName>
    <definedName name="CredRev_CASH_2">#REF!</definedName>
    <definedName name="CredRev_CASH_3">#REF!</definedName>
    <definedName name="CredRev_CASH_4">#REF!</definedName>
    <definedName name="CredRev_CASH_5">#REF!</definedName>
    <definedName name="CredRev_CASH_6">#REF!</definedName>
    <definedName name="CredRev_FASB_1">#REF!</definedName>
    <definedName name="CredRev_FASB_2">#REF!</definedName>
    <definedName name="CredRev_FASB_3">#REF!</definedName>
    <definedName name="CredRev_FASB_4">#REF!</definedName>
    <definedName name="CredRev_FASB_5">#REF!</definedName>
    <definedName name="CredRev_FASB_6">#REF!</definedName>
    <definedName name="CreRevCASH_1Thru6">#REF!</definedName>
    <definedName name="CreRevFASB_1thru6">#REF!</definedName>
    <definedName name="CRISP_Number">#REF!</definedName>
    <definedName name="_xlnm.Criteria">'[5]AVI-JV-PROFORMA'!#REF!</definedName>
    <definedName name="CRPicture">INDIRECT('[16]Source Data'!$J$8)</definedName>
    <definedName name="crtname">[25]Sheet2!$A$5:$B$39</definedName>
    <definedName name="CTI" localSheetId="5">#REF!</definedName>
    <definedName name="CTI">#REF!</definedName>
    <definedName name="Cum.Interest" localSheetId="5">IF(#REF!&lt;&gt;"",#REF!+#REF!,"")</definedName>
    <definedName name="Cum.Interest">IF(#REF!&lt;&gt;"",#REF!+#REF!,"")</definedName>
    <definedName name="Current_Commit_Amt_1" localSheetId="5">#REF!</definedName>
    <definedName name="Current_Commit_Amt_1">#REF!</definedName>
    <definedName name="Current_Commit_Amt_2" localSheetId="5">#REF!</definedName>
    <definedName name="Current_Commit_Amt_2">#REF!</definedName>
    <definedName name="Current_Commit_Amt_3">#REF!</definedName>
    <definedName name="Current_Commit_Amt_4">#REF!</definedName>
    <definedName name="Current_Commit_Amt_5">#REF!</definedName>
    <definedName name="Current_Commit_Amt_6">#REF!</definedName>
    <definedName name="CurrentDS">[7]AMORT!$F$6</definedName>
    <definedName name="CWCNo">'[26]User Input'!$B$35</definedName>
    <definedName name="Cwvu._Current_." localSheetId="5"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_Current_." hidden="1">'[6]SCHEDULE E '!$A$3:$IV$13,'[6]SCHEDULE E '!$A$15:$IV$25,'[6]SCHEDULE E '!$A$27:$IV$37,'[6]SCHEDULE E '!$A$39:$IV$49,'[6]SCHEDULE E '!$A$51:$IV$61,'[6]SCHEDULE E '!$A$63:$IV$73,'[6]SCHEDULE E '!$A$75:$IV$85,'[6]SCHEDULE E '!$A$87:$IV$97,'[6]SCHEDULE E '!$A$99:$IV$109,'[6]SCHEDULE E '!$A$111:$IV$121,'[6]SCHEDULE E '!$A$135:$IV$145,'[6]SCHEDULE E '!$A$147:$IV$157,'[6]SCHEDULE E '!$A$159:$IV$169,'[6]SCHEDULE E '!#REF!,'[6]SCHEDULE E '!$A$171:$IV$181,'[6]SCHEDULE E '!$A$183:$IV$193,'[6]SCHEDULE E '!$A$207:$IV$217,'[6]SCHEDULE E '!$A$219:$IV$229,'[6]SCHEDULE E '!$A$231:$IV$241,'[6]SCHEDULE E '!$A$243:$IV$253,'[6]SCHEDULE E '!$A$267:$IV$277,'[6]SCHEDULE E '!$A$279:$IV$289,'[6]SCHEDULE E '!$A$291:$IV$301,'[6]SCHEDULE E '!#REF!</definedName>
    <definedName name="Cwvu.ACCOUNT._.DETAIL." localSheetId="5" hidden="1">'[6]MARKETING III'!#REF!</definedName>
    <definedName name="Cwvu.ACCOUNT._.DETAIL." hidden="1">'[6]MARKETING III'!#REF!</definedName>
    <definedName name="Cwvu.WAT." localSheetId="5" hidden="1">#REF!</definedName>
    <definedName name="Cwvu.WAT." hidden="1">#REF!</definedName>
    <definedName name="d">#N/A</definedName>
    <definedName name="DAILY" localSheetId="5">#REF!</definedName>
    <definedName name="DAILY">#REF!</definedName>
    <definedName name="DATA_01" localSheetId="5" hidden="1">#REF!</definedName>
    <definedName name="DATA_01" hidden="1">#REF!</definedName>
    <definedName name="DataDualTable12">#REF!</definedName>
    <definedName name="DataDualTable13">#REF!</definedName>
    <definedName name="DataDualTable14">#REF!</definedName>
    <definedName name="DataDualTable15">#REF!</definedName>
    <definedName name="DataDualTable16">#REF!</definedName>
    <definedName name="DATE">#REF!</definedName>
    <definedName name="dated">#REF!</definedName>
    <definedName name="DateOfAnalysis">[27]Assumptions!$C$15</definedName>
    <definedName name="Day_Differencial_1" localSheetId="5">#REF!</definedName>
    <definedName name="Day_Differencial_1">#REF!</definedName>
    <definedName name="Day_Differencial_2" localSheetId="5">#REF!</definedName>
    <definedName name="Day_Differencial_2">#REF!</definedName>
    <definedName name="Day_Differencial_3" localSheetId="5">#REF!</definedName>
    <definedName name="Day_Differencial_3">#REF!</definedName>
    <definedName name="Day_Differencial_4">#REF!</definedName>
    <definedName name="Day_Differencial_5">#REF!</definedName>
    <definedName name="Day_Differencial_6">#REF!</definedName>
    <definedName name="Day_Lookup">#REF!</definedName>
    <definedName name="Day_Table">#REF!</definedName>
    <definedName name="days">#REF!</definedName>
    <definedName name="Days_1">#REF!</definedName>
    <definedName name="Days_2">#REF!</definedName>
    <definedName name="Days_3">#REF!</definedName>
    <definedName name="Days_4">#REF!</definedName>
    <definedName name="Days_5">#REF!</definedName>
    <definedName name="Days_6">#REF!</definedName>
    <definedName name="Days_Range">#REF!</definedName>
    <definedName name="daysbasis">#REF!</definedName>
    <definedName name="dcfltv">#REF!</definedName>
    <definedName name="DCFvalue">#REF!</definedName>
    <definedName name="ddafd">#REF!</definedName>
    <definedName name="ddd">#N/A</definedName>
    <definedName name="debt">#REF!</definedName>
    <definedName name="Debt_Service">[12]Proforma!$G$28</definedName>
    <definedName name="debt2" localSheetId="5">#REF!</definedName>
    <definedName name="debt2">#REF!</definedName>
    <definedName name="debt3" localSheetId="5">#REF!</definedName>
    <definedName name="debt3">#REF!</definedName>
    <definedName name="DEC" localSheetId="5">#REF!</definedName>
    <definedName name="DEC">#REF!</definedName>
    <definedName name="DelayDate">#REF!</definedName>
    <definedName name="DelayFactor">[10]Assumptions!#REF!</definedName>
    <definedName name="DELI" localSheetId="5">#REF!</definedName>
    <definedName name="DELI">#REF!</definedName>
    <definedName name="delivdays" localSheetId="5">#REF!</definedName>
    <definedName name="delivdays">#REF!</definedName>
    <definedName name="delivery" localSheetId="5">#REF!</definedName>
    <definedName name="delivery">#REF!</definedName>
    <definedName name="depr" localSheetId="5">[17]CAMINVBU!#REF!</definedName>
    <definedName name="depr">[17]CAMINVBU!#REF!</definedName>
    <definedName name="deregulated" localSheetId="5">#REF!</definedName>
    <definedName name="deregulated">#REF!</definedName>
    <definedName name="Deriv_CashBasis" localSheetId="5">#REF!</definedName>
    <definedName name="Deriv_CashBasis">#REF!</definedName>
    <definedName name="Deriv_CRISP_REV1" localSheetId="5">#REF!</definedName>
    <definedName name="Deriv_CRISP_REV1">#REF!</definedName>
    <definedName name="Deriv_CRISP_REV2">#REF!</definedName>
    <definedName name="Deriv_CRISP_REV3">#REF!</definedName>
    <definedName name="Deriv_CRISP_REV4">#REF!</definedName>
    <definedName name="Deriv_CRISP_REV5">#REF!</definedName>
    <definedName name="Deriv_CRISP_REV6">#REF!</definedName>
    <definedName name="Deriv_Equity_1">#REF!</definedName>
    <definedName name="Deriv_Equity_2">#REF!</definedName>
    <definedName name="Deriv_Equity_3">#REF!</definedName>
    <definedName name="Deriv_Equity_4">#REF!</definedName>
    <definedName name="Deriv_Equity_5">#REF!</definedName>
    <definedName name="Deriv_Equity_6">#REF!</definedName>
    <definedName name="Deriv_Equivalent">#REF!</definedName>
    <definedName name="Deriv_Error_1">#REF!</definedName>
    <definedName name="Deriv_Error_2">#REF!</definedName>
    <definedName name="Deriv_Error_3">#REF!</definedName>
    <definedName name="Deriv_Error_4">#REF!</definedName>
    <definedName name="Deriv_Error_5">#REF!</definedName>
    <definedName name="Deriv_Error_6">#REF!</definedName>
    <definedName name="Deriv_Grade_1">#REF!</definedName>
    <definedName name="Deriv_Grade_2">#REF!</definedName>
    <definedName name="Deriv_Grade_3">#REF!</definedName>
    <definedName name="Deriv_Grade_4">#REF!</definedName>
    <definedName name="Deriv_Grade_5">#REF!</definedName>
    <definedName name="Deriv_Grade_6">#REF!</definedName>
    <definedName name="Deriv_GrossRev_1">#REF!</definedName>
    <definedName name="Deriv_GrossRev_2">#REF!</definedName>
    <definedName name="Deriv_GrossRev_3">#REF!</definedName>
    <definedName name="Deriv_GrossRev_4">#REF!</definedName>
    <definedName name="Deriv_GrossRev_5">#REF!</definedName>
    <definedName name="Deriv_GrossRev_6">#REF!</definedName>
    <definedName name="Deriv_Income_Cash">#REF!</definedName>
    <definedName name="Deriv_Income_FASB">#REF!</definedName>
    <definedName name="Deriv_NetRev_1">#REF!</definedName>
    <definedName name="Deriv_NetRev_2">#REF!</definedName>
    <definedName name="Deriv_NetRev_3">#REF!</definedName>
    <definedName name="Deriv_NetRev_4">#REF!</definedName>
    <definedName name="Deriv_NetRev_5">#REF!</definedName>
    <definedName name="Deriv_NetRev_6">#REF!</definedName>
    <definedName name="Deriv_Notional_1">#REF!</definedName>
    <definedName name="Deriv_Notional_2">#REF!</definedName>
    <definedName name="Deriv_Notional_3">#REF!</definedName>
    <definedName name="Deriv_Notional_4">#REF!</definedName>
    <definedName name="Deriv_Notional_5">#REF!</definedName>
    <definedName name="Deriv_Notional_6">#REF!</definedName>
    <definedName name="Deriv_remain_term1">#REF!</definedName>
    <definedName name="Deriv_remain_term2">#REF!</definedName>
    <definedName name="Deriv_remain_term3">#REF!</definedName>
    <definedName name="Deriv_remain_term4">#REF!</definedName>
    <definedName name="Deriv_remain_term5">#REF!</definedName>
    <definedName name="Deriv_remain_term6">#REF!</definedName>
    <definedName name="Deriv_Status_1">#REF!</definedName>
    <definedName name="Deriv_Status_2">#REF!</definedName>
    <definedName name="Deriv_Status_3">#REF!</definedName>
    <definedName name="Deriv_Status_4">#REF!</definedName>
    <definedName name="Deriv_Status_5">#REF!</definedName>
    <definedName name="Deriv_Status_6">#REF!</definedName>
    <definedName name="Deriv_Term_1">#REF!</definedName>
    <definedName name="Deriv_Term_2">#REF!</definedName>
    <definedName name="Deriv_Term_3">#REF!</definedName>
    <definedName name="Deriv_Term_4">#REF!</definedName>
    <definedName name="Deriv_Term_5">#REF!</definedName>
    <definedName name="Deriv_Term_6">#REF!</definedName>
    <definedName name="Design_Professional_Type">#REF!</definedName>
    <definedName name="DEVELOPER_S_NEW_EQUITY_RETURN">#REF!</definedName>
    <definedName name="dghghfg">[9]A!$A$132:$Q$192</definedName>
    <definedName name="Differential_1" localSheetId="5">#REF!</definedName>
    <definedName name="Differential_1">#REF!</definedName>
    <definedName name="Differential_2" localSheetId="5">#REF!</definedName>
    <definedName name="Differential_2">#REF!</definedName>
    <definedName name="Differential_3" localSheetId="5">#REF!</definedName>
    <definedName name="Differential_3">#REF!</definedName>
    <definedName name="Differential_4">#REF!</definedName>
    <definedName name="Differential_5">#REF!</definedName>
    <definedName name="Differential_6">#REF!</definedName>
    <definedName name="DIRECT">#REF!</definedName>
    <definedName name="DISBURSE">#REF!</definedName>
    <definedName name="DISCOUNT">#REF!</definedName>
    <definedName name="Discount_rate">#REF!</definedName>
    <definedName name="Division_Name">#REF!</definedName>
    <definedName name="DivisionName">[22]Assumptions!$C$6</definedName>
    <definedName name="down" localSheetId="5">#REF!</definedName>
    <definedName name="down">#REF!</definedName>
    <definedName name="down04" localSheetId="5">#REF!</definedName>
    <definedName name="down04">#REF!</definedName>
    <definedName name="DOWNLOAD" localSheetId="5">#REF!</definedName>
    <definedName name="DOWNLOAD">#REF!</definedName>
    <definedName name="download1">#REF!</definedName>
    <definedName name="download3">#REF!</definedName>
    <definedName name="DRAName">[10]Assumptions!#REF!</definedName>
    <definedName name="DRIVER" localSheetId="5">#REF!</definedName>
    <definedName name="DRIVER">#REF!</definedName>
    <definedName name="DSCR">[12]Proforma!$G$34</definedName>
    <definedName name="dsfsdgf" localSheetId="5">#REF!</definedName>
    <definedName name="dsfsdgf">#REF!</definedName>
    <definedName name="dsra" localSheetId="5">#REF!</definedName>
    <definedName name="dsra">#REF!</definedName>
    <definedName name="dsrb" localSheetId="5">#REF!</definedName>
    <definedName name="dsrb">#REF!</definedName>
    <definedName name="dsrrate">#REF!</definedName>
    <definedName name="dur">#REF!</definedName>
    <definedName name="e">[28]ACH!#REF!</definedName>
    <definedName name="ebal" localSheetId="5">#REF!</definedName>
    <definedName name="ebal">#REF!</definedName>
    <definedName name="EconProfit_1" localSheetId="5">#REF!</definedName>
    <definedName name="EconProfit_1">#REF!</definedName>
    <definedName name="EconProfit_2" localSheetId="5">#REF!</definedName>
    <definedName name="EconProfit_2">#REF!</definedName>
    <definedName name="EconProfit_3">#REF!</definedName>
    <definedName name="EconProfit_4">#REF!</definedName>
    <definedName name="EconProfit_5">#REF!</definedName>
    <definedName name="EconProfit_6">#REF!</definedName>
    <definedName name="ECPI">#REF!</definedName>
    <definedName name="ECR_Margin">#REF!</definedName>
    <definedName name="egdf">#REF!</definedName>
    <definedName name="Employee_Contrib">#REF!</definedName>
    <definedName name="Ending.Balance" localSheetId="5">IF(#REF!&lt;&gt;"",#REF!-#REF!,"")</definedName>
    <definedName name="Ending.Balance">IF(#REF!&lt;&gt;"",#REF!-#REF!,"")</definedName>
    <definedName name="endout">#REF!</definedName>
    <definedName name="Entered_payment">#REF!</definedName>
    <definedName name="Equal_Principal_Annual_Table">#REF!</definedName>
    <definedName name="Equal_Principal_Monthly_Table">#REF!</definedName>
    <definedName name="Equal_Principal_Quarterly_Table">#REF!</definedName>
    <definedName name="EQUITY">#REF!</definedName>
    <definedName name="Equity_1">#REF!</definedName>
    <definedName name="Equity_2">#REF!</definedName>
    <definedName name="Equity_3">#REF!</definedName>
    <definedName name="Equity_4">#REF!</definedName>
    <definedName name="Equity_5">#REF!</definedName>
    <definedName name="Equity_6">#REF!</definedName>
    <definedName name="Equity_Grade">#REF!</definedName>
    <definedName name="Equity_Lookup">#REF!</definedName>
    <definedName name="Equity_TaxFactor">#REF!</definedName>
    <definedName name="Equity_WAvgLife_1">#REF!</definedName>
    <definedName name="Equity_WAvgLife_2">#REF!</definedName>
    <definedName name="Equity_WAvgLife_3">#REF!</definedName>
    <definedName name="Equity_WAvgLife_4">#REF!</definedName>
    <definedName name="Equity_WAvgLife_5">#REF!</definedName>
    <definedName name="Equity_WAvgLife_6">#REF!</definedName>
    <definedName name="EquityLegal_lookup">#REF!</definedName>
    <definedName name="ergregaa">'[3]AVI-JV-PROFORMA'!#REF!</definedName>
    <definedName name="ergterg" localSheetId="5">#REF!</definedName>
    <definedName name="ergterg">#REF!</definedName>
    <definedName name="Error_Message_1" localSheetId="5">#REF!</definedName>
    <definedName name="Error_Message_1">#REF!</definedName>
    <definedName name="Error_Message_10" localSheetId="5">#REF!</definedName>
    <definedName name="Error_Message_10">#REF!</definedName>
    <definedName name="Error_Message_11">#REF!</definedName>
    <definedName name="Error_Message_12">#REF!</definedName>
    <definedName name="Error_Message_2">#REF!</definedName>
    <definedName name="Error_Message_3">#REF!</definedName>
    <definedName name="Error_Message_4">#REF!</definedName>
    <definedName name="Error_message_5">#REF!</definedName>
    <definedName name="Error_Message_6">#REF!</definedName>
    <definedName name="Error_Message_7">#REF!</definedName>
    <definedName name="Error_Message_8">#REF!</definedName>
    <definedName name="Error_Message_9">#REF!</definedName>
    <definedName name="EST2003A">'[11]CFEST 2003A Consol'!$A$1</definedName>
    <definedName name="Eurosweep" localSheetId="5">#REF!</definedName>
    <definedName name="Eurosweep">#REF!</definedName>
    <definedName name="ewq">[29]Site!$D$133</definedName>
    <definedName name="Excess_Balances" localSheetId="5">#REF!</definedName>
    <definedName name="Excess_Balances">#REF!</definedName>
    <definedName name="EXI.A1603.UNDERWRITTEN.E.I.X">[14]_EXICashFlowImport!$D$2</definedName>
    <definedName name="EXI.A1612.UNDERWRITTEN.E.I.X">[14]_EXICashFlowImport!$D$11</definedName>
    <definedName name="EXI.A1620.UNDERWRITTEN.E.I.X">[14]_EXICashFlowImport!$D$19</definedName>
    <definedName name="EXI.A3840.AMOUNT.E.I.X">[14]_EXIFunnelImport!$D$9</definedName>
    <definedName name="EXI.A3855.AMOUNT.E.I.X">[14]_EXIFunnelImport!$D$24</definedName>
    <definedName name="EXI.A4041.AMOUNT.E.I.X">[14]_EXIFunnelImport!$E$8</definedName>
    <definedName name="EXI.A4054.AMOUNT.E.I.X">[14]_EXIFunnelImport!$E$21</definedName>
    <definedName name="EXI.A4055.AMOUNT.E.I.X">[14]_EXIFunnelImport!$E$22</definedName>
    <definedName name="EXI.A4254.AMOUNT.E.I.X">[14]_EXIFunnelImport!$F$19</definedName>
    <definedName name="EXI.A4257.AMOUNT.E.I.X">[14]_EXIFunnelImport!$F$22</definedName>
    <definedName name="Existing_UpfrontFee_Cash_1" localSheetId="5">#REF!</definedName>
    <definedName name="Existing_UpfrontFee_Cash_1">#REF!</definedName>
    <definedName name="Existing_UpfrontFee_Cash_2" localSheetId="5">#REF!</definedName>
    <definedName name="Existing_UpfrontFee_Cash_2">#REF!</definedName>
    <definedName name="Existing_UpfrontFee_Cash_3" localSheetId="5">#REF!</definedName>
    <definedName name="Existing_UpfrontFee_Cash_3">#REF!</definedName>
    <definedName name="Existing_UpfrontFee_Cash_4">#REF!</definedName>
    <definedName name="Existing_UpfrontFee_Cash_5">#REF!</definedName>
    <definedName name="Existing_UpfrontFee_Cash_6">#REF!</definedName>
    <definedName name="EXPENSE">'[3]AVI-JV-PROFORMA'!#REF!</definedName>
    <definedName name="ExpenseInflation1">[15]Assumptions!$C$74</definedName>
    <definedName name="ExpenseInflation2">[15]Assumptions!$D$74</definedName>
    <definedName name="ExpenseInflation3">[15]Assumptions!$E$74</definedName>
    <definedName name="EXPFACT" localSheetId="5">#REF!</definedName>
    <definedName name="EXPFACT">#REF!</definedName>
    <definedName name="EXPRESS_EXP">'[17]12_96 CAM'!#REF!</definedName>
    <definedName name="EXPRESS_SQ">'[17]12_96 CAM'!#REF!</definedName>
    <definedName name="EXPTABLE">[17]CAMINVBU!#REF!</definedName>
    <definedName name="externalappraisalltv" localSheetId="5">#REF!</definedName>
    <definedName name="externalappraisalltv">#REF!</definedName>
    <definedName name="Externalappraisalvalue" localSheetId="5">#REF!</definedName>
    <definedName name="Externalappraisalvalue">#REF!</definedName>
    <definedName name="extra" localSheetId="5">#REF!</definedName>
    <definedName name="extra">#REF!</definedName>
    <definedName name="Facility_1">#REF!</definedName>
    <definedName name="Facility_2">#REF!</definedName>
    <definedName name="Facility_3">#REF!</definedName>
    <definedName name="Facility_4">#REF!</definedName>
    <definedName name="Facility_5">#REF!</definedName>
    <definedName name="Facility_6">#REF!</definedName>
    <definedName name="Facility_Overhead">#REF!</definedName>
    <definedName name="FACILITY_RATING_FROM_MODEL">#REF!</definedName>
    <definedName name="FACILITY_RATING_PER_RM">#REF!</definedName>
    <definedName name="Facility_Status_1">#REF!</definedName>
    <definedName name="Facility_Status_2">#REF!</definedName>
    <definedName name="Facility_Status_3">#REF!</definedName>
    <definedName name="Facility_Status_4">#REF!</definedName>
    <definedName name="Facility_Status_5">#REF!</definedName>
    <definedName name="Facility_Status_6">#REF!</definedName>
    <definedName name="Facility_Status_Deriv1">#REF!</definedName>
    <definedName name="Facility_Status_Deriv2">#REF!</definedName>
    <definedName name="Facility_Status_Deriv3">#REF!</definedName>
    <definedName name="Facility_Status_Deriv4">#REF!</definedName>
    <definedName name="Facility_Status_Deriv5">#REF!</definedName>
    <definedName name="Facility_Status_Deriv6">#REF!</definedName>
    <definedName name="FASB_1">#REF!</definedName>
    <definedName name="FASB_2">#REF!</definedName>
    <definedName name="FASB_3">#REF!</definedName>
    <definedName name="FASB_4">#REF!</definedName>
    <definedName name="FASB_5">#REF!</definedName>
    <definedName name="FASB_6">#REF!</definedName>
    <definedName name="FASB_Total_Income">#REF!</definedName>
    <definedName name="fd" hidden="1">'[30]0900'!#REF!</definedName>
    <definedName name="fdef" localSheetId="5">#REF!</definedName>
    <definedName name="fdef">#REF!</definedName>
    <definedName name="fdsa">[29]Site!$D$67</definedName>
    <definedName name="fee">'[31]Inc Rec'!$A$9:$J$650</definedName>
    <definedName name="FEES" localSheetId="5">#REF!</definedName>
    <definedName name="FEES">#REF!</definedName>
    <definedName name="fghgdh">[9]A!$A$37:$Q$83</definedName>
    <definedName name="Financial_Summary" localSheetId="5">#REF!</definedName>
    <definedName name="Financial_Summary">#REF!</definedName>
    <definedName name="first" localSheetId="5">#REF!</definedName>
    <definedName name="first">#REF!</definedName>
    <definedName name="First_payment_due" localSheetId="5">#REF!</definedName>
    <definedName name="First_payment_due">#REF!</definedName>
    <definedName name="First_payment_no">#REF!</definedName>
    <definedName name="FIRST_PROTECT">'[18]FIRST P'!$A$13:$P$46</definedName>
    <definedName name="fix" localSheetId="5">#REF!</definedName>
    <definedName name="fix">#REF!</definedName>
    <definedName name="fnjh" localSheetId="5">#REF!</definedName>
    <definedName name="fnjh">#REF!</definedName>
    <definedName name="FORCE">[18]FORCE!$A$13:$P$38</definedName>
    <definedName name="format">'[32]P TAX INV (2)'!$A$69:$H$132</definedName>
    <definedName name="FORTIS" localSheetId="5">#REF!</definedName>
    <definedName name="FORTIS">#REF!</definedName>
    <definedName name="Free">'[3]AVI-JV-PROFORMA'!#REF!</definedName>
    <definedName name="freee">'[5]AVI-JV-PROFORMA'!#REF!</definedName>
    <definedName name="FULL" localSheetId="5">#REF!</definedName>
    <definedName name="FULL">#REF!</definedName>
    <definedName name="FUNDING_COST1" localSheetId="5">#REF!</definedName>
    <definedName name="FUNDING_COST1">#REF!</definedName>
    <definedName name="FUNDING_COST2" localSheetId="5">#REF!</definedName>
    <definedName name="FUNDING_COST2">#REF!</definedName>
    <definedName name="FUNDING_COST3">#REF!</definedName>
    <definedName name="FUNDING_COST4">#REF!</definedName>
    <definedName name="FUNDING_COST5">#REF!</definedName>
    <definedName name="FUNDING_COST6">#REF!</definedName>
    <definedName name="FX_GrossRev">#REF!</definedName>
    <definedName name="FX_NETREV">#REF!</definedName>
    <definedName name="g">#REF!</definedName>
    <definedName name="G0A_DS_80_FS_PEX__DISNEY">'[33]8TX95C'!#REF!</definedName>
    <definedName name="GardenGLA">#N/A</definedName>
    <definedName name="GD">#REF!</definedName>
    <definedName name="GDEQUITY">#REF!</definedName>
    <definedName name="GENERAL_MILLS">[18]FORCE!$A$13:$P$40</definedName>
    <definedName name="ghghg" localSheetId="5">#REF!</definedName>
    <definedName name="ghghg">#REF!</definedName>
    <definedName name="ghghgh">'[34]PR FUNDING'!#REF!</definedName>
    <definedName name="ghghghg" localSheetId="5">#REF!</definedName>
    <definedName name="ghghghg">#REF!</definedName>
    <definedName name="gla">#N/A</definedName>
    <definedName name="GLA_1" localSheetId="5">#REF!</definedName>
    <definedName name="GLA_1">#REF!</definedName>
    <definedName name="GLA_3" localSheetId="5">#REF!</definedName>
    <definedName name="GLA_3">#REF!</definedName>
    <definedName name="GLA_3.15">#REF!</definedName>
    <definedName name="GOAEXT">#REF!</definedName>
    <definedName name="GOAPEX">#REF!</definedName>
    <definedName name="GoToMortgagorOtherFeeDesc">'[35]Gen Reqs Breakdown'!#REF!</definedName>
    <definedName name="GPR" localSheetId="5">#REF!</definedName>
    <definedName name="GPR">#REF!</definedName>
    <definedName name="Grade_1" localSheetId="5">#REF!</definedName>
    <definedName name="Grade_1">#REF!</definedName>
    <definedName name="Grade_2" localSheetId="5">#REF!</definedName>
    <definedName name="Grade_2">#REF!</definedName>
    <definedName name="Grade_3">#REF!</definedName>
    <definedName name="Grade_4">#REF!</definedName>
    <definedName name="Grade_5">#REF!</definedName>
    <definedName name="Grade_6">#REF!</definedName>
    <definedName name="grade_attribute_exception">#REF!</definedName>
    <definedName name="Grade_lookup">#REF!</definedName>
    <definedName name="grade3_criteria">#REF!</definedName>
    <definedName name="gross">#REF!</definedName>
    <definedName name="GROSS_LEASABLE_AREA">#REF!</definedName>
    <definedName name="grossrate_bond">#REF!</definedName>
    <definedName name="GROSSYLD">#REF!</definedName>
    <definedName name="GRRATE">#REF!</definedName>
    <definedName name="GSP">#REF!</definedName>
    <definedName name="guar">#REF!</definedName>
    <definedName name="hangout">#REF!</definedName>
    <definedName name="hd">#REF!</definedName>
    <definedName name="HEALTH">#REF!</definedName>
    <definedName name="health1">#REF!</definedName>
    <definedName name="Healthcare">#REF!</definedName>
    <definedName name="hgdhd">'[34]PR FUNDING'!#REF!</definedName>
    <definedName name="hgfhgdh" localSheetId="5">#REF!</definedName>
    <definedName name="hgfhgdh">#REF!</definedName>
    <definedName name="hghghgfh">[9]A!$A$1:$Q$36</definedName>
    <definedName name="hghh" localSheetId="5">#REF!</definedName>
    <definedName name="hghh">#REF!</definedName>
    <definedName name="HIS">[36]Underwriting!#REF!</definedName>
    <definedName name="historicalyear1occupancy">[37]Underwriting!#REF!</definedName>
    <definedName name="historicalyear2occupancy">[37]Underwriting!#REF!</definedName>
    <definedName name="historicalyear3">[37]Underwriting!#REF!</definedName>
    <definedName name="historicalyear3dscr">[37]Underwriting!$I$43</definedName>
    <definedName name="historicalyear3occupancy">[37]Underwriting!#REF!</definedName>
    <definedName name="hj" localSheetId="5">#REF!</definedName>
    <definedName name="hj">#REF!</definedName>
    <definedName name="hjghjh">[9]A!$A$85:$Q$130</definedName>
    <definedName name="HUD_Project_Number">[38]Checklist!$C$28</definedName>
    <definedName name="IAP" localSheetId="5">#REF!</definedName>
    <definedName name="IAP">#REF!</definedName>
    <definedName name="ICDCPriceAmount">[4]Assumptions!#REF!</definedName>
    <definedName name="ID" localSheetId="5">#REF!</definedName>
    <definedName name="ID">#REF!</definedName>
    <definedName name="ID_BUILD">'[17]12_96 CAM'!#REF!</definedName>
    <definedName name="IL_SQ">'[17]12_96 CAM'!#REF!</definedName>
    <definedName name="In_place_GPR" localSheetId="5">#REF!</definedName>
    <definedName name="In_place_GPR">#REF!</definedName>
    <definedName name="Inbedded_fee_for_yield" localSheetId="5">#REF!</definedName>
    <definedName name="Inbedded_fee_for_yield">#REF!</definedName>
    <definedName name="Inbedded_fee_grossyield" localSheetId="5">#REF!</definedName>
    <definedName name="Inbedded_fee_grossyield">#REF!</definedName>
    <definedName name="IncomeStmtSummaryPrint">#REF!</definedName>
    <definedName name="INCREADIBLE">[18]INCREDBL!$A$13:$P$41</definedName>
    <definedName name="Increase_Commit_1" localSheetId="5">#REF!</definedName>
    <definedName name="Increase_Commit_1">#REF!</definedName>
    <definedName name="Increase_Commit_2" localSheetId="5">#REF!</definedName>
    <definedName name="Increase_Commit_2">#REF!</definedName>
    <definedName name="Increase_Commit_3" localSheetId="5">#REF!</definedName>
    <definedName name="Increase_Commit_3">#REF!</definedName>
    <definedName name="Increase_Commit_4">#REF!</definedName>
    <definedName name="Increase_Commit_5">#REF!</definedName>
    <definedName name="Increase_Commit_6">#REF!</definedName>
    <definedName name="Index_1">#REF!</definedName>
    <definedName name="Index_2">#REF!</definedName>
    <definedName name="Index_3">#REF!</definedName>
    <definedName name="Index_4">#REF!</definedName>
    <definedName name="Index_5">#REF!</definedName>
    <definedName name="Index_6">#REF!</definedName>
    <definedName name="Index_Range">#REF!</definedName>
    <definedName name="inflation1">[15]Assumptions!$C$73</definedName>
    <definedName name="inflation2">[15]Assumptions!$D$73</definedName>
    <definedName name="inflation3">[15]Assumptions!$E$73</definedName>
    <definedName name="INFORMIX">[18]INFORMIX!$A$13:$Q$47</definedName>
    <definedName name="INPUT" localSheetId="5">#REF!</definedName>
    <definedName name="INPUT">#REF!</definedName>
    <definedName name="Ins" localSheetId="5">#REF!</definedName>
    <definedName name="Ins">#REF!</definedName>
    <definedName name="insclaims" localSheetId="5">[17]CAMINVBU!#REF!</definedName>
    <definedName name="insclaims">[17]CAMINVBU!#REF!</definedName>
    <definedName name="INSCODE" localSheetId="5">#REF!</definedName>
    <definedName name="INSCODE">#REF!</definedName>
    <definedName name="insurance" localSheetId="5">#REF!</definedName>
    <definedName name="insurance">#REF!</definedName>
    <definedName name="Int_Pmt_Freq_Table" localSheetId="5">#REF!</definedName>
    <definedName name="Int_Pmt_Freq_Table">#REF!</definedName>
    <definedName name="Int_Rate">[12]Proforma!$G$30</definedName>
    <definedName name="IntBearingCkg" localSheetId="5">#REF!</definedName>
    <definedName name="IntBearingCkg">#REF!</definedName>
    <definedName name="Interest" localSheetId="5">IF(#REF!&lt;&gt;"",#REF!*'Comparison to Other'!Periodic_rate,"")</definedName>
    <definedName name="Interest">IF(#REF!&lt;&gt;"",#REF!*[39]!Periodic_rate,"")</definedName>
    <definedName name="Interest_Freq_Factor_1" localSheetId="5">#REF!</definedName>
    <definedName name="Interest_Freq_Factor_1">#REF!</definedName>
    <definedName name="Interest_Freq_Factor_2" localSheetId="5">#REF!</definedName>
    <definedName name="Interest_Freq_Factor_2">#REF!</definedName>
    <definedName name="Interest_Freq_Factor_3">#REF!</definedName>
    <definedName name="Interest_Freq_Factor_4">#REF!</definedName>
    <definedName name="Interest_Freq_Factor_5">#REF!</definedName>
    <definedName name="Interest_Freq_Factor_6">#REF!</definedName>
    <definedName name="Interest_Only_Table">#REF!</definedName>
    <definedName name="Interest_Payment_Freq_1">#REF!</definedName>
    <definedName name="Interest_Payment_Freq_2">#REF!</definedName>
    <definedName name="Interest_Payment_Freq_3">#REF!</definedName>
    <definedName name="Interest_Payment_Freq_4">#REF!</definedName>
    <definedName name="Interest_Payment_Freq_5">#REF!</definedName>
    <definedName name="Interest_Payment_Freq_6">#REF!</definedName>
    <definedName name="Interest_Type">#REF!</definedName>
    <definedName name="Interest_type_1">#REF!</definedName>
    <definedName name="Interest_type_2">#REF!</definedName>
    <definedName name="Interest_type_3">#REF!</definedName>
    <definedName name="Interest_type_4">#REF!</definedName>
    <definedName name="Interest_type_5">#REF!</definedName>
    <definedName name="Interest_Type_6">#REF!</definedName>
    <definedName name="InterestMarginChange_1">#REF!</definedName>
    <definedName name="InterestMarginChange_2">#REF!</definedName>
    <definedName name="InterestMarginChange_3">#REF!</definedName>
    <definedName name="InterestMarginChange_4">#REF!</definedName>
    <definedName name="InterestMarginChange_5">#REF!</definedName>
    <definedName name="InterestMarginChange_6">#REF!</definedName>
    <definedName name="InterestRate">[15]Assumptions!$G$132</definedName>
    <definedName name="internalcounsel" localSheetId="5">#REF!</definedName>
    <definedName name="internalcounsel">#REF!</definedName>
    <definedName name="International" localSheetId="5">#REF!</definedName>
    <definedName name="International">#REF!</definedName>
    <definedName name="International_GrossRev" localSheetId="5">#REF!</definedName>
    <definedName name="International_GrossRev">#REF!</definedName>
    <definedName name="INTERPOLATED_TBillindex">#REF!</definedName>
    <definedName name="INTL_NETREV">#REF!</definedName>
    <definedName name="INTonlydebtserv">#REF!</definedName>
    <definedName name="INTPMTS">#REF!</definedName>
    <definedName name="IntroPrintArea" hidden="1">#REF!</definedName>
    <definedName name="investment_type">#REF!</definedName>
    <definedName name="InvestmentMgt_Gross">#REF!</definedName>
    <definedName name="InvestmentNumber">#REF!</definedName>
    <definedName name="InvestorName1">#REF!</definedName>
    <definedName name="InvestorName2">#REF!</definedName>
    <definedName name="InvestorName3">#REF!</definedName>
    <definedName name="InvestorName4">#REF!</definedName>
    <definedName name="InvestorName5">#REF!</definedName>
    <definedName name="Invoice">#REF!</definedName>
    <definedName name="IO_rate">[40]Inputs!$F$16</definedName>
    <definedName name="IPLICO_account1" localSheetId="5">#REF!</definedName>
    <definedName name="IPLICO_account1">#REF!</definedName>
    <definedName name="IPLICO_loanamt1" localSheetId="5">#REF!</definedName>
    <definedName name="IPLICO_loanamt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R_Commit_amount_1">#REF!</definedName>
    <definedName name="IR_Commit_amount_2">#REF!</definedName>
    <definedName name="IR_Commit_amount_3">#REF!</definedName>
    <definedName name="IR_Commit_amount_4">#REF!</definedName>
    <definedName name="IR_Commit_amount_5">#REF!</definedName>
    <definedName name="IR_Commit_amount_6">#REF!</definedName>
    <definedName name="IR_Equity_1">#REF!</definedName>
    <definedName name="IR_Equity_2">#REF!</definedName>
    <definedName name="IR_Equity_3">#REF!</definedName>
    <definedName name="IR_Equity_4">#REF!</definedName>
    <definedName name="IR_Equity_5">#REF!</definedName>
    <definedName name="IR_Equity_6">#REF!</definedName>
    <definedName name="IrrCalcFields">[4]Assumptions!$F$192,[4]Assumptions!$F$194,[4]Assumptions!$F$196,[4]Assumptions!$F$198,[4]Assumptions!$F$200</definedName>
    <definedName name="issuer" localSheetId="5">#REF!</definedName>
    <definedName name="issuer">#REF!</definedName>
    <definedName name="JHRE_loanamt1" localSheetId="5">#REF!</definedName>
    <definedName name="JHRE_loanamt1">#REF!</definedName>
    <definedName name="jr6d" localSheetId="5" hidden="1">{"LCPR",#N/A,TRUE,"LC"}</definedName>
    <definedName name="jr6d" hidden="1">{"LCPR",#N/A,TRUE,"LC"}</definedName>
    <definedName name="KEY_EQUIVALENT_GRADE">#REF!</definedName>
    <definedName name="Key_Global_Fin">#REF!</definedName>
    <definedName name="KeyCapitalPartners_GrossRev">#REF!</definedName>
    <definedName name="KeyGlobalFinance_GrossRev">#REF!</definedName>
    <definedName name="KeyInsurance_GrossRev">#REF!</definedName>
    <definedName name="klk">#REF!</definedName>
    <definedName name="KNUTSON">#REF!</definedName>
    <definedName name="LA_1">#REF!</definedName>
    <definedName name="LA_2">#REF!</definedName>
    <definedName name="LA_3">#REF!</definedName>
    <definedName name="LA_4">#REF!</definedName>
    <definedName name="LA_5">#REF!</definedName>
    <definedName name="LA_6">#REF!</definedName>
    <definedName name="LA_7">#REF!</definedName>
    <definedName name="lagdays">#REF!</definedName>
    <definedName name="LAND">#REF!</definedName>
    <definedName name="LandBasisManualOverride">[10]Assumptions!#REF!</definedName>
    <definedName name="landcostperacre" localSheetId="5">#REF!</definedName>
    <definedName name="landcostperacre">#REF!</definedName>
    <definedName name="landscape">[17]CAMINVBU!#REF!</definedName>
    <definedName name="LargeCorp" localSheetId="5">#REF!</definedName>
    <definedName name="LargeCorp">#REF!</definedName>
    <definedName name="LastApprovedGrade_1" localSheetId="5">#REF!</definedName>
    <definedName name="LastApprovedGrade_1">#REF!</definedName>
    <definedName name="LastApprovedGrade_2" localSheetId="5">#REF!</definedName>
    <definedName name="LastApprovedGrade_2">#REF!</definedName>
    <definedName name="LastApprovedGrade_3">#REF!</definedName>
    <definedName name="LastApprovedGrade_4">#REF!</definedName>
    <definedName name="LastApprovedGrade_5">#REF!</definedName>
    <definedName name="LastApprovedGrade_6">#REF!</definedName>
    <definedName name="LastApprovedIndex_1">#REF!</definedName>
    <definedName name="LastApprovedIndex_2">#REF!</definedName>
    <definedName name="LastApprovedIndex_3">#REF!</definedName>
    <definedName name="LastApprovedIndex_4">#REF!</definedName>
    <definedName name="LastApprovedIndex_5">#REF!</definedName>
    <definedName name="LastApprovedIndex_6">#REF!</definedName>
    <definedName name="LastApprovedSpread_1">#REF!</definedName>
    <definedName name="LastApprovedSpread_2">#REF!</definedName>
    <definedName name="LastApprovedSpread_3">#REF!</definedName>
    <definedName name="LastApprovedSpread_4">#REF!</definedName>
    <definedName name="LastApprovedSpread_5">#REF!</definedName>
    <definedName name="LastApprovedSpread_6">#REF!</definedName>
    <definedName name="LC_PayInArrears_1">#REF!</definedName>
    <definedName name="LC_PayInArrears_2">#REF!</definedName>
    <definedName name="LC_PayInArrears_3">#REF!</definedName>
    <definedName name="LC_PayInArrears_4">#REF!</definedName>
    <definedName name="LC_PayInArrears_5">#REF!</definedName>
    <definedName name="LC_PayInArrears_6">#REF!</definedName>
    <definedName name="Leasing">#REF!</definedName>
    <definedName name="LeftBalance">#REF!</definedName>
    <definedName name="LeftBalanceQtr">#REF!</definedName>
    <definedName name="LeftBalanceYr">#REF!</definedName>
    <definedName name="LeftCashFlow">#REF!</definedName>
    <definedName name="LeftCashFlowQtr">#REF!</definedName>
    <definedName name="LeftCashFlowYr">#REF!</definedName>
    <definedName name="LeftPandL">#REF!</definedName>
    <definedName name="LeftPandLQtr">#REF!</definedName>
    <definedName name="LeftPandLYr">#REF!</definedName>
    <definedName name="Legal_1">#REF!</definedName>
    <definedName name="Legal_2">#REF!</definedName>
    <definedName name="Legal_3">#REF!</definedName>
    <definedName name="Legal_4">#REF!</definedName>
    <definedName name="Legal_5">#REF!</definedName>
    <definedName name="Legal_6">#REF!</definedName>
    <definedName name="Legal_Table">#REF!</definedName>
    <definedName name="Lender_JHLICO">#REF!</definedName>
    <definedName name="Lender_JHREF">#REF!</definedName>
    <definedName name="lender_vote">#REF!</definedName>
    <definedName name="LEONE">[18]LEONE!$A$13:$P$42</definedName>
    <definedName name="LeveredIRR" localSheetId="5">#REF!</definedName>
    <definedName name="LeveredIRR">#REF!</definedName>
    <definedName name="LFBMonthlyEscalationFactor">[10]Assumptions!#REF!</definedName>
    <definedName name="LIBOR_PRIME_Rate" localSheetId="5">#REF!</definedName>
    <definedName name="LIBOR_PRIME_Rate">#REF!</definedName>
    <definedName name="Libor_PrimeMinus_Sprd1" localSheetId="5">#REF!</definedName>
    <definedName name="Libor_PrimeMinus_Sprd1">#REF!</definedName>
    <definedName name="Libor_PrimeMinus_Sprd2" localSheetId="5">#REF!</definedName>
    <definedName name="Libor_PrimeMinus_Sprd2">#REF!</definedName>
    <definedName name="Libor_PrimeMinus_Sprd3">#REF!</definedName>
    <definedName name="Libor_PrimeMinus_Sprd4">#REF!</definedName>
    <definedName name="Libor_PrimeMinus_Sprd5">#REF!</definedName>
    <definedName name="Libor_PrimeMinus_Sprd6">#REF!</definedName>
    <definedName name="LifeCoMonthlySpread">#REF!</definedName>
    <definedName name="LifeCoSASpread">#REF!</definedName>
    <definedName name="LifeCoSpread">#REF!</definedName>
    <definedName name="limited">#REF!</definedName>
    <definedName name="Liq_Adj_Table2001_1">#REF!</definedName>
    <definedName name="Liq_Adj_Table2001_2">#REF!</definedName>
    <definedName name="Liq_Adj_Table2001_3">#REF!</definedName>
    <definedName name="Liq_Adj_Table2001_4">#REF!</definedName>
    <definedName name="Liq_Adj_Table2001_5">#REF!</definedName>
    <definedName name="Liq_Adj_Table2001_6">#REF!</definedName>
    <definedName name="Liq_Premium_Adj1_Months2001">#REF!</definedName>
    <definedName name="Liq_Premium_Adj10_Months2001">#REF!</definedName>
    <definedName name="Liq_Premium_Adj2_months2001">#REF!</definedName>
    <definedName name="Liq_Premium_Adj3_months2001">#REF!</definedName>
    <definedName name="Liq_Premium_Adj5_months2001">#REF!</definedName>
    <definedName name="Liq_Premium_LIBOR_Months2001">#REF!</definedName>
    <definedName name="Liq_Premium_Prime_Months2001">#REF!</definedName>
    <definedName name="LiqMonth_adj_1">#REF!</definedName>
    <definedName name="LiqMonth_adj_2">#REF!</definedName>
    <definedName name="LiqMonth_adj_3">#REF!</definedName>
    <definedName name="LiqMonth_adj_4">#REF!</definedName>
    <definedName name="LiqMonth_adj_5">#REF!</definedName>
    <definedName name="LiqMonth_adj_6">#REF!</definedName>
    <definedName name="LiqPrem_Adj_1">#REF!</definedName>
    <definedName name="LiqPrem_Adj_2">#REF!</definedName>
    <definedName name="LiqPrem_Adj_3">#REF!</definedName>
    <definedName name="LiqPrem_Adj_4">#REF!</definedName>
    <definedName name="LiqPrem_Adj_5">#REF!</definedName>
    <definedName name="LiqPrem_Adj_6">#REF!</definedName>
    <definedName name="LiqPrem_LIBOR_1">#REF!</definedName>
    <definedName name="LiqPrem_LIBOR_2">#REF!</definedName>
    <definedName name="LiqPrem_LIBOR_3">#REF!</definedName>
    <definedName name="LiqPrem_LIBOR_4">#REF!</definedName>
    <definedName name="LiqPrem_LIBOR_5">#REF!</definedName>
    <definedName name="LiqPrem_LIBOR_6">#REF!</definedName>
    <definedName name="LiqPrem_Prime_1">#REF!</definedName>
    <definedName name="LiqPrem_Prime_2">#REF!</definedName>
    <definedName name="LiqPrem_Prime_3">#REF!</definedName>
    <definedName name="LiqPrem_Prime_4">#REF!</definedName>
    <definedName name="LiqPrem_Prime_5">#REF!</definedName>
    <definedName name="LiqPrem_Prime_6">#REF!</definedName>
    <definedName name="LiqTbl2000_Adj_1">#REF!</definedName>
    <definedName name="LiqTbl2000_Adj_2">#REF!</definedName>
    <definedName name="LiqTbl2000_Adj_3">#REF!</definedName>
    <definedName name="LiqTbl2000_Adj_4">#REF!</definedName>
    <definedName name="LiqTbl2000_Adj_5">#REF!</definedName>
    <definedName name="LiqTbl2000_Adj_6">#REF!</definedName>
    <definedName name="Liquidity_Adjustable_Table_1">#REF!</definedName>
    <definedName name="Liquidity_Adjustable_Table_2">#REF!</definedName>
    <definedName name="Liquidity_Adjustable_Table_3">#REF!</definedName>
    <definedName name="Liquidity_Adjustable_Table_4">#REF!</definedName>
    <definedName name="Liquidity_Adjustable_Table_5">#REF!</definedName>
    <definedName name="Liquidity_Adjustable_Table_6">#REF!</definedName>
    <definedName name="Liquidity_Charge_Table">#REF!</definedName>
    <definedName name="Liquidity_Credit_1">#REF!</definedName>
    <definedName name="Liquidity_Credit_2">#REF!</definedName>
    <definedName name="Liquidity_Credit_3">#REF!</definedName>
    <definedName name="Liquidity_Credit_4">#REF!</definedName>
    <definedName name="Liquidity_Credit_5">#REF!</definedName>
    <definedName name="Liquidity_Credit_6">#REF!</definedName>
    <definedName name="Liquidity_Credit_Table">#REF!</definedName>
    <definedName name="Liquidity_Error_1">#REF!</definedName>
    <definedName name="Liquidity_Error_2">#REF!</definedName>
    <definedName name="Liquidity_Error_3">#REF!</definedName>
    <definedName name="Liquidity_Error_4">#REF!</definedName>
    <definedName name="Liquidity_Error_5">#REF!</definedName>
    <definedName name="Liquidity_Error_6">#REF!</definedName>
    <definedName name="Liquidity_Libor_WAL">#REF!</definedName>
    <definedName name="Liquidity_Premium_1">#REF!</definedName>
    <definedName name="Liquidity_Premium_2">#REF!</definedName>
    <definedName name="Liquidity_Premium_3">#REF!</definedName>
    <definedName name="Liquidity_Premium_4">#REF!</definedName>
    <definedName name="Liquidity_Premium_5">#REF!</definedName>
    <definedName name="Liquidity_Premium_6">#REF!</definedName>
    <definedName name="Liquidity_Premium_Charge_1">#REF!</definedName>
    <definedName name="Liquidity_Premium_Charge_2">#REF!</definedName>
    <definedName name="Liquidity_Premium_Charge_3">#REF!</definedName>
    <definedName name="Liquidity_Premium_Charge_4">#REF!</definedName>
    <definedName name="Liquidity_Premium_Charge_5">#REF!</definedName>
    <definedName name="Liquidity_Premium_Charge_6">#REF!</definedName>
    <definedName name="Liquidity_Table_Adj1">#REF!</definedName>
    <definedName name="Liquidity_Table_Adj10">#REF!</definedName>
    <definedName name="Liquidity_Table_Adj2">#REF!</definedName>
    <definedName name="Liquidity_Table_Adj3">#REF!</definedName>
    <definedName name="Liquidity_Table_Adj5">#REF!</definedName>
    <definedName name="Liquidity_Table_LIBOR">#REF!</definedName>
    <definedName name="Liquidity_Table_PRIME">#REF!</definedName>
    <definedName name="Liquidity_Table2000">#REF!</definedName>
    <definedName name="Liquidity_Table2000_Adj1">#REF!</definedName>
    <definedName name="Liquidity_Table2000_Adj10">#REF!</definedName>
    <definedName name="Liquidity_Table2000_Adj2">#REF!</definedName>
    <definedName name="Liquidity_Table2000_Adj3">#REF!</definedName>
    <definedName name="Liquidity_Table2000_Adj5">#REF!</definedName>
    <definedName name="Liquidity_Table2000_LIBOR">#REF!</definedName>
    <definedName name="Liquidity_WAL_ADJ1">#REF!</definedName>
    <definedName name="Liquidity_WAL_Adj10">#REF!</definedName>
    <definedName name="Liquidity_WAL_Adj2">#REF!</definedName>
    <definedName name="Liquidity_WAL_Adj3">#REF!</definedName>
    <definedName name="Liquidity_WAL_Adj5">#REF!</definedName>
    <definedName name="Liquidity_WAL_LIBOR">#REF!</definedName>
    <definedName name="Liquidity_WAL_PRIME">#REF!</definedName>
    <definedName name="Liquidity_WAvgLife_1">#REF!</definedName>
    <definedName name="Liquidity_WAvgLife_2">#REF!</definedName>
    <definedName name="Liquidity_WAvgLife_3">#REF!</definedName>
    <definedName name="Liquidity_WAvgLife_4">#REF!</definedName>
    <definedName name="Liquidity_WAvgLife_5">#REF!</definedName>
    <definedName name="Liquidity_WAvgLife_6">#REF!</definedName>
    <definedName name="LiqWAL_Adj_1">#REF!</definedName>
    <definedName name="LiqWAL_Adj_2">#REF!</definedName>
    <definedName name="LiqWAL_Adj_3">#REF!</definedName>
    <definedName name="LiqWAL_Adj_4">#REF!</definedName>
    <definedName name="LiqWAL_Adj_5">#REF!</definedName>
    <definedName name="LiqWAL_Adj_6">#REF!</definedName>
    <definedName name="LIST">[41]TABLE!$A$2:$F$166</definedName>
    <definedName name="LLP_Deriv_1" localSheetId="5">#REF!</definedName>
    <definedName name="LLP_Deriv_1">#REF!</definedName>
    <definedName name="LLP_Deriv_2" localSheetId="5">#REF!</definedName>
    <definedName name="LLP_Deriv_2">#REF!</definedName>
    <definedName name="LLP_Deriv_3" localSheetId="5">#REF!</definedName>
    <definedName name="LLP_Deriv_3">#REF!</definedName>
    <definedName name="LLP_Deriv_4">#REF!</definedName>
    <definedName name="LLP_Deriv_5">#REF!</definedName>
    <definedName name="LLP_Deriv_6">#REF!</definedName>
    <definedName name="LLP_Grade">#REF!</definedName>
    <definedName name="LLP_Table">#REF!</definedName>
    <definedName name="loan">#REF!</definedName>
    <definedName name="Loan_Amort">[40]Inputs!#REF!</definedName>
    <definedName name="Loan_Amount">[12]Proforma!$G$24</definedName>
    <definedName name="Loan_Analysis" localSheetId="5">#REF!</definedName>
    <definedName name="Loan_Analysis">#REF!</definedName>
    <definedName name="Loan_End">[42]Inputs!$F$26</definedName>
    <definedName name="Loan_Equivalent" localSheetId="5">#REF!</definedName>
    <definedName name="Loan_Equivalent">#REF!</definedName>
    <definedName name="Loan_Term">[42]Inputs!$F$18</definedName>
    <definedName name="loan_terms_info_vote" localSheetId="5">#REF!</definedName>
    <definedName name="loan_terms_info_vote">#REF!</definedName>
    <definedName name="Loancommitmentreduction">[10]Assumptions!#REF!</definedName>
    <definedName name="LoanFee">[15]Assumptions!$E$119</definedName>
    <definedName name="LoanLoss_1" localSheetId="5">#REF!</definedName>
    <definedName name="LoanLoss_1">#REF!</definedName>
    <definedName name="LoanLoss_2" localSheetId="5">#REF!</definedName>
    <definedName name="LoanLoss_2">#REF!</definedName>
    <definedName name="LoanLoss_3" localSheetId="5">#REF!</definedName>
    <definedName name="LoanLoss_3">#REF!</definedName>
    <definedName name="LoanLoss_4">#REF!</definedName>
    <definedName name="LoanLoss_5">#REF!</definedName>
    <definedName name="LoanLoss_6">#REF!</definedName>
    <definedName name="LoanLoss1thru6">#REF!</definedName>
    <definedName name="LoanRequest">[40]Inputs!$C$14</definedName>
    <definedName name="LoanToAssetRatio">[13]Assumptions!$E$118</definedName>
    <definedName name="LOANTYPE_1" localSheetId="5">#REF!</definedName>
    <definedName name="LOANTYPE_1">#REF!</definedName>
    <definedName name="LOANTYPE_2" localSheetId="5">#REF!</definedName>
    <definedName name="LOANTYPE_2">#REF!</definedName>
    <definedName name="LOANTYPE_3" localSheetId="5">#REF!</definedName>
    <definedName name="LOANTYPE_3">#REF!</definedName>
    <definedName name="LOANTYPE_4">#REF!</definedName>
    <definedName name="LOANTYPE_5">#REF!</definedName>
    <definedName name="LOANTYPE_6">#REF!</definedName>
    <definedName name="LOB">#REF!</definedName>
    <definedName name="LOB_Executive_Approval">#REF!</definedName>
    <definedName name="LOB_Lookup">#REF!</definedName>
    <definedName name="LOB_ROE_Table">#REF!</definedName>
    <definedName name="LOB_Table">#REF!</definedName>
    <definedName name="LOB_Target_Lookup">#REF!</definedName>
    <definedName name="location_description">#REF!</definedName>
    <definedName name="lockoutterm">#REF!</definedName>
    <definedName name="LongTermCostInflation">[10]Assumptions!#REF!</definedName>
    <definedName name="LongTermRevInflation">[10]Assumptions!#REF!</definedName>
    <definedName name="Look1Area" localSheetId="5">#REF!</definedName>
    <definedName name="Look1Area">#REF!</definedName>
    <definedName name="Look2Area" localSheetId="5">#REF!</definedName>
    <definedName name="Look2Area">#REF!</definedName>
    <definedName name="Look3Area" localSheetId="5">#REF!</definedName>
    <definedName name="Look3Area">#REF!</definedName>
    <definedName name="Look4Area">#REF!</definedName>
    <definedName name="Look5Area">#REF!</definedName>
    <definedName name="lookumup">#REF!</definedName>
    <definedName name="lot_takedown">#REF!</definedName>
    <definedName name="lsupexp">'[43]2005E Assumptions'!$D$82</definedName>
    <definedName name="LTV">[12]Proforma!$G$26</definedName>
    <definedName name="ltva" localSheetId="5">#REF!</definedName>
    <definedName name="ltva">#REF!</definedName>
    <definedName name="MacaulayDuration" localSheetId="5">#REF!</definedName>
    <definedName name="MacaulayDuration">#REF!</definedName>
    <definedName name="MAIER">[18]MAIRE!$A$13:$P$36</definedName>
    <definedName name="MAIN" localSheetId="5">#REF!</definedName>
    <definedName name="MAIN">#REF!</definedName>
    <definedName name="maintsal">[17]CAMINVBU!#REF!</definedName>
    <definedName name="MAINWARE">[18]MAINWR!$A$13:$Q$50</definedName>
    <definedName name="managementfee">[15]Assumptions!$C$76</definedName>
    <definedName name="MARKET02" localSheetId="5">#REF!</definedName>
    <definedName name="MARKET02">#REF!</definedName>
    <definedName name="MASTER">[18]MASTER!$A$13:$P$35</definedName>
    <definedName name="max" localSheetId="5">#REF!</definedName>
    <definedName name="max">#REF!</definedName>
    <definedName name="MaximumLoanCommit">[10]Assumptions!#REF!</definedName>
    <definedName name="mbia" localSheetId="5">#REF!</definedName>
    <definedName name="mbia">#REF!</definedName>
    <definedName name="mcapped" localSheetId="5">#REF!</definedName>
    <definedName name="mcapped">#REF!</definedName>
    <definedName name="MCI" localSheetId="5">#REF!</definedName>
    <definedName name="MCI">#REF!</definedName>
    <definedName name="Media">#REF!</definedName>
    <definedName name="Mel">#REF!</definedName>
    <definedName name="MEP_1">#REF!</definedName>
    <definedName name="MEP_2">#REF!</definedName>
    <definedName name="MEP_3">#REF!</definedName>
    <definedName name="MEP_4">#REF!</definedName>
    <definedName name="MEP_5">#REF!</definedName>
    <definedName name="MEP_6">#REF!</definedName>
    <definedName name="MEP_7">#REF!</definedName>
    <definedName name="MERCK">[18]MERCK!$A$13:$P$51</definedName>
    <definedName name="MERRY_EXP">'[17]12_96 CAM'!#REF!</definedName>
    <definedName name="MERRY_SQ">'[17]12_96 CAM'!#REF!</definedName>
    <definedName name="mgmt" localSheetId="5">#REF!</definedName>
    <definedName name="mgmt">#REF!</definedName>
    <definedName name="MGrossRent">'[44]Rent_Roll (Current)'!#REF!</definedName>
    <definedName name="MGrossRentIII" localSheetId="5">#REF!</definedName>
    <definedName name="MGrossRentIII">#REF!</definedName>
    <definedName name="MinusSpread_1" localSheetId="5">#REF!</definedName>
    <definedName name="MinusSpread_1">#REF!</definedName>
    <definedName name="misc">'[43]2005E Assumptions'!$D$9</definedName>
    <definedName name="mkt" localSheetId="5">#REF!</definedName>
    <definedName name="mkt">#REF!</definedName>
    <definedName name="MKTG">#N/A</definedName>
    <definedName name="mktnoi" localSheetId="5">#REF!</definedName>
    <definedName name="mktnoi">#REF!</definedName>
    <definedName name="mktrnt" localSheetId="5">#REF!</definedName>
    <definedName name="mktrnt">#REF!</definedName>
    <definedName name="MM_BB_Approval">#REF!</definedName>
    <definedName name="mmodified">#REF!</definedName>
    <definedName name="mnonprofit">#REF!</definedName>
    <definedName name="ModifiedDuration">#REF!</definedName>
    <definedName name="Module1.PRINT_2">#N/A</definedName>
    <definedName name="Module1.PRINT_3">#N/A</definedName>
    <definedName name="Module1.PRINT_A">#N/A</definedName>
    <definedName name="Module1.PRINT_BCCAM">#N/A</definedName>
    <definedName name="Module1.PRINT_BCMR">#N/A</definedName>
    <definedName name="Module1.PRINT_BCTAX">#N/A</definedName>
    <definedName name="Module1.PRINT_D">#N/A</definedName>
    <definedName name="Module1.PRINT_DETAILS">#N/A</definedName>
    <definedName name="Module1.PRINT_EDET">#N/A</definedName>
    <definedName name="Module1.PRINT_ESUM">#N/A</definedName>
    <definedName name="Module1.PRINT_F">#N/A</definedName>
    <definedName name="Module1.PRINT_GDET">#N/A</definedName>
    <definedName name="Module1.PRINT_GSUM">#N/A</definedName>
    <definedName name="Module1.PRINT_HDET">#N/A</definedName>
    <definedName name="Module1.PRINT_HSUM">#N/A</definedName>
    <definedName name="Module1.PRINT_J">#N/A</definedName>
    <definedName name="Module1.PRINT_OCCUPANCY">#N/A</definedName>
    <definedName name="Module1.PRINT_RECRATES">#N/A</definedName>
    <definedName name="Module1.PRINT_REVENUES">#N/A</definedName>
    <definedName name="Module2.PRINT_2">#N/A</definedName>
    <definedName name="Module2.PRINT_BCCAM">#N/A</definedName>
    <definedName name="Module2.PRINT_BCMR">#N/A</definedName>
    <definedName name="Module2.PRINT_BCPR">#N/A</definedName>
    <definedName name="Module2.PRINT_BCTAX">#N/A</definedName>
    <definedName name="Module2.PRINT_D">#N/A</definedName>
    <definedName name="Module2.PRINT_DETAILS">#N/A</definedName>
    <definedName name="Module2.PRINT_EDET">#N/A</definedName>
    <definedName name="Module2.PRINT_EXPENSES">#N/A</definedName>
    <definedName name="Module2.PRINT_F">#N/A</definedName>
    <definedName name="Module2.PRINT_GDET">#N/A</definedName>
    <definedName name="Module2.PRINT_HDET">#N/A</definedName>
    <definedName name="Module2.PRINT_HSUM">#N/A</definedName>
    <definedName name="Module2.PRINT_IDET">#N/A</definedName>
    <definedName name="Module2.PRINT_ISUM">#N/A</definedName>
    <definedName name="Module2.PRINT_J">#N/A</definedName>
    <definedName name="Module2.PRINT_REVENUES">#N/A</definedName>
    <definedName name="Module3.PRINT_GSUM">#N/A</definedName>
    <definedName name="Module4.PRINT_A">#N/A</definedName>
    <definedName name="Module4.PRINT_ESUM">#N/A</definedName>
    <definedName name="Module4.PRINT_REVENUES">#N/A</definedName>
    <definedName name="MOND">#REF!</definedName>
    <definedName name="MoneyMarket">#REF!</definedName>
    <definedName name="monthly">#REF!</definedName>
    <definedName name="monthlyloss">'[11]2004B Assumptions'!$L$6</definedName>
    <definedName name="Monthlypayment" localSheetId="5">#REF!</definedName>
    <definedName name="Monthlypayment">#REF!</definedName>
    <definedName name="Mortgage_Monthly_Table" localSheetId="5">#REF!</definedName>
    <definedName name="Mortgage_Monthly_Table">#REF!</definedName>
    <definedName name="mregulated" localSheetId="5">#REF!</definedName>
    <definedName name="mregulated">#REF!</definedName>
    <definedName name="MRI">#REF!</definedName>
    <definedName name="net">#REF!</definedName>
    <definedName name="Net_adjusted_grossyield">#REF!</definedName>
    <definedName name="Net_Liquidity_Premium_1">#REF!</definedName>
    <definedName name="Net_Liquidity_Premium_2">#REF!</definedName>
    <definedName name="Net_Liquidity_Premium_3">#REF!</definedName>
    <definedName name="Net_Liquidity_Premium_4">#REF!</definedName>
    <definedName name="Net_Liquidity_Premium_5">#REF!</definedName>
    <definedName name="Net_Liquidity_Premium_6">#REF!</definedName>
    <definedName name="NetInc_Deriv1_FASB">#REF!</definedName>
    <definedName name="NetInc_Deriv2_FASB">#REF!</definedName>
    <definedName name="NetInc_Deriv3_FASB">#REF!</definedName>
    <definedName name="NetInc_Deriv4_FASB">#REF!</definedName>
    <definedName name="NetInc_Deriv5_FASB">#REF!</definedName>
    <definedName name="NetInc_Deriv6_FASB">#REF!</definedName>
    <definedName name="NetIncome_Cash">#REF!</definedName>
    <definedName name="NetIncome_FASB">#REF!</definedName>
    <definedName name="NetRev_CRISP">#REF!</definedName>
    <definedName name="NetRevCRISP">#REF!</definedName>
    <definedName name="NetRevNonCredit">#REF!</definedName>
    <definedName name="NetSpreadChange_1">#REF!</definedName>
    <definedName name="NetSpreadChange_2">#REF!</definedName>
    <definedName name="NetSpreadChange_3">#REF!</definedName>
    <definedName name="NetSpreadChange_4">#REF!</definedName>
    <definedName name="NetSpreadChange_5">#REF!</definedName>
    <definedName name="NetSpreadChange_6">#REF!</definedName>
    <definedName name="NETYLD">#REF!</definedName>
    <definedName name="NHEQUITY">#REF!</definedName>
    <definedName name="NICK">#REF!</definedName>
    <definedName name="NoCommitFee_1">#REF!</definedName>
    <definedName name="NoCommitFee_2">#REF!</definedName>
    <definedName name="NoCommitFee_3">#REF!</definedName>
    <definedName name="NoCommitFee_4">#REF!</definedName>
    <definedName name="NoCommitFee_5">#REF!</definedName>
    <definedName name="NoCommitFee_6">#REF!</definedName>
    <definedName name="NoCondos">[45]Assumptions!$C$51</definedName>
    <definedName name="NOI">[12]Proforma!$G$20</definedName>
    <definedName name="NominalCal">[24]Conventions!$AB$78</definedName>
    <definedName name="NonCredit_Income_Cash" localSheetId="5">#REF!</definedName>
    <definedName name="NonCredit_Income_Cash">#REF!</definedName>
    <definedName name="NonCredit_Income_FASB" localSheetId="5">#REF!</definedName>
    <definedName name="NonCredit_Income_FASB">#REF!</definedName>
    <definedName name="NONE" localSheetId="5">#REF!</definedName>
    <definedName name="NONE">#REF!</definedName>
    <definedName name="NonProfit">#REF!</definedName>
    <definedName name="NoPrePayLang_1">#REF!</definedName>
    <definedName name="NoPrePayLang_2">#REF!</definedName>
    <definedName name="NoPrePayLang_3">#REF!</definedName>
    <definedName name="NoPrePayLang_4">#REF!</definedName>
    <definedName name="NoPrePayLang_5">#REF!</definedName>
    <definedName name="NoPrePayLang_6">#REF!</definedName>
    <definedName name="NoPrimeOption_1">#REF!</definedName>
    <definedName name="NoPrimeOption_2">#REF!</definedName>
    <definedName name="NoPrimeOption_3">#REF!</definedName>
    <definedName name="NoPrimeOption_4">#REF!</definedName>
    <definedName name="NoPrimeOption_5">#REF!</definedName>
    <definedName name="NoPrimeOption_6">#REF!</definedName>
    <definedName name="NORTH_CENTRAL">[18]NORTHC!$A$13:$P$48</definedName>
    <definedName name="Note_Amount" localSheetId="5">#REF!</definedName>
    <definedName name="Note_Amount">#REF!</definedName>
    <definedName name="Note_Rate" localSheetId="5">#REF!</definedName>
    <definedName name="Note_Rate">#REF!</definedName>
    <definedName name="notebdebts" localSheetId="5">#REF!</definedName>
    <definedName name="notebdebts">#REF!</definedName>
    <definedName name="NoUnits">[46]Assumptions!$C$6</definedName>
    <definedName name="Num_IO_Months">[42]Inputs!$F$15</definedName>
    <definedName name="number_5BR_units">'[14]Rent Roll Analysis'!#REF!</definedName>
    <definedName name="number_doublewide">'[14]Rent Roll Analysis'!#REF!</definedName>
    <definedName name="number_singlewide">'[14]Rent Roll Analysis'!#REF!</definedName>
    <definedName name="NumMonths" localSheetId="5">#REF!</definedName>
    <definedName name="NumMonths">#REF!</definedName>
    <definedName name="OAK2003A">'[11]CFOAK 2003A Conso'!$A$1</definedName>
    <definedName name="OBLIGOR_NUMBER" localSheetId="5">#REF!</definedName>
    <definedName name="OBLIGOR_NUMBER">#REF!</definedName>
    <definedName name="OBLIGOR_RATING_FROM_MODEL" localSheetId="5">#REF!</definedName>
    <definedName name="OBLIGOR_RATING_FROM_MODEL">#REF!</definedName>
    <definedName name="OBLIGOR_RATING_PER_RM" localSheetId="5">#REF!</definedName>
    <definedName name="OBLIGOR_RATING_PER_RM">#REF!</definedName>
    <definedName name="occcost">#REF!</definedName>
    <definedName name="OF_YRS_OF_AMT_DURING_LOAN">#REF!</definedName>
    <definedName name="OFFICER_ID">#REF!</definedName>
    <definedName name="Old_Equity">#REF!</definedName>
    <definedName name="OMNI_OFFICE_PLU">[18]OMNI!$A$13:$P$47</definedName>
    <definedName name="ONE" localSheetId="5">#REF!</definedName>
    <definedName name="ONE">#REF!</definedName>
    <definedName name="ONELEGEND" localSheetId="5">#REF!</definedName>
    <definedName name="ONELEGEND">#REF!</definedName>
    <definedName name="openperiodterm" localSheetId="5">#REF!</definedName>
    <definedName name="openperiodterm">#REF!</definedName>
    <definedName name="OPT_BORDER">#REF!</definedName>
    <definedName name="OptionFeeAmount">#REF!</definedName>
    <definedName name="OPTIONS">#REF!</definedName>
    <definedName name="originating_correspondent">#REF!</definedName>
    <definedName name="other">[17]CAMINVBU!#REF!</definedName>
    <definedName name="Other_CostFactor" localSheetId="5">#REF!</definedName>
    <definedName name="Other_CostFactor">#REF!</definedName>
    <definedName name="Other_Gross_Revenue" localSheetId="5">#REF!</definedName>
    <definedName name="Other_Gross_Revenue">#REF!</definedName>
    <definedName name="Outstanding_1" localSheetId="5">#REF!</definedName>
    <definedName name="Outstanding_1">#REF!</definedName>
    <definedName name="Outstanding_2">#REF!</definedName>
    <definedName name="Outstanding_3">#REF!</definedName>
    <definedName name="Outstanding_4">#REF!</definedName>
    <definedName name="Outstanding_5">#REF!</definedName>
    <definedName name="Outstanding_6">#REF!</definedName>
    <definedName name="Overhead_Facility_1">#REF!</definedName>
    <definedName name="Overhead_Facility_2">#REF!</definedName>
    <definedName name="Overhead_Facility_3">#REF!</definedName>
    <definedName name="Overhead_Facility_4">#REF!</definedName>
    <definedName name="Overhead_Facility_5">#REF!</definedName>
    <definedName name="Overhead_Facility_6">#REF!</definedName>
    <definedName name="PACIFIC">#REF!</definedName>
    <definedName name="page1">'[2]5CM95'!#REF!</definedName>
    <definedName name="page2" localSheetId="5">#REF!</definedName>
    <definedName name="page2">#REF!</definedName>
    <definedName name="PAID_PRESCRIP">[18]PAIDP!$A$13:$P$49</definedName>
    <definedName name="PandLSummaryPrint" localSheetId="5">#REF!</definedName>
    <definedName name="PandLSummaryPrint">#REF!</definedName>
    <definedName name="parklot">[17]CAMINVBU!#REF!</definedName>
    <definedName name="PARTICIPATION_" localSheetId="5">#REF!</definedName>
    <definedName name="PARTICIPATION_">#REF!</definedName>
    <definedName name="PARTICIPATION_BASE" localSheetId="5">#REF!</definedName>
    <definedName name="PARTICIPATION_BASE">#REF!</definedName>
    <definedName name="Payment" localSheetId="5">#REF!</definedName>
    <definedName name="Payment">#REF!</definedName>
    <definedName name="payment.Num" localSheetId="5">IF(OR(#REF!="",#REF!='Comparison to Other'!Total_payments),"",#REF!+1)</definedName>
    <definedName name="payment.Num">IF(OR(#REF!="",#REF!=[39]!Total_payments),"",#REF!+1)</definedName>
    <definedName name="Payment_Actual">#REF!</definedName>
    <definedName name="Payment_freq_1">#REF!</definedName>
    <definedName name="Payment_freq_2">#REF!</definedName>
    <definedName name="Payment_freq_3">#REF!</definedName>
    <definedName name="Payment_freq_4">#REF!</definedName>
    <definedName name="Payment_freq_5">#REF!</definedName>
    <definedName name="Payment_freq_6">#REF!</definedName>
    <definedName name="Payment_IO">#REF!</definedName>
    <definedName name="Payment_Schedule_1">#REF!</definedName>
    <definedName name="Payment_Schedule_1D">#REF!</definedName>
    <definedName name="Payment_Schedule_2">#REF!</definedName>
    <definedName name="Payment_Schedule_2D">#REF!</definedName>
    <definedName name="Payment_Schedule_3">#REF!</definedName>
    <definedName name="Payment_Schedule_3D">#REF!</definedName>
    <definedName name="Payment_schedule_4">#REF!</definedName>
    <definedName name="Payment_Schedule_4D">#REF!</definedName>
    <definedName name="Payment_Schedule_5">#REF!</definedName>
    <definedName name="Payment_Schedule_5D">#REF!</definedName>
    <definedName name="Payment_Schedule_6">#REF!</definedName>
    <definedName name="Payment_Schedule_6D">#REF!</definedName>
    <definedName name="Payments_per_year">#REF!</definedName>
    <definedName name="PBK">#REF!</definedName>
    <definedName name="PBL2003A">'[11]CFPBL 2003A Consol'!$A$1</definedName>
    <definedName name="PENALTY" localSheetId="5">#REF!</definedName>
    <definedName name="PENALTY">#REF!</definedName>
    <definedName name="PER_02_05">'[3]AVI-JV-PROFORMA'!#REF!</definedName>
    <definedName name="PER_94">'[3]AVI-JV-PROFORMA'!#REF!</definedName>
    <definedName name="PER_95" localSheetId="5">#REF!</definedName>
    <definedName name="PER_95">#REF!</definedName>
    <definedName name="PER_96" localSheetId="5">#REF!</definedName>
    <definedName name="PER_96">#REF!</definedName>
    <definedName name="PER_97_01" localSheetId="5">'[3]AVI-JV-PROFORMA'!#REF!</definedName>
    <definedName name="PER_97_01">'[3]AVI-JV-PROFORMA'!#REF!</definedName>
    <definedName name="PER_SGI" localSheetId="5">'[3]AVI-JV-PROFORMA'!#REF!</definedName>
    <definedName name="PER_SGI">'[3]AVI-JV-PROFORMA'!#REF!</definedName>
    <definedName name="Period" localSheetId="5">#REF!</definedName>
    <definedName name="Period">#REF!</definedName>
    <definedName name="Periodic_rate" localSheetId="5">'Comparison to Other'!Annual_interest_rate/[39]!Payments_per_year</definedName>
    <definedName name="Periodic_rate">[39]!Annual_interest_rate/[39]!Payments_per_year</definedName>
    <definedName name="permarm">[15]Assumptions!$F$148</definedName>
    <definedName name="permcreditspread">[15]Assumptions!$F$147</definedName>
    <definedName name="permdscr">[15]Assumptions!$F$145</definedName>
    <definedName name="permloan">'[15]sources &amp; uses'!$M$21</definedName>
    <definedName name="permloanfee">[15]Assumptions!$C$142</definedName>
    <definedName name="permrate">[15]Assumptions!$F$146</definedName>
    <definedName name="pfmanfee">'[11]2004B Assumptions'!$F$8</definedName>
    <definedName name="pfmarketexp">'[11]2004B Assumptions'!$F$6</definedName>
    <definedName name="pfmarketexpfs">'[11]2004B Assumptions'!$F$7</definedName>
    <definedName name="pfstabilization">'[11]2004B Assumptions'!$F$5</definedName>
    <definedName name="Picture">INDIRECT('[47]92329'!#REF!)</definedName>
    <definedName name="PID" localSheetId="5">#REF!</definedName>
    <definedName name="PID">#REF!</definedName>
    <definedName name="PierOne_Rent">#REF!</definedName>
    <definedName name="PierOne_SF">#REF!</definedName>
    <definedName name="Pilot">#REF!</definedName>
    <definedName name="Pilotgrade_1">#REF!</definedName>
    <definedName name="Pilotgrade_2">#REF!</definedName>
    <definedName name="pilotgrade_3">#REF!</definedName>
    <definedName name="pilotgrade_4">#REF!</definedName>
    <definedName name="pilotgrade_5">#REF!</definedName>
    <definedName name="pilotgrade_6">#REF!</definedName>
    <definedName name="Place_CashBasis">#REF!</definedName>
    <definedName name="Place_CostFactor">#REF!</definedName>
    <definedName name="Place_CRISP_REV">#REF!</definedName>
    <definedName name="Place_FASB">#REF!</definedName>
    <definedName name="Place_Gross_REV">#REF!</definedName>
    <definedName name="Place_Net_REV">#REF!</definedName>
    <definedName name="Place_Term">#REF!</definedName>
    <definedName name="PlanSummaryPrint">#REF!</definedName>
    <definedName name="PMT">#REF!</definedName>
    <definedName name="Pmt_to_use">#REF!</definedName>
    <definedName name="pmta">#REF!</definedName>
    <definedName name="PMTConstant">#REF!</definedName>
    <definedName name="PP_Approval">#REF!</definedName>
    <definedName name="pr">#REF!</definedName>
    <definedName name="Pre_Tax_Keis_Equity_Crd">#REF!</definedName>
    <definedName name="PREFRETURN">[15]Assumptions!$G$23</definedName>
    <definedName name="PrePay_NewLoans_1" localSheetId="5">#REF!</definedName>
    <definedName name="PrePay_NewLoans_1">#REF!</definedName>
    <definedName name="PrePay_NewLoans_2" localSheetId="5">#REF!</definedName>
    <definedName name="PrePay_NewLoans_2">#REF!</definedName>
    <definedName name="PrePay_NewLoans_3" localSheetId="5">#REF!</definedName>
    <definedName name="PrePay_NewLoans_3">#REF!</definedName>
    <definedName name="PrePay_NewLoans_4">#REF!</definedName>
    <definedName name="PrePay_NewLoans_5">#REF!</definedName>
    <definedName name="PrePay_NewLoans_6">#REF!</definedName>
    <definedName name="Prepayment_charge_table">#REF!</definedName>
    <definedName name="Prepayment_Penalty_Factor_1">#REF!</definedName>
    <definedName name="Prepayment_Penalty_Factor_2">#REF!</definedName>
    <definedName name="Prepayment_Penalty_Factor_3">#REF!</definedName>
    <definedName name="Prepayment_Penalty_Factor_4">#REF!</definedName>
    <definedName name="Prepayment_Penalty_Factor_5">#REF!</definedName>
    <definedName name="Prepayment_Penalty_Factor_6">#REF!</definedName>
    <definedName name="prepaymentstring">#REF!</definedName>
    <definedName name="PreTaxIncome_CASH">#REF!</definedName>
    <definedName name="PreTaxIncome_FASB">#REF!</definedName>
    <definedName name="PREWO">#REF!</definedName>
    <definedName name="PRICE">#REF!</definedName>
    <definedName name="PRICE1">#REF!</definedName>
    <definedName name="PricingWAL_1">#REF!</definedName>
    <definedName name="PricingWAL_2">#REF!</definedName>
    <definedName name="PricingWAL_3">#REF!</definedName>
    <definedName name="PricingWAL_4">#REF!</definedName>
    <definedName name="PricingWAL_5">#REF!</definedName>
    <definedName name="PricingWAL_6">#REF!</definedName>
    <definedName name="primeminus_1">#REF!</definedName>
    <definedName name="primeminus_2">#REF!</definedName>
    <definedName name="primeminus_3">#REF!</definedName>
    <definedName name="primeminus_4">#REF!</definedName>
    <definedName name="primeminus_5">#REF!</definedName>
    <definedName name="primeminus_6">#REF!</definedName>
    <definedName name="PRIMEOPTION_Yes_NO_1">#REF!</definedName>
    <definedName name="PRIMEOPTION_Yes_NO_2">#REF!</definedName>
    <definedName name="PRIMEOPTION_Yes_NO_3">#REF!</definedName>
    <definedName name="PRIMEOPTION_Yes_NO_4">#REF!</definedName>
    <definedName name="PRIMEOPTION_Yes_NO_5">#REF!</definedName>
    <definedName name="PRIMEOPTION_Yes_NO_6">#REF!</definedName>
    <definedName name="PRIMESPREAD_1">#REF!</definedName>
    <definedName name="PRIMESPREAD_2">#REF!</definedName>
    <definedName name="PRIMESPREAD_3">#REF!</definedName>
    <definedName name="PRIMESPREAD_4">#REF!</definedName>
    <definedName name="PRIMESPREAD_5">#REF!</definedName>
    <definedName name="PRIMESPREAD_6">#REF!</definedName>
    <definedName name="Principal" localSheetId="5">IF(#REF!&lt;&gt;"",MIN(#REF!,[39]!Pmt_to_use-#REF!),"")</definedName>
    <definedName name="Principal">IF(#REF!&lt;&gt;"",MIN(#REF!,[39]!Pmt_to_use-#REF!),"")</definedName>
    <definedName name="principal_comment">#REF!</definedName>
    <definedName name="Print">#REF!</definedName>
    <definedName name="PRINT_2">#N/A</definedName>
    <definedName name="PRINT_3">#N/A</definedName>
    <definedName name="PRINT_A">#N/A</definedName>
    <definedName name="_xlnm.Print_Area" localSheetId="5">'Comparison to Other'!$A$1:$K$29</definedName>
    <definedName name="_xlnm.Print_Area" localSheetId="4">'Comparison to Previous'!$A$1:$AB$314</definedName>
    <definedName name="_xlnm.Print_Area" localSheetId="7">'Comparison to Previous (Match)'!$A$1:$Y$330</definedName>
    <definedName name="_xlnm.Print_Area" localSheetId="3">'LEVEL 2 (Match)'!$A$1:$W$330</definedName>
    <definedName name="_xlnm.Print_Area" localSheetId="2">'LEVEL 3'!$A$1:$W$335</definedName>
    <definedName name="_xlnm.Print_Area" localSheetId="0">'Scenario 1 - Phase 1'!$A$1:$V$326</definedName>
    <definedName name="_xlnm.Print_Area">#REF!</definedName>
    <definedName name="PRINT_AREA_MI" localSheetId="5">#REF!</definedName>
    <definedName name="PRINT_AREA_MI">#REF!</definedName>
    <definedName name="Print_Area2" localSheetId="5">#REF!</definedName>
    <definedName name="Print_Area2">#REF!</definedName>
    <definedName name="PRINT_BCCAM">#N/A</definedName>
    <definedName name="PRINT_BCINS">#N/A</definedName>
    <definedName name="PRINT_BCMR">#N/A</definedName>
    <definedName name="PRINT_BCPR">#N/A</definedName>
    <definedName name="PRINT_BCTAX">#N/A</definedName>
    <definedName name="PRINT_D">#N/A</definedName>
    <definedName name="PRINT_DETAILS">#N/A</definedName>
    <definedName name="PRINT_EDET">#N/A</definedName>
    <definedName name="PRINT_ESUM">#N/A</definedName>
    <definedName name="PRINT_EXPENSES">#N/A</definedName>
    <definedName name="PRINT_EXPS">#N/A</definedName>
    <definedName name="PRINT_F">#N/A</definedName>
    <definedName name="PRINT_GDET">#N/A</definedName>
    <definedName name="PRINT_GSUM">#N/A</definedName>
    <definedName name="PRINT_HDET">#N/A</definedName>
    <definedName name="PRINT_HSUM">#N/A</definedName>
    <definedName name="PRINT_IDET">#N/A</definedName>
    <definedName name="PRINT_ISUM">#N/A</definedName>
    <definedName name="PRINT_J">#N/A</definedName>
    <definedName name="PRINT_MARKETING">#N/A</definedName>
    <definedName name="PRINT_MKTG">#N/A</definedName>
    <definedName name="PRINT_OCCUPANAL">#N/A</definedName>
    <definedName name="PRINT_OCCUPANCY">#N/A</definedName>
    <definedName name="PRINT_RATES">#N/A</definedName>
    <definedName name="PRINT_RECRATES">#N/A</definedName>
    <definedName name="PRINT_REV">#N/A</definedName>
    <definedName name="PRINT_REVENUES">#N/A</definedName>
    <definedName name="PRINT_TITLE_MD">#REF!</definedName>
    <definedName name="_xlnm.Print_Titles" localSheetId="4">'Comparison to Previous'!$1:$19</definedName>
    <definedName name="_xlnm.Print_Titles" localSheetId="7">'Comparison to Previous (Match)'!$1:$19</definedName>
    <definedName name="_xlnm.Print_Titles" localSheetId="2">'LEVEL 3'!$19:$19</definedName>
    <definedName name="_xlnm.Print_Titles">#N/A</definedName>
    <definedName name="PRINT_TITLES_MI">#REF!</definedName>
    <definedName name="PRINT_UTIL">#N/A</definedName>
    <definedName name="PrintTitles">#REF!</definedName>
    <definedName name="Private_Bkg">#REF!</definedName>
    <definedName name="Private_Bkg_Inv">#REF!</definedName>
    <definedName name="proceeds">#REF!</definedName>
    <definedName name="profit">#REF!</definedName>
    <definedName name="ProfitProformaSummaryPrint">#REF!</definedName>
    <definedName name="ProformaNOI">#REF!</definedName>
    <definedName name="proformaoccupancy">[37]Underwriting!#REF!</definedName>
    <definedName name="ProFormaPrint">"Macro1"</definedName>
    <definedName name="ProformaStartDate">[15]Assumptions!$C$13</definedName>
    <definedName name="project">[48]Assumptions!$AA$3</definedName>
    <definedName name="Project_City">[38]Checklist!$C$25</definedName>
    <definedName name="Project_County">'[38]@Salient Data Sheet'!$B$24</definedName>
    <definedName name="Project_Name">[38]Checklist!$A$22</definedName>
    <definedName name="Project_State">[38]Checklist!$C$26</definedName>
    <definedName name="Project_Street_Name">[38]Checklist!$C$24</definedName>
    <definedName name="Project_Street_Number">[38]Checklist!$A$24</definedName>
    <definedName name="Project_Zip">'[38]@Salient Data Sheet'!$B$26</definedName>
    <definedName name="ProjectCost">'[49]sources &amp; uses'!$F$46</definedName>
    <definedName name="ProjectDuration">[50]Formulas!$E$71</definedName>
    <definedName name="Projections">'[51] CF Analysis'!$A$3:$I$71</definedName>
    <definedName name="ProjectName">[15]Assumptions!$C$5</definedName>
    <definedName name="ProLFBRng1" localSheetId="5">#REF!</definedName>
    <definedName name="ProLFBRng1">#REF!</definedName>
    <definedName name="ProLFBRng10" localSheetId="5">#REF!</definedName>
    <definedName name="ProLFBRng10">#REF!</definedName>
    <definedName name="ProLFBRng11" localSheetId="5">#REF!</definedName>
    <definedName name="ProLFBRng11">#REF!</definedName>
    <definedName name="ProLFBRng12">#REF!</definedName>
    <definedName name="ProLFBRng13">#REF!</definedName>
    <definedName name="ProLFBRng14">#REF!</definedName>
    <definedName name="ProLFBRng15">#REF!</definedName>
    <definedName name="ProLFBRng16">#REF!</definedName>
    <definedName name="ProLFBRng17">#REF!</definedName>
    <definedName name="ProLFBRng18">#REF!</definedName>
    <definedName name="ProLFBRng19">#REF!</definedName>
    <definedName name="ProLFBRng2">#REF!</definedName>
    <definedName name="ProLFBRng20">#REF!</definedName>
    <definedName name="ProLFBRng21">#REF!</definedName>
    <definedName name="ProLFBRng22">#REF!</definedName>
    <definedName name="ProLFBRng23">#REF!</definedName>
    <definedName name="ProLFBRng24">#REF!</definedName>
    <definedName name="ProLFBRng25">#REF!</definedName>
    <definedName name="ProLFBRng26">#REF!</definedName>
    <definedName name="ProLFBRng27">#REF!</definedName>
    <definedName name="ProLFBRng28">#REF!</definedName>
    <definedName name="ProLFBRng29">#REF!</definedName>
    <definedName name="ProLFBRng3">#REF!</definedName>
    <definedName name="ProLFBRng30">#REF!</definedName>
    <definedName name="ProLFBRng31">#REF!</definedName>
    <definedName name="ProLFBRng32">#REF!</definedName>
    <definedName name="ProLFBRng33">#REF!</definedName>
    <definedName name="ProLFBRng34">#REF!</definedName>
    <definedName name="ProLFBRng35">#REF!</definedName>
    <definedName name="ProLFBRng36">#REF!</definedName>
    <definedName name="ProLFBRng37">#REF!</definedName>
    <definedName name="ProLFBRng38">#REF!</definedName>
    <definedName name="ProLFBRng39">#REF!</definedName>
    <definedName name="ProLFBRng4">#REF!</definedName>
    <definedName name="ProLFBRng40">#REF!</definedName>
    <definedName name="ProLFBRng5">#REF!</definedName>
    <definedName name="ProLFBRng6">#REF!</definedName>
    <definedName name="ProLFBRng7">#REF!</definedName>
    <definedName name="ProLFBRng8">#REF!</definedName>
    <definedName name="ProLFBRng9">#REF!</definedName>
    <definedName name="property_description">#REF!</definedName>
    <definedName name="Property_taxes_increase">'[3]AVI-JV-PROFORMA'!#REF!</definedName>
    <definedName name="propertyname">'[14]Loan Information'!$C$13</definedName>
    <definedName name="propertysubtype">'[14]Loan Information'!$F$12</definedName>
    <definedName name="propertytype" localSheetId="5">#REF!</definedName>
    <definedName name="propertytype">#REF!</definedName>
    <definedName name="PropName" localSheetId="5">#REF!</definedName>
    <definedName name="PropName">#REF!</definedName>
    <definedName name="PropTaxRate" localSheetId="5">[10]Assumptions!#REF!</definedName>
    <definedName name="PropTaxRate">[10]Assumptions!#REF!</definedName>
    <definedName name="prtaxes" localSheetId="5">[17]CAMINVBU!#REF!</definedName>
    <definedName name="prtaxes">[17]CAMINVBU!#REF!</definedName>
    <definedName name="PRUDENTIAL" localSheetId="5">#REF!</definedName>
    <definedName name="PRUDENTIAL">#REF!</definedName>
    <definedName name="PUB2003A">'[11]CFPUB 2003A Consol'!$A$1</definedName>
    <definedName name="Public_Sector">#REF!</definedName>
    <definedName name="PURPOSE">[15]Assumptions!$B$24</definedName>
    <definedName name="RACF_ID" localSheetId="5">#REF!</definedName>
    <definedName name="RACF_ID">#REF!</definedName>
    <definedName name="RaContractorrOtherFeeDesc">'[35]Gen Reqs Breakdown'!#REF!</definedName>
    <definedName name="Ralphs_rent" localSheetId="5">#REF!</definedName>
    <definedName name="Ralphs_rent">#REF!</definedName>
    <definedName name="Ralphs_SF" localSheetId="5">#REF!</definedName>
    <definedName name="Ralphs_SF">#REF!</definedName>
    <definedName name="randm" localSheetId="5">[17]CAMINVBU!#REF!</definedName>
    <definedName name="randm">[17]CAMINVBU!#REF!</definedName>
    <definedName name="RAROC_1" localSheetId="5">#REF!</definedName>
    <definedName name="RAROC_1">#REF!</definedName>
    <definedName name="RAROC_2" localSheetId="5">#REF!</definedName>
    <definedName name="RAROC_2">#REF!</definedName>
    <definedName name="RAROC_3" localSheetId="5">#REF!</definedName>
    <definedName name="RAROC_3">#REF!</definedName>
    <definedName name="RAROC_4">#REF!</definedName>
    <definedName name="RAROC_5">#REF!</definedName>
    <definedName name="RAROC_6">#REF!</definedName>
    <definedName name="RATE">#REF!</definedName>
    <definedName name="Rate_Adj_1">#REF!</definedName>
    <definedName name="Rate_Adj_2">#REF!</definedName>
    <definedName name="Rate_Adj_3">#REF!</definedName>
    <definedName name="Rate_Adj_4">#REF!</definedName>
    <definedName name="Rate_Adj_5">#REF!</definedName>
    <definedName name="Rate_Adj_6">#REF!</definedName>
    <definedName name="Rate_buydown_for_yield">#REF!</definedName>
    <definedName name="rate2">#REF!</definedName>
    <definedName name="ratea">#REF!</definedName>
    <definedName name="rateb">#REF!</definedName>
    <definedName name="ratelast">#REF!</definedName>
    <definedName name="Ratelockdate">#REF!</definedName>
    <definedName name="RATES">[19]MVC96!#REF!</definedName>
    <definedName name="Rating" localSheetId="5">#REF!</definedName>
    <definedName name="Rating">#REF!</definedName>
    <definedName name="Recoveries" localSheetId="5">#REF!</definedName>
    <definedName name="Recoveries">#REF!</definedName>
    <definedName name="Recovery_Rate" localSheetId="5">#REF!</definedName>
    <definedName name="Recovery_Rate">#REF!</definedName>
    <definedName name="reference_Month">#REF!</definedName>
    <definedName name="RefiDS">[7]AMORT!$T$6</definedName>
    <definedName name="regulated" localSheetId="5">#REF!</definedName>
    <definedName name="regulated">#REF!</definedName>
    <definedName name="Reinvest_Rate">[13]Assumptions!$G$164</definedName>
    <definedName name="Rel_Min_Hurdle" localSheetId="5">#REF!</definedName>
    <definedName name="Rel_Min_Hurdle">#REF!</definedName>
    <definedName name="Rel_Overhead" localSheetId="5">#REF!</definedName>
    <definedName name="Rel_Overhead">#REF!</definedName>
    <definedName name="Rel_Target_Hurdle" localSheetId="5">#REF!</definedName>
    <definedName name="Rel_Target_Hurdle">#REF!</definedName>
    <definedName name="Relationship_Grade">#REF!</definedName>
    <definedName name="RelationshipROE_1">#REF!</definedName>
    <definedName name="RelationshipROE_2">#REF!</definedName>
    <definedName name="RelationshipROE_3">#REF!</definedName>
    <definedName name="RelationshipROE_4">#REF!</definedName>
    <definedName name="RelationshipROE_5">#REF!</definedName>
    <definedName name="RelationshipROE_6">#REF!</definedName>
    <definedName name="RemarketingFees_GrossRev">#REF!</definedName>
    <definedName name="rent">#REF!</definedName>
    <definedName name="Rent.Roll" localSheetId="5">IF('[52]Amortization Table'!XET1048563&lt;&gt;"",DATE(YEAR('Comparison to Other'!First_payment_due),MONTH('Comparison to Other'!First_payment_due)+('[52]Amortization Table'!XET1048563-1)*12/[39]!Payments_per_year,DAY('Comparison to Other'!First_payment_due)),"")</definedName>
    <definedName name="Rent.Roll">IF('[52]Amortization Table'!XET1048563&lt;&gt;"",DATE(YEAR([39]!First_payment_due),MONTH([39]!First_payment_due)+('[52]Amortization Table'!XET1048563-1)*12/[39]!Payments_per_year,DAY([39]!First_payment_due)),"")</definedName>
    <definedName name="RENT_EXPENSE_ADJUSTMENT">'[3]AVI-JV-PROFORMA'!#REF!</definedName>
    <definedName name="rent2000" localSheetId="5">#REF!</definedName>
    <definedName name="rent2000">#REF!</definedName>
    <definedName name="rent2001" localSheetId="5">#REF!</definedName>
    <definedName name="rent2001">#REF!</definedName>
    <definedName name="rentbasedate">'[15]income stmt yr0'!$B$9</definedName>
    <definedName name="rentgrowth2">[10]Assumptions!#REF!</definedName>
    <definedName name="rentroll" localSheetId="5">IF(#REF!&lt;&gt;"",#REF!*'Comparison to Other'!Periodic_rate,"")</definedName>
    <definedName name="rentroll">IF(#REF!&lt;&gt;"",#REF!*[39]!Periodic_rate,"")</definedName>
    <definedName name="REPORT">#REF!</definedName>
    <definedName name="ReportedLiquidityChg_1">#REF!</definedName>
    <definedName name="ReportedLiquidityChg_2">#REF!</definedName>
    <definedName name="ReportedLiquidityChg_3">#REF!</definedName>
    <definedName name="ReportedLiquidityChg_4">#REF!</definedName>
    <definedName name="ReportedLiquidityChg_5">#REF!</definedName>
    <definedName name="ReportedLiquidityChg_6">#REF!</definedName>
    <definedName name="ReportedLiquidityCredit_1">#REF!</definedName>
    <definedName name="ReportedLiquidityCredit_2">#REF!</definedName>
    <definedName name="ReportedLiquidityCredit_3">#REF!</definedName>
    <definedName name="ReportedLiquidityCredit_4">#REF!</definedName>
    <definedName name="ReportedLiquidityCredit_5">#REF!</definedName>
    <definedName name="ReportedLiquidityCredit_6">#REF!</definedName>
    <definedName name="Reposweep">#REF!</definedName>
    <definedName name="Repurchase_Agrmt">#REF!</definedName>
    <definedName name="Req_Usage_Rate_1">#REF!</definedName>
    <definedName name="Req_Usage_Rate_2">#REF!</definedName>
    <definedName name="Req_Usage_Rate_3">#REF!</definedName>
    <definedName name="Req_Usage_Rate_4">#REF!</definedName>
    <definedName name="Req_Usage_Rate_5">#REF!</definedName>
    <definedName name="Req_Usage_Rate_6">#REF!</definedName>
    <definedName name="reserve">#REF!</definedName>
    <definedName name="Residential">#N/A</definedName>
    <definedName name="ResidentialRE">#REF!</definedName>
    <definedName name="RETURN">#REF!</definedName>
    <definedName name="rev">#REF!</definedName>
    <definedName name="Reviewed_by">#REF!</definedName>
    <definedName name="RevInflation">[4]Assumptions!$G$73</definedName>
    <definedName name="rewqrewqrew">[29]Site!$D$189</definedName>
    <definedName name="rewqrewqrewqrewq">[29]Site!$D$252</definedName>
    <definedName name="rfgdf" localSheetId="5">(VLOOKUP(Grade_3,'Comparison to Other'!fnjh,2))</definedName>
    <definedName name="rfgdf">(VLOOKUP(Grade_3,fnjh,2))</definedName>
    <definedName name="rgaaaa" localSheetId="5">#REF!</definedName>
    <definedName name="rgaaaa">#REF!</definedName>
    <definedName name="rgag" localSheetId="5">#REF!</definedName>
    <definedName name="rgag">#REF!</definedName>
    <definedName name="rgaga" localSheetId="5">#REF!</definedName>
    <definedName name="rgaga">#REF!</definedName>
    <definedName name="rgargaagrge">#REF!</definedName>
    <definedName name="rggaea">#REF!</definedName>
    <definedName name="rgggaa">#REF!</definedName>
    <definedName name="rgtrg">#REF!</definedName>
    <definedName name="RiskCalc_lookup">#REF!</definedName>
    <definedName name="RiskCalc_SCORE">#REF!</definedName>
    <definedName name="RJSTEICHEN">#REF!</definedName>
    <definedName name="RM">#REF!</definedName>
    <definedName name="ROE_STATUS">#REF!</definedName>
    <definedName name="ROITENBERG">#REF!</definedName>
    <definedName name="Rollover_answer">#REF!</definedName>
    <definedName name="romanos">#REF!</definedName>
    <definedName name="RoughGradingCont">[10]Assumptions!#REF!</definedName>
    <definedName name="roy" localSheetId="5">#REF!</definedName>
    <definedName name="roy">#REF!</definedName>
    <definedName name="RR" localSheetId="5">#REF!</definedName>
    <definedName name="RR">#REF!</definedName>
    <definedName name="RR_BORDER" localSheetId="5">#REF!</definedName>
    <definedName name="RR_BORDER">#REF!</definedName>
    <definedName name="ruby">#REF!</definedName>
    <definedName name="rvac">#REF!</definedName>
    <definedName name="RVACANCY">#REF!</definedName>
    <definedName name="Rwvu.ALL." hidden="1">'[6]SCHEDULE B+C'!$DF$1:$DG$65536,'[6]SCHEDULE B+C'!$DK$1:$DK$65536</definedName>
    <definedName name="Rwvu.CAM._.RATES." localSheetId="5" hidden="1">#REF!,#REF!,#REF!</definedName>
    <definedName name="Rwvu.CAM._.RATES." hidden="1">#REF!,#REF!,#REF!</definedName>
    <definedName name="Rwvu.CAM._.RECOVERIES." hidden="1">'[6]SCHEDULE B+C'!$B$1:$C$65536,'[6]SCHEDULE B+C'!$E$1:$BH$65536,'[6]SCHEDULE B+C'!$BX$1:$DM$65536</definedName>
    <definedName name="Rwvu.CAM._.RECOVERY." localSheetId="5" hidden="1">#REF!,#REF!,#REF!</definedName>
    <definedName name="Rwvu.CAM._.RECOVERY." hidden="1">#REF!,#REF!,#REF!</definedName>
    <definedName name="Rwvu.CAM._.TABLE." hidden="1">'[6]SCHEDULE B+C'!$B$1:$C$65536,'[6]SCHEDULE B+C'!$E$1:$BH$65536,'[6]SCHEDULE B+C'!$BX$1:$DM$65536</definedName>
    <definedName name="Rwvu.INSURANCE._.RECOVERIES." hidden="1">'[6]SCHEDULE B+C'!$B$1:$C$65536,'[6]SCHEDULE B+C'!$E$1:$BH$65536,'[6]SCHEDULE B+C'!$BJ$1:$CK$65536,'[6]SCHEDULE B+C'!$CZ$1:$EP$65536</definedName>
    <definedName name="Rwvu.LSMEET." localSheetId="5" hidden="1">#REF!,#REF!,#REF!,#REF!</definedName>
    <definedName name="Rwvu.LSMEET." hidden="1">#REF!,#REF!,#REF!,#REF!</definedName>
    <definedName name="Rwvu.MARKETING._.REVENUE." hidden="1">#REF!,#REF!,#REF!</definedName>
    <definedName name="Rwvu.MINIMUM._.RENT." hidden="1">'[6]SCHEDULE B+C'!$B$1:$C$65536,'[6]SCHEDULE B+C'!$X$1:$DL$65536</definedName>
    <definedName name="Rwvu.OCCUPANCY." localSheetId="5" hidden="1">#REF!,#REF!,#REF!</definedName>
    <definedName name="Rwvu.OCCUPANCY." hidden="1">#REF!,#REF!,#REF!</definedName>
    <definedName name="Rwvu.OCCUPANCY._.ANALYSIS." hidden="1">'[6]SCHEDULE B+C'!$B$1:$C$65536,'[6]SCHEDULE B+C'!$H$1:$AV$65536,'[6]SCHEDULE B+C'!$BJ$1:$FG$65536</definedName>
    <definedName name="Rwvu.PERCENTAGE._.RENT." hidden="1">'[6]SCHEDULE B+C'!$B$1:$C$65536,'[6]SCHEDULE B+C'!$E$1:$W$65536,'[6]SCHEDULE B+C'!$AW$1:$DL$65536</definedName>
    <definedName name="Rwvu.TAX._.RATES." localSheetId="5" hidden="1">#REF!,#REF!,#REF!</definedName>
    <definedName name="Rwvu.TAX._.RATES." hidden="1">#REF!,#REF!,#REF!</definedName>
    <definedName name="Rwvu.TAX._.RECOVERIES." hidden="1">'[6]SCHEDULE B+C'!$B$1:$C$65536,'[6]SCHEDULE B+C'!$E$1:$BH$65536,'[6]SCHEDULE B+C'!$BJ$1:$BW$65536,'[6]SCHEDULE B+C'!$CL$1:$EY$65536</definedName>
    <definedName name="Rwvu.TAX._.RECOVERY." localSheetId="5" hidden="1">#REF!,#REF!,#REF!</definedName>
    <definedName name="Rwvu.TAX._.RECOVERY." hidden="1">#REF!,#REF!,#REF!</definedName>
    <definedName name="Rwvu.WAT." hidden="1">#REF!</definedName>
    <definedName name="sale">#REF!</definedName>
    <definedName name="SALE_PER" localSheetId="5">'[3]AVI-JV-PROFORMA'!#REF!</definedName>
    <definedName name="SALE_PER">'[3]AVI-JV-PROFORMA'!#REF!</definedName>
    <definedName name="SaleCap">[13]Assumptions!$C$165</definedName>
    <definedName name="saledays" localSheetId="5">#REF!</definedName>
    <definedName name="saledays">#REF!</definedName>
    <definedName name="SALES_PERIOD" localSheetId="5">#REF!</definedName>
    <definedName name="SALES_PERIOD">#REF!</definedName>
    <definedName name="SALES_TEAM" localSheetId="5">#REF!</definedName>
    <definedName name="SALES_TEAM">#REF!</definedName>
    <definedName name="SalesRevInflationPerHome">[50]Formulas!$E$349</definedName>
    <definedName name="SalesTaxPrecentage">'[35]Master2328-All Improvements'!#REF!</definedName>
    <definedName name="SaleYear">[15]Assumptions!$C$168</definedName>
    <definedName name="Sample1">[53]Template!#REF!</definedName>
    <definedName name="sas">#REF!</definedName>
    <definedName name="SAVANNAH">#REF!</definedName>
    <definedName name="Savings">#REF!</definedName>
    <definedName name="SBLCPricing_1">#REF!</definedName>
    <definedName name="SBLCPricing_2">#REF!</definedName>
    <definedName name="SBLCPricing_3">#REF!</definedName>
    <definedName name="SBLCPricing_4">#REF!</definedName>
    <definedName name="SBLCPricing_5">#REF!</definedName>
    <definedName name="SBLCPricing_6">#REF!</definedName>
    <definedName name="Scenario">[15]Assumptions!$F$14</definedName>
    <definedName name="ScenarioDescription">[22]Assumptions!$F$14</definedName>
    <definedName name="Scurve_dist" localSheetId="5">#REF!</definedName>
    <definedName name="Scurve_dist">#REF!</definedName>
    <definedName name="SE_1" localSheetId="5">#REF!</definedName>
    <definedName name="SE_1">#REF!</definedName>
    <definedName name="SE_2" localSheetId="5">#REF!</definedName>
    <definedName name="SE_2">#REF!</definedName>
    <definedName name="SE_3">#REF!</definedName>
    <definedName name="SE_4">#REF!</definedName>
    <definedName name="SE_5">#REF!</definedName>
    <definedName name="SE_6">#REF!</definedName>
    <definedName name="SE_7">#REF!</definedName>
    <definedName name="secsal">[17]CAMINVBU!#REF!</definedName>
    <definedName name="Section_of_Act" localSheetId="5">#REF!</definedName>
    <definedName name="Section_of_Act">#REF!</definedName>
    <definedName name="SecuritiesLending_Gross" localSheetId="5">#REF!</definedName>
    <definedName name="SecuritiesLending_Gross">#REF!</definedName>
    <definedName name="Select_LOB" localSheetId="5">#REF!</definedName>
    <definedName name="Select_LOB">#REF!</definedName>
    <definedName name="Semiannual_netyield">#REF!</definedName>
    <definedName name="sencount" hidden="1">1</definedName>
    <definedName name="Sensitivity1Print">#REF!</definedName>
    <definedName name="Sensitivity2Print">#REF!</definedName>
    <definedName name="SensitivityDataPart1Tables">#REF!</definedName>
    <definedName name="SensitivityDataPart2Tables">#REF!</definedName>
    <definedName name="SensitivityDataTables">#REF!</definedName>
    <definedName name="SensitivityPart1Tables">[4]Assumptions!#REF!</definedName>
    <definedName name="SensitivityPart2Tables">[4]Assumptions!#REF!</definedName>
    <definedName name="SensitivityTables">[4]Assumptions!#REF!</definedName>
    <definedName name="serv">#N/A</definedName>
    <definedName name="servicefee">#REF!</definedName>
    <definedName name="servicing_correspondent">#REF!</definedName>
    <definedName name="SF">#REF!</definedName>
    <definedName name="sfdgfsdg">[9]A!$A$193:$Q$241</definedName>
    <definedName name="SFRATE" localSheetId="5">#REF!</definedName>
    <definedName name="SFRATE">#REF!</definedName>
    <definedName name="SFRATECALC" localSheetId="5">#REF!</definedName>
    <definedName name="SFRATECALC">#REF!</definedName>
    <definedName name="SH2003A">'[11]CFSH 2003A Consol'!$A$1</definedName>
    <definedName name="ShortTermCostInflation">[10]Assumptions!#REF!</definedName>
    <definedName name="ShortTermRevInflation">[10]Assumptions!#REF!</definedName>
    <definedName name="Show.Date" localSheetId="5">IF('[52]Amortization Table'!XET1048563&lt;&gt;"",DATE(YEAR('Comparison to Other'!First_payment_due),MONTH('Comparison to Other'!First_payment_due)+('[52]Amortization Table'!XET1048563-1)*12/[39]!Payments_per_year,DAY('Comparison to Other'!First_payment_due)),"")</definedName>
    <definedName name="Show.Date">IF('[52]Amortization Table'!XET1048563&lt;&gt;"",DATE(YEAR([39]!First_payment_due),MONTH([39]!First_payment_due)+('[52]Amortization Table'!XET1048563-1)*12/[39]!Payments_per_year,DAY([39]!First_payment_due)),"")</definedName>
    <definedName name="SISLEY_EXP">'[17]12_96 CAM'!#REF!</definedName>
    <definedName name="SISLEY_SQ">'[17]12_96 CAM'!#REF!</definedName>
    <definedName name="SKYCOURT" localSheetId="5">#REF!</definedName>
    <definedName name="SKYCOURT">#REF!</definedName>
    <definedName name="snowrem">[17]CAMINVBU!#REF!</definedName>
    <definedName name="soa221d3" localSheetId="5">#REF!</definedName>
    <definedName name="soa221d3">#REF!</definedName>
    <definedName name="soa221d4" localSheetId="5">#REF!</definedName>
    <definedName name="soa221d4">#REF!</definedName>
    <definedName name="sources" localSheetId="5">#REF!</definedName>
    <definedName name="sources">#REF!</definedName>
    <definedName name="sponsor_1_net_worth">#REF!</definedName>
    <definedName name="sponsor_2_net_worth">#REF!</definedName>
    <definedName name="sponsor_name_1">#REF!</definedName>
    <definedName name="sponsor_name_2">#REF!</definedName>
    <definedName name="Spread_1">#REF!</definedName>
    <definedName name="Spread_2">#REF!</definedName>
    <definedName name="Spread_3">#REF!</definedName>
    <definedName name="Spread_4">#REF!</definedName>
    <definedName name="Spread_5">#REF!</definedName>
    <definedName name="Spread_6">#REF!</definedName>
    <definedName name="Spread_Lookup">#REF!</definedName>
    <definedName name="SQ_8.00">#REF!</definedName>
    <definedName name="SQ_9.00">#REF!</definedName>
    <definedName name="SqFt">[42]Inputs!$C$6</definedName>
    <definedName name="SqFt2">[42]Inputs!$C$12</definedName>
    <definedName name="ssm" hidden="1">[54]SSMGLA12!$B$168</definedName>
    <definedName name="Standby_1">#REF!</definedName>
    <definedName name="Standby_2">#REF!</definedName>
    <definedName name="Standby_3">#REF!</definedName>
    <definedName name="Standby_4">#REF!</definedName>
    <definedName name="Standby_5">#REF!</definedName>
    <definedName name="Standby_6">#REF!</definedName>
    <definedName name="State">#REF!</definedName>
    <definedName name="Status">#REF!</definedName>
    <definedName name="Status_1">#REF!</definedName>
    <definedName name="Status_2">#REF!</definedName>
    <definedName name="Status_3">#REF!</definedName>
    <definedName name="Status_4">#REF!</definedName>
    <definedName name="Status_5">#REF!</definedName>
    <definedName name="Status_6">#REF!</definedName>
    <definedName name="STEWART_TITLE">'[18]STWRT TTLE'!$A$13:$P$40</definedName>
    <definedName name="Stlinerent">#REF!</definedName>
    <definedName name="STONEMURPHY">#REF!</definedName>
    <definedName name="stop">#N/A</definedName>
    <definedName name="stop2" localSheetId="5" hidden="1">{#N/A,#N/A,TRUE,"Cerritos Gardens";#N/A,#N/A,TRUE,"Cerritos Gardens Plus .5%";#N/A,#N/A,TRUE,"Corte Bella";#N/A,#N/A,TRUE,"Corte Bella Plus .05%";#N/A,#N/A,TRUE,"Crystal Springs";#N/A,#N/A,TRUE,"Crystal Springs Plus .05%"}</definedName>
    <definedName name="stop2" hidden="1">{#N/A,#N/A,TRUE,"Cerritos Gardens";#N/A,#N/A,TRUE,"Cerritos Gardens Plus .5%";#N/A,#N/A,TRUE,"Corte Bella";#N/A,#N/A,TRUE,"Corte Bella Plus .05%";#N/A,#N/A,TRUE,"Crystal Springs";#N/A,#N/A,TRUE,"Crystal Springs Plus .05%"}</definedName>
    <definedName name="stop3" localSheetId="5" hidden="1">{#N/A,#N/A,FALSE,"Release Price";#N/A,#N/A,FALSE,"Cash flow for 50 Unit";#N/A,#N/A,FALSE,"Cash Flow for 3 Models"}</definedName>
    <definedName name="stop3" hidden="1">{#N/A,#N/A,FALSE,"Release Price";#N/A,#N/A,FALSE,"Cash flow for 50 Unit";#N/A,#N/A,FALSE,"Cash Flow for 3 Models"}</definedName>
    <definedName name="StreetNo">[15]Assumptions!$C$7</definedName>
    <definedName name="strengths_comment" localSheetId="5">#REF!</definedName>
    <definedName name="strengths_comment">#REF!</definedName>
    <definedName name="struct_eng" localSheetId="5">#REF!</definedName>
    <definedName name="struct_eng">#REF!</definedName>
    <definedName name="struct_eng_b181" localSheetId="5">#REF!</definedName>
    <definedName name="struct_eng_b181">#REF!</definedName>
    <definedName name="struct_eng_b181_amend">#REF!</definedName>
    <definedName name="struct_eng_blank">#REF!</definedName>
    <definedName name="struct_eng_coi">#REF!</definedName>
    <definedName name="struct_eng_info">#REF!</definedName>
    <definedName name="struct_eng_license">#REF!</definedName>
    <definedName name="struct_eng_quals">#REF!</definedName>
    <definedName name="StructuredFinance">#REF!</definedName>
    <definedName name="SUM">#REF!</definedName>
    <definedName name="Summary">#REF!</definedName>
    <definedName name="summary1">#REF!</definedName>
    <definedName name="Summationvalue">#REF!</definedName>
    <definedName name="summationvalueltv">#REF!</definedName>
    <definedName name="SV2003A">'[11]CFSV 2003A Consol'!$A$1</definedName>
    <definedName name="Sweep">#REF!</definedName>
    <definedName name="Swvu.ALL." hidden="1">#REF!</definedName>
    <definedName name="Swvu.CAM._.RATES." hidden="1">#REF!</definedName>
    <definedName name="Swvu.CAM._.RECOVERIES." hidden="1">'[6]SCHEDULE B+C'!$BV$162</definedName>
    <definedName name="Swvu.CAM._.RECOVERY." localSheetId="5" hidden="1">#REF!</definedName>
    <definedName name="Swvu.CAM._.RECOVERY." hidden="1">#REF!</definedName>
    <definedName name="Swvu.CAM._.TABLE." hidden="1">'[6]SCHEDULE B+C'!$BW$210</definedName>
    <definedName name="Swvu.INSURANCE._.RECOVERIES." hidden="1">'[6]SCHEDULE B+C'!$CY$159</definedName>
    <definedName name="Swvu.LSMEET." localSheetId="5" hidden="1">#REF!</definedName>
    <definedName name="Swvu.LSMEET." hidden="1">#REF!</definedName>
    <definedName name="Swvu.MARKETING._.REVENUE." localSheetId="5" hidden="1">#REF!</definedName>
    <definedName name="Swvu.MARKETING._.REVENUE." hidden="1">#REF!</definedName>
    <definedName name="Swvu.MINIMUM._.RENT." hidden="1">'[6]SCHEDULE B+C'!$A$1</definedName>
    <definedName name="Swvu.OCCUPANCY." localSheetId="5" hidden="1">#REF!</definedName>
    <definedName name="Swvu.OCCUPANCY." hidden="1">#REF!</definedName>
    <definedName name="Swvu.OCCUPANCY._.ANALYSIS." hidden="1">'[6]SCHEDULE B+C'!$BI$168</definedName>
    <definedName name="Swvu.PERCENTAGE._.RENT." hidden="1">'[6]SCHEDULE B+C'!$G$1:$G$65536</definedName>
    <definedName name="Swvu.TAX._.RATES." localSheetId="5" hidden="1">#REF!</definedName>
    <definedName name="Swvu.TAX._.RATES." hidden="1">#REF!</definedName>
    <definedName name="Swvu.TAX._.RECOVERIES." hidden="1">'[6]SCHEDULE B+C'!$CK$167</definedName>
    <definedName name="Swvu.TAX._.RECOVERY." localSheetId="5" hidden="1">#REF!</definedName>
    <definedName name="Swvu.TAX._.RECOVERY." hidden="1">#REF!</definedName>
    <definedName name="Swvu.WAT." localSheetId="5" hidden="1">#REF!</definedName>
    <definedName name="Swvu.WAT." hidden="1">#REF!</definedName>
    <definedName name="t" localSheetId="5">'Comparison to Other'!Annual_interest_rate/[39]!Payments_per_year</definedName>
    <definedName name="t">[39]!Annual_interest_rate/[39]!Payments_per_year</definedName>
    <definedName name="t_cf_brokerage" localSheetId="5">#REF!</definedName>
    <definedName name="t_cf_brokerage">#REF!</definedName>
    <definedName name="t_cf_business_basic" localSheetId="5">#REF!</definedName>
    <definedName name="t_cf_business_basic">#REF!</definedName>
    <definedName name="t_cf_business_checking" localSheetId="5">#REF!</definedName>
    <definedName name="t_cf_business_checking">#REF!</definedName>
    <definedName name="t_cf_business_money_mkt_ckg">#REF!</definedName>
    <definedName name="t_cf_business_saver">#REF!</definedName>
    <definedName name="t_cf_business_timma">#REF!</definedName>
    <definedName name="t_cf_cash_management">#REF!</definedName>
    <definedName name="t_cf_CD_Less_100K">#REF!</definedName>
    <definedName name="t_cf_CD_more_100k">#REF!</definedName>
    <definedName name="t_cf_ECR_Net_Interest_Margin">#REF!</definedName>
    <definedName name="t_cf_eurosweeps">#REF!</definedName>
    <definedName name="t_cf_Excess_balances">#REF!</definedName>
    <definedName name="t_cf_fx">#REF!</definedName>
    <definedName name="t_cf_interest_bearing_checking">#REF!</definedName>
    <definedName name="t_cf_international">#REF!</definedName>
    <definedName name="t_cf_investmentsweep">#REF!</definedName>
    <definedName name="t_cf_Key_Capital_Partners">#REF!</definedName>
    <definedName name="t_cf_key_global_finance">#REF!</definedName>
    <definedName name="t_cf_key_insurance">#REF!</definedName>
    <definedName name="t_cf_Overdraft_Funding_Charge">#REF!</definedName>
    <definedName name="t_cf_placement_fees">#REF!</definedName>
    <definedName name="t_cf_remarketing_fees">#REF!</definedName>
    <definedName name="t_cf_reposweeps">#REF!</definedName>
    <definedName name="t_cf_savings">#REF!</definedName>
    <definedName name="t_cf_total_access">#REF!</definedName>
    <definedName name="t_cf_trust">#REF!</definedName>
    <definedName name="TABLE">#REF!</definedName>
    <definedName name="Table_1">#REF!</definedName>
    <definedName name="Table_1D">#REF!</definedName>
    <definedName name="Table_2">#REF!</definedName>
    <definedName name="Table_2D">#REF!</definedName>
    <definedName name="Table_3">#REF!</definedName>
    <definedName name="Table_3D">#REF!</definedName>
    <definedName name="Table_4">#REF!</definedName>
    <definedName name="Table_4D">#REF!</definedName>
    <definedName name="Table_5">#REF!</definedName>
    <definedName name="Table_5D">#REF!</definedName>
    <definedName name="Table_6">#REF!</definedName>
    <definedName name="Table_6D">#REF!</definedName>
    <definedName name="Table_beg_bal">#REF!</definedName>
    <definedName name="Table_prior_interest">#REF!</definedName>
    <definedName name="Table_start_date">#REF!</definedName>
    <definedName name="Table_start_pmt">#REF!</definedName>
    <definedName name="Table11M">[4]AdminMonthly!#REF!</definedName>
    <definedName name="Table14M">[4]AdminMonthly!#REF!</definedName>
    <definedName name="Table17M">[4]AdminMonthly!#REF!</definedName>
    <definedName name="Table1AM">[4]AdminMonthly!#REF!</definedName>
    <definedName name="Table1BM">[4]AdminMonthly!#REF!</definedName>
    <definedName name="Table1CM">[4]AdminMonthly!#REF!</definedName>
    <definedName name="Table1DM">[4]AdminMonthly!#REF!</definedName>
    <definedName name="Table1EM">[4]AdminMonthly!#REF!</definedName>
    <definedName name="Table20M">[4]AdminMonthly!#REF!</definedName>
    <definedName name="Table8M">[4]AdminMonthly!#REF!</definedName>
    <definedName name="takedowndelay">#REF!</definedName>
    <definedName name="tax">'[3]AVI-JV-PROFORMA'!#REF!</definedName>
    <definedName name="Tax_Rate" localSheetId="5">#REF!</definedName>
    <definedName name="Tax_Rate">#REF!</definedName>
    <definedName name="TAXCODES">[19]PCR96!#REF!</definedName>
    <definedName name="Taxes" localSheetId="5">#REF!</definedName>
    <definedName name="Taxes">#REF!</definedName>
    <definedName name="Taxes_CASHBASIS" localSheetId="5">#REF!</definedName>
    <definedName name="Taxes_CASHBASIS">#REF!</definedName>
    <definedName name="Taxes_FASB" localSheetId="5">#REF!</definedName>
    <definedName name="Taxes_FASB">#REF!</definedName>
    <definedName name="taxes2">#REF!</definedName>
    <definedName name="TAXRATES">[19]MVC96!#REF!</definedName>
    <definedName name="TAXTABLE" localSheetId="5">#REF!</definedName>
    <definedName name="TAXTABLE">#REF!</definedName>
    <definedName name="Team_Leader_Approval" localSheetId="5">#REF!</definedName>
    <definedName name="Team_Leader_Approval">#REF!</definedName>
    <definedName name="temp" localSheetId="5">#REF!</definedName>
    <definedName name="temp">#REF!</definedName>
    <definedName name="TemplatePrintArea">#REF!</definedName>
    <definedName name="TempTable12">[4]Formulas!#REF!</definedName>
    <definedName name="TENANT">#REF!</definedName>
    <definedName name="TENSUM">#REF!</definedName>
    <definedName name="Term">[12]Proforma!$C$45</definedName>
    <definedName name="Term_1" localSheetId="5">#REF!</definedName>
    <definedName name="Term_1">#REF!</definedName>
    <definedName name="Term_2" localSheetId="5">#REF!</definedName>
    <definedName name="Term_2">#REF!</definedName>
    <definedName name="Term_3" localSheetId="5">#REF!</definedName>
    <definedName name="Term_3">#REF!</definedName>
    <definedName name="Term_4">#REF!</definedName>
    <definedName name="Term_5">#REF!</definedName>
    <definedName name="Term_6">#REF!</definedName>
    <definedName name="Term_in_Month1">#REF!</definedName>
    <definedName name="Term_in_Month2">#REF!</definedName>
    <definedName name="Term_in_Month3">#REF!</definedName>
    <definedName name="Term_in_Month4">#REF!</definedName>
    <definedName name="Term_in_Month5">#REF!</definedName>
    <definedName name="Term_in_Month6">#REF!</definedName>
    <definedName name="Term_in_years">#REF!</definedName>
    <definedName name="Term_Lease_1">#REF!</definedName>
    <definedName name="Term_Lease_2">#REF!</definedName>
    <definedName name="Term_Lease_3">#REF!</definedName>
    <definedName name="Term_Lease_4">#REF!</definedName>
    <definedName name="Term_Lease_5">#REF!</definedName>
    <definedName name="Term_Lease_6">#REF!</definedName>
    <definedName name="terma">#REF!</definedName>
    <definedName name="th">#REF!</definedName>
    <definedName name="THREE">#REF!</definedName>
    <definedName name="THREELEGEND">#REF!</definedName>
    <definedName name="TI">'[3]AVI-JV-PROFORMA'!#REF!</definedName>
    <definedName name="tic" localSheetId="5">#REF!</definedName>
    <definedName name="tic">#REF!</definedName>
    <definedName name="tica" localSheetId="5">#REF!</definedName>
    <definedName name="tica">#REF!</definedName>
    <definedName name="TIN_NUMBER" localSheetId="5">#REF!</definedName>
    <definedName name="TIN_NUMBER">#REF!</definedName>
    <definedName name="titles">#REF!</definedName>
    <definedName name="TitleTransferDate">[13]Assumptions!$C$19</definedName>
    <definedName name="toc" localSheetId="5">#REF!</definedName>
    <definedName name="toc">#REF!</definedName>
    <definedName name="TopBalanceQtr" localSheetId="5">#REF!</definedName>
    <definedName name="TopBalanceQtr">#REF!</definedName>
    <definedName name="TopBalanceYr" localSheetId="5">#REF!</definedName>
    <definedName name="TopBalanceYr">#REF!</definedName>
    <definedName name="TopCashFlow">#REF!</definedName>
    <definedName name="TopCashFlowQtr">#REF!</definedName>
    <definedName name="TopCashFlowYr">#REF!</definedName>
    <definedName name="TopPandL">#REF!</definedName>
    <definedName name="TopPandLQtr">#REF!</definedName>
    <definedName name="TopPandLYr">#REF!</definedName>
    <definedName name="TOTAL">'[3]AVI-JV-PROFORMA'!#REF!</definedName>
    <definedName name="total_annualized_rent">'[14]Rent Roll Analysis'!$O$33</definedName>
    <definedName name="total_buydownfee" localSheetId="5">#REF!</definedName>
    <definedName name="total_buydownfee">#REF!</definedName>
    <definedName name="Total_Deposits" localSheetId="5">#REF!</definedName>
    <definedName name="Total_Deposits">#REF!</definedName>
    <definedName name="Total_Equity_Cash" localSheetId="5">#REF!</definedName>
    <definedName name="Total_Equity_Cash">#REF!</definedName>
    <definedName name="Total_Equity_Deriv_Cash">#REF!</definedName>
    <definedName name="Total_Equity_Deriv_FASB">#REF!</definedName>
    <definedName name="Total_Equity_FASB">#REF!</definedName>
    <definedName name="Total_Facilities">#REF!</definedName>
    <definedName name="total_inbeddedfee">#REF!</definedName>
    <definedName name="Total_IPLICOallocation">#REF!</definedName>
    <definedName name="Total_JHLICOallocation">#REF!</definedName>
    <definedName name="Total_JHREallocation">#REF!</definedName>
    <definedName name="Total_JHVTallocation">#REF!</definedName>
    <definedName name="TOTAL_LOAN">#REF!</definedName>
    <definedName name="total_number_units">[37]Underwriting!$C$6</definedName>
    <definedName name="Total_Other_Revenue_Gross" localSheetId="5">#REF!</definedName>
    <definedName name="Total_Other_Revenue_Gross">#REF!</definedName>
    <definedName name="TOTAL_OUTSTANDINGS" localSheetId="5">#REF!</definedName>
    <definedName name="TOTAL_OUTSTANDINGS">#REF!</definedName>
    <definedName name="Total_payments" localSheetId="5">[39]!Payments_per_year*[39]!Term_in_years</definedName>
    <definedName name="Total_payments">[39]!Payments_per_year*[39]!Term_in_years</definedName>
    <definedName name="Total_Reimbursement_Income" localSheetId="5">#REF!</definedName>
    <definedName name="Total_Reimbursement_Income">#REF!</definedName>
    <definedName name="Total_Rental_Revenue" localSheetId="5">#REF!</definedName>
    <definedName name="Total_Rental_Revenue">#REF!</definedName>
    <definedName name="Total_Revenue" localSheetId="5">#REF!</definedName>
    <definedName name="Total_Revenue">#REF!</definedName>
    <definedName name="total_site_improvement_costs">#REF!</definedName>
    <definedName name="Total_VLIallocation">#REF!</definedName>
    <definedName name="TotalAccess">#REF!</definedName>
    <definedName name="totalbuildingcosts">#REF!</definedName>
    <definedName name="totalcommitmentfee">#REF!</definedName>
    <definedName name="TotalCredit_OverUnderTarget">#REF!</definedName>
    <definedName name="TotalCredit_ROA">#REF!</definedName>
    <definedName name="TotalCredit_ROE">#REF!</definedName>
    <definedName name="totaldebtserv">#REF!</definedName>
    <definedName name="TotalDep_CRISP">#REF!</definedName>
    <definedName name="TOTALGLA">#REF!</definedName>
    <definedName name="totallandcosts">#REF!</definedName>
    <definedName name="TotalLandPurchPrice">[55]Assumptions!$F$215</definedName>
    <definedName name="TotalRel_OverUnderTarget">#REF!</definedName>
    <definedName name="TotalRelationship_ROA">#REF!</definedName>
    <definedName name="TotalRelationship_ROE">#REF!</definedName>
    <definedName name="TotalRent">#REF!</definedName>
    <definedName name="TotalSpread_1">#REF!</definedName>
    <definedName name="TotalSpread_2">#REF!</definedName>
    <definedName name="TotalSpread_3">#REF!</definedName>
    <definedName name="TotalSpread_4">#REF!</definedName>
    <definedName name="TotalSpread_5">#REF!</definedName>
    <definedName name="TotalSpread_6">#REF!</definedName>
    <definedName name="TotDep_Rev">#REF!</definedName>
    <definedName name="TotRent">#REF!</definedName>
    <definedName name="Transaction_Penalty_1">#REF!</definedName>
    <definedName name="Transaction_Penalty_2">#REF!</definedName>
    <definedName name="Transaction_Penalty_3">#REF!</definedName>
    <definedName name="Transaction_Penalty_4">#REF!</definedName>
    <definedName name="Transaction_Penalty_5">#REF!</definedName>
    <definedName name="Transaction_Penalty_6">#REF!</definedName>
    <definedName name="TRANSAMERICA">[18]TRNSMRCA!$A$13:$P$44</definedName>
    <definedName name="trdep">#REF!</definedName>
    <definedName name="TREASH">#REF!</definedName>
    <definedName name="TREASL">#REF!</definedName>
    <definedName name="TRESMANN">#REF!</definedName>
    <definedName name="trrate">#REF!</definedName>
    <definedName name="Trust_GrossRev">#REF!</definedName>
    <definedName name="trustee">#REF!</definedName>
    <definedName name="TSP">#REF!</definedName>
    <definedName name="ttt" localSheetId="5">(VLOOKUP(Grade_6,'Comparison to Other'!fnjh,2))</definedName>
    <definedName name="ttt">(VLOOKUP(Grade_6,fnjh,2))</definedName>
    <definedName name="TWO" localSheetId="5">#REF!</definedName>
    <definedName name="TWO">#REF!</definedName>
    <definedName name="TWO_S_PROP">[18]TWOS!$A$13:$P$45</definedName>
    <definedName name="TWOLEGEND">#REF!</definedName>
    <definedName name="UMM">#REF!</definedName>
    <definedName name="underwrittenbaserent">[37]Underwriting!$F$11</definedName>
    <definedName name="underwrittenltv" localSheetId="5">#REF!</definedName>
    <definedName name="underwrittenltv">#REF!</definedName>
    <definedName name="UnderwrittenNOI" localSheetId="5">#REF!</definedName>
    <definedName name="UnderwrittenNOI">#REF!</definedName>
    <definedName name="UNIT">'[56]income buildup'!$E$17</definedName>
    <definedName name="UnitNo">[15]Assumptions!$C$6</definedName>
    <definedName name="UNITS" localSheetId="5">#REF!</definedName>
    <definedName name="UNITS">#REF!</definedName>
    <definedName name="Units1" localSheetId="5">#REF!</definedName>
    <definedName name="Units1">#REF!</definedName>
    <definedName name="Units1a">[29]Site!$D$5</definedName>
    <definedName name="Units2">[57]Bldg!$D$5</definedName>
    <definedName name="Units2a">#REF!</definedName>
    <definedName name="Units2a2">[57]Bldg!#REF!</definedName>
    <definedName name="Units2b">#REF!</definedName>
    <definedName name="Units2c">#REF!</definedName>
    <definedName name="Units2c2">[57]Bldg!#REF!</definedName>
    <definedName name="Units3">#REF!</definedName>
    <definedName name="unittype22">'[58]Rent Roll Analysis'!#REF!</definedName>
    <definedName name="UnleveredIRR">#REF!</definedName>
    <definedName name="Unused_Lookup">#REF!</definedName>
    <definedName name="UpfrontFees_1">#REF!</definedName>
    <definedName name="UpfrontFees_2">#REF!</definedName>
    <definedName name="UpfrontFees_3">#REF!</definedName>
    <definedName name="UpfrontFees_4">#REF!</definedName>
    <definedName name="UpfrontFees_5">#REF!</definedName>
    <definedName name="UpfrontFees_6">#REF!</definedName>
    <definedName name="US_WEST">#REF!</definedName>
    <definedName name="Usage_Rate_1">#REF!</definedName>
    <definedName name="Usage_Rate_2">#REF!</definedName>
    <definedName name="Usage_Rate_3">#REF!</definedName>
    <definedName name="Usage_Rate_4">#REF!</definedName>
    <definedName name="Usage_Rate_5">#REF!</definedName>
    <definedName name="Usage_Rate_6">#REF!</definedName>
    <definedName name="use_of_Funds">#REF!</definedName>
    <definedName name="Use_of_funds_amount">#REF!</definedName>
    <definedName name="USES">'[15]sources &amp; uses'!$F$44</definedName>
    <definedName name="UseTable" localSheetId="5">#REF!</definedName>
    <definedName name="UseTable">#REF!</definedName>
    <definedName name="util">[17]CAMINVBU!#REF!</definedName>
    <definedName name="UW_Rate">[42]Inputs!$C$19</definedName>
    <definedName name="Vacancy" localSheetId="5">#REF!</definedName>
    <definedName name="Vacancy">#REF!</definedName>
    <definedName name="VACANCY_EXPENSE" localSheetId="5">#REF!</definedName>
    <definedName name="VACANCY_EXPENSE">#REF!</definedName>
    <definedName name="vacancy1">[15]Assumptions!$C$71</definedName>
    <definedName name="vacancy2">[15]Assumptions!$D$71</definedName>
    <definedName name="vacancy3">[15]Assumptions!$E$71</definedName>
    <definedName name="valuation_comment" localSheetId="5">#REF!</definedName>
    <definedName name="valuation_comment">#REF!</definedName>
    <definedName name="ValuationCap">[15]Assumptions!$C$164</definedName>
    <definedName name="Value">[12]Proforma!$G$22</definedName>
    <definedName name="Value_SF">[12]Proforma!$G$38</definedName>
    <definedName name="VarianceBasePrice">[10]Assumptions!#REF!</definedName>
    <definedName name="VarianceDirConstCost">[10]Assumptions!#REF!</definedName>
    <definedName name="VarianceMasterImp">[10]Assumptions!#REF!</definedName>
    <definedName name="VarianceSiteDevCost">[10]Assumptions!#REF!</definedName>
    <definedName name="Version">[4]Project!$D$4</definedName>
    <definedName name="Version_ROEModel">#REF!</definedName>
    <definedName name="VFP">#REF!</definedName>
    <definedName name="VFPLC">#REF!</definedName>
    <definedName name="VictoryFund_Gross">#REF!</definedName>
    <definedName name="VLI_account1">#REF!</definedName>
    <definedName name="VLI_account2">#REF!</definedName>
    <definedName name="VLI_account3">#REF!</definedName>
    <definedName name="VLI_account4">#REF!</definedName>
    <definedName name="VLI_account5">#REF!</definedName>
    <definedName name="VLI_account6">#REF!</definedName>
    <definedName name="VLI_loanamt1">#REF!</definedName>
    <definedName name="VLI_loanamt2">#REF!</definedName>
    <definedName name="VLI_loanamt3">#REF!</definedName>
    <definedName name="VLI_loanamt4">#REF!</definedName>
    <definedName name="VLI_loanamt5">#REF!</definedName>
    <definedName name="VLI_loanamt6">#REF!</definedName>
    <definedName name="Votedate">#REF!</definedName>
    <definedName name="VV2003A">'[11]CFVV 2003A Consol'!$A$1</definedName>
    <definedName name="WADE\">#REF!</definedName>
    <definedName name="WALDEN_14_15">[18]WALDEN!$A$13:$P$53</definedName>
    <definedName name="WALDEN_7TH">[18]WALDENEXP!$A$13:$P$40</definedName>
    <definedName name="weaknesses_comment">#REF!</definedName>
    <definedName name="Wealth">#REF!</definedName>
    <definedName name="Weighted_Avg_1">#REF!</definedName>
    <definedName name="Weighted_Avg_1D">#REF!</definedName>
    <definedName name="Weighted_Avg_1D_for_Equity">#REF!</definedName>
    <definedName name="Weighted_Avg_1E_for_Equity">#REF!</definedName>
    <definedName name="Weighted_Avg_1f_for_Equity">#REF!</definedName>
    <definedName name="Weighted_Avg_1g_for_Equity">#REF!</definedName>
    <definedName name="Weighted_Avg_1h_for_Equity">#REF!</definedName>
    <definedName name="Weighted_Avg_1i_for_Equity">#REF!</definedName>
    <definedName name="Weighted_Avg_2">#REF!</definedName>
    <definedName name="Weighted_Avg_2D">#REF!</definedName>
    <definedName name="Weighted_Avg_3">#REF!</definedName>
    <definedName name="Weighted_Avg_3D">#REF!</definedName>
    <definedName name="Weighted_Avg_4">#REF!</definedName>
    <definedName name="Weighted_Avg_4D">#REF!</definedName>
    <definedName name="Weighted_Avg_5">#REF!</definedName>
    <definedName name="Weighted_Avg_5D">#REF!</definedName>
    <definedName name="Weighted_Avg_6">#REF!</definedName>
    <definedName name="Weighted_Avg_6D">#REF!</definedName>
    <definedName name="wescst">#REF!</definedName>
    <definedName name="WEST">#REF!</definedName>
    <definedName name="WH2003A">'[11]CFWH 2003A Consol'!$A$1</definedName>
    <definedName name="Whole_Rel_Grade">#REF!</definedName>
    <definedName name="Wholegrade_1">#REF!</definedName>
    <definedName name="Wholegrade_2">#REF!</definedName>
    <definedName name="Wholegrade_3">#REF!</definedName>
    <definedName name="Wholegrade_4">#REF!</definedName>
    <definedName name="Wholegrade_5">#REF!</definedName>
    <definedName name="Wholegrade_6">#REF!</definedName>
    <definedName name="wrn.ALL." localSheetId="5"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ALL." hidden="1">{#N/A,#N/A,FALSE,"SCHEDULE A";"MINIMUM RENT",#N/A,FALSE,"SCHEDULES B &amp; C";"PERCENTAGE RENT",#N/A,FALSE,"SCHEDULES B &amp; C";#N/A,#N/A,FALSE,"SCHEDULE D";"SUMMARY SCHEDULE",#N/A,FALSE,"SCHEDULE E";#N/A,#N/A,FALSE,"SCHEDULE F";#N/A,#N/A,FALSE,"SCHEDULE G";"SUMMARY SCHEDULE",#N/A,FALSE,"SCHEDULE H";"SUMMARY SCHEDULE",#N/A,FALSE,"SCHEDULE I";#N/A,#N/A,FALSE,"SCHEDULE J";#N/A,#N/A,FALSE,"SCHEDULE 2";#N/A,#N/A,FALSE,"SCHEDULE 3";#N/A,#N/A,FALSE,"MARKETING I";#N/A,#N/A,FALSE,"MARKETING II";#N/A,#N/A,FALSE,"MARKETING III"}</definedName>
    <definedName name="wrn.CGR." localSheetId="5"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GR." hidden="1">{#N/A,#N/A,TRUE,"SUMMARY";#N/A,#N/A,TRUE,"LAND";#N/A,#N/A,TRUE,"DIRECT COST";#N/A,#N/A,TRUE,"INDIRECT COST";#N/A,#N/A,TRUE,"PERMIT FEES";#N/A,#N/A,TRUE,"ADDITIONAL PROJECT COST";"LOAN CASH FLOWS",#N/A,TRUE,"PROJECT COSTS";"SUBSUBSCHEDULE",#N/A,TRUE,"INCOME SUMMARY";"EARLY TRADING",#N/A,TRUE,"LEASEUP SCEN1 TARGET";#N/A,#N/A,TRUE,"APPENDIX";#N/A,#N/A,TRUE,"PROJECT COMPONENT BREAKDOWN"}</definedName>
    <definedName name="wrn.CONDO." localSheetId="5" hidden="1">{#N/A,#N/A,FALSE,"SPCondo"}</definedName>
    <definedName name="wrn.CONDO." hidden="1">{#N/A,#N/A,FALSE,"SPCondo"}</definedName>
    <definedName name="wrn.DETAIL._.SCHEDULES." localSheetId="5" hidden="1">{"ACCOUNT DETAIL",#N/A,FALSE,"SCHEDULE E";"ACCOUNT DETAIL",#N/A,FALSE,"SCHEDULE G";"ACCOUNT DETAIL",#N/A,FALSE,"SCHEDULE H";"ACCOUNT DETAIL",#N/A,FALSE,"SCHEDULE I"}</definedName>
    <definedName name="wrn.DETAIL._.SCHEDULES." hidden="1">{"ACCOUNT DETAIL",#N/A,FALSE,"SCHEDULE E";"ACCOUNT DETAIL",#N/A,FALSE,"SCHEDULE G";"ACCOUNT DETAIL",#N/A,FALSE,"SCHEDULE H";"ACCOUNT DETAIL",#N/A,FALSE,"SCHEDULE I"}</definedName>
    <definedName name="wrn.FORESTPARK." localSheetId="5" hidden="1">{#N/A,#N/A,FALSE,"ForestPark"}</definedName>
    <definedName name="wrn.FORESTPARK." hidden="1">{#N/A,#N/A,FALSE,"ForestPark"}</definedName>
    <definedName name="wrn.LC." localSheetId="5" hidden="1">{"LCPR",#N/A,TRUE,"LC"}</definedName>
    <definedName name="wrn.LC." hidden="1">{"LCPR",#N/A,TRUE,"LC"}</definedName>
    <definedName name="wrn.LETTERED." localSheetId="5"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MARKETING." localSheetId="5" hidden="1">{#N/A,#N/A,FALSE,"MARKETING I";#N/A,#N/A,FALSE,"MARKETING II";#N/A,#N/A,FALSE,"MARKETING III"}</definedName>
    <definedName name="wrn.MARKETING." hidden="1">{#N/A,#N/A,FALSE,"MARKETING I";#N/A,#N/A,FALSE,"MARKETING II";#N/A,#N/A,FALSE,"MARKETING III"}</definedName>
    <definedName name="wrn.MINRENT." localSheetId="5" hidden="1">{"MINRENT2",#N/A,FALSE,"SCHEDULE B"}</definedName>
    <definedName name="wrn.MINRENT." hidden="1">{"MINRENT2",#N/A,FALSE,"SCHEDULE B"}</definedName>
    <definedName name="wrn.PERCENTAGE._.RENT." localSheetId="5" hidden="1">{"PERCENTAGE RENT",#N/A,TRUE,"SCHEDULE B"}</definedName>
    <definedName name="wrn.PERCENTAGE._.RENT." hidden="1">{"PERCENTAGE RENT",#N/A,TRUE,"SCHEDULE B"}</definedName>
    <definedName name="wrn.Print." localSheetId="5" hidden="1">{#N/A,#N/A,TRUE,"Cerritos Gardens";#N/A,#N/A,TRUE,"Cerritos Gardens Plus .5%";#N/A,#N/A,TRUE,"Corte Bella";#N/A,#N/A,TRUE,"Corte Bella Plus .05%";#N/A,#N/A,TRUE,"Crystal Springs";#N/A,#N/A,TRUE,"Crystal Springs Plus .05%"}</definedName>
    <definedName name="wrn.Print." hidden="1">{#N/A,#N/A,TRUE,"Cerritos Gardens";#N/A,#N/A,TRUE,"Cerritos Gardens Plus .5%";#N/A,#N/A,TRUE,"Corte Bella";#N/A,#N/A,TRUE,"Corte Bella Plus .05%";#N/A,#N/A,TRUE,"Crystal Springs";#N/A,#N/A,TRUE,"Crystal Springs Plus .05%"}</definedName>
    <definedName name="wrn.Projections." localSheetId="5" hidden="1">{#N/A,#N/A,FALSE,"Release Price";#N/A,#N/A,FALSE,"Cash flow for 50 Unit";#N/A,#N/A,FALSE,"Cash Flow for 3 Models"}</definedName>
    <definedName name="wrn.Projections." hidden="1">{#N/A,#N/A,FALSE,"Release Price";#N/A,#N/A,FALSE,"Cash flow for 50 Unit";#N/A,#N/A,FALSE,"Cash Flow for 3 Models"}</definedName>
    <definedName name="wrn.RATES." localSheetId="5" hidden="1">{"RATES",#N/A,FALSE,"RECOVERY RATES";"CONTRIBUTIONS",#N/A,FALSE,"RECOVERY RATES";"GLA CATEGORY SUMMARY",#N/A,FALSE,"RECOVERY RATES"}</definedName>
    <definedName name="wrn.RATES." hidden="1">{"RATES",#N/A,FALSE,"RECOVERY RATES";"CONTRIBUTIONS",#N/A,FALSE,"RECOVERY RATES";"GLA CATEGORY SUMMARY",#N/A,FALSE,"RECOVERY RATES"}</definedName>
    <definedName name="wrn.SCHAs." localSheetId="5" hidden="1">{"ACCOUNTING COPY",#N/A,FALSE,"SCHEDULE A";"FINANCE COPY",#N/A,FALSE,"SCHEDULE A";"P.L. COPY",#N/A,FALSE,"SCHEDULE A"}</definedName>
    <definedName name="wrn.SCHAs." hidden="1">{"ACCOUNTING COPY",#N/A,FALSE,"SCHEDULE A";"FINANCE COPY",#N/A,FALSE,"SCHEDULE A";"P.L. COPY",#N/A,FALSE,"SCHEDULE A"}</definedName>
    <definedName name="wrn.SCHEDULE._.H." localSheetId="5" hidden="1">{"ACCOUNT DETAIL",#N/A,FALSE,"SCHEDULE E";"ACCOUNT DETAIL",#N/A,FALSE,"SCHEDULE G";"ACCOUNT DETAIL",#N/A,FALSE,"SCHEDULE H";"ACCOUNT DETAIL",#N/A,FALSE,"SCHEDULE I"}</definedName>
    <definedName name="wrn.SCHEDULE._.H." hidden="1">{"ACCOUNT DETAIL",#N/A,FALSE,"SCHEDULE E";"ACCOUNT DETAIL",#N/A,FALSE,"SCHEDULE G";"ACCOUNT DETAIL",#N/A,FALSE,"SCHEDULE H";"ACCOUNT DETAIL",#N/A,FALSE,"SCHEDULE I"}</definedName>
    <definedName name="wrn.SCHEDULES._.ABC." localSheetId="5" hidden="1">{#N/A,#N/A,FALSE,"SCHEDULE A";"MINIMUM RENT",#N/A,FALSE,"SCHEDULES B &amp; C";"PERCENTAGE RENT",#N/A,FALSE,"SCHEDULES B &amp; C"}</definedName>
    <definedName name="wrn.SCHEDULES._.ABC." hidden="1">{#N/A,#N/A,FALSE,"SCHEDULE A";"MINIMUM RENT",#N/A,FALSE,"SCHEDULES B &amp; C";"PERCENTAGE RENT",#N/A,FALSE,"SCHEDULES B &amp; C"}</definedName>
    <definedName name="wrn.SP2." localSheetId="5" hidden="1">{#N/A,#N/A,FALSE,"SP2"}</definedName>
    <definedName name="wrn.SP2." hidden="1">{#N/A,#N/A,FALSE,"SP2"}</definedName>
    <definedName name="wrn.TEST." localSheetId="5" hidden="1">{#N/A,#N/A,FALSE,"SCHEDULE G"}</definedName>
    <definedName name="wrn.TEST." hidden="1">{#N/A,#N/A,FALSE,"SCHEDULE G"}</definedName>
    <definedName name="wrr">#REF!</definedName>
    <definedName name="WSP">#REF!</definedName>
    <definedName name="wsplc">#REF!</definedName>
    <definedName name="wvu.ALL." localSheetId="5"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ALL." hidden="1">{TRUE,TRUE,-1.25,-15.5,484.5,276.75,FALSE,FALSE,TRUE,TRUE,0,1,#N/A,1,#N/A,7.71428571428571,15.9411764705882,1,FALSE,FALSE,3,TRUE,1,FALSE,100,"Swvu.ALL.","ACwvu.ALL.",#N/A,FALSE,FALSE,0.37,0.4,1,0.37,2,"&amp;L&amp;""Arial,Bold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&amp;T",FALSE,FALSE,FALSE,FALSE,1,#N/A,1,#N/A,"=R3C1:R44C22","=R1:R2",#N/A,#N/A,FALSE,FALSE,FALSE,1,65532,65532,FALSE,FALSE,TRUE,TRUE,TRUE}</definedName>
    <definedName name="wvu.CAM._.RATES." localSheetId="5"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ATES." hidden="1">{TRUE,TRUE,-1.25,-15.5,604.5,366.75,FALSE,FALSE,TRUE,TRUE,0,1,#N/A,46,#N/A,69.016393442623,25.2941176470588,1,FALSE,FALSE,3,TRUE,1,FALSE,100,"Swvu.CAM._.RATES.","ACwvu.CAM._.RATES.",#N/A,FALSE,FALSE,0.37,0.4,1,0.37,2,"&amp;L&amp;""Arial,Bold Italic""&amp;USCHEDULE B &amp; C&amp;C&amp;""Arial,Bold""&amp;UINCOME AND EXPENSE BUDGET
FOR THE YEAR ENDING 12/31/97&amp;R&amp;""Arial,Bold Italic""&amp;UEASTLAND SHOPPING CENTER","&amp;LWestfield Corporation, Inc.&amp;CPage &amp;P of &amp;N&amp;R&amp;D &amp;T",FALSE,FALSE,FALSE,FALSE,1,#N/A,1,#N/A,"=R48C62:R70C75","=R1:R2","Rwvu.CAM._.RATES.",#N/A,FALSE,FALSE,FALSE,1,65532,65532,FALSE,FALSE,TRUE,TRUE,TRUE}</definedName>
    <definedName name="wvu.CAM._.RECOVERY." localSheetId="5"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CAM._.RECOVERY." hidden="1">{TRUE,TRUE,-1.25,-15.5,604.5,366.75,FALSE,FALSE,TRUE,TRUE,0,1,#N/A,1,#N/A,69.016393442623,23,1,FALSE,FALSE,3,TRUE,1,FALSE,100,"Swvu.CAM._.RECOVERY.","ACwvu.CAM._.RECOVERY.",#N/A,FALSE,FALSE,0.21,0.21,1,0.37,2,"&amp;L&amp;""Arial,Bold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&amp;T",FALSE,FALSE,FALSE,FALSE,1,#N/A,1,#N/A,"=R3C1:R46C75","=R1:R2","Rwvu.CAM._.RECOVERY.",#N/A,FALSE,FALSE,FALSE,1,65532,65532,FALSE,FALSE,TRUE,TRUE,TRUE}</definedName>
    <definedName name="wvu.LSMEET." localSheetId="5"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LSMEET." hidden="1">{TRUE,TRUE,-1.25,-15.5,604.5,366.75,FALSE,FALSE,TRUE,TRUE,0,1,8,1,3,7,2,4,TRUE,TRUE,3,TRUE,1,TRUE,100,"Swvu.LSMEET.","ACwvu.LSMEET.",#N/A,FALSE,FALSE,0.37,0.4,1,0.37,2,"&amp;L&amp;""Arial,Bold Italic""&amp;USCHEDULE B &amp; C&amp;C&amp;""Arial,Bold""&amp;UINCOME AND EXPENSE BUDGET
FOR THE YEAR ENDING 12/31/97&amp;R&amp;""Arial,Bold Italic""&amp;UEASTLAND SHOPPING CENTER","&amp;LWestfield Corporation, Inc.&amp;CPage &amp;P of &amp;N&amp;R&amp;D &amp;T",FALSE,FALSE,FALSE,FALSE,1,#N/A,1,#N/A,"=R3C1:R44C22","=R1:R2","Rwvu.LSMEET.",#N/A,FALSE,FALSE,FALSE,1,65532,65532,FALSE,FALSE,TRUE,TRUE,TRUE}</definedName>
    <definedName name="wvu.MARKETING._.REVENUE." localSheetId="5"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ARKETING._.REVENUE." hidden="1">{TRUE,TRUE,-1.25,-15.5,484.5,276.75,FALSE,FALSE,TRUE,TRUE,0,1,114,1,43,4,2,4,TRUE,TRUE,3,TRUE,1,TRUE,100,"Swvu.MARKETING._.REVENUE.","ACwvu.MARKETING._.REVENUE.",#N/A,FALSE,FALSE,0.37,0.4,1,0.37,2,"&amp;L&amp;""Arial,Bold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&amp;T",FALSE,FALSE,FALSE,FALSE,1,#N/A,1,#N/A,#DIV/0!,"=R1:R2","Rwvu.MARKETING._.REVENUE.",#N/A,FALSE,FALSE,FALSE,1,#N/A,#N/A,FALSE,FALSE,TRUE,TRUE,TRUE}</definedName>
    <definedName name="wvu.MINIMUM._.RENT." localSheetId="5"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MINIMUM._.RENT." hidden="1">{TRUE,TRUE,-1.25,-15.5,484.5,276.75,FALSE,FALSE,TRUE,TRUE,0,17,#N/A,35,#N/A,102.859375,18.2222222222222,1,FALSE,FALSE,3,TRUE,1,FALSE,100,"Swvu.MINIMUM._.RENT.","ACwvu.MINIMUM._.RENT.",#N/A,FALSE,FALSE,0.37,0.4,1,0.37,2,"&amp;L&amp;""Arial,Bold Italic""&amp;USCHEDULE B &amp; C&amp;C&amp;""Arial,Bold""&amp;UINCOME AND EXPENSE BUDGET
FOR THE YEAR ENDING 12/31/98&amp;R&amp;""Arial,Bold Italic""&amp;UEASTLAND SHOPPING CENTER","&amp;LWestfield Corporation, Inc.&amp;CPage &amp;P of &amp;N&amp;R&amp;D &amp;T",FALSE,FALSE,FALSE,FALSE,1,59,#N/A,#N/A,"=R3C1:R46C22","=R1:R2","Rwvu.MINIMUM._.RENT.",#N/A,FALSE,FALSE,FALSE,1,#N/A,#N/A,FALSE,FALSE,TRUE,TRUE,TRUE}</definedName>
    <definedName name="wvu.OCCUPANCY." localSheetId="5"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OCCUPANCY." hidden="1">{TRUE,TRUE,-1.25,-15.5,604.5,366.75,FALSE,FALSE,TRUE,TRUE,0,1,#N/A,1,#N/A,54.1481481481481,23,1,FALSE,FALSE,3,TRUE,1,FALSE,100,"Swvu.OCCUPANCY.","ACwvu.OCCUPANCY.",#N/A,FALSE,FALSE,0.21,0.21,1,0.37,2,"&amp;L&amp;""Arial,Bold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&amp;T",FALSE,FALSE,FALSE,FALSE,1,#N/A,1,#N/A,"=R3C1:R59C61","=R1:R2","Rwvu.OCCUPANCY.",#N/A,FALSE,FALSE,FALSE,1,65532,65532,FALSE,FALSE,TRUE,TRUE,TRUE}</definedName>
    <definedName name="wvu.PERCENTAGE._.RENT." localSheetId="5"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PERCENTAGE._.RENT." hidden="1">{TRUE,TRUE,-1.25,-15.5,484.5,276.75,FALSE,FALSE,TRUE,TRUE,0,1,47,1,43,21,2,4,TRUE,TRUE,3,TRUE,1,TRUE,100,"Swvu.PERCENTAGE._.RENT.","ACwvu.PERCENTAGE._.RENT.",#N/A,FALSE,FALSE,0.37,0.4,1,0.37,2,"&amp;L&amp;""Arial,Bold Italic""&amp;USCHEDULE B &amp; C&amp;C&amp;""Arial,Bold""&amp;UINCOME AND EXPENSE BUDGET
FOR THE YEAR ENDING 12/31/98&amp;R&amp;""Arial,Bold Italic""&amp;UEASTLAND SHOPPING CENTER","&amp;LWestfield Corporation, Inc.&amp;CPage &amp;P of &amp;N&amp;R&amp;D &amp;T",FALSE,FALSE,FALSE,FALSE,1,#N/A,1,#N/A,#DIV/0!,"=R1:R2","Rwvu.PERCENTAGE._.RENT.",#N/A,FALSE,FALSE,FALSE,1,#N/A,#N/A,FALSE,FALSE,TRUE,TRUE,TRUE}</definedName>
    <definedName name="wvu.TAX._.RATES." localSheetId="5"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ATES." hidden="1">{TRUE,TRUE,-1.25,-15.5,604.5,366.75,FALSE,FALSE,TRUE,TRUE,0,1,#N/A,49,#N/A,84.016393442623,25.2941176470588,1,FALSE,FALSE,3,TRUE,1,FALSE,100,"Swvu.TAX._.RATES.","ACwvu.TAX._.RATES.",#N/A,FALSE,FALSE,0.21,0.21,1,0.37,2,"&amp;L&amp;""Arial,Bold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&amp;T",FALSE,FALSE,FALSE,FALSE,1,#N/A,1,#N/A,"=R51C78:R64C90","=R1:R2","Rwvu.TAX._.RATES.",#N/A,FALSE,FALSE,FALSE,1,65532,65532,FALSE,FALSE,TRUE,TRUE,TRUE}</definedName>
    <definedName name="wvu.TAX._.RECOVERY." localSheetId="5"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vu.TAX._.RECOVERY." hidden="1">{TRUE,TRUE,-1.25,-15.5,604.5,366.75,FALSE,FALSE,TRUE,TRUE,0,1,#N/A,1,#N/A,84.016393442623,23,1,FALSE,FALSE,3,TRUE,1,FALSE,100,"Swvu.TAX._.RECOVERY.","ACwvu.TAX._.RECOVERY.",#N/A,FALSE,FALSE,0.21,0.21,1,0.37,2,"&amp;L&amp;""Arial,Bold Italic""&amp;USCHEDULE B &amp; C&amp;C&amp;""Arial,Bold""&amp;UINCOME AND EXPENSE BUDGET
FOR THE YEAR ENDING 12/31/97&amp;R&amp;""Arial,Bold Italic""&amp;UEASTLAND SHOPPING CENTER","&amp;L&amp;8Westfield Corporation, Inc.&amp;C&amp;8Page &amp;P of &amp;N&amp;R&amp;8&amp;D &amp;T",FALSE,FALSE,FALSE,FALSE,1,#N/A,1,#N/A,"=R3C1:R46C90","=R1:R2","Rwvu.TAX._.RECOVERY.",#N/A,FALSE,FALSE,FALSE,1,65532,65532,FALSE,FALSE,TRUE,TRUE,TRUE}</definedName>
    <definedName name="wwww">#REF!</definedName>
    <definedName name="xxfgg">#REF!</definedName>
    <definedName name="YearBooked_1">#REF!</definedName>
    <definedName name="YearBooked_2">#REF!</definedName>
    <definedName name="YearBooked_3">#REF!</definedName>
    <definedName name="YearBooked_4">#REF!</definedName>
    <definedName name="YearBooked_5">#REF!</definedName>
    <definedName name="YearBooked_6">#REF!</definedName>
    <definedName name="Years_amortized_1">#REF!</definedName>
    <definedName name="Years_amortized_1D">#REF!</definedName>
    <definedName name="Years_amortized_2">#REF!</definedName>
    <definedName name="Years_amortized_2D">#REF!</definedName>
    <definedName name="Years_amortized_3">#REF!</definedName>
    <definedName name="Years_amortized_3D">#REF!</definedName>
    <definedName name="Years_amortized_4">#REF!</definedName>
    <definedName name="Years_amortized_4D">#REF!</definedName>
    <definedName name="Years_amortized_5">#REF!</definedName>
    <definedName name="Years_amortized_5D">#REF!</definedName>
    <definedName name="Years_amortized_6">#REF!</definedName>
    <definedName name="Years_amortized_6D">#REF!</definedName>
    <definedName name="yield1">#REF!</definedName>
    <definedName name="yield2">#REF!</definedName>
    <definedName name="yieldmaint_name1">#REF!</definedName>
    <definedName name="yieldmaint_name10">#REF!</definedName>
    <definedName name="yieldmaint_name11">#REF!</definedName>
    <definedName name="yieldmaint_name12">#REF!</definedName>
    <definedName name="yieldmaint_name13">#REF!</definedName>
    <definedName name="yieldmaint_name14">#REF!</definedName>
    <definedName name="yieldmaint_name15">#REF!</definedName>
    <definedName name="yieldmaint_name16">#REF!</definedName>
    <definedName name="yieldmaint_name2">#REF!</definedName>
    <definedName name="yieldmaint_name3">#REF!</definedName>
    <definedName name="yieldmaint_name4">#REF!</definedName>
    <definedName name="yieldmaint_name5">#REF!</definedName>
    <definedName name="yieldmaint_name6">#REF!</definedName>
    <definedName name="yieldmaint_name7">#REF!</definedName>
    <definedName name="yieldmaint_name8">#REF!</definedName>
    <definedName name="yieldmaint_name9">#REF!</definedName>
    <definedName name="yieldtype1">#REF!</definedName>
    <definedName name="yieldtype10">#REF!</definedName>
    <definedName name="yieldtype11">#REF!</definedName>
    <definedName name="yieldtype12">#REF!</definedName>
    <definedName name="yieldtype13">#REF!</definedName>
    <definedName name="yieldtype14">#REF!</definedName>
    <definedName name="yieldtype15">#REF!</definedName>
    <definedName name="yieldtype16">#REF!</definedName>
    <definedName name="yieldtype2">#REF!</definedName>
    <definedName name="yieldtype3">#REF!</definedName>
    <definedName name="yieldtype4">#REF!</definedName>
    <definedName name="yieldtype5">#REF!</definedName>
    <definedName name="yieldtype6">#REF!</definedName>
    <definedName name="yieldtype7">#REF!</definedName>
    <definedName name="yieldtype8">#REF!</definedName>
    <definedName name="yieldtype9">#REF!</definedName>
    <definedName name="yjfy" localSheetId="5" hidden="1">{#N/A,#N/A,FALSE,"Release Price";#N/A,#N/A,FALSE,"Cash flow for 50 Unit";#N/A,#N/A,FALSE,"Cash Flow for 3 Models"}</definedName>
    <definedName name="yjfy" hidden="1">{#N/A,#N/A,FALSE,"Release Price";#N/A,#N/A,FALSE,"Cash flow for 50 Unit";#N/A,#N/A,FALSE,"Cash Flow for 3 Models"}</definedName>
    <definedName name="Z">'[17]12_96 CAM'!#REF!</definedName>
    <definedName name="Z_28BDDCCC_2551_11D1_BD8E_0020AF42250B_.wvu.Cols" localSheetId="5" hidden="1">#REF!,#REF!,#REF!</definedName>
    <definedName name="Z_28BDDCCC_2551_11D1_BD8E_0020AF42250B_.wvu.Cols" hidden="1">#REF!,#REF!,#REF!</definedName>
    <definedName name="Z_28BDDCCD_2551_11D1_BD8E_0020AF42250B_.wvu.Cols" localSheetId="5" hidden="1">#REF!,#REF!,#REF!</definedName>
    <definedName name="Z_28BDDCCD_2551_11D1_BD8E_0020AF42250B_.wvu.Cols" hidden="1">#REF!,#REF!,#REF!</definedName>
    <definedName name="Z_28BDDCCF_2551_11D1_BD8E_0020AF42250B_.wvu.Cols" localSheetId="5" hidden="1">#REF!,#REF!,#REF!,#REF!</definedName>
    <definedName name="Z_28BDDCCF_2551_11D1_BD8E_0020AF42250B_.wvu.Cols" hidden="1">#REF!,#REF!,#REF!,#REF!</definedName>
    <definedName name="Z_28BDDCD0_2551_11D1_BD8E_0020AF42250B_.wvu.Cols" hidden="1">#REF!,#REF!,#REF!</definedName>
    <definedName name="Z_28BDDCD1_2551_11D1_BD8E_0020AF42250B_.wvu.Cols" hidden="1">#REF!,#REF!</definedName>
    <definedName name="Z_28BDDCD2_2551_11D1_BD8E_0020AF42250B_.wvu.Cols" hidden="1">#REF!,#REF!,#REF!</definedName>
    <definedName name="Z_28BDDCD3_2551_11D1_BD8E_0020AF42250B_.wvu.Cols" localSheetId="5" hidden="1">#REF!,#REF!,#REF!,#REF!</definedName>
    <definedName name="Z_28BDDCD3_2551_11D1_BD8E_0020AF42250B_.wvu.Cols" hidden="1">#REF!,#REF!,#REF!,#REF!</definedName>
    <definedName name="Z_28BDDCD8_2551_11D1_BD8E_0020AF42250B_.wvu.Cols" hidden="1">#REF!,#REF!,#REF!</definedName>
    <definedName name="Z_28BDDCD9_2551_11D1_BD8E_0020AF42250B_.wvu.Cols" hidden="1">#REF!,#REF!,#REF!</definedName>
    <definedName name="Z_38B66622_465C_11D1_8554_0080C7F00AC6_.wvu.Cols" hidden="1">#REF!,#REF!,#REF!</definedName>
    <definedName name="Z_38B66623_465C_11D1_8554_0080C7F00AC6_.wvu.Cols" hidden="1">#REF!,#REF!,#REF!</definedName>
    <definedName name="Z_38B66625_465C_11D1_8554_0080C7F00AC6_.wvu.Cols" localSheetId="5" hidden="1">#REF!,#REF!,#REF!,#REF!</definedName>
    <definedName name="Z_38B66625_465C_11D1_8554_0080C7F00AC6_.wvu.Cols" hidden="1">#REF!,#REF!,#REF!,#REF!</definedName>
    <definedName name="Z_38B66626_465C_11D1_8554_0080C7F00AC6_.wvu.Cols" hidden="1">#REF!,#REF!,#REF!</definedName>
    <definedName name="Z_38B66627_465C_11D1_8554_0080C7F00AC6_.wvu.Cols" hidden="1">#REF!,#REF!</definedName>
    <definedName name="Z_38B66628_465C_11D1_8554_0080C7F00AC6_.wvu.Cols" hidden="1">#REF!,#REF!,#REF!</definedName>
    <definedName name="Z_38B66629_465C_11D1_8554_0080C7F00AC6_.wvu.Cols" hidden="1">#REF!,#REF!,#REF!,#REF!</definedName>
    <definedName name="Z_38B6662E_465C_11D1_8554_0080C7F00AC6_.wvu.Cols" hidden="1">#REF!,#REF!,#REF!</definedName>
    <definedName name="Z_38B6662F_465C_11D1_8554_0080C7F00AC6_.wvu.Cols" hidden="1">#REF!,#REF!,#REF!</definedName>
    <definedName name="Z_3FFCEA43_F8AA_11D0_BD29_0020AF42250B_.wvu.Cols" hidden="1">#REF!,#REF!,#REF!</definedName>
    <definedName name="Z_3FFCEA43_F8AA_11D0_BD29_0020AF42250B_.wvu.PrintArea" hidden="1">#REF!</definedName>
    <definedName name="Z_3FFCEA43_F8AA_11D0_BD29_0020AF42250B_.wvu.PrintTitles" hidden="1">#REF!</definedName>
    <definedName name="Z_40D1A02B_1594_11D1_BD73_0020AF42250B_.wvu.Cols" hidden="1">#REF!,#REF!,#REF!</definedName>
    <definedName name="Z_40D1A02C_1594_11D1_BD73_0020AF42250B_.wvu.Cols" hidden="1">#REF!,#REF!,#REF!</definedName>
    <definedName name="Z_40D1A02D_1594_11D1_BD73_0020AF42250B_.wvu.Cols" hidden="1">#REF!,#REF!,#REF!,#REF!</definedName>
    <definedName name="Z_40D1A02E_1594_11D1_BD73_0020AF42250B_.wvu.Cols" hidden="1">#REF!,#REF!,#REF!</definedName>
    <definedName name="Z_40D1A02F_1594_11D1_BD73_0020AF42250B_.wvu.Cols" hidden="1">#REF!,#REF!</definedName>
    <definedName name="Z_40D1A030_1594_11D1_BD73_0020AF42250B_.wvu.Cols" hidden="1">#REF!,#REF!,#REF!</definedName>
    <definedName name="Z_40D1A031_1594_11D1_BD73_0020AF42250B_.wvu.Cols" hidden="1">#REF!,#REF!,#REF!,#REF!</definedName>
    <definedName name="Z_40D1A032_1594_11D1_BD73_0020AF42250B_.wvu.Cols" hidden="1">#REF!,#REF!,#REF!</definedName>
    <definedName name="Z_40D1A033_1594_11D1_BD73_0020AF42250B_.wvu.Cols" hidden="1">#REF!,#REF!,#REF!</definedName>
    <definedName name="Z_40D1A104_1594_11D1_BD73_0020AF42250B_.wvu.Cols" hidden="1">#REF!,#REF!,#REF!</definedName>
    <definedName name="Z_40D1A105_1594_11D1_BD73_0020AF42250B_.wvu.Cols" hidden="1">#REF!,#REF!,#REF!</definedName>
    <definedName name="Z_40D1A107_1594_11D1_BD73_0020AF42250B_.wvu.Cols" hidden="1">#REF!,#REF!,#REF!,#REF!</definedName>
    <definedName name="Z_40D1A109_1594_11D1_BD73_0020AF42250B_.wvu.Cols" hidden="1">#REF!,#REF!,#REF!</definedName>
    <definedName name="Z_40D1A10B_1594_11D1_BD73_0020AF42250B_.wvu.Cols" hidden="1">#REF!,#REF!</definedName>
    <definedName name="Z_40D1A10C_1594_11D1_BD73_0020AF42250B_.wvu.Cols" hidden="1">#REF!,#REF!,#REF!</definedName>
    <definedName name="Z_40D1A10F_1594_11D1_BD73_0020AF42250B_.wvu.Cols" hidden="1">#REF!,#REF!,#REF!,#REF!</definedName>
    <definedName name="Z_40D1A114_1594_11D1_BD73_0020AF42250B_.wvu.Cols" hidden="1">#REF!,#REF!,#REF!</definedName>
    <definedName name="Z_40D1A115_1594_11D1_BD73_0020AF42250B_.wvu.Cols" hidden="1">#REF!,#REF!,#REF!</definedName>
    <definedName name="Z_49179D1A_043D_11D1_BD55_0020AF42250B_.wvu.Cols" hidden="1">#REF!,#REF!</definedName>
    <definedName name="Z_49179D1A_043D_11D1_BD55_0020AF42250B_.wvu.PrintArea" hidden="1">#REF!</definedName>
    <definedName name="Z_49179D1A_043D_11D1_BD55_0020AF42250B_.wvu.PrintTitles" hidden="1">#REF!</definedName>
    <definedName name="Z_49179D1D_043D_11D1_BD55_0020AF42250B_.wvu.Cols" hidden="1">#REF!,#REF!,#REF!</definedName>
    <definedName name="Z_49179D1D_043D_11D1_BD55_0020AF42250B_.wvu.PrintArea" hidden="1">#REF!</definedName>
    <definedName name="Z_49179D1D_043D_11D1_BD55_0020AF42250B_.wvu.PrintTitles" hidden="1">#REF!</definedName>
    <definedName name="Z_627E98CA_893D_11D2_9EFC_00C04FE0572F_.wvu.PrintArea" hidden="1">#REF!</definedName>
    <definedName name="Z_627E98CB_893D_11D2_9EFC_00C04FE0572F_.wvu.Cols" hidden="1">#REF!,#REF!,#REF!</definedName>
    <definedName name="Z_627E98CB_893D_11D2_9EFC_00C04FE0572F_.wvu.PrintArea" hidden="1">#REF!</definedName>
    <definedName name="Z_627E98CB_893D_11D2_9EFC_00C04FE0572F_.wvu.PrintTitles" hidden="1">#REF!</definedName>
    <definedName name="Z_6DFA7DCF_3C08_11D1_BDBE_0020AF42250B_.wvu.PrintArea" hidden="1">#REF!</definedName>
    <definedName name="Z_6DFA7DCF_3C08_11D1_BDBE_0020AF42250B_.wvu.PrintTitles" hidden="1">#REF!</definedName>
    <definedName name="Z_6DFA7DD9_3C08_11D1_BDBE_0020AF42250B_.wvu.Cols" hidden="1">#REF!,#REF!,#REF!</definedName>
    <definedName name="Z_6DFA7DD9_3C08_11D1_BDBE_0020AF42250B_.wvu.PrintArea" hidden="1">#REF!</definedName>
    <definedName name="Z_6DFA7DD9_3C08_11D1_BDBE_0020AF42250B_.wvu.PrintTitles" hidden="1">#REF!</definedName>
    <definedName name="Z_6DFA7DDA_3C08_11D1_BDBE_0020AF42250B_.wvu.Cols" hidden="1">#REF!,#REF!,#REF!</definedName>
    <definedName name="Z_6DFA7DDA_3C08_11D1_BDBE_0020AF42250B_.wvu.PrintArea" hidden="1">#REF!</definedName>
    <definedName name="Z_6DFA7DDA_3C08_11D1_BDBE_0020AF42250B_.wvu.PrintTitles" hidden="1">#REF!</definedName>
    <definedName name="Z_6DFA7DDC_3C08_11D1_BDBE_0020AF42250B_.wvu.Cols" hidden="1">#REF!,#REF!,#REF!,#REF!</definedName>
    <definedName name="Z_6DFA7DDC_3C08_11D1_BDBE_0020AF42250B_.wvu.PrintArea" hidden="1">#REF!</definedName>
    <definedName name="Z_6DFA7DDC_3C08_11D1_BDBE_0020AF42250B_.wvu.PrintTitles" hidden="1">#REF!</definedName>
    <definedName name="Z_6DFA7DDD_3C08_11D1_BDBE_0020AF42250B_.wvu.Cols" hidden="1">#REF!,#REF!,#REF!</definedName>
    <definedName name="Z_6DFA7DDD_3C08_11D1_BDBE_0020AF42250B_.wvu.PrintArea" hidden="1">#REF!</definedName>
    <definedName name="Z_6DFA7DDD_3C08_11D1_BDBE_0020AF42250B_.wvu.PrintTitles" hidden="1">#REF!</definedName>
    <definedName name="Z_6DFA7DDE_3C08_11D1_BDBE_0020AF42250B_.wvu.Cols" hidden="1">#REF!,#REF!</definedName>
    <definedName name="Z_6DFA7DDE_3C08_11D1_BDBE_0020AF42250B_.wvu.PrintArea" hidden="1">#REF!</definedName>
    <definedName name="Z_6DFA7DDE_3C08_11D1_BDBE_0020AF42250B_.wvu.PrintTitles" hidden="1">#REF!</definedName>
    <definedName name="Z_6DFA7DDF_3C08_11D1_BDBE_0020AF42250B_.wvu.Cols" hidden="1">#REF!,#REF!,#REF!</definedName>
    <definedName name="Z_6DFA7DDF_3C08_11D1_BDBE_0020AF42250B_.wvu.PrintArea" hidden="1">#REF!</definedName>
    <definedName name="Z_6DFA7DDF_3C08_11D1_BDBE_0020AF42250B_.wvu.PrintTitles" hidden="1">#REF!</definedName>
    <definedName name="Z_6DFA7DE0_3C08_11D1_BDBE_0020AF42250B_.wvu.Cols" hidden="1">#REF!,#REF!,#REF!,#REF!</definedName>
    <definedName name="Z_6DFA7DE0_3C08_11D1_BDBE_0020AF42250B_.wvu.PrintArea" hidden="1">#REF!</definedName>
    <definedName name="Z_6DFA7DE0_3C08_11D1_BDBE_0020AF42250B_.wvu.PrintTitles" hidden="1">#REF!</definedName>
    <definedName name="Z_6DFA7DE5_3C08_11D1_BDBE_0020AF42250B_.wvu.Cols" hidden="1">#REF!,#REF!,#REF!</definedName>
    <definedName name="Z_6DFA7DE5_3C08_11D1_BDBE_0020AF42250B_.wvu.PrintArea" hidden="1">#REF!</definedName>
    <definedName name="Z_6DFA7DE5_3C08_11D1_BDBE_0020AF42250B_.wvu.PrintTitles" hidden="1">#REF!</definedName>
    <definedName name="Z_6DFA7DE6_3C08_11D1_BDBE_0020AF42250B_.wvu.Cols" hidden="1">#REF!,#REF!,#REF!</definedName>
    <definedName name="Z_6DFA7DE6_3C08_11D1_BDBE_0020AF42250B_.wvu.PrintArea" hidden="1">#REF!</definedName>
    <definedName name="Z_6DFA7DE6_3C08_11D1_BDBE_0020AF42250B_.wvu.PrintTitles" hidden="1">#REF!</definedName>
    <definedName name="Z_6ECC8A59_F873_11D0_BD29_0020AF42250B_.wvu.Cols" hidden="1">#REF!,#REF!,#REF!</definedName>
    <definedName name="Z_6ECC8A5A_F873_11D0_BD29_0020AF42250B_.wvu.Cols" hidden="1">#REF!,#REF!,#REF!</definedName>
    <definedName name="Z_6ECC8A5C_F873_11D0_BD29_0020AF42250B_.wvu.Cols" hidden="1">#REF!,#REF!,#REF!,#REF!</definedName>
    <definedName name="Z_6ECC8A5D_F873_11D0_BD29_0020AF42250B_.wvu.Cols" hidden="1">#REF!,#REF!,#REF!</definedName>
    <definedName name="Z_6ECC8A5E_F873_11D0_BD29_0020AF42250B_.wvu.Cols" hidden="1">#REF!,#REF!</definedName>
    <definedName name="Z_6ECC8A5F_F873_11D0_BD29_0020AF42250B_.wvu.Cols" hidden="1">#REF!,#REF!,#REF!</definedName>
    <definedName name="Z_6ECC8A60_F873_11D0_BD29_0020AF42250B_.wvu.Cols" localSheetId="5" hidden="1">#REF!,#REF!,#REF!,#REF!,#REF!,#REF!,#REF!</definedName>
    <definedName name="Z_6ECC8A60_F873_11D0_BD29_0020AF42250B_.wvu.Cols" hidden="1">#REF!,#REF!,#REF!,#REF!,#REF!,#REF!,#REF!</definedName>
    <definedName name="Z_6ECC8A65_F873_11D0_BD29_0020AF42250B_.wvu.Cols" hidden="1">#REF!,#REF!,#REF!</definedName>
    <definedName name="Z_6ECC8A66_F873_11D0_BD29_0020AF42250B_.wvu.Cols" hidden="1">#REF!,#REF!,#REF!</definedName>
    <definedName name="Z_6ECC8A90_F873_11D0_BD29_0020AF42250B_.wvu.PrintTitles" hidden="1">#REF!</definedName>
    <definedName name="Z_6ECC8A95_F873_11D0_BD29_0020AF42250B_.wvu.Cols" hidden="1">#REF!,#REF!,#REF!</definedName>
    <definedName name="Z_6ECC8A95_F873_11D0_BD29_0020AF42250B_.wvu.PrintArea" hidden="1">#REF!</definedName>
    <definedName name="Z_6ECC8A95_F873_11D0_BD29_0020AF42250B_.wvu.PrintTitles" hidden="1">#REF!</definedName>
    <definedName name="Z_995DB91B_DC87_11D2_BCA9_00C04F8BBE86_.wvu.PrintArea" hidden="1">#REF!</definedName>
    <definedName name="Z_995DB91E_DC87_11D2_BCA9_00C04F8BBE86_.wvu.Cols" hidden="1">#REF!</definedName>
    <definedName name="Z_995DB91E_DC87_11D2_BCA9_00C04F8BBE86_.wvu.PrintArea" hidden="1">#REF!</definedName>
    <definedName name="Z_995DB91E_DC87_11D2_BCA9_00C04F8BBE86_.wvu.Rows" hidden="1">#REF!</definedName>
    <definedName name="Z_995DB91F_DC87_11D2_BCA9_00C04F8BBE86_.wvu.Cols" hidden="1">#REF!,#REF!,#REF!</definedName>
    <definedName name="Z_995DB91F_DC87_11D2_BCA9_00C04F8BBE86_.wvu.PrintArea" hidden="1">#REF!</definedName>
    <definedName name="Z_995DB91F_DC87_11D2_BCA9_00C04F8BBE86_.wvu.Rows" hidden="1">#REF!,#REF!</definedName>
    <definedName name="Z_9A8750D3_468A_11D3_8ECF_00C04F9226C7_.wvu.Cols" hidden="1">#REF!,#REF!,#REF!</definedName>
    <definedName name="Z_9A8750D3_468A_11D3_8ECF_00C04F9226C7_.wvu.PrintArea" hidden="1">#REF!</definedName>
    <definedName name="Z_9A8750D3_468A_11D3_8ECF_00C04F9226C7_.wvu.Rows" hidden="1">#REF!</definedName>
    <definedName name="Z_A73E33D1_2630_11D1_BD91_0020AF42250B_.wvu.Cols" hidden="1">#REF!,#REF!,#REF!</definedName>
    <definedName name="Z_A73E33D2_2630_11D1_BD91_0020AF42250B_.wvu.Cols" hidden="1">#REF!,#REF!,#REF!</definedName>
    <definedName name="Z_A73E33D4_2630_11D1_BD91_0020AF42250B_.wvu.Cols" hidden="1">#REF!,#REF!,#REF!,#REF!</definedName>
    <definedName name="Z_A73E33D5_2630_11D1_BD91_0020AF42250B_.wvu.Cols" hidden="1">#REF!,#REF!,#REF!</definedName>
    <definedName name="Z_A73E33D6_2630_11D1_BD91_0020AF42250B_.wvu.Cols" hidden="1">#REF!,#REF!</definedName>
    <definedName name="Z_A73E33D7_2630_11D1_BD91_0020AF42250B_.wvu.Cols" hidden="1">#REF!,#REF!,#REF!</definedName>
    <definedName name="Z_A73E33D8_2630_11D1_BD91_0020AF42250B_.wvu.Cols" hidden="1">#REF!,#REF!,#REF!,#REF!</definedName>
    <definedName name="Z_A73E33DD_2630_11D1_BD91_0020AF42250B_.wvu.Cols" hidden="1">#REF!,#REF!,#REF!</definedName>
    <definedName name="Z_A73E33DE_2630_11D1_BD91_0020AF42250B_.wvu.Cols" hidden="1">#REF!,#REF!,#REF!</definedName>
    <definedName name="Z_B47DD997_1976_11D1_BD7C_0020AF42250B_.wvu.Cols" hidden="1">#REF!,#REF!,#REF!</definedName>
    <definedName name="Z_B47DD998_1976_11D1_BD7C_0020AF42250B_.wvu.Cols" hidden="1">#REF!,#REF!,#REF!</definedName>
    <definedName name="Z_B47DD99A_1976_11D1_BD7C_0020AF42250B_.wvu.Cols" hidden="1">#REF!,#REF!,#REF!,#REF!</definedName>
    <definedName name="Z_B47DD99B_1976_11D1_BD7C_0020AF42250B_.wvu.Cols" hidden="1">#REF!,#REF!,#REF!</definedName>
    <definedName name="Z_B47DD99C_1976_11D1_BD7C_0020AF42250B_.wvu.Cols" hidden="1">#REF!,#REF!</definedName>
    <definedName name="Z_B47DD99D_1976_11D1_BD7C_0020AF42250B_.wvu.Cols" hidden="1">#REF!,#REF!,#REF!</definedName>
    <definedName name="Z_B47DD99E_1976_11D1_BD7C_0020AF42250B_.wvu.Cols" hidden="1">#REF!,#REF!,#REF!,#REF!</definedName>
    <definedName name="Z_B47DD9A3_1976_11D1_BD7C_0020AF42250B_.wvu.Cols" hidden="1">#REF!,#REF!,#REF!</definedName>
    <definedName name="Z_B47DD9A4_1976_11D1_BD7C_0020AF42250B_.wvu.Cols" hidden="1">#REF!,#REF!,#REF!</definedName>
    <definedName name="Z_B6AE087C_DC06_11D2_BCA9_00C04F8BBE86_.wvu.Cols" hidden="1">#REF!,#REF!,#REF!,#REF!,#REF!</definedName>
    <definedName name="Z_B6AE087C_DC06_11D2_BCA9_00C04F8BBE86_.wvu.PrintArea" hidden="1">#REF!</definedName>
    <definedName name="Z_B6AE087C_DC06_11D2_BCA9_00C04F8BBE86_.wvu.Rows" hidden="1">#REF!,#REF!</definedName>
    <definedName name="Z_F2D042EF_2606_11D1_BD91_0020AF42250B_.wvu.Cols" hidden="1">#REF!,#REF!,#REF!</definedName>
    <definedName name="Z_F2D042F0_2606_11D1_BD91_0020AF42250B_.wvu.Cols" hidden="1">#REF!,#REF!,#REF!</definedName>
    <definedName name="Z_F2D042F2_2606_11D1_BD91_0020AF42250B_.wvu.Cols" hidden="1">#REF!,#REF!,#REF!,#REF!</definedName>
    <definedName name="Z_F2D042F3_2606_11D1_BD91_0020AF42250B_.wvu.Cols" hidden="1">#REF!,#REF!,#REF!</definedName>
    <definedName name="Z_F2D042F4_2606_11D1_BD91_0020AF42250B_.wvu.Cols" hidden="1">#REF!,#REF!</definedName>
    <definedName name="Z_F2D042F5_2606_11D1_BD91_0020AF42250B_.wvu.Cols" hidden="1">#REF!,#REF!,#REF!</definedName>
    <definedName name="Z_F2D042F6_2606_11D1_BD91_0020AF42250B_.wvu.Cols" hidden="1">#REF!,#REF!,#REF!,#REF!</definedName>
    <definedName name="Z_F2D042FB_2606_11D1_BD91_0020AF42250B_.wvu.Cols" hidden="1">#REF!,#REF!,#REF!</definedName>
    <definedName name="Z_F2D042FC_2606_11D1_BD91_0020AF42250B_.wvu.Cols" hidden="1">#REF!,#REF!,#REF!</definedName>
    <definedName name="Z_FAFA6ED0_0531_11D1_BD56_0020AF42250B_.wvu.Cols" hidden="1">#REF!,#REF!,#REF!,#REF!</definedName>
    <definedName name="Z_FAFA6ED0_0531_11D1_BD56_0020AF42250B_.wvu.PrintArea" hidden="1">#REF!</definedName>
    <definedName name="Z_FAFA6ED0_0531_11D1_BD56_0020AF42250B_.wvu.PrintTitles" hidden="1">#REF!</definedName>
    <definedName name="Z_FAFA6ED1_0531_11D1_BD56_0020AF42250B_.wvu.Cols" hidden="1">#REF!,#REF!,#REF!</definedName>
    <definedName name="Z_FAFA6ED1_0531_11D1_BD56_0020AF42250B_.wvu.PrintArea" hidden="1">#REF!</definedName>
    <definedName name="Z_FAFA6ED1_0531_11D1_BD56_0020AF42250B_.wvu.PrintTitles" hidden="1">#REF!</definedName>
    <definedName name="zdf">#REF!</definedName>
    <definedName name="zeta_lookup">#REF!</definedName>
    <definedName name="ZETA_SCORE">#REF!</definedName>
    <definedName name="zvssd">#N/A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6" l="1"/>
  <c r="G46" i="6"/>
  <c r="G57" i="6"/>
  <c r="G214" i="6"/>
  <c r="H214" i="6"/>
  <c r="G133" i="6" l="1"/>
  <c r="H133" i="6"/>
  <c r="L118" i="6" l="1"/>
  <c r="AI34" i="14" l="1"/>
  <c r="AI33" i="14"/>
  <c r="G296" i="6"/>
  <c r="G295" i="6"/>
  <c r="G294" i="6"/>
  <c r="G293" i="6"/>
  <c r="G292" i="6"/>
  <c r="G291" i="6"/>
  <c r="G288" i="6"/>
  <c r="G265" i="6"/>
  <c r="G233" i="6"/>
  <c r="G232" i="6"/>
  <c r="G238" i="6"/>
  <c r="G239" i="6"/>
  <c r="G241" i="6"/>
  <c r="G245" i="6"/>
  <c r="G256" i="6"/>
  <c r="G225" i="6"/>
  <c r="G218" i="6"/>
  <c r="G217" i="6"/>
  <c r="G204" i="6"/>
  <c r="G203" i="6"/>
  <c r="G202" i="6"/>
  <c r="G201" i="6"/>
  <c r="G200" i="6"/>
  <c r="H188" i="6"/>
  <c r="G188" i="6"/>
  <c r="G181" i="6"/>
  <c r="H181" i="6"/>
  <c r="G178" i="6"/>
  <c r="G175" i="6"/>
  <c r="G163" i="6"/>
  <c r="G161" i="6"/>
  <c r="G160" i="6"/>
  <c r="G157" i="6"/>
  <c r="K129" i="6"/>
  <c r="G124" i="6"/>
  <c r="H121" i="6"/>
  <c r="H114" i="6"/>
  <c r="H74" i="6"/>
  <c r="H68" i="6"/>
  <c r="H60" i="6"/>
  <c r="G53" i="6"/>
  <c r="H52" i="6"/>
  <c r="G52" i="6"/>
  <c r="G29" i="6"/>
  <c r="H21" i="6"/>
  <c r="O117" i="13" l="1"/>
  <c r="O120" i="13"/>
  <c r="O119" i="13"/>
  <c r="O118" i="13"/>
  <c r="AF142" i="6"/>
  <c r="AF139" i="6"/>
  <c r="D312" i="13" l="1"/>
  <c r="D311" i="13"/>
  <c r="D309" i="13"/>
  <c r="D308" i="13"/>
  <c r="D307" i="13"/>
  <c r="D305" i="13"/>
  <c r="D303" i="13"/>
  <c r="D301" i="13"/>
  <c r="D300" i="13"/>
  <c r="D299" i="13"/>
  <c r="D298" i="13"/>
  <c r="D297" i="13"/>
  <c r="D296" i="13"/>
  <c r="D295" i="13"/>
  <c r="D294" i="13"/>
  <c r="D293" i="13"/>
  <c r="D292" i="13"/>
  <c r="D291" i="13"/>
  <c r="D290" i="13"/>
  <c r="D289" i="13"/>
  <c r="D288" i="13"/>
  <c r="D286" i="13"/>
  <c r="D285" i="13"/>
  <c r="D283" i="13"/>
  <c r="D282" i="13"/>
  <c r="D281" i="13"/>
  <c r="D280" i="13"/>
  <c r="D279" i="13"/>
  <c r="D278" i="13"/>
  <c r="D277" i="13"/>
  <c r="D276" i="13"/>
  <c r="D275" i="13"/>
  <c r="D274" i="13"/>
  <c r="D273" i="13"/>
  <c r="D272" i="13"/>
  <c r="D271" i="13"/>
  <c r="D270" i="13"/>
  <c r="D269" i="13"/>
  <c r="D267" i="13"/>
  <c r="D266" i="13"/>
  <c r="D265" i="13"/>
  <c r="D264" i="13"/>
  <c r="D263" i="13"/>
  <c r="D262" i="13"/>
  <c r="D261" i="13"/>
  <c r="D260" i="13"/>
  <c r="D259" i="13"/>
  <c r="D258" i="13"/>
  <c r="D257" i="13"/>
  <c r="D256" i="13"/>
  <c r="D255" i="13"/>
  <c r="D254" i="13"/>
  <c r="D253" i="13"/>
  <c r="D252" i="13"/>
  <c r="D250" i="13"/>
  <c r="D249" i="13"/>
  <c r="D248" i="13"/>
  <c r="D247" i="13"/>
  <c r="D246" i="13"/>
  <c r="D245" i="13"/>
  <c r="D244" i="13"/>
  <c r="D243" i="13"/>
  <c r="D242" i="13"/>
  <c r="D241" i="13"/>
  <c r="D240" i="13"/>
  <c r="D239" i="13"/>
  <c r="D238" i="13"/>
  <c r="D237" i="13"/>
  <c r="D236" i="13"/>
  <c r="D235" i="13"/>
  <c r="D234" i="13"/>
  <c r="D233" i="13"/>
  <c r="D232" i="13"/>
  <c r="D231" i="13"/>
  <c r="D230" i="13"/>
  <c r="D229" i="13"/>
  <c r="D228" i="13"/>
  <c r="D227" i="13"/>
  <c r="D226" i="13"/>
  <c r="D225" i="13"/>
  <c r="D224" i="13"/>
  <c r="D223" i="13"/>
  <c r="D222" i="13"/>
  <c r="D221" i="13"/>
  <c r="D220" i="13"/>
  <c r="D219" i="13"/>
  <c r="D218" i="13"/>
  <c r="D217" i="13"/>
  <c r="D216" i="13"/>
  <c r="D215" i="13"/>
  <c r="D214" i="13"/>
  <c r="D212" i="13"/>
  <c r="D211" i="13"/>
  <c r="D210" i="13"/>
  <c r="D209" i="13"/>
  <c r="D208" i="13"/>
  <c r="D207" i="13"/>
  <c r="D206" i="13"/>
  <c r="D205" i="13"/>
  <c r="D204" i="13"/>
  <c r="D202" i="13"/>
  <c r="D201" i="13"/>
  <c r="D200" i="13"/>
  <c r="D199" i="13"/>
  <c r="D198" i="13"/>
  <c r="D197" i="13"/>
  <c r="D196" i="13"/>
  <c r="D195" i="13"/>
  <c r="D193" i="13"/>
  <c r="D192" i="13"/>
  <c r="D191" i="13"/>
  <c r="D190" i="13"/>
  <c r="D189" i="13"/>
  <c r="D188" i="13"/>
  <c r="D187" i="13"/>
  <c r="D186" i="13"/>
  <c r="D185" i="13"/>
  <c r="D184" i="13"/>
  <c r="D183" i="13"/>
  <c r="D182" i="13"/>
  <c r="D181" i="13"/>
  <c r="D180" i="13"/>
  <c r="D179" i="13"/>
  <c r="D178" i="13"/>
  <c r="D176" i="13"/>
  <c r="D175" i="13"/>
  <c r="D173" i="13"/>
  <c r="D172" i="13"/>
  <c r="D171" i="13"/>
  <c r="D170" i="13"/>
  <c r="D169" i="13"/>
  <c r="D168" i="13"/>
  <c r="D166" i="13"/>
  <c r="D165" i="13"/>
  <c r="D164" i="13"/>
  <c r="D162" i="13"/>
  <c r="D161" i="13"/>
  <c r="D160" i="13"/>
  <c r="D159" i="13"/>
  <c r="D158" i="13"/>
  <c r="D157" i="13"/>
  <c r="D155" i="13"/>
  <c r="D154" i="13"/>
  <c r="D153" i="13"/>
  <c r="D152" i="13"/>
  <c r="D151" i="13"/>
  <c r="D150" i="13"/>
  <c r="D149" i="13"/>
  <c r="D148" i="13"/>
  <c r="D146" i="13"/>
  <c r="D144" i="13"/>
  <c r="D143" i="13"/>
  <c r="D142" i="13"/>
  <c r="D141" i="13"/>
  <c r="D140" i="13"/>
  <c r="D139" i="13"/>
  <c r="D138" i="13"/>
  <c r="D137" i="13"/>
  <c r="D136" i="13"/>
  <c r="D135" i="13"/>
  <c r="D134" i="13"/>
  <c r="D133" i="13"/>
  <c r="D132" i="13"/>
  <c r="D131" i="13"/>
  <c r="D130" i="13"/>
  <c r="D129"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8" i="13"/>
  <c r="D87" i="13"/>
  <c r="D86" i="13"/>
  <c r="D85" i="13"/>
  <c r="D84" i="13"/>
  <c r="D83" i="13"/>
  <c r="D82" i="13"/>
  <c r="D81" i="13"/>
  <c r="D80" i="13"/>
  <c r="D79" i="13"/>
  <c r="D78" i="13"/>
  <c r="D77" i="13"/>
  <c r="D76" i="13"/>
  <c r="D75" i="13"/>
  <c r="D73" i="13"/>
  <c r="D72" i="13"/>
  <c r="D71" i="13"/>
  <c r="D70" i="13"/>
  <c r="D69" i="13"/>
  <c r="D68" i="13"/>
  <c r="D67" i="13"/>
  <c r="D66" i="13"/>
  <c r="D65" i="13"/>
  <c r="D64" i="13"/>
  <c r="D63" i="13"/>
  <c r="D62" i="13"/>
  <c r="D60" i="13"/>
  <c r="D59" i="13"/>
  <c r="D58" i="13"/>
  <c r="D57" i="13"/>
  <c r="D56" i="13"/>
  <c r="D55" i="13"/>
  <c r="D54" i="13"/>
  <c r="D53" i="13"/>
  <c r="D52" i="13"/>
  <c r="D51" i="13"/>
  <c r="D50" i="13"/>
  <c r="D49" i="13"/>
  <c r="D48" i="13"/>
  <c r="D46" i="13"/>
  <c r="D45" i="13"/>
  <c r="D44" i="13"/>
  <c r="D43" i="13"/>
  <c r="D42" i="13"/>
  <c r="D41" i="13"/>
  <c r="D40" i="13"/>
  <c r="D39" i="13"/>
  <c r="D37" i="13"/>
  <c r="D36" i="13"/>
  <c r="D35" i="13"/>
  <c r="D34" i="13"/>
  <c r="D33" i="13"/>
  <c r="D31" i="13"/>
  <c r="D30" i="13"/>
  <c r="D29" i="13"/>
  <c r="D28" i="13"/>
  <c r="D27" i="13"/>
  <c r="D26" i="13"/>
  <c r="D25" i="13"/>
  <c r="D24" i="13"/>
  <c r="D23" i="13"/>
  <c r="D22" i="13"/>
  <c r="D21" i="13"/>
  <c r="C314" i="13"/>
  <c r="N339" i="6" l="1"/>
  <c r="E21" i="12" l="1"/>
  <c r="K15" i="12" l="1"/>
  <c r="O107" i="13"/>
  <c r="O113" i="13"/>
  <c r="M177" i="13" l="1"/>
  <c r="P58" i="13"/>
  <c r="Q58" i="13"/>
  <c r="R58" i="13"/>
  <c r="S58" i="13"/>
  <c r="T58" i="13"/>
  <c r="U58" i="13"/>
  <c r="P49" i="13"/>
  <c r="Q49" i="13"/>
  <c r="R49" i="13"/>
  <c r="S49" i="13"/>
  <c r="T49" i="13"/>
  <c r="U49" i="13"/>
  <c r="P63" i="13"/>
  <c r="Q63" i="13"/>
  <c r="R63" i="13"/>
  <c r="S63" i="13"/>
  <c r="T63" i="13"/>
  <c r="U63" i="13"/>
  <c r="P104" i="13"/>
  <c r="Q104" i="13"/>
  <c r="R104" i="13"/>
  <c r="S104" i="13"/>
  <c r="P123" i="13"/>
  <c r="Q123" i="13"/>
  <c r="R123" i="13"/>
  <c r="S123" i="13"/>
  <c r="T123" i="13"/>
  <c r="U123" i="13"/>
  <c r="P170" i="13"/>
  <c r="Q170" i="13"/>
  <c r="R170" i="13"/>
  <c r="S170" i="13"/>
  <c r="T170" i="13"/>
  <c r="U170" i="13"/>
  <c r="S175" i="13"/>
  <c r="R175" i="13"/>
  <c r="Q175" i="13"/>
  <c r="P175" i="13"/>
  <c r="P202" i="13"/>
  <c r="Q202" i="13"/>
  <c r="R202" i="13"/>
  <c r="S202" i="13"/>
  <c r="T202" i="13"/>
  <c r="U202" i="13"/>
  <c r="S201" i="13"/>
  <c r="R201" i="13"/>
  <c r="Q201" i="13"/>
  <c r="P201" i="13"/>
  <c r="M304" i="13"/>
  <c r="M313" i="13"/>
  <c r="M310" i="13"/>
  <c r="M306" i="13"/>
  <c r="M302" i="13"/>
  <c r="M287" i="13"/>
  <c r="M284" i="13"/>
  <c r="M274" i="13"/>
  <c r="M270" i="13"/>
  <c r="M268" i="13"/>
  <c r="M251" i="13"/>
  <c r="M213" i="13"/>
  <c r="M203" i="13"/>
  <c r="M198" i="13"/>
  <c r="M194" i="13"/>
  <c r="M174" i="13"/>
  <c r="M167" i="13"/>
  <c r="M163" i="13"/>
  <c r="M160" i="13"/>
  <c r="M156" i="13"/>
  <c r="M147" i="13"/>
  <c r="M145" i="13"/>
  <c r="M128" i="13"/>
  <c r="M89" i="13"/>
  <c r="M74" i="13"/>
  <c r="M38" i="13"/>
  <c r="M47" i="13"/>
  <c r="M61" i="13"/>
  <c r="M21" i="13"/>
  <c r="L31" i="13"/>
  <c r="L30" i="13"/>
  <c r="L29" i="13"/>
  <c r="L28" i="13"/>
  <c r="L27" i="13"/>
  <c r="L26" i="13"/>
  <c r="L25" i="13"/>
  <c r="L24" i="13"/>
  <c r="L23" i="13"/>
  <c r="L22" i="13"/>
  <c r="M20" i="13"/>
  <c r="M32" i="13" l="1"/>
  <c r="M314" i="13" s="1"/>
  <c r="M320" i="13" s="1"/>
  <c r="H21" i="14"/>
  <c r="L327" i="14"/>
  <c r="J214" i="6" l="1"/>
  <c r="T201" i="13" s="1"/>
  <c r="J189" i="6"/>
  <c r="K189" i="6" s="1"/>
  <c r="J188" i="6"/>
  <c r="T175" i="13" s="1"/>
  <c r="J183" i="6"/>
  <c r="K183" i="6" s="1"/>
  <c r="J134" i="6"/>
  <c r="K134" i="6" s="1"/>
  <c r="J115" i="6"/>
  <c r="J75" i="6"/>
  <c r="K75" i="6" s="1"/>
  <c r="J70" i="6"/>
  <c r="K70" i="6" s="1"/>
  <c r="J61" i="6"/>
  <c r="K61" i="6" s="1"/>
  <c r="P21" i="15"/>
  <c r="O21" i="15"/>
  <c r="N303" i="15"/>
  <c r="R320" i="15"/>
  <c r="R329" i="15"/>
  <c r="R328" i="15"/>
  <c r="S319" i="15"/>
  <c r="S327" i="15"/>
  <c r="K115" i="6" l="1"/>
  <c r="T104" i="13"/>
  <c r="L319" i="14"/>
  <c r="L323" i="14"/>
  <c r="F185" i="15"/>
  <c r="I155" i="15"/>
  <c r="F155" i="15"/>
  <c r="U104" i="13" l="1"/>
  <c r="F61" i="15"/>
  <c r="F25" i="15"/>
  <c r="S278" i="15" l="1"/>
  <c r="U278" i="15" s="1"/>
  <c r="W278" i="15" s="1"/>
  <c r="R279" i="15"/>
  <c r="U279" i="15" s="1"/>
  <c r="W279" i="15" s="1"/>
  <c r="U328" i="15"/>
  <c r="W328" i="15" s="1"/>
  <c r="J327" i="15"/>
  <c r="J323" i="15"/>
  <c r="Q329" i="15"/>
  <c r="P329" i="15"/>
  <c r="O329" i="15"/>
  <c r="N329" i="15"/>
  <c r="M329" i="15"/>
  <c r="Q328" i="15"/>
  <c r="P328" i="15"/>
  <c r="O328" i="15"/>
  <c r="N328" i="15"/>
  <c r="M328" i="15"/>
  <c r="Q326" i="15"/>
  <c r="P326" i="15"/>
  <c r="O326" i="15"/>
  <c r="N326" i="15"/>
  <c r="M326" i="15"/>
  <c r="Q325" i="15"/>
  <c r="P325" i="15"/>
  <c r="O325" i="15"/>
  <c r="N325" i="15"/>
  <c r="M325" i="15"/>
  <c r="Q324" i="15"/>
  <c r="P324" i="15"/>
  <c r="O324" i="15"/>
  <c r="N324" i="15"/>
  <c r="M324" i="15"/>
  <c r="Q322" i="15"/>
  <c r="P322" i="15"/>
  <c r="O322" i="15"/>
  <c r="N322" i="15"/>
  <c r="M322" i="15"/>
  <c r="U320" i="15"/>
  <c r="W320" i="15" s="1"/>
  <c r="Q320" i="15"/>
  <c r="P320" i="15"/>
  <c r="O320" i="15"/>
  <c r="N320" i="15"/>
  <c r="M320" i="15"/>
  <c r="U319" i="15"/>
  <c r="W319" i="15" s="1"/>
  <c r="P318" i="15"/>
  <c r="O318" i="15"/>
  <c r="N318" i="15"/>
  <c r="M318" i="15"/>
  <c r="P317" i="15"/>
  <c r="O317" i="15"/>
  <c r="N317" i="15"/>
  <c r="M317" i="15"/>
  <c r="P316" i="15"/>
  <c r="O316" i="15"/>
  <c r="N316" i="15"/>
  <c r="M316" i="15"/>
  <c r="P315" i="15"/>
  <c r="O315" i="15"/>
  <c r="N315" i="15"/>
  <c r="M315" i="15"/>
  <c r="P314" i="15"/>
  <c r="O314" i="15"/>
  <c r="N314" i="15"/>
  <c r="M314" i="15"/>
  <c r="W313" i="15"/>
  <c r="P313" i="15"/>
  <c r="O313" i="15"/>
  <c r="N313" i="15"/>
  <c r="M313" i="15"/>
  <c r="P312" i="15"/>
  <c r="O312" i="15"/>
  <c r="N312" i="15"/>
  <c r="M312" i="15"/>
  <c r="P311" i="15"/>
  <c r="O311" i="15"/>
  <c r="N311" i="15"/>
  <c r="M311" i="15"/>
  <c r="W310" i="15"/>
  <c r="P310" i="15"/>
  <c r="O310" i="15"/>
  <c r="N310" i="15"/>
  <c r="M310" i="15"/>
  <c r="P309" i="15"/>
  <c r="O309" i="15"/>
  <c r="N309" i="15"/>
  <c r="M309" i="15"/>
  <c r="P308" i="15"/>
  <c r="O308" i="15"/>
  <c r="N308" i="15"/>
  <c r="M308" i="15"/>
  <c r="P307" i="15"/>
  <c r="O307" i="15"/>
  <c r="N307" i="15"/>
  <c r="M307" i="15"/>
  <c r="W306" i="15"/>
  <c r="P306" i="15"/>
  <c r="O306" i="15"/>
  <c r="N306" i="15"/>
  <c r="M306" i="15"/>
  <c r="P305" i="15"/>
  <c r="O305" i="15"/>
  <c r="N305" i="15"/>
  <c r="M305" i="15"/>
  <c r="O303" i="15"/>
  <c r="M303" i="15"/>
  <c r="O302" i="15"/>
  <c r="N302" i="15"/>
  <c r="M302" i="15"/>
  <c r="W300" i="15"/>
  <c r="P300" i="15"/>
  <c r="O300" i="15"/>
  <c r="N300" i="15"/>
  <c r="M300" i="15"/>
  <c r="W299" i="15"/>
  <c r="P299" i="15"/>
  <c r="O299" i="15"/>
  <c r="N299" i="15"/>
  <c r="M299" i="15"/>
  <c r="W298" i="15"/>
  <c r="P298" i="15"/>
  <c r="O298" i="15"/>
  <c r="N298" i="15"/>
  <c r="M298" i="15"/>
  <c r="W297" i="15"/>
  <c r="P297" i="15"/>
  <c r="O297" i="15"/>
  <c r="N297" i="15"/>
  <c r="M297" i="15"/>
  <c r="W296" i="15"/>
  <c r="P296" i="15"/>
  <c r="O296" i="15"/>
  <c r="N296" i="15"/>
  <c r="M296" i="15"/>
  <c r="W295" i="15"/>
  <c r="P295" i="15"/>
  <c r="O295" i="15"/>
  <c r="N295" i="15"/>
  <c r="M295" i="15"/>
  <c r="W294" i="15"/>
  <c r="P294" i="15"/>
  <c r="O294" i="15"/>
  <c r="N294" i="15"/>
  <c r="M294" i="15"/>
  <c r="W293" i="15"/>
  <c r="P293" i="15"/>
  <c r="O293" i="15"/>
  <c r="N293" i="15"/>
  <c r="M293" i="15"/>
  <c r="W292" i="15"/>
  <c r="P291" i="15"/>
  <c r="O291" i="15"/>
  <c r="M291" i="15"/>
  <c r="P290" i="15"/>
  <c r="O290" i="15"/>
  <c r="M290" i="15"/>
  <c r="P289" i="15"/>
  <c r="O289" i="15"/>
  <c r="M289" i="15"/>
  <c r="P288" i="15"/>
  <c r="O288" i="15"/>
  <c r="M288" i="15"/>
  <c r="P287" i="15"/>
  <c r="O287" i="15"/>
  <c r="M287" i="15"/>
  <c r="P286" i="15"/>
  <c r="O286" i="15"/>
  <c r="M286" i="15"/>
  <c r="P285" i="15"/>
  <c r="O285" i="15"/>
  <c r="N285" i="15"/>
  <c r="M285" i="15"/>
  <c r="P284" i="15"/>
  <c r="O284" i="15"/>
  <c r="N284" i="15"/>
  <c r="M284" i="15"/>
  <c r="P283" i="15"/>
  <c r="O283" i="15"/>
  <c r="M283" i="15"/>
  <c r="P281" i="15"/>
  <c r="O281" i="15"/>
  <c r="N281" i="15"/>
  <c r="M281" i="15"/>
  <c r="P280" i="15"/>
  <c r="O280" i="15"/>
  <c r="N280" i="15"/>
  <c r="M280" i="15"/>
  <c r="P279" i="15"/>
  <c r="O279" i="15"/>
  <c r="N279" i="15"/>
  <c r="M279" i="15"/>
  <c r="P277" i="15"/>
  <c r="O277" i="15"/>
  <c r="N277" i="15"/>
  <c r="M277" i="15"/>
  <c r="P275" i="15"/>
  <c r="O275" i="15"/>
  <c r="N275" i="15"/>
  <c r="M275" i="15"/>
  <c r="W274" i="15"/>
  <c r="P274" i="15"/>
  <c r="O274" i="15"/>
  <c r="N274" i="15"/>
  <c r="M274" i="15"/>
  <c r="P273" i="15"/>
  <c r="O273" i="15"/>
  <c r="N273" i="15"/>
  <c r="M273" i="15"/>
  <c r="P272" i="15"/>
  <c r="O272" i="15"/>
  <c r="N272" i="15"/>
  <c r="M272" i="15"/>
  <c r="W271" i="15"/>
  <c r="P271" i="15"/>
  <c r="O271" i="15"/>
  <c r="N271" i="15"/>
  <c r="M271" i="15"/>
  <c r="W270" i="15"/>
  <c r="P270" i="15"/>
  <c r="O270" i="15"/>
  <c r="N270" i="15"/>
  <c r="M270" i="15"/>
  <c r="W269" i="15"/>
  <c r="P269" i="15"/>
  <c r="O269" i="15"/>
  <c r="N269" i="15"/>
  <c r="M269" i="15"/>
  <c r="P268" i="15"/>
  <c r="O268" i="15"/>
  <c r="N268" i="15"/>
  <c r="M268" i="15"/>
  <c r="P267" i="15"/>
  <c r="O267" i="15"/>
  <c r="N267" i="15"/>
  <c r="M267" i="15"/>
  <c r="P266" i="15"/>
  <c r="O266" i="15"/>
  <c r="N266" i="15"/>
  <c r="M266" i="15"/>
  <c r="P265" i="15"/>
  <c r="O265" i="15"/>
  <c r="N265" i="15"/>
  <c r="M265" i="15"/>
  <c r="W264" i="15"/>
  <c r="P264" i="15"/>
  <c r="O264" i="15"/>
  <c r="N264" i="15"/>
  <c r="M264" i="15"/>
  <c r="P263" i="15"/>
  <c r="O263" i="15"/>
  <c r="N263" i="15"/>
  <c r="M263" i="15"/>
  <c r="P262" i="15"/>
  <c r="O262" i="15"/>
  <c r="N262" i="15"/>
  <c r="M262" i="15"/>
  <c r="W261" i="15"/>
  <c r="P261" i="15"/>
  <c r="O261" i="15"/>
  <c r="N261" i="15"/>
  <c r="M261" i="15"/>
  <c r="P260" i="15"/>
  <c r="O260" i="15"/>
  <c r="M260" i="15"/>
  <c r="P258" i="15"/>
  <c r="O258" i="15"/>
  <c r="N258" i="15"/>
  <c r="M258" i="15"/>
  <c r="P257" i="15"/>
  <c r="O257" i="15"/>
  <c r="N257" i="15"/>
  <c r="M257" i="15"/>
  <c r="P256" i="15"/>
  <c r="O256" i="15"/>
  <c r="N256" i="15"/>
  <c r="M256" i="15"/>
  <c r="P255" i="15"/>
  <c r="O255" i="15"/>
  <c r="N255" i="15"/>
  <c r="M255" i="15"/>
  <c r="P254" i="15"/>
  <c r="O254" i="15"/>
  <c r="N254" i="15"/>
  <c r="M254" i="15"/>
  <c r="W253" i="15"/>
  <c r="P253" i="15"/>
  <c r="O253" i="15"/>
  <c r="N253" i="15"/>
  <c r="M253" i="15"/>
  <c r="W252" i="15"/>
  <c r="P252" i="15"/>
  <c r="O252" i="15"/>
  <c r="N252" i="15"/>
  <c r="M252" i="15"/>
  <c r="P251" i="15"/>
  <c r="O251" i="15"/>
  <c r="M251" i="15"/>
  <c r="P250" i="15"/>
  <c r="O250" i="15"/>
  <c r="N250" i="15"/>
  <c r="M250" i="15"/>
  <c r="P249" i="15"/>
  <c r="O249" i="15"/>
  <c r="N249" i="15"/>
  <c r="M249" i="15"/>
  <c r="P248" i="15"/>
  <c r="O248" i="15"/>
  <c r="N248" i="15"/>
  <c r="M248" i="15"/>
  <c r="W247" i="15"/>
  <c r="P247" i="15"/>
  <c r="O247" i="15"/>
  <c r="N247" i="15"/>
  <c r="M247" i="15"/>
  <c r="P246" i="15"/>
  <c r="O246" i="15"/>
  <c r="N246" i="15"/>
  <c r="M246" i="15"/>
  <c r="P245" i="15"/>
  <c r="O245" i="15"/>
  <c r="N245" i="15"/>
  <c r="M245" i="15"/>
  <c r="P244" i="15"/>
  <c r="O244" i="15"/>
  <c r="N244" i="15"/>
  <c r="M244" i="15"/>
  <c r="W243" i="15"/>
  <c r="P243" i="15"/>
  <c r="O243" i="15"/>
  <c r="N243" i="15"/>
  <c r="M243" i="15"/>
  <c r="W242" i="15"/>
  <c r="P242" i="15"/>
  <c r="O242" i="15"/>
  <c r="N242" i="15"/>
  <c r="M242" i="15"/>
  <c r="W241" i="15"/>
  <c r="P241" i="15"/>
  <c r="O241" i="15"/>
  <c r="N241" i="15"/>
  <c r="M241" i="15"/>
  <c r="P240" i="15"/>
  <c r="O240" i="15"/>
  <c r="M240" i="15"/>
  <c r="P239" i="15"/>
  <c r="O239" i="15"/>
  <c r="N239" i="15"/>
  <c r="M239" i="15"/>
  <c r="P238" i="15"/>
  <c r="O238" i="15"/>
  <c r="N238" i="15"/>
  <c r="M238" i="15"/>
  <c r="P237" i="15"/>
  <c r="O237" i="15"/>
  <c r="N237" i="15"/>
  <c r="M237" i="15"/>
  <c r="P236" i="15"/>
  <c r="O236" i="15"/>
  <c r="M236" i="15"/>
  <c r="P235" i="15"/>
  <c r="O235" i="15"/>
  <c r="N235" i="15"/>
  <c r="M235" i="15"/>
  <c r="P234" i="15"/>
  <c r="O234" i="15"/>
  <c r="M234" i="15"/>
  <c r="P233" i="15"/>
  <c r="O233" i="15"/>
  <c r="M233" i="15"/>
  <c r="W232" i="15"/>
  <c r="P232" i="15"/>
  <c r="O232" i="15"/>
  <c r="N232" i="15"/>
  <c r="M232" i="15"/>
  <c r="P231" i="15"/>
  <c r="O231" i="15"/>
  <c r="N231" i="15"/>
  <c r="M231" i="15"/>
  <c r="P230" i="15"/>
  <c r="O230" i="15"/>
  <c r="N230" i="15"/>
  <c r="M230" i="15"/>
  <c r="P229" i="15"/>
  <c r="O229" i="15"/>
  <c r="N229" i="15"/>
  <c r="M229" i="15"/>
  <c r="P228" i="15"/>
  <c r="O228" i="15"/>
  <c r="M228" i="15"/>
  <c r="P227" i="15"/>
  <c r="O227" i="15"/>
  <c r="M227" i="15"/>
  <c r="P226" i="15"/>
  <c r="O226" i="15"/>
  <c r="M226" i="15"/>
  <c r="P225" i="15"/>
  <c r="O225" i="15"/>
  <c r="N225" i="15"/>
  <c r="M225" i="15"/>
  <c r="P224" i="15"/>
  <c r="O224" i="15"/>
  <c r="N224" i="15"/>
  <c r="M224" i="15"/>
  <c r="P223" i="15"/>
  <c r="O223" i="15"/>
  <c r="N223" i="15"/>
  <c r="M223" i="15"/>
  <c r="P222" i="15"/>
  <c r="O222" i="15"/>
  <c r="N222" i="15"/>
  <c r="M222" i="15"/>
  <c r="P220" i="15"/>
  <c r="O220" i="15"/>
  <c r="M220" i="15"/>
  <c r="W219" i="15"/>
  <c r="P219" i="15"/>
  <c r="O219" i="15"/>
  <c r="N219" i="15"/>
  <c r="M219" i="15"/>
  <c r="P218" i="15"/>
  <c r="O218" i="15"/>
  <c r="N218" i="15"/>
  <c r="M218" i="15"/>
  <c r="P217" i="15"/>
  <c r="O217" i="15"/>
  <c r="N217" i="15"/>
  <c r="M217" i="15"/>
  <c r="P216" i="15"/>
  <c r="O216" i="15"/>
  <c r="N216" i="15"/>
  <c r="M216" i="15"/>
  <c r="P215" i="15"/>
  <c r="O215" i="15"/>
  <c r="N215" i="15"/>
  <c r="M215" i="15"/>
  <c r="W214" i="15"/>
  <c r="P214" i="15"/>
  <c r="O214" i="15"/>
  <c r="N214" i="15"/>
  <c r="M214" i="15"/>
  <c r="P213" i="15"/>
  <c r="O213" i="15"/>
  <c r="M213" i="15"/>
  <c r="P212" i="15"/>
  <c r="O212" i="15"/>
  <c r="M212" i="15"/>
  <c r="P210" i="15"/>
  <c r="O210" i="15"/>
  <c r="M210" i="15"/>
  <c r="P209" i="15"/>
  <c r="O209" i="15"/>
  <c r="M209" i="15"/>
  <c r="P208" i="15"/>
  <c r="O208" i="15"/>
  <c r="M208" i="15"/>
  <c r="P206" i="15"/>
  <c r="O206" i="15"/>
  <c r="M206" i="15"/>
  <c r="P205" i="15"/>
  <c r="O205" i="15"/>
  <c r="M205" i="15"/>
  <c r="P204" i="15"/>
  <c r="O204" i="15"/>
  <c r="M204" i="15"/>
  <c r="P202" i="15"/>
  <c r="O202" i="15"/>
  <c r="N202" i="15"/>
  <c r="M202" i="15"/>
  <c r="P201" i="15"/>
  <c r="O201" i="15"/>
  <c r="N201" i="15"/>
  <c r="M201" i="15"/>
  <c r="P200" i="15"/>
  <c r="O200" i="15"/>
  <c r="M200" i="15"/>
  <c r="P199" i="15"/>
  <c r="O199" i="15"/>
  <c r="M199" i="15"/>
  <c r="P198" i="15"/>
  <c r="O198" i="15"/>
  <c r="M198" i="15"/>
  <c r="P197" i="15"/>
  <c r="O197" i="15"/>
  <c r="M197" i="15"/>
  <c r="P196" i="15"/>
  <c r="O196" i="15"/>
  <c r="M196" i="15"/>
  <c r="P195" i="15"/>
  <c r="O195" i="15"/>
  <c r="N195" i="15"/>
  <c r="M195" i="15"/>
  <c r="W194" i="15"/>
  <c r="P194" i="15"/>
  <c r="O194" i="15"/>
  <c r="N194" i="15"/>
  <c r="M194" i="15"/>
  <c r="W193" i="15"/>
  <c r="P193" i="15"/>
  <c r="O193" i="15"/>
  <c r="N193" i="15"/>
  <c r="M193" i="15"/>
  <c r="P192" i="15"/>
  <c r="O192" i="15"/>
  <c r="M192" i="15"/>
  <c r="P191" i="15"/>
  <c r="O191" i="15"/>
  <c r="M191" i="15"/>
  <c r="P190" i="15"/>
  <c r="O190" i="15"/>
  <c r="M190" i="15"/>
  <c r="P189" i="15"/>
  <c r="O189" i="15"/>
  <c r="M189" i="15"/>
  <c r="P188" i="15"/>
  <c r="O188" i="15"/>
  <c r="M188" i="15"/>
  <c r="P187" i="15"/>
  <c r="O187" i="15"/>
  <c r="M187" i="15"/>
  <c r="P185" i="15"/>
  <c r="O185" i="15"/>
  <c r="M185" i="15"/>
  <c r="P183" i="15"/>
  <c r="O183" i="15"/>
  <c r="M183" i="15"/>
  <c r="P182" i="15"/>
  <c r="O182" i="15"/>
  <c r="M182" i="15"/>
  <c r="W181" i="15"/>
  <c r="P181" i="15"/>
  <c r="O181" i="15"/>
  <c r="N181" i="15"/>
  <c r="M181" i="15"/>
  <c r="W180" i="15"/>
  <c r="P180" i="15"/>
  <c r="O180" i="15"/>
  <c r="M180" i="15"/>
  <c r="P179" i="15"/>
  <c r="M179" i="15"/>
  <c r="H179" i="15"/>
  <c r="P177" i="15"/>
  <c r="O177" i="15"/>
  <c r="N177" i="15"/>
  <c r="M177" i="15"/>
  <c r="P176" i="15"/>
  <c r="O176" i="15"/>
  <c r="M176" i="15"/>
  <c r="P175" i="15"/>
  <c r="O175" i="15"/>
  <c r="N175" i="15"/>
  <c r="M175" i="15"/>
  <c r="W173" i="15"/>
  <c r="P173" i="15"/>
  <c r="O173" i="15"/>
  <c r="M173" i="15"/>
  <c r="P172" i="15"/>
  <c r="O172" i="15"/>
  <c r="M172" i="15"/>
  <c r="W170" i="15"/>
  <c r="P170" i="15"/>
  <c r="O170" i="15"/>
  <c r="N170" i="15"/>
  <c r="M170" i="15"/>
  <c r="W169" i="15"/>
  <c r="P168" i="15"/>
  <c r="O168" i="15"/>
  <c r="M168" i="15"/>
  <c r="P167" i="15"/>
  <c r="N167" i="15"/>
  <c r="M167" i="15"/>
  <c r="P166" i="15"/>
  <c r="O166" i="15"/>
  <c r="M166" i="15"/>
  <c r="P164" i="15"/>
  <c r="O164" i="15"/>
  <c r="N164" i="15"/>
  <c r="M164" i="15"/>
  <c r="P163" i="15"/>
  <c r="O163" i="15"/>
  <c r="N163" i="15"/>
  <c r="M163" i="15"/>
  <c r="P162" i="15"/>
  <c r="O162" i="15"/>
  <c r="N162" i="15"/>
  <c r="M162" i="15"/>
  <c r="P161" i="15"/>
  <c r="O161" i="15"/>
  <c r="M161" i="15"/>
  <c r="P160" i="15"/>
  <c r="O160" i="15"/>
  <c r="N160" i="15"/>
  <c r="M160" i="15"/>
  <c r="P159" i="15"/>
  <c r="O159" i="15"/>
  <c r="M159" i="15"/>
  <c r="P158" i="15"/>
  <c r="O158" i="15"/>
  <c r="M158" i="15"/>
  <c r="P157" i="15"/>
  <c r="O157" i="15"/>
  <c r="N157" i="15"/>
  <c r="M157" i="15"/>
  <c r="P155" i="15"/>
  <c r="O155" i="15"/>
  <c r="M155" i="15"/>
  <c r="P153" i="15"/>
  <c r="O153" i="15"/>
  <c r="N153" i="15"/>
  <c r="M153" i="15"/>
  <c r="P152" i="15"/>
  <c r="O152" i="15"/>
  <c r="M152" i="15"/>
  <c r="P151" i="15"/>
  <c r="O151" i="15"/>
  <c r="M151" i="15"/>
  <c r="P150" i="15"/>
  <c r="O150" i="15"/>
  <c r="M150" i="15"/>
  <c r="P149" i="15"/>
  <c r="O149" i="15"/>
  <c r="N149" i="15"/>
  <c r="M149" i="15"/>
  <c r="P148" i="15"/>
  <c r="O148" i="15"/>
  <c r="N148" i="15"/>
  <c r="M148" i="15"/>
  <c r="P147" i="15"/>
  <c r="O147" i="15"/>
  <c r="N147" i="15"/>
  <c r="M147" i="15"/>
  <c r="W146" i="15"/>
  <c r="P146" i="15"/>
  <c r="O146" i="15"/>
  <c r="N146" i="15"/>
  <c r="M146" i="15"/>
  <c r="W145" i="15"/>
  <c r="P145" i="15"/>
  <c r="O145" i="15"/>
  <c r="N145" i="15"/>
  <c r="M145" i="15"/>
  <c r="W144" i="15"/>
  <c r="P144" i="15"/>
  <c r="O144" i="15"/>
  <c r="N144" i="15"/>
  <c r="M144" i="15"/>
  <c r="P143" i="15"/>
  <c r="O143" i="15"/>
  <c r="M143" i="15"/>
  <c r="P142" i="15"/>
  <c r="O142" i="15"/>
  <c r="N142" i="15"/>
  <c r="M142" i="15"/>
  <c r="P141" i="15"/>
  <c r="O141" i="15"/>
  <c r="N141" i="15"/>
  <c r="M141" i="15"/>
  <c r="P140" i="15"/>
  <c r="O140" i="15"/>
  <c r="N140" i="15"/>
  <c r="M140" i="15"/>
  <c r="P139" i="15"/>
  <c r="O139" i="15"/>
  <c r="M139" i="15"/>
  <c r="W138" i="15"/>
  <c r="P138" i="15"/>
  <c r="O138" i="15"/>
  <c r="N138" i="15"/>
  <c r="M138" i="15"/>
  <c r="W136" i="15"/>
  <c r="P136" i="15"/>
  <c r="O136" i="15"/>
  <c r="N136" i="15"/>
  <c r="M136" i="15"/>
  <c r="W135" i="15"/>
  <c r="P135" i="15"/>
  <c r="O135" i="15"/>
  <c r="N135" i="15"/>
  <c r="M135" i="15"/>
  <c r="W134" i="15"/>
  <c r="P134" i="15"/>
  <c r="O134" i="15"/>
  <c r="N134" i="15"/>
  <c r="M134" i="15"/>
  <c r="W133" i="15"/>
  <c r="P133" i="15"/>
  <c r="O133" i="15"/>
  <c r="N133" i="15"/>
  <c r="M133" i="15"/>
  <c r="P132" i="15"/>
  <c r="O132" i="15"/>
  <c r="N132" i="15"/>
  <c r="M132" i="15"/>
  <c r="P131" i="15"/>
  <c r="O131" i="15"/>
  <c r="N131" i="15"/>
  <c r="M131" i="15"/>
  <c r="P130" i="15"/>
  <c r="O130" i="15"/>
  <c r="M130" i="15"/>
  <c r="P129" i="15"/>
  <c r="O129" i="15"/>
  <c r="M129" i="15"/>
  <c r="P128" i="15"/>
  <c r="O128" i="15"/>
  <c r="M128" i="15"/>
  <c r="P127" i="15"/>
  <c r="O127" i="15"/>
  <c r="M127" i="15"/>
  <c r="P126" i="15"/>
  <c r="O126" i="15"/>
  <c r="N126" i="15"/>
  <c r="M126" i="15"/>
  <c r="P125" i="15"/>
  <c r="O125" i="15"/>
  <c r="N125" i="15"/>
  <c r="M125" i="15"/>
  <c r="P124" i="15"/>
  <c r="O124" i="15"/>
  <c r="M124" i="15"/>
  <c r="P123" i="15"/>
  <c r="O123" i="15"/>
  <c r="M123" i="15"/>
  <c r="P122" i="15"/>
  <c r="O122" i="15"/>
  <c r="N122" i="15"/>
  <c r="M122" i="15"/>
  <c r="P121" i="15"/>
  <c r="O121" i="15"/>
  <c r="N121" i="15"/>
  <c r="M121" i="15"/>
  <c r="P120" i="15"/>
  <c r="N120" i="15"/>
  <c r="M120" i="15"/>
  <c r="W119" i="15"/>
  <c r="P119" i="15"/>
  <c r="O119" i="15"/>
  <c r="N119" i="15"/>
  <c r="M119" i="15"/>
  <c r="W118" i="15"/>
  <c r="P118" i="15"/>
  <c r="O118" i="15"/>
  <c r="N118" i="15"/>
  <c r="M118" i="15"/>
  <c r="P117" i="15"/>
  <c r="O117" i="15"/>
  <c r="N117" i="15"/>
  <c r="M117" i="15"/>
  <c r="W116" i="15"/>
  <c r="P116" i="15"/>
  <c r="O116" i="15"/>
  <c r="N116" i="15"/>
  <c r="M116" i="15"/>
  <c r="P115" i="15"/>
  <c r="O115" i="15"/>
  <c r="M115" i="15"/>
  <c r="P114" i="15"/>
  <c r="O114" i="15"/>
  <c r="M114" i="15"/>
  <c r="P113" i="15"/>
  <c r="O113" i="15"/>
  <c r="N113" i="15"/>
  <c r="M113" i="15"/>
  <c r="W112" i="15"/>
  <c r="P112" i="15"/>
  <c r="O112" i="15"/>
  <c r="N112" i="15"/>
  <c r="M112" i="15"/>
  <c r="W111" i="15"/>
  <c r="P111" i="15"/>
  <c r="O111" i="15"/>
  <c r="N111" i="15"/>
  <c r="M111" i="15"/>
  <c r="P110" i="15"/>
  <c r="O110" i="15"/>
  <c r="M110" i="15"/>
  <c r="W109" i="15"/>
  <c r="P109" i="15"/>
  <c r="O109" i="15"/>
  <c r="N109" i="15"/>
  <c r="M109" i="15"/>
  <c r="P108" i="15"/>
  <c r="O108" i="15"/>
  <c r="M108" i="15"/>
  <c r="P107" i="15"/>
  <c r="O107" i="15"/>
  <c r="M107" i="15"/>
  <c r="P106" i="15"/>
  <c r="O106" i="15"/>
  <c r="N106" i="15"/>
  <c r="M106" i="15"/>
  <c r="P105" i="15"/>
  <c r="O105" i="15"/>
  <c r="M105" i="15"/>
  <c r="P104" i="15"/>
  <c r="O104" i="15"/>
  <c r="N104" i="15"/>
  <c r="M104" i="15"/>
  <c r="P103" i="15"/>
  <c r="O103" i="15"/>
  <c r="M103" i="15"/>
  <c r="P102" i="15"/>
  <c r="O102" i="15"/>
  <c r="N102" i="15"/>
  <c r="M102" i="15"/>
  <c r="P101" i="15"/>
  <c r="O101" i="15"/>
  <c r="N101" i="15"/>
  <c r="M101" i="15"/>
  <c r="P99" i="15"/>
  <c r="O99" i="15"/>
  <c r="N99" i="15"/>
  <c r="M99" i="15"/>
  <c r="P98" i="15"/>
  <c r="O98" i="15"/>
  <c r="M98" i="15"/>
  <c r="W97" i="15"/>
  <c r="P97" i="15"/>
  <c r="O97" i="15"/>
  <c r="N97" i="15"/>
  <c r="M97" i="15"/>
  <c r="W96" i="15"/>
  <c r="P96" i="15"/>
  <c r="O96" i="15"/>
  <c r="N96" i="15"/>
  <c r="M96" i="15"/>
  <c r="W95" i="15"/>
  <c r="P95" i="15"/>
  <c r="O95" i="15"/>
  <c r="N95" i="15"/>
  <c r="M95" i="15"/>
  <c r="W94" i="15"/>
  <c r="P94" i="15"/>
  <c r="O94" i="15"/>
  <c r="N94" i="15"/>
  <c r="M94" i="15"/>
  <c r="W93" i="15"/>
  <c r="P93" i="15"/>
  <c r="O93" i="15"/>
  <c r="N93" i="15"/>
  <c r="M93" i="15"/>
  <c r="W92" i="15"/>
  <c r="P92" i="15"/>
  <c r="O92" i="15"/>
  <c r="N92" i="15"/>
  <c r="M92" i="15"/>
  <c r="P91" i="15"/>
  <c r="O91" i="15"/>
  <c r="M91" i="15"/>
  <c r="P90" i="15"/>
  <c r="O90" i="15"/>
  <c r="M90" i="15"/>
  <c r="W89" i="15"/>
  <c r="P89" i="15"/>
  <c r="O89" i="15"/>
  <c r="N89" i="15"/>
  <c r="M89" i="15"/>
  <c r="W88" i="15"/>
  <c r="P88" i="15"/>
  <c r="O88" i="15"/>
  <c r="N88" i="15"/>
  <c r="M88" i="15"/>
  <c r="W87" i="15"/>
  <c r="P87" i="15"/>
  <c r="O87" i="15"/>
  <c r="N87" i="15"/>
  <c r="M87" i="15"/>
  <c r="P86" i="15"/>
  <c r="O86" i="15"/>
  <c r="N86" i="15"/>
  <c r="M86" i="15"/>
  <c r="P85" i="15"/>
  <c r="O85" i="15"/>
  <c r="N85" i="15"/>
  <c r="M85" i="15"/>
  <c r="W83" i="15"/>
  <c r="P83" i="15"/>
  <c r="O83" i="15"/>
  <c r="N83" i="15"/>
  <c r="M83" i="15"/>
  <c r="P82" i="15"/>
  <c r="O82" i="15"/>
  <c r="M82" i="15"/>
  <c r="P81" i="15"/>
  <c r="O81" i="15"/>
  <c r="M81" i="15"/>
  <c r="P80" i="15"/>
  <c r="O80" i="15"/>
  <c r="M80" i="15"/>
  <c r="P79" i="15"/>
  <c r="O79" i="15"/>
  <c r="M79" i="15"/>
  <c r="P78" i="15"/>
  <c r="O78" i="15"/>
  <c r="M78" i="15"/>
  <c r="P77" i="15"/>
  <c r="O77" i="15"/>
  <c r="M77" i="15"/>
  <c r="P76" i="15"/>
  <c r="O76" i="15"/>
  <c r="N76" i="15"/>
  <c r="M76" i="15"/>
  <c r="W75" i="15"/>
  <c r="P75" i="15"/>
  <c r="O75" i="15"/>
  <c r="N75" i="15"/>
  <c r="M75" i="15"/>
  <c r="P74" i="15"/>
  <c r="O74" i="15"/>
  <c r="M74" i="15"/>
  <c r="P73" i="15"/>
  <c r="O73" i="15"/>
  <c r="M73" i="15"/>
  <c r="W71" i="15"/>
  <c r="P71" i="15"/>
  <c r="O71" i="15"/>
  <c r="N71" i="15"/>
  <c r="M71" i="15"/>
  <c r="P70" i="15"/>
  <c r="O70" i="15"/>
  <c r="N70" i="15"/>
  <c r="M70" i="15"/>
  <c r="P69" i="15"/>
  <c r="O69" i="15"/>
  <c r="M69" i="15"/>
  <c r="P68" i="15"/>
  <c r="O68" i="15"/>
  <c r="M68" i="15"/>
  <c r="W67" i="15"/>
  <c r="P67" i="15"/>
  <c r="O67" i="15"/>
  <c r="N67" i="15"/>
  <c r="M67" i="15"/>
  <c r="W66" i="15"/>
  <c r="P66" i="15"/>
  <c r="O66" i="15"/>
  <c r="N66" i="15"/>
  <c r="M66" i="15"/>
  <c r="W65" i="15"/>
  <c r="P65" i="15"/>
  <c r="O65" i="15"/>
  <c r="N65" i="15"/>
  <c r="M65" i="15"/>
  <c r="P64" i="15"/>
  <c r="O64" i="15"/>
  <c r="N64" i="15"/>
  <c r="M64" i="15"/>
  <c r="W63" i="15"/>
  <c r="P63" i="15"/>
  <c r="O63" i="15"/>
  <c r="N63" i="15"/>
  <c r="M63" i="15"/>
  <c r="W62" i="15"/>
  <c r="P62" i="15"/>
  <c r="O62" i="15"/>
  <c r="N62" i="15"/>
  <c r="M62" i="15"/>
  <c r="P61" i="15"/>
  <c r="O61" i="15"/>
  <c r="M61" i="15"/>
  <c r="R60" i="15"/>
  <c r="U60" i="15" s="1"/>
  <c r="W60" i="15" s="1"/>
  <c r="Q60" i="15"/>
  <c r="P60" i="15"/>
  <c r="O60" i="15"/>
  <c r="N60" i="15"/>
  <c r="M60" i="15"/>
  <c r="W58" i="15"/>
  <c r="P58" i="15"/>
  <c r="O58" i="15"/>
  <c r="N58" i="15"/>
  <c r="M58" i="15"/>
  <c r="P57" i="15"/>
  <c r="O57" i="15"/>
  <c r="M57" i="15"/>
  <c r="P56" i="15"/>
  <c r="O56" i="15"/>
  <c r="N56" i="15"/>
  <c r="M56" i="15"/>
  <c r="W55" i="15"/>
  <c r="P55" i="15"/>
  <c r="O55" i="15"/>
  <c r="N55" i="15"/>
  <c r="M55" i="15"/>
  <c r="W54" i="15"/>
  <c r="P54" i="15"/>
  <c r="O54" i="15"/>
  <c r="N54" i="15"/>
  <c r="M54" i="15"/>
  <c r="P53" i="15"/>
  <c r="O53" i="15"/>
  <c r="M53" i="15"/>
  <c r="P52" i="15"/>
  <c r="M52" i="15"/>
  <c r="P51" i="15"/>
  <c r="O51" i="15"/>
  <c r="N51" i="15"/>
  <c r="M51" i="15"/>
  <c r="P49" i="15"/>
  <c r="O49" i="15"/>
  <c r="M49" i="15"/>
  <c r="P48" i="15"/>
  <c r="O48" i="15"/>
  <c r="M48" i="15"/>
  <c r="W47" i="15"/>
  <c r="P47" i="15"/>
  <c r="O47" i="15"/>
  <c r="N47" i="15"/>
  <c r="M47" i="15"/>
  <c r="P46" i="15"/>
  <c r="O46" i="15"/>
  <c r="M46" i="15"/>
  <c r="P45" i="15"/>
  <c r="O45" i="15"/>
  <c r="M45" i="15"/>
  <c r="W43" i="15"/>
  <c r="P43" i="15"/>
  <c r="O43" i="15"/>
  <c r="N43" i="15"/>
  <c r="M43" i="15"/>
  <c r="W42" i="15"/>
  <c r="P42" i="15"/>
  <c r="O42" i="15"/>
  <c r="N42" i="15"/>
  <c r="M42" i="15"/>
  <c r="W41" i="15"/>
  <c r="P41" i="15"/>
  <c r="O41" i="15"/>
  <c r="N41" i="15"/>
  <c r="M41" i="15"/>
  <c r="W40" i="15"/>
  <c r="P40" i="15"/>
  <c r="O40" i="15"/>
  <c r="N40" i="15"/>
  <c r="M40" i="15"/>
  <c r="W39" i="15"/>
  <c r="P39" i="15"/>
  <c r="O39" i="15"/>
  <c r="N39" i="15"/>
  <c r="M39" i="15"/>
  <c r="W38" i="15"/>
  <c r="P38" i="15"/>
  <c r="O38" i="15"/>
  <c r="N38" i="15"/>
  <c r="M38" i="15"/>
  <c r="W37" i="15"/>
  <c r="P37" i="15"/>
  <c r="O37" i="15"/>
  <c r="N37" i="15"/>
  <c r="M37" i="15"/>
  <c r="W36" i="15"/>
  <c r="P36" i="15"/>
  <c r="O36" i="15"/>
  <c r="N36" i="15"/>
  <c r="M36" i="15"/>
  <c r="W35" i="15"/>
  <c r="P34" i="15"/>
  <c r="O34" i="15"/>
  <c r="N34" i="15"/>
  <c r="M34" i="15"/>
  <c r="P33" i="15"/>
  <c r="O33" i="15"/>
  <c r="M33" i="15"/>
  <c r="W32" i="15"/>
  <c r="P32" i="15"/>
  <c r="O32" i="15"/>
  <c r="N32" i="15"/>
  <c r="M32" i="15"/>
  <c r="W31" i="15"/>
  <c r="P31" i="15"/>
  <c r="O31" i="15"/>
  <c r="N31" i="15"/>
  <c r="M31" i="15"/>
  <c r="P30" i="15"/>
  <c r="O30" i="15"/>
  <c r="M30" i="15"/>
  <c r="P29" i="15"/>
  <c r="O29" i="15"/>
  <c r="N29" i="15"/>
  <c r="M29" i="15"/>
  <c r="P28" i="15"/>
  <c r="O28" i="15"/>
  <c r="N28" i="15"/>
  <c r="M28" i="15"/>
  <c r="P27" i="15"/>
  <c r="O27" i="15"/>
  <c r="N27" i="15"/>
  <c r="M27" i="15"/>
  <c r="W26" i="15"/>
  <c r="P26" i="15"/>
  <c r="O26" i="15"/>
  <c r="N26" i="15"/>
  <c r="M26" i="15"/>
  <c r="P25" i="15"/>
  <c r="O25" i="15"/>
  <c r="M25" i="15"/>
  <c r="P23" i="15"/>
  <c r="O23" i="15"/>
  <c r="N23" i="15"/>
  <c r="M23" i="15"/>
  <c r="M21" i="15"/>
  <c r="J17" i="15"/>
  <c r="S16" i="15"/>
  <c r="J16" i="15"/>
  <c r="M11" i="15"/>
  <c r="D11" i="15"/>
  <c r="R9" i="15"/>
  <c r="S9" i="15" s="1"/>
  <c r="J9" i="15"/>
  <c r="J8" i="15"/>
  <c r="J7" i="15"/>
  <c r="J6" i="15"/>
  <c r="J5" i="15"/>
  <c r="J4" i="15"/>
  <c r="S17" i="15" l="1"/>
  <c r="S6" i="15"/>
  <c r="S7" i="15"/>
  <c r="U329" i="15"/>
  <c r="W329" i="15" s="1"/>
  <c r="S8" i="15"/>
  <c r="J330" i="15"/>
  <c r="D15" i="15" s="1"/>
  <c r="D16" i="15" s="1"/>
  <c r="S5" i="15"/>
  <c r="S4" i="15"/>
  <c r="L278" i="14"/>
  <c r="D17" i="15" l="1"/>
  <c r="U327" i="15" l="1"/>
  <c r="W327" i="15" s="1"/>
  <c r="H20" i="12" l="1"/>
  <c r="O278" i="14"/>
  <c r="F472" i="14"/>
  <c r="F468" i="14"/>
  <c r="F467" i="14"/>
  <c r="F466" i="14"/>
  <c r="F465" i="14"/>
  <c r="F464" i="14"/>
  <c r="F463" i="14"/>
  <c r="F462" i="14"/>
  <c r="F461" i="14"/>
  <c r="F460" i="14"/>
  <c r="F459" i="14"/>
  <c r="F458" i="14"/>
  <c r="F440" i="14"/>
  <c r="F439" i="14"/>
  <c r="F437" i="14"/>
  <c r="F436" i="14"/>
  <c r="E361" i="14"/>
  <c r="J318" i="14"/>
  <c r="K318" i="14" s="1"/>
  <c r="J317" i="14"/>
  <c r="K317" i="14" s="1"/>
  <c r="F524" i="14" s="1"/>
  <c r="J316" i="14"/>
  <c r="K316" i="14" s="1"/>
  <c r="J315" i="14"/>
  <c r="K315" i="14" s="1"/>
  <c r="J314" i="14"/>
  <c r="K314" i="14" s="1"/>
  <c r="J313" i="14"/>
  <c r="K313" i="14" s="1"/>
  <c r="J312" i="14"/>
  <c r="K312" i="14" s="1"/>
  <c r="J311" i="14"/>
  <c r="K311" i="14" s="1"/>
  <c r="J310" i="14"/>
  <c r="K310" i="14" s="1"/>
  <c r="F522" i="14" s="1"/>
  <c r="J309" i="14"/>
  <c r="K309" i="14" s="1"/>
  <c r="F521" i="14" s="1"/>
  <c r="J308" i="14"/>
  <c r="K308" i="14" s="1"/>
  <c r="F520" i="14" s="1"/>
  <c r="J307" i="14"/>
  <c r="K307" i="14" s="1"/>
  <c r="F519" i="14" s="1"/>
  <c r="J306" i="14"/>
  <c r="K306" i="14" s="1"/>
  <c r="J305" i="14"/>
  <c r="K305" i="14" s="1"/>
  <c r="J300" i="14"/>
  <c r="K300" i="14" s="1"/>
  <c r="J299" i="14"/>
  <c r="K299" i="14" s="1"/>
  <c r="K298" i="14"/>
  <c r="J298" i="14"/>
  <c r="J297" i="14"/>
  <c r="K297" i="14" s="1"/>
  <c r="K296" i="14"/>
  <c r="J296" i="14"/>
  <c r="J295" i="14"/>
  <c r="K295" i="14" s="1"/>
  <c r="J294" i="14"/>
  <c r="K294" i="14" s="1"/>
  <c r="J293" i="14"/>
  <c r="K293" i="14" s="1"/>
  <c r="J291" i="14"/>
  <c r="G291" i="14"/>
  <c r="J290" i="14"/>
  <c r="G290" i="14"/>
  <c r="J289" i="14"/>
  <c r="K289" i="14" s="1"/>
  <c r="G289" i="14"/>
  <c r="J288" i="14"/>
  <c r="K288" i="14" s="1"/>
  <c r="G288" i="14"/>
  <c r="J287" i="14"/>
  <c r="G287" i="14"/>
  <c r="J286" i="14"/>
  <c r="G286" i="14"/>
  <c r="J285" i="14"/>
  <c r="K285" i="14" s="1"/>
  <c r="J284" i="14"/>
  <c r="K284" i="14" s="1"/>
  <c r="J283" i="14"/>
  <c r="K283" i="14" s="1"/>
  <c r="G283" i="14"/>
  <c r="J281" i="14"/>
  <c r="K281" i="14" s="1"/>
  <c r="J280" i="14"/>
  <c r="K280" i="14" s="1"/>
  <c r="J279" i="14"/>
  <c r="J277" i="14"/>
  <c r="K277" i="14" s="1"/>
  <c r="L276" i="14" s="1"/>
  <c r="J275" i="14"/>
  <c r="K275" i="14" s="1"/>
  <c r="J274" i="14"/>
  <c r="K274" i="14" s="1"/>
  <c r="J273" i="14"/>
  <c r="K273" i="14" s="1"/>
  <c r="J272" i="14"/>
  <c r="K272" i="14" s="1"/>
  <c r="J271" i="14"/>
  <c r="K271" i="14" s="1"/>
  <c r="J270" i="14"/>
  <c r="K270" i="14" s="1"/>
  <c r="J269" i="14"/>
  <c r="K269" i="14" s="1"/>
  <c r="J268" i="14"/>
  <c r="K268" i="14" s="1"/>
  <c r="J267" i="14"/>
  <c r="K267" i="14" s="1"/>
  <c r="J266" i="14"/>
  <c r="K266" i="14" s="1"/>
  <c r="J265" i="14"/>
  <c r="K265" i="14" s="1"/>
  <c r="J264" i="14"/>
  <c r="K264" i="14" s="1"/>
  <c r="J263" i="14"/>
  <c r="K263" i="14" s="1"/>
  <c r="J262" i="14"/>
  <c r="K262" i="14" s="1"/>
  <c r="J261" i="14"/>
  <c r="K261" i="14" s="1"/>
  <c r="J260" i="14"/>
  <c r="J258" i="14"/>
  <c r="K258" i="14" s="1"/>
  <c r="J257" i="14"/>
  <c r="K257" i="14" s="1"/>
  <c r="J256" i="14"/>
  <c r="K256" i="14" s="1"/>
  <c r="J255" i="14"/>
  <c r="K255" i="14" s="1"/>
  <c r="J254" i="14"/>
  <c r="K254" i="14" s="1"/>
  <c r="J253" i="14"/>
  <c r="K253" i="14" s="1"/>
  <c r="J252" i="14"/>
  <c r="K252" i="14" s="1"/>
  <c r="J251" i="14"/>
  <c r="G251" i="14"/>
  <c r="J250" i="14"/>
  <c r="K250" i="14" s="1"/>
  <c r="J249" i="14"/>
  <c r="K249" i="14" s="1"/>
  <c r="F518" i="14" s="1"/>
  <c r="J248" i="14"/>
  <c r="K248" i="14" s="1"/>
  <c r="J247" i="14"/>
  <c r="K247" i="14" s="1"/>
  <c r="J246" i="14"/>
  <c r="K246" i="14" s="1"/>
  <c r="J245" i="14"/>
  <c r="K245" i="14" s="1"/>
  <c r="J244" i="14"/>
  <c r="K244" i="14" s="1"/>
  <c r="K243" i="14"/>
  <c r="J243" i="14"/>
  <c r="J242" i="14"/>
  <c r="K242" i="14" s="1"/>
  <c r="J241" i="14"/>
  <c r="K241" i="14" s="1"/>
  <c r="J240" i="14"/>
  <c r="G240" i="14"/>
  <c r="J239" i="14"/>
  <c r="K239" i="14" s="1"/>
  <c r="J238" i="14"/>
  <c r="K238" i="14" s="1"/>
  <c r="J237" i="14"/>
  <c r="K237" i="14" s="1"/>
  <c r="J236" i="14"/>
  <c r="K236" i="14" s="1"/>
  <c r="G236" i="14"/>
  <c r="J235" i="14"/>
  <c r="K235" i="14" s="1"/>
  <c r="J234" i="14"/>
  <c r="G234" i="14"/>
  <c r="J233" i="14"/>
  <c r="K233" i="14" s="1"/>
  <c r="F516" i="14" s="1"/>
  <c r="G233" i="14"/>
  <c r="J232" i="14"/>
  <c r="K232" i="14" s="1"/>
  <c r="J231" i="14"/>
  <c r="K231" i="14" s="1"/>
  <c r="J230" i="14"/>
  <c r="K230" i="14" s="1"/>
  <c r="J229" i="14"/>
  <c r="K229" i="14" s="1"/>
  <c r="J228" i="14"/>
  <c r="G228" i="14"/>
  <c r="J227" i="14"/>
  <c r="K227" i="14" s="1"/>
  <c r="G227" i="14"/>
  <c r="J226" i="14"/>
  <c r="K226" i="14" s="1"/>
  <c r="G226" i="14"/>
  <c r="J225" i="14"/>
  <c r="K225" i="14" s="1"/>
  <c r="J224" i="14"/>
  <c r="K224" i="14" s="1"/>
  <c r="J223" i="14"/>
  <c r="K223" i="14" s="1"/>
  <c r="J222" i="14"/>
  <c r="K222" i="14" s="1"/>
  <c r="J220" i="14"/>
  <c r="G220" i="14"/>
  <c r="K219" i="14"/>
  <c r="J219" i="14"/>
  <c r="J218" i="14"/>
  <c r="K218" i="14" s="1"/>
  <c r="J217" i="14"/>
  <c r="K217" i="14" s="1"/>
  <c r="J216" i="14"/>
  <c r="K216" i="14" s="1"/>
  <c r="J215" i="14"/>
  <c r="K215" i="14" s="1"/>
  <c r="J214" i="14"/>
  <c r="K214" i="14" s="1"/>
  <c r="J213" i="14"/>
  <c r="G213" i="14"/>
  <c r="J212" i="14"/>
  <c r="G212" i="14"/>
  <c r="K212" i="14" s="1"/>
  <c r="J210" i="14"/>
  <c r="J209" i="14"/>
  <c r="J208" i="14"/>
  <c r="J206" i="14"/>
  <c r="G206" i="14"/>
  <c r="K206" i="14" s="1"/>
  <c r="J205" i="14"/>
  <c r="K205" i="14" s="1"/>
  <c r="G205" i="14"/>
  <c r="J204" i="14"/>
  <c r="G204" i="14"/>
  <c r="J202" i="14"/>
  <c r="K202" i="14" s="1"/>
  <c r="J201" i="14"/>
  <c r="K201" i="14" s="1"/>
  <c r="J200" i="14"/>
  <c r="K200" i="14" s="1"/>
  <c r="F512" i="14" s="1"/>
  <c r="G200" i="14"/>
  <c r="J199" i="14"/>
  <c r="G199" i="14"/>
  <c r="J198" i="14"/>
  <c r="G198" i="14"/>
  <c r="J197" i="14"/>
  <c r="G197" i="14"/>
  <c r="J196" i="14"/>
  <c r="K196" i="14" s="1"/>
  <c r="G196" i="14"/>
  <c r="J195" i="14"/>
  <c r="K195" i="14" s="1"/>
  <c r="J194" i="14"/>
  <c r="K194" i="14" s="1"/>
  <c r="F509" i="14" s="1"/>
  <c r="J193" i="14"/>
  <c r="K193" i="14" s="1"/>
  <c r="J192" i="14"/>
  <c r="J191" i="14"/>
  <c r="G191" i="14"/>
  <c r="J190" i="14"/>
  <c r="J189" i="14"/>
  <c r="J188" i="14"/>
  <c r="J187" i="14"/>
  <c r="G187" i="14"/>
  <c r="J185" i="14"/>
  <c r="J183" i="14"/>
  <c r="K183" i="14" s="1"/>
  <c r="F505" i="14" s="1"/>
  <c r="G183" i="14"/>
  <c r="J182" i="14"/>
  <c r="G182" i="14"/>
  <c r="J181" i="14"/>
  <c r="K181" i="14" s="1"/>
  <c r="J180" i="14"/>
  <c r="K180" i="14" s="1"/>
  <c r="G180" i="14"/>
  <c r="J179" i="14"/>
  <c r="K179" i="14" s="1"/>
  <c r="H179" i="14"/>
  <c r="G179" i="14"/>
  <c r="K177" i="14"/>
  <c r="J177" i="14"/>
  <c r="J176" i="14"/>
  <c r="G176" i="14"/>
  <c r="J175" i="14"/>
  <c r="K175" i="14" s="1"/>
  <c r="J173" i="14"/>
  <c r="G173" i="14"/>
  <c r="J172" i="14"/>
  <c r="K172" i="14" s="1"/>
  <c r="G172" i="14"/>
  <c r="J170" i="14"/>
  <c r="K170" i="14" s="1"/>
  <c r="L169" i="14" s="1"/>
  <c r="E346" i="14" s="1"/>
  <c r="J168" i="14"/>
  <c r="K168" i="14" s="1"/>
  <c r="F502" i="14" s="1"/>
  <c r="G168" i="14"/>
  <c r="J167" i="14"/>
  <c r="K167" i="14" s="1"/>
  <c r="H167" i="14"/>
  <c r="J166" i="14"/>
  <c r="G166" i="14"/>
  <c r="J164" i="14"/>
  <c r="K164" i="14" s="1"/>
  <c r="F499" i="14" s="1"/>
  <c r="J163" i="14"/>
  <c r="K163" i="14" s="1"/>
  <c r="J162" i="14"/>
  <c r="K162" i="14" s="1"/>
  <c r="J161" i="14"/>
  <c r="J160" i="14"/>
  <c r="K160" i="14" s="1"/>
  <c r="J159" i="14"/>
  <c r="J158" i="14"/>
  <c r="J157" i="14"/>
  <c r="K157" i="14" s="1"/>
  <c r="J155" i="14"/>
  <c r="J153" i="14"/>
  <c r="K153" i="14" s="1"/>
  <c r="J152" i="14"/>
  <c r="G152" i="14"/>
  <c r="J151" i="14"/>
  <c r="J150" i="14"/>
  <c r="J149" i="14"/>
  <c r="K149" i="14" s="1"/>
  <c r="J148" i="14"/>
  <c r="K148" i="14" s="1"/>
  <c r="J147" i="14"/>
  <c r="K147" i="14" s="1"/>
  <c r="F498" i="14" s="1"/>
  <c r="J146" i="14"/>
  <c r="K146" i="14" s="1"/>
  <c r="F497" i="14" s="1"/>
  <c r="J145" i="14"/>
  <c r="K145" i="14" s="1"/>
  <c r="J144" i="14"/>
  <c r="K144" i="14" s="1"/>
  <c r="J143" i="14"/>
  <c r="J142" i="14"/>
  <c r="K142" i="14" s="1"/>
  <c r="J141" i="14"/>
  <c r="K141" i="14" s="1"/>
  <c r="J140" i="14"/>
  <c r="K140" i="14" s="1"/>
  <c r="J139" i="14"/>
  <c r="J138" i="14"/>
  <c r="K138" i="14" s="1"/>
  <c r="J136" i="14"/>
  <c r="K136" i="14" s="1"/>
  <c r="J135" i="14"/>
  <c r="K135" i="14" s="1"/>
  <c r="J134" i="14"/>
  <c r="K134" i="14" s="1"/>
  <c r="J133" i="14"/>
  <c r="K133" i="14" s="1"/>
  <c r="J132" i="14"/>
  <c r="G132" i="14"/>
  <c r="J131" i="14"/>
  <c r="K131" i="14" s="1"/>
  <c r="J130" i="14"/>
  <c r="G130" i="14"/>
  <c r="J129" i="14"/>
  <c r="K129" i="14" s="1"/>
  <c r="G129" i="14"/>
  <c r="J128" i="14"/>
  <c r="G128" i="14"/>
  <c r="J127" i="14"/>
  <c r="K127" i="14" s="1"/>
  <c r="F417" i="14" s="1"/>
  <c r="G127" i="14"/>
  <c r="J126" i="14"/>
  <c r="K126" i="14" s="1"/>
  <c r="F416" i="14" s="1"/>
  <c r="J125" i="14"/>
  <c r="K125" i="14" s="1"/>
  <c r="F415" i="14" s="1"/>
  <c r="J124" i="14"/>
  <c r="G124" i="14"/>
  <c r="J123" i="14"/>
  <c r="G123" i="14"/>
  <c r="J122" i="14"/>
  <c r="K122" i="14" s="1"/>
  <c r="F412" i="14" s="1"/>
  <c r="J121" i="14"/>
  <c r="K121" i="14" s="1"/>
  <c r="F411" i="14" s="1"/>
  <c r="H120" i="14"/>
  <c r="J120" i="14" s="1"/>
  <c r="K120" i="14" s="1"/>
  <c r="F410" i="14" s="1"/>
  <c r="J119" i="14"/>
  <c r="K119" i="14" s="1"/>
  <c r="J118" i="14"/>
  <c r="K118" i="14" s="1"/>
  <c r="J117" i="14"/>
  <c r="K117" i="14" s="1"/>
  <c r="J116" i="14"/>
  <c r="K116" i="14" s="1"/>
  <c r="J115" i="14"/>
  <c r="J114" i="14"/>
  <c r="K114" i="14" s="1"/>
  <c r="G114" i="14"/>
  <c r="J113" i="14"/>
  <c r="K113" i="14" s="1"/>
  <c r="J112" i="14"/>
  <c r="K112" i="14" s="1"/>
  <c r="K111" i="14"/>
  <c r="J111" i="14"/>
  <c r="J110" i="14"/>
  <c r="G110" i="14"/>
  <c r="J109" i="14"/>
  <c r="K109" i="14" s="1"/>
  <c r="J108" i="14"/>
  <c r="G108" i="14"/>
  <c r="J107" i="14"/>
  <c r="K107" i="14" s="1"/>
  <c r="G107" i="14"/>
  <c r="J106" i="14"/>
  <c r="K106" i="14" s="1"/>
  <c r="J105" i="14"/>
  <c r="J104" i="14"/>
  <c r="K104" i="14" s="1"/>
  <c r="J103" i="14"/>
  <c r="G103" i="14"/>
  <c r="J102" i="14"/>
  <c r="K102" i="14" s="1"/>
  <c r="J101" i="14"/>
  <c r="K101" i="14" s="1"/>
  <c r="J99" i="14"/>
  <c r="K99" i="14" s="1"/>
  <c r="J98" i="14"/>
  <c r="J97" i="14"/>
  <c r="K97" i="14" s="1"/>
  <c r="J96" i="14"/>
  <c r="K96" i="14" s="1"/>
  <c r="J95" i="14"/>
  <c r="K95" i="14" s="1"/>
  <c r="J94" i="14"/>
  <c r="K94" i="14" s="1"/>
  <c r="J93" i="14"/>
  <c r="K93" i="14" s="1"/>
  <c r="F492" i="14" s="1"/>
  <c r="J92" i="14"/>
  <c r="K92" i="14" s="1"/>
  <c r="F491" i="14" s="1"/>
  <c r="J91" i="14"/>
  <c r="J90" i="14"/>
  <c r="J89" i="14"/>
  <c r="K89" i="14" s="1"/>
  <c r="J88" i="14"/>
  <c r="K88" i="14" s="1"/>
  <c r="J87" i="14"/>
  <c r="K87" i="14" s="1"/>
  <c r="J86" i="14"/>
  <c r="K86" i="14" s="1"/>
  <c r="J85" i="14"/>
  <c r="K85" i="14" s="1"/>
  <c r="J83" i="14"/>
  <c r="K83" i="14" s="1"/>
  <c r="J82" i="14"/>
  <c r="K82" i="14" s="1"/>
  <c r="G82" i="14"/>
  <c r="J81" i="14"/>
  <c r="G81" i="14"/>
  <c r="J80" i="14"/>
  <c r="G80" i="14"/>
  <c r="J79" i="14"/>
  <c r="G79" i="14"/>
  <c r="J78" i="14"/>
  <c r="K78" i="14" s="1"/>
  <c r="G78" i="14"/>
  <c r="J77" i="14"/>
  <c r="G77" i="14"/>
  <c r="J76" i="14"/>
  <c r="K76" i="14" s="1"/>
  <c r="J75" i="14"/>
  <c r="K75" i="14" s="1"/>
  <c r="J74" i="14"/>
  <c r="G74" i="14"/>
  <c r="J73" i="14"/>
  <c r="G73" i="14"/>
  <c r="J71" i="14"/>
  <c r="K71" i="14" s="1"/>
  <c r="J70" i="14"/>
  <c r="K70" i="14" s="1"/>
  <c r="F488" i="14" s="1"/>
  <c r="J69" i="14"/>
  <c r="K69" i="14" s="1"/>
  <c r="G69" i="14"/>
  <c r="J68" i="14"/>
  <c r="K67" i="14"/>
  <c r="J67" i="14"/>
  <c r="J66" i="14"/>
  <c r="K66" i="14" s="1"/>
  <c r="F487" i="14" s="1"/>
  <c r="J65" i="14"/>
  <c r="K65" i="14" s="1"/>
  <c r="F486" i="14" s="1"/>
  <c r="J64" i="14"/>
  <c r="K64" i="14" s="1"/>
  <c r="F485" i="14" s="1"/>
  <c r="J63" i="14"/>
  <c r="K63" i="14" s="1"/>
  <c r="F484" i="14" s="1"/>
  <c r="J62" i="14"/>
  <c r="K62" i="14" s="1"/>
  <c r="J61" i="14"/>
  <c r="G61" i="14"/>
  <c r="J60" i="14"/>
  <c r="K60" i="14" s="1"/>
  <c r="J58" i="14"/>
  <c r="K58" i="14" s="1"/>
  <c r="J57" i="14"/>
  <c r="G57" i="14"/>
  <c r="J56" i="14"/>
  <c r="K56" i="14" s="1"/>
  <c r="F483" i="14" s="1"/>
  <c r="K55" i="14"/>
  <c r="F482" i="14" s="1"/>
  <c r="J55" i="14"/>
  <c r="J54" i="14"/>
  <c r="K54" i="14" s="1"/>
  <c r="K53" i="14"/>
  <c r="J53" i="14"/>
  <c r="G53" i="14"/>
  <c r="H52" i="14"/>
  <c r="J52" i="14" s="1"/>
  <c r="K52" i="14" s="1"/>
  <c r="G52" i="14"/>
  <c r="J51" i="14"/>
  <c r="K51" i="14" s="1"/>
  <c r="J49" i="14"/>
  <c r="K49" i="14" s="1"/>
  <c r="F481" i="14" s="1"/>
  <c r="G49" i="14"/>
  <c r="J48" i="14"/>
  <c r="G48" i="14"/>
  <c r="J47" i="14"/>
  <c r="K47" i="14" s="1"/>
  <c r="J46" i="14"/>
  <c r="K46" i="14" s="1"/>
  <c r="G46" i="14"/>
  <c r="J45" i="14"/>
  <c r="G45" i="14"/>
  <c r="J43" i="14"/>
  <c r="K43" i="14" s="1"/>
  <c r="J42" i="14"/>
  <c r="K42" i="14" s="1"/>
  <c r="J41" i="14"/>
  <c r="K41" i="14" s="1"/>
  <c r="J40" i="14"/>
  <c r="K40" i="14" s="1"/>
  <c r="K39" i="14"/>
  <c r="J39" i="14"/>
  <c r="J38" i="14"/>
  <c r="K38" i="14" s="1"/>
  <c r="J37" i="14"/>
  <c r="K37" i="14" s="1"/>
  <c r="J36" i="14"/>
  <c r="K36" i="14" s="1"/>
  <c r="J34" i="14"/>
  <c r="K34" i="14" s="1"/>
  <c r="F479" i="14" s="1"/>
  <c r="J33" i="14"/>
  <c r="K33" i="14" s="1"/>
  <c r="G33" i="14"/>
  <c r="J32" i="14"/>
  <c r="K32" i="14" s="1"/>
  <c r="F478" i="14" s="1"/>
  <c r="J31" i="14"/>
  <c r="K31" i="14" s="1"/>
  <c r="F477" i="14" s="1"/>
  <c r="J30" i="14"/>
  <c r="G30" i="14"/>
  <c r="J29" i="14"/>
  <c r="K29" i="14" s="1"/>
  <c r="G29" i="14"/>
  <c r="J28" i="14"/>
  <c r="K28" i="14" s="1"/>
  <c r="J27" i="14"/>
  <c r="K27" i="14" s="1"/>
  <c r="J26" i="14"/>
  <c r="K26" i="14" s="1"/>
  <c r="J25" i="14"/>
  <c r="K25" i="14" s="1"/>
  <c r="J23" i="14"/>
  <c r="K23" i="14" s="1"/>
  <c r="G21" i="14"/>
  <c r="AO17" i="14"/>
  <c r="AH17" i="14"/>
  <c r="AO15" i="14"/>
  <c r="AP15" i="14" s="1"/>
  <c r="AH15" i="14"/>
  <c r="AI15" i="14" s="1"/>
  <c r="F15" i="14"/>
  <c r="AL14" i="14"/>
  <c r="AL13" i="14"/>
  <c r="O13" i="14"/>
  <c r="G192" i="14" s="1"/>
  <c r="AL12" i="14"/>
  <c r="AS11" i="14"/>
  <c r="AL11" i="14"/>
  <c r="AL15" i="14" s="1"/>
  <c r="O10" i="14"/>
  <c r="B10" i="14"/>
  <c r="AO9" i="14"/>
  <c r="AP9" i="14" s="1"/>
  <c r="AH9" i="14"/>
  <c r="K9" i="14"/>
  <c r="I9" i="14"/>
  <c r="AH8" i="14"/>
  <c r="AI9" i="14" s="1"/>
  <c r="E8" i="14"/>
  <c r="F16" i="14" s="1"/>
  <c r="AH7" i="14"/>
  <c r="AL6" i="14"/>
  <c r="AH6" i="14"/>
  <c r="AL5" i="14"/>
  <c r="AH5" i="14"/>
  <c r="AL4" i="14"/>
  <c r="AS3" i="14"/>
  <c r="AL3" i="14"/>
  <c r="O2" i="14"/>
  <c r="G25" i="14" s="1"/>
  <c r="N333" i="14" l="1"/>
  <c r="K303" i="14"/>
  <c r="K209" i="14"/>
  <c r="G143" i="14"/>
  <c r="K192" i="14"/>
  <c r="K128" i="14"/>
  <c r="F418" i="14" s="1"/>
  <c r="K143" i="14"/>
  <c r="K220" i="14"/>
  <c r="K234" i="14"/>
  <c r="J8" i="14"/>
  <c r="G115" i="14"/>
  <c r="K166" i="14"/>
  <c r="K287" i="14"/>
  <c r="K251" i="14"/>
  <c r="L221" i="14" s="1"/>
  <c r="K45" i="14"/>
  <c r="L44" i="14" s="1"/>
  <c r="G210" i="14"/>
  <c r="K210" i="14" s="1"/>
  <c r="K73" i="14"/>
  <c r="K103" i="14"/>
  <c r="K115" i="14"/>
  <c r="K286" i="14"/>
  <c r="L282" i="14" s="1"/>
  <c r="K57" i="14"/>
  <c r="L50" i="14" s="1"/>
  <c r="K130" i="14"/>
  <c r="K182" i="14"/>
  <c r="F504" i="14" s="1"/>
  <c r="K61" i="14"/>
  <c r="K77" i="14"/>
  <c r="G209" i="14"/>
  <c r="K74" i="14"/>
  <c r="K197" i="14"/>
  <c r="F3" i="14"/>
  <c r="K30" i="14"/>
  <c r="F476" i="14" s="1"/>
  <c r="G150" i="14"/>
  <c r="J3" i="14"/>
  <c r="K132" i="14"/>
  <c r="K150" i="14"/>
  <c r="K198" i="14"/>
  <c r="F510" i="14" s="1"/>
  <c r="K152" i="14"/>
  <c r="K185" i="14"/>
  <c r="L184" i="14" s="1"/>
  <c r="E350" i="14" s="1"/>
  <c r="K228" i="14"/>
  <c r="F515" i="14" s="1"/>
  <c r="K290" i="14"/>
  <c r="K123" i="14"/>
  <c r="F413" i="14" s="1"/>
  <c r="K187" i="14"/>
  <c r="F513" i="14" s="1"/>
  <c r="K291" i="14"/>
  <c r="K79" i="14"/>
  <c r="K110" i="14"/>
  <c r="G155" i="14"/>
  <c r="K80" i="14"/>
  <c r="K124" i="14"/>
  <c r="F414" i="14" s="1"/>
  <c r="K155" i="14"/>
  <c r="K173" i="14"/>
  <c r="F503" i="14" s="1"/>
  <c r="G260" i="14"/>
  <c r="K260" i="14" s="1"/>
  <c r="L259" i="14" s="1"/>
  <c r="K108" i="14"/>
  <c r="F495" i="14" s="1"/>
  <c r="G185" i="14"/>
  <c r="AL7" i="14"/>
  <c r="K48" i="14"/>
  <c r="F480" i="14" s="1"/>
  <c r="K213" i="14"/>
  <c r="L211" i="14" s="1"/>
  <c r="J4" i="14"/>
  <c r="G68" i="14"/>
  <c r="K199" i="14"/>
  <c r="F511" i="14" s="1"/>
  <c r="K240" i="14"/>
  <c r="F517" i="14" s="1"/>
  <c r="F4" i="14"/>
  <c r="K68" i="14"/>
  <c r="L59" i="14" s="1"/>
  <c r="K81" i="14"/>
  <c r="L72" i="14" s="1"/>
  <c r="G98" i="14"/>
  <c r="K98" i="14" s="1"/>
  <c r="K176" i="14"/>
  <c r="L174" i="14" s="1"/>
  <c r="K204" i="14"/>
  <c r="K191" i="14"/>
  <c r="L203" i="14"/>
  <c r="F523" i="14"/>
  <c r="L22" i="14"/>
  <c r="F438" i="14"/>
  <c r="F500" i="14"/>
  <c r="L165" i="14"/>
  <c r="L304" i="14"/>
  <c r="K208" i="14"/>
  <c r="F490" i="14"/>
  <c r="F501" i="14"/>
  <c r="F434" i="14"/>
  <c r="F475" i="14"/>
  <c r="F441" i="14"/>
  <c r="F435" i="14"/>
  <c r="F430" i="14"/>
  <c r="F397" i="14"/>
  <c r="E357" i="14"/>
  <c r="L292" i="14"/>
  <c r="E360" i="14" s="1"/>
  <c r="F506" i="14"/>
  <c r="L35" i="14"/>
  <c r="E335" i="14" s="1"/>
  <c r="L154" i="14"/>
  <c r="F419" i="14"/>
  <c r="F390" i="14"/>
  <c r="J5" i="14"/>
  <c r="G90" i="14"/>
  <c r="K90" i="14" s="1"/>
  <c r="G158" i="14"/>
  <c r="K158" i="14" s="1"/>
  <c r="F5" i="14"/>
  <c r="F6" i="14"/>
  <c r="G91" i="14"/>
  <c r="K91" i="14" s="1"/>
  <c r="J6" i="14"/>
  <c r="G139" i="14"/>
  <c r="K139" i="14" s="1"/>
  <c r="F496" i="14" s="1"/>
  <c r="G159" i="14"/>
  <c r="K159" i="14" s="1"/>
  <c r="G188" i="14"/>
  <c r="K188" i="14" s="1"/>
  <c r="F7" i="14"/>
  <c r="J7" i="14"/>
  <c r="G189" i="14"/>
  <c r="K189" i="14" s="1"/>
  <c r="G151" i="14"/>
  <c r="K151" i="14" s="1"/>
  <c r="G161" i="14"/>
  <c r="K161" i="14" s="1"/>
  <c r="F489" i="14"/>
  <c r="G105" i="14"/>
  <c r="K105" i="14" s="1"/>
  <c r="L100" i="14" s="1"/>
  <c r="G190" i="14"/>
  <c r="K190" i="14" s="1"/>
  <c r="F8" i="14"/>
  <c r="G208" i="14"/>
  <c r="F9" i="10"/>
  <c r="N251" i="15"/>
  <c r="R303" i="15" l="1"/>
  <c r="U303" i="15" s="1"/>
  <c r="W303" i="15" s="1"/>
  <c r="E359" i="14"/>
  <c r="F399" i="14"/>
  <c r="E354" i="14"/>
  <c r="F427" i="14"/>
  <c r="F394" i="14"/>
  <c r="L137" i="14"/>
  <c r="F508" i="14"/>
  <c r="L207" i="14"/>
  <c r="L178" i="14"/>
  <c r="J9" i="14"/>
  <c r="F493" i="14"/>
  <c r="L171" i="14"/>
  <c r="F494" i="14"/>
  <c r="L24" i="14"/>
  <c r="E342" i="14"/>
  <c r="F383" i="14"/>
  <c r="F382" i="14"/>
  <c r="E341" i="14"/>
  <c r="N334" i="14"/>
  <c r="N335" i="14" s="1"/>
  <c r="J21" i="14" s="1"/>
  <c r="F420" i="14"/>
  <c r="F421" i="14" s="1"/>
  <c r="L156" i="14"/>
  <c r="K302" i="14"/>
  <c r="L301" i="14" s="1"/>
  <c r="E358" i="14"/>
  <c r="F431" i="14"/>
  <c r="F398" i="14"/>
  <c r="E336" i="14"/>
  <c r="F377" i="14"/>
  <c r="F514" i="14"/>
  <c r="F507" i="14"/>
  <c r="E353" i="14"/>
  <c r="F393" i="14"/>
  <c r="F401" i="14"/>
  <c r="E362" i="14"/>
  <c r="E355" i="14"/>
  <c r="F428" i="14"/>
  <c r="F395" i="14"/>
  <c r="E349" i="14"/>
  <c r="F389" i="14"/>
  <c r="F429" i="14"/>
  <c r="F396" i="14"/>
  <c r="E356" i="14"/>
  <c r="L84" i="14"/>
  <c r="F380" i="14"/>
  <c r="E339" i="14"/>
  <c r="K322" i="14"/>
  <c r="F379" i="14"/>
  <c r="E338" i="14"/>
  <c r="E334" i="14"/>
  <c r="F376" i="14"/>
  <c r="E345" i="14"/>
  <c r="F386" i="14"/>
  <c r="E348" i="14"/>
  <c r="F388" i="14"/>
  <c r="F384" i="14"/>
  <c r="E343" i="14"/>
  <c r="F375" i="14"/>
  <c r="E333" i="14"/>
  <c r="F426" i="14"/>
  <c r="L186" i="14"/>
  <c r="F378" i="14"/>
  <c r="E337" i="14"/>
  <c r="E352" i="14"/>
  <c r="F392" i="14"/>
  <c r="Q206" i="13"/>
  <c r="L321" i="14" l="1"/>
  <c r="S321" i="15" s="1"/>
  <c r="U321" i="15" s="1"/>
  <c r="W321" i="15" s="1"/>
  <c r="R322" i="15"/>
  <c r="U322" i="15" s="1"/>
  <c r="W322" i="15" s="1"/>
  <c r="K21" i="14"/>
  <c r="Q21" i="15"/>
  <c r="E347" i="14"/>
  <c r="F387" i="14"/>
  <c r="E351" i="14"/>
  <c r="F391" i="14"/>
  <c r="E364" i="14"/>
  <c r="F385" i="14"/>
  <c r="E344" i="14"/>
  <c r="F381" i="14"/>
  <c r="E340" i="14"/>
  <c r="F442" i="14"/>
  <c r="L20" i="14" l="1"/>
  <c r="S20" i="15" s="1"/>
  <c r="U20" i="15" s="1"/>
  <c r="W20" i="15" s="1"/>
  <c r="R21" i="15"/>
  <c r="U21" i="15" s="1"/>
  <c r="W21" i="15" s="1"/>
  <c r="F400" i="14"/>
  <c r="S301" i="15"/>
  <c r="E363" i="14"/>
  <c r="F403" i="14"/>
  <c r="E332" i="14"/>
  <c r="F374" i="14"/>
  <c r="Q271" i="13"/>
  <c r="G209" i="6"/>
  <c r="N205" i="15" s="1"/>
  <c r="U301" i="15" l="1"/>
  <c r="W301" i="15" s="1"/>
  <c r="F13" i="10"/>
  <c r="P312" i="13"/>
  <c r="P311" i="13"/>
  <c r="P309" i="13"/>
  <c r="P308" i="13"/>
  <c r="P301" i="13"/>
  <c r="P300" i="13"/>
  <c r="P299" i="13"/>
  <c r="P298" i="13"/>
  <c r="P297" i="13"/>
  <c r="P296" i="13"/>
  <c r="P295" i="13"/>
  <c r="P294" i="13"/>
  <c r="P293" i="13"/>
  <c r="P292" i="13"/>
  <c r="P291" i="13"/>
  <c r="P290" i="13"/>
  <c r="P289" i="13"/>
  <c r="P288" i="13"/>
  <c r="P286" i="13"/>
  <c r="P285" i="13"/>
  <c r="P283" i="13"/>
  <c r="P282" i="13"/>
  <c r="P281" i="13"/>
  <c r="P280" i="13"/>
  <c r="P279" i="13"/>
  <c r="P278" i="13"/>
  <c r="P277" i="13"/>
  <c r="P276" i="13"/>
  <c r="P275" i="13"/>
  <c r="P273" i="13"/>
  <c r="P272" i="13"/>
  <c r="P271" i="13"/>
  <c r="P269" i="13"/>
  <c r="P267" i="13"/>
  <c r="P266" i="13"/>
  <c r="P265" i="13"/>
  <c r="P264" i="13"/>
  <c r="P263" i="13"/>
  <c r="P262" i="13"/>
  <c r="P261" i="13"/>
  <c r="P260" i="13"/>
  <c r="P259" i="13"/>
  <c r="P258" i="13"/>
  <c r="P257" i="13"/>
  <c r="P256" i="13"/>
  <c r="P255" i="13"/>
  <c r="P254" i="13"/>
  <c r="P253" i="13"/>
  <c r="P252" i="13"/>
  <c r="P250" i="13"/>
  <c r="P249" i="13"/>
  <c r="P248" i="13"/>
  <c r="P247" i="13"/>
  <c r="P246" i="13"/>
  <c r="P245" i="13"/>
  <c r="P244" i="13"/>
  <c r="P243" i="13"/>
  <c r="P242" i="13"/>
  <c r="P241" i="13"/>
  <c r="P240" i="13"/>
  <c r="P239" i="13"/>
  <c r="P238" i="13"/>
  <c r="P237" i="13"/>
  <c r="P236" i="13"/>
  <c r="P235" i="13"/>
  <c r="P234" i="13"/>
  <c r="P233" i="13"/>
  <c r="P232" i="13"/>
  <c r="P231" i="13"/>
  <c r="P230" i="13"/>
  <c r="P229" i="13"/>
  <c r="P228" i="13"/>
  <c r="P227" i="13"/>
  <c r="P226" i="13"/>
  <c r="P225" i="13"/>
  <c r="P224" i="13"/>
  <c r="P223" i="13"/>
  <c r="P222" i="13"/>
  <c r="P221" i="13"/>
  <c r="P220" i="13"/>
  <c r="P219" i="13"/>
  <c r="P218" i="13"/>
  <c r="P217" i="13"/>
  <c r="P216" i="13"/>
  <c r="P215" i="13"/>
  <c r="P214" i="13"/>
  <c r="P212" i="13"/>
  <c r="P211" i="13"/>
  <c r="P210" i="13"/>
  <c r="P209" i="13"/>
  <c r="P208" i="13"/>
  <c r="P207" i="13"/>
  <c r="P206" i="13"/>
  <c r="P205" i="13"/>
  <c r="P204" i="13"/>
  <c r="P200" i="13"/>
  <c r="P199" i="13"/>
  <c r="P197" i="13"/>
  <c r="P196" i="13"/>
  <c r="P195" i="13"/>
  <c r="P193" i="13"/>
  <c r="P192" i="13"/>
  <c r="P191" i="13"/>
  <c r="P190" i="13"/>
  <c r="P189" i="13"/>
  <c r="P188" i="13"/>
  <c r="P187" i="13"/>
  <c r="P186" i="13"/>
  <c r="P185" i="13"/>
  <c r="P184" i="13"/>
  <c r="P183" i="13"/>
  <c r="P182" i="13"/>
  <c r="P181" i="13"/>
  <c r="P180" i="13"/>
  <c r="P179" i="13"/>
  <c r="P178" i="13"/>
  <c r="P176" i="13"/>
  <c r="P173" i="13"/>
  <c r="P172" i="13"/>
  <c r="P171" i="13"/>
  <c r="P169" i="13"/>
  <c r="P168" i="13"/>
  <c r="P166" i="13"/>
  <c r="P165" i="13"/>
  <c r="P164" i="13"/>
  <c r="P162" i="13"/>
  <c r="P161" i="13"/>
  <c r="P159" i="13"/>
  <c r="P158" i="13"/>
  <c r="P157" i="13"/>
  <c r="P155" i="13"/>
  <c r="P154" i="13"/>
  <c r="P153" i="13"/>
  <c r="P152" i="13"/>
  <c r="P151" i="13"/>
  <c r="P150" i="13"/>
  <c r="P149" i="13"/>
  <c r="P148" i="13"/>
  <c r="P146" i="13"/>
  <c r="P144" i="13"/>
  <c r="P143" i="13"/>
  <c r="P142" i="13"/>
  <c r="P141" i="13"/>
  <c r="P140" i="13"/>
  <c r="P139" i="13"/>
  <c r="P138" i="13"/>
  <c r="P137" i="13"/>
  <c r="P136" i="13"/>
  <c r="P135" i="13"/>
  <c r="P134" i="13"/>
  <c r="P133" i="13"/>
  <c r="P132" i="13"/>
  <c r="P131" i="13"/>
  <c r="P130" i="13"/>
  <c r="P129" i="13"/>
  <c r="P127" i="13"/>
  <c r="P126" i="13"/>
  <c r="P125" i="13"/>
  <c r="P124" i="13"/>
  <c r="P122" i="13"/>
  <c r="P121" i="13"/>
  <c r="P120" i="13"/>
  <c r="P119" i="13"/>
  <c r="P118" i="13"/>
  <c r="P117" i="13"/>
  <c r="P116" i="13"/>
  <c r="P115" i="13"/>
  <c r="P114" i="13"/>
  <c r="P113" i="13"/>
  <c r="P112" i="13"/>
  <c r="P111" i="13"/>
  <c r="P110" i="13"/>
  <c r="P109" i="13"/>
  <c r="P108" i="13"/>
  <c r="P107" i="13"/>
  <c r="P106" i="13"/>
  <c r="P105" i="13"/>
  <c r="P103" i="13"/>
  <c r="P102" i="13"/>
  <c r="P101" i="13"/>
  <c r="P100" i="13"/>
  <c r="P99" i="13"/>
  <c r="P98" i="13"/>
  <c r="P97" i="13"/>
  <c r="P96" i="13"/>
  <c r="P95" i="13"/>
  <c r="P94" i="13"/>
  <c r="P93" i="13"/>
  <c r="P92" i="13"/>
  <c r="P91" i="13"/>
  <c r="P88" i="13"/>
  <c r="P87" i="13"/>
  <c r="P86" i="13"/>
  <c r="P85" i="13"/>
  <c r="P84" i="13"/>
  <c r="P83" i="13"/>
  <c r="P82" i="13"/>
  <c r="P81" i="13"/>
  <c r="P80" i="13"/>
  <c r="P79" i="13"/>
  <c r="P78" i="13"/>
  <c r="P77" i="13"/>
  <c r="P76" i="13"/>
  <c r="P75" i="13"/>
  <c r="P73" i="13"/>
  <c r="P72" i="13"/>
  <c r="P71" i="13"/>
  <c r="P70" i="13"/>
  <c r="P69" i="13"/>
  <c r="P68" i="13"/>
  <c r="P67" i="13"/>
  <c r="P66" i="13"/>
  <c r="P65" i="13"/>
  <c r="P64" i="13"/>
  <c r="P62" i="13"/>
  <c r="P60" i="13"/>
  <c r="P59" i="13"/>
  <c r="P57" i="13"/>
  <c r="P56" i="13"/>
  <c r="P55" i="13"/>
  <c r="P54" i="13"/>
  <c r="P53" i="13"/>
  <c r="P52" i="13"/>
  <c r="P51" i="13"/>
  <c r="P50" i="13"/>
  <c r="P48" i="13"/>
  <c r="P46" i="13"/>
  <c r="P45" i="13"/>
  <c r="P44" i="13"/>
  <c r="P43" i="13"/>
  <c r="P42" i="13"/>
  <c r="P41" i="13"/>
  <c r="P40" i="13"/>
  <c r="P39" i="13"/>
  <c r="P37" i="13"/>
  <c r="P36" i="13"/>
  <c r="P35" i="13"/>
  <c r="P34" i="13"/>
  <c r="P33" i="13"/>
  <c r="P31" i="13"/>
  <c r="P30" i="13"/>
  <c r="P29" i="13"/>
  <c r="P28" i="13"/>
  <c r="P27" i="13"/>
  <c r="P26" i="13"/>
  <c r="P25" i="13"/>
  <c r="P24" i="13"/>
  <c r="P23" i="13"/>
  <c r="P22" i="13"/>
  <c r="Q312" i="13"/>
  <c r="Q311" i="13"/>
  <c r="Q309" i="13"/>
  <c r="Q308" i="13"/>
  <c r="Q307" i="13"/>
  <c r="Q305" i="13"/>
  <c r="Q303" i="13"/>
  <c r="Q301" i="13"/>
  <c r="Q300" i="13"/>
  <c r="Q299" i="13"/>
  <c r="Q298" i="13"/>
  <c r="Q297" i="13"/>
  <c r="Q296" i="13"/>
  <c r="Q295" i="13"/>
  <c r="Q294" i="13"/>
  <c r="Q293" i="13"/>
  <c r="Q292" i="13"/>
  <c r="Q291" i="13"/>
  <c r="Q290" i="13"/>
  <c r="Q289" i="13"/>
  <c r="Q288" i="13"/>
  <c r="Q286" i="13"/>
  <c r="Q285" i="13"/>
  <c r="Q277" i="13"/>
  <c r="Q276" i="13"/>
  <c r="Q273" i="13"/>
  <c r="Q272" i="13"/>
  <c r="Q269" i="13"/>
  <c r="Q267" i="13"/>
  <c r="Q266" i="13"/>
  <c r="Q265" i="13"/>
  <c r="Q264" i="13"/>
  <c r="Q263" i="13"/>
  <c r="Q262" i="13"/>
  <c r="Q261" i="13"/>
  <c r="Q260" i="13"/>
  <c r="Q259" i="13"/>
  <c r="Q258" i="13"/>
  <c r="Q257" i="13"/>
  <c r="Q256" i="13"/>
  <c r="Q255" i="13"/>
  <c r="Q254" i="13"/>
  <c r="Q253" i="13"/>
  <c r="Q250" i="13"/>
  <c r="Q249" i="13"/>
  <c r="Q248" i="13"/>
  <c r="Q247" i="13"/>
  <c r="Q246" i="13"/>
  <c r="Q245" i="13"/>
  <c r="Q244" i="13"/>
  <c r="Q243" i="13"/>
  <c r="Q242" i="13"/>
  <c r="Q241" i="13"/>
  <c r="Q240" i="13"/>
  <c r="Q239" i="13"/>
  <c r="Q238" i="13"/>
  <c r="Q237" i="13"/>
  <c r="Q236" i="13"/>
  <c r="Q235" i="13"/>
  <c r="Q234" i="13"/>
  <c r="Q233" i="13"/>
  <c r="Q231" i="13"/>
  <c r="Q230" i="13"/>
  <c r="Q229" i="13"/>
  <c r="Q227" i="13"/>
  <c r="Q224" i="13"/>
  <c r="Q223" i="13"/>
  <c r="Q222" i="13"/>
  <c r="Q221" i="13"/>
  <c r="Q217" i="13"/>
  <c r="Q216" i="13"/>
  <c r="Q215" i="13"/>
  <c r="Q214" i="13"/>
  <c r="Q211" i="13"/>
  <c r="Q210" i="13"/>
  <c r="Q209" i="13"/>
  <c r="Q208" i="13"/>
  <c r="Q207" i="13"/>
  <c r="Q196" i="13"/>
  <c r="Q193" i="13"/>
  <c r="Q192" i="13"/>
  <c r="Q186" i="13"/>
  <c r="Q185" i="13"/>
  <c r="Q184" i="13"/>
  <c r="Q171" i="13"/>
  <c r="Q166" i="13"/>
  <c r="Q164" i="13"/>
  <c r="Q158" i="13"/>
  <c r="Q155" i="13"/>
  <c r="Q154" i="13"/>
  <c r="Q153" i="13"/>
  <c r="Q151" i="13"/>
  <c r="Q148" i="13"/>
  <c r="Q144" i="13"/>
  <c r="Q140" i="13"/>
  <c r="Q139" i="13"/>
  <c r="Q138" i="13"/>
  <c r="Q137" i="13"/>
  <c r="Q136" i="13"/>
  <c r="Q135" i="13"/>
  <c r="Q133" i="13"/>
  <c r="Q132" i="13"/>
  <c r="Q131" i="13"/>
  <c r="Q129" i="13"/>
  <c r="Q127" i="13"/>
  <c r="Q126" i="13"/>
  <c r="Q125" i="13"/>
  <c r="Q124" i="13"/>
  <c r="Q122" i="13"/>
  <c r="Q121" i="13"/>
  <c r="Q116" i="13"/>
  <c r="Q115" i="13"/>
  <c r="Q112" i="13"/>
  <c r="Q111" i="13"/>
  <c r="Q110" i="13"/>
  <c r="Q109" i="13"/>
  <c r="Q108" i="13"/>
  <c r="Q107" i="13"/>
  <c r="Q106" i="13"/>
  <c r="Q102" i="13"/>
  <c r="Q101" i="13"/>
  <c r="Q100" i="13"/>
  <c r="Q98" i="13"/>
  <c r="Q95" i="13"/>
  <c r="Q93" i="13"/>
  <c r="Q91" i="13"/>
  <c r="Q88" i="13"/>
  <c r="Q86" i="13"/>
  <c r="Q85" i="13"/>
  <c r="Q84" i="13"/>
  <c r="Q83" i="13"/>
  <c r="Q82" i="13"/>
  <c r="Q81" i="13"/>
  <c r="Q78" i="13"/>
  <c r="Q77" i="13"/>
  <c r="Q76" i="13"/>
  <c r="Q75" i="13"/>
  <c r="Q73" i="13"/>
  <c r="Q66" i="13"/>
  <c r="Q65" i="13"/>
  <c r="Q60" i="13"/>
  <c r="Q59" i="13"/>
  <c r="Q55" i="13"/>
  <c r="Q54" i="13"/>
  <c r="Q53" i="13"/>
  <c r="Q52" i="13"/>
  <c r="Q51" i="13"/>
  <c r="Q50" i="13"/>
  <c r="Q46" i="13"/>
  <c r="Q44" i="13"/>
  <c r="Q43" i="13"/>
  <c r="Q42" i="13"/>
  <c r="Q39" i="13"/>
  <c r="Q35" i="13"/>
  <c r="Q31" i="13"/>
  <c r="Q29" i="13"/>
  <c r="Q28" i="13"/>
  <c r="Q26" i="13"/>
  <c r="Q25" i="13"/>
  <c r="Q24" i="13"/>
  <c r="Q23" i="13"/>
  <c r="R312" i="13"/>
  <c r="R311" i="13"/>
  <c r="R309" i="13"/>
  <c r="R308" i="13"/>
  <c r="R307" i="13"/>
  <c r="R305" i="13"/>
  <c r="R303" i="13"/>
  <c r="R301" i="13"/>
  <c r="R300" i="13"/>
  <c r="R299" i="13"/>
  <c r="R298" i="13"/>
  <c r="R297" i="13"/>
  <c r="R296" i="13"/>
  <c r="R295" i="13"/>
  <c r="R294" i="13"/>
  <c r="R293" i="13"/>
  <c r="R292" i="13"/>
  <c r="R291" i="13"/>
  <c r="R290" i="13"/>
  <c r="R289" i="13"/>
  <c r="R288" i="13"/>
  <c r="R286" i="13"/>
  <c r="R285" i="13"/>
  <c r="R283" i="13"/>
  <c r="R282" i="13"/>
  <c r="R281" i="13"/>
  <c r="R280" i="13"/>
  <c r="R279" i="13"/>
  <c r="R278" i="13"/>
  <c r="R277" i="13"/>
  <c r="R276" i="13"/>
  <c r="R275" i="13"/>
  <c r="R273" i="13"/>
  <c r="R272" i="13"/>
  <c r="R271" i="13"/>
  <c r="R269" i="13"/>
  <c r="R267" i="13"/>
  <c r="R266" i="13"/>
  <c r="R265" i="13"/>
  <c r="R264" i="13"/>
  <c r="R263" i="13"/>
  <c r="R262" i="13"/>
  <c r="R261" i="13"/>
  <c r="R260" i="13"/>
  <c r="R259" i="13"/>
  <c r="R258" i="13"/>
  <c r="R257" i="13"/>
  <c r="R256" i="13"/>
  <c r="R255" i="13"/>
  <c r="R254" i="13"/>
  <c r="R253" i="13"/>
  <c r="R252" i="13"/>
  <c r="R250" i="13"/>
  <c r="R249" i="13"/>
  <c r="R248" i="13"/>
  <c r="R247" i="13"/>
  <c r="R246" i="13"/>
  <c r="R245" i="13"/>
  <c r="R244" i="13"/>
  <c r="R243" i="13"/>
  <c r="R242" i="13"/>
  <c r="R241" i="13"/>
  <c r="R240" i="13"/>
  <c r="R239" i="13"/>
  <c r="R238" i="13"/>
  <c r="R237" i="13"/>
  <c r="R236" i="13"/>
  <c r="R235" i="13"/>
  <c r="R234" i="13"/>
  <c r="R233" i="13"/>
  <c r="R232" i="13"/>
  <c r="R231" i="13"/>
  <c r="R230" i="13"/>
  <c r="R229" i="13"/>
  <c r="R228" i="13"/>
  <c r="R227" i="13"/>
  <c r="R226" i="13"/>
  <c r="R225" i="13"/>
  <c r="R224" i="13"/>
  <c r="R223" i="13"/>
  <c r="R222" i="13"/>
  <c r="R221" i="13"/>
  <c r="R220" i="13"/>
  <c r="R219" i="13"/>
  <c r="R218" i="13"/>
  <c r="R217" i="13"/>
  <c r="R216" i="13"/>
  <c r="R215" i="13"/>
  <c r="R214" i="13"/>
  <c r="R212" i="13"/>
  <c r="R211" i="13"/>
  <c r="R210" i="13"/>
  <c r="R209" i="13"/>
  <c r="R208" i="13"/>
  <c r="R207" i="13"/>
  <c r="R206" i="13"/>
  <c r="R205" i="13"/>
  <c r="R204" i="13"/>
  <c r="R200" i="13"/>
  <c r="R199" i="13"/>
  <c r="R197" i="13"/>
  <c r="R196" i="13"/>
  <c r="R195" i="13"/>
  <c r="R193" i="13"/>
  <c r="R192" i="13"/>
  <c r="R191" i="13"/>
  <c r="R190" i="13"/>
  <c r="R189" i="13"/>
  <c r="R188" i="13"/>
  <c r="R187" i="13"/>
  <c r="R186" i="13"/>
  <c r="R185" i="13"/>
  <c r="R184" i="13"/>
  <c r="R183" i="13"/>
  <c r="R182" i="13"/>
  <c r="R181" i="13"/>
  <c r="R180" i="13"/>
  <c r="R179" i="13"/>
  <c r="R178" i="13"/>
  <c r="R176" i="13"/>
  <c r="R173" i="13"/>
  <c r="R172" i="13"/>
  <c r="R171" i="13"/>
  <c r="R169" i="13"/>
  <c r="R166" i="13"/>
  <c r="R165" i="13"/>
  <c r="R164" i="13"/>
  <c r="R162" i="13"/>
  <c r="R161" i="13"/>
  <c r="R159" i="13"/>
  <c r="R157" i="13"/>
  <c r="R155" i="13"/>
  <c r="R154" i="13"/>
  <c r="R153" i="13"/>
  <c r="R152" i="13"/>
  <c r="R151" i="13"/>
  <c r="R150" i="13"/>
  <c r="R149" i="13"/>
  <c r="R148" i="13"/>
  <c r="R146" i="13"/>
  <c r="R144" i="13"/>
  <c r="R143" i="13"/>
  <c r="R142" i="13"/>
  <c r="R141" i="13"/>
  <c r="R140" i="13"/>
  <c r="R139" i="13"/>
  <c r="R138" i="13"/>
  <c r="R137" i="13"/>
  <c r="R136" i="13"/>
  <c r="R135" i="13"/>
  <c r="R134" i="13"/>
  <c r="R133" i="13"/>
  <c r="R132" i="13"/>
  <c r="R131" i="13"/>
  <c r="R130" i="13"/>
  <c r="R129" i="13"/>
  <c r="R127" i="13"/>
  <c r="R126" i="13"/>
  <c r="R125" i="13"/>
  <c r="R124" i="13"/>
  <c r="R122" i="13"/>
  <c r="R121" i="13"/>
  <c r="R120" i="13"/>
  <c r="R119" i="13"/>
  <c r="R118" i="13"/>
  <c r="R117" i="13"/>
  <c r="R116" i="13"/>
  <c r="R115" i="13"/>
  <c r="R114" i="13"/>
  <c r="R113" i="13"/>
  <c r="R112" i="13"/>
  <c r="R111" i="13"/>
  <c r="R109" i="13"/>
  <c r="R108" i="13"/>
  <c r="R107" i="13"/>
  <c r="R106" i="13"/>
  <c r="R105" i="13"/>
  <c r="R103" i="13"/>
  <c r="R102" i="13"/>
  <c r="R101" i="13"/>
  <c r="R100" i="13"/>
  <c r="R99" i="13"/>
  <c r="R98" i="13"/>
  <c r="R97" i="13"/>
  <c r="R96" i="13"/>
  <c r="R95" i="13"/>
  <c r="R94" i="13"/>
  <c r="R93" i="13"/>
  <c r="R92" i="13"/>
  <c r="R91" i="13"/>
  <c r="R88" i="13"/>
  <c r="R87" i="13"/>
  <c r="R86" i="13"/>
  <c r="R85" i="13"/>
  <c r="R84" i="13"/>
  <c r="R83" i="13"/>
  <c r="R82" i="13"/>
  <c r="R81" i="13"/>
  <c r="R80" i="13"/>
  <c r="R79" i="13"/>
  <c r="R78" i="13"/>
  <c r="R77" i="13"/>
  <c r="R76" i="13"/>
  <c r="R75" i="13"/>
  <c r="R73" i="13"/>
  <c r="R72" i="13"/>
  <c r="R71" i="13"/>
  <c r="R70" i="13"/>
  <c r="R69" i="13"/>
  <c r="R68" i="13"/>
  <c r="R67" i="13"/>
  <c r="R66" i="13"/>
  <c r="R65" i="13"/>
  <c r="R64" i="13"/>
  <c r="R62" i="13"/>
  <c r="R60" i="13"/>
  <c r="R59" i="13"/>
  <c r="R57" i="13"/>
  <c r="R56" i="13"/>
  <c r="R55" i="13"/>
  <c r="R54" i="13"/>
  <c r="R53" i="13"/>
  <c r="R52" i="13"/>
  <c r="R51" i="13"/>
  <c r="R50" i="13"/>
  <c r="R48" i="13"/>
  <c r="R46" i="13"/>
  <c r="R45" i="13"/>
  <c r="R44" i="13"/>
  <c r="R43" i="13"/>
  <c r="R42" i="13"/>
  <c r="R41" i="13"/>
  <c r="R39" i="13"/>
  <c r="R37" i="13"/>
  <c r="R36" i="13"/>
  <c r="R35" i="13"/>
  <c r="R34" i="13"/>
  <c r="R33" i="13"/>
  <c r="R31" i="13"/>
  <c r="R30" i="13"/>
  <c r="R29" i="13"/>
  <c r="R28" i="13"/>
  <c r="R27" i="13"/>
  <c r="R26" i="13"/>
  <c r="R25" i="13"/>
  <c r="R24" i="13"/>
  <c r="R23" i="13"/>
  <c r="R22" i="13"/>
  <c r="S312" i="13"/>
  <c r="S311" i="13"/>
  <c r="S309" i="13"/>
  <c r="S308" i="13"/>
  <c r="S307" i="13"/>
  <c r="S305" i="13"/>
  <c r="S303" i="13"/>
  <c r="S301" i="13"/>
  <c r="S300" i="13"/>
  <c r="S299" i="13"/>
  <c r="S298" i="13"/>
  <c r="S297" i="13"/>
  <c r="S296" i="13"/>
  <c r="S295" i="13"/>
  <c r="S294" i="13"/>
  <c r="S293" i="13"/>
  <c r="S292" i="13"/>
  <c r="S291" i="13"/>
  <c r="S290" i="13"/>
  <c r="S289" i="13"/>
  <c r="S288" i="13"/>
  <c r="S286" i="13"/>
  <c r="S285" i="13"/>
  <c r="S283" i="13"/>
  <c r="S282" i="13"/>
  <c r="S281" i="13"/>
  <c r="S280" i="13"/>
  <c r="S279" i="13"/>
  <c r="S278" i="13"/>
  <c r="S277" i="13"/>
  <c r="S276" i="13"/>
  <c r="S275" i="13"/>
  <c r="S273" i="13"/>
  <c r="S272" i="13"/>
  <c r="S271" i="13"/>
  <c r="S269" i="13"/>
  <c r="S267" i="13"/>
  <c r="S266" i="13"/>
  <c r="S265" i="13"/>
  <c r="S264" i="13"/>
  <c r="S263" i="13"/>
  <c r="S262" i="13"/>
  <c r="S261" i="13"/>
  <c r="S260" i="13"/>
  <c r="S259" i="13"/>
  <c r="S258" i="13"/>
  <c r="S257" i="13"/>
  <c r="S256" i="13"/>
  <c r="S255" i="13"/>
  <c r="S254" i="13"/>
  <c r="S253" i="13"/>
  <c r="S252" i="13"/>
  <c r="S250" i="13"/>
  <c r="S249" i="13"/>
  <c r="S248" i="13"/>
  <c r="S247" i="13"/>
  <c r="S246" i="13"/>
  <c r="S245" i="13"/>
  <c r="S244" i="13"/>
  <c r="S243" i="13"/>
  <c r="S242" i="13"/>
  <c r="S241" i="13"/>
  <c r="S240" i="13"/>
  <c r="S239" i="13"/>
  <c r="S238" i="13"/>
  <c r="S237" i="13"/>
  <c r="S236" i="13"/>
  <c r="S235" i="13"/>
  <c r="S234" i="13"/>
  <c r="S233" i="13"/>
  <c r="S232" i="13"/>
  <c r="S231" i="13"/>
  <c r="S230" i="13"/>
  <c r="S229" i="13"/>
  <c r="S228" i="13"/>
  <c r="S227" i="13"/>
  <c r="S226" i="13"/>
  <c r="S225" i="13"/>
  <c r="S224" i="13"/>
  <c r="S223" i="13"/>
  <c r="S222" i="13"/>
  <c r="S221" i="13"/>
  <c r="S220" i="13"/>
  <c r="S219" i="13"/>
  <c r="S218" i="13"/>
  <c r="S217" i="13"/>
  <c r="S216" i="13"/>
  <c r="S215" i="13"/>
  <c r="S214" i="13"/>
  <c r="S212" i="13"/>
  <c r="S211" i="13"/>
  <c r="S210" i="13"/>
  <c r="S209" i="13"/>
  <c r="S208" i="13"/>
  <c r="S207" i="13"/>
  <c r="S206" i="13"/>
  <c r="S205" i="13"/>
  <c r="S204" i="13"/>
  <c r="S200" i="13"/>
  <c r="S199" i="13"/>
  <c r="S197" i="13"/>
  <c r="S196" i="13"/>
  <c r="S195" i="13"/>
  <c r="S193" i="13"/>
  <c r="S192" i="13"/>
  <c r="S191" i="13"/>
  <c r="S190" i="13"/>
  <c r="S189" i="13"/>
  <c r="S188" i="13"/>
  <c r="S187" i="13"/>
  <c r="S186" i="13"/>
  <c r="S185" i="13"/>
  <c r="S184" i="13"/>
  <c r="S183" i="13"/>
  <c r="S182" i="13"/>
  <c r="S181" i="13"/>
  <c r="S180" i="13"/>
  <c r="S179" i="13"/>
  <c r="S178" i="13"/>
  <c r="S176" i="13"/>
  <c r="S173" i="13"/>
  <c r="S172" i="13"/>
  <c r="S171" i="13"/>
  <c r="S169" i="13"/>
  <c r="S168" i="13"/>
  <c r="S166" i="13"/>
  <c r="S165" i="13"/>
  <c r="S164" i="13"/>
  <c r="S162" i="13"/>
  <c r="S161" i="13"/>
  <c r="S159" i="13"/>
  <c r="S158" i="13"/>
  <c r="S157" i="13"/>
  <c r="S155" i="13"/>
  <c r="S154" i="13"/>
  <c r="S153" i="13"/>
  <c r="S152" i="13"/>
  <c r="S151" i="13"/>
  <c r="S150" i="13"/>
  <c r="S149" i="13"/>
  <c r="S148" i="13"/>
  <c r="S146" i="13"/>
  <c r="S144" i="13"/>
  <c r="S143" i="13"/>
  <c r="S142" i="13"/>
  <c r="S141" i="13"/>
  <c r="S140" i="13"/>
  <c r="S139" i="13"/>
  <c r="S138" i="13"/>
  <c r="S137" i="13"/>
  <c r="S136" i="13"/>
  <c r="S135" i="13"/>
  <c r="S134" i="13"/>
  <c r="S133" i="13"/>
  <c r="S132" i="13"/>
  <c r="S131" i="13"/>
  <c r="S130" i="13"/>
  <c r="S129" i="13"/>
  <c r="S127" i="13"/>
  <c r="S126" i="13"/>
  <c r="S125" i="13"/>
  <c r="S124" i="13"/>
  <c r="S122" i="13"/>
  <c r="S121" i="13"/>
  <c r="S120" i="13"/>
  <c r="S119" i="13"/>
  <c r="S118" i="13"/>
  <c r="S117" i="13"/>
  <c r="S116" i="13"/>
  <c r="S115" i="13"/>
  <c r="S114" i="13"/>
  <c r="S113" i="13"/>
  <c r="S112" i="13"/>
  <c r="S111" i="13"/>
  <c r="S110" i="13"/>
  <c r="S109" i="13"/>
  <c r="S108" i="13"/>
  <c r="S107" i="13"/>
  <c r="S106" i="13"/>
  <c r="S105" i="13"/>
  <c r="S103" i="13"/>
  <c r="S102" i="13"/>
  <c r="S101" i="13"/>
  <c r="S100" i="13"/>
  <c r="S99" i="13"/>
  <c r="S98" i="13"/>
  <c r="S97" i="13"/>
  <c r="S96" i="13"/>
  <c r="S95" i="13"/>
  <c r="S94" i="13"/>
  <c r="S93" i="13"/>
  <c r="S92" i="13"/>
  <c r="S91" i="13"/>
  <c r="S88" i="13"/>
  <c r="S87" i="13"/>
  <c r="S86" i="13"/>
  <c r="S85" i="13"/>
  <c r="S84" i="13"/>
  <c r="S83" i="13"/>
  <c r="S82" i="13"/>
  <c r="S81" i="13"/>
  <c r="S80" i="13"/>
  <c r="S79" i="13"/>
  <c r="S78" i="13"/>
  <c r="S77" i="13"/>
  <c r="S76" i="13"/>
  <c r="S75" i="13"/>
  <c r="S73" i="13"/>
  <c r="S72" i="13"/>
  <c r="S71" i="13"/>
  <c r="S70" i="13"/>
  <c r="S69" i="13"/>
  <c r="S68" i="13"/>
  <c r="S67" i="13"/>
  <c r="S66" i="13"/>
  <c r="S65" i="13"/>
  <c r="S64" i="13"/>
  <c r="S62" i="13"/>
  <c r="S60" i="13"/>
  <c r="S59" i="13"/>
  <c r="S57" i="13"/>
  <c r="S56" i="13"/>
  <c r="S55" i="13"/>
  <c r="S54" i="13"/>
  <c r="S53" i="13"/>
  <c r="S52" i="13"/>
  <c r="S51" i="13"/>
  <c r="S50" i="13"/>
  <c r="S48" i="13"/>
  <c r="S46" i="13"/>
  <c r="S45" i="13"/>
  <c r="S44" i="13"/>
  <c r="S43" i="13"/>
  <c r="S42" i="13"/>
  <c r="S41" i="13"/>
  <c r="S40" i="13"/>
  <c r="S39" i="13"/>
  <c r="S37" i="13"/>
  <c r="S36" i="13"/>
  <c r="S35" i="13"/>
  <c r="S34" i="13"/>
  <c r="S33" i="13"/>
  <c r="S31" i="13"/>
  <c r="S30" i="13"/>
  <c r="S29" i="13"/>
  <c r="S28" i="13"/>
  <c r="S27" i="13"/>
  <c r="S26" i="13"/>
  <c r="S25" i="13"/>
  <c r="S24" i="13"/>
  <c r="S23" i="13"/>
  <c r="S22" i="13"/>
  <c r="T312" i="13"/>
  <c r="T311" i="13"/>
  <c r="T309" i="13"/>
  <c r="T308" i="13"/>
  <c r="T307" i="13"/>
  <c r="T305" i="13"/>
  <c r="T303" i="13"/>
  <c r="T286" i="13"/>
  <c r="T285" i="13"/>
  <c r="G15" i="13"/>
  <c r="G17" i="13" s="1"/>
  <c r="P11" i="13"/>
  <c r="E366" i="14" l="1"/>
  <c r="F404" i="14"/>
  <c r="E365" i="14"/>
  <c r="F402" i="14"/>
  <c r="L330" i="14"/>
  <c r="M317" i="13" s="1"/>
  <c r="G16" i="13"/>
  <c r="F405" i="14" l="1"/>
  <c r="F406" i="14" s="1"/>
  <c r="L331" i="14"/>
  <c r="E367" i="14"/>
  <c r="E368" i="14" s="1"/>
  <c r="J14" i="14"/>
  <c r="V16" i="13"/>
  <c r="O13" i="6"/>
  <c r="G195" i="6"/>
  <c r="O179" i="15" l="1"/>
  <c r="R168" i="13"/>
  <c r="N191" i="15"/>
  <c r="Q182" i="13"/>
  <c r="N227" i="15"/>
  <c r="Q219" i="13"/>
  <c r="J16" i="14"/>
  <c r="J15" i="14"/>
  <c r="J106" i="6"/>
  <c r="K106" i="6" s="1"/>
  <c r="G69" i="6"/>
  <c r="R106" i="15" l="1"/>
  <c r="U106" i="15" s="1"/>
  <c r="W106" i="15" s="1"/>
  <c r="U95" i="13"/>
  <c r="N69" i="15"/>
  <c r="Q57" i="13"/>
  <c r="Q106" i="15"/>
  <c r="T95" i="13"/>
  <c r="D9" i="10"/>
  <c r="D7" i="10"/>
  <c r="D8" i="10"/>
  <c r="Z29" i="13" l="1"/>
  <c r="Z28" i="13"/>
  <c r="Z23" i="13"/>
  <c r="Z35" i="13"/>
  <c r="Z46" i="13"/>
  <c r="Z43" i="13"/>
  <c r="Z42" i="13"/>
  <c r="Z60" i="13"/>
  <c r="Z55" i="13"/>
  <c r="Z54" i="13"/>
  <c r="Z53" i="13"/>
  <c r="Z51" i="13"/>
  <c r="Z50" i="13"/>
  <c r="Z73" i="13"/>
  <c r="Z65" i="13"/>
  <c r="Z86" i="13"/>
  <c r="Z85" i="13"/>
  <c r="Z84" i="13"/>
  <c r="Z83" i="13"/>
  <c r="Z82" i="13"/>
  <c r="Z78" i="13"/>
  <c r="Z77" i="13"/>
  <c r="Z100" i="13"/>
  <c r="Z98" i="13"/>
  <c r="Z127" i="13"/>
  <c r="Z126" i="13"/>
  <c r="Z125" i="13"/>
  <c r="Z124" i="13"/>
  <c r="Z109" i="13"/>
  <c r="Z108" i="13"/>
  <c r="Z106" i="13"/>
  <c r="Z137" i="13"/>
  <c r="Z136" i="13"/>
  <c r="Z135" i="13"/>
  <c r="Z129" i="13"/>
  <c r="Z154" i="13"/>
  <c r="Z162" i="13"/>
  <c r="Z171" i="13"/>
  <c r="Z169" i="13"/>
  <c r="Z185" i="13"/>
  <c r="Z184" i="13"/>
  <c r="Z211" i="13"/>
  <c r="Z206" i="13"/>
  <c r="Z245" i="13"/>
  <c r="Z244" i="13"/>
  <c r="Z239" i="13"/>
  <c r="Z235" i="13"/>
  <c r="Z234" i="13"/>
  <c r="Z224" i="13"/>
  <c r="Z266" i="13"/>
  <c r="Z263" i="13"/>
  <c r="Z262" i="13"/>
  <c r="Z261" i="13"/>
  <c r="Z256" i="13"/>
  <c r="Z296" i="13"/>
  <c r="Z293" i="13"/>
  <c r="Z289" i="13"/>
  <c r="X95" i="13"/>
  <c r="Z95" i="13" s="1"/>
  <c r="M9" i="13"/>
  <c r="U9" i="13"/>
  <c r="V9" i="13" l="1"/>
  <c r="V17" i="13"/>
  <c r="V6" i="13"/>
  <c r="V4" i="13"/>
  <c r="V5" i="13"/>
  <c r="V7" i="13"/>
  <c r="V8" i="13"/>
  <c r="G33" i="6"/>
  <c r="F5" i="12"/>
  <c r="F4" i="12"/>
  <c r="E26" i="12" s="1"/>
  <c r="K28" i="12"/>
  <c r="J28" i="12"/>
  <c r="I28" i="12"/>
  <c r="K26" i="12"/>
  <c r="K19" i="12"/>
  <c r="K16" i="12"/>
  <c r="J16" i="12"/>
  <c r="I16" i="12"/>
  <c r="J14" i="12"/>
  <c r="K12" i="12"/>
  <c r="K11" i="12"/>
  <c r="K10" i="12"/>
  <c r="K9" i="12"/>
  <c r="K8" i="12"/>
  <c r="I6" i="12"/>
  <c r="H6" i="12"/>
  <c r="F6" i="12"/>
  <c r="E19" i="12" l="1"/>
  <c r="N33" i="15"/>
  <c r="Q30" i="13"/>
  <c r="E24" i="12"/>
  <c r="E14" i="12"/>
  <c r="E10" i="12"/>
  <c r="E29" i="12"/>
  <c r="E11" i="12"/>
  <c r="E8" i="12"/>
  <c r="O10" i="6" l="1"/>
  <c r="E27" i="12" s="1"/>
  <c r="G76" i="6" l="1"/>
  <c r="G154" i="6"/>
  <c r="N152" i="15" l="1"/>
  <c r="Q143" i="13"/>
  <c r="N74" i="15"/>
  <c r="Q64" i="13"/>
  <c r="N228" i="15" l="1"/>
  <c r="Q220" i="13"/>
  <c r="N127" i="15" l="1"/>
  <c r="Q117" i="13"/>
  <c r="G129" i="6"/>
  <c r="G131" i="6"/>
  <c r="G130" i="6"/>
  <c r="N129" i="15" l="1"/>
  <c r="Q119" i="13"/>
  <c r="N130" i="15"/>
  <c r="Q120" i="13"/>
  <c r="N128" i="15"/>
  <c r="Q118" i="13"/>
  <c r="O120" i="15" l="1"/>
  <c r="R110" i="13"/>
  <c r="N45" i="15" l="1"/>
  <c r="Q33" i="13"/>
  <c r="O52" i="15" l="1"/>
  <c r="R40" i="13"/>
  <c r="N53" i="15"/>
  <c r="Q41" i="13"/>
  <c r="N57" i="15"/>
  <c r="Q45" i="13"/>
  <c r="J266" i="6"/>
  <c r="J219" i="6"/>
  <c r="K219" i="6" l="1"/>
  <c r="Q214" i="15"/>
  <c r="T206" i="13"/>
  <c r="K266" i="6"/>
  <c r="Q261" i="15"/>
  <c r="T253" i="13"/>
  <c r="F15" i="6"/>
  <c r="K9" i="6"/>
  <c r="O2" i="6"/>
  <c r="E18" i="12" s="1"/>
  <c r="I9" i="6"/>
  <c r="R261" i="15" l="1"/>
  <c r="U261" i="15" s="1"/>
  <c r="U253" i="13"/>
  <c r="X253" i="13" s="1"/>
  <c r="Z253" i="13" s="1"/>
  <c r="U206" i="13"/>
  <c r="X206" i="13" s="1"/>
  <c r="R214" i="15"/>
  <c r="U214" i="15" s="1"/>
  <c r="J263" i="6"/>
  <c r="Q258" i="15" s="1"/>
  <c r="K263" i="6" l="1"/>
  <c r="T250" i="13"/>
  <c r="F8" i="10"/>
  <c r="F10" i="10"/>
  <c r="F11" i="10"/>
  <c r="F12" i="10"/>
  <c r="F7" i="10"/>
  <c r="U250" i="13" l="1"/>
  <c r="X250" i="13" s="1"/>
  <c r="Z250" i="13" s="1"/>
  <c r="R258" i="15"/>
  <c r="U258" i="15" s="1"/>
  <c r="W258" i="15" s="1"/>
  <c r="J271" i="6"/>
  <c r="Q266" i="15" s="1"/>
  <c r="K271" i="6" l="1"/>
  <c r="T258" i="13"/>
  <c r="H169" i="6"/>
  <c r="G107" i="6"/>
  <c r="G108" i="6"/>
  <c r="G110" i="6"/>
  <c r="N110" i="15" l="1"/>
  <c r="Q99" i="13"/>
  <c r="N108" i="15"/>
  <c r="Q97" i="13"/>
  <c r="N107" i="15"/>
  <c r="Q96" i="13"/>
  <c r="E22" i="12"/>
  <c r="N226" i="15"/>
  <c r="Q218" i="13"/>
  <c r="R158" i="13"/>
  <c r="O167" i="15"/>
  <c r="U258" i="13"/>
  <c r="X258" i="13" s="1"/>
  <c r="Z258" i="13" s="1"/>
  <c r="R266" i="15"/>
  <c r="U266" i="15" s="1"/>
  <c r="W266" i="15" s="1"/>
  <c r="J314" i="6"/>
  <c r="Q309" i="15" l="1"/>
  <c r="T292" i="13"/>
  <c r="N240" i="15" l="1"/>
  <c r="Q232" i="13"/>
  <c r="G79" i="6"/>
  <c r="N77" i="15" l="1"/>
  <c r="Q67" i="13"/>
  <c r="G83" i="6"/>
  <c r="N81" i="15" l="1"/>
  <c r="Q71" i="13"/>
  <c r="G49" i="6"/>
  <c r="G48" i="6"/>
  <c r="N48" i="15" l="1"/>
  <c r="Q36" i="13"/>
  <c r="N49" i="15"/>
  <c r="Q37" i="13"/>
  <c r="G30" i="6"/>
  <c r="G25" i="6"/>
  <c r="J319" i="6"/>
  <c r="G208" i="6"/>
  <c r="N196" i="15" l="1"/>
  <c r="Q187" i="13"/>
  <c r="T297" i="13"/>
  <c r="Q314" i="15"/>
  <c r="N30" i="15"/>
  <c r="Q27" i="13"/>
  <c r="N204" i="15"/>
  <c r="Q195" i="13"/>
  <c r="N25" i="15"/>
  <c r="Q22" i="13"/>
  <c r="G186" i="6"/>
  <c r="G185" i="6"/>
  <c r="N183" i="15" l="1"/>
  <c r="Q173" i="13"/>
  <c r="N182" i="15"/>
  <c r="Q172" i="13"/>
  <c r="N172" i="15" l="1"/>
  <c r="Q161" i="13"/>
  <c r="G80" i="6"/>
  <c r="N46" i="15" l="1"/>
  <c r="Q34" i="13"/>
  <c r="N78" i="15"/>
  <c r="Q68" i="13"/>
  <c r="AH15" i="6"/>
  <c r="AH9" i="6"/>
  <c r="AH8" i="6"/>
  <c r="AH7" i="6"/>
  <c r="AH6" i="6"/>
  <c r="AH5" i="6"/>
  <c r="AI9" i="6" l="1"/>
  <c r="AS11" i="6"/>
  <c r="AS3" i="6"/>
  <c r="AO15" i="6"/>
  <c r="AP15" i="6" s="1"/>
  <c r="AO17" i="6"/>
  <c r="AO9" i="6"/>
  <c r="AP9" i="6" s="1"/>
  <c r="AI15" i="6" l="1"/>
  <c r="AH17" i="6"/>
  <c r="AL14" i="6"/>
  <c r="AL13" i="6"/>
  <c r="AL12" i="6"/>
  <c r="AL11" i="6"/>
  <c r="AL5" i="6"/>
  <c r="AL3" i="6"/>
  <c r="AL6" i="6"/>
  <c r="AL4" i="6"/>
  <c r="AL15" i="6" l="1"/>
  <c r="AL7" i="6"/>
  <c r="G182" i="6" l="1"/>
  <c r="J216" i="4"/>
  <c r="N180" i="15" l="1"/>
  <c r="Q169" i="13"/>
  <c r="J272" i="4"/>
  <c r="K272" i="4"/>
  <c r="G228" i="4" l="1"/>
  <c r="S17" i="4"/>
  <c r="H291" i="4"/>
  <c r="H255" i="4" l="1"/>
  <c r="N236" i="15" l="1"/>
  <c r="Q228" i="13"/>
  <c r="O14" i="4"/>
  <c r="O15" i="4"/>
  <c r="O9" i="4" l="1"/>
  <c r="O10" i="4"/>
  <c r="G161" i="4" l="1"/>
  <c r="G21" i="6" l="1"/>
  <c r="N21" i="15" l="1"/>
  <c r="J279" i="6"/>
  <c r="N233" i="15" l="1"/>
  <c r="Q225" i="13"/>
  <c r="K279" i="6"/>
  <c r="Q274" i="15"/>
  <c r="T266" i="13"/>
  <c r="H185" i="4"/>
  <c r="R274" i="15" l="1"/>
  <c r="U274" i="15" s="1"/>
  <c r="U266" i="13"/>
  <c r="X266" i="13" s="1"/>
  <c r="K121" i="4"/>
  <c r="G120" i="4" l="1"/>
  <c r="H90" i="4" l="1"/>
  <c r="G74" i="4" l="1"/>
  <c r="I6" i="4" l="1"/>
  <c r="G30" i="4" l="1"/>
  <c r="J25" i="4" l="1"/>
  <c r="J30" i="4"/>
  <c r="E257" i="8" l="1"/>
  <c r="B257" i="8"/>
  <c r="E257" i="7"/>
  <c r="B257" i="7"/>
  <c r="S6" i="4"/>
  <c r="G34" i="4" s="1"/>
  <c r="F12" i="4"/>
  <c r="E4" i="4"/>
  <c r="E5" i="4"/>
  <c r="F477" i="6"/>
  <c r="F473" i="6"/>
  <c r="F472" i="6"/>
  <c r="F471" i="6"/>
  <c r="F470" i="6"/>
  <c r="F469" i="6"/>
  <c r="F468" i="6"/>
  <c r="F467" i="6"/>
  <c r="F466" i="6"/>
  <c r="F465" i="6"/>
  <c r="F464" i="6"/>
  <c r="F463" i="6"/>
  <c r="F445" i="6"/>
  <c r="F444" i="6"/>
  <c r="F442" i="6"/>
  <c r="F441" i="6"/>
  <c r="J323" i="6"/>
  <c r="J322" i="6"/>
  <c r="J321" i="6"/>
  <c r="J320" i="6"/>
  <c r="J318" i="6"/>
  <c r="J317" i="6"/>
  <c r="J316" i="6"/>
  <c r="J315" i="6"/>
  <c r="J313" i="6"/>
  <c r="J312" i="6"/>
  <c r="J311" i="6"/>
  <c r="J310" i="6"/>
  <c r="J305" i="6"/>
  <c r="J304" i="6"/>
  <c r="J303" i="6"/>
  <c r="J302" i="6"/>
  <c r="J301" i="6"/>
  <c r="J300" i="6"/>
  <c r="J299" i="6"/>
  <c r="J298" i="6"/>
  <c r="J296" i="6"/>
  <c r="J295" i="6"/>
  <c r="J294" i="6"/>
  <c r="J293" i="6"/>
  <c r="J292" i="6"/>
  <c r="J291" i="6"/>
  <c r="K291" i="6" s="1"/>
  <c r="J290" i="6"/>
  <c r="J289" i="6"/>
  <c r="J288" i="6"/>
  <c r="J286" i="6"/>
  <c r="J285" i="6"/>
  <c r="J284" i="6"/>
  <c r="J282" i="6"/>
  <c r="J280" i="6"/>
  <c r="Q275" i="15" s="1"/>
  <c r="J278" i="6"/>
  <c r="J277" i="6"/>
  <c r="Q272" i="15" s="1"/>
  <c r="J276" i="6"/>
  <c r="J275" i="6"/>
  <c r="J274" i="6"/>
  <c r="J273" i="6"/>
  <c r="J272" i="6"/>
  <c r="Q267" i="15" s="1"/>
  <c r="J270" i="6"/>
  <c r="J269" i="6"/>
  <c r="J268" i="6"/>
  <c r="J267" i="6"/>
  <c r="J265" i="6"/>
  <c r="J262" i="6"/>
  <c r="J261" i="6"/>
  <c r="J260" i="6"/>
  <c r="Q255" i="15" s="1"/>
  <c r="J259" i="6"/>
  <c r="J258" i="6"/>
  <c r="J257" i="6"/>
  <c r="J256" i="6"/>
  <c r="J255" i="6"/>
  <c r="J254" i="6"/>
  <c r="J253" i="6"/>
  <c r="J252" i="6"/>
  <c r="J251" i="6"/>
  <c r="J250" i="6"/>
  <c r="J249" i="6"/>
  <c r="J248" i="6"/>
  <c r="J247" i="6"/>
  <c r="J246" i="6"/>
  <c r="J245" i="6"/>
  <c r="J244" i="6"/>
  <c r="J243" i="6"/>
  <c r="J242" i="6"/>
  <c r="J241" i="6"/>
  <c r="J240" i="6"/>
  <c r="J239" i="6"/>
  <c r="J238" i="6"/>
  <c r="J237" i="6"/>
  <c r="J236" i="6"/>
  <c r="J235" i="6"/>
  <c r="J234" i="6"/>
  <c r="Q229" i="15" s="1"/>
  <c r="J233" i="6"/>
  <c r="J232" i="6"/>
  <c r="J231" i="6"/>
  <c r="J230" i="6"/>
  <c r="J229" i="6"/>
  <c r="J228" i="6"/>
  <c r="J227" i="6"/>
  <c r="J225" i="6"/>
  <c r="J224" i="6"/>
  <c r="J223" i="6"/>
  <c r="J222" i="6"/>
  <c r="J221" i="6"/>
  <c r="J220" i="6"/>
  <c r="E199" i="7"/>
  <c r="J218" i="6"/>
  <c r="J217" i="6"/>
  <c r="J215" i="6"/>
  <c r="J213" i="6"/>
  <c r="J212" i="6"/>
  <c r="J210" i="6"/>
  <c r="G210" i="6"/>
  <c r="J209" i="6"/>
  <c r="J208" i="6"/>
  <c r="J206" i="6"/>
  <c r="J205" i="6"/>
  <c r="J204" i="6"/>
  <c r="J203" i="6"/>
  <c r="J202" i="6"/>
  <c r="J201" i="6"/>
  <c r="J200" i="6"/>
  <c r="J199" i="6"/>
  <c r="J198" i="6"/>
  <c r="J197" i="6"/>
  <c r="J196" i="6"/>
  <c r="J195" i="6"/>
  <c r="J194" i="6"/>
  <c r="J193" i="6"/>
  <c r="J192" i="6"/>
  <c r="J191" i="6"/>
  <c r="J186" i="6"/>
  <c r="J185" i="6"/>
  <c r="J184" i="6"/>
  <c r="J182" i="6"/>
  <c r="J181" i="6"/>
  <c r="J179" i="6"/>
  <c r="J178" i="6"/>
  <c r="J177" i="6"/>
  <c r="J175" i="6"/>
  <c r="J174" i="6"/>
  <c r="J172" i="6"/>
  <c r="J170" i="6"/>
  <c r="G170" i="6"/>
  <c r="J169" i="6"/>
  <c r="J168" i="6"/>
  <c r="G168" i="6"/>
  <c r="J166" i="6"/>
  <c r="J165" i="6"/>
  <c r="J164" i="6"/>
  <c r="J163" i="6"/>
  <c r="J162" i="6"/>
  <c r="J161" i="6"/>
  <c r="J160" i="6"/>
  <c r="J159" i="6"/>
  <c r="J157" i="6"/>
  <c r="J155" i="6"/>
  <c r="J154" i="6"/>
  <c r="J153" i="6"/>
  <c r="J152" i="6"/>
  <c r="J151" i="6"/>
  <c r="J150" i="6"/>
  <c r="J149" i="6"/>
  <c r="J148" i="6"/>
  <c r="J147" i="6"/>
  <c r="J146" i="6"/>
  <c r="J145" i="6"/>
  <c r="J144" i="6"/>
  <c r="J143" i="6"/>
  <c r="J142" i="6"/>
  <c r="J141" i="6"/>
  <c r="J140" i="6"/>
  <c r="J138" i="6"/>
  <c r="J137" i="6"/>
  <c r="J136" i="6"/>
  <c r="J135" i="6"/>
  <c r="J133" i="6"/>
  <c r="J132" i="6"/>
  <c r="J131" i="6"/>
  <c r="J130" i="6"/>
  <c r="J129" i="6"/>
  <c r="J128" i="6"/>
  <c r="J127" i="6"/>
  <c r="J126" i="6"/>
  <c r="J125" i="6"/>
  <c r="G125" i="6"/>
  <c r="J124" i="6"/>
  <c r="J123" i="6"/>
  <c r="J122" i="6"/>
  <c r="J121" i="6"/>
  <c r="J120" i="6"/>
  <c r="J119" i="6"/>
  <c r="J118" i="6"/>
  <c r="J117" i="6"/>
  <c r="J116" i="6"/>
  <c r="J114" i="6"/>
  <c r="J113" i="6"/>
  <c r="J112" i="6"/>
  <c r="Q112" i="15" s="1"/>
  <c r="J111" i="6"/>
  <c r="J110" i="6"/>
  <c r="J109" i="6"/>
  <c r="J108" i="6"/>
  <c r="J107" i="6"/>
  <c r="J105" i="6"/>
  <c r="J104" i="6"/>
  <c r="J103" i="6"/>
  <c r="J102" i="6"/>
  <c r="J100" i="6"/>
  <c r="J99" i="6"/>
  <c r="J98" i="6"/>
  <c r="J97" i="6"/>
  <c r="J96" i="6"/>
  <c r="J95" i="6"/>
  <c r="J94" i="6"/>
  <c r="J93" i="6"/>
  <c r="J92" i="6"/>
  <c r="J91" i="6"/>
  <c r="J90" i="6"/>
  <c r="J89" i="6"/>
  <c r="J88" i="6"/>
  <c r="J87" i="6"/>
  <c r="J85" i="6"/>
  <c r="J84" i="6"/>
  <c r="G84" i="6"/>
  <c r="J83" i="6"/>
  <c r="J82" i="6"/>
  <c r="J81" i="6"/>
  <c r="J80" i="6"/>
  <c r="J79" i="6"/>
  <c r="J78" i="6"/>
  <c r="J77" i="6"/>
  <c r="J76" i="6"/>
  <c r="J74" i="6"/>
  <c r="J72" i="6"/>
  <c r="J71" i="6"/>
  <c r="J69" i="6"/>
  <c r="J68" i="6"/>
  <c r="J67" i="6"/>
  <c r="J66" i="6"/>
  <c r="J65" i="6"/>
  <c r="J64" i="6"/>
  <c r="J63" i="6"/>
  <c r="J62" i="6"/>
  <c r="J60" i="6"/>
  <c r="J58" i="6"/>
  <c r="J57" i="6"/>
  <c r="J56" i="6"/>
  <c r="J55" i="6"/>
  <c r="J54" i="6"/>
  <c r="J53" i="6"/>
  <c r="J52" i="6"/>
  <c r="J51" i="6"/>
  <c r="J49" i="6"/>
  <c r="J48" i="6"/>
  <c r="J47" i="6"/>
  <c r="J46" i="6"/>
  <c r="J45" i="6"/>
  <c r="J43" i="6"/>
  <c r="J42" i="6"/>
  <c r="J41" i="6"/>
  <c r="J40" i="6"/>
  <c r="J39" i="6"/>
  <c r="J38" i="6"/>
  <c r="J37" i="6"/>
  <c r="J36" i="6"/>
  <c r="J34" i="6"/>
  <c r="J33" i="6"/>
  <c r="J32" i="6"/>
  <c r="J31" i="6"/>
  <c r="J30" i="6"/>
  <c r="J29" i="6"/>
  <c r="J28" i="6"/>
  <c r="J27" i="6"/>
  <c r="J26" i="6"/>
  <c r="J25" i="6"/>
  <c r="J23" i="6"/>
  <c r="B10" i="6"/>
  <c r="E8" i="6"/>
  <c r="K214" i="6" s="1"/>
  <c r="U201" i="13" s="1"/>
  <c r="X201" i="13" s="1"/>
  <c r="Z201" i="13" s="1"/>
  <c r="I2" i="9"/>
  <c r="K188" i="6" l="1"/>
  <c r="K240" i="6"/>
  <c r="Q235" i="15"/>
  <c r="T227" i="13"/>
  <c r="K27" i="6"/>
  <c r="E12" i="8" s="1"/>
  <c r="W12" i="8" s="1"/>
  <c r="Q27" i="15"/>
  <c r="T24" i="13"/>
  <c r="K49" i="6"/>
  <c r="E34" i="7" s="1"/>
  <c r="N34" i="7" s="1"/>
  <c r="Q49" i="15"/>
  <c r="T37" i="13"/>
  <c r="K72" i="6"/>
  <c r="Q71" i="15"/>
  <c r="T60" i="13"/>
  <c r="K93" i="6"/>
  <c r="E77" i="7" s="1"/>
  <c r="W77" i="7" s="1"/>
  <c r="Q92" i="15"/>
  <c r="T81" i="13"/>
  <c r="Q114" i="15"/>
  <c r="T103" i="13"/>
  <c r="K135" i="6"/>
  <c r="Q133" i="15"/>
  <c r="T124" i="13"/>
  <c r="Q155" i="15"/>
  <c r="T146" i="13"/>
  <c r="K179" i="6"/>
  <c r="E162" i="7" s="1"/>
  <c r="Q177" i="15"/>
  <c r="T166" i="13"/>
  <c r="N199" i="15"/>
  <c r="Q190" i="13"/>
  <c r="K222" i="6"/>
  <c r="Q217" i="15"/>
  <c r="T209" i="13"/>
  <c r="K241" i="6"/>
  <c r="E221" i="7" s="1"/>
  <c r="W221" i="7" s="1"/>
  <c r="Q236" i="15"/>
  <c r="T228" i="13"/>
  <c r="K261" i="6"/>
  <c r="E241" i="7" s="1"/>
  <c r="W241" i="7" s="1"/>
  <c r="Q256" i="15"/>
  <c r="T248" i="13"/>
  <c r="Q283" i="15"/>
  <c r="T275" i="13"/>
  <c r="K303" i="6"/>
  <c r="Q298" i="15"/>
  <c r="K28" i="6"/>
  <c r="E13" i="8" s="1"/>
  <c r="N13" i="8" s="1"/>
  <c r="Q28" i="15"/>
  <c r="T25" i="13"/>
  <c r="Q73" i="15"/>
  <c r="T62" i="13"/>
  <c r="K94" i="6"/>
  <c r="E78" i="7" s="1"/>
  <c r="W78" i="7" s="1"/>
  <c r="Q93" i="15"/>
  <c r="T82" i="13"/>
  <c r="Q115" i="15"/>
  <c r="T105" i="13"/>
  <c r="K136" i="6"/>
  <c r="E119" i="7" s="1"/>
  <c r="W119" i="7" s="1"/>
  <c r="Q134" i="15"/>
  <c r="T125" i="13"/>
  <c r="Q157" i="15"/>
  <c r="T148" i="13"/>
  <c r="Q179" i="15"/>
  <c r="T168" i="13"/>
  <c r="Q199" i="15"/>
  <c r="T190" i="13"/>
  <c r="K223" i="6"/>
  <c r="Q218" i="15"/>
  <c r="T210" i="13"/>
  <c r="K242" i="6"/>
  <c r="E222" i="8" s="1"/>
  <c r="W222" i="8" s="1"/>
  <c r="Q237" i="15"/>
  <c r="T229" i="13"/>
  <c r="K262" i="6"/>
  <c r="E242" i="7" s="1"/>
  <c r="Q257" i="15"/>
  <c r="T249" i="13"/>
  <c r="Q284" i="15"/>
  <c r="T276" i="13"/>
  <c r="K304" i="6"/>
  <c r="E282" i="8" s="1"/>
  <c r="W282" i="8" s="1"/>
  <c r="Q299" i="15"/>
  <c r="N52" i="15"/>
  <c r="Q40" i="13"/>
  <c r="Q74" i="15"/>
  <c r="T64" i="13"/>
  <c r="K95" i="6"/>
  <c r="Q94" i="15"/>
  <c r="T83" i="13"/>
  <c r="K117" i="6"/>
  <c r="E101" i="7" s="1"/>
  <c r="W101" i="7" s="1"/>
  <c r="Q116" i="15"/>
  <c r="T106" i="13"/>
  <c r="K137" i="6"/>
  <c r="E120" i="7" s="1"/>
  <c r="W120" i="7" s="1"/>
  <c r="Q135" i="15"/>
  <c r="T126" i="13"/>
  <c r="Q180" i="15"/>
  <c r="T169" i="13"/>
  <c r="N200" i="15"/>
  <c r="Q191" i="13"/>
  <c r="K224" i="6"/>
  <c r="E204" i="8" s="1"/>
  <c r="N204" i="8" s="1"/>
  <c r="Q219" i="15"/>
  <c r="T211" i="13"/>
  <c r="Q238" i="15"/>
  <c r="T230" i="13"/>
  <c r="Q260" i="15"/>
  <c r="T252" i="13"/>
  <c r="Q285" i="15"/>
  <c r="T277" i="13"/>
  <c r="K305" i="6"/>
  <c r="Q300" i="15"/>
  <c r="Q52" i="15"/>
  <c r="T40" i="13"/>
  <c r="K77" i="6"/>
  <c r="E60" i="8" s="1"/>
  <c r="W60" i="8" s="1"/>
  <c r="Q75" i="15"/>
  <c r="T65" i="13"/>
  <c r="K96" i="6"/>
  <c r="E80" i="8" s="1"/>
  <c r="W80" i="8" s="1"/>
  <c r="Q95" i="15"/>
  <c r="T84" i="13"/>
  <c r="K118" i="6"/>
  <c r="E102" i="7" s="1"/>
  <c r="N102" i="7" s="1"/>
  <c r="Q117" i="15"/>
  <c r="T107" i="13"/>
  <c r="K138" i="6"/>
  <c r="Q136" i="15"/>
  <c r="T127" i="13"/>
  <c r="K184" i="6"/>
  <c r="Q181" i="15"/>
  <c r="T171" i="13"/>
  <c r="Q200" i="15"/>
  <c r="T191" i="13"/>
  <c r="N220" i="15"/>
  <c r="Q212" i="13"/>
  <c r="Q239" i="15"/>
  <c r="T231" i="13"/>
  <c r="K267" i="6"/>
  <c r="Q262" i="15"/>
  <c r="T254" i="13"/>
  <c r="N286" i="15"/>
  <c r="Q278" i="13"/>
  <c r="K310" i="6"/>
  <c r="E287" i="7" s="1"/>
  <c r="W287" i="7" s="1"/>
  <c r="Q305" i="15"/>
  <c r="T288" i="13"/>
  <c r="K31" i="6"/>
  <c r="E16" i="8" s="1"/>
  <c r="W16" i="8" s="1"/>
  <c r="Q31" i="15"/>
  <c r="T28" i="13"/>
  <c r="Q53" i="15"/>
  <c r="T41" i="13"/>
  <c r="K78" i="6"/>
  <c r="Q76" i="15"/>
  <c r="T66" i="13"/>
  <c r="K97" i="6"/>
  <c r="E81" i="8" s="1"/>
  <c r="W81" i="8" s="1"/>
  <c r="Q96" i="15"/>
  <c r="T85" i="13"/>
  <c r="K119" i="6"/>
  <c r="E103" i="8" s="1"/>
  <c r="W103" i="8" s="1"/>
  <c r="Q118" i="15"/>
  <c r="T108" i="13"/>
  <c r="K140" i="6"/>
  <c r="Q138" i="15"/>
  <c r="T129" i="13"/>
  <c r="K162" i="6"/>
  <c r="Q160" i="15"/>
  <c r="T151" i="13"/>
  <c r="Q182" i="15"/>
  <c r="T172" i="13"/>
  <c r="K205" i="6"/>
  <c r="Q201" i="15"/>
  <c r="T192" i="13"/>
  <c r="Q220" i="15"/>
  <c r="T212" i="13"/>
  <c r="Q240" i="15"/>
  <c r="T232" i="13"/>
  <c r="K268" i="6"/>
  <c r="E247" i="7" s="1"/>
  <c r="Q263" i="15"/>
  <c r="T255" i="13"/>
  <c r="Q286" i="15"/>
  <c r="T278" i="13"/>
  <c r="K311" i="6"/>
  <c r="Q306" i="15"/>
  <c r="T289" i="13"/>
  <c r="K32" i="6"/>
  <c r="E17" i="8" s="1"/>
  <c r="N17" i="8" s="1"/>
  <c r="Q32" i="15"/>
  <c r="T29" i="13"/>
  <c r="K54" i="6"/>
  <c r="E39" i="8" s="1"/>
  <c r="W39" i="8" s="1"/>
  <c r="Q54" i="15"/>
  <c r="T42" i="13"/>
  <c r="K79" i="6"/>
  <c r="Q77" i="15"/>
  <c r="T67" i="13"/>
  <c r="K98" i="6"/>
  <c r="Q97" i="15"/>
  <c r="T86" i="13"/>
  <c r="K120" i="6"/>
  <c r="E104" i="7" s="1"/>
  <c r="N104" i="7" s="1"/>
  <c r="Q119" i="15"/>
  <c r="T109" i="13"/>
  <c r="Q139" i="15"/>
  <c r="T130" i="13"/>
  <c r="K186" i="6"/>
  <c r="E168" i="7" s="1"/>
  <c r="Q183" i="15"/>
  <c r="T173" i="13"/>
  <c r="K206" i="6"/>
  <c r="E187" i="8" s="1"/>
  <c r="Q202" i="15"/>
  <c r="T193" i="13"/>
  <c r="K227" i="6"/>
  <c r="E207" i="8" s="1"/>
  <c r="W207" i="8" s="1"/>
  <c r="Q222" i="15"/>
  <c r="T214" i="13"/>
  <c r="K246" i="6"/>
  <c r="Q241" i="15"/>
  <c r="T233" i="13"/>
  <c r="K269" i="6"/>
  <c r="E248" i="7" s="1"/>
  <c r="W248" i="7" s="1"/>
  <c r="Q264" i="15"/>
  <c r="T256" i="13"/>
  <c r="N287" i="15"/>
  <c r="Q279" i="13"/>
  <c r="K312" i="6"/>
  <c r="E289" i="7" s="1"/>
  <c r="Q307" i="15"/>
  <c r="T290" i="13"/>
  <c r="Q33" i="15"/>
  <c r="T30" i="13"/>
  <c r="K55" i="6"/>
  <c r="E40" i="7" s="1"/>
  <c r="N40" i="7" s="1"/>
  <c r="Q55" i="15"/>
  <c r="T43" i="13"/>
  <c r="Q78" i="15"/>
  <c r="T68" i="13"/>
  <c r="Q98" i="15"/>
  <c r="T87" i="13"/>
  <c r="Q120" i="15"/>
  <c r="T110" i="13"/>
  <c r="K142" i="6"/>
  <c r="Q140" i="15"/>
  <c r="T131" i="13"/>
  <c r="K164" i="6"/>
  <c r="E147" i="8" s="1"/>
  <c r="Q162" i="15"/>
  <c r="T153" i="13"/>
  <c r="Q187" i="15"/>
  <c r="T178" i="13"/>
  <c r="Q204" i="15"/>
  <c r="T195" i="13"/>
  <c r="K228" i="6"/>
  <c r="E208" i="8" s="1"/>
  <c r="W208" i="8" s="1"/>
  <c r="Q223" i="15"/>
  <c r="T215" i="13"/>
  <c r="K247" i="6"/>
  <c r="Q242" i="15"/>
  <c r="T234" i="13"/>
  <c r="K270" i="6"/>
  <c r="Q265" i="15"/>
  <c r="T257" i="13"/>
  <c r="Q287" i="15"/>
  <c r="T279" i="13"/>
  <c r="K313" i="6"/>
  <c r="Q308" i="15"/>
  <c r="T291" i="13"/>
  <c r="Q34" i="15"/>
  <c r="T31" i="13"/>
  <c r="Q56" i="15"/>
  <c r="T44" i="13"/>
  <c r="Q79" i="15"/>
  <c r="T69" i="13"/>
  <c r="Q99" i="15"/>
  <c r="T88" i="13"/>
  <c r="K122" i="6"/>
  <c r="E106" i="8" s="1"/>
  <c r="Q121" i="15"/>
  <c r="T111" i="13"/>
  <c r="K143" i="6"/>
  <c r="E126" i="8" s="1"/>
  <c r="Q141" i="15"/>
  <c r="T132" i="13"/>
  <c r="K165" i="6"/>
  <c r="Q163" i="15"/>
  <c r="T154" i="13"/>
  <c r="Q188" i="15"/>
  <c r="T179" i="13"/>
  <c r="T196" i="13"/>
  <c r="Q205" i="15"/>
  <c r="K229" i="6"/>
  <c r="E209" i="8" s="1"/>
  <c r="N209" i="8" s="1"/>
  <c r="Q224" i="15"/>
  <c r="T216" i="13"/>
  <c r="K248" i="6"/>
  <c r="Q243" i="15"/>
  <c r="T235" i="13"/>
  <c r="N288" i="15"/>
  <c r="Q280" i="13"/>
  <c r="K315" i="6"/>
  <c r="E292" i="7" s="1"/>
  <c r="W292" i="7" s="1"/>
  <c r="Q310" i="15"/>
  <c r="T293" i="13"/>
  <c r="K36" i="6"/>
  <c r="Q36" i="15"/>
  <c r="Q57" i="15"/>
  <c r="T45" i="13"/>
  <c r="Q80" i="15"/>
  <c r="T70" i="13"/>
  <c r="Q101" i="15"/>
  <c r="K123" i="6"/>
  <c r="E107" i="7" s="1"/>
  <c r="N107" i="7" s="1"/>
  <c r="Q122" i="15"/>
  <c r="T112" i="13"/>
  <c r="K144" i="6"/>
  <c r="E127" i="7" s="1"/>
  <c r="Q142" i="15"/>
  <c r="T133" i="13"/>
  <c r="K166" i="6"/>
  <c r="Q164" i="15"/>
  <c r="T155" i="13"/>
  <c r="Q189" i="15"/>
  <c r="T180" i="13"/>
  <c r="N206" i="15"/>
  <c r="Q197" i="13"/>
  <c r="K230" i="6"/>
  <c r="Q225" i="15"/>
  <c r="T217" i="13"/>
  <c r="K249" i="6"/>
  <c r="E229" i="7" s="1"/>
  <c r="N229" i="7" s="1"/>
  <c r="Q244" i="15"/>
  <c r="T236" i="13"/>
  <c r="K273" i="6"/>
  <c r="E251" i="7" s="1"/>
  <c r="W251" i="7" s="1"/>
  <c r="Q268" i="15"/>
  <c r="T260" i="13"/>
  <c r="Q288" i="15"/>
  <c r="T280" i="13"/>
  <c r="K316" i="6"/>
  <c r="E293" i="7" s="1"/>
  <c r="W293" i="7" s="1"/>
  <c r="Q311" i="15"/>
  <c r="T294" i="13"/>
  <c r="K37" i="6"/>
  <c r="E22" i="8" s="1"/>
  <c r="W22" i="8" s="1"/>
  <c r="Q37" i="15"/>
  <c r="K58" i="6"/>
  <c r="Q58" i="15"/>
  <c r="T46" i="13"/>
  <c r="Q81" i="15"/>
  <c r="T71" i="13"/>
  <c r="T91" i="13"/>
  <c r="Q102" i="15"/>
  <c r="Q123" i="15"/>
  <c r="T113" i="13"/>
  <c r="Q143" i="15"/>
  <c r="T134" i="13"/>
  <c r="N166" i="15"/>
  <c r="Q157" i="13"/>
  <c r="Q190" i="15"/>
  <c r="T181" i="13"/>
  <c r="Q206" i="15"/>
  <c r="T197" i="13"/>
  <c r="Q226" i="15"/>
  <c r="T218" i="13"/>
  <c r="Q245" i="15"/>
  <c r="T237" i="13"/>
  <c r="K274" i="6"/>
  <c r="Q269" i="15"/>
  <c r="T261" i="13"/>
  <c r="N289" i="15"/>
  <c r="Q281" i="13"/>
  <c r="K317" i="6"/>
  <c r="Q312" i="15"/>
  <c r="T295" i="13"/>
  <c r="K38" i="6"/>
  <c r="E23" i="8" s="1"/>
  <c r="N23" i="8" s="1"/>
  <c r="Q38" i="15"/>
  <c r="T48" i="13"/>
  <c r="Q61" i="15"/>
  <c r="N82" i="15"/>
  <c r="Q72" i="13"/>
  <c r="Q103" i="15"/>
  <c r="T92" i="13"/>
  <c r="N124" i="15"/>
  <c r="Q114" i="13"/>
  <c r="K146" i="6"/>
  <c r="Q144" i="15"/>
  <c r="T135" i="13"/>
  <c r="Q166" i="15"/>
  <c r="T157" i="13"/>
  <c r="Q191" i="15"/>
  <c r="T182" i="13"/>
  <c r="Q208" i="15"/>
  <c r="T199" i="13"/>
  <c r="Q227" i="15"/>
  <c r="T219" i="13"/>
  <c r="K251" i="6"/>
  <c r="E231" i="8" s="1"/>
  <c r="W231" i="8" s="1"/>
  <c r="Q246" i="15"/>
  <c r="T238" i="13"/>
  <c r="K275" i="6"/>
  <c r="E253" i="7" s="1"/>
  <c r="N253" i="7" s="1"/>
  <c r="Q270" i="15"/>
  <c r="T262" i="13"/>
  <c r="Q289" i="15"/>
  <c r="T281" i="13"/>
  <c r="K318" i="6"/>
  <c r="E295" i="7" s="1"/>
  <c r="W295" i="7" s="1"/>
  <c r="Q313" i="15"/>
  <c r="T296" i="13"/>
  <c r="K39" i="6"/>
  <c r="Q39" i="15"/>
  <c r="K62" i="6"/>
  <c r="Q62" i="15"/>
  <c r="T50" i="13"/>
  <c r="Q82" i="15"/>
  <c r="T72" i="13"/>
  <c r="Q104" i="15"/>
  <c r="T93" i="13"/>
  <c r="Q124" i="15"/>
  <c r="T114" i="13"/>
  <c r="K147" i="6"/>
  <c r="E130" i="7" s="1"/>
  <c r="Q145" i="15"/>
  <c r="T136" i="13"/>
  <c r="T158" i="13"/>
  <c r="Q167" i="15"/>
  <c r="Q192" i="15"/>
  <c r="T183" i="13"/>
  <c r="Q209" i="15"/>
  <c r="T200" i="13"/>
  <c r="Q228" i="15"/>
  <c r="T220" i="13"/>
  <c r="K252" i="6"/>
  <c r="Q247" i="15"/>
  <c r="T239" i="13"/>
  <c r="K276" i="6"/>
  <c r="E254" i="7" s="1"/>
  <c r="N254" i="7" s="1"/>
  <c r="Q271" i="15"/>
  <c r="T263" i="13"/>
  <c r="N290" i="15"/>
  <c r="Q282" i="13"/>
  <c r="Q315" i="15"/>
  <c r="T298" i="13"/>
  <c r="K40" i="6"/>
  <c r="E25" i="8" s="1"/>
  <c r="W25" i="8" s="1"/>
  <c r="Q40" i="15"/>
  <c r="K63" i="6"/>
  <c r="E48" i="7" s="1"/>
  <c r="W48" i="7" s="1"/>
  <c r="Q63" i="15"/>
  <c r="T51" i="13"/>
  <c r="K85" i="6"/>
  <c r="Q83" i="15"/>
  <c r="T73" i="13"/>
  <c r="Q105" i="15"/>
  <c r="T94" i="13"/>
  <c r="Q125" i="15"/>
  <c r="T115" i="13"/>
  <c r="K148" i="6"/>
  <c r="E131" i="8" s="1"/>
  <c r="W131" i="8" s="1"/>
  <c r="Q146" i="15"/>
  <c r="T137" i="13"/>
  <c r="N168" i="15"/>
  <c r="Q159" i="13"/>
  <c r="K197" i="6"/>
  <c r="E178" i="8" s="1"/>
  <c r="N178" i="8" s="1"/>
  <c r="Q193" i="15"/>
  <c r="T184" i="13"/>
  <c r="Q210" i="15"/>
  <c r="K253" i="6"/>
  <c r="E233" i="7" s="1"/>
  <c r="W233" i="7" s="1"/>
  <c r="Q248" i="15"/>
  <c r="T240" i="13"/>
  <c r="Q290" i="15"/>
  <c r="T282" i="13"/>
  <c r="K321" i="6"/>
  <c r="Q316" i="15"/>
  <c r="T299" i="13"/>
  <c r="N179" i="15"/>
  <c r="Q168" i="13"/>
  <c r="K41" i="6"/>
  <c r="E26" i="7" s="1"/>
  <c r="N26" i="7" s="1"/>
  <c r="Q41" i="15"/>
  <c r="K64" i="6"/>
  <c r="Q64" i="15"/>
  <c r="T52" i="13"/>
  <c r="Q85" i="15"/>
  <c r="Q107" i="15"/>
  <c r="T96" i="13"/>
  <c r="Q126" i="15"/>
  <c r="T116" i="13"/>
  <c r="K149" i="6"/>
  <c r="E132" i="7" s="1"/>
  <c r="N132" i="7" s="1"/>
  <c r="Q147" i="15"/>
  <c r="T138" i="13"/>
  <c r="Q168" i="15"/>
  <c r="T159" i="13"/>
  <c r="K198" i="6"/>
  <c r="Q194" i="15"/>
  <c r="T185" i="13"/>
  <c r="N212" i="15"/>
  <c r="Q204" i="13"/>
  <c r="K235" i="6"/>
  <c r="Q230" i="15"/>
  <c r="T222" i="13"/>
  <c r="K254" i="6"/>
  <c r="E234" i="7" s="1"/>
  <c r="Q249" i="15"/>
  <c r="T241" i="13"/>
  <c r="K278" i="6"/>
  <c r="E256" i="7" s="1"/>
  <c r="W256" i="7" s="1"/>
  <c r="Q273" i="15"/>
  <c r="T265" i="13"/>
  <c r="N291" i="15"/>
  <c r="Q283" i="13"/>
  <c r="K322" i="6"/>
  <c r="E299" i="7" s="1"/>
  <c r="W299" i="7" s="1"/>
  <c r="Q317" i="15"/>
  <c r="T300" i="13"/>
  <c r="K42" i="6"/>
  <c r="Q42" i="15"/>
  <c r="K65" i="6"/>
  <c r="E50" i="8" s="1"/>
  <c r="W50" i="8" s="1"/>
  <c r="Q65" i="15"/>
  <c r="T53" i="13"/>
  <c r="K87" i="6"/>
  <c r="E71" i="8" s="1"/>
  <c r="W71" i="8" s="1"/>
  <c r="Q86" i="15"/>
  <c r="T75" i="13"/>
  <c r="K108" i="6"/>
  <c r="E93" i="8" s="1"/>
  <c r="N93" i="8" s="1"/>
  <c r="Q108" i="15"/>
  <c r="T97" i="13"/>
  <c r="Q127" i="15"/>
  <c r="T117" i="13"/>
  <c r="Q148" i="15"/>
  <c r="T139" i="13"/>
  <c r="K172" i="6"/>
  <c r="E155" i="7" s="1"/>
  <c r="F154" i="7" s="1"/>
  <c r="X154" i="7" s="1"/>
  <c r="Q170" i="15"/>
  <c r="K199" i="6"/>
  <c r="Q195" i="15"/>
  <c r="T186" i="13"/>
  <c r="Q212" i="15"/>
  <c r="K217" i="6"/>
  <c r="T204" i="13"/>
  <c r="K236" i="6"/>
  <c r="Q231" i="15"/>
  <c r="T223" i="13"/>
  <c r="K255" i="6"/>
  <c r="E235" i="8" s="1"/>
  <c r="W235" i="8" s="1"/>
  <c r="Q250" i="15"/>
  <c r="T242" i="13"/>
  <c r="Q291" i="15"/>
  <c r="T283" i="13"/>
  <c r="K323" i="6"/>
  <c r="E300" i="8" s="1"/>
  <c r="Q318" i="15"/>
  <c r="T301" i="13"/>
  <c r="F3" i="12"/>
  <c r="K163" i="6"/>
  <c r="G68" i="6"/>
  <c r="K43" i="6"/>
  <c r="Q43" i="15"/>
  <c r="K66" i="6"/>
  <c r="Q66" i="15"/>
  <c r="T54" i="13"/>
  <c r="K88" i="6"/>
  <c r="Q87" i="15"/>
  <c r="T76" i="13"/>
  <c r="K109" i="6"/>
  <c r="E94" i="8" s="1"/>
  <c r="N94" i="8" s="1"/>
  <c r="Q109" i="15"/>
  <c r="T98" i="13"/>
  <c r="Q128" i="15"/>
  <c r="T118" i="13"/>
  <c r="Q149" i="15"/>
  <c r="T140" i="13"/>
  <c r="K174" i="6"/>
  <c r="U161" i="13" s="1"/>
  <c r="Q172" i="15"/>
  <c r="T161" i="13"/>
  <c r="Q196" i="15"/>
  <c r="T187" i="13"/>
  <c r="N213" i="15"/>
  <c r="Q205" i="13"/>
  <c r="K237" i="6"/>
  <c r="E217" i="7" s="1"/>
  <c r="N217" i="7" s="1"/>
  <c r="Q232" i="15"/>
  <c r="T224" i="13"/>
  <c r="T243" i="13"/>
  <c r="Q251" i="15"/>
  <c r="K282" i="6"/>
  <c r="E260" i="7" s="1"/>
  <c r="Q277" i="15"/>
  <c r="T269" i="13"/>
  <c r="K298" i="6"/>
  <c r="E276" i="8" s="1"/>
  <c r="N276" i="8" s="1"/>
  <c r="Q293" i="15"/>
  <c r="Q45" i="15"/>
  <c r="T33" i="13"/>
  <c r="K67" i="6"/>
  <c r="E52" i="8" s="1"/>
  <c r="W52" i="8" s="1"/>
  <c r="Q67" i="15"/>
  <c r="T55" i="13"/>
  <c r="K89" i="6"/>
  <c r="Q88" i="15"/>
  <c r="T77" i="13"/>
  <c r="Q129" i="15"/>
  <c r="T119" i="13"/>
  <c r="Q150" i="15"/>
  <c r="T141" i="13"/>
  <c r="N173" i="15"/>
  <c r="Q162" i="13"/>
  <c r="N197" i="15"/>
  <c r="Q188" i="13"/>
  <c r="Q213" i="15"/>
  <c r="T205" i="13"/>
  <c r="Q233" i="15"/>
  <c r="T225" i="13"/>
  <c r="K257" i="6"/>
  <c r="E237" i="8" s="1"/>
  <c r="Q252" i="15"/>
  <c r="T244" i="13"/>
  <c r="K299" i="6"/>
  <c r="E277" i="8" s="1"/>
  <c r="W277" i="8" s="1"/>
  <c r="Q294" i="15"/>
  <c r="K23" i="6"/>
  <c r="Q23" i="15"/>
  <c r="Q46" i="15"/>
  <c r="T34" i="13"/>
  <c r="Q68" i="15"/>
  <c r="T56" i="13"/>
  <c r="K90" i="6"/>
  <c r="E74" i="8" s="1"/>
  <c r="N74" i="8" s="1"/>
  <c r="Q89" i="15"/>
  <c r="T78" i="13"/>
  <c r="K111" i="6"/>
  <c r="E96" i="7" s="1"/>
  <c r="W96" i="7" s="1"/>
  <c r="Q111" i="15"/>
  <c r="T100" i="13"/>
  <c r="Q130" i="15"/>
  <c r="T120" i="13"/>
  <c r="Q151" i="15"/>
  <c r="T142" i="13"/>
  <c r="Q173" i="15"/>
  <c r="T162" i="13"/>
  <c r="Q197" i="15"/>
  <c r="T188" i="13"/>
  <c r="N234" i="15"/>
  <c r="Q226" i="13"/>
  <c r="K258" i="6"/>
  <c r="E238" i="8" s="1"/>
  <c r="N238" i="8" s="1"/>
  <c r="Q253" i="15"/>
  <c r="T245" i="13"/>
  <c r="K285" i="6"/>
  <c r="Q280" i="15"/>
  <c r="T272" i="13"/>
  <c r="K300" i="6"/>
  <c r="Q295" i="15"/>
  <c r="K26" i="6"/>
  <c r="E11" i="7" s="1"/>
  <c r="Q26" i="15"/>
  <c r="T23" i="13"/>
  <c r="K48" i="6"/>
  <c r="E33" i="8" s="1"/>
  <c r="N33" i="8" s="1"/>
  <c r="Q48" i="15"/>
  <c r="T36" i="13"/>
  <c r="K71" i="6"/>
  <c r="Q70" i="15"/>
  <c r="T59" i="13"/>
  <c r="Q91" i="15"/>
  <c r="T80" i="13"/>
  <c r="K113" i="6"/>
  <c r="Q113" i="15"/>
  <c r="T102" i="13"/>
  <c r="Q132" i="15"/>
  <c r="T122" i="13"/>
  <c r="K155" i="6"/>
  <c r="E138" i="7" s="1"/>
  <c r="Q153" i="15"/>
  <c r="T144" i="13"/>
  <c r="Q176" i="15"/>
  <c r="T165" i="13"/>
  <c r="Q198" i="15"/>
  <c r="T189" i="13"/>
  <c r="K221" i="6"/>
  <c r="E201" i="8" s="1"/>
  <c r="W201" i="8" s="1"/>
  <c r="Q216" i="15"/>
  <c r="T208" i="13"/>
  <c r="N283" i="15"/>
  <c r="Q275" i="13"/>
  <c r="K302" i="6"/>
  <c r="E280" i="8" s="1"/>
  <c r="N280" i="8" s="1"/>
  <c r="Q297" i="15"/>
  <c r="Q110" i="15"/>
  <c r="T99" i="13"/>
  <c r="K25" i="6"/>
  <c r="Q25" i="15"/>
  <c r="T22" i="13"/>
  <c r="K47" i="6"/>
  <c r="E32" i="8" s="1"/>
  <c r="W32" i="8" s="1"/>
  <c r="Q47" i="15"/>
  <c r="T35" i="13"/>
  <c r="Q69" i="15"/>
  <c r="T57" i="13"/>
  <c r="Q90" i="15"/>
  <c r="T79" i="13"/>
  <c r="Q131" i="15"/>
  <c r="T121" i="13"/>
  <c r="K154" i="6"/>
  <c r="Q152" i="15"/>
  <c r="T143" i="13"/>
  <c r="Q175" i="15"/>
  <c r="T164" i="13"/>
  <c r="N198" i="15"/>
  <c r="Q189" i="13"/>
  <c r="K220" i="6"/>
  <c r="E200" i="8" s="1"/>
  <c r="N200" i="8" s="1"/>
  <c r="Q215" i="15"/>
  <c r="T207" i="13"/>
  <c r="Q234" i="15"/>
  <c r="T226" i="13"/>
  <c r="K259" i="6"/>
  <c r="E239" i="8" s="1"/>
  <c r="Q254" i="15"/>
  <c r="T246" i="13"/>
  <c r="K286" i="6"/>
  <c r="E264" i="8" s="1"/>
  <c r="W264" i="8" s="1"/>
  <c r="Q281" i="15"/>
  <c r="T273" i="13"/>
  <c r="K301" i="6"/>
  <c r="E279" i="8" s="1"/>
  <c r="N279" i="8" s="1"/>
  <c r="Q296" i="15"/>
  <c r="K51" i="6"/>
  <c r="E36" i="8" s="1"/>
  <c r="N36" i="8" s="1"/>
  <c r="Q51" i="15"/>
  <c r="T39" i="13"/>
  <c r="K30" i="6"/>
  <c r="E15" i="8" s="1"/>
  <c r="W15" i="8" s="1"/>
  <c r="Q30" i="15"/>
  <c r="T27" i="13"/>
  <c r="Q29" i="15"/>
  <c r="T26" i="13"/>
  <c r="R28" i="15"/>
  <c r="U28" i="15" s="1"/>
  <c r="W28" i="15" s="1"/>
  <c r="U25" i="13"/>
  <c r="X25" i="13" s="1"/>
  <c r="Z25" i="13" s="1"/>
  <c r="T271" i="13"/>
  <c r="Q279" i="15"/>
  <c r="K284" i="6"/>
  <c r="Q158" i="15"/>
  <c r="T149" i="13"/>
  <c r="Q161" i="15"/>
  <c r="T152" i="13"/>
  <c r="T150" i="13"/>
  <c r="Q159" i="15"/>
  <c r="K277" i="6"/>
  <c r="R272" i="15" s="1"/>
  <c r="U272" i="15" s="1"/>
  <c r="W272" i="15" s="1"/>
  <c r="T264" i="13"/>
  <c r="K260" i="6"/>
  <c r="R255" i="15" s="1"/>
  <c r="U255" i="15" s="1"/>
  <c r="W255" i="15" s="1"/>
  <c r="T247" i="13"/>
  <c r="K272" i="6"/>
  <c r="T259" i="13"/>
  <c r="K280" i="6"/>
  <c r="R275" i="15" s="1"/>
  <c r="U275" i="15" s="1"/>
  <c r="W275" i="15" s="1"/>
  <c r="T267" i="13"/>
  <c r="K112" i="6"/>
  <c r="T101" i="13"/>
  <c r="E97" i="8"/>
  <c r="W97" i="8" s="1"/>
  <c r="K234" i="6"/>
  <c r="R229" i="15" s="1"/>
  <c r="U229" i="15" s="1"/>
  <c r="W229" i="15" s="1"/>
  <c r="T221" i="13"/>
  <c r="J7" i="6"/>
  <c r="J8" i="6"/>
  <c r="J5" i="6"/>
  <c r="J4" i="6"/>
  <c r="J3" i="6"/>
  <c r="G99" i="6"/>
  <c r="J6" i="6"/>
  <c r="K218" i="6"/>
  <c r="K159" i="6"/>
  <c r="G153" i="6"/>
  <c r="K153" i="6" s="1"/>
  <c r="K201" i="6"/>
  <c r="K195" i="6"/>
  <c r="I36" i="9"/>
  <c r="I14" i="9"/>
  <c r="I25" i="9"/>
  <c r="H15" i="9"/>
  <c r="H26" i="9"/>
  <c r="I4" i="9"/>
  <c r="I15" i="9"/>
  <c r="I26" i="9"/>
  <c r="H16" i="9"/>
  <c r="H27" i="9"/>
  <c r="I5" i="9"/>
  <c r="I16" i="9"/>
  <c r="I27" i="9"/>
  <c r="H6" i="9"/>
  <c r="H17" i="9"/>
  <c r="H28" i="9"/>
  <c r="I6" i="9"/>
  <c r="I17" i="9"/>
  <c r="I28" i="9"/>
  <c r="H7" i="9"/>
  <c r="H18" i="9"/>
  <c r="H29" i="9"/>
  <c r="I7" i="9"/>
  <c r="I18" i="9"/>
  <c r="I29" i="9"/>
  <c r="H8" i="9"/>
  <c r="H30" i="9"/>
  <c r="I8" i="9"/>
  <c r="I30" i="9"/>
  <c r="H20" i="9"/>
  <c r="I9" i="9"/>
  <c r="H21" i="9"/>
  <c r="I10" i="9"/>
  <c r="H22" i="9"/>
  <c r="I11" i="9"/>
  <c r="I22" i="9"/>
  <c r="H23" i="9"/>
  <c r="I23" i="9"/>
  <c r="I34" i="9"/>
  <c r="H13" i="9"/>
  <c r="H35" i="9"/>
  <c r="H4" i="9"/>
  <c r="H31" i="9"/>
  <c r="I31" i="9"/>
  <c r="H32" i="9"/>
  <c r="I32" i="9"/>
  <c r="H33" i="9"/>
  <c r="H12" i="9"/>
  <c r="H5" i="9"/>
  <c r="H19" i="9"/>
  <c r="I19" i="9"/>
  <c r="H9" i="9"/>
  <c r="I20" i="9"/>
  <c r="H10" i="9"/>
  <c r="I21" i="9"/>
  <c r="H11" i="9"/>
  <c r="I33" i="9"/>
  <c r="H34" i="9"/>
  <c r="I12" i="9"/>
  <c r="H24" i="9"/>
  <c r="I13" i="9"/>
  <c r="H14" i="9"/>
  <c r="I24" i="9"/>
  <c r="H25" i="9"/>
  <c r="I35" i="9"/>
  <c r="H36" i="9"/>
  <c r="F2" i="9"/>
  <c r="G145" i="6"/>
  <c r="F16" i="6"/>
  <c r="F4" i="6"/>
  <c r="G81" i="6"/>
  <c r="G60" i="6"/>
  <c r="G74" i="6"/>
  <c r="G152" i="6"/>
  <c r="K131" i="6"/>
  <c r="K168" i="6"/>
  <c r="K293" i="6"/>
  <c r="W199" i="7"/>
  <c r="E245" i="8"/>
  <c r="W245" i="8" s="1"/>
  <c r="E245" i="7"/>
  <c r="W245" i="7" s="1"/>
  <c r="E263" i="7"/>
  <c r="N263" i="7" s="1"/>
  <c r="E283" i="7"/>
  <c r="W283" i="7" s="1"/>
  <c r="E199" i="8"/>
  <c r="N199" i="8" s="1"/>
  <c r="K203" i="6"/>
  <c r="K244" i="6"/>
  <c r="E123" i="8"/>
  <c r="W123" i="8" s="1"/>
  <c r="E288" i="7"/>
  <c r="E56" i="8"/>
  <c r="E82" i="8"/>
  <c r="W82" i="8" s="1"/>
  <c r="K33" i="6"/>
  <c r="K57" i="6"/>
  <c r="E290" i="7"/>
  <c r="N290" i="7" s="1"/>
  <c r="F3" i="6"/>
  <c r="N257" i="7"/>
  <c r="K295" i="6"/>
  <c r="E290" i="8"/>
  <c r="N290" i="8" s="1"/>
  <c r="E98" i="7"/>
  <c r="W98" i="7" s="1"/>
  <c r="E51" i="8"/>
  <c r="W51" i="8" s="1"/>
  <c r="E50" i="7"/>
  <c r="W50" i="7" s="1"/>
  <c r="W257" i="8"/>
  <c r="K288" i="6"/>
  <c r="E51" i="7"/>
  <c r="N199" i="7"/>
  <c r="K319" i="6"/>
  <c r="K83" i="6"/>
  <c r="E220" i="8"/>
  <c r="E203" i="7"/>
  <c r="W257" i="7"/>
  <c r="N257" i="8"/>
  <c r="E258" i="8"/>
  <c r="H257" i="7"/>
  <c r="E13" i="7"/>
  <c r="E294" i="7"/>
  <c r="H257" i="8"/>
  <c r="K34" i="6"/>
  <c r="K110" i="6"/>
  <c r="K100" i="6"/>
  <c r="K150" i="6"/>
  <c r="K231" i="6"/>
  <c r="K208" i="6"/>
  <c r="K121" i="6"/>
  <c r="K182" i="6"/>
  <c r="K239" i="6"/>
  <c r="K314" i="6"/>
  <c r="K128" i="6"/>
  <c r="K233" i="6"/>
  <c r="K204" i="6"/>
  <c r="K170" i="6"/>
  <c r="K238" i="6"/>
  <c r="K175" i="6"/>
  <c r="K210" i="6"/>
  <c r="K56" i="6"/>
  <c r="K232" i="6"/>
  <c r="K53" i="6"/>
  <c r="K45" i="6"/>
  <c r="K52" i="6"/>
  <c r="K102" i="6"/>
  <c r="K127" i="6"/>
  <c r="F5" i="6"/>
  <c r="F8" i="6"/>
  <c r="G92" i="6"/>
  <c r="G194" i="6"/>
  <c r="G116" i="6"/>
  <c r="K320" i="6"/>
  <c r="K250" i="6"/>
  <c r="K296" i="6"/>
  <c r="K225" i="6"/>
  <c r="K289" i="6"/>
  <c r="K290" i="6"/>
  <c r="K200" i="6"/>
  <c r="K292" i="6"/>
  <c r="G196" i="6"/>
  <c r="K181" i="6"/>
  <c r="K76" i="6"/>
  <c r="K243" i="6"/>
  <c r="K256" i="6"/>
  <c r="R251" i="15" s="1"/>
  <c r="U251" i="15" s="1"/>
  <c r="W251" i="15" s="1"/>
  <c r="K107" i="6"/>
  <c r="K185" i="6"/>
  <c r="K169" i="6"/>
  <c r="K202" i="6"/>
  <c r="K125" i="6"/>
  <c r="K245" i="6"/>
  <c r="G192" i="6"/>
  <c r="F6" i="6"/>
  <c r="G213" i="6"/>
  <c r="G212" i="6"/>
  <c r="K151" i="6"/>
  <c r="K132" i="6"/>
  <c r="G141" i="6"/>
  <c r="G91" i="6"/>
  <c r="F7" i="6"/>
  <c r="G193" i="6"/>
  <c r="G105" i="6"/>
  <c r="K294" i="6"/>
  <c r="K84" i="6"/>
  <c r="G82" i="6"/>
  <c r="K130" i="6"/>
  <c r="G114" i="6"/>
  <c r="K209" i="6"/>
  <c r="K126" i="6"/>
  <c r="K177" i="6"/>
  <c r="K133" i="6"/>
  <c r="K69" i="6"/>
  <c r="G103" i="6"/>
  <c r="G191" i="6"/>
  <c r="K104" i="6"/>
  <c r="H306" i="4"/>
  <c r="J306" i="4"/>
  <c r="G206" i="4"/>
  <c r="G204" i="4"/>
  <c r="O13" i="4"/>
  <c r="G226" i="4" s="1"/>
  <c r="H312" i="4"/>
  <c r="H311" i="4"/>
  <c r="G172" i="4"/>
  <c r="G82" i="4"/>
  <c r="G81" i="4"/>
  <c r="O11" i="4"/>
  <c r="S15" i="4"/>
  <c r="G130" i="4" s="1"/>
  <c r="S14" i="4"/>
  <c r="E200" i="7" l="1"/>
  <c r="L187" i="6"/>
  <c r="U175" i="13"/>
  <c r="X175" i="13" s="1"/>
  <c r="Z175" i="13" s="1"/>
  <c r="E157" i="8"/>
  <c r="N157" i="8" s="1"/>
  <c r="E40" i="8"/>
  <c r="W40" i="8" s="1"/>
  <c r="E106" i="7"/>
  <c r="W106" i="7" s="1"/>
  <c r="E168" i="8"/>
  <c r="N168" i="8" s="1"/>
  <c r="L283" i="6"/>
  <c r="F496" i="6"/>
  <c r="F503" i="6"/>
  <c r="E132" i="8"/>
  <c r="W132" i="8" s="1"/>
  <c r="E48" i="8"/>
  <c r="N48" i="8" s="1"/>
  <c r="E34" i="8"/>
  <c r="W34" i="8" s="1"/>
  <c r="E260" i="8"/>
  <c r="N260" i="8" s="1"/>
  <c r="O259" i="8" s="1"/>
  <c r="U271" i="13"/>
  <c r="X271" i="13" s="1"/>
  <c r="Z271" i="13" s="1"/>
  <c r="E102" i="8"/>
  <c r="W102" i="8" s="1"/>
  <c r="E289" i="8"/>
  <c r="W289" i="8" s="1"/>
  <c r="E52" i="7"/>
  <c r="N52" i="7" s="1"/>
  <c r="E17" i="7"/>
  <c r="W17" i="7" s="1"/>
  <c r="E77" i="8"/>
  <c r="N77" i="8" s="1"/>
  <c r="E16" i="7"/>
  <c r="W16" i="7" s="1"/>
  <c r="E279" i="7"/>
  <c r="W279" i="7" s="1"/>
  <c r="F446" i="6"/>
  <c r="E255" i="7"/>
  <c r="W255" i="7" s="1"/>
  <c r="E242" i="8"/>
  <c r="W242" i="8" s="1"/>
  <c r="E255" i="8"/>
  <c r="W255" i="8" s="1"/>
  <c r="R199" i="15"/>
  <c r="U199" i="15" s="1"/>
  <c r="W199" i="15" s="1"/>
  <c r="U190" i="13"/>
  <c r="X190" i="13" s="1"/>
  <c r="Z190" i="13" s="1"/>
  <c r="F514" i="6"/>
  <c r="R194" i="15"/>
  <c r="U194" i="15" s="1"/>
  <c r="U185" i="13"/>
  <c r="X185" i="13" s="1"/>
  <c r="E179" i="8"/>
  <c r="W179" i="8" s="1"/>
  <c r="E232" i="8"/>
  <c r="R247" i="15"/>
  <c r="U247" i="15" s="1"/>
  <c r="U239" i="13"/>
  <c r="X239" i="13" s="1"/>
  <c r="E232" i="7"/>
  <c r="N232" i="7" s="1"/>
  <c r="E47" i="7"/>
  <c r="R62" i="15"/>
  <c r="U62" i="15" s="1"/>
  <c r="U50" i="13"/>
  <c r="X50" i="13" s="1"/>
  <c r="E47" i="8"/>
  <c r="N47" i="8" s="1"/>
  <c r="E125" i="7"/>
  <c r="R140" i="15"/>
  <c r="U140" i="15" s="1"/>
  <c r="W140" i="15" s="1"/>
  <c r="U131" i="13"/>
  <c r="X131" i="13" s="1"/>
  <c r="Z131" i="13" s="1"/>
  <c r="E125" i="8"/>
  <c r="N125" i="8" s="1"/>
  <c r="E61" i="7"/>
  <c r="R76" i="15"/>
  <c r="U76" i="15" s="1"/>
  <c r="W76" i="15" s="1"/>
  <c r="U66" i="13"/>
  <c r="X66" i="13" s="1"/>
  <c r="Z66" i="13" s="1"/>
  <c r="E61" i="8"/>
  <c r="N61" i="8" s="1"/>
  <c r="R284" i="15"/>
  <c r="U284" i="15" s="1"/>
  <c r="W284" i="15" s="1"/>
  <c r="U276" i="13"/>
  <c r="X276" i="13" s="1"/>
  <c r="Z276" i="13" s="1"/>
  <c r="L173" i="6"/>
  <c r="R173" i="15"/>
  <c r="U162" i="13"/>
  <c r="R267" i="15"/>
  <c r="U267" i="15" s="1"/>
  <c r="W267" i="15" s="1"/>
  <c r="E250" i="8"/>
  <c r="W250" i="8" s="1"/>
  <c r="E27" i="8"/>
  <c r="R42" i="15"/>
  <c r="U42" i="15" s="1"/>
  <c r="E79" i="8"/>
  <c r="R94" i="15"/>
  <c r="U94" i="15" s="1"/>
  <c r="U83" i="13"/>
  <c r="X83" i="13" s="1"/>
  <c r="E79" i="7"/>
  <c r="N79" i="7" s="1"/>
  <c r="E281" i="7"/>
  <c r="R298" i="15"/>
  <c r="U298" i="15" s="1"/>
  <c r="R220" i="15"/>
  <c r="U220" i="15" s="1"/>
  <c r="W220" i="15" s="1"/>
  <c r="U212" i="13"/>
  <c r="X212" i="13" s="1"/>
  <c r="Z212" i="13" s="1"/>
  <c r="R233" i="15"/>
  <c r="U233" i="15" s="1"/>
  <c r="W233" i="15" s="1"/>
  <c r="U225" i="13"/>
  <c r="X225" i="13" s="1"/>
  <c r="Z225" i="13" s="1"/>
  <c r="R157" i="15"/>
  <c r="U157" i="15" s="1"/>
  <c r="W157" i="15" s="1"/>
  <c r="U148" i="13"/>
  <c r="X148" i="13" s="1"/>
  <c r="Z148" i="13" s="1"/>
  <c r="E280" i="7"/>
  <c r="R297" i="15"/>
  <c r="U297" i="15" s="1"/>
  <c r="L297" i="6"/>
  <c r="R23" i="15"/>
  <c r="U23" i="15" s="1"/>
  <c r="W23" i="15" s="1"/>
  <c r="E8" i="7"/>
  <c r="N8" i="7" s="1"/>
  <c r="O7" i="7" s="1"/>
  <c r="L22" i="6"/>
  <c r="E28" i="8"/>
  <c r="R43" i="15"/>
  <c r="U43" i="15" s="1"/>
  <c r="E28" i="7"/>
  <c r="N28" i="7" s="1"/>
  <c r="R195" i="15"/>
  <c r="U195" i="15" s="1"/>
  <c r="W195" i="15" s="1"/>
  <c r="E180" i="8"/>
  <c r="U186" i="13"/>
  <c r="X186" i="13" s="1"/>
  <c r="Z186" i="13" s="1"/>
  <c r="E180" i="7"/>
  <c r="N180" i="7" s="1"/>
  <c r="E298" i="8"/>
  <c r="R316" i="15"/>
  <c r="U316" i="15" s="1"/>
  <c r="W316" i="15" s="1"/>
  <c r="U299" i="13"/>
  <c r="X299" i="13" s="1"/>
  <c r="Z299" i="13" s="1"/>
  <c r="E298" i="7"/>
  <c r="W298" i="7" s="1"/>
  <c r="E210" i="8"/>
  <c r="R225" i="15"/>
  <c r="U225" i="15" s="1"/>
  <c r="W225" i="15" s="1"/>
  <c r="U217" i="13"/>
  <c r="X217" i="13" s="1"/>
  <c r="Z217" i="13" s="1"/>
  <c r="E210" i="7"/>
  <c r="W210" i="7" s="1"/>
  <c r="E148" i="8"/>
  <c r="R163" i="15"/>
  <c r="U163" i="15" s="1"/>
  <c r="W163" i="15" s="1"/>
  <c r="U154" i="13"/>
  <c r="X154" i="13" s="1"/>
  <c r="E148" i="7"/>
  <c r="N148" i="7" s="1"/>
  <c r="R241" i="15"/>
  <c r="U241" i="15" s="1"/>
  <c r="U233" i="13"/>
  <c r="X233" i="13" s="1"/>
  <c r="Z233" i="13" s="1"/>
  <c r="E226" i="8"/>
  <c r="N226" i="8" s="1"/>
  <c r="E226" i="7"/>
  <c r="N226" i="7" s="1"/>
  <c r="E62" i="7"/>
  <c r="R77" i="15"/>
  <c r="U77" i="15" s="1"/>
  <c r="W77" i="15" s="1"/>
  <c r="U67" i="13"/>
  <c r="X67" i="13" s="1"/>
  <c r="Z67" i="13" s="1"/>
  <c r="E62" i="8"/>
  <c r="W62" i="8" s="1"/>
  <c r="R181" i="15"/>
  <c r="U181" i="15" s="1"/>
  <c r="U171" i="13"/>
  <c r="X171" i="13" s="1"/>
  <c r="E166" i="7"/>
  <c r="N166" i="7" s="1"/>
  <c r="E166" i="8"/>
  <c r="N166" i="8" s="1"/>
  <c r="E118" i="8"/>
  <c r="R133" i="15"/>
  <c r="U133" i="15" s="1"/>
  <c r="U124" i="13"/>
  <c r="X124" i="13" s="1"/>
  <c r="R291" i="15"/>
  <c r="U291" i="15" s="1"/>
  <c r="W291" i="15" s="1"/>
  <c r="U283" i="13"/>
  <c r="X283" i="13" s="1"/>
  <c r="Z283" i="13" s="1"/>
  <c r="R168" i="15"/>
  <c r="U168" i="15" s="1"/>
  <c r="W168" i="15" s="1"/>
  <c r="U159" i="13"/>
  <c r="X159" i="13" s="1"/>
  <c r="Z159" i="13" s="1"/>
  <c r="N158" i="15"/>
  <c r="Q149" i="13"/>
  <c r="K160" i="6"/>
  <c r="E143" i="8" s="1"/>
  <c r="E73" i="7"/>
  <c r="R88" i="15"/>
  <c r="U88" i="15" s="1"/>
  <c r="U77" i="13"/>
  <c r="X77" i="13" s="1"/>
  <c r="E73" i="8"/>
  <c r="N73" i="8" s="1"/>
  <c r="N68" i="15"/>
  <c r="Q56" i="13"/>
  <c r="K68" i="6"/>
  <c r="E24" i="7"/>
  <c r="R39" i="15"/>
  <c r="U39" i="15" s="1"/>
  <c r="E24" i="8"/>
  <c r="W24" i="8" s="1"/>
  <c r="E186" i="7"/>
  <c r="R201" i="15"/>
  <c r="U201" i="15" s="1"/>
  <c r="W201" i="15" s="1"/>
  <c r="U192" i="13"/>
  <c r="X192" i="13" s="1"/>
  <c r="Z192" i="13" s="1"/>
  <c r="R245" i="15"/>
  <c r="U245" i="15" s="1"/>
  <c r="W245" i="15" s="1"/>
  <c r="U237" i="13"/>
  <c r="X237" i="13" s="1"/>
  <c r="Z237" i="13" s="1"/>
  <c r="R200" i="15"/>
  <c r="U200" i="15" s="1"/>
  <c r="W200" i="15" s="1"/>
  <c r="U191" i="13"/>
  <c r="X191" i="13" s="1"/>
  <c r="Z191" i="13" s="1"/>
  <c r="E8" i="8"/>
  <c r="F7" i="8" s="1"/>
  <c r="X7" i="8" s="1"/>
  <c r="E198" i="7"/>
  <c r="R213" i="15"/>
  <c r="U213" i="15" s="1"/>
  <c r="W213" i="15" s="1"/>
  <c r="U205" i="13"/>
  <c r="X205" i="13" s="1"/>
  <c r="Z205" i="13" s="1"/>
  <c r="R240" i="15"/>
  <c r="U240" i="15" s="1"/>
  <c r="W240" i="15" s="1"/>
  <c r="U232" i="13"/>
  <c r="X232" i="13" s="1"/>
  <c r="Z232" i="13" s="1"/>
  <c r="R315" i="15"/>
  <c r="U315" i="15" s="1"/>
  <c r="W315" i="15" s="1"/>
  <c r="U298" i="13"/>
  <c r="X298" i="13" s="1"/>
  <c r="Z298" i="13" s="1"/>
  <c r="R228" i="15"/>
  <c r="U228" i="15" s="1"/>
  <c r="W228" i="15" s="1"/>
  <c r="U220" i="13"/>
  <c r="X220" i="13" s="1"/>
  <c r="Z220" i="13" s="1"/>
  <c r="E15" i="7"/>
  <c r="W15" i="7" s="1"/>
  <c r="K81" i="6"/>
  <c r="E64" i="8" s="1"/>
  <c r="N79" i="15"/>
  <c r="Q69" i="13"/>
  <c r="W200" i="7"/>
  <c r="N200" i="7"/>
  <c r="R124" i="15"/>
  <c r="U124" i="15" s="1"/>
  <c r="W124" i="15" s="1"/>
  <c r="U114" i="13"/>
  <c r="X114" i="13" s="1"/>
  <c r="Z114" i="13" s="1"/>
  <c r="R85" i="15"/>
  <c r="U85" i="15" s="1"/>
  <c r="W85" i="15" s="1"/>
  <c r="L35" i="6"/>
  <c r="E118" i="7"/>
  <c r="W118" i="7" s="1"/>
  <c r="E186" i="8"/>
  <c r="W186" i="8" s="1"/>
  <c r="E115" i="8"/>
  <c r="W115" i="8" s="1"/>
  <c r="R130" i="15"/>
  <c r="U130" i="15" s="1"/>
  <c r="W130" i="15" s="1"/>
  <c r="U120" i="13"/>
  <c r="X120" i="13" s="1"/>
  <c r="Z120" i="13" s="1"/>
  <c r="R128" i="15"/>
  <c r="U128" i="15" s="1"/>
  <c r="W128" i="15" s="1"/>
  <c r="U118" i="13"/>
  <c r="X118" i="13" s="1"/>
  <c r="Z118" i="13" s="1"/>
  <c r="K161" i="6"/>
  <c r="U150" i="13" s="1"/>
  <c r="X150" i="13" s="1"/>
  <c r="Z150" i="13" s="1"/>
  <c r="N159" i="15"/>
  <c r="Q150" i="13"/>
  <c r="R198" i="15"/>
  <c r="U198" i="15" s="1"/>
  <c r="W198" i="15" s="1"/>
  <c r="U189" i="13"/>
  <c r="X189" i="13" s="1"/>
  <c r="Z189" i="13" s="1"/>
  <c r="K105" i="6"/>
  <c r="N105" i="15"/>
  <c r="Q94" i="13"/>
  <c r="U158" i="13"/>
  <c r="X158" i="13" s="1"/>
  <c r="Z158" i="13" s="1"/>
  <c r="R167" i="15"/>
  <c r="U167" i="15" s="1"/>
  <c r="W167" i="15" s="1"/>
  <c r="E179" i="7"/>
  <c r="N179" i="7" s="1"/>
  <c r="R104" i="15"/>
  <c r="U104" i="15" s="1"/>
  <c r="W104" i="15" s="1"/>
  <c r="U93" i="13"/>
  <c r="X93" i="13" s="1"/>
  <c r="Z93" i="13" s="1"/>
  <c r="E198" i="8"/>
  <c r="W198" i="8" s="1"/>
  <c r="E151" i="8"/>
  <c r="W151" i="8" s="1"/>
  <c r="R166" i="15"/>
  <c r="U166" i="15" s="1"/>
  <c r="W166" i="15" s="1"/>
  <c r="U157" i="13"/>
  <c r="X157" i="13" s="1"/>
  <c r="Z157" i="13" s="1"/>
  <c r="C25" i="12"/>
  <c r="F25" i="12" s="1"/>
  <c r="E240" i="8"/>
  <c r="N240" i="8" s="1"/>
  <c r="E281" i="8"/>
  <c r="W281" i="8" s="1"/>
  <c r="E27" i="7"/>
  <c r="N27" i="7" s="1"/>
  <c r="R239" i="15"/>
  <c r="U239" i="15" s="1"/>
  <c r="W239" i="15" s="1"/>
  <c r="U231" i="13"/>
  <c r="X231" i="13" s="1"/>
  <c r="Z231" i="13" s="1"/>
  <c r="K99" i="6"/>
  <c r="E83" i="7" s="1"/>
  <c r="N98" i="15"/>
  <c r="Q87" i="13"/>
  <c r="E137" i="7"/>
  <c r="R152" i="15"/>
  <c r="U152" i="15" s="1"/>
  <c r="W152" i="15" s="1"/>
  <c r="U143" i="13"/>
  <c r="X143" i="13" s="1"/>
  <c r="Z143" i="13" s="1"/>
  <c r="E277" i="7"/>
  <c r="R294" i="15"/>
  <c r="U294" i="15" s="1"/>
  <c r="E20" i="12"/>
  <c r="E12" i="12"/>
  <c r="E9" i="12"/>
  <c r="E16" i="12"/>
  <c r="E28" i="12"/>
  <c r="E15" i="12"/>
  <c r="E17" i="12"/>
  <c r="E13" i="12"/>
  <c r="E23" i="12"/>
  <c r="L171" i="6"/>
  <c r="R170" i="15"/>
  <c r="U170" i="15" s="1"/>
  <c r="R147" i="15"/>
  <c r="U147" i="15" s="1"/>
  <c r="W147" i="15" s="1"/>
  <c r="U138" i="13"/>
  <c r="X138" i="13" s="1"/>
  <c r="Z138" i="13" s="1"/>
  <c r="E129" i="8"/>
  <c r="R144" i="15"/>
  <c r="U144" i="15" s="1"/>
  <c r="U135" i="13"/>
  <c r="X135" i="13" s="1"/>
  <c r="R58" i="15"/>
  <c r="U58" i="15" s="1"/>
  <c r="U46" i="13"/>
  <c r="X46" i="13" s="1"/>
  <c r="E126" i="7"/>
  <c r="R141" i="15"/>
  <c r="U141" i="15" s="1"/>
  <c r="W141" i="15" s="1"/>
  <c r="U132" i="13"/>
  <c r="X132" i="13" s="1"/>
  <c r="Z132" i="13" s="1"/>
  <c r="E207" i="7"/>
  <c r="R222" i="15"/>
  <c r="U222" i="15" s="1"/>
  <c r="W222" i="15" s="1"/>
  <c r="U214" i="13"/>
  <c r="X214" i="13" s="1"/>
  <c r="Z214" i="13" s="1"/>
  <c r="E39" i="7"/>
  <c r="R54" i="15"/>
  <c r="U54" i="15" s="1"/>
  <c r="U42" i="13"/>
  <c r="X42" i="13" s="1"/>
  <c r="F482" i="6"/>
  <c r="R31" i="15"/>
  <c r="U31" i="15" s="1"/>
  <c r="U28" i="13"/>
  <c r="X28" i="13" s="1"/>
  <c r="E121" i="7"/>
  <c r="R136" i="15"/>
  <c r="U136" i="15" s="1"/>
  <c r="U127" i="13"/>
  <c r="X127" i="13" s="1"/>
  <c r="K103" i="6"/>
  <c r="E88" i="8" s="1"/>
  <c r="N103" i="15"/>
  <c r="Q92" i="13"/>
  <c r="K193" i="6"/>
  <c r="N189" i="15"/>
  <c r="Q180" i="13"/>
  <c r="R107" i="15"/>
  <c r="U107" i="15" s="1"/>
  <c r="W107" i="15" s="1"/>
  <c r="U96" i="13"/>
  <c r="X96" i="13" s="1"/>
  <c r="Z96" i="13" s="1"/>
  <c r="C22" i="12"/>
  <c r="F22" i="12" s="1"/>
  <c r="K194" i="6"/>
  <c r="E175" i="8" s="1"/>
  <c r="N190" i="15"/>
  <c r="Q181" i="13"/>
  <c r="R309" i="15"/>
  <c r="U309" i="15" s="1"/>
  <c r="W309" i="15" s="1"/>
  <c r="U292" i="13"/>
  <c r="X292" i="13" s="1"/>
  <c r="Z292" i="13" s="1"/>
  <c r="U297" i="13"/>
  <c r="X297" i="13" s="1"/>
  <c r="Z297" i="13" s="1"/>
  <c r="R314" i="15"/>
  <c r="U314" i="15" s="1"/>
  <c r="W314" i="15" s="1"/>
  <c r="E107" i="8"/>
  <c r="W107" i="8" s="1"/>
  <c r="E121" i="8"/>
  <c r="W121" i="8" s="1"/>
  <c r="K152" i="6"/>
  <c r="E135" i="8" s="1"/>
  <c r="N150" i="15"/>
  <c r="Q141" i="13"/>
  <c r="J9" i="6"/>
  <c r="R67" i="15"/>
  <c r="U67" i="15" s="1"/>
  <c r="U55" i="13"/>
  <c r="X55" i="13" s="1"/>
  <c r="R172" i="15"/>
  <c r="U172" i="15" s="1"/>
  <c r="W172" i="15" s="1"/>
  <c r="X161" i="13"/>
  <c r="Z161" i="13" s="1"/>
  <c r="E295" i="8"/>
  <c r="R313" i="15"/>
  <c r="U313" i="15" s="1"/>
  <c r="U296" i="13"/>
  <c r="X296" i="13" s="1"/>
  <c r="E241" i="8"/>
  <c r="R256" i="15"/>
  <c r="U256" i="15" s="1"/>
  <c r="W256" i="15" s="1"/>
  <c r="U248" i="13"/>
  <c r="X248" i="13" s="1"/>
  <c r="Z248" i="13" s="1"/>
  <c r="R69" i="15"/>
  <c r="U69" i="15" s="1"/>
  <c r="W69" i="15" s="1"/>
  <c r="U57" i="13"/>
  <c r="X57" i="13" s="1"/>
  <c r="Z57" i="13" s="1"/>
  <c r="K92" i="6"/>
  <c r="E76" i="7" s="1"/>
  <c r="N91" i="15"/>
  <c r="Q80" i="13"/>
  <c r="R234" i="15"/>
  <c r="U234" i="15" s="1"/>
  <c r="W234" i="15" s="1"/>
  <c r="U226" i="13"/>
  <c r="X226" i="13" s="1"/>
  <c r="Z226" i="13" s="1"/>
  <c r="N97" i="8"/>
  <c r="E137" i="8"/>
  <c r="N137" i="8" s="1"/>
  <c r="E234" i="8"/>
  <c r="W234" i="8" s="1"/>
  <c r="E271" i="8"/>
  <c r="W271" i="8" s="1"/>
  <c r="R288" i="15"/>
  <c r="U288" i="15" s="1"/>
  <c r="W288" i="15" s="1"/>
  <c r="U280" i="13"/>
  <c r="X280" i="13" s="1"/>
  <c r="Z280" i="13" s="1"/>
  <c r="R296" i="15"/>
  <c r="U296" i="15" s="1"/>
  <c r="R216" i="15"/>
  <c r="U216" i="15" s="1"/>
  <c r="W216" i="15" s="1"/>
  <c r="U208" i="13"/>
  <c r="X208" i="13" s="1"/>
  <c r="Z208" i="13" s="1"/>
  <c r="F485" i="6"/>
  <c r="R48" i="15"/>
  <c r="U48" i="15" s="1"/>
  <c r="W48" i="15" s="1"/>
  <c r="U36" i="13"/>
  <c r="X36" i="13" s="1"/>
  <c r="Z36" i="13" s="1"/>
  <c r="E233" i="8"/>
  <c r="R248" i="15"/>
  <c r="U248" i="15" s="1"/>
  <c r="W248" i="15" s="1"/>
  <c r="U240" i="13"/>
  <c r="X240" i="13" s="1"/>
  <c r="Z240" i="13" s="1"/>
  <c r="F489" i="6"/>
  <c r="R63" i="15"/>
  <c r="U63" i="15" s="1"/>
  <c r="U51" i="13"/>
  <c r="X51" i="13" s="1"/>
  <c r="F527" i="6"/>
  <c r="R310" i="15"/>
  <c r="U310" i="15" s="1"/>
  <c r="U293" i="13"/>
  <c r="X293" i="13" s="1"/>
  <c r="E227" i="8"/>
  <c r="R242" i="15"/>
  <c r="U242" i="15" s="1"/>
  <c r="U234" i="13"/>
  <c r="X234" i="13" s="1"/>
  <c r="R92" i="15"/>
  <c r="U92" i="15" s="1"/>
  <c r="U81" i="13"/>
  <c r="X81" i="13" s="1"/>
  <c r="Z81" i="13" s="1"/>
  <c r="R132" i="15"/>
  <c r="U132" i="15" s="1"/>
  <c r="W132" i="15" s="1"/>
  <c r="U122" i="13"/>
  <c r="X122" i="13" s="1"/>
  <c r="Z122" i="13" s="1"/>
  <c r="C26" i="12"/>
  <c r="F26" i="12" s="1"/>
  <c r="K91" i="6"/>
  <c r="E75" i="8" s="1"/>
  <c r="N90" i="15"/>
  <c r="Q79" i="13"/>
  <c r="R238" i="15"/>
  <c r="U238" i="15" s="1"/>
  <c r="W238" i="15" s="1"/>
  <c r="U230" i="13"/>
  <c r="X230" i="13" s="1"/>
  <c r="Z230" i="13" s="1"/>
  <c r="R180" i="15"/>
  <c r="U180" i="15" s="1"/>
  <c r="U169" i="13"/>
  <c r="X169" i="13" s="1"/>
  <c r="E131" i="7"/>
  <c r="N131" i="7" s="1"/>
  <c r="E43" i="8"/>
  <c r="W43" i="8" s="1"/>
  <c r="E94" i="7"/>
  <c r="W94" i="7" s="1"/>
  <c r="E237" i="7"/>
  <c r="R252" i="15"/>
  <c r="U252" i="15" s="1"/>
  <c r="U244" i="13"/>
  <c r="X244" i="13" s="1"/>
  <c r="E300" i="7"/>
  <c r="R318" i="15"/>
  <c r="U318" i="15" s="1"/>
  <c r="W318" i="15" s="1"/>
  <c r="U301" i="13"/>
  <c r="X301" i="13" s="1"/>
  <c r="Z301" i="13" s="1"/>
  <c r="E22" i="7"/>
  <c r="R37" i="15"/>
  <c r="U37" i="15" s="1"/>
  <c r="F416" i="6"/>
  <c r="R121" i="15"/>
  <c r="U121" i="15" s="1"/>
  <c r="W121" i="15" s="1"/>
  <c r="U111" i="13"/>
  <c r="X111" i="13" s="1"/>
  <c r="Z111" i="13" s="1"/>
  <c r="E187" i="7"/>
  <c r="R202" i="15"/>
  <c r="U202" i="15" s="1"/>
  <c r="W202" i="15" s="1"/>
  <c r="U193" i="13"/>
  <c r="X193" i="13" s="1"/>
  <c r="Z193" i="13" s="1"/>
  <c r="F483" i="6"/>
  <c r="R32" i="15"/>
  <c r="U32" i="15" s="1"/>
  <c r="U29" i="13"/>
  <c r="X29" i="13" s="1"/>
  <c r="E145" i="8"/>
  <c r="R160" i="15"/>
  <c r="U160" i="15" s="1"/>
  <c r="W160" i="15" s="1"/>
  <c r="U151" i="13"/>
  <c r="X151" i="13" s="1"/>
  <c r="Z151" i="13" s="1"/>
  <c r="E287" i="8"/>
  <c r="R305" i="15"/>
  <c r="U305" i="15" s="1"/>
  <c r="W305" i="15" s="1"/>
  <c r="U288" i="13"/>
  <c r="X288" i="13" s="1"/>
  <c r="Z288" i="13" s="1"/>
  <c r="R117" i="15"/>
  <c r="U117" i="15" s="1"/>
  <c r="W117" i="15" s="1"/>
  <c r="U107" i="13"/>
  <c r="X107" i="13" s="1"/>
  <c r="Z107" i="13" s="1"/>
  <c r="E204" i="7"/>
  <c r="R219" i="15"/>
  <c r="U219" i="15" s="1"/>
  <c r="U211" i="13"/>
  <c r="X211" i="13" s="1"/>
  <c r="E282" i="7"/>
  <c r="R299" i="15"/>
  <c r="U299" i="15" s="1"/>
  <c r="E119" i="8"/>
  <c r="R134" i="15"/>
  <c r="U134" i="15" s="1"/>
  <c r="U125" i="13"/>
  <c r="X125" i="13" s="1"/>
  <c r="R175" i="15"/>
  <c r="U175" i="15" s="1"/>
  <c r="W175" i="15" s="1"/>
  <c r="U164" i="13"/>
  <c r="X164" i="13" s="1"/>
  <c r="Z164" i="13" s="1"/>
  <c r="K141" i="6"/>
  <c r="F501" i="6" s="1"/>
  <c r="N139" i="15"/>
  <c r="Q130" i="13"/>
  <c r="F494" i="6"/>
  <c r="K265" i="6"/>
  <c r="E244" i="8" s="1"/>
  <c r="N260" i="15"/>
  <c r="Q252" i="13"/>
  <c r="R120" i="15"/>
  <c r="U120" i="15" s="1"/>
  <c r="W120" i="15" s="1"/>
  <c r="U110" i="13"/>
  <c r="X110" i="13" s="1"/>
  <c r="Z110" i="13" s="1"/>
  <c r="E157" i="7"/>
  <c r="W157" i="7" s="1"/>
  <c r="F492" i="6"/>
  <c r="E43" i="7"/>
  <c r="W43" i="7" s="1"/>
  <c r="E227" i="7"/>
  <c r="W227" i="7" s="1"/>
  <c r="E256" i="8"/>
  <c r="R273" i="15"/>
  <c r="U273" i="15" s="1"/>
  <c r="W273" i="15" s="1"/>
  <c r="U265" i="13"/>
  <c r="X265" i="13" s="1"/>
  <c r="Z265" i="13" s="1"/>
  <c r="F504" i="6"/>
  <c r="R164" i="15"/>
  <c r="U164" i="15" s="1"/>
  <c r="W164" i="15" s="1"/>
  <c r="U155" i="13"/>
  <c r="X155" i="13" s="1"/>
  <c r="Z155" i="13" s="1"/>
  <c r="F487" i="6"/>
  <c r="R55" i="15"/>
  <c r="U55" i="15" s="1"/>
  <c r="U43" i="13"/>
  <c r="X43" i="13" s="1"/>
  <c r="E221" i="8"/>
  <c r="R236" i="15"/>
  <c r="U236" i="15" s="1"/>
  <c r="W236" i="15" s="1"/>
  <c r="U228" i="13"/>
  <c r="X228" i="13" s="1"/>
  <c r="Z228" i="13" s="1"/>
  <c r="X90" i="13"/>
  <c r="Z90" i="13" s="1"/>
  <c r="R101" i="15"/>
  <c r="U101" i="15" s="1"/>
  <c r="W101" i="15" s="1"/>
  <c r="R131" i="15"/>
  <c r="U131" i="15" s="1"/>
  <c r="W131" i="15" s="1"/>
  <c r="U121" i="13"/>
  <c r="X121" i="13" s="1"/>
  <c r="Z121" i="13" s="1"/>
  <c r="F495" i="6"/>
  <c r="R204" i="15"/>
  <c r="U204" i="15" s="1"/>
  <c r="W204" i="15" s="1"/>
  <c r="L207" i="6"/>
  <c r="S203" i="15" s="1"/>
  <c r="U203" i="15" s="1"/>
  <c r="W203" i="15" s="1"/>
  <c r="U195" i="13"/>
  <c r="X195" i="13" s="1"/>
  <c r="Z195" i="13" s="1"/>
  <c r="E145" i="7"/>
  <c r="N145" i="7" s="1"/>
  <c r="E149" i="7"/>
  <c r="N149" i="7" s="1"/>
  <c r="E33" i="7"/>
  <c r="N33" i="7" s="1"/>
  <c r="E264" i="7"/>
  <c r="R281" i="15"/>
  <c r="U281" i="15" s="1"/>
  <c r="W281" i="15" s="1"/>
  <c r="U273" i="13"/>
  <c r="X273" i="13" s="1"/>
  <c r="Z273" i="13" s="1"/>
  <c r="E11" i="8"/>
  <c r="R26" i="15"/>
  <c r="U26" i="15" s="1"/>
  <c r="U23" i="13"/>
  <c r="X23" i="13" s="1"/>
  <c r="E25" i="7"/>
  <c r="R40" i="15"/>
  <c r="U40" i="15" s="1"/>
  <c r="E208" i="7"/>
  <c r="R223" i="15"/>
  <c r="U223" i="15" s="1"/>
  <c r="W223" i="15" s="1"/>
  <c r="U215" i="13"/>
  <c r="X215" i="13" s="1"/>
  <c r="Z215" i="13" s="1"/>
  <c r="E56" i="7"/>
  <c r="R71" i="15"/>
  <c r="U71" i="15" s="1"/>
  <c r="U60" i="13"/>
  <c r="X60" i="13" s="1"/>
  <c r="R125" i="15"/>
  <c r="U125" i="15" s="1"/>
  <c r="W125" i="15" s="1"/>
  <c r="U115" i="13"/>
  <c r="X115" i="13" s="1"/>
  <c r="Z115" i="13" s="1"/>
  <c r="R74" i="15"/>
  <c r="U74" i="15" s="1"/>
  <c r="W74" i="15" s="1"/>
  <c r="U64" i="13"/>
  <c r="X64" i="13" s="1"/>
  <c r="Z64" i="13" s="1"/>
  <c r="C27" i="12"/>
  <c r="F27" i="12" s="1"/>
  <c r="R126" i="15"/>
  <c r="U126" i="15" s="1"/>
  <c r="W126" i="15" s="1"/>
  <c r="U116" i="13"/>
  <c r="X116" i="13" s="1"/>
  <c r="Z116" i="13" s="1"/>
  <c r="E149" i="8"/>
  <c r="N149" i="8" s="1"/>
  <c r="E292" i="8"/>
  <c r="W292" i="8" s="1"/>
  <c r="E129" i="7"/>
  <c r="N129" i="7" s="1"/>
  <c r="E276" i="7"/>
  <c r="R293" i="15"/>
  <c r="U293" i="15" s="1"/>
  <c r="E130" i="8"/>
  <c r="R145" i="15"/>
  <c r="U145" i="15" s="1"/>
  <c r="U136" i="13"/>
  <c r="X136" i="13" s="1"/>
  <c r="E253" i="8"/>
  <c r="R270" i="15"/>
  <c r="U270" i="15" s="1"/>
  <c r="U262" i="13"/>
  <c r="X262" i="13" s="1"/>
  <c r="E293" i="8"/>
  <c r="R311" i="15"/>
  <c r="U311" i="15" s="1"/>
  <c r="W311" i="15" s="1"/>
  <c r="U294" i="13"/>
  <c r="X294" i="13" s="1"/>
  <c r="Z294" i="13" s="1"/>
  <c r="F510" i="6"/>
  <c r="R183" i="15"/>
  <c r="U183" i="15" s="1"/>
  <c r="W183" i="15" s="1"/>
  <c r="U173" i="13"/>
  <c r="X173" i="13" s="1"/>
  <c r="Z173" i="13" s="1"/>
  <c r="E288" i="8"/>
  <c r="R306" i="15"/>
  <c r="U306" i="15" s="1"/>
  <c r="U289" i="13"/>
  <c r="X289" i="13" s="1"/>
  <c r="E123" i="7"/>
  <c r="R138" i="15"/>
  <c r="U138" i="15" s="1"/>
  <c r="U129" i="13"/>
  <c r="X129" i="13" s="1"/>
  <c r="E80" i="7"/>
  <c r="R95" i="15"/>
  <c r="U95" i="15" s="1"/>
  <c r="U84" i="13"/>
  <c r="X84" i="13" s="1"/>
  <c r="K145" i="6"/>
  <c r="E128" i="7" s="1"/>
  <c r="N143" i="15"/>
  <c r="Q134" i="13"/>
  <c r="F493" i="6"/>
  <c r="R70" i="15"/>
  <c r="U70" i="15" s="1"/>
  <c r="W70" i="15" s="1"/>
  <c r="U59" i="13"/>
  <c r="X59" i="13" s="1"/>
  <c r="Z59" i="13" s="1"/>
  <c r="N161" i="15"/>
  <c r="Q152" i="13"/>
  <c r="F529" i="6"/>
  <c r="R317" i="15"/>
  <c r="U317" i="15" s="1"/>
  <c r="W317" i="15" s="1"/>
  <c r="U300" i="13"/>
  <c r="X300" i="13" s="1"/>
  <c r="Z300" i="13" s="1"/>
  <c r="R83" i="15"/>
  <c r="U83" i="15" s="1"/>
  <c r="U73" i="13"/>
  <c r="X73" i="13" s="1"/>
  <c r="E252" i="8"/>
  <c r="R269" i="15"/>
  <c r="U269" i="15" s="1"/>
  <c r="U261" i="13"/>
  <c r="X261" i="13" s="1"/>
  <c r="R36" i="15"/>
  <c r="U36" i="15" s="1"/>
  <c r="E249" i="8"/>
  <c r="R265" i="15"/>
  <c r="U265" i="15" s="1"/>
  <c r="W265" i="15" s="1"/>
  <c r="U257" i="13"/>
  <c r="X257" i="13" s="1"/>
  <c r="Z257" i="13" s="1"/>
  <c r="K191" i="6"/>
  <c r="F518" i="6" s="1"/>
  <c r="N187" i="15"/>
  <c r="Q178" i="13"/>
  <c r="K157" i="6"/>
  <c r="E140" i="7" s="1"/>
  <c r="N155" i="15"/>
  <c r="Q146" i="13"/>
  <c r="R182" i="15"/>
  <c r="U182" i="15" s="1"/>
  <c r="W182" i="15" s="1"/>
  <c r="U172" i="13"/>
  <c r="X172" i="13" s="1"/>
  <c r="Z172" i="13" s="1"/>
  <c r="K116" i="6"/>
  <c r="E100" i="8" s="1"/>
  <c r="N115" i="15"/>
  <c r="Q105" i="13"/>
  <c r="R127" i="15"/>
  <c r="U127" i="15" s="1"/>
  <c r="W127" i="15" s="1"/>
  <c r="U117" i="13"/>
  <c r="X117" i="13" s="1"/>
  <c r="Z117" i="13" s="1"/>
  <c r="R81" i="15"/>
  <c r="U81" i="15" s="1"/>
  <c r="W81" i="15" s="1"/>
  <c r="U71" i="13"/>
  <c r="X71" i="13" s="1"/>
  <c r="Z71" i="13" s="1"/>
  <c r="E273" i="8"/>
  <c r="W273" i="8" s="1"/>
  <c r="R290" i="15"/>
  <c r="U290" i="15" s="1"/>
  <c r="W290" i="15" s="1"/>
  <c r="U282" i="13"/>
  <c r="X282" i="13" s="1"/>
  <c r="Z282" i="13" s="1"/>
  <c r="U196" i="13"/>
  <c r="X196" i="13" s="1"/>
  <c r="Z196" i="13" s="1"/>
  <c r="R205" i="15"/>
  <c r="U205" i="15" s="1"/>
  <c r="W205" i="15" s="1"/>
  <c r="R149" i="15"/>
  <c r="U149" i="15" s="1"/>
  <c r="W149" i="15" s="1"/>
  <c r="U140" i="13"/>
  <c r="X140" i="13" s="1"/>
  <c r="Z140" i="13" s="1"/>
  <c r="C12" i="12"/>
  <c r="R179" i="15"/>
  <c r="U179" i="15" s="1"/>
  <c r="W179" i="15" s="1"/>
  <c r="U168" i="13"/>
  <c r="X168" i="13" s="1"/>
  <c r="Z168" i="13" s="1"/>
  <c r="K178" i="6"/>
  <c r="L176" i="6" s="1"/>
  <c r="N176" i="15"/>
  <c r="Q165" i="13"/>
  <c r="R226" i="15"/>
  <c r="U226" i="15" s="1"/>
  <c r="W226" i="15" s="1"/>
  <c r="U218" i="13"/>
  <c r="X218" i="13" s="1"/>
  <c r="Z218" i="13" s="1"/>
  <c r="E21" i="8"/>
  <c r="W21" i="8" s="1"/>
  <c r="E68" i="8"/>
  <c r="N68" i="8" s="1"/>
  <c r="E96" i="8"/>
  <c r="R111" i="15"/>
  <c r="U111" i="15" s="1"/>
  <c r="U100" i="13"/>
  <c r="X100" i="13" s="1"/>
  <c r="E93" i="7"/>
  <c r="R108" i="15"/>
  <c r="U108" i="15" s="1"/>
  <c r="W108" i="15" s="1"/>
  <c r="U97" i="13"/>
  <c r="X97" i="13" s="1"/>
  <c r="Z97" i="13" s="1"/>
  <c r="F523" i="6"/>
  <c r="R249" i="15"/>
  <c r="U249" i="15" s="1"/>
  <c r="W249" i="15" s="1"/>
  <c r="U241" i="13"/>
  <c r="X241" i="13" s="1"/>
  <c r="Z241" i="13" s="1"/>
  <c r="E178" i="7"/>
  <c r="R193" i="15"/>
  <c r="U193" i="15" s="1"/>
  <c r="U184" i="13"/>
  <c r="X184" i="13" s="1"/>
  <c r="E127" i="8"/>
  <c r="R142" i="15"/>
  <c r="U142" i="15" s="1"/>
  <c r="W142" i="15" s="1"/>
  <c r="U133" i="13"/>
  <c r="X133" i="13" s="1"/>
  <c r="Z133" i="13" s="1"/>
  <c r="E228" i="8"/>
  <c r="R243" i="15"/>
  <c r="U243" i="15" s="1"/>
  <c r="U235" i="13"/>
  <c r="X235" i="13" s="1"/>
  <c r="E202" i="8"/>
  <c r="R217" i="15"/>
  <c r="U217" i="15" s="1"/>
  <c r="W217" i="15" s="1"/>
  <c r="U209" i="13"/>
  <c r="X209" i="13" s="1"/>
  <c r="Z209" i="13" s="1"/>
  <c r="N123" i="15"/>
  <c r="Q113" i="13"/>
  <c r="K212" i="6"/>
  <c r="N208" i="15"/>
  <c r="Q199" i="13"/>
  <c r="U91" i="13"/>
  <c r="X91" i="13" s="1"/>
  <c r="Z91" i="13" s="1"/>
  <c r="R102" i="15"/>
  <c r="U102" i="15" s="1"/>
  <c r="W102" i="15" s="1"/>
  <c r="R148" i="15"/>
  <c r="U148" i="15" s="1"/>
  <c r="W148" i="15" s="1"/>
  <c r="U139" i="13"/>
  <c r="X139" i="13" s="1"/>
  <c r="Z139" i="13" s="1"/>
  <c r="E21" i="7"/>
  <c r="W21" i="7" s="1"/>
  <c r="E68" i="7"/>
  <c r="W68" i="7" s="1"/>
  <c r="E239" i="7"/>
  <c r="R254" i="15"/>
  <c r="U254" i="15" s="1"/>
  <c r="W254" i="15" s="1"/>
  <c r="U246" i="13"/>
  <c r="X246" i="13" s="1"/>
  <c r="Z246" i="13" s="1"/>
  <c r="E278" i="7"/>
  <c r="R295" i="15"/>
  <c r="U295" i="15" s="1"/>
  <c r="R109" i="15"/>
  <c r="U109" i="15" s="1"/>
  <c r="U98" i="13"/>
  <c r="X98" i="13" s="1"/>
  <c r="E235" i="7"/>
  <c r="R250" i="15"/>
  <c r="U250" i="15" s="1"/>
  <c r="W250" i="15" s="1"/>
  <c r="U242" i="13"/>
  <c r="X242" i="13" s="1"/>
  <c r="Z242" i="13" s="1"/>
  <c r="E246" i="8"/>
  <c r="R262" i="15"/>
  <c r="U262" i="15" s="1"/>
  <c r="W262" i="15" s="1"/>
  <c r="U254" i="13"/>
  <c r="X254" i="13" s="1"/>
  <c r="Z254" i="13" s="1"/>
  <c r="R257" i="15"/>
  <c r="U257" i="15" s="1"/>
  <c r="W257" i="15" s="1"/>
  <c r="U249" i="13"/>
  <c r="X249" i="13" s="1"/>
  <c r="Z249" i="13" s="1"/>
  <c r="F497" i="6"/>
  <c r="R93" i="15"/>
  <c r="U93" i="15" s="1"/>
  <c r="U82" i="13"/>
  <c r="X82" i="13" s="1"/>
  <c r="F486" i="6"/>
  <c r="R49" i="15"/>
  <c r="U49" i="15" s="1"/>
  <c r="W49" i="15" s="1"/>
  <c r="U37" i="13"/>
  <c r="X37" i="13" s="1"/>
  <c r="Z37" i="13" s="1"/>
  <c r="K114" i="6"/>
  <c r="N114" i="15"/>
  <c r="Q103" i="13"/>
  <c r="N185" i="15"/>
  <c r="Q176" i="13"/>
  <c r="K196" i="6"/>
  <c r="E177" i="8" s="1"/>
  <c r="N192" i="15"/>
  <c r="Q183" i="13"/>
  <c r="R52" i="15"/>
  <c r="U52" i="15" s="1"/>
  <c r="W52" i="15" s="1"/>
  <c r="U40" i="13"/>
  <c r="X40" i="13" s="1"/>
  <c r="Z40" i="13" s="1"/>
  <c r="R99" i="15"/>
  <c r="U99" i="15" s="1"/>
  <c r="W99" i="15" s="1"/>
  <c r="U88" i="13"/>
  <c r="X88" i="13" s="1"/>
  <c r="Z88" i="13" s="1"/>
  <c r="E228" i="7"/>
  <c r="N228" i="7" s="1"/>
  <c r="E176" i="8"/>
  <c r="W176" i="8" s="1"/>
  <c r="R191" i="15"/>
  <c r="U191" i="15" s="1"/>
  <c r="W191" i="15" s="1"/>
  <c r="U182" i="13"/>
  <c r="X182" i="13" s="1"/>
  <c r="Z182" i="13" s="1"/>
  <c r="E32" i="7"/>
  <c r="R47" i="15"/>
  <c r="U47" i="15" s="1"/>
  <c r="U35" i="13"/>
  <c r="X35" i="13" s="1"/>
  <c r="E138" i="8"/>
  <c r="R153" i="15"/>
  <c r="U153" i="15" s="1"/>
  <c r="W153" i="15" s="1"/>
  <c r="U144" i="13"/>
  <c r="X144" i="13" s="1"/>
  <c r="Z144" i="13" s="1"/>
  <c r="L281" i="6"/>
  <c r="R277" i="15"/>
  <c r="U277" i="15" s="1"/>
  <c r="W277" i="15" s="1"/>
  <c r="U269" i="13"/>
  <c r="X269" i="13" s="1"/>
  <c r="Z269" i="13" s="1"/>
  <c r="R64" i="15"/>
  <c r="U64" i="15" s="1"/>
  <c r="W64" i="15" s="1"/>
  <c r="U52" i="13"/>
  <c r="X52" i="13" s="1"/>
  <c r="Z52" i="13" s="1"/>
  <c r="E231" i="7"/>
  <c r="R246" i="15"/>
  <c r="U246" i="15" s="1"/>
  <c r="W246" i="15" s="1"/>
  <c r="U238" i="13"/>
  <c r="X238" i="13" s="1"/>
  <c r="Z238" i="13" s="1"/>
  <c r="F524" i="6"/>
  <c r="R307" i="15"/>
  <c r="U307" i="15" s="1"/>
  <c r="W307" i="15" s="1"/>
  <c r="U290" i="13"/>
  <c r="X290" i="13" s="1"/>
  <c r="Z290" i="13" s="1"/>
  <c r="E103" i="7"/>
  <c r="R118" i="15"/>
  <c r="U118" i="15" s="1"/>
  <c r="U108" i="13"/>
  <c r="X108" i="13" s="1"/>
  <c r="E60" i="7"/>
  <c r="R75" i="15"/>
  <c r="U75" i="15" s="1"/>
  <c r="U65" i="13"/>
  <c r="X65" i="13" s="1"/>
  <c r="R129" i="15"/>
  <c r="U129" i="15" s="1"/>
  <c r="W129" i="15" s="1"/>
  <c r="U119" i="13"/>
  <c r="X119" i="13" s="1"/>
  <c r="Z119" i="13" s="1"/>
  <c r="K213" i="6"/>
  <c r="E194" i="8" s="1"/>
  <c r="N209" i="15"/>
  <c r="Q200" i="13"/>
  <c r="R45" i="15"/>
  <c r="U45" i="15" s="1"/>
  <c r="W45" i="15" s="1"/>
  <c r="U33" i="13"/>
  <c r="X33" i="13" s="1"/>
  <c r="Z33" i="13" s="1"/>
  <c r="R110" i="15"/>
  <c r="U110" i="15" s="1"/>
  <c r="W110" i="15" s="1"/>
  <c r="U99" i="13"/>
  <c r="X99" i="13" s="1"/>
  <c r="Z99" i="13" s="1"/>
  <c r="E202" i="7"/>
  <c r="W202" i="7" s="1"/>
  <c r="E214" i="7"/>
  <c r="W214" i="7" s="1"/>
  <c r="E266" i="7"/>
  <c r="W266" i="7" s="1"/>
  <c r="R283" i="15"/>
  <c r="U283" i="15" s="1"/>
  <c r="W283" i="15" s="1"/>
  <c r="U275" i="13"/>
  <c r="X275" i="13" s="1"/>
  <c r="Z275" i="13" s="1"/>
  <c r="E249" i="7"/>
  <c r="W249" i="7" s="1"/>
  <c r="E55" i="8"/>
  <c r="W55" i="8" s="1"/>
  <c r="E182" i="8"/>
  <c r="N182" i="8" s="1"/>
  <c r="R197" i="15"/>
  <c r="U197" i="15" s="1"/>
  <c r="W197" i="15" s="1"/>
  <c r="U188" i="13"/>
  <c r="X188" i="13" s="1"/>
  <c r="Z188" i="13" s="1"/>
  <c r="U101" i="13"/>
  <c r="X101" i="13" s="1"/>
  <c r="Z101" i="13" s="1"/>
  <c r="R112" i="15"/>
  <c r="U112" i="15" s="1"/>
  <c r="E74" i="7"/>
  <c r="R89" i="15"/>
  <c r="U89" i="15" s="1"/>
  <c r="U78" i="13"/>
  <c r="X78" i="13" s="1"/>
  <c r="E71" i="7"/>
  <c r="R86" i="15"/>
  <c r="U86" i="15" s="1"/>
  <c r="W86" i="15" s="1"/>
  <c r="U75" i="13"/>
  <c r="X75" i="13" s="1"/>
  <c r="Z75" i="13" s="1"/>
  <c r="E215" i="8"/>
  <c r="R230" i="15"/>
  <c r="U230" i="15" s="1"/>
  <c r="W230" i="15" s="1"/>
  <c r="U222" i="13"/>
  <c r="X222" i="13" s="1"/>
  <c r="Z222" i="13" s="1"/>
  <c r="F417" i="6"/>
  <c r="R122" i="15"/>
  <c r="U122" i="15" s="1"/>
  <c r="W122" i="15" s="1"/>
  <c r="U112" i="13"/>
  <c r="X112" i="13" s="1"/>
  <c r="Z112" i="13" s="1"/>
  <c r="E209" i="7"/>
  <c r="R224" i="15"/>
  <c r="U224" i="15" s="1"/>
  <c r="W224" i="15" s="1"/>
  <c r="U216" i="13"/>
  <c r="X216" i="13" s="1"/>
  <c r="Z216" i="13" s="1"/>
  <c r="E120" i="8"/>
  <c r="R135" i="15"/>
  <c r="U135" i="15" s="1"/>
  <c r="U126" i="13"/>
  <c r="X126" i="13" s="1"/>
  <c r="K82" i="6"/>
  <c r="N80" i="15"/>
  <c r="Q70" i="13"/>
  <c r="R151" i="15"/>
  <c r="U151" i="15" s="1"/>
  <c r="W151" i="15" s="1"/>
  <c r="U142" i="13"/>
  <c r="X142" i="13" s="1"/>
  <c r="Z142" i="13" s="1"/>
  <c r="R287" i="15"/>
  <c r="U287" i="15" s="1"/>
  <c r="W287" i="15" s="1"/>
  <c r="U279" i="13"/>
  <c r="X279" i="13" s="1"/>
  <c r="Z279" i="13" s="1"/>
  <c r="R53" i="15"/>
  <c r="U53" i="15" s="1"/>
  <c r="W53" i="15" s="1"/>
  <c r="U41" i="13"/>
  <c r="X41" i="13" s="1"/>
  <c r="Z41" i="13" s="1"/>
  <c r="R34" i="15"/>
  <c r="U34" i="15" s="1"/>
  <c r="W34" i="15" s="1"/>
  <c r="U31" i="13"/>
  <c r="X31" i="13" s="1"/>
  <c r="Z31" i="13" s="1"/>
  <c r="E215" i="7"/>
  <c r="W215" i="7" s="1"/>
  <c r="E299" i="8"/>
  <c r="N299" i="8" s="1"/>
  <c r="E97" i="7"/>
  <c r="W97" i="7" s="1"/>
  <c r="E55" i="7"/>
  <c r="N55" i="7" s="1"/>
  <c r="E49" i="8"/>
  <c r="N49" i="8" s="1"/>
  <c r="R280" i="15"/>
  <c r="U280" i="15" s="1"/>
  <c r="W280" i="15" s="1"/>
  <c r="U272" i="13"/>
  <c r="X272" i="13" s="1"/>
  <c r="Z272" i="13" s="1"/>
  <c r="E72" i="7"/>
  <c r="R87" i="15"/>
  <c r="U87" i="15" s="1"/>
  <c r="U76" i="13"/>
  <c r="X76" i="13" s="1"/>
  <c r="Z76" i="13" s="1"/>
  <c r="E216" i="7"/>
  <c r="R231" i="15"/>
  <c r="U231" i="15" s="1"/>
  <c r="W231" i="15" s="1"/>
  <c r="U223" i="13"/>
  <c r="X223" i="13" s="1"/>
  <c r="Z223" i="13" s="1"/>
  <c r="E23" i="7"/>
  <c r="R38" i="15"/>
  <c r="U38" i="15" s="1"/>
  <c r="E251" i="8"/>
  <c r="R268" i="15"/>
  <c r="U268" i="15" s="1"/>
  <c r="W268" i="15" s="1"/>
  <c r="U260" i="13"/>
  <c r="X260" i="13" s="1"/>
  <c r="Z260" i="13" s="1"/>
  <c r="E104" i="8"/>
  <c r="R119" i="15"/>
  <c r="U119" i="15" s="1"/>
  <c r="U109" i="13"/>
  <c r="X109" i="13" s="1"/>
  <c r="E247" i="8"/>
  <c r="R263" i="15"/>
  <c r="U263" i="15" s="1"/>
  <c r="W263" i="15" s="1"/>
  <c r="U255" i="13"/>
  <c r="X255" i="13" s="1"/>
  <c r="Z255" i="13" s="1"/>
  <c r="E222" i="7"/>
  <c r="R237" i="15"/>
  <c r="U237" i="15" s="1"/>
  <c r="W237" i="15" s="1"/>
  <c r="U229" i="13"/>
  <c r="X229" i="13" s="1"/>
  <c r="Z229" i="13" s="1"/>
  <c r="E12" i="7"/>
  <c r="R27" i="15"/>
  <c r="U27" i="15" s="1"/>
  <c r="W27" i="15" s="1"/>
  <c r="U24" i="13"/>
  <c r="X24" i="13" s="1"/>
  <c r="Z24" i="13" s="1"/>
  <c r="R82" i="15"/>
  <c r="U82" i="15" s="1"/>
  <c r="W82" i="15" s="1"/>
  <c r="U72" i="13"/>
  <c r="X72" i="13" s="1"/>
  <c r="Z72" i="13" s="1"/>
  <c r="K215" i="6"/>
  <c r="E195" i="8" s="1"/>
  <c r="N210" i="15"/>
  <c r="R196" i="15"/>
  <c r="U196" i="15" s="1"/>
  <c r="W196" i="15" s="1"/>
  <c r="U187" i="13"/>
  <c r="X187" i="13" s="1"/>
  <c r="Z187" i="13" s="1"/>
  <c r="R227" i="15"/>
  <c r="U227" i="15" s="1"/>
  <c r="W227" i="15" s="1"/>
  <c r="U219" i="13"/>
  <c r="X219" i="13" s="1"/>
  <c r="Z219" i="13" s="1"/>
  <c r="E278" i="8"/>
  <c r="N278" i="8" s="1"/>
  <c r="R57" i="15"/>
  <c r="U57" i="15" s="1"/>
  <c r="W57" i="15" s="1"/>
  <c r="U45" i="13"/>
  <c r="X45" i="13" s="1"/>
  <c r="Z45" i="13" s="1"/>
  <c r="E49" i="7"/>
  <c r="W49" i="7" s="1"/>
  <c r="N151" i="15"/>
  <c r="Q142" i="13"/>
  <c r="R25" i="15"/>
  <c r="U25" i="15" s="1"/>
  <c r="W25" i="15" s="1"/>
  <c r="U22" i="13"/>
  <c r="C18" i="12"/>
  <c r="F18" i="12" s="1"/>
  <c r="E26" i="8"/>
  <c r="R41" i="15"/>
  <c r="U41" i="15" s="1"/>
  <c r="F502" i="6"/>
  <c r="R146" i="15"/>
  <c r="U146" i="15" s="1"/>
  <c r="U137" i="13"/>
  <c r="X137" i="13" s="1"/>
  <c r="E254" i="8"/>
  <c r="R271" i="15"/>
  <c r="U271" i="15" s="1"/>
  <c r="U263" i="13"/>
  <c r="X263" i="13" s="1"/>
  <c r="E147" i="7"/>
  <c r="R162" i="15"/>
  <c r="U162" i="15" s="1"/>
  <c r="W162" i="15" s="1"/>
  <c r="U153" i="13"/>
  <c r="X153" i="13" s="1"/>
  <c r="Z153" i="13" s="1"/>
  <c r="E81" i="7"/>
  <c r="R96" i="15"/>
  <c r="U96" i="15" s="1"/>
  <c r="U85" i="13"/>
  <c r="X85" i="13" s="1"/>
  <c r="E162" i="8"/>
  <c r="R177" i="15"/>
  <c r="U177" i="15" s="1"/>
  <c r="W177" i="15" s="1"/>
  <c r="U166" i="13"/>
  <c r="X166" i="13" s="1"/>
  <c r="Z166" i="13" s="1"/>
  <c r="C28" i="12"/>
  <c r="R289" i="15"/>
  <c r="U289" i="15" s="1"/>
  <c r="W289" i="15" s="1"/>
  <c r="U281" i="13"/>
  <c r="X281" i="13" s="1"/>
  <c r="Z281" i="13" s="1"/>
  <c r="R286" i="15"/>
  <c r="U286" i="15" s="1"/>
  <c r="W286" i="15" s="1"/>
  <c r="U278" i="13"/>
  <c r="X278" i="13" s="1"/>
  <c r="Z278" i="13" s="1"/>
  <c r="R56" i="15"/>
  <c r="U56" i="15" s="1"/>
  <c r="W56" i="15" s="1"/>
  <c r="U44" i="13"/>
  <c r="X44" i="13" s="1"/>
  <c r="Z44" i="13" s="1"/>
  <c r="E155" i="8"/>
  <c r="F154" i="8" s="1"/>
  <c r="X154" i="8" s="1"/>
  <c r="E72" i="8"/>
  <c r="W72" i="8" s="1"/>
  <c r="R33" i="15"/>
  <c r="U33" i="15" s="1"/>
  <c r="W33" i="15" s="1"/>
  <c r="U30" i="13"/>
  <c r="X30" i="13" s="1"/>
  <c r="Z30" i="13" s="1"/>
  <c r="C24" i="12"/>
  <c r="F24" i="12" s="1"/>
  <c r="E246" i="7"/>
  <c r="N246" i="7" s="1"/>
  <c r="F490" i="6"/>
  <c r="K74" i="6"/>
  <c r="E58" i="8" s="1"/>
  <c r="N73" i="15"/>
  <c r="Q62" i="13"/>
  <c r="R215" i="15"/>
  <c r="U215" i="15" s="1"/>
  <c r="W215" i="15" s="1"/>
  <c r="U207" i="13"/>
  <c r="X207" i="13" s="1"/>
  <c r="Z207" i="13" s="1"/>
  <c r="R212" i="15"/>
  <c r="U212" i="15" s="1"/>
  <c r="W212" i="15" s="1"/>
  <c r="U204" i="13"/>
  <c r="X204" i="13" s="1"/>
  <c r="Z204" i="13" s="1"/>
  <c r="F491" i="6"/>
  <c r="R65" i="15"/>
  <c r="U65" i="15" s="1"/>
  <c r="U53" i="13"/>
  <c r="X53" i="13" s="1"/>
  <c r="E101" i="8"/>
  <c r="R116" i="15"/>
  <c r="U116" i="15" s="1"/>
  <c r="U106" i="13"/>
  <c r="X106" i="13" s="1"/>
  <c r="K192" i="6"/>
  <c r="N188" i="15"/>
  <c r="Q179" i="13"/>
  <c r="R285" i="15"/>
  <c r="U285" i="15" s="1"/>
  <c r="W285" i="15" s="1"/>
  <c r="U277" i="13"/>
  <c r="X277" i="13" s="1"/>
  <c r="Z277" i="13" s="1"/>
  <c r="R206" i="15"/>
  <c r="U206" i="15" s="1"/>
  <c r="W206" i="15" s="1"/>
  <c r="U197" i="13"/>
  <c r="X197" i="13" s="1"/>
  <c r="Z197" i="13" s="1"/>
  <c r="E201" i="7"/>
  <c r="N201" i="7" s="1"/>
  <c r="E216" i="8"/>
  <c r="W216" i="8" s="1"/>
  <c r="E78" i="8"/>
  <c r="W78" i="8" s="1"/>
  <c r="E252" i="7"/>
  <c r="W252" i="7" s="1"/>
  <c r="E263" i="8"/>
  <c r="W263" i="8" s="1"/>
  <c r="K60" i="6"/>
  <c r="R61" i="15" s="1"/>
  <c r="U61" i="15" s="1"/>
  <c r="W61" i="15" s="1"/>
  <c r="N61" i="15"/>
  <c r="Q48" i="13"/>
  <c r="Q185" i="15"/>
  <c r="T176" i="13"/>
  <c r="E98" i="8"/>
  <c r="R113" i="15"/>
  <c r="U113" i="15" s="1"/>
  <c r="W113" i="15" s="1"/>
  <c r="U102" i="13"/>
  <c r="X102" i="13" s="1"/>
  <c r="Z102" i="13" s="1"/>
  <c r="E238" i="7"/>
  <c r="R253" i="15"/>
  <c r="U253" i="15" s="1"/>
  <c r="U245" i="13"/>
  <c r="X245" i="13" s="1"/>
  <c r="E217" i="8"/>
  <c r="R232" i="15"/>
  <c r="U232" i="15" s="1"/>
  <c r="U224" i="13"/>
  <c r="X224" i="13" s="1"/>
  <c r="R66" i="15"/>
  <c r="U66" i="15" s="1"/>
  <c r="U54" i="13"/>
  <c r="X54" i="13" s="1"/>
  <c r="E294" i="8"/>
  <c r="R312" i="15"/>
  <c r="U312" i="15" s="1"/>
  <c r="W312" i="15" s="1"/>
  <c r="U295" i="13"/>
  <c r="X295" i="13" s="1"/>
  <c r="Z295" i="13" s="1"/>
  <c r="E229" i="8"/>
  <c r="R244" i="15"/>
  <c r="U244" i="15" s="1"/>
  <c r="W244" i="15" s="1"/>
  <c r="U236" i="13"/>
  <c r="X236" i="13" s="1"/>
  <c r="Z236" i="13" s="1"/>
  <c r="F525" i="6"/>
  <c r="R308" i="15"/>
  <c r="U308" i="15" s="1"/>
  <c r="W308" i="15" s="1"/>
  <c r="U291" i="13"/>
  <c r="X291" i="13" s="1"/>
  <c r="Z291" i="13" s="1"/>
  <c r="E248" i="8"/>
  <c r="R264" i="15"/>
  <c r="U264" i="15" s="1"/>
  <c r="U256" i="13"/>
  <c r="X256" i="13" s="1"/>
  <c r="E82" i="7"/>
  <c r="R97" i="15"/>
  <c r="U97" i="15" s="1"/>
  <c r="U86" i="13"/>
  <c r="X86" i="13" s="1"/>
  <c r="E283" i="8"/>
  <c r="R300" i="15"/>
  <c r="U300" i="15" s="1"/>
  <c r="E203" i="8"/>
  <c r="R218" i="15"/>
  <c r="U218" i="15" s="1"/>
  <c r="W218" i="15" s="1"/>
  <c r="U210" i="13"/>
  <c r="X210" i="13" s="1"/>
  <c r="Z210" i="13" s="1"/>
  <c r="E220" i="7"/>
  <c r="R235" i="15"/>
  <c r="U235" i="15" s="1"/>
  <c r="W235" i="15" s="1"/>
  <c r="U227" i="13"/>
  <c r="X227" i="13" s="1"/>
  <c r="Z227" i="13" s="1"/>
  <c r="E36" i="7"/>
  <c r="R51" i="15"/>
  <c r="U51" i="15" s="1"/>
  <c r="W51" i="15" s="1"/>
  <c r="U39" i="13"/>
  <c r="X39" i="13" s="1"/>
  <c r="Z39" i="13" s="1"/>
  <c r="F481" i="6"/>
  <c r="R30" i="15"/>
  <c r="U30" i="15" s="1"/>
  <c r="W30" i="15" s="1"/>
  <c r="U27" i="13"/>
  <c r="X27" i="13" s="1"/>
  <c r="Z27" i="13" s="1"/>
  <c r="R158" i="15"/>
  <c r="U158" i="15" s="1"/>
  <c r="W158" i="15" s="1"/>
  <c r="R161" i="15"/>
  <c r="U161" i="15" s="1"/>
  <c r="W161" i="15" s="1"/>
  <c r="U152" i="13"/>
  <c r="X152" i="13" s="1"/>
  <c r="Z152" i="13" s="1"/>
  <c r="C23" i="12"/>
  <c r="U264" i="13"/>
  <c r="X264" i="13" s="1"/>
  <c r="Z264" i="13" s="1"/>
  <c r="U243" i="13"/>
  <c r="X243" i="13" s="1"/>
  <c r="Z243" i="13" s="1"/>
  <c r="C21" i="12"/>
  <c r="F21" i="12" s="1"/>
  <c r="E240" i="7"/>
  <c r="U247" i="13"/>
  <c r="X247" i="13" s="1"/>
  <c r="Z247" i="13" s="1"/>
  <c r="E250" i="7"/>
  <c r="U259" i="13"/>
  <c r="X259" i="13" s="1"/>
  <c r="Z259" i="13" s="1"/>
  <c r="E258" i="7"/>
  <c r="U267" i="13"/>
  <c r="X267" i="13" s="1"/>
  <c r="Z267" i="13" s="1"/>
  <c r="E214" i="8"/>
  <c r="U221" i="13"/>
  <c r="X221" i="13" s="1"/>
  <c r="Z221" i="13" s="1"/>
  <c r="E176" i="7"/>
  <c r="N176" i="7" s="1"/>
  <c r="L226" i="6"/>
  <c r="E182" i="7"/>
  <c r="N182" i="7" s="1"/>
  <c r="W102" i="7"/>
  <c r="N123" i="8"/>
  <c r="W157" i="8"/>
  <c r="N106" i="7"/>
  <c r="N207" i="8"/>
  <c r="E4" i="9"/>
  <c r="E15" i="9"/>
  <c r="E26" i="9"/>
  <c r="F4" i="9"/>
  <c r="F15" i="9"/>
  <c r="F26" i="9"/>
  <c r="E5" i="9"/>
  <c r="E16" i="9"/>
  <c r="E27" i="9"/>
  <c r="F5" i="9"/>
  <c r="F16" i="9"/>
  <c r="F27" i="9"/>
  <c r="E6" i="9"/>
  <c r="E17" i="9"/>
  <c r="E28" i="9"/>
  <c r="F6" i="9"/>
  <c r="F17" i="9"/>
  <c r="F28" i="9"/>
  <c r="E7" i="9"/>
  <c r="E18" i="9"/>
  <c r="E29" i="9"/>
  <c r="F7" i="9"/>
  <c r="F18" i="9"/>
  <c r="F29" i="9"/>
  <c r="E19" i="9"/>
  <c r="F19" i="9"/>
  <c r="E20" i="9"/>
  <c r="F9" i="9"/>
  <c r="F31" i="9"/>
  <c r="E10" i="9"/>
  <c r="E32" i="9"/>
  <c r="F21" i="9"/>
  <c r="E11" i="9"/>
  <c r="E33" i="9"/>
  <c r="F11" i="9"/>
  <c r="F33" i="9"/>
  <c r="E12" i="9"/>
  <c r="E23" i="9"/>
  <c r="F12" i="9"/>
  <c r="F34" i="9"/>
  <c r="E24" i="9"/>
  <c r="E35" i="9"/>
  <c r="E8" i="9"/>
  <c r="F8" i="9"/>
  <c r="E31" i="9"/>
  <c r="F35" i="9"/>
  <c r="F30" i="9"/>
  <c r="E30" i="9"/>
  <c r="E9" i="9"/>
  <c r="F20" i="9"/>
  <c r="E21" i="9"/>
  <c r="F10" i="9"/>
  <c r="F32" i="9"/>
  <c r="E22" i="9"/>
  <c r="F22" i="9"/>
  <c r="E34" i="9"/>
  <c r="F23" i="9"/>
  <c r="E13" i="9"/>
  <c r="F13" i="9"/>
  <c r="F25" i="9"/>
  <c r="E14" i="9"/>
  <c r="F24" i="9"/>
  <c r="E25" i="9"/>
  <c r="E36" i="9"/>
  <c r="F36" i="9"/>
  <c r="F14" i="9"/>
  <c r="E271" i="7"/>
  <c r="W271" i="7" s="1"/>
  <c r="W263" i="7"/>
  <c r="E115" i="7"/>
  <c r="W115" i="7" s="1"/>
  <c r="W132" i="7"/>
  <c r="W280" i="8"/>
  <c r="W94" i="8"/>
  <c r="N32" i="8"/>
  <c r="N235" i="8"/>
  <c r="N34" i="8"/>
  <c r="N80" i="8"/>
  <c r="F443" i="6"/>
  <c r="F505" i="6"/>
  <c r="N82" i="8"/>
  <c r="W238" i="8"/>
  <c r="N16" i="8"/>
  <c r="N277" i="8"/>
  <c r="W204" i="8"/>
  <c r="W209" i="8"/>
  <c r="N245" i="7"/>
  <c r="N77" i="7"/>
  <c r="E151" i="7"/>
  <c r="N151" i="7" s="1"/>
  <c r="E273" i="7"/>
  <c r="W273" i="7" s="1"/>
  <c r="N103" i="8"/>
  <c r="N60" i="8"/>
  <c r="N71" i="8"/>
  <c r="W217" i="7"/>
  <c r="N208" i="8"/>
  <c r="N287" i="7"/>
  <c r="N293" i="7"/>
  <c r="W33" i="8"/>
  <c r="N39" i="8"/>
  <c r="W276" i="8"/>
  <c r="W107" i="7"/>
  <c r="N283" i="7"/>
  <c r="N81" i="8"/>
  <c r="W23" i="8"/>
  <c r="N245" i="8"/>
  <c r="N222" i="8"/>
  <c r="N264" i="8"/>
  <c r="N51" i="8"/>
  <c r="N96" i="7"/>
  <c r="N251" i="7"/>
  <c r="N282" i="8"/>
  <c r="W290" i="8"/>
  <c r="W279" i="8"/>
  <c r="N52" i="8"/>
  <c r="W74" i="8"/>
  <c r="N78" i="7"/>
  <c r="W178" i="8"/>
  <c r="N248" i="7"/>
  <c r="N256" i="7"/>
  <c r="W155" i="7"/>
  <c r="N12" i="8"/>
  <c r="N292" i="7"/>
  <c r="N299" i="7"/>
  <c r="N50" i="7"/>
  <c r="N98" i="7"/>
  <c r="W26" i="7"/>
  <c r="N131" i="8"/>
  <c r="N101" i="7"/>
  <c r="E266" i="8"/>
  <c r="W266" i="8" s="1"/>
  <c r="N25" i="8"/>
  <c r="N155" i="7"/>
  <c r="O154" i="7" s="1"/>
  <c r="N119" i="7"/>
  <c r="W17" i="8"/>
  <c r="W13" i="8"/>
  <c r="N241" i="7"/>
  <c r="W253" i="7"/>
  <c r="W290" i="7"/>
  <c r="N233" i="7"/>
  <c r="N22" i="8"/>
  <c r="E160" i="7"/>
  <c r="E160" i="8"/>
  <c r="F517" i="6"/>
  <c r="E185" i="8"/>
  <c r="E185" i="7"/>
  <c r="E116" i="8"/>
  <c r="E116" i="7"/>
  <c r="E37" i="7"/>
  <c r="E37" i="8"/>
  <c r="E211" i="8"/>
  <c r="E211" i="7"/>
  <c r="E89" i="8"/>
  <c r="E89" i="7"/>
  <c r="E236" i="7"/>
  <c r="E236" i="8"/>
  <c r="N48" i="7"/>
  <c r="L167" i="6"/>
  <c r="S165" i="15" s="1"/>
  <c r="U165" i="15" s="1"/>
  <c r="W165" i="15" s="1"/>
  <c r="E152" i="8"/>
  <c r="E152" i="7"/>
  <c r="E18" i="7"/>
  <c r="E18" i="8"/>
  <c r="E134" i="8"/>
  <c r="E134" i="7"/>
  <c r="E223" i="8"/>
  <c r="E223" i="7"/>
  <c r="E38" i="7"/>
  <c r="E38" i="8"/>
  <c r="N221" i="7"/>
  <c r="W104" i="7"/>
  <c r="W34" i="7"/>
  <c r="E212" i="8"/>
  <c r="E212" i="7"/>
  <c r="E95" i="8"/>
  <c r="E95" i="7"/>
  <c r="W237" i="8"/>
  <c r="N237" i="8"/>
  <c r="W130" i="7"/>
  <c r="N130" i="7"/>
  <c r="N50" i="8"/>
  <c r="E191" i="8"/>
  <c r="E191" i="7"/>
  <c r="F484" i="6"/>
  <c r="E19" i="7"/>
  <c r="E19" i="8"/>
  <c r="N40" i="8"/>
  <c r="W229" i="7"/>
  <c r="E224" i="8"/>
  <c r="E224" i="7"/>
  <c r="F488" i="6"/>
  <c r="E41" i="7"/>
  <c r="E41" i="8"/>
  <c r="E45" i="7"/>
  <c r="E45" i="8"/>
  <c r="E54" i="7"/>
  <c r="E54" i="8"/>
  <c r="E142" i="8"/>
  <c r="E142" i="7"/>
  <c r="F508" i="6"/>
  <c r="E158" i="8"/>
  <c r="E158" i="7"/>
  <c r="E117" i="8"/>
  <c r="E117" i="7"/>
  <c r="W40" i="7"/>
  <c r="N56" i="8"/>
  <c r="W56" i="8"/>
  <c r="F516" i="6"/>
  <c r="E184" i="8"/>
  <c r="E184" i="7"/>
  <c r="E59" i="7"/>
  <c r="E59" i="8"/>
  <c r="W199" i="8"/>
  <c r="E70" i="7"/>
  <c r="E70" i="8"/>
  <c r="E136" i="8"/>
  <c r="E136" i="7"/>
  <c r="E164" i="7"/>
  <c r="E164" i="8"/>
  <c r="F507" i="6"/>
  <c r="E153" i="8"/>
  <c r="E153" i="7"/>
  <c r="W288" i="7"/>
  <c r="N288" i="7"/>
  <c r="E86" i="7"/>
  <c r="E86" i="8"/>
  <c r="F520" i="6"/>
  <c r="E213" i="8"/>
  <c r="E213" i="7"/>
  <c r="F422" i="6"/>
  <c r="E112" i="8"/>
  <c r="E112" i="7"/>
  <c r="W51" i="7"/>
  <c r="N51" i="7"/>
  <c r="F420" i="6"/>
  <c r="E110" i="8"/>
  <c r="E110" i="7"/>
  <c r="W36" i="8"/>
  <c r="F421" i="6"/>
  <c r="E111" i="8"/>
  <c r="E111" i="7"/>
  <c r="N295" i="7"/>
  <c r="E262" i="7"/>
  <c r="E262" i="8"/>
  <c r="E190" i="8"/>
  <c r="E190" i="7"/>
  <c r="F419" i="6"/>
  <c r="E109" i="8"/>
  <c r="E109" i="7"/>
  <c r="E114" i="8"/>
  <c r="E114" i="7"/>
  <c r="E87" i="8"/>
  <c r="E87" i="7"/>
  <c r="F515" i="6"/>
  <c r="E183" i="8"/>
  <c r="E183" i="7"/>
  <c r="F480" i="6"/>
  <c r="E10" i="7"/>
  <c r="E10" i="8"/>
  <c r="F423" i="6"/>
  <c r="E113" i="8"/>
  <c r="E113" i="7"/>
  <c r="N201" i="8"/>
  <c r="N120" i="7"/>
  <c r="W254" i="7"/>
  <c r="W168" i="8"/>
  <c r="W200" i="8"/>
  <c r="N231" i="8"/>
  <c r="F528" i="6"/>
  <c r="E189" i="7"/>
  <c r="E189" i="8"/>
  <c r="E66" i="8"/>
  <c r="E66" i="7"/>
  <c r="E297" i="8"/>
  <c r="E297" i="7"/>
  <c r="E67" i="8"/>
  <c r="E67" i="7"/>
  <c r="E84" i="7"/>
  <c r="E84" i="8"/>
  <c r="E296" i="8"/>
  <c r="E296" i="7"/>
  <c r="E270" i="8"/>
  <c r="E270" i="7"/>
  <c r="E181" i="8"/>
  <c r="E181" i="7"/>
  <c r="E269" i="8"/>
  <c r="E269" i="7"/>
  <c r="E268" i="8"/>
  <c r="E268" i="7"/>
  <c r="E267" i="8"/>
  <c r="E267" i="7"/>
  <c r="E205" i="7"/>
  <c r="E205" i="8"/>
  <c r="L287" i="6"/>
  <c r="E272" i="8"/>
  <c r="E272" i="7"/>
  <c r="E274" i="8"/>
  <c r="E274" i="7"/>
  <c r="E230" i="7"/>
  <c r="E230" i="8"/>
  <c r="E219" i="7"/>
  <c r="E219" i="8"/>
  <c r="L216" i="6"/>
  <c r="S211" i="15" s="1"/>
  <c r="U211" i="15" s="1"/>
  <c r="W211" i="15" s="1"/>
  <c r="E197" i="7"/>
  <c r="E197" i="8"/>
  <c r="N220" i="8"/>
  <c r="W220" i="8"/>
  <c r="W247" i="7"/>
  <c r="N247" i="7"/>
  <c r="W203" i="7"/>
  <c r="N203" i="7"/>
  <c r="E92" i="8"/>
  <c r="E92" i="7"/>
  <c r="E146" i="8"/>
  <c r="E146" i="7"/>
  <c r="F526" i="6"/>
  <c r="E291" i="8"/>
  <c r="E291" i="7"/>
  <c r="N239" i="8"/>
  <c r="W239" i="8"/>
  <c r="N242" i="7"/>
  <c r="W242" i="7"/>
  <c r="N258" i="8"/>
  <c r="W258" i="8"/>
  <c r="F521" i="6"/>
  <c r="E218" i="8"/>
  <c r="E218" i="7"/>
  <c r="F509" i="6"/>
  <c r="E167" i="8"/>
  <c r="E167" i="7"/>
  <c r="N168" i="7"/>
  <c r="W168" i="7"/>
  <c r="E165" i="7"/>
  <c r="E165" i="8"/>
  <c r="F415" i="6"/>
  <c r="E105" i="7"/>
  <c r="E105" i="8"/>
  <c r="E42" i="8"/>
  <c r="E42" i="7"/>
  <c r="G129" i="4"/>
  <c r="W13" i="7"/>
  <c r="N13" i="7"/>
  <c r="W11" i="7"/>
  <c r="N11" i="7"/>
  <c r="N15" i="8"/>
  <c r="E30" i="8"/>
  <c r="E30" i="7"/>
  <c r="N300" i="8"/>
  <c r="W300" i="8"/>
  <c r="N294" i="7"/>
  <c r="W294" i="7"/>
  <c r="N289" i="7"/>
  <c r="W289" i="7"/>
  <c r="W260" i="7"/>
  <c r="N260" i="7"/>
  <c r="O259" i="7" s="1"/>
  <c r="F259" i="7"/>
  <c r="X259" i="7" s="1"/>
  <c r="W234" i="7"/>
  <c r="N234" i="7"/>
  <c r="F522" i="6"/>
  <c r="E225" i="8"/>
  <c r="E225" i="7"/>
  <c r="W187" i="8"/>
  <c r="N187" i="8"/>
  <c r="N162" i="7"/>
  <c r="W162" i="7"/>
  <c r="W147" i="8"/>
  <c r="N147" i="8"/>
  <c r="W138" i="7"/>
  <c r="N138" i="7"/>
  <c r="E133" i="7"/>
  <c r="E133" i="8"/>
  <c r="W127" i="7"/>
  <c r="N127" i="7"/>
  <c r="W126" i="8"/>
  <c r="N126" i="8"/>
  <c r="W106" i="8"/>
  <c r="N106" i="8"/>
  <c r="W93" i="8"/>
  <c r="L309" i="6"/>
  <c r="S304" i="15" s="1"/>
  <c r="U304" i="15" s="1"/>
  <c r="W304" i="15" s="1"/>
  <c r="L50" i="6"/>
  <c r="K306" i="4"/>
  <c r="F440" i="6"/>
  <c r="K80" i="6"/>
  <c r="K46" i="6"/>
  <c r="K308" i="6" s="1"/>
  <c r="K29" i="6"/>
  <c r="L180" i="6"/>
  <c r="K124" i="6"/>
  <c r="F500" i="6"/>
  <c r="F499" i="6"/>
  <c r="F498" i="6"/>
  <c r="F506" i="6"/>
  <c r="F439" i="6"/>
  <c r="G127" i="4"/>
  <c r="H259" i="4"/>
  <c r="G233" i="4"/>
  <c r="G200" i="4"/>
  <c r="G199" i="4"/>
  <c r="G198" i="4"/>
  <c r="G183" i="4"/>
  <c r="G182" i="4"/>
  <c r="G173" i="4"/>
  <c r="G168" i="4"/>
  <c r="G166" i="4"/>
  <c r="G110" i="4"/>
  <c r="G56" i="4"/>
  <c r="S13" i="4"/>
  <c r="G238" i="4" s="1"/>
  <c r="S12" i="4"/>
  <c r="G239" i="4" s="1"/>
  <c r="U149" i="13" l="1"/>
  <c r="X149" i="13" s="1"/>
  <c r="Z149" i="13" s="1"/>
  <c r="N102" i="8"/>
  <c r="E99" i="8"/>
  <c r="N340" i="6"/>
  <c r="R159" i="15"/>
  <c r="U159" i="15" s="1"/>
  <c r="W159" i="15" s="1"/>
  <c r="X22" i="13"/>
  <c r="Z22" i="13" s="1"/>
  <c r="L211" i="6"/>
  <c r="E358" i="6" s="1"/>
  <c r="N157" i="7"/>
  <c r="W148" i="7"/>
  <c r="N132" i="8"/>
  <c r="N118" i="7"/>
  <c r="W48" i="8"/>
  <c r="N151" i="8"/>
  <c r="N289" i="8"/>
  <c r="E143" i="7"/>
  <c r="W143" i="7" s="1"/>
  <c r="F156" i="7"/>
  <c r="X156" i="7" s="1"/>
  <c r="N255" i="7"/>
  <c r="E161" i="8"/>
  <c r="F159" i="8" s="1"/>
  <c r="X159" i="8" s="1"/>
  <c r="F425" i="6"/>
  <c r="E161" i="7"/>
  <c r="F159" i="7" s="1"/>
  <c r="X159" i="7" s="1"/>
  <c r="N21" i="7"/>
  <c r="W68" i="8"/>
  <c r="W52" i="7"/>
  <c r="W8" i="7"/>
  <c r="L59" i="6"/>
  <c r="S59" i="15" s="1"/>
  <c r="U59" i="15" s="1"/>
  <c r="W59" i="15" s="1"/>
  <c r="N255" i="8"/>
  <c r="N72" i="8"/>
  <c r="W131" i="7"/>
  <c r="E53" i="7"/>
  <c r="N53" i="7" s="1"/>
  <c r="N16" i="7"/>
  <c r="E99" i="7"/>
  <c r="W99" i="7" s="1"/>
  <c r="E100" i="7"/>
  <c r="W100" i="7" s="1"/>
  <c r="N202" i="7"/>
  <c r="W260" i="8"/>
  <c r="E58" i="7"/>
  <c r="N58" i="7" s="1"/>
  <c r="E53" i="8"/>
  <c r="N53" i="8" s="1"/>
  <c r="E144" i="7"/>
  <c r="N144" i="7" s="1"/>
  <c r="E76" i="8"/>
  <c r="W27" i="7"/>
  <c r="N62" i="8"/>
  <c r="L158" i="6"/>
  <c r="V156" i="13" s="1"/>
  <c r="E144" i="8"/>
  <c r="F141" i="8" s="1"/>
  <c r="X141" i="8" s="1"/>
  <c r="W8" i="8"/>
  <c r="N8" i="8"/>
  <c r="O7" i="8" s="1"/>
  <c r="E177" i="7"/>
  <c r="N177" i="7" s="1"/>
  <c r="N68" i="7"/>
  <c r="F7" i="7"/>
  <c r="X7" i="7" s="1"/>
  <c r="W77" i="8"/>
  <c r="N17" i="7"/>
  <c r="F424" i="6"/>
  <c r="W125" i="8"/>
  <c r="E46" i="8"/>
  <c r="N46" i="8" s="1"/>
  <c r="E140" i="8"/>
  <c r="N140" i="8" s="1"/>
  <c r="O139" i="8" s="1"/>
  <c r="W180" i="7"/>
  <c r="F259" i="8"/>
  <c r="X259" i="8" s="1"/>
  <c r="F28" i="12"/>
  <c r="C8" i="12"/>
  <c r="F8" i="12" s="1"/>
  <c r="F275" i="8"/>
  <c r="X275" i="8" s="1"/>
  <c r="W182" i="8"/>
  <c r="W49" i="8"/>
  <c r="N176" i="8"/>
  <c r="F23" i="12"/>
  <c r="W149" i="8"/>
  <c r="N215" i="7"/>
  <c r="N252" i="7"/>
  <c r="E64" i="7"/>
  <c r="W64" i="7" s="1"/>
  <c r="W246" i="7"/>
  <c r="N279" i="7"/>
  <c r="F513" i="6"/>
  <c r="N55" i="8"/>
  <c r="E128" i="8"/>
  <c r="W128" i="8" s="1"/>
  <c r="E172" i="8"/>
  <c r="W172" i="8" s="1"/>
  <c r="N271" i="8"/>
  <c r="W166" i="7"/>
  <c r="W61" i="8"/>
  <c r="E172" i="7"/>
  <c r="W172" i="7" s="1"/>
  <c r="E135" i="7"/>
  <c r="F261" i="8"/>
  <c r="X261" i="8" s="1"/>
  <c r="N249" i="7"/>
  <c r="E124" i="8"/>
  <c r="W124" i="8" s="1"/>
  <c r="F511" i="6"/>
  <c r="N214" i="7"/>
  <c r="N121" i="8"/>
  <c r="N234" i="8"/>
  <c r="N242" i="8"/>
  <c r="N250" i="8"/>
  <c r="N210" i="7"/>
  <c r="W278" i="8"/>
  <c r="N292" i="8"/>
  <c r="W182" i="7"/>
  <c r="E124" i="7"/>
  <c r="N124" i="7" s="1"/>
  <c r="W55" i="7"/>
  <c r="C15" i="12"/>
  <c r="F15" i="12" s="1"/>
  <c r="W232" i="7"/>
  <c r="N15" i="7"/>
  <c r="E175" i="7"/>
  <c r="N175" i="7" s="1"/>
  <c r="N281" i="8"/>
  <c r="N298" i="7"/>
  <c r="F243" i="8"/>
  <c r="X243" i="8" s="1"/>
  <c r="F275" i="7"/>
  <c r="X275" i="7" s="1"/>
  <c r="L139" i="6"/>
  <c r="S137" i="15" s="1"/>
  <c r="U137" i="15" s="1"/>
  <c r="W137" i="15" s="1"/>
  <c r="E46" i="7"/>
  <c r="W46" i="7" s="1"/>
  <c r="U48" i="13"/>
  <c r="X48" i="13" s="1"/>
  <c r="Z48" i="13" s="1"/>
  <c r="N254" i="8"/>
  <c r="W254" i="8"/>
  <c r="W202" i="8"/>
  <c r="N202" i="8"/>
  <c r="W288" i="8"/>
  <c r="N288" i="8"/>
  <c r="N264" i="7"/>
  <c r="W264" i="7"/>
  <c r="W82" i="7"/>
  <c r="N82" i="7"/>
  <c r="W71" i="7"/>
  <c r="N71" i="7"/>
  <c r="N39" i="7"/>
  <c r="W39" i="7"/>
  <c r="W180" i="8"/>
  <c r="N180" i="8"/>
  <c r="W241" i="8"/>
  <c r="N241" i="8"/>
  <c r="R190" i="15"/>
  <c r="U190" i="15" s="1"/>
  <c r="W190" i="15" s="1"/>
  <c r="U181" i="13"/>
  <c r="X181" i="13" s="1"/>
  <c r="Z181" i="13" s="1"/>
  <c r="N281" i="7"/>
  <c r="W281" i="7"/>
  <c r="W207" i="7"/>
  <c r="N207" i="7"/>
  <c r="N73" i="7"/>
  <c r="W73" i="7"/>
  <c r="W26" i="8"/>
  <c r="N26" i="8"/>
  <c r="R80" i="15"/>
  <c r="U80" i="15" s="1"/>
  <c r="W80" i="15" s="1"/>
  <c r="U70" i="13"/>
  <c r="X70" i="13" s="1"/>
  <c r="Z70" i="13" s="1"/>
  <c r="W239" i="7"/>
  <c r="N239" i="7"/>
  <c r="W127" i="8"/>
  <c r="N127" i="8"/>
  <c r="N293" i="8"/>
  <c r="W293" i="8"/>
  <c r="W295" i="8"/>
  <c r="N295" i="8"/>
  <c r="E340" i="6"/>
  <c r="S35" i="15"/>
  <c r="U35" i="15" s="1"/>
  <c r="W28" i="8"/>
  <c r="N28" i="8"/>
  <c r="W201" i="7"/>
  <c r="N198" i="8"/>
  <c r="E357" i="6"/>
  <c r="W28" i="7"/>
  <c r="R155" i="15"/>
  <c r="U155" i="15" s="1"/>
  <c r="W155" i="15" s="1"/>
  <c r="U146" i="13"/>
  <c r="X146" i="13" s="1"/>
  <c r="Z146" i="13" s="1"/>
  <c r="C13" i="12"/>
  <c r="F13" i="12" s="1"/>
  <c r="N227" i="7"/>
  <c r="N43" i="8"/>
  <c r="N72" i="7"/>
  <c r="W72" i="7"/>
  <c r="W60" i="7"/>
  <c r="N60" i="7"/>
  <c r="W32" i="7"/>
  <c r="N32" i="7"/>
  <c r="F12" i="12"/>
  <c r="E83" i="8"/>
  <c r="W83" i="8" s="1"/>
  <c r="W120" i="8"/>
  <c r="N120" i="8"/>
  <c r="N178" i="7"/>
  <c r="W178" i="7"/>
  <c r="W253" i="8"/>
  <c r="N253" i="8"/>
  <c r="W137" i="8"/>
  <c r="N179" i="8"/>
  <c r="R78" i="15"/>
  <c r="U78" i="15" s="1"/>
  <c r="W78" i="15" s="1"/>
  <c r="U68" i="13"/>
  <c r="X68" i="13" s="1"/>
  <c r="Z68" i="13" s="1"/>
  <c r="R188" i="15"/>
  <c r="U188" i="15" s="1"/>
  <c r="W188" i="15" s="1"/>
  <c r="U179" i="13"/>
  <c r="X179" i="13" s="1"/>
  <c r="Z179" i="13" s="1"/>
  <c r="N61" i="7"/>
  <c r="W61" i="7"/>
  <c r="R210" i="15"/>
  <c r="U210" i="15" s="1"/>
  <c r="W210" i="15" s="1"/>
  <c r="X202" i="13"/>
  <c r="Z202" i="13" s="1"/>
  <c r="C20" i="12"/>
  <c r="F20" i="12" s="1"/>
  <c r="N23" i="7"/>
  <c r="W23" i="7"/>
  <c r="E362" i="6"/>
  <c r="S276" i="15"/>
  <c r="U276" i="15" s="1"/>
  <c r="W276" i="15" s="1"/>
  <c r="V270" i="13"/>
  <c r="X270" i="13" s="1"/>
  <c r="Z270" i="13" s="1"/>
  <c r="F402" i="6"/>
  <c r="F435" i="6"/>
  <c r="N62" i="7"/>
  <c r="W62" i="7"/>
  <c r="E88" i="7"/>
  <c r="W88" i="7" s="1"/>
  <c r="N248" i="8"/>
  <c r="W248" i="8"/>
  <c r="W98" i="8"/>
  <c r="N98" i="8"/>
  <c r="W101" i="8"/>
  <c r="N101" i="8"/>
  <c r="W74" i="7"/>
  <c r="N74" i="7"/>
  <c r="R114" i="15"/>
  <c r="U114" i="15" s="1"/>
  <c r="W114" i="15" s="1"/>
  <c r="U103" i="13"/>
  <c r="X103" i="13" s="1"/>
  <c r="Z103" i="13" s="1"/>
  <c r="C11" i="12"/>
  <c r="F11" i="12" s="1"/>
  <c r="W282" i="7"/>
  <c r="N282" i="7"/>
  <c r="N155" i="8"/>
  <c r="O154" i="8" s="1"/>
  <c r="N216" i="7"/>
  <c r="W216" i="7"/>
  <c r="W138" i="8"/>
  <c r="N138" i="8"/>
  <c r="R176" i="15"/>
  <c r="U176" i="15" s="1"/>
  <c r="W176" i="15" s="1"/>
  <c r="U165" i="13"/>
  <c r="X165" i="13" s="1"/>
  <c r="Z165" i="13" s="1"/>
  <c r="C14" i="12"/>
  <c r="F14" i="12" s="1"/>
  <c r="W198" i="7"/>
  <c r="N198" i="7"/>
  <c r="W125" i="7"/>
  <c r="N125" i="7"/>
  <c r="W12" i="7"/>
  <c r="N12" i="7"/>
  <c r="W204" i="7"/>
  <c r="N204" i="7"/>
  <c r="W22" i="7"/>
  <c r="N22" i="7"/>
  <c r="W126" i="7"/>
  <c r="N126" i="7"/>
  <c r="E338" i="6"/>
  <c r="S22" i="15"/>
  <c r="U22" i="15" s="1"/>
  <c r="W22" i="15" s="1"/>
  <c r="V21" i="13"/>
  <c r="X21" i="13" s="1"/>
  <c r="Z21" i="13" s="1"/>
  <c r="F380" i="6"/>
  <c r="W79" i="8"/>
  <c r="N79" i="8"/>
  <c r="L156" i="6"/>
  <c r="F389" i="6" s="1"/>
  <c r="L190" i="6"/>
  <c r="E356" i="6" s="1"/>
  <c r="N56" i="7"/>
  <c r="W56" i="7"/>
  <c r="F512" i="6"/>
  <c r="E65" i="8"/>
  <c r="W65" i="8" s="1"/>
  <c r="R189" i="15"/>
  <c r="U189" i="15" s="1"/>
  <c r="W189" i="15" s="1"/>
  <c r="U180" i="13"/>
  <c r="X180" i="13" s="1"/>
  <c r="Z180" i="13" s="1"/>
  <c r="W277" i="7"/>
  <c r="N277" i="7"/>
  <c r="W47" i="7"/>
  <c r="N47" i="7"/>
  <c r="F519" i="6"/>
  <c r="W149" i="7"/>
  <c r="E65" i="7"/>
  <c r="N65" i="7" s="1"/>
  <c r="E174" i="7"/>
  <c r="N174" i="7" s="1"/>
  <c r="W226" i="8"/>
  <c r="N266" i="7"/>
  <c r="N115" i="8"/>
  <c r="N229" i="8"/>
  <c r="W229" i="8"/>
  <c r="N222" i="7"/>
  <c r="W222" i="7"/>
  <c r="C10" i="12"/>
  <c r="F10" i="12" s="1"/>
  <c r="R187" i="15"/>
  <c r="U187" i="15" s="1"/>
  <c r="W187" i="15" s="1"/>
  <c r="U178" i="13"/>
  <c r="X178" i="13" s="1"/>
  <c r="Z178" i="13" s="1"/>
  <c r="N300" i="7"/>
  <c r="W300" i="7"/>
  <c r="N148" i="8"/>
  <c r="W148" i="8"/>
  <c r="N27" i="8"/>
  <c r="W27" i="8"/>
  <c r="W145" i="7"/>
  <c r="E174" i="8"/>
  <c r="N174" i="8" s="1"/>
  <c r="N24" i="8"/>
  <c r="E173" i="8"/>
  <c r="N173" i="8" s="1"/>
  <c r="N273" i="8"/>
  <c r="N78" i="8"/>
  <c r="W179" i="7"/>
  <c r="V198" i="13"/>
  <c r="X198" i="13" s="1"/>
  <c r="Z198" i="13" s="1"/>
  <c r="W162" i="8"/>
  <c r="N162" i="8"/>
  <c r="N103" i="7"/>
  <c r="W103" i="7"/>
  <c r="R143" i="15"/>
  <c r="U143" i="15" s="1"/>
  <c r="W143" i="15" s="1"/>
  <c r="U134" i="13"/>
  <c r="X134" i="13" s="1"/>
  <c r="Z134" i="13" s="1"/>
  <c r="W208" i="7"/>
  <c r="N208" i="7"/>
  <c r="N227" i="8"/>
  <c r="W227" i="8"/>
  <c r="E365" i="6"/>
  <c r="S292" i="15"/>
  <c r="U292" i="15" s="1"/>
  <c r="W238" i="7"/>
  <c r="N238" i="7"/>
  <c r="W119" i="8"/>
  <c r="N119" i="8"/>
  <c r="R115" i="15"/>
  <c r="U115" i="15" s="1"/>
  <c r="W115" i="15" s="1"/>
  <c r="U105" i="13"/>
  <c r="X105" i="13" s="1"/>
  <c r="Z105" i="13" s="1"/>
  <c r="W240" i="8"/>
  <c r="N209" i="7"/>
  <c r="W209" i="7"/>
  <c r="E353" i="6"/>
  <c r="S174" i="15"/>
  <c r="U174" i="15" s="1"/>
  <c r="W174" i="15" s="1"/>
  <c r="V167" i="13"/>
  <c r="W176" i="7"/>
  <c r="W294" i="8"/>
  <c r="N294" i="8"/>
  <c r="W247" i="8"/>
  <c r="N247" i="8"/>
  <c r="N249" i="8"/>
  <c r="W249" i="8"/>
  <c r="R73" i="15"/>
  <c r="U73" i="15" s="1"/>
  <c r="W73" i="15" s="1"/>
  <c r="U62" i="13"/>
  <c r="X62" i="13" s="1"/>
  <c r="Z62" i="13" s="1"/>
  <c r="C19" i="12"/>
  <c r="F19" i="12" s="1"/>
  <c r="W81" i="7"/>
  <c r="N81" i="7"/>
  <c r="W80" i="7"/>
  <c r="N80" i="7"/>
  <c r="W25" i="7"/>
  <c r="N25" i="7"/>
  <c r="N221" i="8"/>
  <c r="W221" i="8"/>
  <c r="R150" i="15"/>
  <c r="U150" i="15" s="1"/>
  <c r="W150" i="15" s="1"/>
  <c r="U141" i="13"/>
  <c r="X141" i="13" s="1"/>
  <c r="Z141" i="13" s="1"/>
  <c r="N118" i="8"/>
  <c r="W118" i="8"/>
  <c r="N210" i="8"/>
  <c r="W210" i="8"/>
  <c r="N280" i="7"/>
  <c r="W280" i="7"/>
  <c r="R123" i="15"/>
  <c r="U123" i="15" s="1"/>
  <c r="W123" i="15" s="1"/>
  <c r="U113" i="13"/>
  <c r="X113" i="13" s="1"/>
  <c r="Z113" i="13" s="1"/>
  <c r="W246" i="8"/>
  <c r="N246" i="8"/>
  <c r="R208" i="15"/>
  <c r="U208" i="15" s="1"/>
  <c r="W208" i="15" s="1"/>
  <c r="U199" i="13"/>
  <c r="X199" i="13" s="1"/>
  <c r="Z199" i="13" s="1"/>
  <c r="N93" i="7"/>
  <c r="W93" i="7"/>
  <c r="W276" i="7"/>
  <c r="N276" i="7"/>
  <c r="W145" i="8"/>
  <c r="N145" i="8"/>
  <c r="W121" i="7"/>
  <c r="N121" i="7"/>
  <c r="R98" i="15"/>
  <c r="U98" i="15" s="1"/>
  <c r="W98" i="15" s="1"/>
  <c r="U87" i="13"/>
  <c r="X87" i="13" s="1"/>
  <c r="Z87" i="13" s="1"/>
  <c r="R79" i="15"/>
  <c r="U79" i="15" s="1"/>
  <c r="W79" i="15" s="1"/>
  <c r="U69" i="13"/>
  <c r="X69" i="13" s="1"/>
  <c r="Z69" i="13" s="1"/>
  <c r="S171" i="15"/>
  <c r="U171" i="15" s="1"/>
  <c r="W171" i="15" s="1"/>
  <c r="V163" i="13"/>
  <c r="S178" i="15"/>
  <c r="U178" i="15" s="1"/>
  <c r="W178" i="15" s="1"/>
  <c r="V174" i="13"/>
  <c r="E75" i="7"/>
  <c r="N75" i="7" s="1"/>
  <c r="W166" i="8"/>
  <c r="W299" i="8"/>
  <c r="R139" i="15"/>
  <c r="U139" i="15" s="1"/>
  <c r="W139" i="15" s="1"/>
  <c r="U130" i="13"/>
  <c r="X130" i="13" s="1"/>
  <c r="Z130" i="13" s="1"/>
  <c r="F392" i="6"/>
  <c r="N186" i="8"/>
  <c r="N216" i="8"/>
  <c r="W228" i="7"/>
  <c r="W155" i="8"/>
  <c r="W129" i="7"/>
  <c r="N49" i="7"/>
  <c r="V251" i="13"/>
  <c r="S221" i="15"/>
  <c r="U221" i="15" s="1"/>
  <c r="W221" i="15" s="1"/>
  <c r="N147" i="7"/>
  <c r="W147" i="7"/>
  <c r="W231" i="7"/>
  <c r="N231" i="7"/>
  <c r="N123" i="7"/>
  <c r="W123" i="7"/>
  <c r="N11" i="8"/>
  <c r="W11" i="8"/>
  <c r="R91" i="15"/>
  <c r="U91" i="15" s="1"/>
  <c r="W91" i="15" s="1"/>
  <c r="U80" i="13"/>
  <c r="X80" i="13" s="1"/>
  <c r="Z80" i="13" s="1"/>
  <c r="R68" i="15"/>
  <c r="U68" i="15" s="1"/>
  <c r="W68" i="15" s="1"/>
  <c r="U56" i="13"/>
  <c r="X56" i="13" s="1"/>
  <c r="Z56" i="13" s="1"/>
  <c r="C17" i="12"/>
  <c r="F17" i="12" s="1"/>
  <c r="W298" i="8"/>
  <c r="N298" i="8"/>
  <c r="R46" i="15"/>
  <c r="U46" i="15" s="1"/>
  <c r="W46" i="15" s="1"/>
  <c r="U34" i="13"/>
  <c r="X34" i="13" s="1"/>
  <c r="Z34" i="13" s="1"/>
  <c r="W233" i="8"/>
  <c r="N233" i="8"/>
  <c r="N187" i="7"/>
  <c r="W187" i="7"/>
  <c r="R209" i="15"/>
  <c r="U209" i="15" s="1"/>
  <c r="W209" i="15" s="1"/>
  <c r="U200" i="13"/>
  <c r="X200" i="13" s="1"/>
  <c r="Z200" i="13" s="1"/>
  <c r="N278" i="7"/>
  <c r="W278" i="7"/>
  <c r="N228" i="8"/>
  <c r="W228" i="8"/>
  <c r="W256" i="8"/>
  <c r="N256" i="8"/>
  <c r="R90" i="15"/>
  <c r="U90" i="15" s="1"/>
  <c r="W90" i="15" s="1"/>
  <c r="U79" i="13"/>
  <c r="X79" i="13" s="1"/>
  <c r="Z79" i="13" s="1"/>
  <c r="C16" i="12"/>
  <c r="F16" i="12" s="1"/>
  <c r="L86" i="6"/>
  <c r="E173" i="7"/>
  <c r="F20" i="7"/>
  <c r="X20" i="7" s="1"/>
  <c r="N21" i="8"/>
  <c r="W220" i="7"/>
  <c r="N220" i="7"/>
  <c r="W130" i="8"/>
  <c r="N130" i="8"/>
  <c r="L264" i="6"/>
  <c r="R260" i="15"/>
  <c r="U260" i="15" s="1"/>
  <c r="W260" i="15" s="1"/>
  <c r="U252" i="13"/>
  <c r="X252" i="13" s="1"/>
  <c r="Z252" i="13" s="1"/>
  <c r="W287" i="8"/>
  <c r="N287" i="8"/>
  <c r="R103" i="15"/>
  <c r="U103" i="15" s="1"/>
  <c r="W103" i="15" s="1"/>
  <c r="U92" i="13"/>
  <c r="X92" i="13" s="1"/>
  <c r="Z92" i="13" s="1"/>
  <c r="W129" i="8"/>
  <c r="N129" i="8"/>
  <c r="W137" i="7"/>
  <c r="N137" i="7"/>
  <c r="W73" i="8"/>
  <c r="W33" i="7"/>
  <c r="W237" i="7"/>
  <c r="N237" i="7"/>
  <c r="R105" i="15"/>
  <c r="U105" i="15" s="1"/>
  <c r="W105" i="15" s="1"/>
  <c r="U94" i="13"/>
  <c r="X94" i="13" s="1"/>
  <c r="Z94" i="13" s="1"/>
  <c r="W186" i="7"/>
  <c r="N186" i="7"/>
  <c r="W232" i="8"/>
  <c r="N232" i="8"/>
  <c r="E364" i="6"/>
  <c r="S282" i="15"/>
  <c r="U282" i="15" s="1"/>
  <c r="W282" i="15" s="1"/>
  <c r="V284" i="13"/>
  <c r="E244" i="7"/>
  <c r="F243" i="7" s="1"/>
  <c r="X243" i="7" s="1"/>
  <c r="W79" i="7"/>
  <c r="N94" i="7"/>
  <c r="W203" i="8"/>
  <c r="N203" i="8"/>
  <c r="E90" i="7"/>
  <c r="W90" i="7" s="1"/>
  <c r="N97" i="7"/>
  <c r="W226" i="7"/>
  <c r="W104" i="8"/>
  <c r="N104" i="8"/>
  <c r="E90" i="8"/>
  <c r="W90" i="8" s="1"/>
  <c r="E351" i="6"/>
  <c r="S169" i="15"/>
  <c r="U169" i="15" s="1"/>
  <c r="W24" i="7"/>
  <c r="N24" i="7"/>
  <c r="E352" i="6"/>
  <c r="E193" i="7"/>
  <c r="W193" i="7" s="1"/>
  <c r="W47" i="8"/>
  <c r="N263" i="8"/>
  <c r="F431" i="6"/>
  <c r="N283" i="8"/>
  <c r="W283" i="8"/>
  <c r="W217" i="8"/>
  <c r="N217" i="8"/>
  <c r="W215" i="8"/>
  <c r="N215" i="8"/>
  <c r="W235" i="7"/>
  <c r="N235" i="7"/>
  <c r="W96" i="8"/>
  <c r="N96" i="8"/>
  <c r="N252" i="8"/>
  <c r="W252" i="8"/>
  <c r="U305" i="13"/>
  <c r="X305" i="13" s="1"/>
  <c r="Z305" i="13" s="1"/>
  <c r="E195" i="7"/>
  <c r="N195" i="7" s="1"/>
  <c r="F20" i="8"/>
  <c r="X20" i="8" s="1"/>
  <c r="E194" i="7"/>
  <c r="W194" i="7" s="1"/>
  <c r="E193" i="8"/>
  <c r="W193" i="8" s="1"/>
  <c r="N107" i="8"/>
  <c r="N43" i="7"/>
  <c r="F395" i="6"/>
  <c r="R185" i="15"/>
  <c r="U185" i="15" s="1"/>
  <c r="W185" i="15" s="1"/>
  <c r="U176" i="13"/>
  <c r="X176" i="13" s="1"/>
  <c r="Z176" i="13" s="1"/>
  <c r="C9" i="12"/>
  <c r="F9" i="12" s="1"/>
  <c r="N251" i="8"/>
  <c r="W251" i="8"/>
  <c r="R192" i="15"/>
  <c r="U192" i="15" s="1"/>
  <c r="W192" i="15" s="1"/>
  <c r="U183" i="13"/>
  <c r="X183" i="13" s="1"/>
  <c r="Z183" i="13" s="1"/>
  <c r="E342" i="6"/>
  <c r="S50" i="15"/>
  <c r="U50" i="15" s="1"/>
  <c r="W50" i="15" s="1"/>
  <c r="V47" i="13"/>
  <c r="W36" i="7"/>
  <c r="N36" i="7"/>
  <c r="R29" i="15"/>
  <c r="U29" i="15" s="1"/>
  <c r="W29" i="15" s="1"/>
  <c r="U26" i="13"/>
  <c r="X26" i="13" s="1"/>
  <c r="Z26" i="13" s="1"/>
  <c r="N240" i="7"/>
  <c r="W240" i="7"/>
  <c r="N250" i="7"/>
  <c r="W250" i="7"/>
  <c r="E367" i="6"/>
  <c r="V302" i="13"/>
  <c r="E359" i="6"/>
  <c r="V213" i="13"/>
  <c r="E363" i="6"/>
  <c r="V274" i="13"/>
  <c r="X274" i="13" s="1"/>
  <c r="Z274" i="13" s="1"/>
  <c r="W258" i="7"/>
  <c r="N258" i="7"/>
  <c r="F391" i="6"/>
  <c r="V160" i="13"/>
  <c r="X160" i="13" s="1"/>
  <c r="Z160" i="13" s="1"/>
  <c r="N214" i="8"/>
  <c r="W214" i="8"/>
  <c r="K307" i="6"/>
  <c r="E170" i="7"/>
  <c r="N170" i="7" s="1"/>
  <c r="O169" i="7" s="1"/>
  <c r="E170" i="8"/>
  <c r="N170" i="8" s="1"/>
  <c r="O169" i="8" s="1"/>
  <c r="E350" i="6"/>
  <c r="F393" i="6"/>
  <c r="F401" i="6"/>
  <c r="F434" i="6"/>
  <c r="F399" i="6"/>
  <c r="N271" i="7"/>
  <c r="F397" i="6"/>
  <c r="N273" i="7"/>
  <c r="F432" i="6"/>
  <c r="F404" i="6"/>
  <c r="N115" i="7"/>
  <c r="W151" i="7"/>
  <c r="F406" i="6"/>
  <c r="F150" i="7"/>
  <c r="X150" i="7" s="1"/>
  <c r="N266" i="8"/>
  <c r="F436" i="6"/>
  <c r="F403" i="6"/>
  <c r="N183" i="8"/>
  <c r="W183" i="8"/>
  <c r="W111" i="8"/>
  <c r="N111" i="8"/>
  <c r="W70" i="7"/>
  <c r="N70" i="7"/>
  <c r="N19" i="8"/>
  <c r="W19" i="8"/>
  <c r="W177" i="8"/>
  <c r="N177" i="8"/>
  <c r="W19" i="7"/>
  <c r="N19" i="7"/>
  <c r="W244" i="8"/>
  <c r="N244" i="8"/>
  <c r="N86" i="8"/>
  <c r="W86" i="8"/>
  <c r="N59" i="8"/>
  <c r="W59" i="8"/>
  <c r="W128" i="7"/>
  <c r="N128" i="7"/>
  <c r="N99" i="8"/>
  <c r="W99" i="8"/>
  <c r="W195" i="8"/>
  <c r="N195" i="8"/>
  <c r="N86" i="7"/>
  <c r="W86" i="7"/>
  <c r="N59" i="7"/>
  <c r="W59" i="7"/>
  <c r="N142" i="7"/>
  <c r="W142" i="7"/>
  <c r="W38" i="8"/>
  <c r="N38" i="8"/>
  <c r="W142" i="8"/>
  <c r="N142" i="8"/>
  <c r="W38" i="7"/>
  <c r="N38" i="7"/>
  <c r="W194" i="8"/>
  <c r="N194" i="8"/>
  <c r="W54" i="8"/>
  <c r="N54" i="8"/>
  <c r="N191" i="7"/>
  <c r="W191" i="7"/>
  <c r="N223" i="7"/>
  <c r="W223" i="7"/>
  <c r="W236" i="8"/>
  <c r="N236" i="8"/>
  <c r="N87" i="7"/>
  <c r="W87" i="7"/>
  <c r="W64" i="8"/>
  <c r="N64" i="8"/>
  <c r="N110" i="7"/>
  <c r="W110" i="7"/>
  <c r="N54" i="7"/>
  <c r="W54" i="7"/>
  <c r="W191" i="8"/>
  <c r="N191" i="8"/>
  <c r="W223" i="8"/>
  <c r="N223" i="8"/>
  <c r="N236" i="7"/>
  <c r="W236" i="7"/>
  <c r="W87" i="8"/>
  <c r="N87" i="8"/>
  <c r="W110" i="8"/>
  <c r="N110" i="8"/>
  <c r="N100" i="8"/>
  <c r="W100" i="8"/>
  <c r="W175" i="8"/>
  <c r="N175" i="8"/>
  <c r="F44" i="8"/>
  <c r="X44" i="8" s="1"/>
  <c r="W45" i="8"/>
  <c r="N45" i="8"/>
  <c r="W134" i="7"/>
  <c r="N134" i="7"/>
  <c r="W89" i="7"/>
  <c r="N89" i="7"/>
  <c r="W45" i="7"/>
  <c r="F44" i="7"/>
  <c r="X44" i="7" s="1"/>
  <c r="N45" i="7"/>
  <c r="W134" i="8"/>
  <c r="N134" i="8"/>
  <c r="N89" i="8"/>
  <c r="W89" i="8"/>
  <c r="E91" i="8"/>
  <c r="E91" i="7"/>
  <c r="N135" i="7"/>
  <c r="W135" i="7"/>
  <c r="N190" i="7"/>
  <c r="W190" i="7"/>
  <c r="F286" i="7"/>
  <c r="X286" i="7" s="1"/>
  <c r="W135" i="8"/>
  <c r="N135" i="8"/>
  <c r="W190" i="8"/>
  <c r="N190" i="8"/>
  <c r="W211" i="7"/>
  <c r="N211" i="7"/>
  <c r="W153" i="7"/>
  <c r="N153" i="7"/>
  <c r="N184" i="7"/>
  <c r="W184" i="7"/>
  <c r="W88" i="8"/>
  <c r="N88" i="8"/>
  <c r="W211" i="8"/>
  <c r="N211" i="8"/>
  <c r="F418" i="6"/>
  <c r="E108" i="8"/>
  <c r="E108" i="7"/>
  <c r="W262" i="8"/>
  <c r="N262" i="8"/>
  <c r="N112" i="7"/>
  <c r="W112" i="7"/>
  <c r="W153" i="8"/>
  <c r="N153" i="8"/>
  <c r="W184" i="8"/>
  <c r="N184" i="8"/>
  <c r="N41" i="8"/>
  <c r="W41" i="8"/>
  <c r="N18" i="8"/>
  <c r="W18" i="8"/>
  <c r="N37" i="8"/>
  <c r="W37" i="8"/>
  <c r="W262" i="7"/>
  <c r="N262" i="7"/>
  <c r="F261" i="7"/>
  <c r="X261" i="7" s="1"/>
  <c r="W112" i="8"/>
  <c r="N112" i="8"/>
  <c r="W41" i="7"/>
  <c r="N41" i="7"/>
  <c r="W18" i="7"/>
  <c r="N18" i="7"/>
  <c r="N37" i="7"/>
  <c r="W37" i="7"/>
  <c r="N113" i="7"/>
  <c r="W113" i="7"/>
  <c r="N114" i="7"/>
  <c r="W114" i="7"/>
  <c r="N152" i="7"/>
  <c r="W152" i="7"/>
  <c r="N116" i="7"/>
  <c r="W116" i="7"/>
  <c r="W113" i="8"/>
  <c r="N113" i="8"/>
  <c r="W114" i="8"/>
  <c r="N114" i="8"/>
  <c r="W76" i="7"/>
  <c r="N76" i="7"/>
  <c r="N224" i="7"/>
  <c r="W224" i="7"/>
  <c r="W95" i="7"/>
  <c r="N95" i="7"/>
  <c r="W152" i="8"/>
  <c r="F150" i="8"/>
  <c r="X150" i="8" s="1"/>
  <c r="N152" i="8"/>
  <c r="W116" i="8"/>
  <c r="N116" i="8"/>
  <c r="N58" i="8"/>
  <c r="W58" i="8"/>
  <c r="N164" i="8"/>
  <c r="W164" i="8"/>
  <c r="W224" i="8"/>
  <c r="N224" i="8"/>
  <c r="W95" i="8"/>
  <c r="N95" i="8"/>
  <c r="N185" i="7"/>
  <c r="W185" i="7"/>
  <c r="W10" i="8"/>
  <c r="N10" i="8"/>
  <c r="N140" i="7"/>
  <c r="O139" i="7" s="1"/>
  <c r="W140" i="7"/>
  <c r="F139" i="7"/>
  <c r="X139" i="7" s="1"/>
  <c r="W164" i="7"/>
  <c r="N164" i="7"/>
  <c r="W117" i="7"/>
  <c r="N117" i="7"/>
  <c r="W212" i="7"/>
  <c r="N212" i="7"/>
  <c r="W185" i="8"/>
  <c r="N185" i="8"/>
  <c r="N10" i="7"/>
  <c r="W10" i="7"/>
  <c r="W109" i="7"/>
  <c r="N109" i="7"/>
  <c r="W213" i="7"/>
  <c r="N213" i="7"/>
  <c r="N136" i="7"/>
  <c r="W136" i="7"/>
  <c r="W117" i="8"/>
  <c r="N117" i="8"/>
  <c r="W212" i="8"/>
  <c r="N212" i="8"/>
  <c r="N109" i="8"/>
  <c r="W109" i="8"/>
  <c r="W213" i="8"/>
  <c r="N213" i="8"/>
  <c r="W136" i="8"/>
  <c r="N136" i="8"/>
  <c r="W158" i="7"/>
  <c r="N158" i="7"/>
  <c r="N83" i="7"/>
  <c r="W83" i="7"/>
  <c r="N160" i="8"/>
  <c r="W160" i="8"/>
  <c r="N183" i="7"/>
  <c r="W183" i="7"/>
  <c r="N111" i="7"/>
  <c r="W111" i="7"/>
  <c r="W70" i="8"/>
  <c r="N70" i="8"/>
  <c r="N158" i="8"/>
  <c r="O156" i="8" s="1"/>
  <c r="W158" i="8"/>
  <c r="F156" i="8"/>
  <c r="X156" i="8" s="1"/>
  <c r="W160" i="7"/>
  <c r="N160" i="7"/>
  <c r="N296" i="7"/>
  <c r="W296" i="7"/>
  <c r="W296" i="8"/>
  <c r="N296" i="8"/>
  <c r="W84" i="8"/>
  <c r="N84" i="8"/>
  <c r="N84" i="7"/>
  <c r="W84" i="7"/>
  <c r="N67" i="7"/>
  <c r="W67" i="7"/>
  <c r="N67" i="8"/>
  <c r="W67" i="8"/>
  <c r="N297" i="7"/>
  <c r="W297" i="7"/>
  <c r="W297" i="8"/>
  <c r="N297" i="8"/>
  <c r="N66" i="7"/>
  <c r="W66" i="7"/>
  <c r="W66" i="8"/>
  <c r="N66" i="8"/>
  <c r="N189" i="8"/>
  <c r="W189" i="8"/>
  <c r="F188" i="8"/>
  <c r="X188" i="8" s="1"/>
  <c r="N189" i="7"/>
  <c r="W189" i="7"/>
  <c r="F188" i="7"/>
  <c r="X188" i="7" s="1"/>
  <c r="W230" i="8"/>
  <c r="N230" i="8"/>
  <c r="W230" i="7"/>
  <c r="N230" i="7"/>
  <c r="N274" i="7"/>
  <c r="W274" i="7"/>
  <c r="N274" i="8"/>
  <c r="W274" i="8"/>
  <c r="W272" i="7"/>
  <c r="N272" i="7"/>
  <c r="F196" i="8"/>
  <c r="X196" i="8" s="1"/>
  <c r="W197" i="8"/>
  <c r="N197" i="8"/>
  <c r="W272" i="8"/>
  <c r="N272" i="8"/>
  <c r="W197" i="7"/>
  <c r="N197" i="7"/>
  <c r="F196" i="7"/>
  <c r="X196" i="7" s="1"/>
  <c r="W205" i="8"/>
  <c r="N205" i="8"/>
  <c r="N219" i="8"/>
  <c r="W219" i="8"/>
  <c r="N205" i="7"/>
  <c r="W205" i="7"/>
  <c r="N219" i="7"/>
  <c r="W219" i="7"/>
  <c r="W267" i="7"/>
  <c r="N267" i="7"/>
  <c r="F265" i="7"/>
  <c r="X265" i="7" s="1"/>
  <c r="W267" i="8"/>
  <c r="N267" i="8"/>
  <c r="F265" i="8"/>
  <c r="X265" i="8" s="1"/>
  <c r="W268" i="7"/>
  <c r="N268" i="7"/>
  <c r="N268" i="8"/>
  <c r="W268" i="8"/>
  <c r="W269" i="7"/>
  <c r="N269" i="7"/>
  <c r="N269" i="8"/>
  <c r="W269" i="8"/>
  <c r="N181" i="7"/>
  <c r="W181" i="7"/>
  <c r="W181" i="8"/>
  <c r="N181" i="8"/>
  <c r="W270" i="7"/>
  <c r="N270" i="7"/>
  <c r="W270" i="8"/>
  <c r="N270" i="8"/>
  <c r="E14" i="8"/>
  <c r="E14" i="7"/>
  <c r="L44" i="6"/>
  <c r="E31" i="7"/>
  <c r="F29" i="7" s="1"/>
  <c r="X29" i="7" s="1"/>
  <c r="E31" i="8"/>
  <c r="F29" i="8" s="1"/>
  <c r="X29" i="8" s="1"/>
  <c r="L73" i="6"/>
  <c r="E63" i="8"/>
  <c r="E63" i="7"/>
  <c r="W92" i="7"/>
  <c r="N92" i="7"/>
  <c r="W92" i="8"/>
  <c r="N92" i="8"/>
  <c r="W146" i="7"/>
  <c r="N146" i="7"/>
  <c r="N146" i="8"/>
  <c r="W146" i="8"/>
  <c r="N291" i="7"/>
  <c r="W291" i="7"/>
  <c r="W291" i="8"/>
  <c r="N291" i="8"/>
  <c r="F286" i="8"/>
  <c r="X286" i="8" s="1"/>
  <c r="W218" i="7"/>
  <c r="N218" i="7"/>
  <c r="N218" i="8"/>
  <c r="W218" i="8"/>
  <c r="W165" i="8"/>
  <c r="N165" i="8"/>
  <c r="F163" i="8"/>
  <c r="X163" i="8" s="1"/>
  <c r="W165" i="7"/>
  <c r="F163" i="7"/>
  <c r="X163" i="7" s="1"/>
  <c r="N165" i="7"/>
  <c r="N167" i="7"/>
  <c r="W167" i="7"/>
  <c r="W167" i="8"/>
  <c r="N167" i="8"/>
  <c r="W143" i="8"/>
  <c r="N143" i="8"/>
  <c r="W105" i="8"/>
  <c r="N105" i="8"/>
  <c r="N105" i="7"/>
  <c r="W105" i="7"/>
  <c r="W75" i="8"/>
  <c r="N75" i="8"/>
  <c r="N42" i="7"/>
  <c r="F35" i="7"/>
  <c r="X35" i="7" s="1"/>
  <c r="W42" i="7"/>
  <c r="W42" i="8"/>
  <c r="N42" i="8"/>
  <c r="F35" i="8"/>
  <c r="X35" i="8" s="1"/>
  <c r="B291" i="7"/>
  <c r="B291" i="8"/>
  <c r="N30" i="7"/>
  <c r="W30" i="7"/>
  <c r="W30" i="8"/>
  <c r="N30" i="8"/>
  <c r="N225" i="7"/>
  <c r="F206" i="7"/>
  <c r="X206" i="7" s="1"/>
  <c r="W225" i="7"/>
  <c r="W225" i="8"/>
  <c r="N225" i="8"/>
  <c r="F206" i="8"/>
  <c r="X206" i="8" s="1"/>
  <c r="W133" i="8"/>
  <c r="N133" i="8"/>
  <c r="W133" i="7"/>
  <c r="N133" i="7"/>
  <c r="F383" i="6"/>
  <c r="L101" i="6"/>
  <c r="S100" i="15" s="1"/>
  <c r="U100" i="15" s="1"/>
  <c r="W100" i="15" s="1"/>
  <c r="E354" i="6"/>
  <c r="F394" i="6"/>
  <c r="L24" i="6"/>
  <c r="F433" i="6"/>
  <c r="E360" i="6"/>
  <c r="F400" i="6"/>
  <c r="F398" i="6"/>
  <c r="S10" i="4"/>
  <c r="S9" i="4"/>
  <c r="G251" i="4" s="1"/>
  <c r="X302" i="13" l="1"/>
  <c r="Z302" i="13" s="1"/>
  <c r="D302" i="13"/>
  <c r="X213" i="13"/>
  <c r="Z213" i="13" s="1"/>
  <c r="D213" i="13"/>
  <c r="N143" i="7"/>
  <c r="E348" i="6"/>
  <c r="X284" i="13"/>
  <c r="Z284" i="13" s="1"/>
  <c r="D284" i="13"/>
  <c r="X156" i="13"/>
  <c r="Z156" i="13" s="1"/>
  <c r="D156" i="13"/>
  <c r="X47" i="13"/>
  <c r="Z47" i="13" s="1"/>
  <c r="D47" i="13"/>
  <c r="S207" i="15"/>
  <c r="U207" i="15" s="1"/>
  <c r="W207" i="15" s="1"/>
  <c r="V203" i="13"/>
  <c r="D203" i="13" s="1"/>
  <c r="X167" i="13"/>
  <c r="Z167" i="13" s="1"/>
  <c r="D167" i="13"/>
  <c r="X163" i="13"/>
  <c r="Z163" i="13" s="1"/>
  <c r="D163" i="13"/>
  <c r="O156" i="7"/>
  <c r="X174" i="13"/>
  <c r="Z174" i="13" s="1"/>
  <c r="D174" i="13"/>
  <c r="X251" i="13"/>
  <c r="Z251" i="13" s="1"/>
  <c r="D251" i="13"/>
  <c r="F388" i="6"/>
  <c r="W161" i="8"/>
  <c r="N161" i="8"/>
  <c r="N161" i="7"/>
  <c r="O159" i="7" s="1"/>
  <c r="F69" i="8"/>
  <c r="X69" i="8" s="1"/>
  <c r="W161" i="7"/>
  <c r="F141" i="7"/>
  <c r="X141" i="7" s="1"/>
  <c r="N76" i="8"/>
  <c r="W76" i="8"/>
  <c r="W65" i="7"/>
  <c r="V61" i="13"/>
  <c r="W173" i="8"/>
  <c r="N83" i="8"/>
  <c r="W177" i="7"/>
  <c r="W53" i="7"/>
  <c r="F384" i="6"/>
  <c r="E343" i="6"/>
  <c r="N99" i="7"/>
  <c r="F192" i="7"/>
  <c r="X192" i="7" s="1"/>
  <c r="N193" i="7"/>
  <c r="W195" i="7"/>
  <c r="W144" i="7"/>
  <c r="N46" i="7"/>
  <c r="W58" i="7"/>
  <c r="W53" i="8"/>
  <c r="O275" i="8"/>
  <c r="N144" i="8"/>
  <c r="O141" i="8" s="1"/>
  <c r="F390" i="6"/>
  <c r="W144" i="8"/>
  <c r="E349" i="6"/>
  <c r="N100" i="7"/>
  <c r="F426" i="6"/>
  <c r="N90" i="7"/>
  <c r="N124" i="8"/>
  <c r="O20" i="7"/>
  <c r="O275" i="7"/>
  <c r="S156" i="15"/>
  <c r="U156" i="15" s="1"/>
  <c r="W156" i="15" s="1"/>
  <c r="E347" i="6"/>
  <c r="O20" i="8"/>
  <c r="F139" i="8"/>
  <c r="X139" i="8" s="1"/>
  <c r="W46" i="8"/>
  <c r="W124" i="7"/>
  <c r="W140" i="8"/>
  <c r="W175" i="7"/>
  <c r="V145" i="13"/>
  <c r="O261" i="7"/>
  <c r="N193" i="8"/>
  <c r="O192" i="8" s="1"/>
  <c r="N64" i="7"/>
  <c r="N172" i="7"/>
  <c r="F122" i="7"/>
  <c r="X122" i="7" s="1"/>
  <c r="N128" i="8"/>
  <c r="W75" i="7"/>
  <c r="F122" i="8"/>
  <c r="X122" i="8" s="1"/>
  <c r="W174" i="7"/>
  <c r="N194" i="7"/>
  <c r="N172" i="8"/>
  <c r="O171" i="8" s="1"/>
  <c r="F171" i="7"/>
  <c r="X171" i="7" s="1"/>
  <c r="F69" i="7"/>
  <c r="X69" i="7" s="1"/>
  <c r="F192" i="8"/>
  <c r="X192" i="8" s="1"/>
  <c r="S154" i="15"/>
  <c r="U154" i="15" s="1"/>
  <c r="W154" i="15" s="1"/>
  <c r="V147" i="13"/>
  <c r="E345" i="6"/>
  <c r="S84" i="15"/>
  <c r="U84" i="15" s="1"/>
  <c r="W84" i="15" s="1"/>
  <c r="V89" i="13"/>
  <c r="E341" i="6"/>
  <c r="S44" i="15"/>
  <c r="U44" i="15" s="1"/>
  <c r="W44" i="15" s="1"/>
  <c r="V38" i="13"/>
  <c r="O243" i="8"/>
  <c r="E344" i="6"/>
  <c r="S72" i="15"/>
  <c r="U72" i="15" s="1"/>
  <c r="W72" i="15" s="1"/>
  <c r="V74" i="13"/>
  <c r="V194" i="13"/>
  <c r="S186" i="15"/>
  <c r="U186" i="15" s="1"/>
  <c r="W186" i="15" s="1"/>
  <c r="F396" i="6"/>
  <c r="O261" i="8"/>
  <c r="N88" i="7"/>
  <c r="N244" i="7"/>
  <c r="O243" i="7" s="1"/>
  <c r="W244" i="7"/>
  <c r="N173" i="7"/>
  <c r="W173" i="7"/>
  <c r="V268" i="13"/>
  <c r="S259" i="15"/>
  <c r="U259" i="15" s="1"/>
  <c r="W259" i="15" s="1"/>
  <c r="E361" i="6"/>
  <c r="W174" i="8"/>
  <c r="N65" i="8"/>
  <c r="N90" i="8"/>
  <c r="E355" i="6"/>
  <c r="S184" i="15"/>
  <c r="U184" i="15" s="1"/>
  <c r="W184" i="15" s="1"/>
  <c r="V177" i="13"/>
  <c r="F171" i="8"/>
  <c r="X171" i="8" s="1"/>
  <c r="F386" i="6"/>
  <c r="L306" i="6"/>
  <c r="L341" i="6" s="1"/>
  <c r="S24" i="15"/>
  <c r="U24" i="15" s="1"/>
  <c r="W24" i="15" s="1"/>
  <c r="V32" i="13"/>
  <c r="U285" i="13"/>
  <c r="X285" i="13" s="1"/>
  <c r="Z285" i="13" s="1"/>
  <c r="R302" i="15"/>
  <c r="U302" i="15" s="1"/>
  <c r="W302" i="15" s="1"/>
  <c r="U286" i="13"/>
  <c r="X286" i="13" s="1"/>
  <c r="Z286" i="13" s="1"/>
  <c r="E346" i="6"/>
  <c r="V128" i="13"/>
  <c r="W170" i="8"/>
  <c r="F169" i="8"/>
  <c r="X169" i="8" s="1"/>
  <c r="F169" i="7"/>
  <c r="X169" i="7" s="1"/>
  <c r="W170" i="7"/>
  <c r="F385" i="6"/>
  <c r="F382" i="6"/>
  <c r="F447" i="6"/>
  <c r="O35" i="8"/>
  <c r="O44" i="7"/>
  <c r="O150" i="8"/>
  <c r="O188" i="7"/>
  <c r="O159" i="8"/>
  <c r="O188" i="8"/>
  <c r="O286" i="7"/>
  <c r="N108" i="7"/>
  <c r="W108" i="7"/>
  <c r="W108" i="8"/>
  <c r="N108" i="8"/>
  <c r="O122" i="7"/>
  <c r="O35" i="7"/>
  <c r="O44" i="8"/>
  <c r="O206" i="8"/>
  <c r="O150" i="7"/>
  <c r="O69" i="7"/>
  <c r="N91" i="7"/>
  <c r="W91" i="7"/>
  <c r="N91" i="8"/>
  <c r="W91" i="8"/>
  <c r="O206" i="7"/>
  <c r="F85" i="8"/>
  <c r="X85" i="8" s="1"/>
  <c r="F85" i="7"/>
  <c r="X85" i="7" s="1"/>
  <c r="O286" i="8"/>
  <c r="O196" i="7"/>
  <c r="O141" i="7"/>
  <c r="O196" i="8"/>
  <c r="O265" i="8"/>
  <c r="O265" i="7"/>
  <c r="W63" i="7"/>
  <c r="N63" i="7"/>
  <c r="F57" i="7"/>
  <c r="X57" i="7" s="1"/>
  <c r="W63" i="8"/>
  <c r="N63" i="8"/>
  <c r="F57" i="8"/>
  <c r="X57" i="8" s="1"/>
  <c r="N31" i="7"/>
  <c r="O29" i="7" s="1"/>
  <c r="W31" i="7"/>
  <c r="N31" i="8"/>
  <c r="O29" i="8" s="1"/>
  <c r="W31" i="8"/>
  <c r="W14" i="7"/>
  <c r="N14" i="7"/>
  <c r="O9" i="7" s="1"/>
  <c r="F9" i="7"/>
  <c r="X9" i="7" s="1"/>
  <c r="W14" i="8"/>
  <c r="N14" i="8"/>
  <c r="O9" i="8" s="1"/>
  <c r="F9" i="8"/>
  <c r="X9" i="8" s="1"/>
  <c r="O163" i="7"/>
  <c r="O163" i="8"/>
  <c r="H291" i="8"/>
  <c r="H291" i="7"/>
  <c r="F387" i="6"/>
  <c r="L326" i="6"/>
  <c r="E304" i="7"/>
  <c r="E304" i="8"/>
  <c r="E285" i="7"/>
  <c r="E285" i="8"/>
  <c r="E339" i="6"/>
  <c r="F381" i="6"/>
  <c r="G240" i="4"/>
  <c r="X38" i="13" l="1"/>
  <c r="Z38" i="13" s="1"/>
  <c r="D38" i="13"/>
  <c r="X89" i="13"/>
  <c r="Z89" i="13" s="1"/>
  <c r="D89" i="13"/>
  <c r="X203" i="13"/>
  <c r="Z203" i="13" s="1"/>
  <c r="X194" i="13"/>
  <c r="Z194" i="13" s="1"/>
  <c r="D194" i="13"/>
  <c r="X177" i="13"/>
  <c r="Z177" i="13" s="1"/>
  <c r="D177" i="13"/>
  <c r="X147" i="13"/>
  <c r="Z147" i="13" s="1"/>
  <c r="D147" i="13"/>
  <c r="X74" i="13"/>
  <c r="Z74" i="13" s="1"/>
  <c r="D74" i="13"/>
  <c r="X61" i="13"/>
  <c r="Z61" i="13" s="1"/>
  <c r="D61" i="13"/>
  <c r="X32" i="13"/>
  <c r="Z32" i="13" s="1"/>
  <c r="D32" i="13"/>
  <c r="X128" i="13"/>
  <c r="Z128" i="13" s="1"/>
  <c r="D128" i="13"/>
  <c r="X145" i="13"/>
  <c r="Z145" i="13" s="1"/>
  <c r="D145" i="13"/>
  <c r="X268" i="13"/>
  <c r="Z268" i="13" s="1"/>
  <c r="D268" i="13"/>
  <c r="O69" i="8"/>
  <c r="O192" i="7"/>
  <c r="O122" i="8"/>
  <c r="O57" i="7"/>
  <c r="O171" i="7"/>
  <c r="O57" i="8"/>
  <c r="J21" i="6"/>
  <c r="K21" i="6" s="1"/>
  <c r="U303" i="13"/>
  <c r="X303" i="13" s="1"/>
  <c r="Z303" i="13" s="1"/>
  <c r="E366" i="6"/>
  <c r="V287" i="13"/>
  <c r="E369" i="6"/>
  <c r="V306" i="13"/>
  <c r="O85" i="8"/>
  <c r="O85" i="7"/>
  <c r="F405" i="6"/>
  <c r="W285" i="8"/>
  <c r="N285" i="8"/>
  <c r="F284" i="8"/>
  <c r="W304" i="7"/>
  <c r="F303" i="7"/>
  <c r="X303" i="7" s="1"/>
  <c r="N304" i="7"/>
  <c r="O303" i="7" s="1"/>
  <c r="N285" i="7"/>
  <c r="W285" i="7"/>
  <c r="F284" i="7"/>
  <c r="F303" i="8"/>
  <c r="X303" i="8" s="1"/>
  <c r="N304" i="8"/>
  <c r="O303" i="8" s="1"/>
  <c r="W304" i="8"/>
  <c r="G147" i="4"/>
  <c r="H113" i="4"/>
  <c r="H27" i="4"/>
  <c r="X306" i="13" l="1"/>
  <c r="Z306" i="13" s="1"/>
  <c r="D306" i="13"/>
  <c r="X287" i="13"/>
  <c r="Z287" i="13" s="1"/>
  <c r="D287" i="13"/>
  <c r="E6" i="8"/>
  <c r="N6" i="8" s="1"/>
  <c r="L20" i="6"/>
  <c r="V20" i="13" s="1"/>
  <c r="D20" i="13" s="1"/>
  <c r="E6" i="7"/>
  <c r="N6" i="7" s="1"/>
  <c r="E302" i="8"/>
  <c r="W302" i="8" s="1"/>
  <c r="E302" i="7"/>
  <c r="W302" i="7" s="1"/>
  <c r="L324" i="6"/>
  <c r="V304" i="13" s="1"/>
  <c r="X284" i="7"/>
  <c r="O284" i="7"/>
  <c r="F408" i="6"/>
  <c r="O284" i="8"/>
  <c r="X284" i="8"/>
  <c r="G179" i="4"/>
  <c r="G289" i="4"/>
  <c r="G288" i="4"/>
  <c r="G287" i="4"/>
  <c r="G286" i="4"/>
  <c r="G285" i="4"/>
  <c r="G284" i="4"/>
  <c r="G283" i="4"/>
  <c r="G282" i="4"/>
  <c r="G281" i="4"/>
  <c r="G245" i="4"/>
  <c r="G197" i="4"/>
  <c r="G196" i="4"/>
  <c r="J175" i="4"/>
  <c r="G148" i="4"/>
  <c r="X304" i="13" l="1"/>
  <c r="Z304" i="13" s="1"/>
  <c r="D304" i="13"/>
  <c r="R326" i="15"/>
  <c r="U326" i="15" s="1"/>
  <c r="W326" i="15" s="1"/>
  <c r="U307" i="13"/>
  <c r="R325" i="15"/>
  <c r="U325" i="15" s="1"/>
  <c r="W325" i="15" s="1"/>
  <c r="X307" i="13"/>
  <c r="Z307" i="13" s="1"/>
  <c r="F379" i="6"/>
  <c r="X20" i="13"/>
  <c r="Z20" i="13" s="1"/>
  <c r="F5" i="7"/>
  <c r="O5" i="7" s="1"/>
  <c r="W6" i="7"/>
  <c r="W6" i="8"/>
  <c r="F5" i="8"/>
  <c r="X5" i="8" s="1"/>
  <c r="E337" i="6"/>
  <c r="E368" i="6"/>
  <c r="E306" i="8"/>
  <c r="W306" i="8" s="1"/>
  <c r="E306" i="7"/>
  <c r="N306" i="7" s="1"/>
  <c r="N302" i="7"/>
  <c r="O301" i="7" s="1"/>
  <c r="F301" i="7"/>
  <c r="X301" i="7" s="1"/>
  <c r="N302" i="8"/>
  <c r="O301" i="8" s="1"/>
  <c r="F301" i="8"/>
  <c r="X301" i="8" s="1"/>
  <c r="G124" i="4"/>
  <c r="U312" i="13" l="1"/>
  <c r="R324" i="15"/>
  <c r="S323" i="15" s="1"/>
  <c r="U308" i="13"/>
  <c r="X308" i="13" s="1"/>
  <c r="Z308" i="13" s="1"/>
  <c r="X5" i="7"/>
  <c r="O5" i="8"/>
  <c r="U309" i="13"/>
  <c r="X309" i="13" s="1"/>
  <c r="Z309" i="13" s="1"/>
  <c r="U311" i="13"/>
  <c r="X311" i="13" s="1"/>
  <c r="Z311" i="13" s="1"/>
  <c r="E308" i="8"/>
  <c r="N308" i="8" s="1"/>
  <c r="E308" i="7"/>
  <c r="N308" i="7" s="1"/>
  <c r="W306" i="7"/>
  <c r="N306" i="8"/>
  <c r="E307" i="8"/>
  <c r="W307" i="8" s="1"/>
  <c r="E307" i="7"/>
  <c r="N307" i="7" s="1"/>
  <c r="L328" i="6"/>
  <c r="E370" i="6" s="1"/>
  <c r="U317" i="13" l="1"/>
  <c r="U324" i="15"/>
  <c r="W324" i="15" s="1"/>
  <c r="X312" i="13"/>
  <c r="Z312" i="13" s="1"/>
  <c r="U316" i="13"/>
  <c r="U318" i="13" s="1"/>
  <c r="U323" i="15"/>
  <c r="W323" i="15" s="1"/>
  <c r="S330" i="15"/>
  <c r="F305" i="7"/>
  <c r="X305" i="7" s="1"/>
  <c r="W308" i="7"/>
  <c r="E310" i="7"/>
  <c r="N310" i="7" s="1"/>
  <c r="N312" i="7" s="1"/>
  <c r="E310" i="8"/>
  <c r="E312" i="8" s="1"/>
  <c r="W312" i="8" s="1"/>
  <c r="W307" i="7"/>
  <c r="N307" i="8"/>
  <c r="O305" i="8" s="1"/>
  <c r="F305" i="8"/>
  <c r="X305" i="8" s="1"/>
  <c r="W308" i="8"/>
  <c r="L332" i="6"/>
  <c r="E371" i="6" s="1"/>
  <c r="V310" i="13"/>
  <c r="D310" i="13" s="1"/>
  <c r="F407" i="6"/>
  <c r="F409" i="6"/>
  <c r="E312" i="7"/>
  <c r="W312" i="7" s="1"/>
  <c r="O305" i="7"/>
  <c r="G99" i="4"/>
  <c r="X310" i="13" l="1"/>
  <c r="Z310" i="13" s="1"/>
  <c r="N310" i="8"/>
  <c r="N312" i="8" s="1"/>
  <c r="F309" i="8"/>
  <c r="O309" i="8" s="1"/>
  <c r="O311" i="8" s="1"/>
  <c r="W310" i="8"/>
  <c r="M15" i="15"/>
  <c r="U330" i="15"/>
  <c r="W330" i="15" s="1"/>
  <c r="L335" i="6"/>
  <c r="W310" i="7"/>
  <c r="F309" i="7"/>
  <c r="O309" i="7" s="1"/>
  <c r="O311" i="7" s="1"/>
  <c r="V313" i="13"/>
  <c r="F410" i="6"/>
  <c r="F311" i="8"/>
  <c r="X311" i="8" s="1"/>
  <c r="G107" i="4"/>
  <c r="E372" i="6" l="1"/>
  <c r="E373" i="6" s="1"/>
  <c r="L342" i="6"/>
  <c r="X313" i="13"/>
  <c r="Z313" i="13" s="1"/>
  <c r="D313" i="13"/>
  <c r="V316" i="13"/>
  <c r="X309" i="8"/>
  <c r="M16" i="15"/>
  <c r="N16" i="15" s="1"/>
  <c r="N15" i="15"/>
  <c r="O15" i="15" s="1"/>
  <c r="M17" i="15"/>
  <c r="N17" i="15" s="1"/>
  <c r="V314" i="13"/>
  <c r="D314" i="13" s="1"/>
  <c r="C29" i="12"/>
  <c r="B27" i="12" s="1"/>
  <c r="J14" i="6"/>
  <c r="J16" i="6" s="1"/>
  <c r="L336" i="6"/>
  <c r="F411" i="6"/>
  <c r="F311" i="7"/>
  <c r="X311" i="7" s="1"/>
  <c r="X309" i="7"/>
  <c r="G53" i="4"/>
  <c r="G52" i="4"/>
  <c r="G45" i="4"/>
  <c r="J6" i="4"/>
  <c r="F468" i="4"/>
  <c r="F464" i="4"/>
  <c r="F462" i="4"/>
  <c r="F433" i="4"/>
  <c r="F432" i="4"/>
  <c r="J315" i="4"/>
  <c r="K315" i="4" s="1"/>
  <c r="J314" i="4"/>
  <c r="K314" i="4" s="1"/>
  <c r="J313" i="4"/>
  <c r="K313" i="4" s="1"/>
  <c r="J312" i="4"/>
  <c r="K312" i="4" s="1"/>
  <c r="J311" i="4"/>
  <c r="K311" i="4" s="1"/>
  <c r="J310" i="4"/>
  <c r="K310" i="4" s="1"/>
  <c r="J309" i="4"/>
  <c r="K309" i="4" s="1"/>
  <c r="J308" i="4"/>
  <c r="K308" i="4" s="1"/>
  <c r="J307" i="4"/>
  <c r="K307" i="4" s="1"/>
  <c r="F517" i="4"/>
  <c r="J305" i="4"/>
  <c r="K305" i="4" s="1"/>
  <c r="J304" i="4"/>
  <c r="K304" i="4" s="1"/>
  <c r="J303" i="4"/>
  <c r="K303" i="4" s="1"/>
  <c r="J302" i="4"/>
  <c r="K302" i="4" s="1"/>
  <c r="J298" i="4"/>
  <c r="K298" i="4" s="1"/>
  <c r="J297" i="4"/>
  <c r="K297" i="4" s="1"/>
  <c r="J296" i="4"/>
  <c r="K296" i="4" s="1"/>
  <c r="J295" i="4"/>
  <c r="K295" i="4" s="1"/>
  <c r="J294" i="4"/>
  <c r="K294" i="4" s="1"/>
  <c r="J293" i="4"/>
  <c r="K293" i="4" s="1"/>
  <c r="J292" i="4"/>
  <c r="K292" i="4" s="1"/>
  <c r="J291" i="4"/>
  <c r="K291" i="4" s="1"/>
  <c r="J289" i="4"/>
  <c r="K289" i="4" s="1"/>
  <c r="J288" i="4"/>
  <c r="K288" i="4" s="1"/>
  <c r="J287" i="4"/>
  <c r="K287" i="4" s="1"/>
  <c r="J286" i="4"/>
  <c r="K286" i="4" s="1"/>
  <c r="J285" i="4"/>
  <c r="K285" i="4" s="1"/>
  <c r="J284" i="4"/>
  <c r="K284" i="4" s="1"/>
  <c r="J283" i="4"/>
  <c r="K283" i="4" s="1"/>
  <c r="J282" i="4"/>
  <c r="K282" i="4" s="1"/>
  <c r="J281" i="4"/>
  <c r="K281" i="4" s="1"/>
  <c r="J279" i="4"/>
  <c r="K279" i="4" s="1"/>
  <c r="J278" i="4"/>
  <c r="K278" i="4" s="1"/>
  <c r="J277" i="4"/>
  <c r="J275" i="4"/>
  <c r="K275" i="4" s="1"/>
  <c r="J273" i="4"/>
  <c r="K273" i="4" s="1"/>
  <c r="J271" i="4"/>
  <c r="K271" i="4" s="1"/>
  <c r="J270" i="4"/>
  <c r="K270" i="4" s="1"/>
  <c r="J269" i="4"/>
  <c r="K269" i="4" s="1"/>
  <c r="J268" i="4"/>
  <c r="K268" i="4" s="1"/>
  <c r="J267" i="4"/>
  <c r="K267" i="4" s="1"/>
  <c r="J266" i="4"/>
  <c r="K266" i="4" s="1"/>
  <c r="J265" i="4"/>
  <c r="K265" i="4" s="1"/>
  <c r="J264" i="4"/>
  <c r="K264" i="4" s="1"/>
  <c r="J263" i="4"/>
  <c r="K263" i="4" s="1"/>
  <c r="J262" i="4"/>
  <c r="K262" i="4" s="1"/>
  <c r="J261" i="4"/>
  <c r="K261" i="4" s="1"/>
  <c r="J260" i="4"/>
  <c r="K260" i="4" s="1"/>
  <c r="J259" i="4"/>
  <c r="J257" i="4"/>
  <c r="K257" i="4" s="1"/>
  <c r="J256" i="4"/>
  <c r="K256" i="4" s="1"/>
  <c r="J255" i="4"/>
  <c r="K255" i="4" s="1"/>
  <c r="J254" i="4"/>
  <c r="K254" i="4" s="1"/>
  <c r="J253" i="4"/>
  <c r="K253" i="4" s="1"/>
  <c r="J252" i="4"/>
  <c r="K252" i="4" s="1"/>
  <c r="J251" i="4"/>
  <c r="K251" i="4" s="1"/>
  <c r="J250" i="4"/>
  <c r="K250" i="4" s="1"/>
  <c r="J249" i="4"/>
  <c r="K249" i="4" s="1"/>
  <c r="J248" i="4"/>
  <c r="K248" i="4" s="1"/>
  <c r="J247" i="4"/>
  <c r="K247" i="4" s="1"/>
  <c r="J246" i="4"/>
  <c r="K246" i="4" s="1"/>
  <c r="J245" i="4"/>
  <c r="K245" i="4" s="1"/>
  <c r="J244" i="4"/>
  <c r="K244" i="4" s="1"/>
  <c r="J243" i="4"/>
  <c r="K243" i="4" s="1"/>
  <c r="J242" i="4"/>
  <c r="K242" i="4" s="1"/>
  <c r="J241" i="4"/>
  <c r="K241" i="4" s="1"/>
  <c r="J240" i="4"/>
  <c r="K240" i="4" s="1"/>
  <c r="J239" i="4"/>
  <c r="K239" i="4" s="1"/>
  <c r="J238" i="4"/>
  <c r="K238" i="4" s="1"/>
  <c r="J237" i="4"/>
  <c r="K237" i="4" s="1"/>
  <c r="J236" i="4"/>
  <c r="J235" i="4"/>
  <c r="K235" i="4" s="1"/>
  <c r="J234" i="4"/>
  <c r="G234" i="4"/>
  <c r="J233" i="4"/>
  <c r="K233" i="4" s="1"/>
  <c r="J232" i="4"/>
  <c r="K232" i="4" s="1"/>
  <c r="J231" i="4"/>
  <c r="K231" i="4" s="1"/>
  <c r="J230" i="4"/>
  <c r="K230" i="4" s="1"/>
  <c r="J229" i="4"/>
  <c r="K229" i="4" s="1"/>
  <c r="J228" i="4"/>
  <c r="K228" i="4" s="1"/>
  <c r="J227" i="4"/>
  <c r="K227" i="4" s="1"/>
  <c r="J226" i="4"/>
  <c r="K226" i="4" s="1"/>
  <c r="J225" i="4"/>
  <c r="K225" i="4" s="1"/>
  <c r="J224" i="4"/>
  <c r="K224" i="4" s="1"/>
  <c r="J223" i="4"/>
  <c r="K223" i="4" s="1"/>
  <c r="J222" i="4"/>
  <c r="K222" i="4" s="1"/>
  <c r="J220" i="4"/>
  <c r="G220" i="4"/>
  <c r="J219" i="4"/>
  <c r="K219" i="4" s="1"/>
  <c r="J218" i="4"/>
  <c r="K218" i="4" s="1"/>
  <c r="J217" i="4"/>
  <c r="K217" i="4" s="1"/>
  <c r="K216" i="4"/>
  <c r="J215" i="4"/>
  <c r="K215" i="4" s="1"/>
  <c r="J214" i="4"/>
  <c r="K214" i="4" s="1"/>
  <c r="J213" i="4"/>
  <c r="G213" i="4"/>
  <c r="J212" i="4"/>
  <c r="G212" i="4"/>
  <c r="J210" i="4"/>
  <c r="J209" i="4"/>
  <c r="J208" i="4"/>
  <c r="J206" i="4"/>
  <c r="K206" i="4" s="1"/>
  <c r="J205" i="4"/>
  <c r="J204" i="4"/>
  <c r="K204" i="4" s="1"/>
  <c r="J202" i="4"/>
  <c r="K202" i="4" s="1"/>
  <c r="J201" i="4"/>
  <c r="K201" i="4" s="1"/>
  <c r="J200" i="4"/>
  <c r="K200" i="4" s="1"/>
  <c r="J199" i="4"/>
  <c r="K199" i="4" s="1"/>
  <c r="J198" i="4"/>
  <c r="K198" i="4" s="1"/>
  <c r="J197" i="4"/>
  <c r="K197" i="4" s="1"/>
  <c r="J196" i="4"/>
  <c r="K196" i="4" s="1"/>
  <c r="J195" i="4"/>
  <c r="K195" i="4" s="1"/>
  <c r="J194" i="4"/>
  <c r="K194" i="4" s="1"/>
  <c r="J193" i="4"/>
  <c r="K193" i="4" s="1"/>
  <c r="J192" i="4"/>
  <c r="J191" i="4"/>
  <c r="J190" i="4"/>
  <c r="J189" i="4"/>
  <c r="J188" i="4"/>
  <c r="J187" i="4"/>
  <c r="J185" i="4"/>
  <c r="J183" i="4"/>
  <c r="K183" i="4" s="1"/>
  <c r="J182" i="4"/>
  <c r="K182" i="4" s="1"/>
  <c r="J181" i="4"/>
  <c r="K181" i="4" s="1"/>
  <c r="J180" i="4"/>
  <c r="K180" i="4" s="1"/>
  <c r="J179" i="4"/>
  <c r="J177" i="4"/>
  <c r="K177" i="4" s="1"/>
  <c r="J176" i="4"/>
  <c r="J173" i="4"/>
  <c r="K173" i="4" s="1"/>
  <c r="J172" i="4"/>
  <c r="K172" i="4" s="1"/>
  <c r="J170" i="4"/>
  <c r="K170" i="4" s="1"/>
  <c r="J168" i="4"/>
  <c r="K168" i="4" s="1"/>
  <c r="J167" i="4"/>
  <c r="J166" i="4"/>
  <c r="K166" i="4" s="1"/>
  <c r="J164" i="4"/>
  <c r="K164" i="4" s="1"/>
  <c r="J163" i="4"/>
  <c r="K163" i="4" s="1"/>
  <c r="J162" i="4"/>
  <c r="K162" i="4" s="1"/>
  <c r="J161" i="4"/>
  <c r="K161" i="4" s="1"/>
  <c r="J160" i="4"/>
  <c r="K160" i="4" s="1"/>
  <c r="J159" i="4"/>
  <c r="J158" i="4"/>
  <c r="J157" i="4"/>
  <c r="J155" i="4"/>
  <c r="J153" i="4"/>
  <c r="K153" i="4" s="1"/>
  <c r="J152" i="4"/>
  <c r="K152" i="4" s="1"/>
  <c r="J151" i="4"/>
  <c r="J150" i="4"/>
  <c r="J149" i="4"/>
  <c r="J148" i="4"/>
  <c r="K148" i="4" s="1"/>
  <c r="J147" i="4"/>
  <c r="K147" i="4" s="1"/>
  <c r="J146" i="4"/>
  <c r="K146" i="4" s="1"/>
  <c r="J145" i="4"/>
  <c r="K145" i="4" s="1"/>
  <c r="J144" i="4"/>
  <c r="K144" i="4" s="1"/>
  <c r="J143" i="4"/>
  <c r="J142" i="4"/>
  <c r="K142" i="4" s="1"/>
  <c r="J141" i="4"/>
  <c r="K141" i="4" s="1"/>
  <c r="J140" i="4"/>
  <c r="K140" i="4" s="1"/>
  <c r="J139" i="4"/>
  <c r="J138" i="4"/>
  <c r="K138" i="4" s="1"/>
  <c r="J136" i="4"/>
  <c r="K136" i="4" s="1"/>
  <c r="J135" i="4"/>
  <c r="K135" i="4" s="1"/>
  <c r="J134" i="4"/>
  <c r="K134" i="4" s="1"/>
  <c r="J133" i="4"/>
  <c r="K133" i="4" s="1"/>
  <c r="J132" i="4"/>
  <c r="J131" i="4"/>
  <c r="J130" i="4"/>
  <c r="K130" i="4" s="1"/>
  <c r="J129" i="4"/>
  <c r="K129" i="4" s="1"/>
  <c r="J128" i="4"/>
  <c r="J127" i="4"/>
  <c r="K127" i="4" s="1"/>
  <c r="J126" i="4"/>
  <c r="J125" i="4"/>
  <c r="J124" i="4"/>
  <c r="K124" i="4" s="1"/>
  <c r="J123" i="4"/>
  <c r="J122" i="4"/>
  <c r="K122" i="4" s="1"/>
  <c r="J121" i="4"/>
  <c r="J120" i="4"/>
  <c r="K120" i="4" s="1"/>
  <c r="J119" i="4"/>
  <c r="K119" i="4" s="1"/>
  <c r="J118" i="4"/>
  <c r="K118" i="4" s="1"/>
  <c r="J117" i="4"/>
  <c r="K117" i="4" s="1"/>
  <c r="J116" i="4"/>
  <c r="K116" i="4" s="1"/>
  <c r="J115" i="4"/>
  <c r="J114" i="4"/>
  <c r="J113" i="4"/>
  <c r="K113" i="4" s="1"/>
  <c r="J112" i="4"/>
  <c r="K112" i="4" s="1"/>
  <c r="J111" i="4"/>
  <c r="K111" i="4" s="1"/>
  <c r="J110" i="4"/>
  <c r="K110" i="4" s="1"/>
  <c r="J109" i="4"/>
  <c r="K109" i="4" s="1"/>
  <c r="J108" i="4"/>
  <c r="K108" i="4" s="1"/>
  <c r="J107" i="4"/>
  <c r="K107" i="4" s="1"/>
  <c r="J106" i="4"/>
  <c r="J105" i="4"/>
  <c r="J104" i="4"/>
  <c r="J103" i="4"/>
  <c r="J102" i="4"/>
  <c r="J101" i="4"/>
  <c r="J99" i="4"/>
  <c r="K99" i="4" s="1"/>
  <c r="J98" i="4"/>
  <c r="J97" i="4"/>
  <c r="K97" i="4" s="1"/>
  <c r="J96" i="4"/>
  <c r="K96" i="4" s="1"/>
  <c r="J95" i="4"/>
  <c r="K95" i="4" s="1"/>
  <c r="J94" i="4"/>
  <c r="K94" i="4" s="1"/>
  <c r="J93" i="4"/>
  <c r="K93" i="4" s="1"/>
  <c r="J92" i="4"/>
  <c r="K92" i="4" s="1"/>
  <c r="J91" i="4"/>
  <c r="J90" i="4"/>
  <c r="J89" i="4"/>
  <c r="K89" i="4" s="1"/>
  <c r="J88" i="4"/>
  <c r="K88" i="4" s="1"/>
  <c r="J87" i="4"/>
  <c r="K87" i="4" s="1"/>
  <c r="J86" i="4"/>
  <c r="K86" i="4" s="1"/>
  <c r="J85" i="4"/>
  <c r="J83" i="4"/>
  <c r="K83" i="4" s="1"/>
  <c r="J82" i="4"/>
  <c r="K82" i="4" s="1"/>
  <c r="J81" i="4"/>
  <c r="K81" i="4" s="1"/>
  <c r="J80" i="4"/>
  <c r="J79" i="4"/>
  <c r="J78" i="4"/>
  <c r="J77" i="4"/>
  <c r="K77" i="4" s="1"/>
  <c r="J76" i="4"/>
  <c r="K76" i="4" s="1"/>
  <c r="J75" i="4"/>
  <c r="K75" i="4" s="1"/>
  <c r="J74" i="4"/>
  <c r="K74" i="4" s="1"/>
  <c r="J73" i="4"/>
  <c r="J71" i="4"/>
  <c r="K71" i="4" s="1"/>
  <c r="J70" i="4"/>
  <c r="K70" i="4" s="1"/>
  <c r="J69" i="4"/>
  <c r="J68" i="4"/>
  <c r="J67" i="4"/>
  <c r="K67" i="4" s="1"/>
  <c r="J66" i="4"/>
  <c r="K66" i="4" s="1"/>
  <c r="J65" i="4"/>
  <c r="K65" i="4" s="1"/>
  <c r="J64" i="4"/>
  <c r="K64" i="4" s="1"/>
  <c r="J63" i="4"/>
  <c r="K63" i="4" s="1"/>
  <c r="J62" i="4"/>
  <c r="K62" i="4" s="1"/>
  <c r="J61" i="4"/>
  <c r="J60" i="4"/>
  <c r="J58" i="4"/>
  <c r="K58" i="4" s="1"/>
  <c r="J57" i="4"/>
  <c r="J56" i="4"/>
  <c r="K56" i="4" s="1"/>
  <c r="J55" i="4"/>
  <c r="K55" i="4" s="1"/>
  <c r="J54" i="4"/>
  <c r="K54" i="4" s="1"/>
  <c r="J53" i="4"/>
  <c r="K53" i="4" s="1"/>
  <c r="J52" i="4"/>
  <c r="K52" i="4" s="1"/>
  <c r="J51" i="4"/>
  <c r="K51" i="4" s="1"/>
  <c r="J49" i="4"/>
  <c r="K49" i="4" s="1"/>
  <c r="J48" i="4"/>
  <c r="K48" i="4" s="1"/>
  <c r="J47" i="4"/>
  <c r="K47" i="4" s="1"/>
  <c r="J46" i="4"/>
  <c r="J45" i="4"/>
  <c r="J43" i="4"/>
  <c r="K43" i="4" s="1"/>
  <c r="J42" i="4"/>
  <c r="K42" i="4" s="1"/>
  <c r="J41" i="4"/>
  <c r="K41" i="4" s="1"/>
  <c r="J40" i="4"/>
  <c r="K40" i="4" s="1"/>
  <c r="J39" i="4"/>
  <c r="K39" i="4" s="1"/>
  <c r="J38" i="4"/>
  <c r="K38" i="4" s="1"/>
  <c r="J37" i="4"/>
  <c r="K37" i="4" s="1"/>
  <c r="J36" i="4"/>
  <c r="K36" i="4" s="1"/>
  <c r="J34" i="4"/>
  <c r="K34" i="4" s="1"/>
  <c r="J33" i="4"/>
  <c r="J32" i="4"/>
  <c r="K32" i="4" s="1"/>
  <c r="J31" i="4"/>
  <c r="K31" i="4" s="1"/>
  <c r="K30" i="4"/>
  <c r="J29" i="4"/>
  <c r="J28" i="4"/>
  <c r="K28" i="4" s="1"/>
  <c r="J27" i="4"/>
  <c r="K27" i="4" s="1"/>
  <c r="J26" i="4"/>
  <c r="K26" i="4" s="1"/>
  <c r="J23" i="4"/>
  <c r="K23" i="4" s="1"/>
  <c r="J21" i="4"/>
  <c r="G21" i="4"/>
  <c r="B10" i="4"/>
  <c r="E8" i="4"/>
  <c r="F15" i="4"/>
  <c r="O12" i="4" s="1"/>
  <c r="P15" i="13" l="1"/>
  <c r="Q15" i="13" s="1"/>
  <c r="R15" i="13" s="1"/>
  <c r="V318" i="13"/>
  <c r="B16" i="12"/>
  <c r="B13" i="12"/>
  <c r="B10" i="12"/>
  <c r="B12" i="12"/>
  <c r="B24" i="12"/>
  <c r="B9" i="12"/>
  <c r="B28" i="12"/>
  <c r="B20" i="12"/>
  <c r="B17" i="12"/>
  <c r="B23" i="12"/>
  <c r="B22" i="12"/>
  <c r="X314" i="13"/>
  <c r="Z314" i="13" s="1"/>
  <c r="B26" i="12"/>
  <c r="J15" i="6"/>
  <c r="B8" i="12"/>
  <c r="B19" i="12"/>
  <c r="B25" i="12"/>
  <c r="B18" i="12"/>
  <c r="B14" i="12"/>
  <c r="B21" i="12"/>
  <c r="B15" i="12"/>
  <c r="B11" i="12"/>
  <c r="F29" i="12"/>
  <c r="F474" i="4"/>
  <c r="B17" i="7"/>
  <c r="B17" i="8"/>
  <c r="F478" i="4"/>
  <c r="B40" i="8"/>
  <c r="B40" i="7"/>
  <c r="B62" i="8"/>
  <c r="B62" i="7"/>
  <c r="B104" i="8"/>
  <c r="B104" i="7"/>
  <c r="B125" i="7"/>
  <c r="B125" i="8"/>
  <c r="B147" i="8"/>
  <c r="B147" i="7"/>
  <c r="B216" i="8"/>
  <c r="B216" i="7"/>
  <c r="B235" i="8"/>
  <c r="B235" i="7"/>
  <c r="F461" i="4"/>
  <c r="B256" i="8"/>
  <c r="B256" i="7"/>
  <c r="B281" i="8"/>
  <c r="B281" i="7"/>
  <c r="B25" i="8"/>
  <c r="B25" i="7"/>
  <c r="F480" i="4"/>
  <c r="B48" i="8"/>
  <c r="B48" i="7"/>
  <c r="F494" i="4"/>
  <c r="B132" i="8"/>
  <c r="B132" i="7"/>
  <c r="B157" i="7"/>
  <c r="B157" i="8"/>
  <c r="B182" i="7"/>
  <c r="B182" i="8"/>
  <c r="B203" i="8"/>
  <c r="B203" i="7"/>
  <c r="B222" i="7"/>
  <c r="B222" i="8"/>
  <c r="F459" i="4"/>
  <c r="B242" i="8"/>
  <c r="B242" i="7"/>
  <c r="B267" i="8"/>
  <c r="B267" i="7"/>
  <c r="B26" i="7"/>
  <c r="B26" i="8"/>
  <c r="F481" i="4"/>
  <c r="B49" i="8"/>
  <c r="B49" i="7"/>
  <c r="B71" i="8"/>
  <c r="B71" i="7"/>
  <c r="F490" i="4"/>
  <c r="B92" i="7"/>
  <c r="B92" i="8"/>
  <c r="F413" i="4"/>
  <c r="B112" i="8"/>
  <c r="B112" i="7"/>
  <c r="B133" i="8"/>
  <c r="B133" i="7"/>
  <c r="F499" i="4"/>
  <c r="B158" i="8"/>
  <c r="B158" i="7"/>
  <c r="F506" i="4"/>
  <c r="B183" i="8"/>
  <c r="B183" i="7"/>
  <c r="B204" i="8"/>
  <c r="B204" i="7"/>
  <c r="B223" i="8"/>
  <c r="B223" i="7"/>
  <c r="B268" i="8"/>
  <c r="B268" i="7"/>
  <c r="F518" i="4"/>
  <c r="B292" i="8"/>
  <c r="B292" i="7"/>
  <c r="F13" i="4"/>
  <c r="K257" i="7"/>
  <c r="K257" i="8"/>
  <c r="Q257" i="7"/>
  <c r="Q257" i="8"/>
  <c r="K291" i="8"/>
  <c r="K291" i="7"/>
  <c r="Q291" i="8"/>
  <c r="Q291" i="7"/>
  <c r="B27" i="8"/>
  <c r="B27" i="7"/>
  <c r="F482" i="4"/>
  <c r="B50" i="7"/>
  <c r="B50" i="8"/>
  <c r="B72" i="8"/>
  <c r="B72" i="7"/>
  <c r="B93" i="8"/>
  <c r="B93" i="7"/>
  <c r="F507" i="4"/>
  <c r="B184" i="7"/>
  <c r="B184" i="8"/>
  <c r="B224" i="8"/>
  <c r="B224" i="7"/>
  <c r="B245" i="7"/>
  <c r="B245" i="8"/>
  <c r="B269" i="7"/>
  <c r="B269" i="8"/>
  <c r="B293" i="7"/>
  <c r="B293" i="8"/>
  <c r="B28" i="8"/>
  <c r="B28" i="7"/>
  <c r="F483" i="4"/>
  <c r="B51" i="8"/>
  <c r="B51" i="7"/>
  <c r="B73" i="8"/>
  <c r="B73" i="7"/>
  <c r="B94" i="7"/>
  <c r="B94" i="8"/>
  <c r="B114" i="7"/>
  <c r="B114" i="8"/>
  <c r="B162" i="8"/>
  <c r="B162" i="7"/>
  <c r="F508" i="4"/>
  <c r="B185" i="8"/>
  <c r="B185" i="7"/>
  <c r="B225" i="8"/>
  <c r="B225" i="7"/>
  <c r="B246" i="8"/>
  <c r="B246" i="7"/>
  <c r="B270" i="8"/>
  <c r="B270" i="7"/>
  <c r="B294" i="8"/>
  <c r="B294" i="7"/>
  <c r="F473" i="4"/>
  <c r="B16" i="8"/>
  <c r="B16" i="7"/>
  <c r="B39" i="8"/>
  <c r="B39" i="7"/>
  <c r="B61" i="8"/>
  <c r="B61" i="7"/>
  <c r="B82" i="8"/>
  <c r="B82" i="7"/>
  <c r="B103" i="8"/>
  <c r="B103" i="7"/>
  <c r="B146" i="8"/>
  <c r="B146" i="7"/>
  <c r="B215" i="8"/>
  <c r="B215" i="7"/>
  <c r="F514" i="4"/>
  <c r="B234" i="8"/>
  <c r="B234" i="7"/>
  <c r="F460" i="4"/>
  <c r="B255" i="8"/>
  <c r="B255" i="7"/>
  <c r="B280" i="7"/>
  <c r="B280" i="8"/>
  <c r="B52" i="8"/>
  <c r="B52" i="7"/>
  <c r="B74" i="8"/>
  <c r="B74" i="7"/>
  <c r="B95" i="8"/>
  <c r="B95" i="7"/>
  <c r="B115" i="8"/>
  <c r="B115" i="7"/>
  <c r="B186" i="8"/>
  <c r="B186" i="7"/>
  <c r="B207" i="8"/>
  <c r="B207" i="7"/>
  <c r="B226" i="8"/>
  <c r="B226" i="7"/>
  <c r="B247" i="8"/>
  <c r="B247" i="7"/>
  <c r="B271" i="8"/>
  <c r="B271" i="7"/>
  <c r="B295" i="7"/>
  <c r="B295" i="8"/>
  <c r="B96" i="8"/>
  <c r="B96" i="7"/>
  <c r="B137" i="8"/>
  <c r="B137" i="7"/>
  <c r="B165" i="7"/>
  <c r="B165" i="8"/>
  <c r="B187" i="8"/>
  <c r="B187" i="7"/>
  <c r="B208" i="8"/>
  <c r="B208" i="7"/>
  <c r="B227" i="8"/>
  <c r="B227" i="7"/>
  <c r="B248" i="8"/>
  <c r="B248" i="7"/>
  <c r="B272" i="8"/>
  <c r="B272" i="7"/>
  <c r="B296" i="8"/>
  <c r="B296" i="7"/>
  <c r="B32" i="7"/>
  <c r="B32" i="8"/>
  <c r="B97" i="7"/>
  <c r="B97" i="8"/>
  <c r="B138" i="7"/>
  <c r="B138" i="8"/>
  <c r="B166" i="7"/>
  <c r="B166" i="8"/>
  <c r="B189" i="8"/>
  <c r="B189" i="7"/>
  <c r="B209" i="8"/>
  <c r="B209" i="7"/>
  <c r="B228" i="8"/>
  <c r="B228" i="7"/>
  <c r="B249" i="7"/>
  <c r="B249" i="8"/>
  <c r="B273" i="7"/>
  <c r="B273" i="8"/>
  <c r="B297" i="8"/>
  <c r="B297" i="7"/>
  <c r="B11" i="7"/>
  <c r="B11" i="8"/>
  <c r="F476" i="4"/>
  <c r="B33" i="8"/>
  <c r="B33" i="7"/>
  <c r="F484" i="4"/>
  <c r="B55" i="7"/>
  <c r="B55" i="8"/>
  <c r="F487" i="4"/>
  <c r="B77" i="7"/>
  <c r="B77" i="8"/>
  <c r="B98" i="7"/>
  <c r="B98" i="8"/>
  <c r="B118" i="7"/>
  <c r="B118" i="8"/>
  <c r="F500" i="4"/>
  <c r="B167" i="8"/>
  <c r="B167" i="7"/>
  <c r="B210" i="8"/>
  <c r="B210" i="7"/>
  <c r="B229" i="8"/>
  <c r="B229" i="7"/>
  <c r="B250" i="7"/>
  <c r="B250" i="8"/>
  <c r="B274" i="8"/>
  <c r="B274" i="7"/>
  <c r="B298" i="7"/>
  <c r="B298" i="8"/>
  <c r="B12" i="8"/>
  <c r="B12" i="7"/>
  <c r="F477" i="4"/>
  <c r="B34" i="7"/>
  <c r="B34" i="8"/>
  <c r="B56" i="8"/>
  <c r="B56" i="7"/>
  <c r="F488" i="4"/>
  <c r="B78" i="8"/>
  <c r="B78" i="7"/>
  <c r="B119" i="8"/>
  <c r="B119" i="7"/>
  <c r="F501" i="4"/>
  <c r="B168" i="8"/>
  <c r="B168" i="7"/>
  <c r="B191" i="7"/>
  <c r="B191" i="8"/>
  <c r="B211" i="8"/>
  <c r="B211" i="7"/>
  <c r="B230" i="8"/>
  <c r="B230" i="7"/>
  <c r="B251" i="8"/>
  <c r="B251" i="7"/>
  <c r="B276" i="8"/>
  <c r="B276" i="7"/>
  <c r="F520" i="4"/>
  <c r="B299" i="8"/>
  <c r="B299" i="7"/>
  <c r="B13" i="8"/>
  <c r="B13" i="7"/>
  <c r="B36" i="8"/>
  <c r="B36" i="7"/>
  <c r="B79" i="8"/>
  <c r="B79" i="7"/>
  <c r="B120" i="8"/>
  <c r="B120" i="7"/>
  <c r="B212" i="7"/>
  <c r="B212" i="8"/>
  <c r="B231" i="8"/>
  <c r="B231" i="7"/>
  <c r="B252" i="7"/>
  <c r="B252" i="8"/>
  <c r="B277" i="8"/>
  <c r="B277" i="7"/>
  <c r="B300" i="8"/>
  <c r="B300" i="7"/>
  <c r="B38" i="8"/>
  <c r="B38" i="7"/>
  <c r="B81" i="8"/>
  <c r="B81" i="7"/>
  <c r="B123" i="8"/>
  <c r="B123" i="7"/>
  <c r="B233" i="8"/>
  <c r="B233" i="7"/>
  <c r="B279" i="8"/>
  <c r="B279" i="7"/>
  <c r="F479" i="4"/>
  <c r="B41" i="7"/>
  <c r="B41" i="8"/>
  <c r="B84" i="8"/>
  <c r="B84" i="7"/>
  <c r="F406" i="4"/>
  <c r="B105" i="8"/>
  <c r="B105" i="7"/>
  <c r="B126" i="8"/>
  <c r="B126" i="7"/>
  <c r="B148" i="8"/>
  <c r="B148" i="7"/>
  <c r="B217" i="8"/>
  <c r="B217" i="7"/>
  <c r="B236" i="8"/>
  <c r="B236" i="7"/>
  <c r="F463" i="4"/>
  <c r="B258" i="8"/>
  <c r="B258" i="7"/>
  <c r="B282" i="8"/>
  <c r="B282" i="7"/>
  <c r="F407" i="4"/>
  <c r="B106" i="8"/>
  <c r="B106" i="7"/>
  <c r="F495" i="4"/>
  <c r="B149" i="7"/>
  <c r="B149" i="8"/>
  <c r="B237" i="8"/>
  <c r="B237" i="7"/>
  <c r="L274" i="4"/>
  <c r="F393" i="4" s="1"/>
  <c r="B260" i="8"/>
  <c r="B260" i="7"/>
  <c r="B283" i="7"/>
  <c r="B283" i="8"/>
  <c r="B43" i="8"/>
  <c r="B43" i="7"/>
  <c r="F408" i="4"/>
  <c r="B107" i="7"/>
  <c r="B107" i="8"/>
  <c r="B178" i="8"/>
  <c r="B178" i="7"/>
  <c r="B238" i="8"/>
  <c r="B238" i="7"/>
  <c r="F505" i="4"/>
  <c r="B179" i="8"/>
  <c r="B179" i="7"/>
  <c r="B263" i="8"/>
  <c r="B263" i="7"/>
  <c r="B220" i="8"/>
  <c r="B220" i="7"/>
  <c r="B37" i="8"/>
  <c r="B37" i="7"/>
  <c r="B59" i="8"/>
  <c r="B59" i="7"/>
  <c r="B80" i="8"/>
  <c r="B80" i="7"/>
  <c r="B101" i="8"/>
  <c r="B101" i="7"/>
  <c r="B121" i="8"/>
  <c r="B121" i="7"/>
  <c r="F511" i="4"/>
  <c r="B213" i="8"/>
  <c r="B213" i="7"/>
  <c r="B232" i="7"/>
  <c r="B232" i="8"/>
  <c r="B253" i="8"/>
  <c r="B253" i="7"/>
  <c r="B278" i="7"/>
  <c r="B278" i="8"/>
  <c r="F485" i="4"/>
  <c r="B60" i="8"/>
  <c r="B60" i="7"/>
  <c r="B102" i="7"/>
  <c r="B102" i="8"/>
  <c r="B145" i="8"/>
  <c r="B145" i="7"/>
  <c r="B214" i="8"/>
  <c r="B214" i="7"/>
  <c r="B254" i="8"/>
  <c r="B254" i="7"/>
  <c r="B127" i="8"/>
  <c r="B127" i="7"/>
  <c r="F512" i="4"/>
  <c r="B218" i="8"/>
  <c r="B218" i="7"/>
  <c r="G33" i="4"/>
  <c r="K33" i="4" s="1"/>
  <c r="G25" i="4"/>
  <c r="K25" i="4" s="1"/>
  <c r="B21" i="8"/>
  <c r="B21" i="7"/>
  <c r="B151" i="7"/>
  <c r="B151" i="8"/>
  <c r="B199" i="8"/>
  <c r="B199" i="7"/>
  <c r="B287" i="8"/>
  <c r="B287" i="7"/>
  <c r="B22" i="7"/>
  <c r="B22" i="8"/>
  <c r="B66" i="7"/>
  <c r="B66" i="8"/>
  <c r="B129" i="7"/>
  <c r="B129" i="8"/>
  <c r="B200" i="7"/>
  <c r="B200" i="8"/>
  <c r="F456" i="4"/>
  <c r="B239" i="8"/>
  <c r="B239" i="7"/>
  <c r="B288" i="8"/>
  <c r="B288" i="7"/>
  <c r="B23" i="8"/>
  <c r="B23" i="7"/>
  <c r="B67" i="8"/>
  <c r="B67" i="7"/>
  <c r="F410" i="4"/>
  <c r="B109" i="8"/>
  <c r="B109" i="7"/>
  <c r="B130" i="8"/>
  <c r="B130" i="7"/>
  <c r="F498" i="4"/>
  <c r="B153" i="8"/>
  <c r="B153" i="7"/>
  <c r="B180" i="8"/>
  <c r="B180" i="7"/>
  <c r="B201" i="7"/>
  <c r="B201" i="8"/>
  <c r="F457" i="4"/>
  <c r="B240" i="8"/>
  <c r="B240" i="7"/>
  <c r="B264" i="8"/>
  <c r="B264" i="7"/>
  <c r="F515" i="4"/>
  <c r="B289" i="8"/>
  <c r="B289" i="7"/>
  <c r="B24" i="8"/>
  <c r="B24" i="7"/>
  <c r="B47" i="8"/>
  <c r="B47" i="7"/>
  <c r="B68" i="7"/>
  <c r="B68" i="8"/>
  <c r="F493" i="4"/>
  <c r="B131" i="8"/>
  <c r="B131" i="7"/>
  <c r="L169" i="4"/>
  <c r="E342" i="4" s="1"/>
  <c r="B155" i="8"/>
  <c r="B155" i="7"/>
  <c r="B181" i="8"/>
  <c r="B181" i="7"/>
  <c r="B202" i="8"/>
  <c r="B202" i="7"/>
  <c r="F458" i="4"/>
  <c r="B241" i="8"/>
  <c r="B241" i="7"/>
  <c r="B266" i="7"/>
  <c r="B266" i="8"/>
  <c r="F516" i="4"/>
  <c r="B290" i="7"/>
  <c r="B290" i="8"/>
  <c r="F472" i="4"/>
  <c r="B15" i="7"/>
  <c r="B15" i="8"/>
  <c r="F475" i="4"/>
  <c r="B19" i="7"/>
  <c r="B19" i="8"/>
  <c r="B8" i="7"/>
  <c r="B8" i="8"/>
  <c r="K45" i="4"/>
  <c r="G259" i="4"/>
  <c r="K259" i="4" s="1"/>
  <c r="F16" i="4"/>
  <c r="F426" i="4"/>
  <c r="F5" i="4"/>
  <c r="G277" i="4"/>
  <c r="K277" i="4" s="1"/>
  <c r="G158" i="4"/>
  <c r="K158" i="4" s="1"/>
  <c r="B8" i="4"/>
  <c r="F4" i="4"/>
  <c r="G189" i="4"/>
  <c r="K189" i="4" s="1"/>
  <c r="G192" i="4"/>
  <c r="G191" i="4"/>
  <c r="K191" i="4" s="1"/>
  <c r="G167" i="4"/>
  <c r="K167" i="4" s="1"/>
  <c r="K192" i="4"/>
  <c r="E353" i="4"/>
  <c r="F491" i="4"/>
  <c r="K234" i="4"/>
  <c r="K220" i="4"/>
  <c r="K212" i="4"/>
  <c r="G115" i="4"/>
  <c r="K115" i="4" s="1"/>
  <c r="F3" i="4"/>
  <c r="G155" i="4"/>
  <c r="K155" i="4" s="1"/>
  <c r="K179" i="4"/>
  <c r="G98" i="4"/>
  <c r="K98" i="4" s="1"/>
  <c r="G143" i="4"/>
  <c r="K143" i="4" s="1"/>
  <c r="G85" i="4"/>
  <c r="K85" i="4" s="1"/>
  <c r="G208" i="4"/>
  <c r="K208" i="4" s="1"/>
  <c r="F6" i="4"/>
  <c r="F7" i="4"/>
  <c r="G149" i="4"/>
  <c r="K149" i="4" s="1"/>
  <c r="G210" i="4"/>
  <c r="K210" i="4" s="1"/>
  <c r="G91" i="4"/>
  <c r="K91" i="4" s="1"/>
  <c r="K21" i="4"/>
  <c r="G131" i="4"/>
  <c r="K131" i="4" s="1"/>
  <c r="G90" i="4"/>
  <c r="K90" i="4" s="1"/>
  <c r="F8" i="4"/>
  <c r="G60" i="4"/>
  <c r="K60" i="4" s="1"/>
  <c r="G185" i="4"/>
  <c r="K185" i="4" s="1"/>
  <c r="G150" i="4"/>
  <c r="K150" i="4" s="1"/>
  <c r="G151" i="4"/>
  <c r="K151" i="4" s="1"/>
  <c r="G188" i="4"/>
  <c r="K188" i="4" s="1"/>
  <c r="G139" i="4"/>
  <c r="K139" i="4" s="1"/>
  <c r="G68" i="4"/>
  <c r="K68" i="4" s="1"/>
  <c r="G190" i="4"/>
  <c r="K190" i="4" s="1"/>
  <c r="G209" i="4"/>
  <c r="K209" i="4" s="1"/>
  <c r="G157" i="4"/>
  <c r="K157" i="4" s="1"/>
  <c r="G159" i="4"/>
  <c r="K159" i="4" s="1"/>
  <c r="L22" i="4"/>
  <c r="L35" i="4"/>
  <c r="E331" i="4" s="1"/>
  <c r="F496" i="4"/>
  <c r="F434" i="4"/>
  <c r="F455" i="4"/>
  <c r="F436" i="4"/>
  <c r="F486" i="4"/>
  <c r="F513" i="4"/>
  <c r="F489" i="4"/>
  <c r="L301" i="4"/>
  <c r="F454" i="4"/>
  <c r="F435" i="4"/>
  <c r="L171" i="4"/>
  <c r="K213" i="4"/>
  <c r="L280" i="4"/>
  <c r="L290" i="4"/>
  <c r="E356" i="4" s="1"/>
  <c r="F519" i="4"/>
  <c r="G105" i="4"/>
  <c r="K105" i="4" s="1"/>
  <c r="P16" i="13" l="1"/>
  <c r="Q16" i="13" s="1"/>
  <c r="P17" i="13"/>
  <c r="Q17" i="13" s="1"/>
  <c r="F471" i="4"/>
  <c r="B10" i="8"/>
  <c r="B10" i="7"/>
  <c r="B18" i="7"/>
  <c r="B18" i="8"/>
  <c r="K77" i="8"/>
  <c r="T77" i="8"/>
  <c r="H77" i="8"/>
  <c r="K209" i="8"/>
  <c r="H209" i="8"/>
  <c r="T209" i="8"/>
  <c r="K208" i="8"/>
  <c r="T208" i="8"/>
  <c r="H208" i="8"/>
  <c r="K186" i="8"/>
  <c r="T186" i="8"/>
  <c r="H186" i="8"/>
  <c r="K146" i="8"/>
  <c r="H146" i="8"/>
  <c r="T146" i="8"/>
  <c r="T185" i="7"/>
  <c r="H185" i="7"/>
  <c r="K185" i="7"/>
  <c r="K245" i="8"/>
  <c r="T245" i="8"/>
  <c r="H245" i="8"/>
  <c r="T133" i="7"/>
  <c r="K133" i="7"/>
  <c r="H133" i="7"/>
  <c r="K222" i="8"/>
  <c r="T222" i="8"/>
  <c r="H222" i="8"/>
  <c r="L184" i="4"/>
  <c r="B170" i="8"/>
  <c r="B170" i="7"/>
  <c r="B205" i="8"/>
  <c r="B205" i="7"/>
  <c r="T181" i="7"/>
  <c r="H181" i="7"/>
  <c r="K181" i="7"/>
  <c r="T240" i="8"/>
  <c r="K240" i="8"/>
  <c r="H240" i="8"/>
  <c r="T239" i="7"/>
  <c r="H239" i="7"/>
  <c r="K239" i="7"/>
  <c r="T253" i="8"/>
  <c r="K253" i="8"/>
  <c r="H253" i="8"/>
  <c r="H179" i="7"/>
  <c r="K179" i="7"/>
  <c r="T179" i="7"/>
  <c r="K149" i="7"/>
  <c r="T149" i="7"/>
  <c r="H149" i="7"/>
  <c r="K252" i="8"/>
  <c r="T252" i="8"/>
  <c r="H252" i="8"/>
  <c r="T251" i="8"/>
  <c r="H251" i="8"/>
  <c r="K251" i="8"/>
  <c r="T12" i="7"/>
  <c r="K12" i="7"/>
  <c r="H12" i="7"/>
  <c r="T77" i="7"/>
  <c r="K77" i="7"/>
  <c r="H77" i="7"/>
  <c r="K189" i="7"/>
  <c r="T189" i="7"/>
  <c r="H189" i="7"/>
  <c r="K187" i="7"/>
  <c r="T187" i="7"/>
  <c r="H187" i="7"/>
  <c r="T115" i="7"/>
  <c r="H115" i="7"/>
  <c r="K115" i="7"/>
  <c r="K103" i="7"/>
  <c r="T103" i="7"/>
  <c r="H103" i="7"/>
  <c r="H185" i="8"/>
  <c r="K185" i="8"/>
  <c r="T185" i="8"/>
  <c r="K245" i="7"/>
  <c r="H245" i="7"/>
  <c r="T245" i="7"/>
  <c r="K133" i="8"/>
  <c r="T133" i="8"/>
  <c r="H133" i="8"/>
  <c r="K222" i="7"/>
  <c r="T222" i="7"/>
  <c r="H222" i="7"/>
  <c r="T235" i="7"/>
  <c r="K235" i="7"/>
  <c r="H235" i="7"/>
  <c r="T155" i="7"/>
  <c r="K155" i="7"/>
  <c r="L154" i="7" s="1"/>
  <c r="H155" i="7"/>
  <c r="C154" i="7"/>
  <c r="U154" i="7" s="1"/>
  <c r="T201" i="8"/>
  <c r="H201" i="8"/>
  <c r="K201" i="8"/>
  <c r="K218" i="8"/>
  <c r="T218" i="8"/>
  <c r="H218" i="8"/>
  <c r="K232" i="7"/>
  <c r="T232" i="7"/>
  <c r="H232" i="7"/>
  <c r="T106" i="7"/>
  <c r="K106" i="7"/>
  <c r="H106" i="7"/>
  <c r="T84" i="8"/>
  <c r="K84" i="8"/>
  <c r="H84" i="8"/>
  <c r="H231" i="7"/>
  <c r="T231" i="7"/>
  <c r="K231" i="7"/>
  <c r="T230" i="8"/>
  <c r="K230" i="8"/>
  <c r="H230" i="8"/>
  <c r="K298" i="8"/>
  <c r="T298" i="8"/>
  <c r="H298" i="8"/>
  <c r="K55" i="8"/>
  <c r="H55" i="8"/>
  <c r="T55" i="8"/>
  <c r="K166" i="8"/>
  <c r="T166" i="8"/>
  <c r="H166" i="8"/>
  <c r="K165" i="8"/>
  <c r="T165" i="8"/>
  <c r="H165" i="8"/>
  <c r="K95" i="7"/>
  <c r="H95" i="7"/>
  <c r="T95" i="7"/>
  <c r="T82" i="7"/>
  <c r="H82" i="7"/>
  <c r="K82" i="7"/>
  <c r="K162" i="7"/>
  <c r="T162" i="7"/>
  <c r="H162" i="7"/>
  <c r="K224" i="8"/>
  <c r="T224" i="8"/>
  <c r="H224" i="8"/>
  <c r="T112" i="8"/>
  <c r="K112" i="8"/>
  <c r="H112" i="8"/>
  <c r="K203" i="8"/>
  <c r="H203" i="8"/>
  <c r="T203" i="8"/>
  <c r="H216" i="7"/>
  <c r="T216" i="7"/>
  <c r="K216" i="7"/>
  <c r="T212" i="7"/>
  <c r="H212" i="7"/>
  <c r="K212" i="7"/>
  <c r="T191" i="8"/>
  <c r="K191" i="8"/>
  <c r="H191" i="8"/>
  <c r="T274" i="8"/>
  <c r="K274" i="8"/>
  <c r="H274" i="8"/>
  <c r="T33" i="7"/>
  <c r="K33" i="7"/>
  <c r="H33" i="7"/>
  <c r="T138" i="7"/>
  <c r="K138" i="7"/>
  <c r="H138" i="7"/>
  <c r="H137" i="8"/>
  <c r="T137" i="8"/>
  <c r="K137" i="8"/>
  <c r="K74" i="8"/>
  <c r="T74" i="8"/>
  <c r="H74" i="8"/>
  <c r="H61" i="8"/>
  <c r="K61" i="8"/>
  <c r="T61" i="8"/>
  <c r="H114" i="7"/>
  <c r="K114" i="7"/>
  <c r="T114" i="7"/>
  <c r="K292" i="8"/>
  <c r="T292" i="8"/>
  <c r="H292" i="8"/>
  <c r="K92" i="7"/>
  <c r="T92" i="7"/>
  <c r="H92" i="7"/>
  <c r="H157" i="8"/>
  <c r="K157" i="8"/>
  <c r="T157" i="8"/>
  <c r="C156" i="8"/>
  <c r="U156" i="8" s="1"/>
  <c r="K147" i="8"/>
  <c r="T147" i="8"/>
  <c r="H147" i="8"/>
  <c r="T264" i="8"/>
  <c r="H264" i="8"/>
  <c r="K264" i="8"/>
  <c r="T278" i="7"/>
  <c r="K278" i="7"/>
  <c r="H278" i="7"/>
  <c r="T277" i="7"/>
  <c r="K277" i="7"/>
  <c r="H277" i="7"/>
  <c r="T186" i="7"/>
  <c r="K186" i="7"/>
  <c r="H186" i="7"/>
  <c r="T157" i="7"/>
  <c r="H157" i="7"/>
  <c r="K157" i="7"/>
  <c r="C156" i="7"/>
  <c r="U156" i="7" s="1"/>
  <c r="T125" i="8"/>
  <c r="K125" i="8"/>
  <c r="H125" i="8"/>
  <c r="H97" i="7"/>
  <c r="K97" i="7"/>
  <c r="T97" i="7"/>
  <c r="H96" i="8"/>
  <c r="K96" i="8"/>
  <c r="T96" i="8"/>
  <c r="K52" i="8"/>
  <c r="H52" i="8"/>
  <c r="T52" i="8"/>
  <c r="K39" i="8"/>
  <c r="T39" i="8"/>
  <c r="H39" i="8"/>
  <c r="K94" i="7"/>
  <c r="H94" i="7"/>
  <c r="T94" i="7"/>
  <c r="K93" i="8"/>
  <c r="T93" i="8"/>
  <c r="H93" i="8"/>
  <c r="K268" i="7"/>
  <c r="H268" i="7"/>
  <c r="T268" i="7"/>
  <c r="K71" i="7"/>
  <c r="H71" i="7"/>
  <c r="T71" i="7"/>
  <c r="K132" i="7"/>
  <c r="H132" i="7"/>
  <c r="T132" i="7"/>
  <c r="K125" i="7"/>
  <c r="T125" i="7"/>
  <c r="H125" i="7"/>
  <c r="H256" i="8"/>
  <c r="K256" i="8"/>
  <c r="T256" i="8"/>
  <c r="B135" i="8"/>
  <c r="B135" i="7"/>
  <c r="B197" i="8"/>
  <c r="B197" i="7"/>
  <c r="K202" i="8"/>
  <c r="T202" i="8"/>
  <c r="H202" i="8"/>
  <c r="T240" i="7"/>
  <c r="H240" i="7"/>
  <c r="K240" i="7"/>
  <c r="K288" i="8"/>
  <c r="H288" i="8"/>
  <c r="T288" i="8"/>
  <c r="K253" i="7"/>
  <c r="H253" i="7"/>
  <c r="T253" i="7"/>
  <c r="H263" i="8"/>
  <c r="T263" i="8"/>
  <c r="K263" i="8"/>
  <c r="K149" i="8"/>
  <c r="T149" i="8"/>
  <c r="H149" i="8"/>
  <c r="T105" i="8"/>
  <c r="H105" i="8"/>
  <c r="K105" i="8"/>
  <c r="H277" i="8"/>
  <c r="K277" i="8"/>
  <c r="T277" i="8"/>
  <c r="T251" i="7"/>
  <c r="H251" i="7"/>
  <c r="K251" i="7"/>
  <c r="F431" i="4"/>
  <c r="B45" i="8"/>
  <c r="B45" i="7"/>
  <c r="B219" i="8"/>
  <c r="B219" i="7"/>
  <c r="K181" i="8"/>
  <c r="H181" i="8"/>
  <c r="T181" i="8"/>
  <c r="T232" i="8"/>
  <c r="K232" i="8"/>
  <c r="H232" i="8"/>
  <c r="B75" i="8"/>
  <c r="B75" i="7"/>
  <c r="C154" i="8"/>
  <c r="U154" i="8" s="1"/>
  <c r="K155" i="8"/>
  <c r="L154" i="8" s="1"/>
  <c r="H155" i="8"/>
  <c r="T155" i="8"/>
  <c r="T200" i="8"/>
  <c r="H200" i="8"/>
  <c r="K200" i="8"/>
  <c r="T106" i="8"/>
  <c r="K106" i="8"/>
  <c r="H106" i="8"/>
  <c r="H166" i="7"/>
  <c r="K166" i="7"/>
  <c r="T166" i="7"/>
  <c r="T184" i="8"/>
  <c r="K184" i="8"/>
  <c r="H184" i="8"/>
  <c r="T41" i="7"/>
  <c r="H41" i="7"/>
  <c r="K41" i="7"/>
  <c r="T212" i="8"/>
  <c r="H212" i="8"/>
  <c r="K212" i="8"/>
  <c r="H274" i="7"/>
  <c r="T274" i="7"/>
  <c r="K274" i="7"/>
  <c r="H92" i="8"/>
  <c r="K92" i="8"/>
  <c r="T92" i="8"/>
  <c r="T147" i="7"/>
  <c r="K147" i="7"/>
  <c r="H147" i="7"/>
  <c r="T182" i="8"/>
  <c r="H182" i="8"/>
  <c r="K182" i="8"/>
  <c r="H216" i="8"/>
  <c r="K216" i="8"/>
  <c r="T216" i="8"/>
  <c r="K68" i="7"/>
  <c r="T68" i="7"/>
  <c r="H68" i="7"/>
  <c r="T130" i="7"/>
  <c r="K130" i="7"/>
  <c r="H130" i="7"/>
  <c r="K22" i="8"/>
  <c r="T22" i="8"/>
  <c r="H22" i="8"/>
  <c r="T214" i="8"/>
  <c r="K214" i="8"/>
  <c r="H214" i="8"/>
  <c r="T101" i="8"/>
  <c r="K101" i="8"/>
  <c r="H101" i="8"/>
  <c r="H233" i="8"/>
  <c r="T233" i="8"/>
  <c r="K233" i="8"/>
  <c r="T79" i="8"/>
  <c r="K79" i="8"/>
  <c r="H79" i="8"/>
  <c r="T11" i="7"/>
  <c r="K11" i="7"/>
  <c r="H11" i="7"/>
  <c r="K16" i="8"/>
  <c r="T16" i="8"/>
  <c r="H16" i="8"/>
  <c r="T72" i="8"/>
  <c r="K72" i="8"/>
  <c r="H72" i="8"/>
  <c r="T49" i="7"/>
  <c r="H49" i="7"/>
  <c r="K49" i="7"/>
  <c r="B116" i="8"/>
  <c r="B116" i="7"/>
  <c r="K180" i="7"/>
  <c r="T180" i="7"/>
  <c r="H180" i="7"/>
  <c r="H200" i="7"/>
  <c r="T200" i="7"/>
  <c r="K200" i="7"/>
  <c r="T127" i="7"/>
  <c r="K127" i="7"/>
  <c r="H127" i="7"/>
  <c r="H213" i="8"/>
  <c r="K213" i="8"/>
  <c r="T213" i="8"/>
  <c r="K238" i="8"/>
  <c r="T238" i="8"/>
  <c r="H238" i="8"/>
  <c r="T211" i="8"/>
  <c r="H211" i="8"/>
  <c r="K211" i="8"/>
  <c r="B177" i="8"/>
  <c r="B177" i="7"/>
  <c r="T131" i="7"/>
  <c r="K131" i="7"/>
  <c r="H131" i="7"/>
  <c r="T180" i="8"/>
  <c r="H180" i="8"/>
  <c r="K180" i="8"/>
  <c r="H129" i="8"/>
  <c r="T129" i="8"/>
  <c r="K129" i="8"/>
  <c r="K127" i="8"/>
  <c r="T127" i="8"/>
  <c r="H127" i="8"/>
  <c r="H104" i="8"/>
  <c r="K104" i="8"/>
  <c r="T104" i="8"/>
  <c r="H290" i="8"/>
  <c r="T290" i="8"/>
  <c r="K290" i="8"/>
  <c r="H47" i="7"/>
  <c r="T47" i="7"/>
  <c r="K47" i="7"/>
  <c r="K130" i="8"/>
  <c r="T130" i="8"/>
  <c r="H130" i="8"/>
  <c r="T22" i="7"/>
  <c r="K22" i="7"/>
  <c r="H22" i="7"/>
  <c r="T145" i="7"/>
  <c r="K145" i="7"/>
  <c r="H145" i="7"/>
  <c r="K80" i="7"/>
  <c r="H80" i="7"/>
  <c r="T80" i="7"/>
  <c r="K43" i="7"/>
  <c r="T43" i="7"/>
  <c r="H43" i="7"/>
  <c r="H236" i="7"/>
  <c r="K236" i="7"/>
  <c r="T236" i="7"/>
  <c r="T123" i="7"/>
  <c r="H123" i="7"/>
  <c r="K123" i="7"/>
  <c r="T36" i="7"/>
  <c r="K36" i="7"/>
  <c r="H36" i="7"/>
  <c r="H119" i="7"/>
  <c r="T119" i="7"/>
  <c r="K119" i="7"/>
  <c r="T210" i="7"/>
  <c r="K210" i="7"/>
  <c r="H210" i="7"/>
  <c r="T297" i="7"/>
  <c r="H297" i="7"/>
  <c r="K297" i="7"/>
  <c r="K296" i="7"/>
  <c r="T296" i="7"/>
  <c r="H296" i="7"/>
  <c r="T271" i="7"/>
  <c r="K271" i="7"/>
  <c r="H271" i="7"/>
  <c r="K255" i="7"/>
  <c r="H255" i="7"/>
  <c r="T255" i="7"/>
  <c r="T48" i="7"/>
  <c r="H48" i="7"/>
  <c r="K48" i="7"/>
  <c r="O2" i="4"/>
  <c r="G61" i="4"/>
  <c r="K61" i="4" s="1"/>
  <c r="T257" i="7"/>
  <c r="T257" i="8"/>
  <c r="Z257" i="7"/>
  <c r="Z257" i="8"/>
  <c r="T291" i="8"/>
  <c r="T291" i="7"/>
  <c r="Z291" i="8"/>
  <c r="Z291" i="7"/>
  <c r="T145" i="8"/>
  <c r="K145" i="8"/>
  <c r="H145" i="8"/>
  <c r="T119" i="8"/>
  <c r="K119" i="8"/>
  <c r="H119" i="8"/>
  <c r="T271" i="8"/>
  <c r="H271" i="8"/>
  <c r="K271" i="8"/>
  <c r="K51" i="8"/>
  <c r="T51" i="8"/>
  <c r="H51" i="8"/>
  <c r="T50" i="7"/>
  <c r="K50" i="7"/>
  <c r="H50" i="7"/>
  <c r="T48" i="8"/>
  <c r="H48" i="8"/>
  <c r="K48" i="8"/>
  <c r="K62" i="8"/>
  <c r="T62" i="8"/>
  <c r="H62" i="8"/>
  <c r="B142" i="8"/>
  <c r="B142" i="7"/>
  <c r="B70" i="8"/>
  <c r="B70" i="7"/>
  <c r="T84" i="7"/>
  <c r="K84" i="7"/>
  <c r="H84" i="7"/>
  <c r="K252" i="7"/>
  <c r="H252" i="7"/>
  <c r="T252" i="7"/>
  <c r="K230" i="7"/>
  <c r="H230" i="7"/>
  <c r="T230" i="7"/>
  <c r="K12" i="8"/>
  <c r="H12" i="8"/>
  <c r="T12" i="8"/>
  <c r="T131" i="8"/>
  <c r="K131" i="8"/>
  <c r="H131" i="8"/>
  <c r="T153" i="7"/>
  <c r="K153" i="7"/>
  <c r="H153" i="7"/>
  <c r="K129" i="7"/>
  <c r="H129" i="7"/>
  <c r="T129" i="7"/>
  <c r="H254" i="7"/>
  <c r="K254" i="7"/>
  <c r="T254" i="7"/>
  <c r="H121" i="7"/>
  <c r="K121" i="7"/>
  <c r="T121" i="7"/>
  <c r="K178" i="8"/>
  <c r="T178" i="8"/>
  <c r="H178" i="8"/>
  <c r="T282" i="8"/>
  <c r="H282" i="8"/>
  <c r="K282" i="8"/>
  <c r="T279" i="7"/>
  <c r="K279" i="7"/>
  <c r="H279" i="7"/>
  <c r="H120" i="7"/>
  <c r="K120" i="7"/>
  <c r="T120" i="7"/>
  <c r="H191" i="7"/>
  <c r="T191" i="7"/>
  <c r="K191" i="7"/>
  <c r="T250" i="8"/>
  <c r="H250" i="8"/>
  <c r="K250" i="8"/>
  <c r="K33" i="8"/>
  <c r="H33" i="8"/>
  <c r="T33" i="8"/>
  <c r="K97" i="8"/>
  <c r="H97" i="8"/>
  <c r="T97" i="8"/>
  <c r="K96" i="7"/>
  <c r="T96" i="7"/>
  <c r="H96" i="7"/>
  <c r="T52" i="7"/>
  <c r="H52" i="7"/>
  <c r="K52" i="7"/>
  <c r="H39" i="7"/>
  <c r="K39" i="7"/>
  <c r="T39" i="7"/>
  <c r="K94" i="8"/>
  <c r="H94" i="8"/>
  <c r="T94" i="8"/>
  <c r="K93" i="7"/>
  <c r="T93" i="7"/>
  <c r="H93" i="7"/>
  <c r="B195" i="7"/>
  <c r="B195" i="8"/>
  <c r="B176" i="8"/>
  <c r="B176" i="7"/>
  <c r="T51" i="7"/>
  <c r="K51" i="7"/>
  <c r="H51" i="7"/>
  <c r="H50" i="8"/>
  <c r="T50" i="8"/>
  <c r="K50" i="8"/>
  <c r="T223" i="8"/>
  <c r="H223" i="8"/>
  <c r="K223" i="8"/>
  <c r="T49" i="8"/>
  <c r="K49" i="8"/>
  <c r="H49" i="8"/>
  <c r="K62" i="7"/>
  <c r="T62" i="7"/>
  <c r="H62" i="7"/>
  <c r="B144" i="8"/>
  <c r="B144" i="7"/>
  <c r="B193" i="8"/>
  <c r="B193" i="7"/>
  <c r="T290" i="7"/>
  <c r="K290" i="7"/>
  <c r="H290" i="7"/>
  <c r="H47" i="8"/>
  <c r="T47" i="8"/>
  <c r="K47" i="8"/>
  <c r="T109" i="7"/>
  <c r="H109" i="7"/>
  <c r="K109" i="7"/>
  <c r="C286" i="7"/>
  <c r="U286" i="7" s="1"/>
  <c r="K287" i="7"/>
  <c r="T287" i="7"/>
  <c r="H287" i="7"/>
  <c r="T80" i="8"/>
  <c r="K80" i="8"/>
  <c r="H80" i="8"/>
  <c r="T43" i="8"/>
  <c r="K43" i="8"/>
  <c r="H43" i="8"/>
  <c r="H236" i="8"/>
  <c r="T236" i="8"/>
  <c r="K236" i="8"/>
  <c r="T123" i="8"/>
  <c r="K123" i="8"/>
  <c r="H123" i="8"/>
  <c r="T36" i="8"/>
  <c r="H36" i="8"/>
  <c r="K36" i="8"/>
  <c r="K210" i="8"/>
  <c r="H210" i="8"/>
  <c r="T210" i="8"/>
  <c r="K297" i="8"/>
  <c r="T297" i="8"/>
  <c r="H297" i="8"/>
  <c r="H296" i="8"/>
  <c r="T296" i="8"/>
  <c r="K296" i="8"/>
  <c r="K255" i="8"/>
  <c r="H255" i="8"/>
  <c r="T255" i="8"/>
  <c r="K294" i="7"/>
  <c r="T294" i="7"/>
  <c r="H294" i="7"/>
  <c r="K204" i="7"/>
  <c r="H204" i="7"/>
  <c r="T204" i="7"/>
  <c r="T24" i="7"/>
  <c r="K24" i="7"/>
  <c r="H24" i="7"/>
  <c r="K109" i="8"/>
  <c r="H109" i="8"/>
  <c r="T109" i="8"/>
  <c r="K287" i="8"/>
  <c r="T287" i="8"/>
  <c r="C286" i="8"/>
  <c r="U286" i="8" s="1"/>
  <c r="H287" i="8"/>
  <c r="H102" i="8"/>
  <c r="T102" i="8"/>
  <c r="K102" i="8"/>
  <c r="K59" i="7"/>
  <c r="H59" i="7"/>
  <c r="T59" i="7"/>
  <c r="K283" i="8"/>
  <c r="H283" i="8"/>
  <c r="T283" i="8"/>
  <c r="K217" i="7"/>
  <c r="H217" i="7"/>
  <c r="T217" i="7"/>
  <c r="K81" i="7"/>
  <c r="H81" i="7"/>
  <c r="T81" i="7"/>
  <c r="T13" i="7"/>
  <c r="K13" i="7"/>
  <c r="H13" i="7"/>
  <c r="T78" i="7"/>
  <c r="H78" i="7"/>
  <c r="K78" i="7"/>
  <c r="H167" i="7"/>
  <c r="T167" i="7"/>
  <c r="K167" i="7"/>
  <c r="K273" i="8"/>
  <c r="H273" i="8"/>
  <c r="T273" i="8"/>
  <c r="K272" i="7"/>
  <c r="T272" i="7"/>
  <c r="H272" i="7"/>
  <c r="K247" i="7"/>
  <c r="H247" i="7"/>
  <c r="T247" i="7"/>
  <c r="K294" i="8"/>
  <c r="T294" i="8"/>
  <c r="H294" i="8"/>
  <c r="T204" i="8"/>
  <c r="K204" i="8"/>
  <c r="H204" i="8"/>
  <c r="K26" i="8"/>
  <c r="T26" i="8"/>
  <c r="H26" i="8"/>
  <c r="K40" i="7"/>
  <c r="H40" i="7"/>
  <c r="T40" i="7"/>
  <c r="B90" i="8"/>
  <c r="B90" i="7"/>
  <c r="B194" i="8"/>
  <c r="B194" i="7"/>
  <c r="B128" i="8"/>
  <c r="B128" i="7"/>
  <c r="F416" i="4"/>
  <c r="B143" i="8"/>
  <c r="B143" i="7"/>
  <c r="H266" i="8"/>
  <c r="T266" i="8"/>
  <c r="C265" i="8"/>
  <c r="U265" i="8" s="1"/>
  <c r="K266" i="8"/>
  <c r="K24" i="8"/>
  <c r="H24" i="8"/>
  <c r="T24" i="8"/>
  <c r="T199" i="7"/>
  <c r="K199" i="7"/>
  <c r="H199" i="7"/>
  <c r="T102" i="7"/>
  <c r="K102" i="7"/>
  <c r="H102" i="7"/>
  <c r="K59" i="8"/>
  <c r="T59" i="8"/>
  <c r="H59" i="8"/>
  <c r="T283" i="7"/>
  <c r="K283" i="7"/>
  <c r="H283" i="7"/>
  <c r="K217" i="8"/>
  <c r="H217" i="8"/>
  <c r="T217" i="8"/>
  <c r="T81" i="8"/>
  <c r="H81" i="8"/>
  <c r="K81" i="8"/>
  <c r="T13" i="8"/>
  <c r="K13" i="8"/>
  <c r="H13" i="8"/>
  <c r="K78" i="8"/>
  <c r="H78" i="8"/>
  <c r="T78" i="8"/>
  <c r="K167" i="8"/>
  <c r="T167" i="8"/>
  <c r="H167" i="8"/>
  <c r="H273" i="7"/>
  <c r="K273" i="7"/>
  <c r="T273" i="7"/>
  <c r="T272" i="8"/>
  <c r="K272" i="8"/>
  <c r="H272" i="8"/>
  <c r="K247" i="8"/>
  <c r="T247" i="8"/>
  <c r="H247" i="8"/>
  <c r="T234" i="7"/>
  <c r="K234" i="7"/>
  <c r="H234" i="7"/>
  <c r="T270" i="7"/>
  <c r="H270" i="7"/>
  <c r="K270" i="7"/>
  <c r="K28" i="7"/>
  <c r="T28" i="7"/>
  <c r="H28" i="7"/>
  <c r="K27" i="7"/>
  <c r="H27" i="7"/>
  <c r="T27" i="7"/>
  <c r="H183" i="7"/>
  <c r="T183" i="7"/>
  <c r="K183" i="7"/>
  <c r="K26" i="7"/>
  <c r="T26" i="7"/>
  <c r="H26" i="7"/>
  <c r="K25" i="7"/>
  <c r="T25" i="7"/>
  <c r="H25" i="7"/>
  <c r="T40" i="8"/>
  <c r="H40" i="8"/>
  <c r="K40" i="8"/>
  <c r="T249" i="8"/>
  <c r="H249" i="8"/>
  <c r="K249" i="8"/>
  <c r="T248" i="7"/>
  <c r="K248" i="7"/>
  <c r="H248" i="7"/>
  <c r="K226" i="7"/>
  <c r="T226" i="7"/>
  <c r="H226" i="7"/>
  <c r="K234" i="8"/>
  <c r="T234" i="8"/>
  <c r="H234" i="8"/>
  <c r="T270" i="8"/>
  <c r="H270" i="8"/>
  <c r="K270" i="8"/>
  <c r="T28" i="8"/>
  <c r="K28" i="8"/>
  <c r="H28" i="8"/>
  <c r="H27" i="8"/>
  <c r="K27" i="8"/>
  <c r="T27" i="8"/>
  <c r="T183" i="8"/>
  <c r="K183" i="8"/>
  <c r="H183" i="8"/>
  <c r="T267" i="7"/>
  <c r="H267" i="7"/>
  <c r="K267" i="7"/>
  <c r="T25" i="8"/>
  <c r="K25" i="8"/>
  <c r="H25" i="8"/>
  <c r="H189" i="8"/>
  <c r="K189" i="8"/>
  <c r="T189" i="8"/>
  <c r="K187" i="8"/>
  <c r="T187" i="8"/>
  <c r="H187" i="8"/>
  <c r="K115" i="8"/>
  <c r="T115" i="8"/>
  <c r="H115" i="8"/>
  <c r="H103" i="8"/>
  <c r="T103" i="8"/>
  <c r="K103" i="8"/>
  <c r="H112" i="7"/>
  <c r="K112" i="7"/>
  <c r="T112" i="7"/>
  <c r="T235" i="8"/>
  <c r="K235" i="8"/>
  <c r="H235" i="8"/>
  <c r="T238" i="7"/>
  <c r="K238" i="7"/>
  <c r="H238" i="7"/>
  <c r="K41" i="8"/>
  <c r="T41" i="8"/>
  <c r="H41" i="8"/>
  <c r="T162" i="8"/>
  <c r="H162" i="8"/>
  <c r="K162" i="8"/>
  <c r="K229" i="8"/>
  <c r="H229" i="8"/>
  <c r="T229" i="8"/>
  <c r="T32" i="7"/>
  <c r="H32" i="7"/>
  <c r="K32" i="7"/>
  <c r="H295" i="7"/>
  <c r="T295" i="7"/>
  <c r="K295" i="7"/>
  <c r="T280" i="7"/>
  <c r="K280" i="7"/>
  <c r="H280" i="7"/>
  <c r="K73" i="8"/>
  <c r="T73" i="8"/>
  <c r="H73" i="8"/>
  <c r="T223" i="7"/>
  <c r="K223" i="7"/>
  <c r="H223" i="7"/>
  <c r="B175" i="8"/>
  <c r="B175" i="7"/>
  <c r="B83" i="8"/>
  <c r="B83" i="7"/>
  <c r="T266" i="7"/>
  <c r="K266" i="7"/>
  <c r="H266" i="7"/>
  <c r="C265" i="7"/>
  <c r="U265" i="7" s="1"/>
  <c r="T289" i="7"/>
  <c r="K289" i="7"/>
  <c r="H289" i="7"/>
  <c r="T67" i="7"/>
  <c r="K67" i="7"/>
  <c r="H67" i="7"/>
  <c r="T199" i="8"/>
  <c r="H199" i="8"/>
  <c r="K199" i="8"/>
  <c r="T60" i="7"/>
  <c r="K60" i="7"/>
  <c r="H60" i="7"/>
  <c r="T37" i="7"/>
  <c r="K37" i="7"/>
  <c r="H37" i="7"/>
  <c r="T260" i="7"/>
  <c r="K260" i="7"/>
  <c r="L259" i="7" s="1"/>
  <c r="C259" i="7"/>
  <c r="U259" i="7" s="1"/>
  <c r="H260" i="7"/>
  <c r="H148" i="7"/>
  <c r="T148" i="7"/>
  <c r="K148" i="7"/>
  <c r="T38" i="7"/>
  <c r="K38" i="7"/>
  <c r="H38" i="7"/>
  <c r="T299" i="7"/>
  <c r="K299" i="7"/>
  <c r="H299" i="7"/>
  <c r="B53" i="8"/>
  <c r="B53" i="7"/>
  <c r="L178" i="4"/>
  <c r="E345" i="4" s="1"/>
  <c r="B164" i="7"/>
  <c r="B164" i="8"/>
  <c r="L276" i="4"/>
  <c r="E354" i="4" s="1"/>
  <c r="B262" i="8"/>
  <c r="B262" i="7"/>
  <c r="H241" i="7"/>
  <c r="T241" i="7"/>
  <c r="K241" i="7"/>
  <c r="T289" i="8"/>
  <c r="K289" i="8"/>
  <c r="H289" i="8"/>
  <c r="H67" i="8"/>
  <c r="T67" i="8"/>
  <c r="K67" i="8"/>
  <c r="T151" i="8"/>
  <c r="K151" i="8"/>
  <c r="H151" i="8"/>
  <c r="K60" i="8"/>
  <c r="T60" i="8"/>
  <c r="H60" i="8"/>
  <c r="K37" i="8"/>
  <c r="T37" i="8"/>
  <c r="H37" i="8"/>
  <c r="T260" i="8"/>
  <c r="C259" i="8"/>
  <c r="U259" i="8" s="1"/>
  <c r="K260" i="8"/>
  <c r="L259" i="8" s="1"/>
  <c r="H260" i="8"/>
  <c r="K148" i="8"/>
  <c r="H148" i="8"/>
  <c r="T148" i="8"/>
  <c r="K38" i="8"/>
  <c r="T38" i="8"/>
  <c r="H38" i="8"/>
  <c r="T299" i="8"/>
  <c r="K299" i="8"/>
  <c r="H299" i="8"/>
  <c r="K56" i="7"/>
  <c r="H56" i="7"/>
  <c r="T56" i="7"/>
  <c r="K118" i="8"/>
  <c r="T118" i="8"/>
  <c r="H118" i="8"/>
  <c r="T249" i="7"/>
  <c r="K249" i="7"/>
  <c r="H249" i="7"/>
  <c r="K248" i="8"/>
  <c r="H248" i="8"/>
  <c r="T248" i="8"/>
  <c r="K226" i="8"/>
  <c r="T226" i="8"/>
  <c r="H226" i="8"/>
  <c r="K246" i="7"/>
  <c r="H246" i="7"/>
  <c r="T246" i="7"/>
  <c r="H293" i="8"/>
  <c r="T293" i="8"/>
  <c r="K293" i="8"/>
  <c r="K267" i="8"/>
  <c r="T267" i="8"/>
  <c r="H267" i="8"/>
  <c r="K281" i="7"/>
  <c r="H281" i="7"/>
  <c r="T281" i="7"/>
  <c r="K17" i="8"/>
  <c r="T17" i="8"/>
  <c r="H17" i="8"/>
  <c r="B136" i="8"/>
  <c r="B136" i="7"/>
  <c r="B100" i="8"/>
  <c r="B100" i="7"/>
  <c r="L258" i="4"/>
  <c r="F425" i="4" s="1"/>
  <c r="B244" i="8"/>
  <c r="B244" i="7"/>
  <c r="T202" i="7"/>
  <c r="H202" i="7"/>
  <c r="K202" i="7"/>
  <c r="H288" i="7"/>
  <c r="K288" i="7"/>
  <c r="T288" i="7"/>
  <c r="C20" i="8"/>
  <c r="U20" i="8" s="1"/>
  <c r="K21" i="8"/>
  <c r="T21" i="8"/>
  <c r="H21" i="8"/>
  <c r="H263" i="7"/>
  <c r="K263" i="7"/>
  <c r="T263" i="7"/>
  <c r="H237" i="8"/>
  <c r="T237" i="8"/>
  <c r="K237" i="8"/>
  <c r="K105" i="7"/>
  <c r="T105" i="7"/>
  <c r="H105" i="7"/>
  <c r="C275" i="8"/>
  <c r="U275" i="8" s="1"/>
  <c r="T276" i="8"/>
  <c r="K276" i="8"/>
  <c r="H276" i="8"/>
  <c r="T34" i="7"/>
  <c r="K34" i="7"/>
  <c r="H34" i="7"/>
  <c r="T98" i="7"/>
  <c r="K98" i="7"/>
  <c r="H98" i="7"/>
  <c r="H209" i="7"/>
  <c r="T209" i="7"/>
  <c r="K209" i="7"/>
  <c r="K208" i="7"/>
  <c r="T208" i="7"/>
  <c r="H208" i="7"/>
  <c r="T146" i="7"/>
  <c r="H146" i="7"/>
  <c r="K146" i="7"/>
  <c r="K225" i="8"/>
  <c r="T225" i="8"/>
  <c r="H225" i="8"/>
  <c r="T269" i="7"/>
  <c r="K269" i="7"/>
  <c r="H269" i="7"/>
  <c r="T239" i="8"/>
  <c r="K239" i="8"/>
  <c r="H239" i="8"/>
  <c r="H218" i="7"/>
  <c r="K218" i="7"/>
  <c r="T218" i="7"/>
  <c r="K179" i="8"/>
  <c r="H179" i="8"/>
  <c r="T179" i="8"/>
  <c r="T224" i="7"/>
  <c r="K224" i="7"/>
  <c r="H224" i="7"/>
  <c r="T203" i="7"/>
  <c r="K203" i="7"/>
  <c r="H203" i="7"/>
  <c r="T201" i="7"/>
  <c r="K201" i="7"/>
  <c r="H201" i="7"/>
  <c r="T213" i="7"/>
  <c r="K213" i="7"/>
  <c r="H213" i="7"/>
  <c r="T231" i="8"/>
  <c r="H231" i="8"/>
  <c r="K231" i="8"/>
  <c r="T211" i="7"/>
  <c r="H211" i="7"/>
  <c r="K211" i="7"/>
  <c r="T298" i="7"/>
  <c r="K298" i="7"/>
  <c r="H298" i="7"/>
  <c r="K55" i="7"/>
  <c r="H55" i="7"/>
  <c r="T55" i="7"/>
  <c r="K165" i="7"/>
  <c r="T165" i="7"/>
  <c r="H165" i="7"/>
  <c r="T95" i="8"/>
  <c r="K95" i="8"/>
  <c r="H95" i="8"/>
  <c r="K82" i="8"/>
  <c r="T82" i="8"/>
  <c r="H82" i="8"/>
  <c r="T153" i="8"/>
  <c r="H153" i="8"/>
  <c r="K153" i="8"/>
  <c r="K66" i="8"/>
  <c r="T66" i="8"/>
  <c r="H66" i="8"/>
  <c r="T254" i="8"/>
  <c r="K254" i="8"/>
  <c r="H254" i="8"/>
  <c r="T121" i="8"/>
  <c r="K121" i="8"/>
  <c r="H121" i="8"/>
  <c r="T107" i="8"/>
  <c r="K107" i="8"/>
  <c r="H107" i="8"/>
  <c r="T258" i="7"/>
  <c r="H258" i="7"/>
  <c r="K258" i="7"/>
  <c r="T279" i="8"/>
  <c r="K279" i="8"/>
  <c r="H279" i="8"/>
  <c r="T120" i="8"/>
  <c r="K120" i="8"/>
  <c r="H120" i="8"/>
  <c r="T168" i="7"/>
  <c r="K168" i="7"/>
  <c r="H168" i="7"/>
  <c r="T250" i="7"/>
  <c r="H250" i="7"/>
  <c r="K250" i="7"/>
  <c r="B134" i="8"/>
  <c r="B134" i="7"/>
  <c r="T68" i="8"/>
  <c r="K68" i="8"/>
  <c r="H68" i="8"/>
  <c r="T66" i="7"/>
  <c r="H66" i="7"/>
  <c r="K66" i="7"/>
  <c r="K214" i="7"/>
  <c r="H214" i="7"/>
  <c r="T214" i="7"/>
  <c r="K101" i="7"/>
  <c r="T101" i="7"/>
  <c r="H101" i="7"/>
  <c r="T107" i="7"/>
  <c r="K107" i="7"/>
  <c r="H107" i="7"/>
  <c r="K258" i="8"/>
  <c r="T258" i="8"/>
  <c r="H258" i="8"/>
  <c r="T233" i="7"/>
  <c r="K233" i="7"/>
  <c r="H233" i="7"/>
  <c r="K79" i="7"/>
  <c r="T79" i="7"/>
  <c r="H79" i="7"/>
  <c r="C163" i="8"/>
  <c r="U163" i="8" s="1"/>
  <c r="T168" i="8"/>
  <c r="H168" i="8"/>
  <c r="K168" i="8"/>
  <c r="K229" i="7"/>
  <c r="H229" i="7"/>
  <c r="T229" i="7"/>
  <c r="K11" i="8"/>
  <c r="T11" i="8"/>
  <c r="H11" i="8"/>
  <c r="H32" i="8"/>
  <c r="T32" i="8"/>
  <c r="K32" i="8"/>
  <c r="K295" i="8"/>
  <c r="H295" i="8"/>
  <c r="T295" i="8"/>
  <c r="T280" i="8"/>
  <c r="H280" i="8"/>
  <c r="K280" i="8"/>
  <c r="H16" i="7"/>
  <c r="K16" i="7"/>
  <c r="T16" i="7"/>
  <c r="K73" i="7"/>
  <c r="T73" i="7"/>
  <c r="H73" i="7"/>
  <c r="T72" i="7"/>
  <c r="K72" i="7"/>
  <c r="H72" i="7"/>
  <c r="K268" i="8"/>
  <c r="T268" i="8"/>
  <c r="H268" i="8"/>
  <c r="K71" i="8"/>
  <c r="T71" i="8"/>
  <c r="H71" i="8"/>
  <c r="T132" i="8"/>
  <c r="K132" i="8"/>
  <c r="H132" i="8"/>
  <c r="K104" i="7"/>
  <c r="T104" i="7"/>
  <c r="H104" i="7"/>
  <c r="B174" i="8"/>
  <c r="B174" i="7"/>
  <c r="B124" i="8"/>
  <c r="B124" i="7"/>
  <c r="F415" i="4"/>
  <c r="B140" i="8"/>
  <c r="B140" i="7"/>
  <c r="T241" i="8"/>
  <c r="K241" i="8"/>
  <c r="H241" i="8"/>
  <c r="T220" i="7"/>
  <c r="K220" i="7"/>
  <c r="H220" i="7"/>
  <c r="T126" i="7"/>
  <c r="K126" i="7"/>
  <c r="H126" i="7"/>
  <c r="T300" i="7"/>
  <c r="K300" i="7"/>
  <c r="H300" i="7"/>
  <c r="K56" i="8"/>
  <c r="T56" i="8"/>
  <c r="H56" i="8"/>
  <c r="T118" i="7"/>
  <c r="K118" i="7"/>
  <c r="H118" i="7"/>
  <c r="T228" i="7"/>
  <c r="K228" i="7"/>
  <c r="H228" i="7"/>
  <c r="H227" i="7"/>
  <c r="T227" i="7"/>
  <c r="K227" i="7"/>
  <c r="K207" i="7"/>
  <c r="H207" i="7"/>
  <c r="T207" i="7"/>
  <c r="T215" i="7"/>
  <c r="H215" i="7"/>
  <c r="K215" i="7"/>
  <c r="H246" i="8"/>
  <c r="T246" i="8"/>
  <c r="K246" i="8"/>
  <c r="T293" i="7"/>
  <c r="K293" i="7"/>
  <c r="H293" i="7"/>
  <c r="H158" i="7"/>
  <c r="K158" i="7"/>
  <c r="T158" i="7"/>
  <c r="T242" i="7"/>
  <c r="K242" i="7"/>
  <c r="H242" i="7"/>
  <c r="T281" i="8"/>
  <c r="H281" i="8"/>
  <c r="K281" i="8"/>
  <c r="K17" i="7"/>
  <c r="H17" i="7"/>
  <c r="T17" i="7"/>
  <c r="K138" i="8"/>
  <c r="T138" i="8"/>
  <c r="H138" i="8"/>
  <c r="K137" i="7"/>
  <c r="T137" i="7"/>
  <c r="H137" i="7"/>
  <c r="T74" i="7"/>
  <c r="K74" i="7"/>
  <c r="H74" i="7"/>
  <c r="K61" i="7"/>
  <c r="T61" i="7"/>
  <c r="H61" i="7"/>
  <c r="K114" i="8"/>
  <c r="T114" i="8"/>
  <c r="H114" i="8"/>
  <c r="H184" i="7"/>
  <c r="T184" i="7"/>
  <c r="K184" i="7"/>
  <c r="T292" i="7"/>
  <c r="K292" i="7"/>
  <c r="H292" i="7"/>
  <c r="H182" i="7"/>
  <c r="T182" i="7"/>
  <c r="K182" i="7"/>
  <c r="T178" i="7"/>
  <c r="K178" i="7"/>
  <c r="H178" i="7"/>
  <c r="K282" i="7"/>
  <c r="H282" i="7"/>
  <c r="T282" i="7"/>
  <c r="B76" i="7"/>
  <c r="B76" i="8"/>
  <c r="B152" i="7"/>
  <c r="C150" i="7" s="1"/>
  <c r="U150" i="7" s="1"/>
  <c r="B152" i="8"/>
  <c r="T23" i="7"/>
  <c r="K23" i="7"/>
  <c r="H23" i="7"/>
  <c r="H151" i="7"/>
  <c r="K151" i="7"/>
  <c r="T151" i="7"/>
  <c r="B198" i="8"/>
  <c r="B198" i="7"/>
  <c r="B173" i="7"/>
  <c r="B173" i="8"/>
  <c r="T264" i="7"/>
  <c r="K264" i="7"/>
  <c r="H264" i="7"/>
  <c r="K23" i="8"/>
  <c r="T23" i="8"/>
  <c r="H23" i="8"/>
  <c r="T21" i="7"/>
  <c r="K21" i="7"/>
  <c r="H21" i="7"/>
  <c r="C20" i="7"/>
  <c r="U20" i="7" s="1"/>
  <c r="K278" i="8"/>
  <c r="T278" i="8"/>
  <c r="H278" i="8"/>
  <c r="T220" i="8"/>
  <c r="H220" i="8"/>
  <c r="K220" i="8"/>
  <c r="K237" i="7"/>
  <c r="T237" i="7"/>
  <c r="H237" i="7"/>
  <c r="K126" i="8"/>
  <c r="H126" i="8"/>
  <c r="T126" i="8"/>
  <c r="T300" i="8"/>
  <c r="H300" i="8"/>
  <c r="K300" i="8"/>
  <c r="H276" i="7"/>
  <c r="C275" i="7"/>
  <c r="U275" i="7" s="1"/>
  <c r="K276" i="7"/>
  <c r="T276" i="7"/>
  <c r="T34" i="8"/>
  <c r="H34" i="8"/>
  <c r="K34" i="8"/>
  <c r="K98" i="8"/>
  <c r="T98" i="8"/>
  <c r="H98" i="8"/>
  <c r="T228" i="8"/>
  <c r="K228" i="8"/>
  <c r="H228" i="8"/>
  <c r="K227" i="8"/>
  <c r="T227" i="8"/>
  <c r="H227" i="8"/>
  <c r="K207" i="8"/>
  <c r="T207" i="8"/>
  <c r="H207" i="8"/>
  <c r="K215" i="8"/>
  <c r="T215" i="8"/>
  <c r="H215" i="8"/>
  <c r="T225" i="7"/>
  <c r="K225" i="7"/>
  <c r="H225" i="7"/>
  <c r="T269" i="8"/>
  <c r="K269" i="8"/>
  <c r="H269" i="8"/>
  <c r="K158" i="8"/>
  <c r="T158" i="8"/>
  <c r="H158" i="8"/>
  <c r="H242" i="8"/>
  <c r="K242" i="8"/>
  <c r="T242" i="8"/>
  <c r="T256" i="7"/>
  <c r="H256" i="7"/>
  <c r="K256" i="7"/>
  <c r="B30" i="8"/>
  <c r="B30" i="7"/>
  <c r="L20" i="4"/>
  <c r="E328" i="4" s="1"/>
  <c r="B6" i="7"/>
  <c r="B6" i="8"/>
  <c r="T15" i="8"/>
  <c r="K15" i="8"/>
  <c r="H15" i="8"/>
  <c r="K15" i="7"/>
  <c r="H15" i="7"/>
  <c r="T15" i="7"/>
  <c r="T19" i="8"/>
  <c r="K19" i="8"/>
  <c r="H19" i="8"/>
  <c r="T19" i="7"/>
  <c r="H19" i="7"/>
  <c r="K19" i="7"/>
  <c r="T8" i="8"/>
  <c r="C7" i="8"/>
  <c r="K8" i="8"/>
  <c r="H8" i="8"/>
  <c r="T8" i="7"/>
  <c r="C7" i="7"/>
  <c r="K8" i="7"/>
  <c r="H8" i="7"/>
  <c r="G103" i="4"/>
  <c r="K103" i="4" s="1"/>
  <c r="G102" i="4"/>
  <c r="K102" i="4" s="1"/>
  <c r="G79" i="4"/>
  <c r="K79" i="4" s="1"/>
  <c r="O8" i="4"/>
  <c r="G205" i="4"/>
  <c r="K205" i="4" s="1"/>
  <c r="G69" i="4"/>
  <c r="K69" i="4" s="1"/>
  <c r="G175" i="4"/>
  <c r="K175" i="4" s="1"/>
  <c r="G126" i="4"/>
  <c r="K126" i="4" s="1"/>
  <c r="G104" i="4"/>
  <c r="K104" i="4" s="1"/>
  <c r="G176" i="4"/>
  <c r="K176" i="4" s="1"/>
  <c r="G73" i="4"/>
  <c r="K73" i="4" s="1"/>
  <c r="G128" i="4"/>
  <c r="K128" i="4" s="1"/>
  <c r="G187" i="4"/>
  <c r="K187" i="4" s="1"/>
  <c r="G114" i="4"/>
  <c r="K114" i="4" s="1"/>
  <c r="G101" i="4"/>
  <c r="K101" i="4" s="1"/>
  <c r="G80" i="4"/>
  <c r="K80" i="4" s="1"/>
  <c r="G132" i="4"/>
  <c r="K132" i="4" s="1"/>
  <c r="G123" i="4"/>
  <c r="K123" i="4" s="1"/>
  <c r="G29" i="4"/>
  <c r="K29" i="4" s="1"/>
  <c r="K300" i="4" s="1"/>
  <c r="G236" i="4"/>
  <c r="K236" i="4" s="1"/>
  <c r="G78" i="4"/>
  <c r="K78" i="4" s="1"/>
  <c r="G46" i="4"/>
  <c r="K46" i="4" s="1"/>
  <c r="G125" i="4"/>
  <c r="K125" i="4" s="1"/>
  <c r="F497" i="4"/>
  <c r="L165" i="4"/>
  <c r="F382" i="4" s="1"/>
  <c r="F430" i="4"/>
  <c r="F510" i="4"/>
  <c r="F437" i="4"/>
  <c r="L211" i="4"/>
  <c r="E350" i="4" s="1"/>
  <c r="L84" i="4"/>
  <c r="E336" i="4" s="1"/>
  <c r="F503" i="4"/>
  <c r="L154" i="4"/>
  <c r="E339" i="4" s="1"/>
  <c r="L207" i="4"/>
  <c r="L156" i="4"/>
  <c r="E340" i="4" s="1"/>
  <c r="F394" i="4"/>
  <c r="F427" i="4"/>
  <c r="F492" i="4"/>
  <c r="L137" i="4"/>
  <c r="E338" i="4" s="1"/>
  <c r="E358" i="4"/>
  <c r="F397" i="4"/>
  <c r="F385" i="4"/>
  <c r="E343" i="4"/>
  <c r="F383" i="4"/>
  <c r="F395" i="4"/>
  <c r="E355" i="4"/>
  <c r="E341" i="4"/>
  <c r="F371" i="4"/>
  <c r="F422" i="4"/>
  <c r="E329" i="4"/>
  <c r="E346" i="4"/>
  <c r="F386" i="4"/>
  <c r="F392" i="4" l="1"/>
  <c r="E352" i="4"/>
  <c r="L275" i="8"/>
  <c r="L156" i="7"/>
  <c r="L20" i="7"/>
  <c r="F390" i="4"/>
  <c r="F423" i="4"/>
  <c r="F370" i="4"/>
  <c r="B89" i="8"/>
  <c r="B89" i="7"/>
  <c r="H173" i="8"/>
  <c r="K173" i="8"/>
  <c r="T173" i="8"/>
  <c r="T174" i="8"/>
  <c r="K174" i="8"/>
  <c r="H174" i="8"/>
  <c r="Q66" i="7"/>
  <c r="Z66" i="7"/>
  <c r="Z258" i="7"/>
  <c r="Q258" i="7"/>
  <c r="Z95" i="8"/>
  <c r="Q95" i="8"/>
  <c r="Q276" i="8"/>
  <c r="Z276" i="8"/>
  <c r="I275" i="8"/>
  <c r="AA275" i="8" s="1"/>
  <c r="Q299" i="8"/>
  <c r="Z299" i="8"/>
  <c r="Z25" i="8"/>
  <c r="Q25" i="8"/>
  <c r="K128" i="7"/>
  <c r="H128" i="7"/>
  <c r="T128" i="7"/>
  <c r="Q217" i="7"/>
  <c r="Z217" i="7"/>
  <c r="Z36" i="8"/>
  <c r="Q36" i="8"/>
  <c r="Z109" i="7"/>
  <c r="Q109" i="7"/>
  <c r="Q120" i="7"/>
  <c r="Z120" i="7"/>
  <c r="C141" i="8"/>
  <c r="U141" i="8" s="1"/>
  <c r="H142" i="8"/>
  <c r="T142" i="8"/>
  <c r="K142" i="8"/>
  <c r="Z47" i="7"/>
  <c r="Q47" i="7"/>
  <c r="H177" i="8"/>
  <c r="T177" i="8"/>
  <c r="K177" i="8"/>
  <c r="H116" i="8"/>
  <c r="K116" i="8"/>
  <c r="T116" i="8"/>
  <c r="Q147" i="7"/>
  <c r="Z147" i="7"/>
  <c r="Z166" i="7"/>
  <c r="Q166" i="7"/>
  <c r="K219" i="8"/>
  <c r="H219" i="8"/>
  <c r="T219" i="8"/>
  <c r="Z253" i="7"/>
  <c r="Q253" i="7"/>
  <c r="Q52" i="8"/>
  <c r="Z52" i="8"/>
  <c r="Q230" i="8"/>
  <c r="Z230" i="8"/>
  <c r="Z103" i="7"/>
  <c r="Q103" i="7"/>
  <c r="Q251" i="8"/>
  <c r="Z251" i="8"/>
  <c r="Q67" i="7"/>
  <c r="Z67" i="7"/>
  <c r="Q280" i="7"/>
  <c r="Z280" i="7"/>
  <c r="Z226" i="7"/>
  <c r="Q226" i="7"/>
  <c r="Z183" i="7"/>
  <c r="Q183" i="7"/>
  <c r="Q59" i="8"/>
  <c r="Z59" i="8"/>
  <c r="K128" i="8"/>
  <c r="T128" i="8"/>
  <c r="H128" i="8"/>
  <c r="Z272" i="7"/>
  <c r="Q272" i="7"/>
  <c r="Q52" i="7"/>
  <c r="Z52" i="7"/>
  <c r="Z279" i="7"/>
  <c r="Q279" i="7"/>
  <c r="Z62" i="8"/>
  <c r="Q62" i="8"/>
  <c r="Z296" i="7"/>
  <c r="Q296" i="7"/>
  <c r="Z106" i="8"/>
  <c r="Q106" i="8"/>
  <c r="K45" i="7"/>
  <c r="H45" i="7"/>
  <c r="T45" i="7"/>
  <c r="Z278" i="7"/>
  <c r="Q278" i="7"/>
  <c r="Q191" i="8"/>
  <c r="Z191" i="8"/>
  <c r="Q181" i="7"/>
  <c r="Z181" i="7"/>
  <c r="Z146" i="8"/>
  <c r="Q146" i="8"/>
  <c r="Z126" i="8"/>
  <c r="Q126" i="8"/>
  <c r="Q151" i="8"/>
  <c r="Z151" i="8"/>
  <c r="Z199" i="8"/>
  <c r="Q199" i="8"/>
  <c r="Z238" i="7"/>
  <c r="Q238" i="7"/>
  <c r="Z242" i="8"/>
  <c r="Q242" i="8"/>
  <c r="T198" i="7"/>
  <c r="K198" i="7"/>
  <c r="H198" i="7"/>
  <c r="Z246" i="8"/>
  <c r="Q246" i="8"/>
  <c r="Z300" i="7"/>
  <c r="Q300" i="7"/>
  <c r="Q107" i="8"/>
  <c r="Z107" i="8"/>
  <c r="H194" i="7"/>
  <c r="T194" i="7"/>
  <c r="K194" i="7"/>
  <c r="Z204" i="7"/>
  <c r="Q204" i="7"/>
  <c r="Z123" i="8"/>
  <c r="Q123" i="8"/>
  <c r="Q131" i="8"/>
  <c r="Z131" i="8"/>
  <c r="Z236" i="7"/>
  <c r="Q236" i="7"/>
  <c r="Q211" i="8"/>
  <c r="Z211" i="8"/>
  <c r="Z214" i="8"/>
  <c r="Q214" i="8"/>
  <c r="H45" i="8"/>
  <c r="K45" i="8"/>
  <c r="T45" i="8"/>
  <c r="Z132" i="7"/>
  <c r="Q132" i="7"/>
  <c r="Z114" i="7"/>
  <c r="Q114" i="7"/>
  <c r="Z155" i="7"/>
  <c r="I154" i="7"/>
  <c r="AA154" i="7" s="1"/>
  <c r="Q155" i="7"/>
  <c r="R154" i="7" s="1"/>
  <c r="Z252" i="8"/>
  <c r="Q252" i="8"/>
  <c r="Q293" i="8"/>
  <c r="Z293" i="8"/>
  <c r="B160" i="8"/>
  <c r="B160" i="7"/>
  <c r="Q228" i="8"/>
  <c r="Z228" i="8"/>
  <c r="Z138" i="8"/>
  <c r="Q138" i="8"/>
  <c r="Z68" i="8"/>
  <c r="Q68" i="8"/>
  <c r="Q225" i="8"/>
  <c r="Z225" i="8"/>
  <c r="Z38" i="7"/>
  <c r="Q38" i="7"/>
  <c r="Z235" i="8"/>
  <c r="Q235" i="8"/>
  <c r="Z273" i="7"/>
  <c r="Q273" i="7"/>
  <c r="Z49" i="7"/>
  <c r="Q49" i="7"/>
  <c r="B46" i="8"/>
  <c r="B46" i="7"/>
  <c r="Z158" i="8"/>
  <c r="Q158" i="8"/>
  <c r="K198" i="8"/>
  <c r="T198" i="8"/>
  <c r="H198" i="8"/>
  <c r="Q182" i="7"/>
  <c r="Z182" i="7"/>
  <c r="Q280" i="8"/>
  <c r="Z280" i="8"/>
  <c r="Z165" i="7"/>
  <c r="Q165" i="7"/>
  <c r="C243" i="7"/>
  <c r="U243" i="7" s="1"/>
  <c r="K244" i="7"/>
  <c r="L243" i="7" s="1"/>
  <c r="H244" i="7"/>
  <c r="T244" i="7"/>
  <c r="Q246" i="7"/>
  <c r="Z246" i="7"/>
  <c r="Q38" i="8"/>
  <c r="Z38" i="8"/>
  <c r="Q27" i="7"/>
  <c r="Z27" i="7"/>
  <c r="Q167" i="8"/>
  <c r="Z167" i="8"/>
  <c r="H194" i="8"/>
  <c r="K194" i="8"/>
  <c r="T194" i="8"/>
  <c r="Q283" i="8"/>
  <c r="Z283" i="8"/>
  <c r="Q50" i="8"/>
  <c r="Z50" i="8"/>
  <c r="Z96" i="7"/>
  <c r="Q96" i="7"/>
  <c r="Q43" i="7"/>
  <c r="Z43" i="7"/>
  <c r="Z290" i="8"/>
  <c r="Q290" i="8"/>
  <c r="Q288" i="8"/>
  <c r="Z288" i="8"/>
  <c r="Z82" i="7"/>
  <c r="Q82" i="7"/>
  <c r="H205" i="7"/>
  <c r="T205" i="7"/>
  <c r="K205" i="7"/>
  <c r="Z186" i="8"/>
  <c r="Q186" i="8"/>
  <c r="B54" i="7"/>
  <c r="C44" i="7" s="1"/>
  <c r="U44" i="7" s="1"/>
  <c r="B54" i="8"/>
  <c r="C44" i="8" s="1"/>
  <c r="U44" i="8" s="1"/>
  <c r="Q292" i="7"/>
  <c r="Z292" i="7"/>
  <c r="Z215" i="7"/>
  <c r="Q215" i="7"/>
  <c r="Z132" i="8"/>
  <c r="Q132" i="8"/>
  <c r="Z233" i="7"/>
  <c r="Q233" i="7"/>
  <c r="Z203" i="7"/>
  <c r="Q203" i="7"/>
  <c r="Z105" i="7"/>
  <c r="Q105" i="7"/>
  <c r="K244" i="8"/>
  <c r="L243" i="8" s="1"/>
  <c r="T244" i="8"/>
  <c r="H244" i="8"/>
  <c r="C243" i="8"/>
  <c r="U243" i="8" s="1"/>
  <c r="Z67" i="8"/>
  <c r="Q67" i="8"/>
  <c r="I286" i="7"/>
  <c r="AA286" i="7" s="1"/>
  <c r="Z289" i="7"/>
  <c r="Q289" i="7"/>
  <c r="Q267" i="7"/>
  <c r="Z267" i="7"/>
  <c r="Q248" i="7"/>
  <c r="Z248" i="7"/>
  <c r="Z102" i="7"/>
  <c r="Q102" i="7"/>
  <c r="K90" i="7"/>
  <c r="H90" i="7"/>
  <c r="T90" i="7"/>
  <c r="Q294" i="7"/>
  <c r="Z294" i="7"/>
  <c r="C122" i="8"/>
  <c r="U122" i="8" s="1"/>
  <c r="Z47" i="8"/>
  <c r="Q47" i="8"/>
  <c r="Q51" i="7"/>
  <c r="Z51" i="7"/>
  <c r="Q238" i="8"/>
  <c r="Z238" i="8"/>
  <c r="Q72" i="8"/>
  <c r="Z72" i="8"/>
  <c r="Q96" i="8"/>
  <c r="Z96" i="8"/>
  <c r="Q115" i="7"/>
  <c r="Z115" i="7"/>
  <c r="H205" i="8"/>
  <c r="K205" i="8"/>
  <c r="T205" i="8"/>
  <c r="Q79" i="7"/>
  <c r="Z79" i="7"/>
  <c r="Z202" i="7"/>
  <c r="Q202" i="7"/>
  <c r="Q126" i="7"/>
  <c r="Z126" i="7"/>
  <c r="Q121" i="8"/>
  <c r="Z121" i="8"/>
  <c r="Z226" i="8"/>
  <c r="Q226" i="8"/>
  <c r="Z289" i="8"/>
  <c r="Q289" i="8"/>
  <c r="Z28" i="7"/>
  <c r="Q28" i="7"/>
  <c r="T90" i="8"/>
  <c r="K90" i="8"/>
  <c r="H90" i="8"/>
  <c r="Q273" i="8"/>
  <c r="Z273" i="8"/>
  <c r="Z290" i="7"/>
  <c r="Q290" i="7"/>
  <c r="Z282" i="8"/>
  <c r="Q282" i="8"/>
  <c r="Z48" i="8"/>
  <c r="Q48" i="8"/>
  <c r="Z297" i="7"/>
  <c r="Q297" i="7"/>
  <c r="Z22" i="8"/>
  <c r="Q22" i="8"/>
  <c r="Z92" i="8"/>
  <c r="Q92" i="8"/>
  <c r="Z200" i="8"/>
  <c r="Q200" i="8"/>
  <c r="Z251" i="7"/>
  <c r="Q251" i="7"/>
  <c r="Q71" i="7"/>
  <c r="Z71" i="7"/>
  <c r="Z264" i="8"/>
  <c r="Q264" i="8"/>
  <c r="Z61" i="8"/>
  <c r="Q61" i="8"/>
  <c r="Z212" i="7"/>
  <c r="Q212" i="7"/>
  <c r="Z231" i="7"/>
  <c r="Q231" i="7"/>
  <c r="Z235" i="7"/>
  <c r="Q235" i="7"/>
  <c r="Z149" i="7"/>
  <c r="Q149" i="7"/>
  <c r="K170" i="7"/>
  <c r="L169" i="7" s="1"/>
  <c r="C169" i="7"/>
  <c r="U169" i="7" s="1"/>
  <c r="H170" i="7"/>
  <c r="T170" i="7"/>
  <c r="Q220" i="8"/>
  <c r="Z220" i="8"/>
  <c r="Q17" i="7"/>
  <c r="Z17" i="7"/>
  <c r="Z295" i="7"/>
  <c r="Q295" i="7"/>
  <c r="Z183" i="8"/>
  <c r="Q183" i="8"/>
  <c r="Z59" i="7"/>
  <c r="Q59" i="7"/>
  <c r="L286" i="7"/>
  <c r="Z12" i="8"/>
  <c r="Q12" i="8"/>
  <c r="Q104" i="8"/>
  <c r="Z104" i="8"/>
  <c r="Z240" i="7"/>
  <c r="Q240" i="7"/>
  <c r="Z74" i="8"/>
  <c r="Q74" i="8"/>
  <c r="Q95" i="7"/>
  <c r="Z95" i="7"/>
  <c r="Q84" i="8"/>
  <c r="Z84" i="8"/>
  <c r="Q187" i="7"/>
  <c r="Z187" i="7"/>
  <c r="C169" i="8"/>
  <c r="U169" i="8" s="1"/>
  <c r="T170" i="8"/>
  <c r="H170" i="8"/>
  <c r="K170" i="8"/>
  <c r="L169" i="8" s="1"/>
  <c r="Z208" i="8"/>
  <c r="Q208" i="8"/>
  <c r="T134" i="7"/>
  <c r="K134" i="7"/>
  <c r="H134" i="7"/>
  <c r="F411" i="4"/>
  <c r="B110" i="8"/>
  <c r="B110" i="7"/>
  <c r="Q295" i="8"/>
  <c r="Z295" i="8"/>
  <c r="Z146" i="7"/>
  <c r="Q146" i="7"/>
  <c r="K100" i="7"/>
  <c r="H100" i="7"/>
  <c r="T100" i="7"/>
  <c r="L44" i="4"/>
  <c r="B31" i="7"/>
  <c r="B31" i="8"/>
  <c r="C29" i="8" s="1"/>
  <c r="U29" i="8" s="1"/>
  <c r="B64" i="8"/>
  <c r="B64" i="7"/>
  <c r="Q278" i="8"/>
  <c r="Z278" i="8"/>
  <c r="Z151" i="7"/>
  <c r="Q151" i="7"/>
  <c r="Q207" i="7"/>
  <c r="Z207" i="7"/>
  <c r="Z71" i="8"/>
  <c r="Q71" i="8"/>
  <c r="Z258" i="8"/>
  <c r="Q258" i="8"/>
  <c r="Z55" i="7"/>
  <c r="Q55" i="7"/>
  <c r="Z224" i="7"/>
  <c r="Q224" i="7"/>
  <c r="T100" i="8"/>
  <c r="H100" i="8"/>
  <c r="K100" i="8"/>
  <c r="Q148" i="8"/>
  <c r="Z148" i="8"/>
  <c r="Q148" i="7"/>
  <c r="Z148" i="7"/>
  <c r="Z112" i="7"/>
  <c r="Q112" i="7"/>
  <c r="Q78" i="8"/>
  <c r="Z78" i="8"/>
  <c r="Z199" i="7"/>
  <c r="Q199" i="7"/>
  <c r="Z40" i="7"/>
  <c r="Q40" i="7"/>
  <c r="T176" i="7"/>
  <c r="H176" i="7"/>
  <c r="K176" i="7"/>
  <c r="Z97" i="8"/>
  <c r="Q97" i="8"/>
  <c r="Z178" i="8"/>
  <c r="Q178" i="8"/>
  <c r="Q50" i="7"/>
  <c r="Z50" i="7"/>
  <c r="Z210" i="7"/>
  <c r="Q210" i="7"/>
  <c r="Q80" i="7"/>
  <c r="Z80" i="7"/>
  <c r="Z127" i="8"/>
  <c r="Q127" i="8"/>
  <c r="Z16" i="8"/>
  <c r="Q16" i="8"/>
  <c r="Q97" i="7"/>
  <c r="Z97" i="7"/>
  <c r="Q147" i="8"/>
  <c r="Z147" i="8"/>
  <c r="L203" i="4"/>
  <c r="B190" i="7"/>
  <c r="B190" i="8"/>
  <c r="Q98" i="8"/>
  <c r="Z98" i="8"/>
  <c r="B63" i="8"/>
  <c r="B63" i="7"/>
  <c r="B87" i="8"/>
  <c r="B87" i="7"/>
  <c r="Q23" i="7"/>
  <c r="Z23" i="7"/>
  <c r="Z220" i="7"/>
  <c r="Q220" i="7"/>
  <c r="Z250" i="7"/>
  <c r="Q250" i="7"/>
  <c r="Q254" i="8"/>
  <c r="Z254" i="8"/>
  <c r="Z208" i="7"/>
  <c r="Q208" i="7"/>
  <c r="T136" i="7"/>
  <c r="K136" i="7"/>
  <c r="H136" i="7"/>
  <c r="I259" i="7"/>
  <c r="AA259" i="7" s="1"/>
  <c r="Z260" i="7"/>
  <c r="Q260" i="7"/>
  <c r="R259" i="7" s="1"/>
  <c r="Z266" i="7"/>
  <c r="Q266" i="7"/>
  <c r="I265" i="7"/>
  <c r="AA265" i="7" s="1"/>
  <c r="Z32" i="7"/>
  <c r="Q32" i="7"/>
  <c r="Q249" i="8"/>
  <c r="Z249" i="8"/>
  <c r="Z255" i="8"/>
  <c r="Q255" i="8"/>
  <c r="Z236" i="8"/>
  <c r="Q236" i="8"/>
  <c r="T193" i="7"/>
  <c r="C192" i="7"/>
  <c r="U192" i="7" s="1"/>
  <c r="K193" i="7"/>
  <c r="H193" i="7"/>
  <c r="H176" i="8"/>
  <c r="T176" i="8"/>
  <c r="K176" i="8"/>
  <c r="Z130" i="7"/>
  <c r="Q130" i="7"/>
  <c r="Z274" i="7"/>
  <c r="Q274" i="7"/>
  <c r="Z155" i="8"/>
  <c r="I154" i="8"/>
  <c r="AA154" i="8" s="1"/>
  <c r="Q155" i="8"/>
  <c r="R154" i="8" s="1"/>
  <c r="Z202" i="8"/>
  <c r="Q202" i="8"/>
  <c r="Q268" i="7"/>
  <c r="Z268" i="7"/>
  <c r="Z125" i="8"/>
  <c r="Q125" i="8"/>
  <c r="Q165" i="8"/>
  <c r="Z165" i="8"/>
  <c r="Z222" i="7"/>
  <c r="Q222" i="7"/>
  <c r="Q222" i="8"/>
  <c r="Z222" i="8"/>
  <c r="L221" i="4"/>
  <c r="B221" i="8"/>
  <c r="B221" i="7"/>
  <c r="B88" i="8"/>
  <c r="B88" i="7"/>
  <c r="Q225" i="7"/>
  <c r="Z225" i="7"/>
  <c r="Z34" i="8"/>
  <c r="Q34" i="8"/>
  <c r="Q281" i="8"/>
  <c r="Z281" i="8"/>
  <c r="Q298" i="7"/>
  <c r="Z298" i="7"/>
  <c r="Z237" i="8"/>
  <c r="Q237" i="8"/>
  <c r="H136" i="8"/>
  <c r="T136" i="8"/>
  <c r="K136" i="8"/>
  <c r="Q248" i="8"/>
  <c r="Z248" i="8"/>
  <c r="I259" i="8"/>
  <c r="AA259" i="8" s="1"/>
  <c r="Q260" i="8"/>
  <c r="R259" i="8" s="1"/>
  <c r="Z260" i="8"/>
  <c r="L265" i="7"/>
  <c r="Z270" i="7"/>
  <c r="Q270" i="7"/>
  <c r="Q13" i="8"/>
  <c r="Z13" i="8"/>
  <c r="Q26" i="8"/>
  <c r="Z26" i="8"/>
  <c r="Q167" i="7"/>
  <c r="Z167" i="7"/>
  <c r="Z43" i="8"/>
  <c r="Q43" i="8"/>
  <c r="C192" i="8"/>
  <c r="U192" i="8" s="1"/>
  <c r="H193" i="8"/>
  <c r="K193" i="8"/>
  <c r="T193" i="8"/>
  <c r="K195" i="8"/>
  <c r="H195" i="8"/>
  <c r="T195" i="8"/>
  <c r="Z230" i="7"/>
  <c r="Q230" i="7"/>
  <c r="Q145" i="7"/>
  <c r="Z145" i="7"/>
  <c r="Z213" i="8"/>
  <c r="Q213" i="8"/>
  <c r="Q277" i="8"/>
  <c r="Z277" i="8"/>
  <c r="Z216" i="7"/>
  <c r="Q216" i="7"/>
  <c r="Z106" i="7"/>
  <c r="Q106" i="7"/>
  <c r="Z189" i="7"/>
  <c r="Q189" i="7"/>
  <c r="G57" i="4"/>
  <c r="K57" i="4" s="1"/>
  <c r="Z184" i="7"/>
  <c r="Q184" i="7"/>
  <c r="L24" i="4"/>
  <c r="E330" i="4" s="1"/>
  <c r="B14" i="8"/>
  <c r="B14" i="7"/>
  <c r="Q114" i="8"/>
  <c r="Z114" i="8"/>
  <c r="Q268" i="8"/>
  <c r="Z268" i="8"/>
  <c r="Q32" i="8"/>
  <c r="Z32" i="8"/>
  <c r="Q107" i="7"/>
  <c r="Z107" i="7"/>
  <c r="Z168" i="7"/>
  <c r="Q168" i="7"/>
  <c r="Z17" i="8"/>
  <c r="Q17" i="8"/>
  <c r="Z241" i="7"/>
  <c r="Q241" i="7"/>
  <c r="Z103" i="8"/>
  <c r="Q103" i="8"/>
  <c r="Q102" i="8"/>
  <c r="Z102" i="8"/>
  <c r="T144" i="7"/>
  <c r="K144" i="7"/>
  <c r="H144" i="7"/>
  <c r="T195" i="7"/>
  <c r="K195" i="7"/>
  <c r="H195" i="7"/>
  <c r="Z33" i="8"/>
  <c r="Q33" i="8"/>
  <c r="Z51" i="8"/>
  <c r="Q51" i="8"/>
  <c r="Z127" i="7"/>
  <c r="Q127" i="7"/>
  <c r="Q11" i="7"/>
  <c r="Z11" i="7"/>
  <c r="Z212" i="8"/>
  <c r="Q212" i="8"/>
  <c r="Z93" i="8"/>
  <c r="Q93" i="8"/>
  <c r="Z179" i="7"/>
  <c r="Q179" i="7"/>
  <c r="Z209" i="8"/>
  <c r="Q209" i="8"/>
  <c r="F409" i="4"/>
  <c r="B108" i="8"/>
  <c r="B108" i="7"/>
  <c r="I20" i="7"/>
  <c r="AA20" i="7" s="1"/>
  <c r="Z21" i="7"/>
  <c r="Q21" i="7"/>
  <c r="C150" i="8"/>
  <c r="U150" i="8" s="1"/>
  <c r="K152" i="8"/>
  <c r="L150" i="8" s="1"/>
  <c r="T152" i="8"/>
  <c r="H152" i="8"/>
  <c r="Q242" i="7"/>
  <c r="Z242" i="7"/>
  <c r="Q241" i="8"/>
  <c r="Z241" i="8"/>
  <c r="Z11" i="8"/>
  <c r="Q11" i="8"/>
  <c r="Q66" i="8"/>
  <c r="Z66" i="8"/>
  <c r="Q179" i="8"/>
  <c r="Z179" i="8"/>
  <c r="Z249" i="7"/>
  <c r="Q249" i="7"/>
  <c r="H262" i="7"/>
  <c r="K262" i="7"/>
  <c r="L261" i="7" s="1"/>
  <c r="T262" i="7"/>
  <c r="C261" i="7"/>
  <c r="U261" i="7" s="1"/>
  <c r="H83" i="7"/>
  <c r="K83" i="7"/>
  <c r="T83" i="7"/>
  <c r="Q229" i="8"/>
  <c r="Z229" i="8"/>
  <c r="Z115" i="8"/>
  <c r="Q115" i="8"/>
  <c r="Z27" i="8"/>
  <c r="Q27" i="8"/>
  <c r="Q40" i="8"/>
  <c r="Z40" i="8"/>
  <c r="Z234" i="7"/>
  <c r="Q234" i="7"/>
  <c r="Q24" i="8"/>
  <c r="Z24" i="8"/>
  <c r="Z78" i="7"/>
  <c r="Q78" i="7"/>
  <c r="I286" i="8"/>
  <c r="AA286" i="8" s="1"/>
  <c r="Q287" i="8"/>
  <c r="Z287" i="8"/>
  <c r="T144" i="8"/>
  <c r="K144" i="8"/>
  <c r="H144" i="8"/>
  <c r="Z93" i="7"/>
  <c r="Q93" i="7"/>
  <c r="Z68" i="7"/>
  <c r="Q68" i="7"/>
  <c r="T75" i="7"/>
  <c r="H75" i="7"/>
  <c r="K75" i="7"/>
  <c r="Z105" i="8"/>
  <c r="Q105" i="8"/>
  <c r="C196" i="7"/>
  <c r="U196" i="7" s="1"/>
  <c r="H197" i="7"/>
  <c r="T197" i="7"/>
  <c r="K197" i="7"/>
  <c r="Q137" i="8"/>
  <c r="Z137" i="8"/>
  <c r="Z203" i="8"/>
  <c r="Q203" i="8"/>
  <c r="Z166" i="8"/>
  <c r="Q166" i="8"/>
  <c r="Z133" i="8"/>
  <c r="Q133" i="8"/>
  <c r="Z253" i="8"/>
  <c r="Q253" i="8"/>
  <c r="Z133" i="7"/>
  <c r="Q133" i="7"/>
  <c r="Z269" i="8"/>
  <c r="Q269" i="8"/>
  <c r="Q263" i="7"/>
  <c r="Z263" i="7"/>
  <c r="T262" i="8"/>
  <c r="H262" i="8"/>
  <c r="K262" i="8"/>
  <c r="L261" i="8" s="1"/>
  <c r="C261" i="8"/>
  <c r="U261" i="8" s="1"/>
  <c r="Z204" i="8"/>
  <c r="Q204" i="8"/>
  <c r="Z296" i="8"/>
  <c r="Q296" i="8"/>
  <c r="Z62" i="7"/>
  <c r="Q62" i="7"/>
  <c r="Q252" i="7"/>
  <c r="Z252" i="7"/>
  <c r="Z22" i="7"/>
  <c r="Q22" i="7"/>
  <c r="L156" i="8"/>
  <c r="Z138" i="7"/>
  <c r="Q138" i="7"/>
  <c r="Z232" i="7"/>
  <c r="Q232" i="7"/>
  <c r="Z77" i="8"/>
  <c r="Q77" i="8"/>
  <c r="Q227" i="8"/>
  <c r="Z227" i="8"/>
  <c r="T174" i="7"/>
  <c r="K174" i="7"/>
  <c r="H174" i="7"/>
  <c r="Z269" i="7"/>
  <c r="Q269" i="7"/>
  <c r="Z288" i="7"/>
  <c r="Q288" i="7"/>
  <c r="Z299" i="7"/>
  <c r="Q299" i="7"/>
  <c r="Q189" i="8"/>
  <c r="Z189" i="8"/>
  <c r="B117" i="7"/>
  <c r="B117" i="8"/>
  <c r="Z215" i="8"/>
  <c r="Q215" i="8"/>
  <c r="H152" i="7"/>
  <c r="I150" i="7" s="1"/>
  <c r="AA150" i="7" s="1"/>
  <c r="T152" i="7"/>
  <c r="K152" i="7"/>
  <c r="L150" i="7" s="1"/>
  <c r="Z227" i="7"/>
  <c r="Q227" i="7"/>
  <c r="Z37" i="7"/>
  <c r="Q37" i="7"/>
  <c r="K83" i="8"/>
  <c r="T83" i="8"/>
  <c r="H83" i="8"/>
  <c r="Z28" i="8"/>
  <c r="Q28" i="8"/>
  <c r="Z80" i="8"/>
  <c r="Q80" i="8"/>
  <c r="Q121" i="7"/>
  <c r="Z121" i="7"/>
  <c r="Z119" i="7"/>
  <c r="Q119" i="7"/>
  <c r="Q129" i="8"/>
  <c r="Z129" i="8"/>
  <c r="K75" i="8"/>
  <c r="H75" i="8"/>
  <c r="T75" i="8"/>
  <c r="K197" i="8"/>
  <c r="H197" i="8"/>
  <c r="C196" i="8"/>
  <c r="U196" i="8" s="1"/>
  <c r="T197" i="8"/>
  <c r="Z211" i="7"/>
  <c r="Q211" i="7"/>
  <c r="Q209" i="7"/>
  <c r="Z209" i="7"/>
  <c r="Z21" i="8"/>
  <c r="Q21" i="8"/>
  <c r="I20" i="8"/>
  <c r="AA20" i="8" s="1"/>
  <c r="Z37" i="8"/>
  <c r="Q37" i="8"/>
  <c r="Q25" i="7"/>
  <c r="Z25" i="7"/>
  <c r="Z81" i="8"/>
  <c r="Q81" i="8"/>
  <c r="L265" i="8"/>
  <c r="Q250" i="8"/>
  <c r="Z250" i="8"/>
  <c r="Z79" i="8"/>
  <c r="Q79" i="8"/>
  <c r="Z41" i="7"/>
  <c r="Q41" i="7"/>
  <c r="Z232" i="8"/>
  <c r="Q232" i="8"/>
  <c r="Z149" i="8"/>
  <c r="Q149" i="8"/>
  <c r="T135" i="7"/>
  <c r="K135" i="7"/>
  <c r="H135" i="7"/>
  <c r="Z157" i="7"/>
  <c r="I156" i="7"/>
  <c r="AA156" i="7" s="1"/>
  <c r="Q157" i="7"/>
  <c r="I156" i="8"/>
  <c r="AA156" i="8" s="1"/>
  <c r="Z157" i="8"/>
  <c r="Q157" i="8"/>
  <c r="Z112" i="8"/>
  <c r="Q112" i="8"/>
  <c r="Q77" i="7"/>
  <c r="Z77" i="7"/>
  <c r="L275" i="7"/>
  <c r="F381" i="4"/>
  <c r="B65" i="8"/>
  <c r="B65" i="7"/>
  <c r="H175" i="7"/>
  <c r="T175" i="7"/>
  <c r="K175" i="7"/>
  <c r="Q13" i="7"/>
  <c r="Z13" i="7"/>
  <c r="Z297" i="8"/>
  <c r="Q297" i="8"/>
  <c r="Z48" i="7"/>
  <c r="Q48" i="7"/>
  <c r="Q36" i="7"/>
  <c r="Z36" i="7"/>
  <c r="B86" i="8"/>
  <c r="B86" i="7"/>
  <c r="I275" i="7"/>
  <c r="AA275" i="7" s="1"/>
  <c r="Z276" i="7"/>
  <c r="Q276" i="7"/>
  <c r="Z23" i="8"/>
  <c r="Q23" i="8"/>
  <c r="K76" i="7"/>
  <c r="H76" i="7"/>
  <c r="T76" i="7"/>
  <c r="K140" i="7"/>
  <c r="L139" i="7" s="1"/>
  <c r="C139" i="7"/>
  <c r="U139" i="7" s="1"/>
  <c r="T140" i="7"/>
  <c r="H140" i="7"/>
  <c r="Z98" i="7"/>
  <c r="Q98" i="7"/>
  <c r="Z281" i="7"/>
  <c r="Q281" i="7"/>
  <c r="Q118" i="8"/>
  <c r="Z118" i="8"/>
  <c r="K164" i="8"/>
  <c r="L163" i="8" s="1"/>
  <c r="T164" i="8"/>
  <c r="H164" i="8"/>
  <c r="T175" i="8"/>
  <c r="K175" i="8"/>
  <c r="H175" i="8"/>
  <c r="Z162" i="8"/>
  <c r="Q162" i="8"/>
  <c r="Z187" i="8"/>
  <c r="Q187" i="8"/>
  <c r="Q247" i="8"/>
  <c r="Z247" i="8"/>
  <c r="L286" i="8"/>
  <c r="Z84" i="7"/>
  <c r="Q84" i="7"/>
  <c r="Q271" i="8"/>
  <c r="Z271" i="8"/>
  <c r="Q180" i="8"/>
  <c r="Z180" i="8"/>
  <c r="K135" i="8"/>
  <c r="T135" i="8"/>
  <c r="H135" i="8"/>
  <c r="Q94" i="7"/>
  <c r="Z94" i="7"/>
  <c r="Z92" i="7"/>
  <c r="Q92" i="7"/>
  <c r="Q245" i="8"/>
  <c r="Z245" i="8"/>
  <c r="F412" i="4"/>
  <c r="B111" i="8"/>
  <c r="B111" i="7"/>
  <c r="T173" i="7"/>
  <c r="K173" i="7"/>
  <c r="H173" i="7"/>
  <c r="Q104" i="7"/>
  <c r="Z104" i="7"/>
  <c r="Q16" i="7"/>
  <c r="Z16" i="7"/>
  <c r="Z201" i="7"/>
  <c r="Q201" i="7"/>
  <c r="B99" i="7"/>
  <c r="B99" i="8"/>
  <c r="Z207" i="8"/>
  <c r="Q207" i="8"/>
  <c r="T140" i="8"/>
  <c r="C139" i="8"/>
  <c r="U139" i="8" s="1"/>
  <c r="H140" i="8"/>
  <c r="K140" i="8"/>
  <c r="L139" i="8" s="1"/>
  <c r="Z229" i="7"/>
  <c r="Q229" i="7"/>
  <c r="Z153" i="8"/>
  <c r="Q153" i="8"/>
  <c r="Z218" i="7"/>
  <c r="Q218" i="7"/>
  <c r="L20" i="8"/>
  <c r="C163" i="7"/>
  <c r="U163" i="7" s="1"/>
  <c r="K164" i="7"/>
  <c r="T164" i="7"/>
  <c r="H164" i="7"/>
  <c r="Q60" i="7"/>
  <c r="Z60" i="7"/>
  <c r="Z223" i="7"/>
  <c r="Q223" i="7"/>
  <c r="Z294" i="8"/>
  <c r="Q294" i="8"/>
  <c r="Q287" i="7"/>
  <c r="Z287" i="7"/>
  <c r="Q49" i="8"/>
  <c r="Z49" i="8"/>
  <c r="Z94" i="8"/>
  <c r="Q94" i="8"/>
  <c r="Z254" i="7"/>
  <c r="Q254" i="7"/>
  <c r="Z130" i="8"/>
  <c r="Q130" i="8"/>
  <c r="Z200" i="7"/>
  <c r="Q200" i="7"/>
  <c r="Q184" i="8"/>
  <c r="Z184" i="8"/>
  <c r="Q186" i="7"/>
  <c r="Z186" i="7"/>
  <c r="Z33" i="7"/>
  <c r="Q33" i="7"/>
  <c r="Z55" i="8"/>
  <c r="Q55" i="8"/>
  <c r="Z218" i="8"/>
  <c r="Q218" i="8"/>
  <c r="Z245" i="7"/>
  <c r="Q245" i="7"/>
  <c r="Z239" i="7"/>
  <c r="Q239" i="7"/>
  <c r="K18" i="8"/>
  <c r="T18" i="8"/>
  <c r="H18" i="8"/>
  <c r="L174" i="4"/>
  <c r="B161" i="8"/>
  <c r="B161" i="7"/>
  <c r="Q137" i="7"/>
  <c r="Z137" i="7"/>
  <c r="Z56" i="8"/>
  <c r="Q56" i="8"/>
  <c r="Q237" i="7"/>
  <c r="Z237" i="7"/>
  <c r="K134" i="8"/>
  <c r="T134" i="8"/>
  <c r="H134" i="8"/>
  <c r="Z60" i="8"/>
  <c r="Q60" i="8"/>
  <c r="Z131" i="7"/>
  <c r="Q131" i="7"/>
  <c r="Q180" i="7"/>
  <c r="Z180" i="7"/>
  <c r="Q216" i="8"/>
  <c r="Z216" i="8"/>
  <c r="Z39" i="8"/>
  <c r="Q39" i="8"/>
  <c r="Z224" i="8"/>
  <c r="Q224" i="8"/>
  <c r="Z12" i="7"/>
  <c r="Q12" i="7"/>
  <c r="T18" i="7"/>
  <c r="K18" i="7"/>
  <c r="H18" i="7"/>
  <c r="K76" i="8"/>
  <c r="T76" i="8"/>
  <c r="H76" i="8"/>
  <c r="Q61" i="7"/>
  <c r="Z61" i="7"/>
  <c r="Q228" i="7"/>
  <c r="Z228" i="7"/>
  <c r="Q72" i="7"/>
  <c r="Z72" i="7"/>
  <c r="Q101" i="7"/>
  <c r="Z101" i="7"/>
  <c r="Q120" i="8"/>
  <c r="Z120" i="8"/>
  <c r="F504" i="4"/>
  <c r="B172" i="8"/>
  <c r="B172" i="7"/>
  <c r="Z300" i="8"/>
  <c r="Q300" i="8"/>
  <c r="Q282" i="7"/>
  <c r="Z282" i="7"/>
  <c r="Z158" i="7"/>
  <c r="Q158" i="7"/>
  <c r="Q118" i="7"/>
  <c r="Z118" i="7"/>
  <c r="Z73" i="7"/>
  <c r="Q73" i="7"/>
  <c r="Z279" i="8"/>
  <c r="Q279" i="8"/>
  <c r="Q231" i="8"/>
  <c r="Z231" i="8"/>
  <c r="Z239" i="8"/>
  <c r="Q239" i="8"/>
  <c r="Z267" i="8"/>
  <c r="Q267" i="8"/>
  <c r="Q270" i="8"/>
  <c r="Z270" i="8"/>
  <c r="Q26" i="7"/>
  <c r="Z26" i="7"/>
  <c r="Z217" i="8"/>
  <c r="Q217" i="8"/>
  <c r="I265" i="8"/>
  <c r="AA265" i="8" s="1"/>
  <c r="Z266" i="8"/>
  <c r="Q266" i="8"/>
  <c r="Z255" i="7"/>
  <c r="Q255" i="7"/>
  <c r="F414" i="4"/>
  <c r="B113" i="8"/>
  <c r="B113" i="7"/>
  <c r="Z264" i="7"/>
  <c r="Q264" i="7"/>
  <c r="Q293" i="7"/>
  <c r="Z293" i="7"/>
  <c r="Z214" i="7"/>
  <c r="Q214" i="7"/>
  <c r="Q82" i="8"/>
  <c r="Z82" i="8"/>
  <c r="Q34" i="7"/>
  <c r="Z34" i="7"/>
  <c r="K53" i="7"/>
  <c r="T53" i="7"/>
  <c r="H53" i="7"/>
  <c r="Z272" i="8"/>
  <c r="Q272" i="8"/>
  <c r="T143" i="7"/>
  <c r="K143" i="7"/>
  <c r="H143" i="7"/>
  <c r="Z81" i="7"/>
  <c r="Q81" i="7"/>
  <c r="Q210" i="8"/>
  <c r="Z210" i="8"/>
  <c r="Z191" i="7"/>
  <c r="Q191" i="7"/>
  <c r="Z129" i="7"/>
  <c r="Q129" i="7"/>
  <c r="K70" i="7"/>
  <c r="H70" i="7"/>
  <c r="T70" i="7"/>
  <c r="C69" i="7"/>
  <c r="U69" i="7" s="1"/>
  <c r="Z181" i="8"/>
  <c r="Q181" i="8"/>
  <c r="Q256" i="8"/>
  <c r="Z256" i="8"/>
  <c r="Z292" i="8"/>
  <c r="Q292" i="8"/>
  <c r="Z298" i="8"/>
  <c r="Q298" i="8"/>
  <c r="Q240" i="8"/>
  <c r="Z240" i="8"/>
  <c r="T10" i="7"/>
  <c r="H10" i="7"/>
  <c r="K10" i="7"/>
  <c r="Z74" i="7"/>
  <c r="Q74" i="7"/>
  <c r="Z41" i="8"/>
  <c r="Q41" i="8"/>
  <c r="Q109" i="8"/>
  <c r="Z109" i="8"/>
  <c r="Z119" i="8"/>
  <c r="Q119" i="8"/>
  <c r="C122" i="7"/>
  <c r="U122" i="7" s="1"/>
  <c r="H124" i="7"/>
  <c r="K124" i="7"/>
  <c r="T124" i="7"/>
  <c r="B58" i="8"/>
  <c r="B58" i="7"/>
  <c r="Q256" i="7"/>
  <c r="Z256" i="7"/>
  <c r="Q178" i="7"/>
  <c r="Z178" i="7"/>
  <c r="K124" i="8"/>
  <c r="T124" i="8"/>
  <c r="H124" i="8"/>
  <c r="Z168" i="8"/>
  <c r="Q168" i="8"/>
  <c r="Q213" i="7"/>
  <c r="Z213" i="7"/>
  <c r="Z56" i="7"/>
  <c r="Q56" i="7"/>
  <c r="K53" i="8"/>
  <c r="T53" i="8"/>
  <c r="H53" i="8"/>
  <c r="Q73" i="8"/>
  <c r="Z73" i="8"/>
  <c r="Z234" i="8"/>
  <c r="Q234" i="8"/>
  <c r="Z283" i="7"/>
  <c r="Q283" i="7"/>
  <c r="H143" i="8"/>
  <c r="T143" i="8"/>
  <c r="K143" i="8"/>
  <c r="Q24" i="7"/>
  <c r="Z24" i="7"/>
  <c r="H70" i="8"/>
  <c r="C69" i="8"/>
  <c r="U69" i="8" s="1"/>
  <c r="T70" i="8"/>
  <c r="K70" i="8"/>
  <c r="Z271" i="7"/>
  <c r="Q271" i="7"/>
  <c r="Z123" i="7"/>
  <c r="Q123" i="7"/>
  <c r="Z233" i="8"/>
  <c r="Q233" i="8"/>
  <c r="Q182" i="8"/>
  <c r="Z182" i="8"/>
  <c r="Q263" i="8"/>
  <c r="Z263" i="8"/>
  <c r="Z125" i="7"/>
  <c r="Q125" i="7"/>
  <c r="Z277" i="7"/>
  <c r="Q277" i="7"/>
  <c r="Q274" i="8"/>
  <c r="Z274" i="8"/>
  <c r="Z185" i="7"/>
  <c r="Q185" i="7"/>
  <c r="K10" i="8"/>
  <c r="T10" i="8"/>
  <c r="H10" i="8"/>
  <c r="Z247" i="7"/>
  <c r="Q247" i="7"/>
  <c r="Z223" i="8"/>
  <c r="Q223" i="8"/>
  <c r="Z39" i="7"/>
  <c r="Q39" i="7"/>
  <c r="Q153" i="7"/>
  <c r="Z153" i="7"/>
  <c r="K142" i="7"/>
  <c r="C141" i="7"/>
  <c r="U141" i="7" s="1"/>
  <c r="T142" i="7"/>
  <c r="H142" i="7"/>
  <c r="Q145" i="8"/>
  <c r="Z145" i="8"/>
  <c r="T177" i="7"/>
  <c r="K177" i="7"/>
  <c r="H177" i="7"/>
  <c r="K116" i="7"/>
  <c r="T116" i="7"/>
  <c r="H116" i="7"/>
  <c r="Z101" i="8"/>
  <c r="Q101" i="8"/>
  <c r="L163" i="7"/>
  <c r="T219" i="7"/>
  <c r="K219" i="7"/>
  <c r="H219" i="7"/>
  <c r="Q162" i="7"/>
  <c r="Z162" i="7"/>
  <c r="Q201" i="8"/>
  <c r="Z201" i="8"/>
  <c r="Z185" i="8"/>
  <c r="Q185" i="8"/>
  <c r="K30" i="7"/>
  <c r="H30" i="7"/>
  <c r="T30" i="7"/>
  <c r="C29" i="7"/>
  <c r="U29" i="7" s="1"/>
  <c r="T30" i="8"/>
  <c r="H30" i="8"/>
  <c r="K30" i="8"/>
  <c r="T6" i="8"/>
  <c r="H6" i="8"/>
  <c r="C5" i="8"/>
  <c r="K6" i="8"/>
  <c r="K6" i="7"/>
  <c r="H6" i="7"/>
  <c r="T6" i="7"/>
  <c r="C5" i="7"/>
  <c r="Z15" i="7"/>
  <c r="Q15" i="7"/>
  <c r="Q15" i="8"/>
  <c r="Z15" i="8"/>
  <c r="Q19" i="7"/>
  <c r="Z19" i="7"/>
  <c r="Q19" i="8"/>
  <c r="Z19" i="8"/>
  <c r="Z8" i="7"/>
  <c r="Q8" i="7"/>
  <c r="R7" i="7" s="1"/>
  <c r="I7" i="7"/>
  <c r="U7" i="7"/>
  <c r="L7" i="7"/>
  <c r="Q8" i="8"/>
  <c r="R7" i="8" s="1"/>
  <c r="Z8" i="8"/>
  <c r="I7" i="8"/>
  <c r="AA7" i="8" s="1"/>
  <c r="L7" i="8"/>
  <c r="U7" i="8"/>
  <c r="L59" i="4"/>
  <c r="E334" i="4" s="1"/>
  <c r="L72" i="4"/>
  <c r="E335" i="4" s="1"/>
  <c r="K106" i="4"/>
  <c r="L186" i="4"/>
  <c r="F509" i="4"/>
  <c r="F502" i="4"/>
  <c r="F391" i="4"/>
  <c r="E351" i="4"/>
  <c r="F424" i="4"/>
  <c r="F380" i="4"/>
  <c r="E348" i="4"/>
  <c r="F388" i="4"/>
  <c r="F377" i="4"/>
  <c r="F379" i="4"/>
  <c r="E349" i="4"/>
  <c r="F389" i="4"/>
  <c r="L192" i="8" l="1"/>
  <c r="L122" i="8"/>
  <c r="L196" i="7"/>
  <c r="F438" i="4"/>
  <c r="L192" i="7"/>
  <c r="F375" i="4"/>
  <c r="I122" i="8"/>
  <c r="AA122" i="8" s="1"/>
  <c r="F417" i="4"/>
  <c r="L122" i="7"/>
  <c r="L196" i="8"/>
  <c r="K319" i="4"/>
  <c r="L318" i="4" s="1"/>
  <c r="E360" i="4" s="1"/>
  <c r="L50" i="4"/>
  <c r="B42" i="7"/>
  <c r="T42" i="7" s="1"/>
  <c r="B42" i="8"/>
  <c r="T42" i="8" s="1"/>
  <c r="L299" i="4"/>
  <c r="Q193" i="7"/>
  <c r="Z193" i="7"/>
  <c r="I192" i="7"/>
  <c r="AA192" i="7" s="1"/>
  <c r="Z194" i="7"/>
  <c r="Q194" i="7"/>
  <c r="Z177" i="8"/>
  <c r="Q177" i="8"/>
  <c r="Q135" i="7"/>
  <c r="Z135" i="7"/>
  <c r="R286" i="7"/>
  <c r="Q10" i="7"/>
  <c r="Z10" i="7"/>
  <c r="Z219" i="7"/>
  <c r="Q219" i="7"/>
  <c r="K113" i="7"/>
  <c r="T113" i="7"/>
  <c r="H113" i="7"/>
  <c r="Q173" i="7"/>
  <c r="Z173" i="7"/>
  <c r="Z140" i="7"/>
  <c r="Q140" i="7"/>
  <c r="R139" i="7" s="1"/>
  <c r="I139" i="7"/>
  <c r="AA139" i="7" s="1"/>
  <c r="R20" i="8"/>
  <c r="Q193" i="8"/>
  <c r="Z193" i="8"/>
  <c r="I192" i="8"/>
  <c r="AA192" i="8" s="1"/>
  <c r="Q136" i="8"/>
  <c r="Z136" i="8"/>
  <c r="Q170" i="7"/>
  <c r="R169" i="7" s="1"/>
  <c r="I169" i="7"/>
  <c r="AA169" i="7" s="1"/>
  <c r="Z170" i="7"/>
  <c r="T113" i="8"/>
  <c r="K113" i="8"/>
  <c r="H113" i="8"/>
  <c r="K54" i="8"/>
  <c r="T54" i="8"/>
  <c r="H54" i="8"/>
  <c r="L141" i="8"/>
  <c r="Z152" i="8"/>
  <c r="Q152" i="8"/>
  <c r="R150" i="8" s="1"/>
  <c r="K110" i="7"/>
  <c r="H110" i="7"/>
  <c r="T110" i="7"/>
  <c r="H54" i="7"/>
  <c r="T54" i="7"/>
  <c r="K54" i="7"/>
  <c r="T58" i="7"/>
  <c r="C57" i="7"/>
  <c r="U57" i="7" s="1"/>
  <c r="H58" i="7"/>
  <c r="K58" i="7"/>
  <c r="T111" i="7"/>
  <c r="H111" i="7"/>
  <c r="K111" i="7"/>
  <c r="Q83" i="8"/>
  <c r="Z83" i="8"/>
  <c r="Q144" i="8"/>
  <c r="Z144" i="8"/>
  <c r="H110" i="8"/>
  <c r="T110" i="8"/>
  <c r="K110" i="8"/>
  <c r="Z45" i="8"/>
  <c r="Q45" i="8"/>
  <c r="Q128" i="8"/>
  <c r="Z128" i="8"/>
  <c r="Q142" i="8"/>
  <c r="I141" i="8"/>
  <c r="AA141" i="8" s="1"/>
  <c r="Z142" i="8"/>
  <c r="R275" i="8"/>
  <c r="Q143" i="7"/>
  <c r="Z143" i="7"/>
  <c r="I122" i="7"/>
  <c r="AA122" i="7" s="1"/>
  <c r="T58" i="8"/>
  <c r="H58" i="8"/>
  <c r="K58" i="8"/>
  <c r="C57" i="8"/>
  <c r="U57" i="8" s="1"/>
  <c r="Q140" i="8"/>
  <c r="R139" i="8" s="1"/>
  <c r="Z140" i="8"/>
  <c r="I139" i="8"/>
  <c r="AA139" i="8" s="1"/>
  <c r="T111" i="8"/>
  <c r="K111" i="8"/>
  <c r="H111" i="8"/>
  <c r="Q175" i="7"/>
  <c r="Z175" i="7"/>
  <c r="Q198" i="8"/>
  <c r="Z198" i="8"/>
  <c r="Q76" i="7"/>
  <c r="Z76" i="7"/>
  <c r="H65" i="7"/>
  <c r="K65" i="7"/>
  <c r="T65" i="7"/>
  <c r="Z83" i="7"/>
  <c r="Q83" i="7"/>
  <c r="Q134" i="7"/>
  <c r="Z134" i="7"/>
  <c r="Z244" i="8"/>
  <c r="Q244" i="8"/>
  <c r="R243" i="8" s="1"/>
  <c r="I243" i="8"/>
  <c r="AA243" i="8" s="1"/>
  <c r="Q194" i="8"/>
  <c r="Z194" i="8"/>
  <c r="Q198" i="7"/>
  <c r="Z198" i="7"/>
  <c r="T65" i="8"/>
  <c r="K65" i="8"/>
  <c r="H65" i="8"/>
  <c r="Z174" i="7"/>
  <c r="Q174" i="7"/>
  <c r="R286" i="8"/>
  <c r="Z205" i="7"/>
  <c r="Q205" i="7"/>
  <c r="T160" i="7"/>
  <c r="C159" i="7"/>
  <c r="U159" i="7" s="1"/>
  <c r="K160" i="7"/>
  <c r="H160" i="7"/>
  <c r="Q219" i="8"/>
  <c r="Z219" i="8"/>
  <c r="R20" i="7"/>
  <c r="Q18" i="7"/>
  <c r="Z18" i="7"/>
  <c r="Q195" i="7"/>
  <c r="Z195" i="7"/>
  <c r="T160" i="8"/>
  <c r="C159" i="8"/>
  <c r="U159" i="8" s="1"/>
  <c r="H160" i="8"/>
  <c r="K160" i="8"/>
  <c r="Z53" i="8"/>
  <c r="Q53" i="8"/>
  <c r="R265" i="8"/>
  <c r="Z76" i="8"/>
  <c r="Q76" i="8"/>
  <c r="Z134" i="8"/>
  <c r="Q134" i="8"/>
  <c r="Z116" i="7"/>
  <c r="Q116" i="7"/>
  <c r="Z10" i="8"/>
  <c r="Q10" i="8"/>
  <c r="Z124" i="7"/>
  <c r="Q124" i="7"/>
  <c r="Q53" i="7"/>
  <c r="Z53" i="7"/>
  <c r="Q175" i="8"/>
  <c r="Z175" i="8"/>
  <c r="Z197" i="8"/>
  <c r="Q197" i="8"/>
  <c r="I196" i="8"/>
  <c r="AA196" i="8" s="1"/>
  <c r="Z177" i="7"/>
  <c r="Q177" i="7"/>
  <c r="L69" i="8"/>
  <c r="R275" i="7"/>
  <c r="Z262" i="7"/>
  <c r="Q262" i="7"/>
  <c r="R261" i="7" s="1"/>
  <c r="I261" i="7"/>
  <c r="AA261" i="7" s="1"/>
  <c r="T108" i="7"/>
  <c r="K108" i="7"/>
  <c r="H108" i="7"/>
  <c r="H87" i="7"/>
  <c r="T87" i="7"/>
  <c r="K87" i="7"/>
  <c r="H46" i="7"/>
  <c r="K46" i="7"/>
  <c r="L44" i="7" s="1"/>
  <c r="T46" i="7"/>
  <c r="Q45" i="7"/>
  <c r="Z45" i="7"/>
  <c r="K108" i="8"/>
  <c r="H108" i="8"/>
  <c r="T108" i="8"/>
  <c r="H87" i="8"/>
  <c r="T87" i="8"/>
  <c r="K87" i="8"/>
  <c r="T64" i="7"/>
  <c r="H64" i="7"/>
  <c r="K64" i="7"/>
  <c r="H46" i="8"/>
  <c r="T46" i="8"/>
  <c r="K46" i="8"/>
  <c r="L44" i="8" s="1"/>
  <c r="Z174" i="8"/>
  <c r="Q174" i="8"/>
  <c r="Z144" i="7"/>
  <c r="Q144" i="7"/>
  <c r="T88" i="7"/>
  <c r="H88" i="7"/>
  <c r="K88" i="7"/>
  <c r="R265" i="7"/>
  <c r="K63" i="7"/>
  <c r="H63" i="7"/>
  <c r="T63" i="7"/>
  <c r="T64" i="8"/>
  <c r="H64" i="8"/>
  <c r="K64" i="8"/>
  <c r="Q170" i="8"/>
  <c r="R169" i="8" s="1"/>
  <c r="Z170" i="8"/>
  <c r="I169" i="8"/>
  <c r="AA169" i="8" s="1"/>
  <c r="Z90" i="7"/>
  <c r="Q90" i="7"/>
  <c r="C171" i="7"/>
  <c r="U171" i="7" s="1"/>
  <c r="T172" i="7"/>
  <c r="K172" i="7"/>
  <c r="L171" i="7" s="1"/>
  <c r="H172" i="7"/>
  <c r="Z164" i="7"/>
  <c r="I163" i="7"/>
  <c r="AA163" i="7" s="1"/>
  <c r="Q164" i="7"/>
  <c r="R163" i="7" s="1"/>
  <c r="H99" i="7"/>
  <c r="T99" i="7"/>
  <c r="K99" i="7"/>
  <c r="Q135" i="8"/>
  <c r="Z135" i="8"/>
  <c r="K86" i="7"/>
  <c r="H86" i="7"/>
  <c r="T86" i="7"/>
  <c r="Z152" i="7"/>
  <c r="Q152" i="7"/>
  <c r="R150" i="7" s="1"/>
  <c r="Q197" i="7"/>
  <c r="Z197" i="7"/>
  <c r="I196" i="7"/>
  <c r="AA196" i="7" s="1"/>
  <c r="T88" i="8"/>
  <c r="H88" i="8"/>
  <c r="K88" i="8"/>
  <c r="K63" i="8"/>
  <c r="T63" i="8"/>
  <c r="H63" i="8"/>
  <c r="Q100" i="8"/>
  <c r="Z100" i="8"/>
  <c r="K31" i="8"/>
  <c r="L29" i="8" s="1"/>
  <c r="H31" i="8"/>
  <c r="I29" i="8" s="1"/>
  <c r="AA29" i="8" s="1"/>
  <c r="T31" i="8"/>
  <c r="H99" i="8"/>
  <c r="K99" i="8"/>
  <c r="T99" i="8"/>
  <c r="Z75" i="8"/>
  <c r="Q75" i="8"/>
  <c r="Z262" i="8"/>
  <c r="Q262" i="8"/>
  <c r="R261" i="8" s="1"/>
  <c r="I261" i="8"/>
  <c r="AA261" i="8" s="1"/>
  <c r="Q70" i="8"/>
  <c r="Z70" i="8"/>
  <c r="I69" i="8"/>
  <c r="AA69" i="8" s="1"/>
  <c r="I69" i="7"/>
  <c r="AA69" i="7" s="1"/>
  <c r="Z70" i="7"/>
  <c r="Q70" i="7"/>
  <c r="L69" i="7"/>
  <c r="T172" i="8"/>
  <c r="K172" i="8"/>
  <c r="H172" i="8"/>
  <c r="C171" i="8"/>
  <c r="U171" i="8" s="1"/>
  <c r="H86" i="8"/>
  <c r="K86" i="8"/>
  <c r="T86" i="8"/>
  <c r="R156" i="8"/>
  <c r="T14" i="7"/>
  <c r="K14" i="7"/>
  <c r="L9" i="7" s="1"/>
  <c r="H14" i="7"/>
  <c r="I9" i="7" s="1"/>
  <c r="AA9" i="7" s="1"/>
  <c r="C9" i="7"/>
  <c r="U9" i="7" s="1"/>
  <c r="T221" i="7"/>
  <c r="H221" i="7"/>
  <c r="I206" i="7" s="1"/>
  <c r="AA206" i="7" s="1"/>
  <c r="K221" i="7"/>
  <c r="L206" i="7" s="1"/>
  <c r="C206" i="7"/>
  <c r="U206" i="7" s="1"/>
  <c r="H31" i="7"/>
  <c r="I29" i="7" s="1"/>
  <c r="AA29" i="7" s="1"/>
  <c r="K31" i="7"/>
  <c r="L29" i="7" s="1"/>
  <c r="T31" i="7"/>
  <c r="L100" i="4"/>
  <c r="F378" i="4" s="1"/>
  <c r="B91" i="7"/>
  <c r="C85" i="7" s="1"/>
  <c r="U85" i="7" s="1"/>
  <c r="B91" i="8"/>
  <c r="C85" i="8" s="1"/>
  <c r="U85" i="8" s="1"/>
  <c r="Z164" i="8"/>
  <c r="Q164" i="8"/>
  <c r="R163" i="8" s="1"/>
  <c r="I163" i="8"/>
  <c r="AA163" i="8" s="1"/>
  <c r="Z142" i="7"/>
  <c r="Q142" i="7"/>
  <c r="I141" i="7"/>
  <c r="AA141" i="7" s="1"/>
  <c r="Z124" i="8"/>
  <c r="Q124" i="8"/>
  <c r="K161" i="7"/>
  <c r="T161" i="7"/>
  <c r="H161" i="7"/>
  <c r="K14" i="8"/>
  <c r="L9" i="8" s="1"/>
  <c r="H14" i="8"/>
  <c r="T14" i="8"/>
  <c r="C9" i="8"/>
  <c r="U9" i="8" s="1"/>
  <c r="T221" i="8"/>
  <c r="K221" i="8"/>
  <c r="L206" i="8" s="1"/>
  <c r="H221" i="8"/>
  <c r="C206" i="8"/>
  <c r="U206" i="8" s="1"/>
  <c r="F373" i="4"/>
  <c r="E332" i="4"/>
  <c r="Z205" i="8"/>
  <c r="Q205" i="8"/>
  <c r="I150" i="8"/>
  <c r="AA150" i="8" s="1"/>
  <c r="Q128" i="7"/>
  <c r="Z128" i="7"/>
  <c r="K117" i="8"/>
  <c r="H117" i="8"/>
  <c r="T117" i="8"/>
  <c r="Q90" i="8"/>
  <c r="Z90" i="8"/>
  <c r="I243" i="7"/>
  <c r="AA243" i="7" s="1"/>
  <c r="Z244" i="7"/>
  <c r="Q244" i="7"/>
  <c r="R243" i="7" s="1"/>
  <c r="Z116" i="8"/>
  <c r="Q116" i="8"/>
  <c r="Q173" i="8"/>
  <c r="Z173" i="8"/>
  <c r="C188" i="8"/>
  <c r="U188" i="8" s="1"/>
  <c r="K190" i="8"/>
  <c r="L188" i="8" s="1"/>
  <c r="T190" i="8"/>
  <c r="H190" i="8"/>
  <c r="E344" i="4"/>
  <c r="F384" i="4"/>
  <c r="R156" i="7"/>
  <c r="T117" i="7"/>
  <c r="K117" i="7"/>
  <c r="H117" i="7"/>
  <c r="Z195" i="8"/>
  <c r="Q195" i="8"/>
  <c r="Q136" i="7"/>
  <c r="Z136" i="7"/>
  <c r="H190" i="7"/>
  <c r="T190" i="7"/>
  <c r="K190" i="7"/>
  <c r="L188" i="7" s="1"/>
  <c r="C188" i="7"/>
  <c r="U188" i="7" s="1"/>
  <c r="Q100" i="7"/>
  <c r="Z100" i="7"/>
  <c r="L171" i="8"/>
  <c r="T89" i="7"/>
  <c r="K89" i="7"/>
  <c r="H89" i="7"/>
  <c r="T161" i="8"/>
  <c r="H161" i="8"/>
  <c r="K161" i="8"/>
  <c r="F376" i="4"/>
  <c r="F372" i="4"/>
  <c r="L141" i="7"/>
  <c r="Z143" i="8"/>
  <c r="Q143" i="8"/>
  <c r="Z18" i="8"/>
  <c r="Q18" i="8"/>
  <c r="Z75" i="7"/>
  <c r="Q75" i="7"/>
  <c r="Q176" i="8"/>
  <c r="Z176" i="8"/>
  <c r="Z176" i="7"/>
  <c r="Q176" i="7"/>
  <c r="H89" i="8"/>
  <c r="T89" i="8"/>
  <c r="K89" i="8"/>
  <c r="K42" i="8"/>
  <c r="L35" i="8" s="1"/>
  <c r="Z30" i="8"/>
  <c r="Q30" i="8"/>
  <c r="Z30" i="7"/>
  <c r="Q30" i="7"/>
  <c r="I5" i="7"/>
  <c r="Q6" i="7"/>
  <c r="Z6" i="7"/>
  <c r="U5" i="8"/>
  <c r="L5" i="8"/>
  <c r="U5" i="7"/>
  <c r="L5" i="7"/>
  <c r="I5" i="8"/>
  <c r="Z6" i="8"/>
  <c r="Q6" i="8"/>
  <c r="AA7" i="7"/>
  <c r="E337" i="4"/>
  <c r="K317" i="4"/>
  <c r="E347" i="4"/>
  <c r="F387" i="4"/>
  <c r="B304" i="8" l="1"/>
  <c r="T304" i="8" s="1"/>
  <c r="B304" i="7"/>
  <c r="T304" i="7" s="1"/>
  <c r="C35" i="7"/>
  <c r="U35" i="7" s="1"/>
  <c r="H42" i="7"/>
  <c r="I35" i="7" s="1"/>
  <c r="AA35" i="7" s="1"/>
  <c r="H42" i="8"/>
  <c r="Q42" i="8" s="1"/>
  <c r="R35" i="8" s="1"/>
  <c r="C35" i="8"/>
  <c r="U35" i="8" s="1"/>
  <c r="F396" i="4"/>
  <c r="E357" i="4"/>
  <c r="R196" i="8"/>
  <c r="R141" i="7"/>
  <c r="B285" i="7"/>
  <c r="K285" i="7" s="1"/>
  <c r="R69" i="8"/>
  <c r="B285" i="8"/>
  <c r="H285" i="8" s="1"/>
  <c r="K42" i="7"/>
  <c r="L35" i="7" s="1"/>
  <c r="R196" i="7"/>
  <c r="I44" i="8"/>
  <c r="AA44" i="8" s="1"/>
  <c r="R122" i="7"/>
  <c r="R122" i="8"/>
  <c r="Z190" i="7"/>
  <c r="Q190" i="7"/>
  <c r="R188" i="7" s="1"/>
  <c r="I188" i="7"/>
  <c r="AA188" i="7" s="1"/>
  <c r="Z14" i="8"/>
  <c r="Q14" i="8"/>
  <c r="R9" i="8" s="1"/>
  <c r="I9" i="8"/>
  <c r="AA9" i="8" s="1"/>
  <c r="Z88" i="8"/>
  <c r="Q88" i="8"/>
  <c r="Z172" i="7"/>
  <c r="Q172" i="7"/>
  <c r="R171" i="7" s="1"/>
  <c r="I171" i="7"/>
  <c r="AA171" i="7" s="1"/>
  <c r="Z161" i="7"/>
  <c r="Q161" i="7"/>
  <c r="Q111" i="8"/>
  <c r="Z111" i="8"/>
  <c r="Z54" i="7"/>
  <c r="Q54" i="7"/>
  <c r="Q87" i="7"/>
  <c r="Z87" i="7"/>
  <c r="Q46" i="8"/>
  <c r="Z46" i="8"/>
  <c r="Z108" i="7"/>
  <c r="Q108" i="7"/>
  <c r="Q110" i="7"/>
  <c r="Z110" i="7"/>
  <c r="Q117" i="7"/>
  <c r="Z117" i="7"/>
  <c r="Z117" i="8"/>
  <c r="Q117" i="8"/>
  <c r="Q64" i="7"/>
  <c r="Z64" i="7"/>
  <c r="Q110" i="8"/>
  <c r="Z110" i="8"/>
  <c r="R192" i="8"/>
  <c r="Q160" i="7"/>
  <c r="Z160" i="7"/>
  <c r="I159" i="7"/>
  <c r="AA159" i="7" s="1"/>
  <c r="Q221" i="7"/>
  <c r="R206" i="7" s="1"/>
  <c r="Z221" i="7"/>
  <c r="Z14" i="7"/>
  <c r="Q14" i="7"/>
  <c r="R9" i="7" s="1"/>
  <c r="Q161" i="8"/>
  <c r="Z161" i="8"/>
  <c r="L159" i="7"/>
  <c r="Z46" i="7"/>
  <c r="Q46" i="7"/>
  <c r="Q89" i="7"/>
  <c r="Z89" i="7"/>
  <c r="Z86" i="7"/>
  <c r="Q86" i="7"/>
  <c r="Q64" i="8"/>
  <c r="Z64" i="8"/>
  <c r="L57" i="8"/>
  <c r="Z99" i="8"/>
  <c r="Q99" i="8"/>
  <c r="Z190" i="8"/>
  <c r="Q190" i="8"/>
  <c r="R188" i="8" s="1"/>
  <c r="I188" i="8"/>
  <c r="AA188" i="8" s="1"/>
  <c r="Z86" i="8"/>
  <c r="Q86" i="8"/>
  <c r="Z87" i="8"/>
  <c r="Q87" i="8"/>
  <c r="Q58" i="8"/>
  <c r="Z58" i="8"/>
  <c r="I57" i="8"/>
  <c r="AA57" i="8" s="1"/>
  <c r="Z54" i="8"/>
  <c r="Q54" i="8"/>
  <c r="R192" i="7"/>
  <c r="Q111" i="7"/>
  <c r="Z111" i="7"/>
  <c r="T91" i="8"/>
  <c r="K91" i="8"/>
  <c r="L85" i="8" s="1"/>
  <c r="H91" i="8"/>
  <c r="Q172" i="8"/>
  <c r="R171" i="8" s="1"/>
  <c r="Z172" i="8"/>
  <c r="I171" i="8"/>
  <c r="AA171" i="8" s="1"/>
  <c r="Z63" i="7"/>
  <c r="Q63" i="7"/>
  <c r="T91" i="7"/>
  <c r="K91" i="7"/>
  <c r="L85" i="7" s="1"/>
  <c r="H91" i="7"/>
  <c r="I85" i="7" s="1"/>
  <c r="AA85" i="7" s="1"/>
  <c r="Q108" i="8"/>
  <c r="Z108" i="8"/>
  <c r="Q113" i="7"/>
  <c r="Z113" i="7"/>
  <c r="L159" i="8"/>
  <c r="Q65" i="7"/>
  <c r="Z65" i="7"/>
  <c r="L57" i="7"/>
  <c r="Z221" i="8"/>
  <c r="Q221" i="8"/>
  <c r="R206" i="8" s="1"/>
  <c r="I206" i="8"/>
  <c r="AA206" i="8" s="1"/>
  <c r="Z63" i="8"/>
  <c r="Q63" i="8"/>
  <c r="Z99" i="7"/>
  <c r="Q99" i="7"/>
  <c r="I44" i="7"/>
  <c r="AA44" i="7" s="1"/>
  <c r="I159" i="8"/>
  <c r="AA159" i="8" s="1"/>
  <c r="Z160" i="8"/>
  <c r="Q160" i="8"/>
  <c r="Z58" i="7"/>
  <c r="Q58" i="7"/>
  <c r="I57" i="7"/>
  <c r="AA57" i="7" s="1"/>
  <c r="Q113" i="8"/>
  <c r="Z113" i="8"/>
  <c r="Q88" i="7"/>
  <c r="Z88" i="7"/>
  <c r="R69" i="7"/>
  <c r="F374" i="4"/>
  <c r="E333" i="4"/>
  <c r="Z31" i="7"/>
  <c r="Q31" i="7"/>
  <c r="R29" i="7" s="1"/>
  <c r="Z65" i="8"/>
  <c r="Q65" i="8"/>
  <c r="Q89" i="8"/>
  <c r="Z89" i="8"/>
  <c r="Z31" i="8"/>
  <c r="Q31" i="8"/>
  <c r="R29" i="8" s="1"/>
  <c r="R141" i="8"/>
  <c r="AA5" i="8"/>
  <c r="R5" i="8"/>
  <c r="AA5" i="7"/>
  <c r="R5" i="7"/>
  <c r="K304" i="7"/>
  <c r="L303" i="7" s="1"/>
  <c r="C303" i="7"/>
  <c r="U303" i="7" s="1"/>
  <c r="H304" i="7"/>
  <c r="L316" i="4"/>
  <c r="E359" i="4" s="1"/>
  <c r="B302" i="7"/>
  <c r="B302" i="8"/>
  <c r="K321" i="4"/>
  <c r="F399" i="4"/>
  <c r="Q42" i="7" l="1"/>
  <c r="R35" i="7" s="1"/>
  <c r="Z42" i="7"/>
  <c r="R159" i="7"/>
  <c r="R159" i="8"/>
  <c r="Z42" i="8"/>
  <c r="I35" i="8"/>
  <c r="AA35" i="8" s="1"/>
  <c r="H304" i="8"/>
  <c r="Q304" i="8" s="1"/>
  <c r="R303" i="8" s="1"/>
  <c r="C303" i="8"/>
  <c r="U303" i="8" s="1"/>
  <c r="K304" i="8"/>
  <c r="L303" i="8" s="1"/>
  <c r="R44" i="7"/>
  <c r="T285" i="8"/>
  <c r="K285" i="8"/>
  <c r="L284" i="8" s="1"/>
  <c r="C284" i="8"/>
  <c r="H285" i="7"/>
  <c r="Q285" i="7" s="1"/>
  <c r="R284" i="7" s="1"/>
  <c r="T285" i="7"/>
  <c r="C284" i="7"/>
  <c r="R44" i="8"/>
  <c r="Z91" i="8"/>
  <c r="Q91" i="8"/>
  <c r="R85" i="8" s="1"/>
  <c r="R57" i="7"/>
  <c r="I85" i="8"/>
  <c r="AA85" i="8" s="1"/>
  <c r="R57" i="8"/>
  <c r="Q91" i="7"/>
  <c r="R85" i="7" s="1"/>
  <c r="Z91" i="7"/>
  <c r="U284" i="7"/>
  <c r="L284" i="7"/>
  <c r="T302" i="7"/>
  <c r="K302" i="7"/>
  <c r="L301" i="7" s="1"/>
  <c r="C301" i="7"/>
  <c r="U301" i="7" s="1"/>
  <c r="H302" i="7"/>
  <c r="K323" i="4"/>
  <c r="B306" i="7"/>
  <c r="B306" i="8"/>
  <c r="Z285" i="8"/>
  <c r="Q285" i="8"/>
  <c r="R284" i="8" s="1"/>
  <c r="I284" i="8"/>
  <c r="AA284" i="8" s="1"/>
  <c r="U284" i="8"/>
  <c r="C301" i="8"/>
  <c r="U301" i="8" s="1"/>
  <c r="K302" i="8"/>
  <c r="L301" i="8" s="1"/>
  <c r="T302" i="8"/>
  <c r="H302" i="8"/>
  <c r="I303" i="7"/>
  <c r="AA303" i="7" s="1"/>
  <c r="Q304" i="7"/>
  <c r="R303" i="7" s="1"/>
  <c r="Z304" i="7"/>
  <c r="K322" i="4"/>
  <c r="I303" i="8" l="1"/>
  <c r="AA303" i="8" s="1"/>
  <c r="Z304" i="8"/>
  <c r="K325" i="4"/>
  <c r="L324" i="4" s="1"/>
  <c r="F400" i="4" s="1"/>
  <c r="I284" i="7"/>
  <c r="AA284" i="7" s="1"/>
  <c r="Z285" i="7"/>
  <c r="K306" i="8"/>
  <c r="T306" i="8"/>
  <c r="H306" i="8"/>
  <c r="L320" i="4"/>
  <c r="B307" i="8"/>
  <c r="B307" i="7"/>
  <c r="Z302" i="7"/>
  <c r="I301" i="7"/>
  <c r="AA301" i="7" s="1"/>
  <c r="Q302" i="7"/>
  <c r="R301" i="7" s="1"/>
  <c r="Z302" i="8"/>
  <c r="Q302" i="8"/>
  <c r="R301" i="8" s="1"/>
  <c r="I301" i="8"/>
  <c r="AA301" i="8" s="1"/>
  <c r="B310" i="7"/>
  <c r="T306" i="7"/>
  <c r="K306" i="7"/>
  <c r="H306" i="7"/>
  <c r="B308" i="8"/>
  <c r="B308" i="7"/>
  <c r="L12" i="3"/>
  <c r="L13" i="3"/>
  <c r="L14" i="3"/>
  <c r="L15" i="3"/>
  <c r="L11" i="3"/>
  <c r="M12" i="3"/>
  <c r="G15" i="3"/>
  <c r="G16" i="3" s="1"/>
  <c r="H16" i="3" s="1"/>
  <c r="H14" i="3"/>
  <c r="I12" i="3"/>
  <c r="M13" i="3" s="1"/>
  <c r="H12" i="3"/>
  <c r="B310" i="8" l="1"/>
  <c r="L326" i="4"/>
  <c r="J8" i="4" s="1"/>
  <c r="J10" i="4" s="1"/>
  <c r="E362" i="4"/>
  <c r="C305" i="7"/>
  <c r="U305" i="7" s="1"/>
  <c r="C309" i="8"/>
  <c r="K310" i="8"/>
  <c r="T310" i="8"/>
  <c r="H310" i="8"/>
  <c r="K310" i="7"/>
  <c r="C309" i="7"/>
  <c r="T310" i="7"/>
  <c r="H310" i="7"/>
  <c r="T307" i="7"/>
  <c r="K307" i="7"/>
  <c r="H307" i="7"/>
  <c r="K307" i="8"/>
  <c r="T307" i="8"/>
  <c r="H307" i="8"/>
  <c r="B312" i="8"/>
  <c r="T312" i="8" s="1"/>
  <c r="T308" i="7"/>
  <c r="K308" i="7"/>
  <c r="H308" i="7"/>
  <c r="E361" i="4"/>
  <c r="F398" i="4"/>
  <c r="F401" i="4" s="1"/>
  <c r="F402" i="4" s="1"/>
  <c r="T308" i="8"/>
  <c r="K308" i="8"/>
  <c r="H308" i="8"/>
  <c r="Z306" i="8"/>
  <c r="Q306" i="8"/>
  <c r="B312" i="7"/>
  <c r="T312" i="7" s="1"/>
  <c r="Q306" i="7"/>
  <c r="Z306" i="7"/>
  <c r="C305" i="8"/>
  <c r="M11" i="3"/>
  <c r="M15" i="3"/>
  <c r="M14" i="3"/>
  <c r="I305" i="8" l="1"/>
  <c r="AA305" i="8" s="1"/>
  <c r="K312" i="8"/>
  <c r="K312" i="7"/>
  <c r="L305" i="7"/>
  <c r="E363" i="4"/>
  <c r="E364" i="4" s="1"/>
  <c r="J9" i="4"/>
  <c r="L327" i="4"/>
  <c r="U305" i="8"/>
  <c r="C311" i="8"/>
  <c r="U311" i="8" s="1"/>
  <c r="Z307" i="7"/>
  <c r="Q307" i="7"/>
  <c r="H312" i="7"/>
  <c r="Z312" i="7" s="1"/>
  <c r="I305" i="7"/>
  <c r="L309" i="8"/>
  <c r="U309" i="8"/>
  <c r="Z310" i="7"/>
  <c r="Q310" i="7"/>
  <c r="I309" i="7"/>
  <c r="Z308" i="8"/>
  <c r="Q308" i="8"/>
  <c r="L305" i="8"/>
  <c r="L309" i="7"/>
  <c r="L311" i="7" s="1"/>
  <c r="U309" i="7"/>
  <c r="Q308" i="7"/>
  <c r="Z308" i="7"/>
  <c r="C311" i="7"/>
  <c r="U311" i="7" s="1"/>
  <c r="H312" i="8"/>
  <c r="Z312" i="8" s="1"/>
  <c r="Z310" i="8"/>
  <c r="I309" i="8"/>
  <c r="Q310" i="8"/>
  <c r="Q307" i="8"/>
  <c r="Z307" i="8"/>
  <c r="L311" i="8" l="1"/>
  <c r="R305" i="7"/>
  <c r="Q312" i="7"/>
  <c r="R305" i="8"/>
  <c r="Q312" i="8"/>
  <c r="R309" i="7"/>
  <c r="AA309" i="7"/>
  <c r="AA305" i="7"/>
  <c r="I311" i="7"/>
  <c r="AA311" i="7" s="1"/>
  <c r="I311" i="8"/>
  <c r="AA311" i="8" s="1"/>
  <c r="R309" i="8"/>
  <c r="AA309" i="8"/>
  <c r="R311" i="8" l="1"/>
  <c r="R311" i="7"/>
</calcChain>
</file>

<file path=xl/sharedStrings.xml><?xml version="1.0" encoding="utf-8"?>
<sst xmlns="http://schemas.openxmlformats.org/spreadsheetml/2006/main" count="9335" uniqueCount="1006">
  <si>
    <t>Project Details</t>
  </si>
  <si>
    <t>Unit Breakdown</t>
  </si>
  <si>
    <t>Breakdown Per Building</t>
  </si>
  <si>
    <t>List of Take offs</t>
  </si>
  <si>
    <t>Project</t>
  </si>
  <si>
    <t>Robindale &amp; 215</t>
  </si>
  <si>
    <t>Unit Type</t>
  </si>
  <si>
    <t>Number</t>
  </si>
  <si>
    <t>%</t>
  </si>
  <si>
    <t>Bldg.</t>
  </si>
  <si>
    <t>Unit</t>
  </si>
  <si>
    <t>GSF</t>
  </si>
  <si>
    <t>Slab SF</t>
  </si>
  <si>
    <t>GSF / 3</t>
  </si>
  <si>
    <t>1x1 Counter tops</t>
  </si>
  <si>
    <t>SF</t>
  </si>
  <si>
    <t xml:space="preserve">Budget Level </t>
  </si>
  <si>
    <t>Level 1</t>
  </si>
  <si>
    <t>Studios</t>
  </si>
  <si>
    <t>Elevators</t>
  </si>
  <si>
    <t>Count Est.</t>
  </si>
  <si>
    <t>2x1 Counter Tops</t>
  </si>
  <si>
    <t>Product</t>
  </si>
  <si>
    <t>Senior</t>
  </si>
  <si>
    <t>1 Br - 1 Ba</t>
  </si>
  <si>
    <t>Trash Encl.</t>
  </si>
  <si>
    <t>Count Est. 1 per 35 Units</t>
  </si>
  <si>
    <t>1x1 Cab Boxes</t>
  </si>
  <si>
    <t>Boxes</t>
  </si>
  <si>
    <t xml:space="preserve">Start Date </t>
  </si>
  <si>
    <t>2 Br - 1 Ba</t>
  </si>
  <si>
    <t xml:space="preserve">Stairs </t>
  </si>
  <si>
    <t>Count</t>
  </si>
  <si>
    <t>2x1 Cab Boxes</t>
  </si>
  <si>
    <t>Timline</t>
  </si>
  <si>
    <t>2 Br - 2 Ba</t>
  </si>
  <si>
    <t>Totals</t>
  </si>
  <si>
    <t>Pool</t>
  </si>
  <si>
    <t>1x1 Decks</t>
  </si>
  <si>
    <t>Floors</t>
  </si>
  <si>
    <t>3 Br - 2 Ba</t>
  </si>
  <si>
    <t>Gym</t>
  </si>
  <si>
    <t>2x1 Decks</t>
  </si>
  <si>
    <t>Bldg SF</t>
  </si>
  <si>
    <t>TOTAL COST</t>
  </si>
  <si>
    <t>Iron Rail</t>
  </si>
  <si>
    <t>Prorate to Bruner SF</t>
  </si>
  <si>
    <t>Pavers</t>
  </si>
  <si>
    <t xml:space="preserve">Acres </t>
  </si>
  <si>
    <t>Parking</t>
  </si>
  <si>
    <t>PER UNIT</t>
  </si>
  <si>
    <t>Roofing</t>
  </si>
  <si>
    <t xml:space="preserve">Square  </t>
  </si>
  <si>
    <t>Site Landscaping</t>
  </si>
  <si>
    <t>Building 1 SF</t>
  </si>
  <si>
    <t>Site SF</t>
  </si>
  <si>
    <t>Garage Parking</t>
  </si>
  <si>
    <t>PER GSF</t>
  </si>
  <si>
    <t xml:space="preserve">Stucco </t>
  </si>
  <si>
    <t>Square Yard</t>
  </si>
  <si>
    <t>Building 2 SF</t>
  </si>
  <si>
    <t>Buildings</t>
  </si>
  <si>
    <t>Cover Parking</t>
  </si>
  <si>
    <t>Liavable Area</t>
  </si>
  <si>
    <t xml:space="preserve">SF </t>
  </si>
  <si>
    <t>Building 3 SF</t>
  </si>
  <si>
    <t>Reports Available</t>
  </si>
  <si>
    <t>Open Parking</t>
  </si>
  <si>
    <t xml:space="preserve">Carports </t>
  </si>
  <si>
    <t>60% of spaces (Bruner)</t>
  </si>
  <si>
    <t>Pool Fence</t>
  </si>
  <si>
    <t xml:space="preserve">Site Evaluation Report (GCW) </t>
  </si>
  <si>
    <t>Accessible Parking</t>
  </si>
  <si>
    <t>Seal Coat</t>
  </si>
  <si>
    <t>Asphalt SF</t>
  </si>
  <si>
    <t>Dog Park Fence</t>
  </si>
  <si>
    <t>Soils Report (Universal)</t>
  </si>
  <si>
    <t>Private Garages</t>
  </si>
  <si>
    <t>Building Perimeter</t>
  </si>
  <si>
    <t>Bldg 1 LF</t>
  </si>
  <si>
    <t>Corridor</t>
  </si>
  <si>
    <t>Alta Survey (Wallace)</t>
  </si>
  <si>
    <t>Total Parking Provided</t>
  </si>
  <si>
    <t>Bldg  2 LF</t>
  </si>
  <si>
    <t xml:space="preserve">Plans </t>
  </si>
  <si>
    <t>Parking Ratio</t>
  </si>
  <si>
    <t>Bldg 3 LF</t>
  </si>
  <si>
    <t>Pool Deck</t>
  </si>
  <si>
    <t>Description</t>
  </si>
  <si>
    <t>Cost Code</t>
  </si>
  <si>
    <t>Cost Category</t>
  </si>
  <si>
    <t>Subjob</t>
  </si>
  <si>
    <t>Source</t>
  </si>
  <si>
    <t>Unit Meas.</t>
  </si>
  <si>
    <t>Quantity</t>
  </si>
  <si>
    <t>Unit Cost</t>
  </si>
  <si>
    <t>Escalation %</t>
  </si>
  <si>
    <t>T. Unit Cost</t>
  </si>
  <si>
    <t xml:space="preserve">Sub Total </t>
  </si>
  <si>
    <t>Total</t>
  </si>
  <si>
    <t>Description / Details</t>
  </si>
  <si>
    <t xml:space="preserve">General Requirements   </t>
  </si>
  <si>
    <t>01</t>
  </si>
  <si>
    <t>S</t>
  </si>
  <si>
    <t>Mo</t>
  </si>
  <si>
    <t xml:space="preserve">Existing Conditions   </t>
  </si>
  <si>
    <t>02</t>
  </si>
  <si>
    <t>Potholing</t>
  </si>
  <si>
    <t>02-3213</t>
  </si>
  <si>
    <t>ON-SITE</t>
  </si>
  <si>
    <t>Allowance</t>
  </si>
  <si>
    <t xml:space="preserve">Concrete   </t>
  </si>
  <si>
    <t>03</t>
  </si>
  <si>
    <t xml:space="preserve">Slabs </t>
  </si>
  <si>
    <t>03-3101</t>
  </si>
  <si>
    <t>BUILDING</t>
  </si>
  <si>
    <t>Torrey Pines</t>
  </si>
  <si>
    <t>Deepened Footings</t>
  </si>
  <si>
    <t>N/A</t>
  </si>
  <si>
    <t xml:space="preserve">Concrete Slab Repairs </t>
  </si>
  <si>
    <t>RR</t>
  </si>
  <si>
    <t>LS</t>
  </si>
  <si>
    <t>Pump House Concrete</t>
  </si>
  <si>
    <t>PUMPHOUSE</t>
  </si>
  <si>
    <t>Trash Enclosure Concrete</t>
  </si>
  <si>
    <t>03-3102</t>
  </si>
  <si>
    <t>OTHER SITE</t>
  </si>
  <si>
    <t>Russell IV</t>
  </si>
  <si>
    <t xml:space="preserve">Pool Area Shower Concrete </t>
  </si>
  <si>
    <t>03-3105</t>
  </si>
  <si>
    <t>POOL AREA</t>
  </si>
  <si>
    <t>Cabana Concrete</t>
  </si>
  <si>
    <t>03-3107</t>
  </si>
  <si>
    <t xml:space="preserve">Pool Equipment Foundation </t>
  </si>
  <si>
    <t>03-3108</t>
  </si>
  <si>
    <t>POOL EQUIP</t>
  </si>
  <si>
    <t>Lightweight Concrete</t>
  </si>
  <si>
    <t>03-3116</t>
  </si>
  <si>
    <t>Deck Concrete</t>
  </si>
  <si>
    <t>03-5001</t>
  </si>
  <si>
    <t>Parking Garage</t>
  </si>
  <si>
    <t>03-G</t>
  </si>
  <si>
    <t xml:space="preserve">Parking Garage Structure </t>
  </si>
  <si>
    <t xml:space="preserve">Core Slab Precast Concrete </t>
  </si>
  <si>
    <t>Concrete Slab on Grade</t>
  </si>
  <si>
    <t xml:space="preserve">Concrete Topping Slab 4" / Level </t>
  </si>
  <si>
    <t xml:space="preserve">Electrical </t>
  </si>
  <si>
    <t>Dry Sprinklers</t>
  </si>
  <si>
    <t>Mechanical Ventilation</t>
  </si>
  <si>
    <t>Stairs and Railings</t>
  </si>
  <si>
    <t xml:space="preserve">Masonry   </t>
  </si>
  <si>
    <t>04</t>
  </si>
  <si>
    <t>Elevator Shaft</t>
  </si>
  <si>
    <t>04-2201</t>
  </si>
  <si>
    <t>Trash Enclosure</t>
  </si>
  <si>
    <t>04-2202</t>
  </si>
  <si>
    <t>Masonry Veneer</t>
  </si>
  <si>
    <t>04-4301</t>
  </si>
  <si>
    <t>Masonry Veneer Pool Area</t>
  </si>
  <si>
    <t>04-4305</t>
  </si>
  <si>
    <t>Pool Eq. Shower Stone</t>
  </si>
  <si>
    <t>04-4306</t>
  </si>
  <si>
    <t xml:space="preserve">Metals   </t>
  </si>
  <si>
    <t>05</t>
  </si>
  <si>
    <t>Structural Steel</t>
  </si>
  <si>
    <t>05-1201</t>
  </si>
  <si>
    <t>Per Derek No Structural Steel in Common Areas</t>
  </si>
  <si>
    <t xml:space="preserve">Elevator Shaft Iron </t>
  </si>
  <si>
    <t>05-1202</t>
  </si>
  <si>
    <t xml:space="preserve">Stair Handrails </t>
  </si>
  <si>
    <t>05-5201</t>
  </si>
  <si>
    <t>Garage Stair Railings</t>
  </si>
  <si>
    <t>Cabana Iron</t>
  </si>
  <si>
    <t>05-7004</t>
  </si>
  <si>
    <t>Pool Equipment Gate</t>
  </si>
  <si>
    <t>05-7005</t>
  </si>
  <si>
    <t xml:space="preserve">Iron Railings </t>
  </si>
  <si>
    <t>05-7300</t>
  </si>
  <si>
    <t>Linear Foot</t>
  </si>
  <si>
    <t>Cable Railings</t>
  </si>
  <si>
    <t>05-7316</t>
  </si>
  <si>
    <t>COMMON AREA</t>
  </si>
  <si>
    <t xml:space="preserve">Wood, Plastics, &amp; Composites   </t>
  </si>
  <si>
    <t>06</t>
  </si>
  <si>
    <t>Dumpsters</t>
  </si>
  <si>
    <t>06-0111</t>
  </si>
  <si>
    <t>DUMPSTERS</t>
  </si>
  <si>
    <t xml:space="preserve">Unit </t>
  </si>
  <si>
    <t xml:space="preserve">Framing </t>
  </si>
  <si>
    <t>06-1100</t>
  </si>
  <si>
    <t>Framing - Crane</t>
  </si>
  <si>
    <t xml:space="preserve">Cabana Framing </t>
  </si>
  <si>
    <t>06-1109</t>
  </si>
  <si>
    <t xml:space="preserve">BBQ Framing </t>
  </si>
  <si>
    <t>06-1110</t>
  </si>
  <si>
    <t>Pebble</t>
  </si>
  <si>
    <t>Fireplace Framing</t>
  </si>
  <si>
    <t>06-1111</t>
  </si>
  <si>
    <t>Trellis</t>
  </si>
  <si>
    <t>06-1114</t>
  </si>
  <si>
    <t>Pool Equipment Framing</t>
  </si>
  <si>
    <t>Finish Carpentry - Units</t>
  </si>
  <si>
    <t>06-2001</t>
  </si>
  <si>
    <t xml:space="preserve">Finish Carpentry - Common </t>
  </si>
  <si>
    <t xml:space="preserve">BBQ Trim </t>
  </si>
  <si>
    <t>06-2006</t>
  </si>
  <si>
    <t>Shutters</t>
  </si>
  <si>
    <t>06-4919</t>
  </si>
  <si>
    <t xml:space="preserve">Thermal &amp; Moisture Protection   </t>
  </si>
  <si>
    <t>07</t>
  </si>
  <si>
    <t xml:space="preserve">Insulation </t>
  </si>
  <si>
    <t>07-2101</t>
  </si>
  <si>
    <t>07-3001</t>
  </si>
  <si>
    <t>Square</t>
  </si>
  <si>
    <t>Cabana Roofing</t>
  </si>
  <si>
    <t>07-3002</t>
  </si>
  <si>
    <t>Pump House Roofing</t>
  </si>
  <si>
    <t>Pool Equipment Roofing</t>
  </si>
  <si>
    <t>07-3003</t>
  </si>
  <si>
    <t>Trash Enclosure Cover</t>
  </si>
  <si>
    <t>07-6101</t>
  </si>
  <si>
    <t>Pigeon Proofing</t>
  </si>
  <si>
    <t>07-7001</t>
  </si>
  <si>
    <t>Gutters and Downspouts</t>
  </si>
  <si>
    <t>07-7124</t>
  </si>
  <si>
    <t>Roof Ladders</t>
  </si>
  <si>
    <t>07-7210</t>
  </si>
  <si>
    <t>2 Per building</t>
  </si>
  <si>
    <t xml:space="preserve">Roof Access Doors </t>
  </si>
  <si>
    <t>07-7233</t>
  </si>
  <si>
    <t>Roof Winch</t>
  </si>
  <si>
    <t>07-7250</t>
  </si>
  <si>
    <t xml:space="preserve">Openings   </t>
  </si>
  <si>
    <t>08</t>
  </si>
  <si>
    <t>08-0151</t>
  </si>
  <si>
    <t>Per Unit</t>
  </si>
  <si>
    <t>Entry Doors</t>
  </si>
  <si>
    <t>08-1001</t>
  </si>
  <si>
    <t>Common Doors</t>
  </si>
  <si>
    <t>08-1002</t>
  </si>
  <si>
    <t>Included</t>
  </si>
  <si>
    <t xml:space="preserve">Pocket Doors - 3 Panel </t>
  </si>
  <si>
    <t>Garage Doors</t>
  </si>
  <si>
    <t>08-3619</t>
  </si>
  <si>
    <t>Windows and Sliding Glass Doors</t>
  </si>
  <si>
    <t>08-5301</t>
  </si>
  <si>
    <t>Decatur</t>
  </si>
  <si>
    <t xml:space="preserve">Per Solar Industries include +10% Due to New Energy Star U Factor Requirement Less than or equall to 0.28 </t>
  </si>
  <si>
    <t>Windows Repair and Replacement</t>
  </si>
  <si>
    <t>Pool Equipment Windows</t>
  </si>
  <si>
    <t>08-5303</t>
  </si>
  <si>
    <t>Pool Glass Walls</t>
  </si>
  <si>
    <t>08-8001</t>
  </si>
  <si>
    <t>Fixed Glass</t>
  </si>
  <si>
    <t>08-8002</t>
  </si>
  <si>
    <t>Mirrors - LED</t>
  </si>
  <si>
    <t>08-8301</t>
  </si>
  <si>
    <t>Mirrors - LED Install</t>
  </si>
  <si>
    <t>08-8302</t>
  </si>
  <si>
    <t>Mirrors - Framed</t>
  </si>
  <si>
    <t>Mirrors - Polished Edges (Units)</t>
  </si>
  <si>
    <t>Mirrors - Polished Edges (Restrooms)</t>
  </si>
  <si>
    <t xml:space="preserve">Finishes   </t>
  </si>
  <si>
    <t>09</t>
  </si>
  <si>
    <t>Cost Prep Labor</t>
  </si>
  <si>
    <t>09-0101</t>
  </si>
  <si>
    <t>Wigwam</t>
  </si>
  <si>
    <t>Cost Prep Mat</t>
  </si>
  <si>
    <t>09-0102</t>
  </si>
  <si>
    <t xml:space="preserve">Clean Up - Final </t>
  </si>
  <si>
    <t>09-0103</t>
  </si>
  <si>
    <t xml:space="preserve">Clean Up - During Construction </t>
  </si>
  <si>
    <t>09-0104</t>
  </si>
  <si>
    <t>09-0113</t>
  </si>
  <si>
    <t>Latest</t>
  </si>
  <si>
    <t>Clean Up - Hauling Exterior</t>
  </si>
  <si>
    <t>09-0121</t>
  </si>
  <si>
    <t>09-2423</t>
  </si>
  <si>
    <t>SY</t>
  </si>
  <si>
    <t xml:space="preserve">TP cost &amp; rough take off. </t>
  </si>
  <si>
    <t xml:space="preserve">Stucco - Pump House </t>
  </si>
  <si>
    <t>A</t>
  </si>
  <si>
    <t>Stucco - Walls</t>
  </si>
  <si>
    <t>09-2424</t>
  </si>
  <si>
    <t>Stucco - Pool Area</t>
  </si>
  <si>
    <t>09-2428</t>
  </si>
  <si>
    <t>Stucco - Cabana</t>
  </si>
  <si>
    <t>09-2429</t>
  </si>
  <si>
    <t xml:space="preserve">Stucco - Pool Equipment </t>
  </si>
  <si>
    <t>09-2430</t>
  </si>
  <si>
    <t>Stucco - Repairs</t>
  </si>
  <si>
    <t>09-2423A</t>
  </si>
  <si>
    <t>Drywall</t>
  </si>
  <si>
    <t>09-2905</t>
  </si>
  <si>
    <t>Drywall - Repairs</t>
  </si>
  <si>
    <t>09-2905A</t>
  </si>
  <si>
    <t>Tile Tubs and Showers</t>
  </si>
  <si>
    <t>09-3001</t>
  </si>
  <si>
    <t xml:space="preserve">Common Tile </t>
  </si>
  <si>
    <t>09-3002</t>
  </si>
  <si>
    <t>Kitchen Backsplash</t>
  </si>
  <si>
    <t>09-3003</t>
  </si>
  <si>
    <t>Cabana Tile</t>
  </si>
  <si>
    <t>09-3008</t>
  </si>
  <si>
    <t>Flooring - Units</t>
  </si>
  <si>
    <t>09-6001</t>
  </si>
  <si>
    <t>Arzano</t>
  </si>
  <si>
    <t>Common Wood</t>
  </si>
  <si>
    <t>09-6401</t>
  </si>
  <si>
    <t>Common Vinyl</t>
  </si>
  <si>
    <t>09-6517</t>
  </si>
  <si>
    <t>Hall Flooring</t>
  </si>
  <si>
    <t>09-6520</t>
  </si>
  <si>
    <t xml:space="preserve">Hall Flooring - Elevators </t>
  </si>
  <si>
    <t>09-6520A</t>
  </si>
  <si>
    <t>Common - Plank</t>
  </si>
  <si>
    <t>09-6521</t>
  </si>
  <si>
    <t>Common - VCT</t>
  </si>
  <si>
    <t>09-6522</t>
  </si>
  <si>
    <t>Common - Rubber Floor (Ecore)</t>
  </si>
  <si>
    <t>09-6566</t>
  </si>
  <si>
    <t>Per Derek 2 Gyms,  1,300 SF Each, Larger Gym</t>
  </si>
  <si>
    <t>Common - Carpet Stairs</t>
  </si>
  <si>
    <t>09-6802</t>
  </si>
  <si>
    <t>Hall Runner Install</t>
  </si>
  <si>
    <t>09-6803</t>
  </si>
  <si>
    <t>Assumption of 25% of corridor SF.</t>
  </si>
  <si>
    <t>Hall Runner Materials</t>
  </si>
  <si>
    <t>09-6804</t>
  </si>
  <si>
    <t>Painting - Repairs</t>
  </si>
  <si>
    <t>09-9101A</t>
  </si>
  <si>
    <t>Painting</t>
  </si>
  <si>
    <t>09-9101</t>
  </si>
  <si>
    <t>Painting - Walls</t>
  </si>
  <si>
    <t>09-9102</t>
  </si>
  <si>
    <t>Painting - Pool Area</t>
  </si>
  <si>
    <t>09-9106</t>
  </si>
  <si>
    <t xml:space="preserve">Wall Covering </t>
  </si>
  <si>
    <t xml:space="preserve">Walls - Specialty </t>
  </si>
  <si>
    <t>09-9110</t>
  </si>
  <si>
    <t xml:space="preserve">Specialties   </t>
  </si>
  <si>
    <t>10</t>
  </si>
  <si>
    <t xml:space="preserve">Entry Directory </t>
  </si>
  <si>
    <t>10-1300</t>
  </si>
  <si>
    <t>Unit Carport Signs</t>
  </si>
  <si>
    <t>10-1401</t>
  </si>
  <si>
    <t>CARPORT</t>
  </si>
  <si>
    <t xml:space="preserve">Site Signage </t>
  </si>
  <si>
    <t>10-1404</t>
  </si>
  <si>
    <t>Entry Sign Letters</t>
  </si>
  <si>
    <t>10-1419</t>
  </si>
  <si>
    <t>Offsite Street Signs</t>
  </si>
  <si>
    <t>10-1454</t>
  </si>
  <si>
    <t>Offsite</t>
  </si>
  <si>
    <t>Bath Accessories</t>
  </si>
  <si>
    <t>10-2816</t>
  </si>
  <si>
    <t>Shower Doors</t>
  </si>
  <si>
    <t>10-2919</t>
  </si>
  <si>
    <t>Fire Places</t>
  </si>
  <si>
    <t>10-3000</t>
  </si>
  <si>
    <t>Fire Places - Pool Area</t>
  </si>
  <si>
    <t>10-3200</t>
  </si>
  <si>
    <t>BBQ Units</t>
  </si>
  <si>
    <t>10-3355</t>
  </si>
  <si>
    <t>Lock Boxes</t>
  </si>
  <si>
    <t>10-4116</t>
  </si>
  <si>
    <t>Fire Extinguishers</t>
  </si>
  <si>
    <t>10-4416</t>
  </si>
  <si>
    <t xml:space="preserve">Mail Boxes </t>
  </si>
  <si>
    <t>10-5523</t>
  </si>
  <si>
    <t>Rainbow</t>
  </si>
  <si>
    <t xml:space="preserve">Closet Shelving </t>
  </si>
  <si>
    <t>10-5723</t>
  </si>
  <si>
    <t xml:space="preserve">Window Awnings Small </t>
  </si>
  <si>
    <t>10-7313</t>
  </si>
  <si>
    <t>Flamingo</t>
  </si>
  <si>
    <t xml:space="preserve">Design Item Could be removed from Budget </t>
  </si>
  <si>
    <t>Window Awnings Large</t>
  </si>
  <si>
    <t xml:space="preserve">Equipment   </t>
  </si>
  <si>
    <t>11</t>
  </si>
  <si>
    <t xml:space="preserve">Appliances </t>
  </si>
  <si>
    <t>11-3013</t>
  </si>
  <si>
    <t xml:space="preserve">Furnishings   </t>
  </si>
  <si>
    <t>12</t>
  </si>
  <si>
    <t>12-0131</t>
  </si>
  <si>
    <t>Blinds</t>
  </si>
  <si>
    <t>12-2100</t>
  </si>
  <si>
    <t>Cabinets Units</t>
  </si>
  <si>
    <t>12-3531</t>
  </si>
  <si>
    <t>Cabinet Common Areas</t>
  </si>
  <si>
    <t>12-3535</t>
  </si>
  <si>
    <t>Counter Tops Units</t>
  </si>
  <si>
    <t>12-3601</t>
  </si>
  <si>
    <t>Arzano cost and rough take off.</t>
  </si>
  <si>
    <t xml:space="preserve">Counter Tops Common Areas </t>
  </si>
  <si>
    <t>12-3605</t>
  </si>
  <si>
    <t>Each building considered to have common area. Allowance per building.</t>
  </si>
  <si>
    <t>Counter Tops Pool Area</t>
  </si>
  <si>
    <t>12-3608</t>
  </si>
  <si>
    <t>BBQ Top</t>
  </si>
  <si>
    <t>12-3609</t>
  </si>
  <si>
    <t>Each building considered to have 1 BBQ. Allowance per building.</t>
  </si>
  <si>
    <t xml:space="preserve">Special Construction   </t>
  </si>
  <si>
    <t>13</t>
  </si>
  <si>
    <t>Pools and Spas</t>
  </si>
  <si>
    <t>13-1113</t>
  </si>
  <si>
    <t>13-3401</t>
  </si>
  <si>
    <t>60% of parking spaces.</t>
  </si>
  <si>
    <t>Pool Equipment Cover</t>
  </si>
  <si>
    <t>13-3402</t>
  </si>
  <si>
    <t>Trash Chute</t>
  </si>
  <si>
    <t>13-G</t>
  </si>
  <si>
    <t xml:space="preserve">Conveying Equipment   </t>
  </si>
  <si>
    <t>14</t>
  </si>
  <si>
    <t xml:space="preserve">Elevator </t>
  </si>
  <si>
    <t>14-2400</t>
  </si>
  <si>
    <t>Stop</t>
  </si>
  <si>
    <t>Pool and Spa Lifts</t>
  </si>
  <si>
    <t>14-4101</t>
  </si>
  <si>
    <t xml:space="preserve">Fire Suppression   </t>
  </si>
  <si>
    <t>21</t>
  </si>
  <si>
    <t xml:space="preserve">Sprinkler Design </t>
  </si>
  <si>
    <t>21-0600</t>
  </si>
  <si>
    <t xml:space="preserve">Sprinkler System </t>
  </si>
  <si>
    <t>21-1313</t>
  </si>
  <si>
    <t>Fire Pump</t>
  </si>
  <si>
    <t>21-3000</t>
  </si>
  <si>
    <t xml:space="preserve">Plumbing   </t>
  </si>
  <si>
    <t>22</t>
  </si>
  <si>
    <t>1 Bathroom Unit</t>
  </si>
  <si>
    <t>22-1001</t>
  </si>
  <si>
    <t>2 Bathroom Unit</t>
  </si>
  <si>
    <t>Tiny Homes</t>
  </si>
  <si>
    <t xml:space="preserve">Pool Area  </t>
  </si>
  <si>
    <t>22-1003</t>
  </si>
  <si>
    <t xml:space="preserve">Pool Equipment </t>
  </si>
  <si>
    <t>22-1007</t>
  </si>
  <si>
    <t xml:space="preserve">HVAC   </t>
  </si>
  <si>
    <t>23</t>
  </si>
  <si>
    <t>HVAC Standard</t>
  </si>
  <si>
    <t>23-3001</t>
  </si>
  <si>
    <t>Enix include 10% for New Refrigerent Upgrade to R-454B</t>
  </si>
  <si>
    <t xml:space="preserve">Electrical   </t>
  </si>
  <si>
    <t>26</t>
  </si>
  <si>
    <t>Electrical</t>
  </si>
  <si>
    <t>26-1001</t>
  </si>
  <si>
    <t>SqFt</t>
  </si>
  <si>
    <t>Electrical Fixtures</t>
  </si>
  <si>
    <t>26-5001</t>
  </si>
  <si>
    <t>Building Electrical Fixtures</t>
  </si>
  <si>
    <t>26-5002</t>
  </si>
  <si>
    <t>Hall Lighting Fixtures</t>
  </si>
  <si>
    <t>26-5003</t>
  </si>
  <si>
    <t xml:space="preserve">Carports Electrical </t>
  </si>
  <si>
    <t>Space</t>
  </si>
  <si>
    <t>Carport Fixtures</t>
  </si>
  <si>
    <t xml:space="preserve">Cabana Electrical </t>
  </si>
  <si>
    <t>Cabana Fixtures</t>
  </si>
  <si>
    <t>26-5004</t>
  </si>
  <si>
    <t xml:space="preserve">Street Lights </t>
  </si>
  <si>
    <t>26-5613</t>
  </si>
  <si>
    <t>Budget</t>
  </si>
  <si>
    <t xml:space="preserve">Site Lighting Electrical </t>
  </si>
  <si>
    <t>26-1005</t>
  </si>
  <si>
    <t>Acre</t>
  </si>
  <si>
    <t>Site Lighting Fixtures</t>
  </si>
  <si>
    <t>26-5602</t>
  </si>
  <si>
    <t xml:space="preserve">Pool Lighting Electrical </t>
  </si>
  <si>
    <t>26-1004</t>
  </si>
  <si>
    <t>Pool Lighting Fixtures</t>
  </si>
  <si>
    <t>26-5603</t>
  </si>
  <si>
    <t xml:space="preserve">Pool Equipment Electrical </t>
  </si>
  <si>
    <t>26-1007</t>
  </si>
  <si>
    <t xml:space="preserve">Pump House Electrical </t>
  </si>
  <si>
    <t>Pump House Fixtures</t>
  </si>
  <si>
    <t xml:space="preserve">Communications   </t>
  </si>
  <si>
    <t>27</t>
  </si>
  <si>
    <t>TV and Media</t>
  </si>
  <si>
    <t>27-2201</t>
  </si>
  <si>
    <t>Per Building</t>
  </si>
  <si>
    <t xml:space="preserve">DAS System </t>
  </si>
  <si>
    <t>27-3010</t>
  </si>
  <si>
    <t>Pool ADA Phone</t>
  </si>
  <si>
    <t>27-3201</t>
  </si>
  <si>
    <t>Per Pool</t>
  </si>
  <si>
    <t xml:space="preserve">Electronic Safety &amp; Security   </t>
  </si>
  <si>
    <t>28</t>
  </si>
  <si>
    <t>Security System</t>
  </si>
  <si>
    <t>28-1001</t>
  </si>
  <si>
    <t>Site Security System</t>
  </si>
  <si>
    <t>28-2001</t>
  </si>
  <si>
    <t>Fire Alarm / Two Way Comm AOR</t>
  </si>
  <si>
    <t>28-4601</t>
  </si>
  <si>
    <t xml:space="preserve">Earthwork   </t>
  </si>
  <si>
    <t>31</t>
  </si>
  <si>
    <t>Construction Water</t>
  </si>
  <si>
    <t>31-0121</t>
  </si>
  <si>
    <t xml:space="preserve">Dust Control </t>
  </si>
  <si>
    <t>31-0122</t>
  </si>
  <si>
    <t>Demolition</t>
  </si>
  <si>
    <t>31-0505</t>
  </si>
  <si>
    <t>Rock Dirt Haul Off</t>
  </si>
  <si>
    <t>31-1492</t>
  </si>
  <si>
    <t>See Budget File</t>
  </si>
  <si>
    <t>Mass Grading</t>
  </si>
  <si>
    <t>31-2201</t>
  </si>
  <si>
    <t>Fine Grade</t>
  </si>
  <si>
    <t>31-2216</t>
  </si>
  <si>
    <t>Hard Dig</t>
  </si>
  <si>
    <t>31-2319</t>
  </si>
  <si>
    <t xml:space="preserve">Dewatering </t>
  </si>
  <si>
    <t>31-2322</t>
  </si>
  <si>
    <t>Storm Water Prevention</t>
  </si>
  <si>
    <t>31-2501</t>
  </si>
  <si>
    <t xml:space="preserve">Exterior Improvements   </t>
  </si>
  <si>
    <t>32</t>
  </si>
  <si>
    <t>Bond Repair</t>
  </si>
  <si>
    <t>32-0100</t>
  </si>
  <si>
    <t>Street Cleaning</t>
  </si>
  <si>
    <t>32-0111</t>
  </si>
  <si>
    <t xml:space="preserve">Asphalt Sawcut and Removal </t>
  </si>
  <si>
    <t>32-0506</t>
  </si>
  <si>
    <t>Paving</t>
  </si>
  <si>
    <t>32-1216</t>
  </si>
  <si>
    <t>32-1236</t>
  </si>
  <si>
    <t>32-1401</t>
  </si>
  <si>
    <t>Pool Decks</t>
  </si>
  <si>
    <t>32-1402</t>
  </si>
  <si>
    <t xml:space="preserve">Curbs and Gutters </t>
  </si>
  <si>
    <t>32-1613</t>
  </si>
  <si>
    <t>Tack On Curb</t>
  </si>
  <si>
    <t>32-1614</t>
  </si>
  <si>
    <t>Concrete Flatwork</t>
  </si>
  <si>
    <t>32-1623</t>
  </si>
  <si>
    <t>Bus Pad</t>
  </si>
  <si>
    <t>32-1625</t>
  </si>
  <si>
    <t>Pool Hardscape</t>
  </si>
  <si>
    <t>32-1626</t>
  </si>
  <si>
    <t>Street Signs / Striping</t>
  </si>
  <si>
    <t>32-1700</t>
  </si>
  <si>
    <t>Walls Iron</t>
  </si>
  <si>
    <t>32-3101</t>
  </si>
  <si>
    <t xml:space="preserve">See Budget File </t>
  </si>
  <si>
    <t>Trash Enclosure Iron Gates</t>
  </si>
  <si>
    <t>32-3103</t>
  </si>
  <si>
    <t>Site Railings</t>
  </si>
  <si>
    <t>32-3104</t>
  </si>
  <si>
    <t>Dog Run Fence</t>
  </si>
  <si>
    <t>32-3105</t>
  </si>
  <si>
    <t>LF</t>
  </si>
  <si>
    <t>Per Derek 2 Dog Parks</t>
  </si>
  <si>
    <t>32-3106</t>
  </si>
  <si>
    <t>Per Derek (2) Pools</t>
  </si>
  <si>
    <t>Pool Fence Gates</t>
  </si>
  <si>
    <t>Entry Security Gates</t>
  </si>
  <si>
    <t>32-3111</t>
  </si>
  <si>
    <t xml:space="preserve">Entry Security Gates Electrical </t>
  </si>
  <si>
    <t>32-3112</t>
  </si>
  <si>
    <t>Entry Gate Transmitters</t>
  </si>
  <si>
    <t>32-3113</t>
  </si>
  <si>
    <t xml:space="preserve">Entry Gates </t>
  </si>
  <si>
    <t>32-3114</t>
  </si>
  <si>
    <t>Temp Fencing</t>
  </si>
  <si>
    <t>32-3120</t>
  </si>
  <si>
    <t xml:space="preserve">Walls Masonry </t>
  </si>
  <si>
    <t>32-3201</t>
  </si>
  <si>
    <t>Walls Pilaster Caps</t>
  </si>
  <si>
    <t>32-3202</t>
  </si>
  <si>
    <t xml:space="preserve">Retaining Walls </t>
  </si>
  <si>
    <t>32-3204</t>
  </si>
  <si>
    <t>Pool Walls</t>
  </si>
  <si>
    <t>32-3208</t>
  </si>
  <si>
    <t>Site Furniture Permanent</t>
  </si>
  <si>
    <t>32-3343</t>
  </si>
  <si>
    <t>32-9001</t>
  </si>
  <si>
    <t>Site Landscaping Lighting</t>
  </si>
  <si>
    <t>Site Landscaping Planter Pots</t>
  </si>
  <si>
    <t>32-9433</t>
  </si>
  <si>
    <t xml:space="preserve">Offsite Asphalt Sawcut and Removal </t>
  </si>
  <si>
    <t>Offsite Paving</t>
  </si>
  <si>
    <t>Offsite Curbs and Gutters</t>
  </si>
  <si>
    <t>Offsite Concrete Flatwork</t>
  </si>
  <si>
    <t xml:space="preserve">Utilities   </t>
  </si>
  <si>
    <t>33</t>
  </si>
  <si>
    <t>Temp Power</t>
  </si>
  <si>
    <t>33-0501</t>
  </si>
  <si>
    <t>Flamingo actual per unit</t>
  </si>
  <si>
    <t>Traffic Control, AC Removal and Patch</t>
  </si>
  <si>
    <t>33-1001</t>
  </si>
  <si>
    <t xml:space="preserve">Water </t>
  </si>
  <si>
    <t>Sewer</t>
  </si>
  <si>
    <t>33-3001</t>
  </si>
  <si>
    <t>Storm Drain</t>
  </si>
  <si>
    <t>33-4001</t>
  </si>
  <si>
    <t>Sub Drains</t>
  </si>
  <si>
    <t>33-4116</t>
  </si>
  <si>
    <t>Electric</t>
  </si>
  <si>
    <t>33-7101</t>
  </si>
  <si>
    <t>Secondary Conduit</t>
  </si>
  <si>
    <t>33-7102</t>
  </si>
  <si>
    <t>Bollards</t>
  </si>
  <si>
    <t>33-7103</t>
  </si>
  <si>
    <t>Cable TV</t>
  </si>
  <si>
    <t>33-8201</t>
  </si>
  <si>
    <t>Phone</t>
  </si>
  <si>
    <t>33-8202</t>
  </si>
  <si>
    <t>Off Site Water</t>
  </si>
  <si>
    <t>Off Site Sewer</t>
  </si>
  <si>
    <t>Off Site Electric</t>
  </si>
  <si>
    <t xml:space="preserve">Transportation   </t>
  </si>
  <si>
    <t>34</t>
  </si>
  <si>
    <t xml:space="preserve">Traffic Control </t>
  </si>
  <si>
    <t>34-4116</t>
  </si>
  <si>
    <t xml:space="preserve">Electrical Power Generation   </t>
  </si>
  <si>
    <t>48</t>
  </si>
  <si>
    <t>Solar PV System</t>
  </si>
  <si>
    <t>48-1413</t>
  </si>
  <si>
    <t>Solar PV Conduit</t>
  </si>
  <si>
    <t>48-1414</t>
  </si>
  <si>
    <t xml:space="preserve">Car Charging Stations </t>
  </si>
  <si>
    <t>48-1913</t>
  </si>
  <si>
    <t xml:space="preserve">Field Surveys, Staking   </t>
  </si>
  <si>
    <t>49</t>
  </si>
  <si>
    <t xml:space="preserve">Staking </t>
  </si>
  <si>
    <t>49-0601</t>
  </si>
  <si>
    <t xml:space="preserve">Re Staking </t>
  </si>
  <si>
    <t>49-0602</t>
  </si>
  <si>
    <t xml:space="preserve">Certs and Verifications </t>
  </si>
  <si>
    <t>49-0603</t>
  </si>
  <si>
    <t xml:space="preserve">Slab Testing </t>
  </si>
  <si>
    <t>49-0801</t>
  </si>
  <si>
    <t xml:space="preserve">Grading Testing </t>
  </si>
  <si>
    <t>49-0802</t>
  </si>
  <si>
    <t xml:space="preserve">Other Testing </t>
  </si>
  <si>
    <t>49-0803</t>
  </si>
  <si>
    <t xml:space="preserve">Masonry Testing </t>
  </si>
  <si>
    <t>49-0807</t>
  </si>
  <si>
    <t xml:space="preserve">Pavement Testing </t>
  </si>
  <si>
    <t>49-0808</t>
  </si>
  <si>
    <t>Third Party Inspections</t>
  </si>
  <si>
    <t>49-0950</t>
  </si>
  <si>
    <t xml:space="preserve">Bridge </t>
  </si>
  <si>
    <t>Bridge Over Duct Creek Wash</t>
  </si>
  <si>
    <t>Olson Concrete Propsoal 7/23/24 Includes $50,000 each bridge for demo of the concrete channel, excavation for the hybrid box invert and backfill.</t>
  </si>
  <si>
    <t>Bid Risk</t>
  </si>
  <si>
    <t xml:space="preserve">FFE </t>
  </si>
  <si>
    <t>FFE Extra</t>
  </si>
  <si>
    <t>Golf Carts</t>
  </si>
  <si>
    <t>11-1001</t>
  </si>
  <si>
    <t>Alper</t>
  </si>
  <si>
    <t>Convenience Store Equipment</t>
  </si>
  <si>
    <t>11-2101</t>
  </si>
  <si>
    <t xml:space="preserve">Pet Wash </t>
  </si>
  <si>
    <t>11-2102</t>
  </si>
  <si>
    <t>Office Equipment</t>
  </si>
  <si>
    <t>11-2801</t>
  </si>
  <si>
    <t xml:space="preserve">Gym Exercise Equipment </t>
  </si>
  <si>
    <t>11-6613</t>
  </si>
  <si>
    <t>LS / Gym</t>
  </si>
  <si>
    <t>Playground / Basketball Hoop</t>
  </si>
  <si>
    <t>11-6813</t>
  </si>
  <si>
    <t>Maintenance Shop Equipment</t>
  </si>
  <si>
    <t>11-8101</t>
  </si>
  <si>
    <t>Maintenance Shop Start Up Supplies</t>
  </si>
  <si>
    <t>11-8102</t>
  </si>
  <si>
    <t>Fixed Asset Misc.</t>
  </si>
  <si>
    <t>11-8105</t>
  </si>
  <si>
    <t xml:space="preserve">Interior Furniture </t>
  </si>
  <si>
    <t>12-5000</t>
  </si>
  <si>
    <t>LS / Bldg</t>
  </si>
  <si>
    <t>Exterior Furniture</t>
  </si>
  <si>
    <t>12-5483</t>
  </si>
  <si>
    <t>Rec Building TV Media Computer</t>
  </si>
  <si>
    <t>Rec Building Telephone System</t>
  </si>
  <si>
    <t>27-3202</t>
  </si>
  <si>
    <t>Maintenance Radios</t>
  </si>
  <si>
    <t>27-3243</t>
  </si>
  <si>
    <t xml:space="preserve">Construction Contingency </t>
  </si>
  <si>
    <t>55</t>
  </si>
  <si>
    <t>55-9800</t>
  </si>
  <si>
    <t>Sub Bonds</t>
  </si>
  <si>
    <t>50</t>
  </si>
  <si>
    <t>50-9950</t>
  </si>
  <si>
    <t>B</t>
  </si>
  <si>
    <t>GL Insurance</t>
  </si>
  <si>
    <t xml:space="preserve">GL Insurance </t>
  </si>
  <si>
    <t>50-0001</t>
  </si>
  <si>
    <t>3.03 per $1,000</t>
  </si>
  <si>
    <t>Misc.</t>
  </si>
  <si>
    <t>5% of GL Ins.</t>
  </si>
  <si>
    <t>Umbrella</t>
  </si>
  <si>
    <t>95% of GL Ins.</t>
  </si>
  <si>
    <t>Contractor Fee</t>
  </si>
  <si>
    <t>56</t>
  </si>
  <si>
    <t xml:space="preserve"> Overhead &amp; Contractor Fee</t>
  </si>
  <si>
    <t>Total Hard Costs</t>
  </si>
  <si>
    <t xml:space="preserve">5th Story Factor </t>
  </si>
  <si>
    <t>01 - General Requirements</t>
  </si>
  <si>
    <t>02 - Existing Conditions</t>
  </si>
  <si>
    <t>03 - Concrete</t>
  </si>
  <si>
    <t>04 - Masonry</t>
  </si>
  <si>
    <t>05 - Metals</t>
  </si>
  <si>
    <t>06 - Wood, Plastics, &amp; Composites</t>
  </si>
  <si>
    <t>07 - Thermal &amp; Moisture Protection</t>
  </si>
  <si>
    <t>08 - Openings</t>
  </si>
  <si>
    <t>09 - Finishes</t>
  </si>
  <si>
    <t>10 - Specialties</t>
  </si>
  <si>
    <t>11 - Equipment</t>
  </si>
  <si>
    <t>12 - Furnishings</t>
  </si>
  <si>
    <t>13 - Special Construction</t>
  </si>
  <si>
    <t>14 - Conveying Equipment</t>
  </si>
  <si>
    <t>21 - Fire Suppression</t>
  </si>
  <si>
    <t>22 - Plumbing</t>
  </si>
  <si>
    <t>23 - HVAC</t>
  </si>
  <si>
    <t>26 - Electrical</t>
  </si>
  <si>
    <t>27 - Communications</t>
  </si>
  <si>
    <t>28 - Electronic Safety &amp; Security</t>
  </si>
  <si>
    <t>31 - Earthwork</t>
  </si>
  <si>
    <t>32 - Exterior Improvements</t>
  </si>
  <si>
    <t>33 - Utilities</t>
  </si>
  <si>
    <t>34 - Transportation</t>
  </si>
  <si>
    <t>48 - Electrical Power Generation</t>
  </si>
  <si>
    <t>49 - Field Surveys, Staking</t>
  </si>
  <si>
    <t>50 - Sub Bonds</t>
  </si>
  <si>
    <t>55 - Construction Contingency</t>
  </si>
  <si>
    <t>56 - Contractor Fee</t>
  </si>
  <si>
    <t>check</t>
  </si>
  <si>
    <t>FOR ADJUSTMENTS</t>
  </si>
  <si>
    <t>Appliances, Flooring &amp; Blinds</t>
  </si>
  <si>
    <t>Common - Rubber Floor</t>
  </si>
  <si>
    <t>Common - Carpet</t>
  </si>
  <si>
    <t>Total Appliances, Flooring &amp; Blinds</t>
  </si>
  <si>
    <t>Site Work</t>
  </si>
  <si>
    <t>Major Categories</t>
  </si>
  <si>
    <t>Existing Conditions</t>
  </si>
  <si>
    <t>Earthwork</t>
  </si>
  <si>
    <t>Exterior Improvements</t>
  </si>
  <si>
    <t>Utilities</t>
  </si>
  <si>
    <t>Transportation</t>
  </si>
  <si>
    <t>Electrical Power Generation</t>
  </si>
  <si>
    <t>Minor Categories</t>
  </si>
  <si>
    <t>Gazebo</t>
  </si>
  <si>
    <t>Other Site</t>
  </si>
  <si>
    <t>10-1454OFFSITE</t>
  </si>
  <si>
    <t>26-5613OFFSITE</t>
  </si>
  <si>
    <t>Total Site Work</t>
  </si>
  <si>
    <t>32-0506OFFSITE</t>
  </si>
  <si>
    <t>already included in 32</t>
  </si>
  <si>
    <t>32-1216OFFSITE</t>
  </si>
  <si>
    <t>32-1613OFFSITE</t>
  </si>
  <si>
    <t>32-1623OFFSITE</t>
  </si>
  <si>
    <t>33-4001OFFSITE</t>
  </si>
  <si>
    <t>already included in 33</t>
  </si>
  <si>
    <t>33-1001OFFSITE</t>
  </si>
  <si>
    <t>33-3001OFFSITE</t>
  </si>
  <si>
    <t>33-7101OFFSITE</t>
  </si>
  <si>
    <t>34-4116OFFSITE</t>
  </si>
  <si>
    <t>already included in 34</t>
  </si>
  <si>
    <t>HOME FUNDS INELIGIBLE COSTS</t>
  </si>
  <si>
    <t>Offsite Work</t>
  </si>
  <si>
    <t>Other Ineligible Costs</t>
  </si>
  <si>
    <t>Pool Equipment Shower Stone</t>
  </si>
  <si>
    <t>Stucco - Pool Wall</t>
  </si>
  <si>
    <t>WorkSheet Name</t>
  </si>
  <si>
    <t>Report Code</t>
  </si>
  <si>
    <t>Company Id</t>
  </si>
  <si>
    <t>Job Id</t>
  </si>
  <si>
    <t>Start Date</t>
  </si>
  <si>
    <t>End Date</t>
  </si>
  <si>
    <t>Payroll Subledger</t>
  </si>
  <si>
    <t>Pay Period Id</t>
  </si>
  <si>
    <t>Unit Matrix</t>
  </si>
  <si>
    <t>Bruner Senior</t>
  </si>
  <si>
    <t>Counter tops</t>
  </si>
  <si>
    <t>Fitness Center</t>
  </si>
  <si>
    <t>Level 3</t>
  </si>
  <si>
    <t>A1A</t>
  </si>
  <si>
    <t>Railing Estimate</t>
  </si>
  <si>
    <t>Building 3</t>
  </si>
  <si>
    <t>Stucco</t>
  </si>
  <si>
    <t>B1A</t>
  </si>
  <si>
    <t>Elevators Stops</t>
  </si>
  <si>
    <t>Landscaping</t>
  </si>
  <si>
    <t>Building 1</t>
  </si>
  <si>
    <t>B1B</t>
  </si>
  <si>
    <t>Site Plan</t>
  </si>
  <si>
    <t>Northwest</t>
  </si>
  <si>
    <t>Timeline</t>
  </si>
  <si>
    <t>A2A</t>
  </si>
  <si>
    <t>Southwest</t>
  </si>
  <si>
    <t>B2A</t>
  </si>
  <si>
    <t>Northeast</t>
  </si>
  <si>
    <t>Bldg. SF</t>
  </si>
  <si>
    <t>B2B</t>
  </si>
  <si>
    <t>Lightweight</t>
  </si>
  <si>
    <t>Southeast</t>
  </si>
  <si>
    <t>More</t>
  </si>
  <si>
    <t>Cover Accesible Parking</t>
  </si>
  <si>
    <t>Building 2 &amp; 5</t>
  </si>
  <si>
    <t>Building 4</t>
  </si>
  <si>
    <t>Livable Area</t>
  </si>
  <si>
    <t>N</t>
  </si>
  <si>
    <t>Common Bldg. 1</t>
  </si>
  <si>
    <t>Soils Report (Nova or Universal)</t>
  </si>
  <si>
    <t>Y - 4/21/20</t>
  </si>
  <si>
    <t>Waiver</t>
  </si>
  <si>
    <t>Stairs Landings</t>
  </si>
  <si>
    <t>Landings</t>
  </si>
  <si>
    <t>Asphalt</t>
  </si>
  <si>
    <t>Y - 1/21/20</t>
  </si>
  <si>
    <t>Pump House</t>
  </si>
  <si>
    <t>EA</t>
  </si>
  <si>
    <t>Pavers Pool</t>
  </si>
  <si>
    <t>Awning Small</t>
  </si>
  <si>
    <t>B1B Railings</t>
  </si>
  <si>
    <t>Awning Large</t>
  </si>
  <si>
    <t>Sub job</t>
  </si>
  <si>
    <t>UMO</t>
  </si>
  <si>
    <t>QTY</t>
  </si>
  <si>
    <t>U.P.</t>
  </si>
  <si>
    <t>Escal %</t>
  </si>
  <si>
    <t>Total U.P.</t>
  </si>
  <si>
    <t>General Requirement</t>
  </si>
  <si>
    <t>Common Areas Flooring</t>
  </si>
  <si>
    <t>Level</t>
  </si>
  <si>
    <t>Bathrooms</t>
  </si>
  <si>
    <t>Food Pantry</t>
  </si>
  <si>
    <t>NRC proposal is at $534k or $11.01/sf.</t>
  </si>
  <si>
    <t>Great Room</t>
  </si>
  <si>
    <t>Hallway</t>
  </si>
  <si>
    <t>Main Entry Hallway</t>
  </si>
  <si>
    <t>Offices and Leasing</t>
  </si>
  <si>
    <t>Wellness/Media/Lounge</t>
  </si>
  <si>
    <t>Computer/Library/Salon</t>
  </si>
  <si>
    <t>Laundry/Lounge</t>
  </si>
  <si>
    <t xml:space="preserve">Stairwell Landing </t>
  </si>
  <si>
    <t>ALL</t>
  </si>
  <si>
    <t>LBS</t>
  </si>
  <si>
    <t>Flight</t>
  </si>
  <si>
    <t>Updated</t>
  </si>
  <si>
    <t>Missed 105 Juliet/Faux balconies in takeoff ($100K)</t>
  </si>
  <si>
    <t>Moving Ave</t>
  </si>
  <si>
    <t>National Builders proposal $4.1M, Gilmore at $3.67M</t>
  </si>
  <si>
    <t>Framing - Pump House</t>
  </si>
  <si>
    <t>New line item added for pump house framing.</t>
  </si>
  <si>
    <t>Finish Carpentry - Pump House</t>
  </si>
  <si>
    <t>New Line item for pump house</t>
  </si>
  <si>
    <t>It includes the material increased since for 2nd half of 2024.</t>
  </si>
  <si>
    <t>Insulation - Pump House</t>
  </si>
  <si>
    <t>Squares</t>
  </si>
  <si>
    <t>Cost Prep Mat - Home Depot</t>
  </si>
  <si>
    <t>Includes Dumpters</t>
  </si>
  <si>
    <t>Clean Up - During Construction - Labor</t>
  </si>
  <si>
    <t>Included in Construction Cleaning Contract.</t>
  </si>
  <si>
    <t>12 Month Moving Average</t>
  </si>
  <si>
    <t>Bruner Proposal</t>
  </si>
  <si>
    <t>Based on the average of 2 proposals (Classis and Wall)</t>
  </si>
  <si>
    <t>Drywall - Pump House</t>
  </si>
  <si>
    <t>Decatur Seamless $13.9 versus Pebble Seamless $7.57</t>
  </si>
  <si>
    <t>Hualapai</t>
  </si>
  <si>
    <t xml:space="preserve">Left unchanged as budget amount in between Wall and Classic proposals $312M &amp; $401M respectively. </t>
  </si>
  <si>
    <t>Paint - Pump House</t>
  </si>
  <si>
    <t>Is this not included in the sprinkler contract? Yes but separate cost code.</t>
  </si>
  <si>
    <t>Updated to Latest</t>
  </si>
  <si>
    <t>Included in Construction Cleaning Contract</t>
  </si>
  <si>
    <t>Incudes New Requirement for Cordless Blinds as of 6/1/24</t>
  </si>
  <si>
    <t>Based on Pebble Spec</t>
  </si>
  <si>
    <t>See Tab 3, Includes Allowance for 30% solar</t>
  </si>
  <si>
    <t>Updated to latest proposal.</t>
  </si>
  <si>
    <t>Provent system. JMAC Plumbing proposal lowest vs Focus at +$220k.</t>
  </si>
  <si>
    <t>Plumbing - Pump House</t>
  </si>
  <si>
    <t>Budgeted at Torrey Pines</t>
  </si>
  <si>
    <t>HVAC - Pump House</t>
  </si>
  <si>
    <t xml:space="preserve">Includes 5% for Additional EV Requirements Allowance, No Gear Expediting </t>
  </si>
  <si>
    <t>See detail budget.</t>
  </si>
  <si>
    <t>Updated to Torrey Pines.</t>
  </si>
  <si>
    <t>Current Estimated Cost to Completion at Pebble</t>
  </si>
  <si>
    <t>Fire Alarm - Pump House</t>
  </si>
  <si>
    <t>Demolition / Clear and Crub</t>
  </si>
  <si>
    <t>Crash Gate</t>
  </si>
  <si>
    <t xml:space="preserve">Allowance </t>
  </si>
  <si>
    <t>See Budget File. It Includes removing AC and paving at the Las Vegas Blvd interception for Gas $226k.)</t>
  </si>
  <si>
    <t>Offsite Parvin Realignment</t>
  </si>
  <si>
    <t>32-5500</t>
  </si>
  <si>
    <t>Per Clark County on 10/30/24 - Deleted the amount $296,825 per Erik request for schedule of values.</t>
  </si>
  <si>
    <t>See Budget File. It includes $96k in hard dig.</t>
  </si>
  <si>
    <t>Gas</t>
  </si>
  <si>
    <t>33-5001</t>
  </si>
  <si>
    <t>See Budget File (Further Negotiations with SWG Needed)</t>
  </si>
  <si>
    <t>See Budget File (Includes $34K in Hard Dig)</t>
  </si>
  <si>
    <t>Included in budget for Onsite.</t>
  </si>
  <si>
    <t>Off Site Storm Drain</t>
  </si>
  <si>
    <t xml:space="preserve">See Budget File ($35k in Hard Dig and $84k for street lights incl 2 at Parvin). </t>
  </si>
  <si>
    <t>Increase allowance to account for EV new requirements.</t>
  </si>
  <si>
    <t>Using Pebble Cost to Complete as Benchmark.</t>
  </si>
  <si>
    <t xml:space="preserve">Fire Command Center Control Panel </t>
  </si>
  <si>
    <t xml:space="preserve">Smoke Removal System </t>
  </si>
  <si>
    <t xml:space="preserve">Stairwell Pressurization </t>
  </si>
  <si>
    <t>Backup Generator</t>
  </si>
  <si>
    <t>Elevator Auto Closing Doors</t>
  </si>
  <si>
    <t xml:space="preserve">Increase Framing for 5 Story </t>
  </si>
  <si>
    <t>Increase Footings for 5 Story</t>
  </si>
  <si>
    <t>Bid Risk &amp; BABA</t>
  </si>
  <si>
    <t>BABA</t>
  </si>
  <si>
    <t>Alowance</t>
  </si>
  <si>
    <t xml:space="preserve">Based on 1 pool and 4 courtyards. </t>
  </si>
  <si>
    <t>Overhead</t>
  </si>
  <si>
    <t>6% General Conditions</t>
  </si>
  <si>
    <t>Level 2</t>
  </si>
  <si>
    <t xml:space="preserve">Conventional  slab </t>
  </si>
  <si>
    <t>Inclunded with Construction Cleaning Contract.</t>
  </si>
  <si>
    <t>RMI Proposal for vinyl plank for Hualapai.</t>
  </si>
  <si>
    <t>Is this not included in the sprinkler contract? Yes but seperate cost code.</t>
  </si>
  <si>
    <t>Old World (White Thurmofoil)</t>
  </si>
  <si>
    <t>Latest HPA approved pick (MSI  Arctic White)</t>
  </si>
  <si>
    <t>Raptor Sovent system at Torrey Pines.</t>
  </si>
  <si>
    <t>Includes 10% for New refrigerant material increase.</t>
  </si>
  <si>
    <t>Based on Torrey Pines desity of 40k SF and GTI proposal.</t>
  </si>
  <si>
    <t>Per Clark County on 10/30/24</t>
  </si>
  <si>
    <t>See Budget File. It includes $110k in hard dig.</t>
  </si>
  <si>
    <t xml:space="preserve">See Budget File (Includes $35k in Hard Dig and street light rough). </t>
  </si>
  <si>
    <t>Original $266,000</t>
  </si>
  <si>
    <t>Using Pebble Cost to Date as Benchmark.</t>
  </si>
  <si>
    <t>Original $182181</t>
  </si>
  <si>
    <t>BRUNER SENIOR</t>
  </si>
  <si>
    <t>LEVEL 1</t>
  </si>
  <si>
    <t>LEVEL 2</t>
  </si>
  <si>
    <t>LEVEL 3</t>
  </si>
  <si>
    <t>Cover Acc. Parking</t>
  </si>
  <si>
    <t>Net Change</t>
  </si>
  <si>
    <t>Conditions</t>
  </si>
  <si>
    <t xml:space="preserve">Variance </t>
  </si>
  <si>
    <t>UOM</t>
  </si>
  <si>
    <t>PV$</t>
  </si>
  <si>
    <t>PV%</t>
  </si>
  <si>
    <t>Notes</t>
  </si>
  <si>
    <t>Missed 105 Juliet/Faux balconies $100k</t>
  </si>
  <si>
    <t>Based on the average of 2 proposals (Walls and Classic)</t>
  </si>
  <si>
    <t>Latest pricing at Decatur</t>
  </si>
  <si>
    <t>Torrey Pines vinyl plank proposal.</t>
  </si>
  <si>
    <t>Updated to Decatur</t>
  </si>
  <si>
    <t>New Cabinet Spec aproved at Decatur and Torrey Pines</t>
  </si>
  <si>
    <t>Latest proposal by OTIS</t>
  </si>
  <si>
    <t>Added line item to account for pump house.</t>
  </si>
  <si>
    <t>Increased unit pricing to be move in line with Top Notch. Current bid is $70k greater (HD)</t>
  </si>
  <si>
    <t>Reduced HD. Trade partners don't see much if any.</t>
  </si>
  <si>
    <t>Updated budget cost in line with Top Notch (Rocky pricing previously).</t>
  </si>
  <si>
    <t>New pricing from Bruner proposal.</t>
  </si>
  <si>
    <t>Added cost to street light rough specially rough for the 2 Parvin street lights.</t>
  </si>
  <si>
    <t>Updated pricing for Bruner</t>
  </si>
  <si>
    <t>SENIOR / AFFORABLE PROJECTS</t>
  </si>
  <si>
    <t>South Nellis</t>
  </si>
  <si>
    <t>Units</t>
  </si>
  <si>
    <t>Proposal/Contract</t>
  </si>
  <si>
    <t>Acres</t>
  </si>
  <si>
    <t xml:space="preserve">% </t>
  </si>
  <si>
    <t>Cost</t>
  </si>
  <si>
    <t>U</t>
  </si>
  <si>
    <t>PU</t>
  </si>
  <si>
    <t>SF (Bldg)</t>
  </si>
  <si>
    <t>1 Bath Unit</t>
  </si>
  <si>
    <t>SF (Slab)</t>
  </si>
  <si>
    <t>SY (Bldg)</t>
  </si>
  <si>
    <t>SF (No Slab)</t>
  </si>
  <si>
    <t>Carports Budget</t>
  </si>
  <si>
    <t>116 Total Carports</t>
  </si>
  <si>
    <t xml:space="preserve">Item </t>
  </si>
  <si>
    <t>Qty</t>
  </si>
  <si>
    <t xml:space="preserve">Total </t>
  </si>
  <si>
    <t>Carport Non Solar</t>
  </si>
  <si>
    <t xml:space="preserve">Pebble </t>
  </si>
  <si>
    <t>Carport Solar (30% of Total Spaces)</t>
  </si>
  <si>
    <t>Hard Dig (50% * Unit Cost)</t>
  </si>
  <si>
    <t>Spoil Removal ($75 per Space)</t>
  </si>
  <si>
    <t>Permit</t>
  </si>
  <si>
    <t>QAA</t>
  </si>
  <si>
    <t xml:space="preserve"> </t>
  </si>
  <si>
    <t>Structural Steel was $186k based on Wigwam, now TP $113K and takeoff.</t>
  </si>
  <si>
    <t>Framing was at $21.91 now at $20.50 based on T12 Average.</t>
  </si>
  <si>
    <t>Per Bathroom</t>
  </si>
  <si>
    <t>Plumbing was TP with +5%, now TP</t>
  </si>
  <si>
    <t>Was TP + $200k for expediting, now TP+5% no expediting.</t>
  </si>
  <si>
    <t>DAS was not originally included. Now it is.</t>
  </si>
  <si>
    <t>Grading was $200k now $156k based on bid. Hard dig was $200k, now reduced to $100k.</t>
  </si>
  <si>
    <t>Increases: Paving Realignment ($300K) offsite pave includes $250k for gas on LVBL.</t>
  </si>
  <si>
    <t>Average</t>
  </si>
  <si>
    <t>GAS $400k added.</t>
  </si>
  <si>
    <t>Solar was increase $126k to match CHF application.</t>
  </si>
  <si>
    <t>Have bids $190k. It can be reduced.</t>
  </si>
  <si>
    <t>Bid risk removed.</t>
  </si>
  <si>
    <t>Based on Pebble trajectory.</t>
  </si>
  <si>
    <t>Building GSF</t>
  </si>
  <si>
    <t>Ovation (Level 1)</t>
  </si>
  <si>
    <t>Zebel</t>
  </si>
  <si>
    <t>PER GROSS SQUARE FOOT</t>
  </si>
  <si>
    <t>Phase 1</t>
  </si>
  <si>
    <t>Phase 2</t>
  </si>
  <si>
    <t>TOTAL</t>
  </si>
  <si>
    <t>Check Box</t>
  </si>
  <si>
    <t># Boxes</t>
  </si>
  <si>
    <t>Price Per Box</t>
  </si>
  <si>
    <t>Price Per Unit</t>
  </si>
  <si>
    <t>1A</t>
  </si>
  <si>
    <t>1B</t>
  </si>
  <si>
    <t>2A</t>
  </si>
  <si>
    <t>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</si>
</sst>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7" formatCode="&quot;$&quot;#,##0.00_);\(&quot;$&quot;#,##0.00\)"/>
    <numFmt numFmtId="44" formatCode="_(&quot;$&quot;* #,##0.00_);_(&quot;$&quot;* \(#,##0.00\);_(&quot;$&quot;* &quot;-&quot;??_);_(@_)"/>
    <numFmt numFmtId="43" formatCode="_(* #,##0.00_);_(* \(#,##0.00\);_(* &quot;-&quot;??_);_(@_)"/>
    <numFmt numFmtId="164" formatCode="mm/dd/yy;@"/>
    <numFmt numFmtId="165" formatCode="#,##0.0"/>
    <numFmt numFmtId="166" formatCode="&quot;$&quot;#,##0"/>
    <numFmt numFmtId="167" formatCode="_(* #,##0_);_(* \(#,##0\);_(* &quot;-&quot;??_);_(@_)"/>
    <numFmt numFmtId="168" formatCode="_(&quot;$&quot;* #,##0.0_);_(&quot;$&quot;* \(#,##0.0\);_(&quot;$&quot;* &quot;-&quot;??_);_(@_)"/>
    <numFmt numFmtId="169" formatCode="_(&quot;$&quot;* #,##0.0_);_(&quot;$&quot;* \(#,##0.0\);_(&quot;$&quot;* &quot;-&quot;?_);_(@_)"/>
    <numFmt numFmtId="170" formatCode="_(&quot;$&quot;* #,##0_);_(&quot;$&quot;* \(#,##0\);_(&quot;$&quot;* &quot;-&quot;??_);_(@_)"/>
    <numFmt numFmtId="171" formatCode="&quot;$&quot;#,##0.0"/>
    <numFmt numFmtId="172" formatCode="0.000%"/>
    <numFmt numFmtId="173" formatCode="_([$$-409]* #,##0_);_([$$-409]* \(#,##0\);_([$$-409]* &quot;-&quot;??_);_(@_)"/>
    <numFmt numFmtId="174" formatCode="0.0"/>
    <numFmt numFmtId="175" formatCode="0.0%"/>
    <numFmt numFmtId="176" formatCode="&quot;$&quot;#,##0.00"/>
  </numFmts>
  <fonts count="27">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color theme="0"/>
      <name val="Aptos Narrow"/>
      <family val="2"/>
      <scheme val="minor"/>
    </font>
    <font>
      <i/>
      <sz val="11"/>
      <name val="Aptos Narrow"/>
      <family val="2"/>
      <scheme val="minor"/>
    </font>
    <font>
      <u val="singleAccounting"/>
      <sz val="11"/>
      <name val="Aptos Narrow"/>
      <family val="2"/>
      <scheme val="minor"/>
    </font>
    <font>
      <sz val="11"/>
      <color rgb="FF0070C0"/>
      <name val="Aptos Narrow"/>
      <family val="2"/>
      <scheme val="minor"/>
    </font>
    <font>
      <sz val="11"/>
      <color rgb="FF0070C0"/>
      <name val="Calibri"/>
      <family val="2"/>
    </font>
    <font>
      <sz val="8"/>
      <name val="Aptos Narrow"/>
      <family val="2"/>
      <scheme val="minor"/>
    </font>
    <font>
      <b/>
      <u/>
      <sz val="11"/>
      <color theme="1"/>
      <name val="Aptos Narrow"/>
      <family val="2"/>
      <scheme val="minor"/>
    </font>
    <font>
      <sz val="11"/>
      <color theme="6"/>
      <name val="Aptos Narrow"/>
      <family val="2"/>
      <scheme val="minor"/>
    </font>
    <font>
      <sz val="11"/>
      <color theme="1"/>
      <name val="Amasis MT Pro"/>
      <family val="1"/>
    </font>
    <font>
      <b/>
      <sz val="11"/>
      <color theme="1"/>
      <name val="Amasis MT Pro"/>
      <family val="1"/>
    </font>
    <font>
      <b/>
      <sz val="11"/>
      <name val="Amasis MT Pro"/>
      <family val="1"/>
    </font>
    <font>
      <sz val="11"/>
      <name val="Amasis MT Pro"/>
      <family val="1"/>
    </font>
    <font>
      <sz val="11"/>
      <color rgb="FF000000"/>
      <name val="Amasis MT Pro"/>
      <family val="1"/>
    </font>
    <font>
      <b/>
      <sz val="20"/>
      <color theme="0"/>
      <name val="Aptos Narrow"/>
      <family val="2"/>
      <scheme val="minor"/>
    </font>
    <font>
      <b/>
      <sz val="20"/>
      <name val="Aptos Narrow"/>
      <family val="2"/>
      <scheme val="minor"/>
    </font>
    <font>
      <b/>
      <sz val="11"/>
      <color rgb="FFFF0000"/>
      <name val="Aptos Narrow"/>
      <family val="2"/>
      <scheme val="minor"/>
    </font>
    <font>
      <b/>
      <sz val="10"/>
      <name val="Aptos Narrow"/>
      <family val="2"/>
      <scheme val="minor"/>
    </font>
    <font>
      <sz val="10"/>
      <name val="Aptos Narrow"/>
      <family val="2"/>
      <scheme val="minor"/>
    </font>
    <font>
      <b/>
      <sz val="14"/>
      <color theme="0"/>
      <name val="Aptos Narrow"/>
      <family val="2"/>
      <scheme val="minor"/>
    </font>
    <font>
      <b/>
      <sz val="14"/>
      <name val="Aptos Narrow"/>
      <family val="2"/>
      <scheme val="minor"/>
    </font>
    <font>
      <sz val="14"/>
      <name val="Aptos Narrow"/>
      <family val="2"/>
      <scheme val="minor"/>
    </font>
  </fonts>
  <fills count="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bgColor indexed="64"/>
      </patternFill>
    </fill>
    <fill>
      <patternFill patternType="solid">
        <fgColor theme="7"/>
        <bgColor indexed="64"/>
      </patternFill>
    </fill>
    <fill>
      <patternFill patternType="solid">
        <fgColor rgb="FF92D050"/>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6"/>
        <bgColor indexed="64"/>
      </patternFill>
    </fill>
    <fill>
      <patternFill patternType="solid">
        <fgColor rgb="FFFF0000"/>
        <bgColor indexed="64"/>
      </patternFill>
    </fill>
  </fills>
  <borders count="81">
    <border>
      <left/>
      <right/>
      <top/>
      <bottom/>
      <diagonal/>
    </border>
    <border>
      <left/>
      <right/>
      <top style="medium">
        <color indexed="64"/>
      </top>
      <bottom style="medium">
        <color indexed="64"/>
      </bottom>
      <diagonal/>
    </border>
    <border>
      <left/>
      <right/>
      <top style="medium">
        <color indexed="64"/>
      </top>
      <bottom style="thin">
        <color indexed="64"/>
      </bottom>
      <diagonal/>
    </border>
    <border>
      <left/>
      <right/>
      <top style="medium">
        <color indexed="64"/>
      </top>
      <bottom style="hair">
        <color indexed="64"/>
      </bottom>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bottom style="hair">
        <color auto="1"/>
      </bottom>
      <diagonal/>
    </border>
    <border>
      <left/>
      <right/>
      <top style="thin">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top style="hair">
        <color auto="1"/>
      </top>
      <bottom/>
      <diagonal/>
    </border>
    <border>
      <left style="hair">
        <color indexed="64"/>
      </left>
      <right style="hair">
        <color indexed="64"/>
      </right>
      <top/>
      <bottom style="medium">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bottom style="hair">
        <color auto="1"/>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medium">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auto="1"/>
      </top>
      <bottom/>
      <diagonal/>
    </border>
    <border>
      <left/>
      <right style="medium">
        <color indexed="64"/>
      </right>
      <top style="hair">
        <color auto="1"/>
      </top>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hair">
        <color auto="1"/>
      </bottom>
      <diagonal/>
    </border>
    <border>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hair">
        <color indexed="64"/>
      </right>
      <top/>
      <bottom/>
      <diagonal/>
    </border>
    <border>
      <left style="medium">
        <color indexed="64"/>
      </left>
      <right style="hair">
        <color indexed="64"/>
      </right>
      <top style="thin">
        <color indexed="64"/>
      </top>
      <bottom/>
      <diagonal/>
    </border>
    <border>
      <left/>
      <right style="medium">
        <color indexed="64"/>
      </right>
      <top style="thin">
        <color indexed="64"/>
      </top>
      <bottom style="thin">
        <color indexed="64"/>
      </bottom>
      <diagonal/>
    </border>
    <border>
      <left style="medium">
        <color indexed="64"/>
      </left>
      <right style="hair">
        <color indexed="64"/>
      </right>
      <top/>
      <bottom style="thin">
        <color indexed="64"/>
      </bottom>
      <diagonal/>
    </border>
    <border>
      <left style="medium">
        <color indexed="64"/>
      </left>
      <right style="hair">
        <color indexed="64"/>
      </right>
      <top/>
      <bottom style="hair">
        <color auto="1"/>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style="hair">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hair">
        <color auto="1"/>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hair">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642">
    <xf numFmtId="0" fontId="0" fillId="0" borderId="0" xfId="0"/>
    <xf numFmtId="0" fontId="0" fillId="2" borderId="0" xfId="0" applyFill="1"/>
    <xf numFmtId="0" fontId="0" fillId="2" borderId="0" xfId="0" applyFill="1" applyAlignment="1">
      <alignment horizontal="center"/>
    </xf>
    <xf numFmtId="0" fontId="3" fillId="2" borderId="0" xfId="0" applyFont="1" applyFill="1"/>
    <xf numFmtId="0" fontId="3" fillId="2" borderId="3" xfId="0" applyFont="1" applyFill="1" applyBorder="1"/>
    <xf numFmtId="0" fontId="0" fillId="2" borderId="3" xfId="0" applyFill="1" applyBorder="1" applyAlignment="1">
      <alignment horizontal="center"/>
    </xf>
    <xf numFmtId="0" fontId="3" fillId="2" borderId="4" xfId="0" applyFont="1" applyFill="1" applyBorder="1" applyAlignment="1">
      <alignment horizontal="left"/>
    </xf>
    <xf numFmtId="0" fontId="3" fillId="2" borderId="4" xfId="0" applyFont="1" applyFill="1" applyBorder="1" applyAlignment="1">
      <alignment horizontal="center"/>
    </xf>
    <xf numFmtId="0" fontId="0" fillId="2" borderId="5" xfId="0" applyFill="1" applyBorder="1"/>
    <xf numFmtId="0" fontId="0" fillId="2" borderId="5" xfId="0" applyFill="1" applyBorder="1" applyAlignment="1">
      <alignment horizontal="center"/>
    </xf>
    <xf numFmtId="0" fontId="4" fillId="2" borderId="0" xfId="0" applyFont="1" applyFill="1" applyAlignment="1">
      <alignment horizontal="left" vertical="top" indent="1" readingOrder="1"/>
    </xf>
    <xf numFmtId="0" fontId="3" fillId="2" borderId="6" xfId="0" applyFont="1" applyFill="1" applyBorder="1"/>
    <xf numFmtId="0" fontId="0" fillId="2" borderId="6" xfId="0" applyFill="1" applyBorder="1" applyAlignment="1">
      <alignment horizontal="center"/>
    </xf>
    <xf numFmtId="0" fontId="0" fillId="2" borderId="5" xfId="0" applyFill="1" applyBorder="1" applyAlignment="1">
      <alignment horizontal="left" indent="1"/>
    </xf>
    <xf numFmtId="9" fontId="0" fillId="2" borderId="5" xfId="2" applyFont="1" applyFill="1" applyBorder="1" applyAlignment="1">
      <alignment horizontal="center"/>
    </xf>
    <xf numFmtId="0" fontId="0" fillId="2" borderId="6" xfId="0" applyFill="1" applyBorder="1"/>
    <xf numFmtId="0" fontId="0" fillId="2" borderId="6" xfId="0" applyFill="1" applyBorder="1" applyAlignment="1">
      <alignment horizontal="left" indent="1"/>
    </xf>
    <xf numFmtId="9" fontId="0" fillId="2" borderId="6" xfId="2" applyFont="1" applyFill="1" applyBorder="1" applyAlignment="1">
      <alignment horizontal="center"/>
    </xf>
    <xf numFmtId="164" fontId="0" fillId="2" borderId="6" xfId="0" applyNumberFormat="1" applyFill="1" applyBorder="1" applyAlignment="1">
      <alignment horizontal="center"/>
    </xf>
    <xf numFmtId="0" fontId="0" fillId="2" borderId="7" xfId="0" applyFill="1" applyBorder="1" applyAlignment="1">
      <alignment horizontal="left" indent="1"/>
    </xf>
    <xf numFmtId="0" fontId="0" fillId="2" borderId="7" xfId="0" applyFill="1" applyBorder="1" applyAlignment="1">
      <alignment horizontal="center"/>
    </xf>
    <xf numFmtId="9" fontId="0" fillId="2" borderId="7" xfId="2" applyFont="1" applyFill="1" applyBorder="1" applyAlignment="1">
      <alignment horizontal="center"/>
    </xf>
    <xf numFmtId="3" fontId="0" fillId="2" borderId="6" xfId="0" applyNumberFormat="1" applyFill="1" applyBorder="1" applyAlignment="1">
      <alignment horizontal="center"/>
    </xf>
    <xf numFmtId="4" fontId="0" fillId="2" borderId="6" xfId="0" applyNumberFormat="1" applyFill="1" applyBorder="1" applyAlignment="1">
      <alignment horizontal="center"/>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9" xfId="0" applyFont="1" applyFill="1" applyBorder="1"/>
    <xf numFmtId="0" fontId="3" fillId="2" borderId="9" xfId="0" applyFont="1" applyFill="1" applyBorder="1" applyAlignment="1">
      <alignment horizontal="left"/>
    </xf>
    <xf numFmtId="0" fontId="0" fillId="2" borderId="9" xfId="0" applyFill="1" applyBorder="1"/>
    <xf numFmtId="165" fontId="0" fillId="2" borderId="0" xfId="0" applyNumberFormat="1" applyFill="1" applyAlignment="1">
      <alignment horizontal="center"/>
    </xf>
    <xf numFmtId="0" fontId="4" fillId="2" borderId="10" xfId="0" applyFont="1" applyFill="1" applyBorder="1" applyAlignment="1">
      <alignment horizontal="left" vertical="top" indent="1" readingOrder="1"/>
    </xf>
    <xf numFmtId="0" fontId="0" fillId="2" borderId="11" xfId="0" applyFill="1" applyBorder="1"/>
    <xf numFmtId="0" fontId="5" fillId="2" borderId="0" xfId="0" applyFont="1" applyFill="1" applyAlignment="1">
      <alignment horizontal="left" vertical="top" indent="3" readingOrder="1"/>
    </xf>
    <xf numFmtId="0" fontId="4" fillId="2" borderId="12" xfId="0" applyFont="1" applyFill="1" applyBorder="1" applyAlignment="1">
      <alignment horizontal="left" vertical="top" indent="1" readingOrder="1"/>
    </xf>
    <xf numFmtId="0" fontId="5" fillId="2" borderId="4" xfId="0" applyFont="1" applyFill="1" applyBorder="1" applyAlignment="1">
      <alignment horizontal="left" vertical="top" indent="3" readingOrder="1"/>
    </xf>
    <xf numFmtId="0" fontId="5" fillId="2" borderId="11" xfId="0" applyFont="1" applyFill="1" applyBorder="1" applyAlignment="1">
      <alignment horizontal="left" vertical="top" indent="3" readingOrder="1"/>
    </xf>
    <xf numFmtId="0" fontId="0" fillId="2" borderId="11" xfId="0" applyFill="1" applyBorder="1" applyAlignment="1">
      <alignment horizontal="center"/>
    </xf>
    <xf numFmtId="0" fontId="5" fillId="2" borderId="6" xfId="0" applyFont="1" applyFill="1" applyBorder="1" applyAlignment="1">
      <alignment horizontal="left" vertical="top" indent="3" readingOrder="1"/>
    </xf>
    <xf numFmtId="0" fontId="5" fillId="2" borderId="7" xfId="0" applyFont="1" applyFill="1" applyBorder="1" applyAlignment="1">
      <alignment horizontal="left" vertical="top" indent="3" readingOrder="1"/>
    </xf>
    <xf numFmtId="49" fontId="5" fillId="2" borderId="6" xfId="0" applyNumberFormat="1" applyFont="1" applyFill="1" applyBorder="1" applyAlignment="1">
      <alignment horizontal="left" vertical="top" indent="3" readingOrder="1"/>
    </xf>
    <xf numFmtId="9" fontId="0" fillId="2" borderId="0" xfId="2" applyFont="1" applyFill="1" applyAlignment="1">
      <alignment horizontal="center"/>
    </xf>
    <xf numFmtId="167" fontId="0" fillId="2" borderId="6" xfId="1" applyNumberFormat="1" applyFont="1" applyFill="1" applyBorder="1"/>
    <xf numFmtId="0" fontId="0" fillId="3" borderId="0" xfId="0" applyFill="1"/>
    <xf numFmtId="166" fontId="6" fillId="2" borderId="0" xfId="0" applyNumberFormat="1" applyFont="1" applyFill="1"/>
    <xf numFmtId="0" fontId="0" fillId="2" borderId="17" xfId="0" applyFill="1" applyBorder="1" applyAlignment="1">
      <alignment horizontal="center"/>
    </xf>
    <xf numFmtId="3" fontId="0" fillId="2" borderId="17" xfId="0" applyNumberFormat="1" applyFill="1" applyBorder="1"/>
    <xf numFmtId="9" fontId="0" fillId="2" borderId="17" xfId="2" applyFont="1" applyFill="1" applyBorder="1" applyAlignment="1">
      <alignment horizontal="center"/>
    </xf>
    <xf numFmtId="3" fontId="0" fillId="2" borderId="17" xfId="0" applyNumberFormat="1" applyFill="1" applyBorder="1" applyAlignment="1">
      <alignment horizontal="right"/>
    </xf>
    <xf numFmtId="0" fontId="0" fillId="2" borderId="18" xfId="0" applyFill="1" applyBorder="1" applyAlignment="1">
      <alignment horizontal="center"/>
    </xf>
    <xf numFmtId="3" fontId="0" fillId="2" borderId="18" xfId="0" applyNumberFormat="1" applyFill="1" applyBorder="1" applyAlignment="1">
      <alignment horizontal="center"/>
    </xf>
    <xf numFmtId="4" fontId="0" fillId="2" borderId="18" xfId="0" applyNumberFormat="1" applyFill="1" applyBorder="1"/>
    <xf numFmtId="9" fontId="0" fillId="2" borderId="18" xfId="2" applyFont="1" applyFill="1" applyBorder="1" applyAlignment="1">
      <alignment horizontal="center"/>
    </xf>
    <xf numFmtId="4" fontId="0" fillId="2" borderId="18" xfId="0" applyNumberFormat="1" applyFill="1" applyBorder="1" applyAlignment="1">
      <alignment horizontal="right"/>
    </xf>
    <xf numFmtId="3" fontId="0" fillId="2" borderId="18" xfId="0" applyNumberFormat="1" applyFill="1" applyBorder="1" applyAlignment="1">
      <alignment horizontal="right"/>
    </xf>
    <xf numFmtId="0" fontId="0" fillId="2" borderId="19" xfId="0" applyFill="1" applyBorder="1" applyAlignment="1">
      <alignment horizontal="center"/>
    </xf>
    <xf numFmtId="3" fontId="0" fillId="2" borderId="19" xfId="0" applyNumberFormat="1" applyFill="1" applyBorder="1" applyAlignment="1">
      <alignment horizontal="center"/>
    </xf>
    <xf numFmtId="4" fontId="0" fillId="2" borderId="19" xfId="0" applyNumberFormat="1" applyFill="1" applyBorder="1"/>
    <xf numFmtId="9" fontId="0" fillId="2" borderId="19" xfId="2" applyFont="1" applyFill="1" applyBorder="1" applyAlignment="1">
      <alignment horizontal="center"/>
    </xf>
    <xf numFmtId="4" fontId="0" fillId="2" borderId="19" xfId="0" applyNumberFormat="1" applyFill="1" applyBorder="1" applyAlignment="1">
      <alignment horizontal="right"/>
    </xf>
    <xf numFmtId="3" fontId="0" fillId="2" borderId="19" xfId="0" applyNumberFormat="1" applyFill="1" applyBorder="1" applyAlignment="1">
      <alignment horizontal="right"/>
    </xf>
    <xf numFmtId="0" fontId="0" fillId="2" borderId="20" xfId="0" applyFill="1" applyBorder="1" applyAlignment="1">
      <alignment horizontal="center"/>
    </xf>
    <xf numFmtId="3" fontId="0" fillId="2" borderId="20" xfId="0" applyNumberFormat="1" applyFill="1" applyBorder="1" applyAlignment="1">
      <alignment horizontal="center"/>
    </xf>
    <xf numFmtId="4" fontId="0" fillId="2" borderId="20" xfId="0" applyNumberFormat="1" applyFill="1" applyBorder="1"/>
    <xf numFmtId="9" fontId="0" fillId="2" borderId="20" xfId="2" applyFont="1" applyFill="1" applyBorder="1" applyAlignment="1">
      <alignment horizontal="center"/>
    </xf>
    <xf numFmtId="4" fontId="0" fillId="2" borderId="20" xfId="0" applyNumberFormat="1" applyFill="1" applyBorder="1" applyAlignment="1">
      <alignment horizontal="right"/>
    </xf>
    <xf numFmtId="3" fontId="0" fillId="2" borderId="20" xfId="0" applyNumberFormat="1" applyFill="1" applyBorder="1" applyAlignment="1">
      <alignment horizontal="right"/>
    </xf>
    <xf numFmtId="0" fontId="0" fillId="2" borderId="21" xfId="0" applyFill="1" applyBorder="1" applyAlignment="1">
      <alignment horizontal="center"/>
    </xf>
    <xf numFmtId="3" fontId="0" fillId="2" borderId="21" xfId="0" applyNumberFormat="1" applyFill="1" applyBorder="1" applyAlignment="1">
      <alignment horizontal="center"/>
    </xf>
    <xf numFmtId="4" fontId="0" fillId="2" borderId="21" xfId="0" applyNumberFormat="1" applyFill="1" applyBorder="1"/>
    <xf numFmtId="9" fontId="0" fillId="2" borderId="21" xfId="2" applyFont="1" applyFill="1" applyBorder="1" applyAlignment="1">
      <alignment horizontal="center"/>
    </xf>
    <xf numFmtId="4" fontId="0" fillId="2" borderId="21" xfId="0" applyNumberFormat="1" applyFill="1" applyBorder="1" applyAlignment="1">
      <alignment horizontal="right"/>
    </xf>
    <xf numFmtId="3" fontId="0" fillId="2" borderId="21" xfId="0" applyNumberFormat="1" applyFill="1" applyBorder="1" applyAlignment="1">
      <alignment horizontal="right"/>
    </xf>
    <xf numFmtId="0" fontId="0" fillId="2" borderId="22" xfId="0" applyFill="1" applyBorder="1" applyAlignment="1">
      <alignment horizontal="center"/>
    </xf>
    <xf numFmtId="3" fontId="0" fillId="2" borderId="22" xfId="0" applyNumberFormat="1" applyFill="1" applyBorder="1" applyAlignment="1">
      <alignment horizontal="center"/>
    </xf>
    <xf numFmtId="4" fontId="0" fillId="2" borderId="22" xfId="0" applyNumberFormat="1" applyFill="1" applyBorder="1"/>
    <xf numFmtId="9" fontId="0" fillId="2" borderId="22" xfId="2" applyFont="1" applyFill="1" applyBorder="1" applyAlignment="1">
      <alignment horizontal="center"/>
    </xf>
    <xf numFmtId="4" fontId="0" fillId="2" borderId="22" xfId="0" applyNumberFormat="1" applyFill="1" applyBorder="1" applyAlignment="1">
      <alignment horizontal="right"/>
    </xf>
    <xf numFmtId="0" fontId="0" fillId="2" borderId="23" xfId="0" applyFill="1" applyBorder="1" applyAlignment="1">
      <alignment horizontal="center"/>
    </xf>
    <xf numFmtId="3" fontId="0" fillId="2" borderId="23" xfId="0" applyNumberFormat="1" applyFill="1" applyBorder="1" applyAlignment="1">
      <alignment horizontal="center"/>
    </xf>
    <xf numFmtId="4" fontId="0" fillId="2" borderId="23" xfId="0" applyNumberFormat="1" applyFill="1" applyBorder="1"/>
    <xf numFmtId="9" fontId="0" fillId="2" borderId="23" xfId="2" applyFont="1" applyFill="1" applyBorder="1" applyAlignment="1">
      <alignment horizontal="center"/>
    </xf>
    <xf numFmtId="4" fontId="0" fillId="2" borderId="23" xfId="0" applyNumberFormat="1" applyFill="1" applyBorder="1" applyAlignment="1">
      <alignment horizontal="right"/>
    </xf>
    <xf numFmtId="3" fontId="0" fillId="2" borderId="19" xfId="0" applyNumberFormat="1" applyFill="1" applyBorder="1"/>
    <xf numFmtId="3" fontId="0" fillId="2" borderId="22" xfId="0" applyNumberFormat="1" applyFill="1" applyBorder="1"/>
    <xf numFmtId="0" fontId="0" fillId="2" borderId="18" xfId="0" applyFill="1" applyBorder="1"/>
    <xf numFmtId="165" fontId="0" fillId="2" borderId="21" xfId="0" applyNumberFormat="1" applyFill="1" applyBorder="1" applyAlignment="1">
      <alignment horizontal="center"/>
    </xf>
    <xf numFmtId="165" fontId="0" fillId="2" borderId="22" xfId="0" applyNumberFormat="1" applyFill="1" applyBorder="1" applyAlignment="1">
      <alignment horizontal="center"/>
    </xf>
    <xf numFmtId="10" fontId="0" fillId="2" borderId="20" xfId="2" applyNumberFormat="1" applyFont="1" applyFill="1" applyBorder="1" applyAlignment="1">
      <alignment horizontal="center"/>
    </xf>
    <xf numFmtId="7" fontId="0" fillId="2" borderId="21" xfId="3" applyNumberFormat="1" applyFont="1" applyFill="1" applyBorder="1" applyAlignment="1">
      <alignment horizontal="center"/>
    </xf>
    <xf numFmtId="10" fontId="0" fillId="2" borderId="18" xfId="2" applyNumberFormat="1" applyFont="1" applyFill="1" applyBorder="1" applyAlignment="1">
      <alignment horizontal="center"/>
    </xf>
    <xf numFmtId="2" fontId="0" fillId="2" borderId="9" xfId="0" applyNumberFormat="1" applyFill="1" applyBorder="1" applyAlignment="1">
      <alignment horizontal="center"/>
    </xf>
    <xf numFmtId="0" fontId="3" fillId="2" borderId="11" xfId="0" applyFont="1" applyFill="1" applyBorder="1"/>
    <xf numFmtId="0" fontId="5" fillId="2" borderId="25" xfId="0" applyFont="1" applyFill="1" applyBorder="1" applyAlignment="1">
      <alignment horizontal="left" vertical="top" indent="1" readingOrder="1"/>
    </xf>
    <xf numFmtId="0" fontId="5" fillId="2" borderId="27" xfId="0" applyFont="1" applyFill="1" applyBorder="1" applyAlignment="1">
      <alignment horizontal="left" vertical="top" indent="1" readingOrder="1"/>
    </xf>
    <xf numFmtId="0" fontId="4" fillId="2" borderId="29" xfId="0" applyFont="1" applyFill="1" applyBorder="1" applyAlignment="1">
      <alignment horizontal="left" vertical="top" indent="1" readingOrder="1"/>
    </xf>
    <xf numFmtId="0" fontId="5" fillId="2" borderId="29" xfId="0" applyFont="1" applyFill="1" applyBorder="1" applyAlignment="1">
      <alignment horizontal="left" vertical="top" indent="1" readingOrder="1"/>
    </xf>
    <xf numFmtId="3" fontId="0" fillId="2" borderId="26" xfId="0" applyNumberFormat="1" applyFill="1" applyBorder="1" applyAlignment="1">
      <alignment horizontal="right"/>
    </xf>
    <xf numFmtId="3" fontId="0" fillId="2" borderId="28" xfId="0" applyNumberFormat="1" applyFill="1" applyBorder="1" applyAlignment="1">
      <alignment horizontal="right"/>
    </xf>
    <xf numFmtId="3" fontId="0" fillId="2" borderId="30" xfId="0" applyNumberFormat="1" applyFill="1" applyBorder="1" applyAlignment="1">
      <alignment horizontal="right"/>
    </xf>
    <xf numFmtId="3" fontId="0" fillId="2" borderId="0" xfId="0" applyNumberFormat="1" applyFill="1"/>
    <xf numFmtId="167" fontId="0" fillId="2" borderId="6" xfId="1" applyNumberFormat="1" applyFont="1" applyFill="1" applyBorder="1" applyAlignment="1"/>
    <xf numFmtId="166" fontId="3" fillId="2" borderId="2" xfId="0" applyNumberFormat="1" applyFont="1" applyFill="1" applyBorder="1"/>
    <xf numFmtId="166" fontId="3" fillId="2" borderId="13" xfId="0" applyNumberFormat="1" applyFont="1" applyFill="1" applyBorder="1"/>
    <xf numFmtId="166" fontId="3" fillId="2" borderId="4" xfId="0" applyNumberFormat="1" applyFont="1" applyFill="1" applyBorder="1"/>
    <xf numFmtId="168" fontId="0" fillId="0" borderId="0" xfId="3" applyNumberFormat="1" applyFont="1"/>
    <xf numFmtId="169" fontId="0" fillId="0" borderId="0" xfId="0" applyNumberFormat="1"/>
    <xf numFmtId="44" fontId="0" fillId="0" borderId="0" xfId="0" applyNumberFormat="1"/>
    <xf numFmtId="168" fontId="0" fillId="0" borderId="0" xfId="0" applyNumberFormat="1"/>
    <xf numFmtId="170" fontId="0" fillId="0" borderId="0" xfId="0" applyNumberFormat="1"/>
    <xf numFmtId="0" fontId="5" fillId="0" borderId="0" xfId="0" applyFont="1"/>
    <xf numFmtId="0" fontId="0" fillId="0" borderId="0" xfId="0" applyAlignment="1">
      <alignment horizontal="center"/>
    </xf>
    <xf numFmtId="0" fontId="3" fillId="4" borderId="1" xfId="0" applyFont="1" applyFill="1" applyBorder="1" applyAlignment="1">
      <alignment horizontal="centerContinuous"/>
    </xf>
    <xf numFmtId="0" fontId="3" fillId="4" borderId="8" xfId="0" applyFont="1" applyFill="1" applyBorder="1" applyAlignment="1">
      <alignment horizontal="left"/>
    </xf>
    <xf numFmtId="0" fontId="3" fillId="4" borderId="8" xfId="0" applyFont="1" applyFill="1" applyBorder="1" applyAlignment="1">
      <alignment horizontal="center"/>
    </xf>
    <xf numFmtId="9" fontId="3" fillId="4" borderId="8" xfId="2" applyFont="1" applyFill="1" applyBorder="1" applyAlignment="1">
      <alignment horizontal="center"/>
    </xf>
    <xf numFmtId="0" fontId="3" fillId="4" borderId="2" xfId="0" applyFont="1" applyFill="1" applyBorder="1" applyAlignment="1">
      <alignment horizontal="left"/>
    </xf>
    <xf numFmtId="0" fontId="3" fillId="4" borderId="2" xfId="0" applyFont="1" applyFill="1" applyBorder="1" applyAlignment="1">
      <alignment horizontal="centerContinuous"/>
    </xf>
    <xf numFmtId="0" fontId="5" fillId="4" borderId="15" xfId="0" applyFont="1" applyFill="1" applyBorder="1"/>
    <xf numFmtId="0" fontId="4" fillId="4" borderId="14" xfId="0" applyFont="1" applyFill="1" applyBorder="1" applyAlignment="1">
      <alignment horizontal="left" vertical="top" readingOrder="1"/>
    </xf>
    <xf numFmtId="0" fontId="5" fillId="4" borderId="24" xfId="0" applyFont="1" applyFill="1" applyBorder="1" applyAlignment="1">
      <alignment horizontal="center"/>
    </xf>
    <xf numFmtId="4" fontId="5" fillId="4" borderId="24" xfId="0" applyNumberFormat="1" applyFont="1" applyFill="1" applyBorder="1"/>
    <xf numFmtId="9" fontId="5" fillId="4" borderId="24" xfId="2" applyFont="1" applyFill="1" applyBorder="1" applyAlignment="1">
      <alignment horizontal="center"/>
    </xf>
    <xf numFmtId="3" fontId="5" fillId="4" borderId="24" xfId="0" applyNumberFormat="1" applyFont="1" applyFill="1" applyBorder="1"/>
    <xf numFmtId="166" fontId="4" fillId="4" borderId="14" xfId="0" applyNumberFormat="1" applyFont="1" applyFill="1" applyBorder="1"/>
    <xf numFmtId="0" fontId="5" fillId="0" borderId="0" xfId="0" applyFont="1" applyAlignment="1">
      <alignment horizontal="center"/>
    </xf>
    <xf numFmtId="0" fontId="4" fillId="0" borderId="0" xfId="0" applyFont="1" applyAlignment="1">
      <alignment horizontal="center"/>
    </xf>
    <xf numFmtId="44" fontId="5" fillId="0" borderId="0" xfId="3" applyFont="1"/>
    <xf numFmtId="44" fontId="5" fillId="0" borderId="0" xfId="0" applyNumberFormat="1" applyFont="1" applyAlignment="1">
      <alignment horizontal="center"/>
    </xf>
    <xf numFmtId="0" fontId="7" fillId="0" borderId="0" xfId="0" applyFont="1"/>
    <xf numFmtId="0" fontId="7" fillId="0" borderId="0" xfId="0" applyFont="1" applyAlignment="1">
      <alignment horizontal="center"/>
    </xf>
    <xf numFmtId="43" fontId="7" fillId="0" borderId="0" xfId="0" applyNumberFormat="1" applyFont="1" applyAlignment="1">
      <alignment horizontal="center"/>
    </xf>
    <xf numFmtId="0" fontId="4" fillId="0" borderId="0" xfId="0" applyFont="1"/>
    <xf numFmtId="44" fontId="8" fillId="0" borderId="0" xfId="3" applyFont="1"/>
    <xf numFmtId="44" fontId="4" fillId="0" borderId="0" xfId="0" applyNumberFormat="1" applyFont="1"/>
    <xf numFmtId="0" fontId="5" fillId="0" borderId="0" xfId="0" applyFont="1" applyAlignment="1">
      <alignment horizontal="left"/>
    </xf>
    <xf numFmtId="0" fontId="0" fillId="2" borderId="15" xfId="0" applyFill="1" applyBorder="1" applyAlignment="1">
      <alignment horizontal="center"/>
    </xf>
    <xf numFmtId="3" fontId="0" fillId="2" borderId="15" xfId="0" applyNumberFormat="1" applyFill="1" applyBorder="1" applyAlignment="1">
      <alignment horizontal="center"/>
    </xf>
    <xf numFmtId="0" fontId="3" fillId="5" borderId="14" xfId="0" applyFont="1" applyFill="1" applyBorder="1"/>
    <xf numFmtId="0" fontId="3" fillId="5" borderId="14" xfId="0" applyFont="1" applyFill="1" applyBorder="1" applyAlignment="1">
      <alignment horizontal="center"/>
    </xf>
    <xf numFmtId="3" fontId="3" fillId="5" borderId="14" xfId="0" applyNumberFormat="1" applyFont="1" applyFill="1" applyBorder="1" applyAlignment="1">
      <alignment horizontal="center"/>
    </xf>
    <xf numFmtId="0" fontId="4" fillId="4" borderId="8"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6" xfId="0" applyFont="1" applyFill="1" applyBorder="1" applyAlignment="1">
      <alignment horizontal="center" vertical="center" wrapText="1"/>
    </xf>
    <xf numFmtId="0" fontId="5" fillId="2" borderId="0" xfId="0" applyFont="1" applyFill="1" applyAlignment="1">
      <alignment vertical="center"/>
    </xf>
    <xf numFmtId="0" fontId="4" fillId="4" borderId="8" xfId="0" applyFont="1" applyFill="1" applyBorder="1" applyAlignment="1">
      <alignment horizontal="centerContinuous" vertical="center"/>
    </xf>
    <xf numFmtId="0" fontId="5" fillId="4" borderId="8" xfId="0" applyFont="1" applyFill="1" applyBorder="1" applyAlignment="1">
      <alignment horizontal="centerContinuous" vertical="center"/>
    </xf>
    <xf numFmtId="3" fontId="2" fillId="2" borderId="22" xfId="0" applyNumberFormat="1" applyFont="1" applyFill="1" applyBorder="1" applyAlignment="1">
      <alignment horizontal="center"/>
    </xf>
    <xf numFmtId="3" fontId="2" fillId="2" borderId="19" xfId="0" applyNumberFormat="1" applyFont="1" applyFill="1" applyBorder="1" applyAlignment="1">
      <alignment horizontal="center"/>
    </xf>
    <xf numFmtId="3" fontId="2" fillId="2" borderId="21" xfId="0" applyNumberFormat="1" applyFont="1" applyFill="1" applyBorder="1" applyAlignment="1">
      <alignment horizontal="center"/>
    </xf>
    <xf numFmtId="0" fontId="3" fillId="4" borderId="0" xfId="0" applyFont="1" applyFill="1" applyAlignment="1">
      <alignment horizontal="left"/>
    </xf>
    <xf numFmtId="0" fontId="3" fillId="4" borderId="31" xfId="0" applyFont="1" applyFill="1" applyBorder="1" applyAlignment="1">
      <alignment horizontal="left"/>
    </xf>
    <xf numFmtId="0" fontId="3" fillId="4" borderId="10" xfId="0" applyFont="1" applyFill="1" applyBorder="1" applyAlignment="1">
      <alignment horizontal="left"/>
    </xf>
    <xf numFmtId="166" fontId="3" fillId="4" borderId="32" xfId="0" applyNumberFormat="1" applyFont="1" applyFill="1" applyBorder="1" applyAlignment="1">
      <alignment horizontal="right"/>
    </xf>
    <xf numFmtId="0" fontId="3" fillId="4" borderId="33" xfId="0" applyFont="1" applyFill="1" applyBorder="1" applyAlignment="1">
      <alignment horizontal="left"/>
    </xf>
    <xf numFmtId="166" fontId="3" fillId="4" borderId="34" xfId="0" applyNumberFormat="1" applyFont="1" applyFill="1" applyBorder="1" applyAlignment="1">
      <alignment horizontal="right"/>
    </xf>
    <xf numFmtId="0" fontId="3" fillId="4" borderId="35" xfId="0" applyFont="1" applyFill="1" applyBorder="1" applyAlignment="1">
      <alignment horizontal="left"/>
    </xf>
    <xf numFmtId="171" fontId="3" fillId="4" borderId="36" xfId="0" applyNumberFormat="1" applyFont="1" applyFill="1" applyBorder="1" applyAlignment="1">
      <alignment horizontal="right"/>
    </xf>
    <xf numFmtId="0" fontId="3" fillId="6" borderId="1" xfId="0" applyFont="1" applyFill="1" applyBorder="1" applyAlignment="1">
      <alignment horizontal="centerContinuous"/>
    </xf>
    <xf numFmtId="0" fontId="3" fillId="6" borderId="0" xfId="0" applyFont="1" applyFill="1" applyAlignment="1">
      <alignment horizontal="centerContinuous"/>
    </xf>
    <xf numFmtId="0" fontId="0" fillId="2" borderId="3" xfId="0" applyFill="1" applyBorder="1"/>
    <xf numFmtId="3" fontId="0" fillId="2" borderId="3" xfId="0" applyNumberFormat="1" applyFill="1" applyBorder="1" applyAlignment="1">
      <alignment horizontal="center"/>
    </xf>
    <xf numFmtId="3" fontId="5" fillId="2" borderId="22" xfId="0" applyNumberFormat="1" applyFont="1" applyFill="1" applyBorder="1" applyAlignment="1">
      <alignment horizontal="center"/>
    </xf>
    <xf numFmtId="3" fontId="5" fillId="2" borderId="23" xfId="0" applyNumberFormat="1" applyFont="1" applyFill="1" applyBorder="1" applyAlignment="1">
      <alignment horizontal="center"/>
    </xf>
    <xf numFmtId="0" fontId="2" fillId="2" borderId="6" xfId="0" applyFont="1" applyFill="1" applyBorder="1"/>
    <xf numFmtId="0" fontId="5" fillId="2" borderId="22" xfId="0" applyFont="1" applyFill="1" applyBorder="1" applyAlignment="1">
      <alignment horizontal="center"/>
    </xf>
    <xf numFmtId="0" fontId="2" fillId="0" borderId="6" xfId="0" applyFont="1" applyBorder="1"/>
    <xf numFmtId="0" fontId="5" fillId="0" borderId="11" xfId="0" applyFont="1" applyBorder="1" applyAlignment="1">
      <alignment horizontal="left" vertical="top" indent="3" readingOrder="1"/>
    </xf>
    <xf numFmtId="3" fontId="5" fillId="2" borderId="21" xfId="0" applyNumberFormat="1" applyFont="1" applyFill="1" applyBorder="1" applyAlignment="1">
      <alignment horizontal="center"/>
    </xf>
    <xf numFmtId="3" fontId="5" fillId="2" borderId="20" xfId="0" applyNumberFormat="1" applyFont="1" applyFill="1" applyBorder="1" applyAlignment="1">
      <alignment horizontal="center"/>
    </xf>
    <xf numFmtId="0" fontId="5" fillId="3" borderId="6" xfId="0" applyFont="1" applyFill="1" applyBorder="1" applyAlignment="1">
      <alignment horizontal="left" vertical="top" indent="3" readingOrder="1"/>
    </xf>
    <xf numFmtId="0" fontId="5" fillId="2" borderId="6" xfId="0" applyFont="1" applyFill="1" applyBorder="1"/>
    <xf numFmtId="1" fontId="5" fillId="2" borderId="6" xfId="0" applyNumberFormat="1" applyFont="1" applyFill="1" applyBorder="1" applyAlignment="1">
      <alignment horizontal="center"/>
    </xf>
    <xf numFmtId="0" fontId="2" fillId="2" borderId="6" xfId="0" applyFont="1" applyFill="1" applyBorder="1" applyAlignment="1">
      <alignment horizontal="left" vertical="top" indent="3" readingOrder="1"/>
    </xf>
    <xf numFmtId="0" fontId="2" fillId="3" borderId="6" xfId="0" applyFont="1" applyFill="1" applyBorder="1" applyAlignment="1">
      <alignment horizontal="left" vertical="top" indent="3" readingOrder="1"/>
    </xf>
    <xf numFmtId="0" fontId="2" fillId="0" borderId="6" xfId="0" applyFont="1" applyBorder="1" applyAlignment="1">
      <alignment horizontal="left" vertical="top" indent="3" readingOrder="1"/>
    </xf>
    <xf numFmtId="172" fontId="0" fillId="2" borderId="6" xfId="2" applyNumberFormat="1" applyFont="1" applyFill="1" applyBorder="1"/>
    <xf numFmtId="0" fontId="5" fillId="2" borderId="21" xfId="0" applyFont="1" applyFill="1" applyBorder="1" applyAlignment="1">
      <alignment horizontal="center"/>
    </xf>
    <xf numFmtId="3" fontId="0" fillId="2" borderId="11" xfId="0" applyNumberFormat="1" applyFill="1" applyBorder="1" applyAlignment="1">
      <alignment horizontal="center"/>
    </xf>
    <xf numFmtId="3" fontId="5" fillId="2" borderId="6" xfId="0" applyNumberFormat="1" applyFont="1" applyFill="1" applyBorder="1" applyAlignment="1">
      <alignment horizontal="center"/>
    </xf>
    <xf numFmtId="0" fontId="5" fillId="0" borderId="6" xfId="0" applyFont="1" applyBorder="1"/>
    <xf numFmtId="3" fontId="0" fillId="0" borderId="6" xfId="0" applyNumberFormat="1" applyBorder="1" applyAlignment="1">
      <alignment horizontal="center"/>
    </xf>
    <xf numFmtId="0" fontId="0" fillId="0" borderId="6" xfId="0" applyBorder="1"/>
    <xf numFmtId="0" fontId="0" fillId="0" borderId="15" xfId="0" applyBorder="1"/>
    <xf numFmtId="1" fontId="5" fillId="0" borderId="15" xfId="0" applyNumberFormat="1" applyFont="1" applyBorder="1" applyAlignment="1">
      <alignment horizontal="center"/>
    </xf>
    <xf numFmtId="4" fontId="5" fillId="0" borderId="22" xfId="0" applyNumberFormat="1" applyFont="1" applyBorder="1"/>
    <xf numFmtId="4" fontId="5" fillId="2" borderId="22" xfId="0" applyNumberFormat="1" applyFont="1" applyFill="1" applyBorder="1"/>
    <xf numFmtId="0" fontId="4" fillId="4" borderId="16" xfId="0" applyFont="1" applyFill="1" applyBorder="1" applyAlignment="1">
      <alignment horizontal="centerContinuous" vertical="center"/>
    </xf>
    <xf numFmtId="3" fontId="0" fillId="0" borderId="0" xfId="0" applyNumberFormat="1"/>
    <xf numFmtId="2" fontId="3" fillId="3" borderId="0" xfId="0" applyNumberFormat="1" applyFont="1" applyFill="1" applyAlignment="1">
      <alignment horizontal="centerContinuous"/>
    </xf>
    <xf numFmtId="2" fontId="3" fillId="7" borderId="0" xfId="0" applyNumberFormat="1" applyFont="1" applyFill="1" applyAlignment="1">
      <alignment horizontal="centerContinuous"/>
    </xf>
    <xf numFmtId="2" fontId="3" fillId="8" borderId="0" xfId="0" applyNumberFormat="1" applyFont="1" applyFill="1" applyAlignment="1">
      <alignment horizontal="centerContinuous"/>
    </xf>
    <xf numFmtId="165" fontId="0" fillId="2" borderId="18" xfId="0" applyNumberFormat="1" applyFill="1" applyBorder="1" applyAlignment="1">
      <alignment horizontal="right"/>
    </xf>
    <xf numFmtId="165" fontId="0" fillId="2" borderId="20" xfId="0" applyNumberFormat="1" applyFill="1" applyBorder="1" applyAlignment="1">
      <alignment horizontal="right"/>
    </xf>
    <xf numFmtId="165" fontId="0" fillId="2" borderId="0" xfId="0" applyNumberFormat="1" applyFill="1"/>
    <xf numFmtId="165" fontId="0" fillId="0" borderId="0" xfId="0" applyNumberFormat="1"/>
    <xf numFmtId="165" fontId="0" fillId="2" borderId="21" xfId="0" applyNumberFormat="1" applyFill="1" applyBorder="1" applyAlignment="1">
      <alignment horizontal="right"/>
    </xf>
    <xf numFmtId="165" fontId="3" fillId="2" borderId="4" xfId="0" applyNumberFormat="1" applyFont="1" applyFill="1" applyBorder="1"/>
    <xf numFmtId="165" fontId="0" fillId="2" borderId="22" xfId="0" applyNumberFormat="1" applyFill="1" applyBorder="1"/>
    <xf numFmtId="171" fontId="3" fillId="2" borderId="2" xfId="0" applyNumberFormat="1" applyFont="1" applyFill="1" applyBorder="1"/>
    <xf numFmtId="171" fontId="0" fillId="0" borderId="0" xfId="0" applyNumberFormat="1"/>
    <xf numFmtId="171" fontId="0" fillId="2" borderId="17" xfId="0" applyNumberFormat="1" applyFill="1" applyBorder="1" applyAlignment="1">
      <alignment horizontal="right"/>
    </xf>
    <xf numFmtId="171" fontId="3" fillId="2" borderId="13" xfId="0" applyNumberFormat="1" applyFont="1" applyFill="1" applyBorder="1"/>
    <xf numFmtId="171" fontId="0" fillId="2" borderId="19" xfId="0" applyNumberFormat="1" applyFill="1" applyBorder="1" applyAlignment="1">
      <alignment horizontal="right"/>
    </xf>
    <xf numFmtId="171" fontId="0" fillId="2" borderId="19" xfId="0" applyNumberFormat="1" applyFill="1" applyBorder="1"/>
    <xf numFmtId="171" fontId="4" fillId="4" borderId="14" xfId="0" applyNumberFormat="1" applyFont="1" applyFill="1" applyBorder="1"/>
    <xf numFmtId="171" fontId="5" fillId="4" borderId="24" xfId="0" applyNumberFormat="1" applyFont="1" applyFill="1" applyBorder="1"/>
    <xf numFmtId="0" fontId="5" fillId="0" borderId="6" xfId="0" applyFont="1" applyBorder="1" applyAlignment="1">
      <alignment horizontal="left" vertical="top" indent="3" readingOrder="1"/>
    </xf>
    <xf numFmtId="4" fontId="9" fillId="2" borderId="21" xfId="0" applyNumberFormat="1" applyFont="1" applyFill="1" applyBorder="1"/>
    <xf numFmtId="3" fontId="9" fillId="2" borderId="18" xfId="0" applyNumberFormat="1" applyFont="1" applyFill="1" applyBorder="1" applyAlignment="1">
      <alignment horizontal="center"/>
    </xf>
    <xf numFmtId="3" fontId="9" fillId="2" borderId="22" xfId="0" applyNumberFormat="1" applyFont="1" applyFill="1" applyBorder="1" applyAlignment="1">
      <alignment horizontal="center"/>
    </xf>
    <xf numFmtId="0" fontId="9" fillId="2" borderId="22" xfId="0" applyFont="1" applyFill="1" applyBorder="1" applyAlignment="1">
      <alignment horizontal="center"/>
    </xf>
    <xf numFmtId="0" fontId="9" fillId="2" borderId="18" xfId="0" applyFont="1" applyFill="1" applyBorder="1" applyAlignment="1">
      <alignment horizontal="center"/>
    </xf>
    <xf numFmtId="4" fontId="9" fillId="2" borderId="22" xfId="0" applyNumberFormat="1" applyFont="1" applyFill="1" applyBorder="1"/>
    <xf numFmtId="0" fontId="9" fillId="2" borderId="6" xfId="0" applyFont="1" applyFill="1" applyBorder="1"/>
    <xf numFmtId="0" fontId="9" fillId="2" borderId="21" xfId="0" applyFont="1" applyFill="1" applyBorder="1" applyAlignment="1">
      <alignment horizontal="center"/>
    </xf>
    <xf numFmtId="4" fontId="9" fillId="2" borderId="20" xfId="0" applyNumberFormat="1" applyFont="1" applyFill="1" applyBorder="1"/>
    <xf numFmtId="9" fontId="5" fillId="2" borderId="22" xfId="2" applyFont="1" applyFill="1" applyBorder="1" applyAlignment="1">
      <alignment horizontal="center"/>
    </xf>
    <xf numFmtId="3" fontId="5" fillId="2" borderId="22" xfId="0" applyNumberFormat="1" applyFont="1" applyFill="1" applyBorder="1"/>
    <xf numFmtId="0" fontId="5" fillId="2" borderId="0" xfId="0" applyFont="1" applyFill="1"/>
    <xf numFmtId="0" fontId="5" fillId="2" borderId="0" xfId="0" applyFont="1" applyFill="1" applyAlignment="1">
      <alignment horizontal="center"/>
    </xf>
    <xf numFmtId="3" fontId="9" fillId="2" borderId="6" xfId="0" applyNumberFormat="1" applyFont="1" applyFill="1" applyBorder="1" applyAlignment="1">
      <alignment horizontal="center"/>
    </xf>
    <xf numFmtId="0" fontId="5" fillId="0" borderId="39" xfId="0" applyFont="1" applyBorder="1"/>
    <xf numFmtId="0" fontId="5" fillId="2" borderId="40" xfId="0" applyFont="1" applyFill="1" applyBorder="1"/>
    <xf numFmtId="0" fontId="5" fillId="2" borderId="18" xfId="0" applyFont="1" applyFill="1" applyBorder="1" applyAlignment="1">
      <alignment horizontal="center"/>
    </xf>
    <xf numFmtId="3" fontId="5" fillId="2" borderId="18" xfId="0" applyNumberFormat="1" applyFont="1" applyFill="1" applyBorder="1" applyAlignment="1">
      <alignment horizontal="center"/>
    </xf>
    <xf numFmtId="4" fontId="5" fillId="2" borderId="20" xfId="0" applyNumberFormat="1" applyFont="1" applyFill="1" applyBorder="1"/>
    <xf numFmtId="0" fontId="5" fillId="2" borderId="20" xfId="0" applyFont="1" applyFill="1" applyBorder="1" applyAlignment="1">
      <alignment horizontal="center"/>
    </xf>
    <xf numFmtId="3" fontId="5" fillId="0" borderId="6" xfId="0" applyNumberFormat="1" applyFont="1" applyBorder="1" applyAlignment="1">
      <alignment horizontal="center"/>
    </xf>
    <xf numFmtId="0" fontId="5" fillId="9" borderId="6" xfId="0" applyFont="1" applyFill="1" applyBorder="1" applyAlignment="1">
      <alignment horizontal="left" vertical="top" indent="3" readingOrder="1"/>
    </xf>
    <xf numFmtId="166" fontId="4" fillId="2" borderId="2" xfId="0" applyNumberFormat="1" applyFont="1" applyFill="1" applyBorder="1"/>
    <xf numFmtId="166" fontId="4" fillId="2" borderId="13" xfId="0" applyNumberFormat="1" applyFont="1" applyFill="1" applyBorder="1"/>
    <xf numFmtId="166" fontId="4" fillId="2" borderId="4" xfId="0" applyNumberFormat="1" applyFont="1" applyFill="1" applyBorder="1"/>
    <xf numFmtId="0" fontId="5" fillId="2" borderId="10" xfId="0" applyFont="1" applyFill="1" applyBorder="1" applyAlignment="1">
      <alignment horizontal="left" vertical="top" indent="1" readingOrder="1"/>
    </xf>
    <xf numFmtId="166" fontId="5" fillId="2" borderId="2" xfId="0" applyNumberFormat="1" applyFont="1" applyFill="1" applyBorder="1"/>
    <xf numFmtId="0" fontId="5" fillId="2" borderId="12" xfId="0" applyFont="1" applyFill="1" applyBorder="1" applyAlignment="1">
      <alignment horizontal="left" vertical="top" indent="1" readingOrder="1"/>
    </xf>
    <xf numFmtId="166" fontId="5" fillId="2" borderId="13" xfId="0" applyNumberFormat="1" applyFont="1" applyFill="1" applyBorder="1"/>
    <xf numFmtId="3" fontId="5" fillId="0" borderId="0" xfId="0" applyNumberFormat="1" applyFont="1"/>
    <xf numFmtId="0" fontId="4" fillId="4" borderId="1" xfId="0" applyFont="1" applyFill="1" applyBorder="1" applyAlignment="1">
      <alignment horizontal="centerContinuous"/>
    </xf>
    <xf numFmtId="0" fontId="4" fillId="6" borderId="37" xfId="0" applyFont="1" applyFill="1" applyBorder="1" applyAlignment="1">
      <alignment horizontal="centerContinuous"/>
    </xf>
    <xf numFmtId="0" fontId="4" fillId="6" borderId="1" xfId="0" applyFont="1" applyFill="1" applyBorder="1" applyAlignment="1">
      <alignment horizontal="centerContinuous"/>
    </xf>
    <xf numFmtId="0" fontId="4" fillId="6" borderId="38" xfId="0" applyFont="1" applyFill="1" applyBorder="1" applyAlignment="1">
      <alignment horizontal="centerContinuous"/>
    </xf>
    <xf numFmtId="0" fontId="4" fillId="2" borderId="3" xfId="0" applyFont="1" applyFill="1" applyBorder="1"/>
    <xf numFmtId="0" fontId="5" fillId="2" borderId="3" xfId="0" applyFont="1" applyFill="1" applyBorder="1" applyAlignment="1">
      <alignment horizontal="center"/>
    </xf>
    <xf numFmtId="0" fontId="4" fillId="2" borderId="4" xfId="0" applyFont="1" applyFill="1" applyBorder="1" applyAlignment="1">
      <alignment horizontal="left"/>
    </xf>
    <xf numFmtId="0" fontId="4" fillId="2" borderId="4" xfId="0" applyFont="1" applyFill="1" applyBorder="1" applyAlignment="1">
      <alignment horizontal="center"/>
    </xf>
    <xf numFmtId="0" fontId="5" fillId="2" borderId="45" xfId="0" applyFont="1" applyFill="1" applyBorder="1"/>
    <xf numFmtId="0" fontId="5" fillId="2" borderId="46" xfId="0" applyFont="1" applyFill="1" applyBorder="1"/>
    <xf numFmtId="0" fontId="5" fillId="2" borderId="39" xfId="0" applyFont="1" applyFill="1" applyBorder="1"/>
    <xf numFmtId="0" fontId="4" fillId="2" borderId="6" xfId="0" applyFont="1" applyFill="1" applyBorder="1"/>
    <xf numFmtId="0" fontId="5" fillId="2" borderId="6" xfId="0" applyFont="1" applyFill="1" applyBorder="1" applyAlignment="1">
      <alignment horizontal="center"/>
    </xf>
    <xf numFmtId="0" fontId="5" fillId="2" borderId="5" xfId="0" applyFont="1" applyFill="1" applyBorder="1" applyAlignment="1">
      <alignment horizontal="left" indent="1"/>
    </xf>
    <xf numFmtId="0" fontId="5" fillId="2" borderId="5" xfId="0" applyFont="1" applyFill="1" applyBorder="1" applyAlignment="1">
      <alignment horizontal="center"/>
    </xf>
    <xf numFmtId="9" fontId="5" fillId="2" borderId="5" xfId="2" applyFont="1" applyFill="1" applyBorder="1" applyAlignment="1">
      <alignment horizontal="center"/>
    </xf>
    <xf numFmtId="0" fontId="5" fillId="2" borderId="31" xfId="0" applyFont="1" applyFill="1" applyBorder="1"/>
    <xf numFmtId="0" fontId="5" fillId="2" borderId="10" xfId="0" applyFont="1" applyFill="1" applyBorder="1"/>
    <xf numFmtId="0" fontId="5" fillId="2" borderId="32" xfId="0" applyFont="1" applyFill="1" applyBorder="1"/>
    <xf numFmtId="0" fontId="5" fillId="2" borderId="6" xfId="0" applyFont="1" applyFill="1" applyBorder="1" applyAlignment="1">
      <alignment horizontal="left" indent="1"/>
    </xf>
    <xf numFmtId="9" fontId="5" fillId="2" borderId="6" xfId="2" applyFont="1" applyFill="1" applyBorder="1" applyAlignment="1">
      <alignment horizontal="center"/>
    </xf>
    <xf numFmtId="0" fontId="5" fillId="2" borderId="33" xfId="0" applyFont="1" applyFill="1" applyBorder="1"/>
    <xf numFmtId="0" fontId="5" fillId="2" borderId="34" xfId="0" applyFont="1" applyFill="1" applyBorder="1"/>
    <xf numFmtId="164" fontId="5" fillId="2" borderId="6" xfId="0" applyNumberFormat="1" applyFont="1" applyFill="1" applyBorder="1" applyAlignment="1">
      <alignment horizontal="center"/>
    </xf>
    <xf numFmtId="0" fontId="5" fillId="0" borderId="40" xfId="0" applyFont="1" applyBorder="1"/>
    <xf numFmtId="0" fontId="5" fillId="2" borderId="7" xfId="0" applyFont="1" applyFill="1" applyBorder="1" applyAlignment="1">
      <alignment horizontal="left" indent="1"/>
    </xf>
    <xf numFmtId="0" fontId="5" fillId="2" borderId="7" xfId="0" applyFont="1" applyFill="1" applyBorder="1" applyAlignment="1">
      <alignment horizontal="center"/>
    </xf>
    <xf numFmtId="9" fontId="5" fillId="2" borderId="7" xfId="2" applyFont="1" applyFill="1" applyBorder="1" applyAlignment="1">
      <alignment horizontal="center"/>
    </xf>
    <xf numFmtId="0" fontId="5" fillId="2" borderId="47" xfId="0" applyFont="1" applyFill="1" applyBorder="1"/>
    <xf numFmtId="3" fontId="5" fillId="2" borderId="11" xfId="0" applyNumberFormat="1" applyFont="1" applyFill="1" applyBorder="1" applyAlignment="1">
      <alignment horizontal="center"/>
    </xf>
    <xf numFmtId="0" fontId="5" fillId="2" borderId="48" xfId="0" applyFont="1" applyFill="1" applyBorder="1"/>
    <xf numFmtId="0" fontId="4" fillId="4" borderId="8" xfId="0" applyFont="1" applyFill="1" applyBorder="1" applyAlignment="1">
      <alignment horizontal="left"/>
    </xf>
    <xf numFmtId="0" fontId="4" fillId="4" borderId="8" xfId="0" applyFont="1" applyFill="1" applyBorder="1" applyAlignment="1">
      <alignment horizontal="center"/>
    </xf>
    <xf numFmtId="9" fontId="4" fillId="4" borderId="8" xfId="2" applyFont="1" applyFill="1" applyBorder="1" applyAlignment="1">
      <alignment horizontal="center"/>
    </xf>
    <xf numFmtId="0" fontId="5" fillId="2" borderId="11" xfId="0" applyFont="1" applyFill="1" applyBorder="1"/>
    <xf numFmtId="0" fontId="4" fillId="4" borderId="2" xfId="0" applyFont="1" applyFill="1" applyBorder="1" applyAlignment="1">
      <alignment horizontal="left"/>
    </xf>
    <xf numFmtId="0" fontId="4" fillId="4" borderId="2" xfId="0" applyFont="1" applyFill="1" applyBorder="1" applyAlignment="1">
      <alignment horizontal="centerContinuous"/>
    </xf>
    <xf numFmtId="0" fontId="5" fillId="0" borderId="41" xfId="0" applyFont="1" applyBorder="1"/>
    <xf numFmtId="0" fontId="5" fillId="0" borderId="42" xfId="0" applyFont="1" applyBorder="1"/>
    <xf numFmtId="0" fontId="4" fillId="2" borderId="6" xfId="0" applyFont="1" applyFill="1" applyBorder="1" applyAlignment="1">
      <alignment horizontal="left"/>
    </xf>
    <xf numFmtId="0" fontId="4" fillId="3" borderId="31" xfId="0" applyFont="1" applyFill="1" applyBorder="1" applyAlignment="1">
      <alignment horizontal="left"/>
    </xf>
    <xf numFmtId="0" fontId="4" fillId="3" borderId="10" xfId="0" applyFont="1" applyFill="1" applyBorder="1" applyAlignment="1">
      <alignment horizontal="left"/>
    </xf>
    <xf numFmtId="166" fontId="4" fillId="3" borderId="32" xfId="0" applyNumberFormat="1" applyFont="1" applyFill="1" applyBorder="1" applyAlignment="1">
      <alignment horizontal="right"/>
    </xf>
    <xf numFmtId="0" fontId="4" fillId="3" borderId="33" xfId="0" applyFont="1" applyFill="1" applyBorder="1" applyAlignment="1">
      <alignment horizontal="left"/>
    </xf>
    <xf numFmtId="0" fontId="4" fillId="3" borderId="0" xfId="0" applyFont="1" applyFill="1" applyAlignment="1">
      <alignment horizontal="left"/>
    </xf>
    <xf numFmtId="166" fontId="4" fillId="3" borderId="34" xfId="0" applyNumberFormat="1" applyFont="1" applyFill="1" applyBorder="1" applyAlignment="1">
      <alignment horizontal="right"/>
    </xf>
    <xf numFmtId="0" fontId="4" fillId="2" borderId="9" xfId="0" applyFont="1" applyFill="1" applyBorder="1" applyAlignment="1">
      <alignment horizontal="left"/>
    </xf>
    <xf numFmtId="0" fontId="5" fillId="2" borderId="9" xfId="0" applyFont="1" applyFill="1" applyBorder="1" applyAlignment="1">
      <alignment horizontal="center"/>
    </xf>
    <xf numFmtId="0" fontId="4" fillId="2" borderId="9" xfId="0" applyFont="1" applyFill="1" applyBorder="1"/>
    <xf numFmtId="0" fontId="5" fillId="2" borderId="9" xfId="0" applyFont="1" applyFill="1" applyBorder="1"/>
    <xf numFmtId="0" fontId="4" fillId="3" borderId="35" xfId="0" applyFont="1" applyFill="1" applyBorder="1" applyAlignment="1">
      <alignment horizontal="left"/>
    </xf>
    <xf numFmtId="0" fontId="4" fillId="3" borderId="8" xfId="0" applyFont="1" applyFill="1" applyBorder="1" applyAlignment="1">
      <alignment horizontal="left"/>
    </xf>
    <xf numFmtId="171" fontId="4" fillId="3" borderId="36" xfId="0" applyNumberFormat="1" applyFont="1" applyFill="1" applyBorder="1" applyAlignment="1">
      <alignment horizontal="right"/>
    </xf>
    <xf numFmtId="0" fontId="4" fillId="2" borderId="0" xfId="0" applyFont="1" applyFill="1"/>
    <xf numFmtId="165" fontId="5" fillId="2" borderId="0" xfId="0" applyNumberFormat="1" applyFont="1" applyFill="1" applyAlignment="1">
      <alignment horizontal="center"/>
    </xf>
    <xf numFmtId="0" fontId="5" fillId="2" borderId="35" xfId="0" applyFont="1" applyFill="1" applyBorder="1"/>
    <xf numFmtId="0" fontId="5" fillId="2" borderId="8" xfId="0" applyFont="1" applyFill="1" applyBorder="1"/>
    <xf numFmtId="0" fontId="5" fillId="2" borderId="36" xfId="0" applyFont="1" applyFill="1" applyBorder="1"/>
    <xf numFmtId="0" fontId="5" fillId="2" borderId="43" xfId="0" applyFont="1" applyFill="1" applyBorder="1"/>
    <xf numFmtId="3" fontId="5" fillId="2" borderId="9" xfId="0" applyNumberFormat="1" applyFont="1" applyFill="1" applyBorder="1" applyAlignment="1">
      <alignment horizontal="center"/>
    </xf>
    <xf numFmtId="0" fontId="5" fillId="2" borderId="44" xfId="0" applyFont="1" applyFill="1" applyBorder="1"/>
    <xf numFmtId="0" fontId="5" fillId="2" borderId="17" xfId="0" applyFont="1" applyFill="1" applyBorder="1" applyAlignment="1">
      <alignment horizontal="center"/>
    </xf>
    <xf numFmtId="3" fontId="5" fillId="2" borderId="17" xfId="0" applyNumberFormat="1" applyFont="1" applyFill="1" applyBorder="1"/>
    <xf numFmtId="9" fontId="5" fillId="2" borderId="17" xfId="2" applyFont="1" applyFill="1" applyBorder="1" applyAlignment="1">
      <alignment horizontal="center"/>
    </xf>
    <xf numFmtId="3" fontId="5" fillId="2" borderId="17" xfId="0" applyNumberFormat="1" applyFont="1" applyFill="1" applyBorder="1" applyAlignment="1">
      <alignment horizontal="right"/>
    </xf>
    <xf numFmtId="9" fontId="5" fillId="2" borderId="18" xfId="2" applyFont="1" applyFill="1" applyBorder="1" applyAlignment="1">
      <alignment horizontal="center"/>
    </xf>
    <xf numFmtId="4" fontId="5" fillId="2" borderId="18" xfId="0" applyNumberFormat="1" applyFont="1" applyFill="1" applyBorder="1" applyAlignment="1">
      <alignment horizontal="right"/>
    </xf>
    <xf numFmtId="3" fontId="5" fillId="2" borderId="18" xfId="0" applyNumberFormat="1" applyFont="1" applyFill="1" applyBorder="1" applyAlignment="1">
      <alignment horizontal="right"/>
    </xf>
    <xf numFmtId="0" fontId="5" fillId="2" borderId="19" xfId="0" applyFont="1" applyFill="1" applyBorder="1" applyAlignment="1">
      <alignment horizontal="center"/>
    </xf>
    <xf numFmtId="3" fontId="5" fillId="2" borderId="19" xfId="0" applyNumberFormat="1" applyFont="1" applyFill="1" applyBorder="1" applyAlignment="1">
      <alignment horizontal="center"/>
    </xf>
    <xf numFmtId="4" fontId="5" fillId="2" borderId="19" xfId="0" applyNumberFormat="1" applyFont="1" applyFill="1" applyBorder="1"/>
    <xf numFmtId="9" fontId="5" fillId="2" borderId="19" xfId="2" applyFont="1" applyFill="1" applyBorder="1" applyAlignment="1">
      <alignment horizontal="center"/>
    </xf>
    <xf numFmtId="4" fontId="5" fillId="2" borderId="19" xfId="0" applyNumberFormat="1" applyFont="1" applyFill="1" applyBorder="1" applyAlignment="1">
      <alignment horizontal="right"/>
    </xf>
    <xf numFmtId="3" fontId="5" fillId="2" borderId="19" xfId="0" applyNumberFormat="1" applyFont="1" applyFill="1" applyBorder="1" applyAlignment="1">
      <alignment horizontal="right"/>
    </xf>
    <xf numFmtId="9" fontId="5" fillId="2" borderId="20" xfId="2" applyFont="1" applyFill="1" applyBorder="1" applyAlignment="1">
      <alignment horizontal="center"/>
    </xf>
    <xf numFmtId="4" fontId="5" fillId="2" borderId="20" xfId="0" applyNumberFormat="1" applyFont="1" applyFill="1" applyBorder="1" applyAlignment="1">
      <alignment horizontal="right"/>
    </xf>
    <xf numFmtId="3" fontId="5" fillId="2" borderId="20" xfId="0" applyNumberFormat="1" applyFont="1" applyFill="1" applyBorder="1" applyAlignment="1">
      <alignment horizontal="right"/>
    </xf>
    <xf numFmtId="0" fontId="4" fillId="2" borderId="31" xfId="0" applyFont="1" applyFill="1" applyBorder="1"/>
    <xf numFmtId="0" fontId="5" fillId="2" borderId="23" xfId="0" applyFont="1" applyFill="1" applyBorder="1" applyAlignment="1">
      <alignment horizontal="center"/>
    </xf>
    <xf numFmtId="9" fontId="5" fillId="2" borderId="0" xfId="2" applyFont="1" applyFill="1" applyAlignment="1">
      <alignment horizontal="center"/>
    </xf>
    <xf numFmtId="166" fontId="5" fillId="2" borderId="0" xfId="0" applyNumberFormat="1" applyFont="1" applyFill="1"/>
    <xf numFmtId="3" fontId="5" fillId="2" borderId="26" xfId="0" applyNumberFormat="1" applyFont="1" applyFill="1" applyBorder="1" applyAlignment="1">
      <alignment horizontal="right"/>
    </xf>
    <xf numFmtId="3" fontId="5" fillId="2" borderId="28" xfId="0" applyNumberFormat="1" applyFont="1" applyFill="1" applyBorder="1" applyAlignment="1">
      <alignment horizontal="right"/>
    </xf>
    <xf numFmtId="3" fontId="5" fillId="2" borderId="30" xfId="0" applyNumberFormat="1" applyFont="1" applyFill="1" applyBorder="1" applyAlignment="1">
      <alignment horizontal="right"/>
    </xf>
    <xf numFmtId="3" fontId="5" fillId="2" borderId="0" xfId="0" applyNumberFormat="1" applyFont="1" applyFill="1"/>
    <xf numFmtId="4" fontId="5" fillId="3" borderId="18" xfId="0" applyNumberFormat="1" applyFont="1" applyFill="1" applyBorder="1"/>
    <xf numFmtId="44" fontId="5" fillId="2" borderId="33" xfId="3" applyFont="1" applyFill="1" applyBorder="1"/>
    <xf numFmtId="44" fontId="5" fillId="2" borderId="35" xfId="0" applyNumberFormat="1" applyFont="1" applyFill="1" applyBorder="1"/>
    <xf numFmtId="167" fontId="5" fillId="2" borderId="6" xfId="1" applyNumberFormat="1" applyFont="1" applyFill="1" applyBorder="1" applyAlignment="1">
      <alignment horizontal="left"/>
    </xf>
    <xf numFmtId="0" fontId="2" fillId="2" borderId="22" xfId="0" applyFont="1" applyFill="1" applyBorder="1" applyAlignment="1">
      <alignment horizontal="center"/>
    </xf>
    <xf numFmtId="4" fontId="2" fillId="2" borderId="22" xfId="0" applyNumberFormat="1" applyFont="1" applyFill="1" applyBorder="1"/>
    <xf numFmtId="166" fontId="4" fillId="0" borderId="13" xfId="0" applyNumberFormat="1" applyFont="1" applyBorder="1"/>
    <xf numFmtId="0" fontId="2" fillId="2" borderId="0" xfId="0" applyFont="1" applyFill="1"/>
    <xf numFmtId="0" fontId="2" fillId="2" borderId="0" xfId="0" applyFont="1" applyFill="1" applyAlignment="1">
      <alignment horizontal="center"/>
    </xf>
    <xf numFmtId="0" fontId="4" fillId="2" borderId="5" xfId="0" applyFont="1" applyFill="1" applyBorder="1" applyAlignment="1">
      <alignment horizontal="left"/>
    </xf>
    <xf numFmtId="0" fontId="3" fillId="0" borderId="0" xfId="0" applyFont="1"/>
    <xf numFmtId="0" fontId="3" fillId="0" borderId="0" xfId="0" applyFont="1" applyAlignment="1">
      <alignment horizontal="center"/>
    </xf>
    <xf numFmtId="0" fontId="0" fillId="0" borderId="49" xfId="0" applyBorder="1"/>
    <xf numFmtId="0" fontId="0" fillId="0" borderId="49" xfId="0" applyBorder="1" applyAlignment="1">
      <alignment horizontal="center"/>
    </xf>
    <xf numFmtId="1" fontId="0" fillId="0" borderId="49" xfId="0" applyNumberFormat="1" applyBorder="1" applyAlignment="1">
      <alignment horizontal="center"/>
    </xf>
    <xf numFmtId="0" fontId="12" fillId="0" borderId="0" xfId="0" applyFont="1"/>
    <xf numFmtId="170" fontId="0" fillId="0" borderId="49" xfId="3" applyNumberFormat="1" applyFont="1" applyBorder="1" applyAlignment="1">
      <alignment horizontal="center"/>
    </xf>
    <xf numFmtId="170" fontId="0" fillId="0" borderId="0" xfId="3" applyNumberFormat="1" applyFont="1"/>
    <xf numFmtId="170" fontId="3" fillId="3" borderId="12" xfId="3" applyNumberFormat="1" applyFont="1" applyFill="1" applyBorder="1" applyAlignment="1">
      <alignment horizontal="center"/>
    </xf>
    <xf numFmtId="9" fontId="2" fillId="2" borderId="22" xfId="2" applyFont="1" applyFill="1" applyBorder="1" applyAlignment="1">
      <alignment horizontal="center"/>
    </xf>
    <xf numFmtId="3" fontId="2" fillId="2" borderId="22" xfId="0" applyNumberFormat="1" applyFont="1" applyFill="1" applyBorder="1"/>
    <xf numFmtId="0" fontId="2" fillId="2" borderId="19" xfId="0" applyFont="1" applyFill="1" applyBorder="1" applyAlignment="1">
      <alignment horizontal="center"/>
    </xf>
    <xf numFmtId="4" fontId="2" fillId="2" borderId="19" xfId="0" applyNumberFormat="1" applyFont="1" applyFill="1" applyBorder="1"/>
    <xf numFmtId="9" fontId="2" fillId="2" borderId="19" xfId="2" applyFont="1" applyFill="1" applyBorder="1" applyAlignment="1">
      <alignment horizontal="center"/>
    </xf>
    <xf numFmtId="3" fontId="2" fillId="2" borderId="19" xfId="0" applyNumberFormat="1" applyFont="1" applyFill="1" applyBorder="1"/>
    <xf numFmtId="165" fontId="2" fillId="2" borderId="22" xfId="0" applyNumberFormat="1" applyFont="1" applyFill="1" applyBorder="1" applyAlignment="1">
      <alignment horizontal="center"/>
    </xf>
    <xf numFmtId="0" fontId="5" fillId="2" borderId="9" xfId="0" applyFont="1" applyFill="1" applyBorder="1" applyAlignment="1">
      <alignment horizontal="left" indent="1"/>
    </xf>
    <xf numFmtId="9" fontId="5" fillId="2" borderId="9" xfId="2" applyFont="1" applyFill="1" applyBorder="1" applyAlignment="1">
      <alignment horizontal="center"/>
    </xf>
    <xf numFmtId="3" fontId="4" fillId="4" borderId="8" xfId="2" applyNumberFormat="1" applyFont="1" applyFill="1" applyBorder="1" applyAlignment="1">
      <alignment horizontal="center"/>
    </xf>
    <xf numFmtId="0" fontId="13" fillId="2" borderId="20" xfId="0" applyFont="1" applyFill="1" applyBorder="1" applyAlignment="1">
      <alignment horizontal="center"/>
    </xf>
    <xf numFmtId="3" fontId="13" fillId="2" borderId="20" xfId="0" applyNumberFormat="1" applyFont="1" applyFill="1" applyBorder="1" applyAlignment="1">
      <alignment horizontal="center"/>
    </xf>
    <xf numFmtId="4" fontId="13" fillId="2" borderId="20" xfId="0" applyNumberFormat="1" applyFont="1" applyFill="1" applyBorder="1"/>
    <xf numFmtId="9" fontId="13" fillId="2" borderId="20" xfId="2" applyFont="1" applyFill="1" applyBorder="1" applyAlignment="1">
      <alignment horizontal="center"/>
    </xf>
    <xf numFmtId="4" fontId="13" fillId="2" borderId="20" xfId="0" applyNumberFormat="1" applyFont="1" applyFill="1" applyBorder="1" applyAlignment="1">
      <alignment horizontal="right"/>
    </xf>
    <xf numFmtId="3" fontId="13" fillId="2" borderId="20" xfId="0" applyNumberFormat="1" applyFont="1" applyFill="1" applyBorder="1" applyAlignment="1">
      <alignment horizontal="right"/>
    </xf>
    <xf numFmtId="172" fontId="5" fillId="2" borderId="6" xfId="2" applyNumberFormat="1" applyFont="1" applyFill="1" applyBorder="1" applyAlignment="1"/>
    <xf numFmtId="0" fontId="14" fillId="0" borderId="0" xfId="0" applyFont="1"/>
    <xf numFmtId="0" fontId="14" fillId="0" borderId="0" xfId="0" applyFont="1" applyAlignment="1">
      <alignment horizontal="center"/>
    </xf>
    <xf numFmtId="0" fontId="15" fillId="0" borderId="8" xfId="0" applyFont="1" applyBorder="1" applyAlignment="1">
      <alignment horizontal="centerContinuous"/>
    </xf>
    <xf numFmtId="0" fontId="14" fillId="0" borderId="0" xfId="0" applyFont="1" applyAlignment="1">
      <alignment vertical="center"/>
    </xf>
    <xf numFmtId="0" fontId="16" fillId="0" borderId="8" xfId="0" applyFont="1" applyBorder="1" applyAlignment="1">
      <alignment horizontal="centerContinuous" vertical="center"/>
    </xf>
    <xf numFmtId="0" fontId="14" fillId="0" borderId="8" xfId="0" applyFont="1" applyBorder="1" applyAlignment="1">
      <alignment horizontal="centerContinuous" vertical="center"/>
    </xf>
    <xf numFmtId="0" fontId="16" fillId="0" borderId="8" xfId="0" applyFont="1" applyBorder="1" applyAlignment="1">
      <alignment horizontal="center" vertical="center"/>
    </xf>
    <xf numFmtId="0" fontId="14" fillId="0" borderId="0" xfId="0" applyFont="1" applyAlignment="1">
      <alignment horizontal="center" vertical="center"/>
    </xf>
    <xf numFmtId="0" fontId="14" fillId="10" borderId="0" xfId="0" applyFont="1" applyFill="1" applyAlignment="1">
      <alignment vertical="center"/>
    </xf>
    <xf numFmtId="0" fontId="14" fillId="2" borderId="0" xfId="0" applyFont="1" applyFill="1" applyAlignment="1">
      <alignment vertical="center"/>
    </xf>
    <xf numFmtId="173" fontId="14" fillId="0" borderId="0" xfId="0" applyNumberFormat="1" applyFont="1" applyAlignment="1">
      <alignment vertical="center"/>
    </xf>
    <xf numFmtId="174" fontId="14" fillId="0" borderId="0" xfId="0" applyNumberFormat="1" applyFont="1" applyAlignment="1">
      <alignment horizontal="center" vertical="center"/>
    </xf>
    <xf numFmtId="3" fontId="14" fillId="0" borderId="0" xfId="0" applyNumberFormat="1" applyFont="1" applyAlignment="1">
      <alignment horizontal="center" vertical="center"/>
    </xf>
    <xf numFmtId="3" fontId="17" fillId="0" borderId="0" xfId="0" applyNumberFormat="1" applyFont="1" applyAlignment="1">
      <alignment horizontal="center" vertical="center"/>
    </xf>
    <xf numFmtId="4" fontId="14" fillId="0" borderId="0" xfId="0" applyNumberFormat="1" applyFont="1" applyAlignment="1">
      <alignment horizontal="center" vertical="center"/>
    </xf>
    <xf numFmtId="4" fontId="17" fillId="0" borderId="0" xfId="0" applyNumberFormat="1" applyFont="1" applyAlignment="1">
      <alignment horizontal="center" vertical="center"/>
    </xf>
    <xf numFmtId="0" fontId="14" fillId="0" borderId="8" xfId="0" applyFont="1" applyBorder="1" applyAlignment="1">
      <alignment vertical="center"/>
    </xf>
    <xf numFmtId="0" fontId="14" fillId="0" borderId="8" xfId="0" applyFont="1" applyBorder="1" applyAlignment="1">
      <alignment horizontal="center" vertical="center"/>
    </xf>
    <xf numFmtId="3" fontId="14" fillId="0" borderId="8" xfId="0" applyNumberFormat="1" applyFont="1" applyBorder="1" applyAlignment="1">
      <alignment horizontal="center" vertical="center"/>
    </xf>
    <xf numFmtId="3" fontId="17" fillId="0" borderId="8" xfId="0" applyNumberFormat="1" applyFont="1" applyBorder="1" applyAlignment="1">
      <alignment horizontal="center" vertical="center"/>
    </xf>
    <xf numFmtId="0" fontId="16" fillId="0" borderId="8" xfId="0" applyFont="1" applyBorder="1" applyAlignment="1">
      <alignment horizontal="left" vertical="center"/>
    </xf>
    <xf numFmtId="0" fontId="17" fillId="0" borderId="11" xfId="0" applyFont="1" applyBorder="1" applyAlignment="1">
      <alignment horizontal="left" vertical="center" readingOrder="1"/>
    </xf>
    <xf numFmtId="9" fontId="17" fillId="0" borderId="11" xfId="2" applyFont="1" applyBorder="1" applyAlignment="1">
      <alignment horizontal="left" vertical="center" readingOrder="1"/>
    </xf>
    <xf numFmtId="3" fontId="14" fillId="0" borderId="11" xfId="0" applyNumberFormat="1" applyFont="1" applyBorder="1" applyAlignment="1">
      <alignment horizontal="right" vertical="center"/>
    </xf>
    <xf numFmtId="3" fontId="17" fillId="0" borderId="11" xfId="0" applyNumberFormat="1" applyFont="1" applyBorder="1" applyAlignment="1">
      <alignment horizontal="center" vertical="center"/>
    </xf>
    <xf numFmtId="4" fontId="14" fillId="0" borderId="11" xfId="0" applyNumberFormat="1" applyFont="1" applyBorder="1" applyAlignment="1">
      <alignment horizontal="center" vertical="center"/>
    </xf>
    <xf numFmtId="165" fontId="14" fillId="0" borderId="11" xfId="0" applyNumberFormat="1" applyFont="1" applyBorder="1" applyAlignment="1">
      <alignment horizontal="center" vertical="center"/>
    </xf>
    <xf numFmtId="0" fontId="17" fillId="0" borderId="6" xfId="0" applyFont="1" applyBorder="1" applyAlignment="1">
      <alignment horizontal="left" vertical="center" readingOrder="1"/>
    </xf>
    <xf numFmtId="9" fontId="17" fillId="0" borderId="6" xfId="2" applyFont="1" applyBorder="1" applyAlignment="1">
      <alignment horizontal="left" vertical="center" readingOrder="1"/>
    </xf>
    <xf numFmtId="3" fontId="14" fillId="0" borderId="6" xfId="0" applyNumberFormat="1" applyFont="1" applyBorder="1" applyAlignment="1">
      <alignment horizontal="right" vertical="center"/>
    </xf>
    <xf numFmtId="3" fontId="17" fillId="0" borderId="6" xfId="0" applyNumberFormat="1" applyFont="1" applyBorder="1" applyAlignment="1">
      <alignment horizontal="center" vertical="center"/>
    </xf>
    <xf numFmtId="3" fontId="14" fillId="0" borderId="6" xfId="0" applyNumberFormat="1" applyFont="1" applyBorder="1" applyAlignment="1">
      <alignment horizontal="center" vertical="center"/>
    </xf>
    <xf numFmtId="4" fontId="14" fillId="0" borderId="6" xfId="0" applyNumberFormat="1" applyFont="1" applyBorder="1" applyAlignment="1">
      <alignment horizontal="center" vertical="center"/>
    </xf>
    <xf numFmtId="3" fontId="14" fillId="0" borderId="6" xfId="0" applyNumberFormat="1" applyFont="1" applyBorder="1" applyAlignment="1">
      <alignment vertical="center"/>
    </xf>
    <xf numFmtId="3" fontId="14" fillId="0" borderId="0" xfId="0" applyNumberFormat="1" applyFont="1" applyAlignment="1">
      <alignment vertical="center"/>
    </xf>
    <xf numFmtId="3" fontId="14" fillId="11" borderId="6" xfId="0" applyNumberFormat="1" applyFont="1" applyFill="1" applyBorder="1" applyAlignment="1">
      <alignment horizontal="center" vertical="center"/>
    </xf>
    <xf numFmtId="4" fontId="18" fillId="0" borderId="6" xfId="0" applyNumberFormat="1" applyFont="1" applyBorder="1" applyAlignment="1">
      <alignment horizontal="center" vertical="center"/>
    </xf>
    <xf numFmtId="3" fontId="18" fillId="0" borderId="6" xfId="0" applyNumberFormat="1" applyFont="1" applyBorder="1" applyAlignment="1">
      <alignment horizontal="center" vertical="center"/>
    </xf>
    <xf numFmtId="165" fontId="14" fillId="0" borderId="6" xfId="0" applyNumberFormat="1" applyFont="1" applyBorder="1" applyAlignment="1">
      <alignment horizontal="center" vertical="center"/>
    </xf>
    <xf numFmtId="4" fontId="17" fillId="0" borderId="6" xfId="0" applyNumberFormat="1" applyFont="1" applyBorder="1" applyAlignment="1">
      <alignment horizontal="center" vertical="center"/>
    </xf>
    <xf numFmtId="3" fontId="17" fillId="0" borderId="6" xfId="0" applyNumberFormat="1" applyFont="1" applyBorder="1" applyAlignment="1">
      <alignment vertical="center"/>
    </xf>
    <xf numFmtId="165" fontId="18" fillId="0" borderId="6" xfId="0" applyNumberFormat="1" applyFont="1" applyBorder="1" applyAlignment="1">
      <alignment horizontal="center" vertical="center"/>
    </xf>
    <xf numFmtId="0" fontId="17" fillId="0" borderId="9" xfId="0" applyFont="1" applyBorder="1" applyAlignment="1">
      <alignment horizontal="left" vertical="center" readingOrder="1"/>
    </xf>
    <xf numFmtId="9" fontId="17" fillId="0" borderId="9" xfId="2" applyFont="1" applyBorder="1" applyAlignment="1">
      <alignment horizontal="left" vertical="center" readingOrder="1"/>
    </xf>
    <xf numFmtId="3" fontId="14" fillId="0" borderId="9" xfId="0" applyNumberFormat="1" applyFont="1" applyBorder="1" applyAlignment="1">
      <alignment vertical="center"/>
    </xf>
    <xf numFmtId="3" fontId="17" fillId="0" borderId="9" xfId="0" applyNumberFormat="1" applyFont="1" applyBorder="1" applyAlignment="1">
      <alignment horizontal="center" vertical="center"/>
    </xf>
    <xf numFmtId="3" fontId="14" fillId="0" borderId="9" xfId="0" applyNumberFormat="1" applyFont="1" applyBorder="1" applyAlignment="1">
      <alignment horizontal="center" vertical="center"/>
    </xf>
    <xf numFmtId="0" fontId="16" fillId="0" borderId="0" xfId="0" applyFont="1" applyAlignment="1">
      <alignment horizontal="left" vertical="center" readingOrder="1"/>
    </xf>
    <xf numFmtId="166" fontId="14" fillId="0" borderId="0" xfId="0" applyNumberFormat="1" applyFont="1" applyAlignment="1">
      <alignment horizontal="right" vertical="center"/>
    </xf>
    <xf numFmtId="166" fontId="14" fillId="0" borderId="0" xfId="0" applyNumberFormat="1" applyFont="1" applyAlignment="1">
      <alignment horizontal="center" vertical="center"/>
    </xf>
    <xf numFmtId="3" fontId="14" fillId="0" borderId="0" xfId="0" applyNumberFormat="1" applyFont="1"/>
    <xf numFmtId="4" fontId="5" fillId="2" borderId="6" xfId="0" applyNumberFormat="1" applyFont="1" applyFill="1" applyBorder="1" applyAlignment="1">
      <alignment horizontal="center"/>
    </xf>
    <xf numFmtId="2" fontId="5" fillId="2" borderId="9" xfId="0" applyNumberFormat="1" applyFont="1" applyFill="1" applyBorder="1" applyAlignment="1">
      <alignment horizontal="center"/>
    </xf>
    <xf numFmtId="3" fontId="5" fillId="2" borderId="3" xfId="0" applyNumberFormat="1" applyFont="1" applyFill="1" applyBorder="1" applyAlignment="1">
      <alignment horizontal="center"/>
    </xf>
    <xf numFmtId="3" fontId="5" fillId="3" borderId="6" xfId="0" applyNumberFormat="1" applyFont="1" applyFill="1" applyBorder="1" applyAlignment="1">
      <alignment horizontal="center"/>
    </xf>
    <xf numFmtId="4" fontId="5" fillId="2" borderId="21" xfId="0" applyNumberFormat="1" applyFont="1" applyFill="1" applyBorder="1"/>
    <xf numFmtId="9" fontId="5" fillId="2" borderId="21" xfId="2" applyFont="1" applyFill="1" applyBorder="1" applyAlignment="1">
      <alignment horizontal="center"/>
    </xf>
    <xf numFmtId="4" fontId="5" fillId="2" borderId="21" xfId="0" applyNumberFormat="1" applyFont="1" applyFill="1" applyBorder="1" applyAlignment="1">
      <alignment horizontal="right"/>
    </xf>
    <xf numFmtId="3" fontId="5" fillId="2" borderId="21" xfId="0" applyNumberFormat="1" applyFont="1" applyFill="1" applyBorder="1" applyAlignment="1">
      <alignment horizontal="right"/>
    </xf>
    <xf numFmtId="4" fontId="5" fillId="2" borderId="22" xfId="0" applyNumberFormat="1" applyFont="1" applyFill="1" applyBorder="1" applyAlignment="1">
      <alignment horizontal="right"/>
    </xf>
    <xf numFmtId="4" fontId="5" fillId="2" borderId="23" xfId="0" applyNumberFormat="1" applyFont="1" applyFill="1" applyBorder="1"/>
    <xf numFmtId="9" fontId="5" fillId="2" borderId="23" xfId="2" applyFont="1" applyFill="1" applyBorder="1" applyAlignment="1">
      <alignment horizontal="center"/>
    </xf>
    <xf numFmtId="4" fontId="5" fillId="2" borderId="23" xfId="0" applyNumberFormat="1" applyFont="1" applyFill="1" applyBorder="1" applyAlignment="1">
      <alignment horizontal="right"/>
    </xf>
    <xf numFmtId="3" fontId="5" fillId="2" borderId="19" xfId="0" applyNumberFormat="1" applyFont="1" applyFill="1" applyBorder="1"/>
    <xf numFmtId="165" fontId="5" fillId="2" borderId="22" xfId="0" applyNumberFormat="1" applyFont="1" applyFill="1" applyBorder="1" applyAlignment="1">
      <alignment horizontal="center"/>
    </xf>
    <xf numFmtId="165" fontId="5" fillId="2" borderId="21" xfId="0" applyNumberFormat="1" applyFont="1" applyFill="1" applyBorder="1" applyAlignment="1">
      <alignment horizontal="center"/>
    </xf>
    <xf numFmtId="10" fontId="5" fillId="2" borderId="21" xfId="2" applyNumberFormat="1" applyFont="1" applyFill="1" applyBorder="1" applyAlignment="1">
      <alignment horizontal="center"/>
    </xf>
    <xf numFmtId="10" fontId="5" fillId="2" borderId="20" xfId="2" applyNumberFormat="1" applyFont="1" applyFill="1" applyBorder="1" applyAlignment="1">
      <alignment horizontal="center"/>
    </xf>
    <xf numFmtId="7" fontId="5" fillId="2" borderId="21" xfId="3" applyNumberFormat="1" applyFont="1" applyFill="1" applyBorder="1" applyAlignment="1">
      <alignment horizontal="center"/>
    </xf>
    <xf numFmtId="10" fontId="5" fillId="2" borderId="18" xfId="2" applyNumberFormat="1" applyFont="1" applyFill="1" applyBorder="1" applyAlignment="1">
      <alignment horizontal="center"/>
    </xf>
    <xf numFmtId="4" fontId="5" fillId="2" borderId="18" xfId="0" applyNumberFormat="1" applyFont="1" applyFill="1" applyBorder="1"/>
    <xf numFmtId="166" fontId="5" fillId="2" borderId="51" xfId="0" applyNumberFormat="1" applyFont="1" applyFill="1" applyBorder="1"/>
    <xf numFmtId="0" fontId="4" fillId="4" borderId="50" xfId="0" applyFont="1" applyFill="1" applyBorder="1" applyAlignment="1">
      <alignment horizontal="center" vertical="center"/>
    </xf>
    <xf numFmtId="166" fontId="4" fillId="4" borderId="52" xfId="0" applyNumberFormat="1" applyFont="1" applyFill="1" applyBorder="1" applyAlignment="1">
      <alignment horizontal="center" vertical="center"/>
    </xf>
    <xf numFmtId="9" fontId="5" fillId="2" borderId="51" xfId="2" applyFont="1" applyFill="1" applyBorder="1"/>
    <xf numFmtId="0" fontId="4" fillId="2" borderId="11" xfId="0" applyFont="1" applyFill="1" applyBorder="1"/>
    <xf numFmtId="0" fontId="4" fillId="2" borderId="31" xfId="0" applyFont="1" applyFill="1" applyBorder="1" applyAlignment="1">
      <alignment horizontal="left"/>
    </xf>
    <xf numFmtId="166" fontId="4" fillId="2" borderId="10" xfId="0" applyNumberFormat="1" applyFont="1" applyFill="1" applyBorder="1" applyAlignment="1">
      <alignment horizontal="right"/>
    </xf>
    <xf numFmtId="0" fontId="4" fillId="2" borderId="33" xfId="0" applyFont="1" applyFill="1" applyBorder="1" applyAlignment="1">
      <alignment horizontal="left"/>
    </xf>
    <xf numFmtId="166" fontId="4" fillId="2" borderId="0" xfId="0" applyNumberFormat="1" applyFont="1" applyFill="1" applyAlignment="1">
      <alignment horizontal="right"/>
    </xf>
    <xf numFmtId="0" fontId="4" fillId="2" borderId="35" xfId="0" applyFont="1" applyFill="1" applyBorder="1" applyAlignment="1">
      <alignment horizontal="left"/>
    </xf>
    <xf numFmtId="171" fontId="4" fillId="2" borderId="8" xfId="0" applyNumberFormat="1" applyFont="1" applyFill="1" applyBorder="1" applyAlignment="1">
      <alignment horizontal="right"/>
    </xf>
    <xf numFmtId="166" fontId="4" fillId="2" borderId="32" xfId="0" applyNumberFormat="1" applyFont="1" applyFill="1" applyBorder="1" applyAlignment="1">
      <alignment horizontal="right"/>
    </xf>
    <xf numFmtId="166" fontId="4" fillId="2" borderId="34" xfId="0" applyNumberFormat="1" applyFont="1" applyFill="1" applyBorder="1" applyAlignment="1">
      <alignment horizontal="right"/>
    </xf>
    <xf numFmtId="171" fontId="4" fillId="2" borderId="36" xfId="0" applyNumberFormat="1" applyFont="1" applyFill="1" applyBorder="1" applyAlignment="1">
      <alignment horizontal="right"/>
    </xf>
    <xf numFmtId="166" fontId="4" fillId="13" borderId="33" xfId="0" applyNumberFormat="1" applyFont="1" applyFill="1" applyBorder="1"/>
    <xf numFmtId="10" fontId="4" fillId="13" borderId="34" xfId="2" applyNumberFormat="1" applyFont="1" applyFill="1" applyBorder="1" applyAlignment="1">
      <alignment horizontal="center"/>
    </xf>
    <xf numFmtId="171" fontId="4" fillId="13" borderId="35" xfId="0" applyNumberFormat="1" applyFont="1" applyFill="1" applyBorder="1"/>
    <xf numFmtId="0" fontId="5" fillId="13" borderId="34" xfId="0" applyFont="1" applyFill="1" applyBorder="1"/>
    <xf numFmtId="0" fontId="5" fillId="13" borderId="36" xfId="0" applyFont="1" applyFill="1" applyBorder="1"/>
    <xf numFmtId="0" fontId="4" fillId="13" borderId="37" xfId="0" applyFont="1" applyFill="1" applyBorder="1" applyAlignment="1">
      <alignment horizontal="centerContinuous"/>
    </xf>
    <xf numFmtId="0" fontId="5" fillId="13" borderId="38" xfId="0" applyFont="1" applyFill="1" applyBorder="1" applyAlignment="1">
      <alignment horizontal="centerContinuous"/>
    </xf>
    <xf numFmtId="0" fontId="19" fillId="12" borderId="31" xfId="0" applyFont="1" applyFill="1" applyBorder="1" applyAlignment="1">
      <alignment horizontal="centerContinuous" vertical="center"/>
    </xf>
    <xf numFmtId="0" fontId="19" fillId="12" borderId="10" xfId="0" applyFont="1" applyFill="1" applyBorder="1" applyAlignment="1">
      <alignment horizontal="centerContinuous" vertical="center"/>
    </xf>
    <xf numFmtId="0" fontId="19" fillId="12" borderId="10" xfId="0" applyFont="1" applyFill="1" applyBorder="1" applyAlignment="1">
      <alignment horizontal="centerContinuous" vertical="center" readingOrder="1"/>
    </xf>
    <xf numFmtId="0" fontId="19" fillId="12" borderId="32" xfId="0" applyFont="1" applyFill="1" applyBorder="1" applyAlignment="1">
      <alignment horizontal="centerContinuous" vertical="center" readingOrder="1"/>
    </xf>
    <xf numFmtId="0" fontId="4" fillId="4" borderId="37" xfId="0" applyFont="1" applyFill="1" applyBorder="1" applyAlignment="1">
      <alignment horizontal="centerContinuous"/>
    </xf>
    <xf numFmtId="0" fontId="4" fillId="4" borderId="38" xfId="0" applyFont="1" applyFill="1" applyBorder="1" applyAlignment="1">
      <alignment horizontal="centerContinuous"/>
    </xf>
    <xf numFmtId="0" fontId="4" fillId="2" borderId="45" xfId="0" applyFont="1" applyFill="1" applyBorder="1"/>
    <xf numFmtId="0" fontId="4" fillId="2" borderId="54" xfId="0" applyFont="1" applyFill="1" applyBorder="1" applyAlignment="1">
      <alignment horizontal="center"/>
    </xf>
    <xf numFmtId="0" fontId="4" fillId="2" borderId="39" xfId="0" applyFont="1" applyFill="1" applyBorder="1"/>
    <xf numFmtId="9" fontId="5" fillId="2" borderId="55" xfId="2" applyFont="1" applyFill="1" applyBorder="1" applyAlignment="1">
      <alignment horizontal="center"/>
    </xf>
    <xf numFmtId="9" fontId="5" fillId="2" borderId="40" xfId="2" applyFont="1" applyFill="1" applyBorder="1" applyAlignment="1">
      <alignment horizontal="center"/>
    </xf>
    <xf numFmtId="9" fontId="5" fillId="2" borderId="56" xfId="2" applyFont="1" applyFill="1" applyBorder="1" applyAlignment="1">
      <alignment horizontal="center"/>
    </xf>
    <xf numFmtId="9" fontId="4" fillId="4" borderId="36" xfId="2" applyFont="1" applyFill="1" applyBorder="1" applyAlignment="1">
      <alignment horizontal="center"/>
    </xf>
    <xf numFmtId="175" fontId="5" fillId="2" borderId="0" xfId="2" applyNumberFormat="1" applyFont="1" applyFill="1" applyBorder="1"/>
    <xf numFmtId="0" fontId="5" fillId="2" borderId="40" xfId="0" applyFont="1" applyFill="1" applyBorder="1" applyAlignment="1">
      <alignment horizontal="center"/>
    </xf>
    <xf numFmtId="0" fontId="5" fillId="2" borderId="33" xfId="0" applyFont="1" applyFill="1" applyBorder="1" applyAlignment="1">
      <alignment horizontal="center"/>
    </xf>
    <xf numFmtId="2" fontId="5" fillId="2" borderId="44" xfId="0" applyNumberFormat="1" applyFont="1" applyFill="1" applyBorder="1" applyAlignment="1">
      <alignment horizontal="center"/>
    </xf>
    <xf numFmtId="0" fontId="5" fillId="2" borderId="35" xfId="0" applyFont="1" applyFill="1" applyBorder="1" applyAlignment="1">
      <alignment horizontal="center"/>
    </xf>
    <xf numFmtId="0" fontId="5" fillId="2" borderId="8" xfId="0" applyFont="1" applyFill="1" applyBorder="1" applyAlignment="1">
      <alignment horizontal="center"/>
    </xf>
    <xf numFmtId="0" fontId="4" fillId="2" borderId="8" xfId="0" applyFont="1" applyFill="1" applyBorder="1" applyAlignment="1">
      <alignment horizontal="left" vertical="top" indent="1" readingOrder="1"/>
    </xf>
    <xf numFmtId="0" fontId="4" fillId="2" borderId="36" xfId="0" applyFont="1" applyFill="1" applyBorder="1" applyAlignment="1">
      <alignment horizontal="left" vertical="top" indent="1" readingOrder="1"/>
    </xf>
    <xf numFmtId="0" fontId="5" fillId="2" borderId="48" xfId="0" applyFont="1" applyFill="1" applyBorder="1" applyAlignment="1">
      <alignment horizontal="center"/>
    </xf>
    <xf numFmtId="0" fontId="4" fillId="4" borderId="57" xfId="0" applyFont="1" applyFill="1" applyBorder="1" applyAlignment="1">
      <alignment horizontal="center" vertical="center"/>
    </xf>
    <xf numFmtId="0" fontId="4" fillId="4" borderId="58" xfId="0" applyFont="1" applyFill="1" applyBorder="1" applyAlignment="1">
      <alignment horizontal="center" vertical="center"/>
    </xf>
    <xf numFmtId="0" fontId="4" fillId="4" borderId="58" xfId="0" applyFont="1" applyFill="1" applyBorder="1" applyAlignment="1">
      <alignment horizontal="center" vertical="center" wrapText="1"/>
    </xf>
    <xf numFmtId="0" fontId="4" fillId="4" borderId="38" xfId="0" applyFont="1" applyFill="1" applyBorder="1" applyAlignment="1">
      <alignment horizontal="center" vertical="center"/>
    </xf>
    <xf numFmtId="0" fontId="5" fillId="2" borderId="59" xfId="0" applyFont="1" applyFill="1" applyBorder="1" applyAlignment="1">
      <alignment horizontal="center"/>
    </xf>
    <xf numFmtId="166" fontId="4" fillId="2" borderId="60" xfId="0" applyNumberFormat="1" applyFont="1" applyFill="1" applyBorder="1"/>
    <xf numFmtId="0" fontId="5" fillId="2" borderId="61" xfId="0" applyFont="1" applyFill="1" applyBorder="1" applyAlignment="1">
      <alignment horizontal="center"/>
    </xf>
    <xf numFmtId="0" fontId="5" fillId="2" borderId="62" xfId="0" applyFont="1" applyFill="1" applyBorder="1" applyAlignment="1">
      <alignment horizontal="center"/>
    </xf>
    <xf numFmtId="166" fontId="4" fillId="2" borderId="63" xfId="0" applyNumberFormat="1" applyFont="1" applyFill="1" applyBorder="1"/>
    <xf numFmtId="0" fontId="5" fillId="2" borderId="64" xfId="0" applyFont="1" applyFill="1" applyBorder="1" applyAlignment="1">
      <alignment horizontal="center"/>
    </xf>
    <xf numFmtId="0" fontId="5" fillId="2" borderId="65" xfId="0" applyFont="1" applyFill="1" applyBorder="1" applyAlignment="1">
      <alignment horizontal="center"/>
    </xf>
    <xf numFmtId="0" fontId="5" fillId="2" borderId="66" xfId="0" applyFont="1" applyFill="1" applyBorder="1" applyAlignment="1">
      <alignment horizontal="center"/>
    </xf>
    <xf numFmtId="0" fontId="5" fillId="2" borderId="67" xfId="0" applyFont="1" applyFill="1" applyBorder="1" applyAlignment="1">
      <alignment horizontal="center"/>
    </xf>
    <xf numFmtId="166" fontId="4" fillId="2" borderId="54" xfId="0" applyNumberFormat="1" applyFont="1" applyFill="1" applyBorder="1"/>
    <xf numFmtId="0" fontId="5" fillId="0" borderId="34" xfId="0" applyFont="1" applyBorder="1"/>
    <xf numFmtId="166" fontId="4" fillId="0" borderId="63" xfId="0" applyNumberFormat="1" applyFont="1" applyBorder="1"/>
    <xf numFmtId="0" fontId="5" fillId="4" borderId="68" xfId="0" applyFont="1" applyFill="1" applyBorder="1" applyAlignment="1">
      <alignment horizontal="center"/>
    </xf>
    <xf numFmtId="166" fontId="4" fillId="4" borderId="69" xfId="0" applyNumberFormat="1" applyFont="1" applyFill="1" applyBorder="1"/>
    <xf numFmtId="166" fontId="4" fillId="2" borderId="53" xfId="0" applyNumberFormat="1" applyFont="1" applyFill="1" applyBorder="1"/>
    <xf numFmtId="166" fontId="4" fillId="2" borderId="70" xfId="0" applyNumberFormat="1" applyFont="1" applyFill="1" applyBorder="1"/>
    <xf numFmtId="166" fontId="4" fillId="2" borderId="71" xfId="0" applyNumberFormat="1" applyFont="1" applyFill="1" applyBorder="1"/>
    <xf numFmtId="166" fontId="5" fillId="0" borderId="51" xfId="0" applyNumberFormat="1" applyFont="1" applyBorder="1"/>
    <xf numFmtId="166" fontId="4" fillId="0" borderId="70" xfId="0" applyNumberFormat="1" applyFont="1" applyBorder="1"/>
    <xf numFmtId="166" fontId="4" fillId="4" borderId="72" xfId="0" applyNumberFormat="1" applyFont="1" applyFill="1" applyBorder="1"/>
    <xf numFmtId="9" fontId="4" fillId="2" borderId="53" xfId="2" applyFont="1" applyFill="1" applyBorder="1"/>
    <xf numFmtId="9" fontId="4" fillId="2" borderId="70" xfId="2" applyFont="1" applyFill="1" applyBorder="1"/>
    <xf numFmtId="9" fontId="4" fillId="2" borderId="71" xfId="2" applyFont="1" applyFill="1" applyBorder="1"/>
    <xf numFmtId="9" fontId="5" fillId="0" borderId="51" xfId="2" applyFont="1" applyBorder="1"/>
    <xf numFmtId="9" fontId="4" fillId="0" borderId="70" xfId="2" applyFont="1" applyBorder="1"/>
    <xf numFmtId="9" fontId="4" fillId="4" borderId="72" xfId="2" applyFont="1" applyFill="1" applyBorder="1"/>
    <xf numFmtId="0" fontId="4" fillId="4" borderId="50" xfId="0" applyFont="1" applyFill="1" applyBorder="1" applyAlignment="1">
      <alignment horizontal="centerContinuous" vertical="center"/>
    </xf>
    <xf numFmtId="0" fontId="5" fillId="2" borderId="73" xfId="0" applyFont="1" applyFill="1" applyBorder="1"/>
    <xf numFmtId="0" fontId="5" fillId="2" borderId="74" xfId="0" applyFont="1" applyFill="1" applyBorder="1"/>
    <xf numFmtId="0" fontId="5" fillId="2" borderId="75" xfId="0" applyFont="1" applyFill="1" applyBorder="1"/>
    <xf numFmtId="0" fontId="4" fillId="4" borderId="52" xfId="0" applyFont="1" applyFill="1" applyBorder="1" applyAlignment="1">
      <alignment horizontal="center" vertical="center"/>
    </xf>
    <xf numFmtId="0" fontId="4" fillId="2" borderId="76" xfId="0" applyFont="1" applyFill="1" applyBorder="1" applyAlignment="1">
      <alignment horizontal="left" vertical="top" indent="1" readingOrder="1"/>
    </xf>
    <xf numFmtId="0" fontId="5" fillId="2" borderId="51" xfId="0" applyFont="1" applyFill="1" applyBorder="1" applyAlignment="1">
      <alignment horizontal="left" vertical="top" indent="3" readingOrder="1"/>
    </xf>
    <xf numFmtId="0" fontId="4" fillId="2" borderId="77" xfId="0" applyFont="1" applyFill="1" applyBorder="1" applyAlignment="1">
      <alignment horizontal="left" vertical="top" indent="1" readingOrder="1"/>
    </xf>
    <xf numFmtId="0" fontId="5" fillId="2" borderId="71" xfId="0" applyFont="1" applyFill="1" applyBorder="1" applyAlignment="1">
      <alignment horizontal="left" vertical="top" indent="3" readingOrder="1"/>
    </xf>
    <xf numFmtId="0" fontId="5" fillId="2" borderId="73" xfId="0" applyFont="1" applyFill="1" applyBorder="1" applyAlignment="1">
      <alignment horizontal="left" vertical="top" indent="3" readingOrder="1"/>
    </xf>
    <xf numFmtId="0" fontId="5" fillId="2" borderId="74" xfId="0" applyFont="1" applyFill="1" applyBorder="1" applyAlignment="1">
      <alignment horizontal="left" vertical="top" indent="3" readingOrder="1"/>
    </xf>
    <xf numFmtId="0" fontId="5" fillId="2" borderId="78" xfId="0" applyFont="1" applyFill="1" applyBorder="1" applyAlignment="1">
      <alignment horizontal="left" vertical="top" indent="3" readingOrder="1"/>
    </xf>
    <xf numFmtId="0" fontId="5" fillId="0" borderId="74" xfId="0" applyFont="1" applyBorder="1" applyAlignment="1">
      <alignment horizontal="left" vertical="top" indent="3" readingOrder="1"/>
    </xf>
    <xf numFmtId="0" fontId="5" fillId="0" borderId="73" xfId="0" applyFont="1" applyBorder="1" applyAlignment="1">
      <alignment horizontal="left" vertical="top" indent="3" readingOrder="1"/>
    </xf>
    <xf numFmtId="0" fontId="5" fillId="9" borderId="74" xfId="0" applyFont="1" applyFill="1" applyBorder="1" applyAlignment="1">
      <alignment horizontal="left" vertical="top" indent="3" readingOrder="1"/>
    </xf>
    <xf numFmtId="0" fontId="2" fillId="2" borderId="74" xfId="0" applyFont="1" applyFill="1" applyBorder="1" applyAlignment="1">
      <alignment horizontal="left" vertical="top" indent="3" readingOrder="1"/>
    </xf>
    <xf numFmtId="49" fontId="5" fillId="2" borderId="74" xfId="0" applyNumberFormat="1" applyFont="1" applyFill="1" applyBorder="1" applyAlignment="1">
      <alignment horizontal="left" vertical="top" indent="3" readingOrder="1"/>
    </xf>
    <xf numFmtId="0" fontId="4" fillId="4" borderId="72" xfId="0" applyFont="1" applyFill="1" applyBorder="1" applyAlignment="1">
      <alignment horizontal="left" vertical="top" readingOrder="1"/>
    </xf>
    <xf numFmtId="3" fontId="5" fillId="2" borderId="21" xfId="0" applyNumberFormat="1" applyFont="1" applyFill="1" applyBorder="1"/>
    <xf numFmtId="0" fontId="2" fillId="2" borderId="11" xfId="0" applyFont="1" applyFill="1" applyBorder="1" applyAlignment="1">
      <alignment horizontal="left" vertical="top" indent="3" readingOrder="1"/>
    </xf>
    <xf numFmtId="176" fontId="5" fillId="2" borderId="6" xfId="0" applyNumberFormat="1" applyFont="1" applyFill="1" applyBorder="1"/>
    <xf numFmtId="166" fontId="21" fillId="2" borderId="13" xfId="0" applyNumberFormat="1" applyFont="1" applyFill="1" applyBorder="1"/>
    <xf numFmtId="0" fontId="5" fillId="3" borderId="6" xfId="0" applyFont="1" applyFill="1" applyBorder="1"/>
    <xf numFmtId="166" fontId="5" fillId="3" borderId="6" xfId="0" applyNumberFormat="1" applyFont="1" applyFill="1" applyBorder="1"/>
    <xf numFmtId="0" fontId="5" fillId="3" borderId="11" xfId="0" applyFont="1" applyFill="1" applyBorder="1"/>
    <xf numFmtId="44" fontId="5" fillId="3" borderId="6" xfId="3" applyFont="1" applyFill="1" applyBorder="1"/>
    <xf numFmtId="0" fontId="5" fillId="3" borderId="0" xfId="0" applyFont="1" applyFill="1"/>
    <xf numFmtId="3" fontId="13" fillId="2" borderId="21" xfId="0" applyNumberFormat="1" applyFont="1" applyFill="1" applyBorder="1" applyAlignment="1">
      <alignment horizontal="right"/>
    </xf>
    <xf numFmtId="0" fontId="13" fillId="2" borderId="6" xfId="0" applyFont="1" applyFill="1" applyBorder="1"/>
    <xf numFmtId="3" fontId="13" fillId="2" borderId="22" xfId="0" applyNumberFormat="1" applyFont="1" applyFill="1" applyBorder="1"/>
    <xf numFmtId="0" fontId="5" fillId="2" borderId="0" xfId="0" applyFont="1" applyFill="1" applyAlignment="1">
      <alignment horizontal="right"/>
    </xf>
    <xf numFmtId="167" fontId="5" fillId="2" borderId="0" xfId="1" applyNumberFormat="1" applyFont="1" applyFill="1"/>
    <xf numFmtId="0" fontId="17" fillId="2" borderId="6" xfId="0" applyFont="1" applyFill="1" applyBorder="1" applyAlignment="1">
      <alignment horizontal="left" vertical="center" readingOrder="1"/>
    </xf>
    <xf numFmtId="9" fontId="17" fillId="2" borderId="6" xfId="2" applyFont="1" applyFill="1" applyBorder="1" applyAlignment="1">
      <alignment horizontal="left" vertical="center" readingOrder="1"/>
    </xf>
    <xf numFmtId="3" fontId="14" fillId="2" borderId="6" xfId="0" applyNumberFormat="1" applyFont="1" applyFill="1" applyBorder="1" applyAlignment="1">
      <alignment horizontal="right" vertical="center"/>
    </xf>
    <xf numFmtId="3" fontId="17" fillId="2" borderId="6" xfId="0" applyNumberFormat="1" applyFont="1" applyFill="1" applyBorder="1" applyAlignment="1">
      <alignment horizontal="center" vertical="center"/>
    </xf>
    <xf numFmtId="3" fontId="18" fillId="2" borderId="6" xfId="0" applyNumberFormat="1" applyFont="1" applyFill="1" applyBorder="1" applyAlignment="1">
      <alignment horizontal="center" vertical="center"/>
    </xf>
    <xf numFmtId="3" fontId="14" fillId="2" borderId="6" xfId="0" applyNumberFormat="1" applyFont="1" applyFill="1" applyBorder="1" applyAlignment="1">
      <alignment horizontal="center" vertical="center"/>
    </xf>
    <xf numFmtId="0" fontId="13" fillId="2" borderId="0" xfId="0" applyFont="1" applyFill="1"/>
    <xf numFmtId="3" fontId="13" fillId="14" borderId="22" xfId="0" applyNumberFormat="1" applyFont="1" applyFill="1" applyBorder="1"/>
    <xf numFmtId="176" fontId="5" fillId="2" borderId="0" xfId="0" applyNumberFormat="1" applyFont="1" applyFill="1"/>
    <xf numFmtId="170" fontId="5" fillId="2" borderId="0" xfId="3" applyNumberFormat="1" applyFont="1" applyFill="1"/>
    <xf numFmtId="0" fontId="22" fillId="2" borderId="0" xfId="0" applyFont="1" applyFill="1"/>
    <xf numFmtId="0" fontId="23" fillId="2" borderId="0" xfId="0" applyFont="1" applyFill="1"/>
    <xf numFmtId="166" fontId="23" fillId="2" borderId="0" xfId="0" applyNumberFormat="1" applyFont="1" applyFill="1"/>
    <xf numFmtId="0" fontId="22" fillId="4" borderId="37" xfId="0" applyFont="1" applyFill="1" applyBorder="1" applyAlignment="1">
      <alignment horizontal="centerContinuous"/>
    </xf>
    <xf numFmtId="0" fontId="22" fillId="4" borderId="1" xfId="0" applyFont="1" applyFill="1" applyBorder="1" applyAlignment="1">
      <alignment horizontal="centerContinuous"/>
    </xf>
    <xf numFmtId="0" fontId="22" fillId="4" borderId="38" xfId="0" applyFont="1" applyFill="1" applyBorder="1" applyAlignment="1">
      <alignment horizontal="centerContinuous"/>
    </xf>
    <xf numFmtId="0" fontId="22" fillId="2" borderId="45" xfId="0" applyFont="1" applyFill="1" applyBorder="1"/>
    <xf numFmtId="0" fontId="23" fillId="2" borderId="3" xfId="0" applyFont="1" applyFill="1" applyBorder="1" applyAlignment="1">
      <alignment horizontal="center"/>
    </xf>
    <xf numFmtId="0" fontId="22" fillId="2" borderId="4" xfId="0" applyFont="1" applyFill="1" applyBorder="1" applyAlignment="1">
      <alignment horizontal="left"/>
    </xf>
    <xf numFmtId="0" fontId="22" fillId="2" borderId="4" xfId="0" applyFont="1" applyFill="1" applyBorder="1" applyAlignment="1">
      <alignment horizontal="center"/>
    </xf>
    <xf numFmtId="0" fontId="22" fillId="2" borderId="54" xfId="0" applyFont="1" applyFill="1" applyBorder="1" applyAlignment="1">
      <alignment horizontal="center"/>
    </xf>
    <xf numFmtId="0" fontId="22" fillId="2" borderId="39" xfId="0" applyFont="1" applyFill="1" applyBorder="1"/>
    <xf numFmtId="0" fontId="23" fillId="2" borderId="6" xfId="0" applyFont="1" applyFill="1" applyBorder="1" applyAlignment="1">
      <alignment horizontal="center"/>
    </xf>
    <xf numFmtId="0" fontId="23" fillId="2" borderId="5" xfId="0" applyFont="1" applyFill="1" applyBorder="1" applyAlignment="1">
      <alignment horizontal="left" indent="1"/>
    </xf>
    <xf numFmtId="0" fontId="23" fillId="2" borderId="5" xfId="0" applyFont="1" applyFill="1" applyBorder="1" applyAlignment="1">
      <alignment horizontal="center"/>
    </xf>
    <xf numFmtId="9" fontId="23" fillId="2" borderId="55" xfId="2" applyFont="1" applyFill="1" applyBorder="1" applyAlignment="1">
      <alignment horizontal="center"/>
    </xf>
    <xf numFmtId="0" fontId="23" fillId="2" borderId="6" xfId="0" applyFont="1" applyFill="1" applyBorder="1" applyAlignment="1">
      <alignment horizontal="left" indent="1"/>
    </xf>
    <xf numFmtId="9" fontId="23" fillId="2" borderId="40" xfId="2" applyFont="1" applyFill="1" applyBorder="1" applyAlignment="1">
      <alignment horizontal="center"/>
    </xf>
    <xf numFmtId="164" fontId="23" fillId="2" borderId="6" xfId="0" applyNumberFormat="1" applyFont="1" applyFill="1" applyBorder="1" applyAlignment="1">
      <alignment horizontal="center"/>
    </xf>
    <xf numFmtId="0" fontId="23" fillId="2" borderId="7" xfId="0" applyFont="1" applyFill="1" applyBorder="1" applyAlignment="1">
      <alignment horizontal="left" indent="1"/>
    </xf>
    <xf numFmtId="0" fontId="23" fillId="2" borderId="7" xfId="0" applyFont="1" applyFill="1" applyBorder="1" applyAlignment="1">
      <alignment horizontal="center"/>
    </xf>
    <xf numFmtId="9" fontId="23" fillId="2" borderId="56" xfId="2" applyFont="1" applyFill="1" applyBorder="1" applyAlignment="1">
      <alignment horizontal="center"/>
    </xf>
    <xf numFmtId="3" fontId="23" fillId="2" borderId="6" xfId="0" applyNumberFormat="1" applyFont="1" applyFill="1" applyBorder="1" applyAlignment="1">
      <alignment horizontal="center"/>
    </xf>
    <xf numFmtId="0" fontId="22" fillId="4" borderId="8" xfId="0" applyFont="1" applyFill="1" applyBorder="1" applyAlignment="1">
      <alignment horizontal="left"/>
    </xf>
    <xf numFmtId="0" fontId="22" fillId="4" borderId="8" xfId="0" applyFont="1" applyFill="1" applyBorder="1" applyAlignment="1">
      <alignment horizontal="center"/>
    </xf>
    <xf numFmtId="9" fontId="22" fillId="4" borderId="36" xfId="2" applyFont="1" applyFill="1" applyBorder="1" applyAlignment="1">
      <alignment horizontal="center"/>
    </xf>
    <xf numFmtId="4" fontId="23" fillId="2" borderId="6" xfId="0" applyNumberFormat="1" applyFont="1" applyFill="1" applyBorder="1" applyAlignment="1">
      <alignment horizontal="center"/>
    </xf>
    <xf numFmtId="0" fontId="22" fillId="2" borderId="11" xfId="0" applyFont="1" applyFill="1" applyBorder="1"/>
    <xf numFmtId="0" fontId="23" fillId="2" borderId="11" xfId="0" applyFont="1" applyFill="1" applyBorder="1"/>
    <xf numFmtId="0" fontId="23" fillId="2" borderId="48" xfId="0" applyFont="1" applyFill="1" applyBorder="1" applyAlignment="1">
      <alignment horizontal="center"/>
    </xf>
    <xf numFmtId="175" fontId="23" fillId="2" borderId="0" xfId="2" applyNumberFormat="1" applyFont="1" applyFill="1" applyBorder="1"/>
    <xf numFmtId="0" fontId="22" fillId="2" borderId="6" xfId="0" applyFont="1" applyFill="1" applyBorder="1"/>
    <xf numFmtId="0" fontId="23" fillId="2" borderId="6" xfId="0" applyFont="1" applyFill="1" applyBorder="1"/>
    <xf numFmtId="0" fontId="23" fillId="2" borderId="40" xfId="0" applyFont="1" applyFill="1" applyBorder="1" applyAlignment="1">
      <alignment horizontal="center"/>
    </xf>
    <xf numFmtId="0" fontId="23" fillId="2" borderId="33" xfId="0" applyFont="1" applyFill="1" applyBorder="1"/>
    <xf numFmtId="0" fontId="23" fillId="2" borderId="33" xfId="0" applyFont="1" applyFill="1" applyBorder="1" applyAlignment="1">
      <alignment horizontal="center"/>
    </xf>
    <xf numFmtId="0" fontId="23" fillId="2" borderId="0" xfId="0" applyFont="1" applyFill="1" applyAlignment="1">
      <alignment horizontal="center"/>
    </xf>
    <xf numFmtId="0" fontId="22" fillId="13" borderId="37" xfId="0" applyFont="1" applyFill="1" applyBorder="1" applyAlignment="1">
      <alignment horizontal="centerContinuous"/>
    </xf>
    <xf numFmtId="0" fontId="23" fillId="13" borderId="38" xfId="0" applyFont="1" applyFill="1" applyBorder="1" applyAlignment="1">
      <alignment horizontal="centerContinuous"/>
    </xf>
    <xf numFmtId="0" fontId="22" fillId="2" borderId="31" xfId="0" applyFont="1" applyFill="1" applyBorder="1" applyAlignment="1">
      <alignment horizontal="left"/>
    </xf>
    <xf numFmtId="166" fontId="22" fillId="2" borderId="32" xfId="0" applyNumberFormat="1" applyFont="1" applyFill="1" applyBorder="1" applyAlignment="1">
      <alignment horizontal="right"/>
    </xf>
    <xf numFmtId="166" fontId="22" fillId="2" borderId="10" xfId="0" applyNumberFormat="1" applyFont="1" applyFill="1" applyBorder="1" applyAlignment="1">
      <alignment horizontal="right"/>
    </xf>
    <xf numFmtId="166" fontId="22" fillId="13" borderId="33" xfId="0" applyNumberFormat="1" applyFont="1" applyFill="1" applyBorder="1"/>
    <xf numFmtId="10" fontId="22" fillId="13" borderId="34" xfId="2" applyNumberFormat="1" applyFont="1" applyFill="1" applyBorder="1" applyAlignment="1">
      <alignment horizontal="center"/>
    </xf>
    <xf numFmtId="0" fontId="22" fillId="2" borderId="33" xfId="0" applyFont="1" applyFill="1" applyBorder="1" applyAlignment="1">
      <alignment horizontal="left"/>
    </xf>
    <xf numFmtId="166" fontId="22" fillId="2" borderId="34" xfId="0" applyNumberFormat="1" applyFont="1" applyFill="1" applyBorder="1" applyAlignment="1">
      <alignment horizontal="right"/>
    </xf>
    <xf numFmtId="166" fontId="22" fillId="2" borderId="0" xfId="0" applyNumberFormat="1" applyFont="1" applyFill="1" applyAlignment="1">
      <alignment horizontal="right"/>
    </xf>
    <xf numFmtId="0" fontId="23" fillId="13" borderId="34" xfId="0" applyFont="1" applyFill="1" applyBorder="1"/>
    <xf numFmtId="0" fontId="22" fillId="2" borderId="35" xfId="0" applyFont="1" applyFill="1" applyBorder="1" applyAlignment="1">
      <alignment horizontal="left"/>
    </xf>
    <xf numFmtId="171" fontId="22" fillId="2" borderId="36" xfId="0" applyNumberFormat="1" applyFont="1" applyFill="1" applyBorder="1" applyAlignment="1">
      <alignment horizontal="right"/>
    </xf>
    <xf numFmtId="0" fontId="22" fillId="2" borderId="9" xfId="0" applyFont="1" applyFill="1" applyBorder="1"/>
    <xf numFmtId="0" fontId="23" fillId="2" borderId="9" xfId="0" applyFont="1" applyFill="1" applyBorder="1"/>
    <xf numFmtId="2" fontId="23" fillId="2" borderId="44" xfId="0" applyNumberFormat="1" applyFont="1" applyFill="1" applyBorder="1" applyAlignment="1">
      <alignment horizontal="center"/>
    </xf>
    <xf numFmtId="171" fontId="22" fillId="2" borderId="8" xfId="0" applyNumberFormat="1" applyFont="1" applyFill="1" applyBorder="1" applyAlignment="1">
      <alignment horizontal="right"/>
    </xf>
    <xf numFmtId="171" fontId="22" fillId="13" borderId="35" xfId="0" applyNumberFormat="1" applyFont="1" applyFill="1" applyBorder="1"/>
    <xf numFmtId="0" fontId="23" fillId="13" borderId="36" xfId="0" applyFont="1" applyFill="1" applyBorder="1"/>
    <xf numFmtId="0" fontId="22" fillId="4" borderId="50" xfId="0" applyFont="1" applyFill="1" applyBorder="1" applyAlignment="1">
      <alignment horizontal="center" vertical="center"/>
    </xf>
    <xf numFmtId="0" fontId="23" fillId="2" borderId="35" xfId="0" applyFont="1" applyFill="1" applyBorder="1"/>
    <xf numFmtId="0" fontId="23" fillId="2" borderId="8" xfId="0" applyFont="1" applyFill="1" applyBorder="1"/>
    <xf numFmtId="0" fontId="23" fillId="2" borderId="36" xfId="0" applyFont="1" applyFill="1" applyBorder="1"/>
    <xf numFmtId="0" fontId="23" fillId="2" borderId="35" xfId="0" applyFont="1" applyFill="1" applyBorder="1" applyAlignment="1">
      <alignment horizontal="center"/>
    </xf>
    <xf numFmtId="0" fontId="23" fillId="2" borderId="8" xfId="0" applyFont="1" applyFill="1" applyBorder="1" applyAlignment="1">
      <alignment horizontal="center"/>
    </xf>
    <xf numFmtId="0" fontId="22" fillId="2" borderId="8" xfId="0" applyFont="1" applyFill="1" applyBorder="1" applyAlignment="1">
      <alignment horizontal="left" vertical="top" indent="1" readingOrder="1"/>
    </xf>
    <xf numFmtId="0" fontId="22" fillId="2" borderId="36" xfId="0" applyFont="1" applyFill="1" applyBorder="1" applyAlignment="1">
      <alignment horizontal="left" vertical="top" indent="1" readingOrder="1"/>
    </xf>
    <xf numFmtId="166" fontId="23" fillId="2" borderId="51" xfId="0" applyNumberFormat="1" applyFont="1" applyFill="1" applyBorder="1"/>
    <xf numFmtId="9" fontId="23" fillId="2" borderId="51" xfId="2" applyFont="1" applyFill="1" applyBorder="1"/>
    <xf numFmtId="0" fontId="24" fillId="12" borderId="31" xfId="0" applyFont="1" applyFill="1" applyBorder="1" applyAlignment="1">
      <alignment horizontal="centerContinuous" vertical="center"/>
    </xf>
    <xf numFmtId="0" fontId="24" fillId="12" borderId="32" xfId="0" applyFont="1" applyFill="1" applyBorder="1" applyAlignment="1">
      <alignment horizontal="centerContinuous" vertical="center" readingOrder="1"/>
    </xf>
    <xf numFmtId="0" fontId="25" fillId="2" borderId="0" xfId="0" applyFont="1" applyFill="1"/>
    <xf numFmtId="0" fontId="24" fillId="12" borderId="10" xfId="0" applyFont="1" applyFill="1" applyBorder="1" applyAlignment="1">
      <alignment horizontal="centerContinuous" vertical="center"/>
    </xf>
    <xf numFmtId="0" fontId="24" fillId="12" borderId="10" xfId="0" applyFont="1" applyFill="1" applyBorder="1" applyAlignment="1">
      <alignment horizontal="centerContinuous" vertical="center" readingOrder="1"/>
    </xf>
    <xf numFmtId="0" fontId="26" fillId="2" borderId="0" xfId="0" applyFont="1" applyFill="1"/>
    <xf numFmtId="166" fontId="26" fillId="2" borderId="0" xfId="0" applyNumberFormat="1" applyFont="1" applyFill="1"/>
    <xf numFmtId="0" fontId="22" fillId="2" borderId="33" xfId="0" applyFont="1" applyFill="1" applyBorder="1" applyAlignment="1">
      <alignment horizontal="centerContinuous"/>
    </xf>
    <xf numFmtId="0" fontId="22" fillId="2" borderId="34" xfId="0" applyFont="1" applyFill="1" applyBorder="1" applyAlignment="1">
      <alignment horizontal="centerContinuous"/>
    </xf>
    <xf numFmtId="0" fontId="22" fillId="2" borderId="33" xfId="0" applyFont="1" applyFill="1" applyBorder="1" applyAlignment="1">
      <alignment horizontal="center"/>
    </xf>
    <xf numFmtId="0" fontId="22" fillId="2" borderId="34" xfId="0" applyFont="1" applyFill="1" applyBorder="1" applyAlignment="1">
      <alignment horizontal="center"/>
    </xf>
    <xf numFmtId="9" fontId="23" fillId="2" borderId="33" xfId="2" applyFont="1" applyFill="1" applyBorder="1" applyAlignment="1">
      <alignment horizontal="center"/>
    </xf>
    <xf numFmtId="9" fontId="23" fillId="2" borderId="34" xfId="2" applyFont="1" applyFill="1" applyBorder="1" applyAlignment="1">
      <alignment horizontal="center"/>
    </xf>
    <xf numFmtId="9" fontId="22" fillId="2" borderId="33" xfId="2" applyFont="1" applyFill="1" applyBorder="1" applyAlignment="1">
      <alignment horizontal="center"/>
    </xf>
    <xf numFmtId="9" fontId="22" fillId="2" borderId="34" xfId="2" applyFont="1" applyFill="1" applyBorder="1" applyAlignment="1">
      <alignment horizontal="center"/>
    </xf>
    <xf numFmtId="0" fontId="23" fillId="2" borderId="34" xfId="0" applyFont="1" applyFill="1" applyBorder="1" applyAlignment="1">
      <alignment horizontal="center"/>
    </xf>
    <xf numFmtId="2" fontId="23" fillId="2" borderId="33" xfId="0" applyNumberFormat="1" applyFont="1" applyFill="1" applyBorder="1" applyAlignment="1">
      <alignment horizontal="center"/>
    </xf>
    <xf numFmtId="2" fontId="23" fillId="2" borderId="34" xfId="0" applyNumberFormat="1" applyFont="1" applyFill="1" applyBorder="1" applyAlignment="1">
      <alignment horizontal="center"/>
    </xf>
    <xf numFmtId="166" fontId="5" fillId="2" borderId="34" xfId="0" applyNumberFormat="1" applyFont="1" applyFill="1" applyBorder="1"/>
    <xf numFmtId="0" fontId="5" fillId="2" borderId="51" xfId="0" applyFont="1" applyFill="1" applyBorder="1"/>
    <xf numFmtId="0" fontId="5" fillId="0" borderId="51" xfId="0" applyFont="1" applyBorder="1"/>
    <xf numFmtId="44" fontId="5" fillId="2" borderId="0" xfId="3" applyFont="1" applyFill="1"/>
    <xf numFmtId="0" fontId="5" fillId="2" borderId="79" xfId="0" applyFont="1" applyFill="1" applyBorder="1" applyAlignment="1">
      <alignment horizontal="center"/>
    </xf>
    <xf numFmtId="9" fontId="5" fillId="2" borderId="80" xfId="2" applyFont="1" applyFill="1" applyBorder="1" applyAlignment="1">
      <alignment horizontal="center"/>
    </xf>
    <xf numFmtId="0" fontId="5" fillId="15" borderId="6" xfId="0" applyFont="1" applyFill="1" applyBorder="1"/>
    <xf numFmtId="0" fontId="10" fillId="0" borderId="6" xfId="0" applyFont="1" applyBorder="1" applyAlignment="1">
      <alignment horizontal="left" wrapText="1"/>
    </xf>
    <xf numFmtId="0" fontId="22" fillId="5" borderId="76" xfId="0" applyFont="1" applyFill="1" applyBorder="1" applyAlignment="1">
      <alignment horizontal="center" vertical="center"/>
    </xf>
    <xf numFmtId="0" fontId="22" fillId="5" borderId="51" xfId="0" applyFont="1" applyFill="1" applyBorder="1" applyAlignment="1">
      <alignment horizontal="center" vertical="center"/>
    </xf>
    <xf numFmtId="0" fontId="24" fillId="12" borderId="31" xfId="0" applyFont="1" applyFill="1" applyBorder="1" applyAlignment="1">
      <alignment horizontal="center" vertical="center" readingOrder="1"/>
    </xf>
    <xf numFmtId="0" fontId="24" fillId="12" borderId="32" xfId="0" applyFont="1" applyFill="1" applyBorder="1" applyAlignment="1">
      <alignment horizontal="center" vertical="center" readingOrder="1"/>
    </xf>
    <xf numFmtId="0" fontId="20" fillId="5" borderId="76" xfId="0" applyFont="1" applyFill="1" applyBorder="1" applyAlignment="1">
      <alignment horizontal="center" vertical="center"/>
    </xf>
    <xf numFmtId="0" fontId="20" fillId="5" borderId="51" xfId="0" applyFont="1" applyFill="1" applyBorder="1" applyAlignment="1">
      <alignment horizontal="center" vertical="center"/>
    </xf>
  </cellXfs>
  <cellStyles count="4">
    <cellStyle name="Comma" xfId="1" builtinId="3"/>
    <cellStyle name="Currency" xfId="3" builtinId="4"/>
    <cellStyle name="Normal" xfId="0" builtinId="0"/>
    <cellStyle name="Percent" xfId="2" builtinId="5"/>
  </cellStyles>
  <dxfs count="163">
    <dxf>
      <numFmt numFmtId="170" formatCode="_(&quot;$&quot;* #,##0_);_(&quot;$&quot;* \(#,##0\);_(&quot;$&quot;* &quot;-&quot;??_);_(@_)"/>
    </dxf>
    <dxf>
      <numFmt numFmtId="168" formatCode="_(&quot;$&quot;* #,##0.0_);_(&quot;$&quot;* \(#,##0.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auto="1"/>
        <name val="Aptos Narrow"/>
        <family val="2"/>
        <scheme val="minor"/>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6"/>
      </font>
    </dxf>
    <dxf>
      <font>
        <color rgb="FFFF0000"/>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font>
      <fill>
        <patternFill>
          <bgColor rgb="FFFF0000"/>
        </patternFill>
      </fill>
    </dxf>
    <dxf>
      <fill>
        <patternFill>
          <bgColor rgb="FFFF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0000"/>
        </patternFill>
      </fill>
    </dxf>
    <dxf>
      <font>
        <color auto="1"/>
      </font>
      <fill>
        <patternFill>
          <bgColor rgb="FFFF0000"/>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16"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66" Type="http://schemas.openxmlformats.org/officeDocument/2006/relationships/externalLink" Target="externalLinks/externalLink54.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49.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56" Type="http://schemas.openxmlformats.org/officeDocument/2006/relationships/externalLink" Target="externalLinks/externalLink44.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1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WINNT\Profiles\Charrison\Local%20Settings\Temporary%20Internet%20Files\OLKF\Accrexp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SSHORE\1996\96CAMEX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20-%20PRODUCTION\GM\Closed\Colorado%20&amp;%20Stewart%20Creative%20Office\Underwriting\AVI-JV-PROFORM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VestaCalc%202006_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210\Corp%20File%20Share\A%20-%20PRODUCTION\GM\Closed\Colorado%20&amp;%20Stewart%20Creative%20Office\Underwriting\AVI-JV-PROFORM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ref-ntdata1\public\TEMP\EXCEL\BUDGETS\WCI98\CPM\CPM9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210\Corp%20File%20Share\A%20-%20Production\GM\Shaw's%20Marketplace%20-%20G&amp;K\Economics%20-%20Shaw's%20Marketplace%20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Thunder%20Road\TIAA\PROJECT%20PROFORMAS\WIP\A%20PROJECTS%20PROFORMAS\Centennial%20Apts\Forward%20Commitment\Economics%20-%20Centennial%20by%20NewMark.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vation3\Windows\PMCOMMON\AMY\ldata\2002\02BUDGETS\02%20New%20product\02Positano\4171c.WK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Arby%20Riley%20Apartments%20BLM%20Pilot%20%232\Arby%20Riley%20Apts%20Proforma%20by%20ovation%20100%25%20@%2080%25AMI%20w%20HOM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Client%20mgt\Real%20Estate\SF\Real%20Estate\Templeton%20Group\Model\2004\Budget%20Rollup_v11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er210\Corp%20File%20Share\A%20-%20PRODUCTION\BT\Active\BD%20Fox%20&amp;%20Freinds%20Building%20-%20Santa%20Monica\Underwriting\Economics.xl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210\Corp%20File%20Share\PROJECT%20PROFORMAS\Models\OVATION\Apts%20Proforma%20by%20Ovation%20v0207.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server210\PROJECT%20PROFORMAS\WIP\A%20PROJECTS%20PROFORMAS\Centennial%20Apts\Forward%20Commitment\Underwriting\PROJECT%20PROFORMAS\WIP\Existent%20Projects%20Refinancing%20&amp;%202nd%20Mortgages\Positano\Positano%20underwriting%20analysis%20by%20churchill.xls?69E4E299" TargetMode="External"/><Relationship Id="rId1" Type="http://schemas.openxmlformats.org/officeDocument/2006/relationships/externalLinkPath" Target="file:///\\69E4E299\Positano%20underwriting%20analysis%20by%20churchil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HUD%20Financing%20-%20Future%20Development\HUD%20221(d)(4)%20Apts%20Proforma%20by%20Ovation%20v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8\0787%20Alafia\Alafia%20Project%20Cost%20templat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WSPAVIL\97\WSPCAM9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TIAA\601TOWER\REPORTS\Closed%20Capi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ref-ntdata1\public\DATA96\MRR\96MAST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er210\Corp%20File%20Share\RMW\SLR\SHARE\share\Best%20Practices%20Committee\A&amp;D%20Budget%20CshFlow%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AADATA\River%20Heights\River%20Heights\RIVERHTP\REPORTS\PROPMAN\ACCOUNTI\Month%20End\RH%20Bal%20Sheet%20Rec%20Form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210\Corp%20File%20Share\PROJECT%20PROFORMAS\Models\Lennar%20land%20mode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ref-ntdata1\public\TEMP\windows\TEMP\Budget%20Analysis\Scott\TrizecHahn\98BudTemp\Link\SOL98exp.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fi\sheet\Swapster\Market%20Data\Swapster%20Curve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ref-ntdata1\public\Budget%20Analysis\Scott\Westfield99\DOWNLOAD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rver210\Corp%20File%20Share\Documents%20and%20Settings\r.hazelton304\Local%20Settings\Temporary%20Internet%20Files\OLK63\HUD\HUD%20Apartmen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ovation1-my.sharepoint.com/disbreq.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210\Corp%20File%20Share\ERIC\LDATA\PURCHASING\BIDS\Lone%20Mountain\Budget%20Projection%202005-06-1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SSRRealty\12600%20Whitewater\BankRec\13-524-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ocuments%20and%20Settings\jlfaith\Local%20Settings\Temporary%20Internet%20Files\OLK5\AADATA\Accounting\COLUMBUS\Xee\Channingway%20Center\Reports\Monthend\Channingway%20Month%20End-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JANSS\96\MODEL96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MODELS\GARDEN\1996\96TAX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erver210\Corp%20File%20Share\OVATION\Excel%20Files\DEPOSITS%20&amp;%20WIRES\OVATIONDEPOSI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Grand%20Canyon%20&amp;%20Trop\221d4\Due%20Dilligence\Example%20-%20HUD%202328%20201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erver210\PROJECT%20PROFORMAS\Investor%20Reports\Acapella\WIP\A%20PROJECTS%20PROFORMAS\Centennial%20Apts\Forward%20Commitment\Underwriting\PROJECT%20PROFORMAS\WIP\AA%20PROSPECTIVE%20NEW%20PROJECTS\Altessa\Altessa%20Underwriti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210\Corp%20File%20Share\PROJECT%20PROFORMAS\WIP\A%20PROJECTS%20PROFORMAS\Centennial%20Apts\Forward%20Commitment\Underwriting\PROJECT%20PROFORMAS\WIP\AA%20PROSPECTIVE%20NEW%20PROJECTS\Altessa\Altessa%20Underwrit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Users\j.karim347\Desktop\Working%20Draft%20-%20Updated%20Report.xlsm"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lasvegasliving-my.sharepoint.com/personal/victora_ovationco_com/Documents/Desktop/Total/Proshine/Proposals/Proposal%20for%20Triple%207%20Moving%20Office%20Cleaning%2011-14-24.xlsx" TargetMode="External"/><Relationship Id="rId1" Type="http://schemas.openxmlformats.org/officeDocument/2006/relationships/externalLinkPath" Target="https://lasvegasliving-my.sharepoint.com/personal/victora_ovationco_com/Documents/Desktop/Total/Proshine/Proposals/Proposal%20for%20Triple%207%20Moving%20Office%20Cleaning%2011-14-24.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erver210\Corp%20File%20Share\A%20-%20Production\PW\1.%20Closed\Ezralow%20-%20Westlake%20Village%20Industrial%20Park\Underwriting%20&amp;%20Package\Underwriting%20-%20Westlake%20Village%20Industrial%20Par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er210\Corp%20File%20Share\Documents%20and%20Settings\chrisop\Local%20Settings\Temporary%20Internet%20Files\OLK15E\WIGGLE\CAM\3INS695.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er210\Corp%20File%20Share\A%20-%20Production\MR\ARA%20-%201515%20Wynkoop%20Substitution\Underwriting%20&amp;%20Package\Underwriting%20-%201515%20Wynkoop%20Substitutio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My%20Documents\Budget%20Rollup_Carefree%20v7%200922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Z:\A%20-%20Production\GM\ACTIVE\Brentwood%20Retail%20-%20Avi\Econ.Brentwood%20Reta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Lake%20Las%20Vegas%20Project\Lake%20Las%20Vegas%20Apts%20Proforma%20by%20Ovation%20(version%20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Duck%20Creek\PROFORMAS\Duck%20Creek%20Apts%20Proforma%20by%20Ovation%20v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Documents%20and%20Settings\s.moyer347\My%20Documents\Company\Cost%20Analysis\2007\0950%20Tuscany%20Villas\Tuscany%201%2018%2008%20Draft%20Lender's%20Cos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J:\Documents%20and%20Settings\nbk791d\Local%20Settings\Temporary%20Internet%20Files\OLK18\Model\LBO%20v.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er210\Corp%20File%20Share\PROJECT%20PROFORMAS\WIP\AA%20PROSPECTIVE%20NEW%20PROJECTS\Trop%20&amp;%20215%20Corner\Trop%20&amp;%20215%20Apts%20Proforma%20by%20Ovation%20v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erver210\Corp%20File%20Share\winnt\temp\notes2CBB50\Finance\Feasibility%20Studies\Greystone%20South%20Coast\Playa%20Vista\Playa%20Vista%20825%20VestaCalc%2011-20-03%2098.2%25%20of%20MRpr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USERS\KTR\Accounting\Peggy's%20Analysis\SunwestReno%20for%20PAM\Analysi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erver210\Corp%20File%20Share\Real%20Estate\Commercial%20Mortgage%20Backed%20Securities\San%20Francisco\Flatt\Deals%20by%20Borrower\Beckstrand\Old%20Mill%20II\Old%20Mill%20II%20Spreads%20BW.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Documents%20and%20Settings\feely\Local%20Settings\Temporary%20Internet%20Files\OLK6A\5239905266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ilserver\accdata\Celine\Test%20Mall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erver210\Corp%20File%20Share\winnt\temp\notes2CBB50\Documents%20and%20Settings\drich\My%20Documents\Research\VestaCalc%202003_1.0W.xls" TargetMode="External"/></Relationships>
</file>

<file path=xl/externalLinks/_rels/externalLink56.xml.rels><?xml version="1.0" encoding="UTF-8" standalone="yes"?>
<Relationships xmlns="http://schemas.openxmlformats.org/package/2006/relationships"><Relationship Id="rId2" Type="http://schemas.microsoft.com/office/2019/04/relationships/externalLinkLongPath" Target="file:///N:\PROJECT%20PROFORMAS\WIP\A%20PROJECTS%20PROFORMAS\Centennial%20Apts\Forward%20Commitment\Underwriting\Documents%20and%20Settings\mitsanas\My%20Documents\gm%20special\GEORGE\GM\APARTS\70%20units%20torrance%20dcf%20&amp;%20cf\Apt%20Analysis%20DCF%20&amp;%20CF.xls?73C0CA52" TargetMode="External"/><Relationship Id="rId1" Type="http://schemas.openxmlformats.org/officeDocument/2006/relationships/externalLinkPath" Target="file:///\\73C0CA52\Apt%20Analysis%20DCF%20&amp;%20CF.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erver210\Corp%20File%20Share\ERIC\LDATA\PURCHASING\BIDS\Duck%20Creek\Budget%20Projection\Budget%20Projection%202008-11-1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JHREIG%20Multifamily%20VOT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T"/>
      <sheetName val="B"/>
      <sheetName val="Current"/>
      <sheetName val="NOV"/>
      <sheetName val="DEC"/>
      <sheetName val="JAN98"/>
      <sheetName val="feb98"/>
      <sheetName val="MAR98"/>
      <sheetName val="apr98"/>
      <sheetName val="MAY98"/>
      <sheetName val="JUN98"/>
      <sheetName val="Accrexp98"/>
      <sheetName val="Mgmt Fee Schd"/>
      <sheetName val="Lookup Values"/>
      <sheetName val="Mgmt_Fee_Schd"/>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 STMT"/>
      <sheetName val="5CM95"/>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ssumptions"/>
      <sheetName val="Hen Scratchings"/>
      <sheetName val="Monthly Inputs"/>
      <sheetName val="Monthly Spreads"/>
      <sheetName val="AdminMonthly"/>
      <sheetName val="Formula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I-JV-PROFORMA"/>
      <sheetName val="AVI-JV-PROFORMA PARTICIPATING"/>
      <sheetName val="Rent Roll"/>
      <sheetName val="The Proforma"/>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C"/>
      <sheetName val="SCHEDULE D"/>
      <sheetName val="SCHEDULE E "/>
      <sheetName val="SCHEDULE E (1)"/>
      <sheetName val="SCHEDULE F"/>
      <sheetName val="SCHEDULE G"/>
      <sheetName val="SCHEDULE H"/>
      <sheetName val="SCHEDULE J"/>
      <sheetName val="SCHEDULE 1"/>
      <sheetName val="SCHEDULE 2"/>
      <sheetName val="SCHEDULE 3 "/>
      <sheetName val="MARKETING II"/>
      <sheetName val="MARKETING III"/>
      <sheetName val="SCHEDULE A "/>
      <sheetName val="SCHEDULE B,C,MARKETING"/>
      <sheetName val="CURRENT INCOME SUMMARY"/>
      <sheetName val="SCHEDULE I"/>
      <sheetName val="SCHEDULE 3"/>
      <sheetName val="SCHEDULE B&amp;C"/>
      <sheetName val="SCHEDULE D1"/>
      <sheetName val="SCHEDULE E (2)"/>
      <sheetName val="SCHEDULE L"/>
      <sheetName val="5CM95"/>
      <sheetName val="Query"/>
    </sheetNames>
    <sheetDataSet>
      <sheetData sheetId="0"/>
      <sheetData sheetId="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Sum"/>
      <sheetName val="Rent_Roll"/>
      <sheetName val="Hist_Bdgt"/>
      <sheetName val="Lease_Exp"/>
      <sheetName val="Proforma"/>
      <sheetName val="Prepayment"/>
      <sheetName val="AMORT"/>
      <sheetName val="Cash Flow Analysis"/>
    </sheetNames>
    <sheetDataSet>
      <sheetData sheetId="0" refreshError="1"/>
      <sheetData sheetId="1" refreshError="1"/>
      <sheetData sheetId="2" refreshError="1"/>
      <sheetData sheetId="3" refreshError="1"/>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Summary"/>
      <sheetName val="UNIT MIX"/>
      <sheetName val="PRO FORMA"/>
      <sheetName val="holdback"/>
      <sheetName val="COST"/>
      <sheetName val="Exp Comps"/>
      <sheetName val="S&amp;U"/>
      <sheetName val="rent comps "/>
    </sheetNames>
    <sheetDataSet>
      <sheetData sheetId="0"/>
      <sheetData sheetId="1"/>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cost analysis"/>
      <sheetName val="project detail"/>
      <sheetName val="income basis"/>
      <sheetName val="income basis (use)"/>
      <sheetName val="income stmt yr0"/>
      <sheetName val="cf summary dist as apts"/>
      <sheetName val="cf summary dist as condo"/>
      <sheetName val="Sensitivity"/>
      <sheetName val="Sensitivity (IRR)"/>
      <sheetName val="annual inc stmt"/>
      <sheetName val="mo income stmt"/>
      <sheetName val="annual balance sheet"/>
      <sheetName val="balance sheet"/>
      <sheetName val="annual cash flow"/>
      <sheetName val="cash flow"/>
      <sheetName val="depreciation analysis"/>
      <sheetName val="tax analysis"/>
      <sheetName val="source &amp; uses mo sch"/>
      <sheetName val="% of completion"/>
      <sheetName val="ownership chart"/>
      <sheetName val="amr sch"/>
      <sheetName val="ovation orig. rents vs. cu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 Output--&gt;"/>
      <sheetName val="Summary"/>
      <sheetName val="__FDSCACHE__"/>
      <sheetName val="Price Per Unit"/>
      <sheetName val="Consolidated"/>
      <sheetName val="Cash Flows.CFVV"/>
      <sheetName val="Cash Flows.CFSH"/>
      <sheetName val="Cash Flows.CFSV"/>
      <sheetName val="Cash Flows.CFPUB"/>
      <sheetName val="Cash Flows.CFWH"/>
      <sheetName val="Cash Flows.CFEST"/>
      <sheetName val="Cash Flows.CFALX"/>
      <sheetName val="Cash Flows.CFPBL"/>
      <sheetName val="Cash Flows.CFOAK"/>
      <sheetName val="Cash Flows.CFN"/>
      <sheetName val="Cash Flows.CFW"/>
      <sheetName val="2003A Consol---&gt;"/>
      <sheetName val="CFVV 2003A Consol"/>
      <sheetName val="CFSH 2003A Consol"/>
      <sheetName val="CFSV 2003A Consol"/>
      <sheetName val="CFPUB 2003A Consol"/>
      <sheetName val="CFWH 2003A Consol"/>
      <sheetName val="CFEST 2003A Consol"/>
      <sheetName val="CFALX 2003A Consol"/>
      <sheetName val="CFPBL 2003A Consol"/>
      <sheetName val="CFOAK 2003A Conso"/>
      <sheetName val="2003A v 2003B"/>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Consol"/>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2003 IS"/>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 val="Comparison"/>
      <sheetName val="2004B Assumptions"/>
      <sheetName val="CFVV----&gt;"/>
      <sheetName val="Cover. CFVV"/>
      <sheetName val="Yr vs Yr. CFVV"/>
      <sheetName val="CFVV 2004B"/>
      <sheetName val="Gross Potential-IND. CFVV 2004"/>
      <sheetName val="Rental Income-IND.CFVV 2004"/>
      <sheetName val="Misc. Income.CFVV"/>
      <sheetName val="Advertising.CFVV"/>
      <sheetName val="Activities Expenses.CFVV"/>
      <sheetName val="Repairs and Maintenance.CFVV"/>
      <sheetName val="Hsekpg &amp; Laundry.CFVV"/>
      <sheetName val="Vacancy Expenses.CFVV"/>
      <sheetName val="Personel Expenses.CFVV"/>
      <sheetName val="Payroll Burden.CFVV"/>
      <sheetName val="Other PR Expenses.CFVV"/>
      <sheetName val="G &amp; A Expenses.CFVV"/>
      <sheetName val="Fees, Taxes &amp; Insurance.CFVV"/>
      <sheetName val="CF SH-----&gt;"/>
      <sheetName val="Cover.CFSH"/>
      <sheetName val="Yr vs Yr.CFSH"/>
      <sheetName val="CFSH 2004B"/>
      <sheetName val="Gross Potential-IND.CFSH"/>
      <sheetName val="Rental Income-IND.CFSH 2004"/>
      <sheetName val="Misc. Income.CFSH"/>
      <sheetName val="Advertising.CFSH"/>
      <sheetName val="Activities Expenses.CFSH"/>
      <sheetName val="Repairs and Maintenance.CFSH"/>
      <sheetName val="Hsekpg &amp; Laundry.CFSH"/>
      <sheetName val="Vacancy Expenses.CFSH"/>
      <sheetName val="Personel Expenses.CFSH"/>
      <sheetName val="Payroll Burden.CFSH"/>
      <sheetName val="Other PR Expenses.CFSH"/>
      <sheetName val="G &amp; A Expenses.CFSH"/>
      <sheetName val="Fees, Taxes &amp; Insurance.CFSH"/>
      <sheetName val="CFSV----&gt; "/>
      <sheetName val="Cover.CFSV"/>
      <sheetName val="Yr vs Yr.CFSV"/>
      <sheetName val="CFSV 2004B"/>
      <sheetName val="Gross Potential-FS.CFSV"/>
      <sheetName val="Gross Potential-IND.CFSV"/>
      <sheetName val="Rental Income-IND.CFSV 2004"/>
      <sheetName val="Rental Income-FS.CFSV"/>
      <sheetName val="Extra Services Income.CFSV"/>
      <sheetName val="Misc. Income.CFSV"/>
      <sheetName val="Advertising.CFSV"/>
      <sheetName val="Utilities.CFSV"/>
      <sheetName val="Activities Expenses.CFSV"/>
      <sheetName val="Repairs and Maintenance.CFSV"/>
      <sheetName val="Food &amp; Other Dietary.CFSV"/>
      <sheetName val="Hsekpg &amp; Laundry.CFSV"/>
      <sheetName val="Vacancy Expenses.CFSV"/>
      <sheetName val="Personel Expenses.CFSV"/>
      <sheetName val="Payroll Burden.CFSV"/>
      <sheetName val="Other PR Expenses.CFSV"/>
      <sheetName val="G &amp; A Expenses.CFSV"/>
      <sheetName val="Taxes &amp; Insurance.CFSV"/>
      <sheetName val="CF PUB----&gt; "/>
      <sheetName val="Cover.CFPUB"/>
      <sheetName val="Yr vs Yr.CFPUB"/>
      <sheetName val="CFPUB 2004B"/>
      <sheetName val="Gross Potential-IND.CFPUB"/>
      <sheetName val="Gross Potential-FS.CFPUB"/>
      <sheetName val="Rental Income-FS.CFPUB"/>
      <sheetName val="Extra Services Income.CFPUB"/>
      <sheetName val="Misc. Income.CFPUB"/>
      <sheetName val="Advertising.CFPUB"/>
      <sheetName val="Utilities.CFPUB"/>
      <sheetName val="Activities Expenses.CFPUB"/>
      <sheetName val="Repairs and Maintenance.CFPUB"/>
      <sheetName val="Food &amp; Other Dietary.CFPUB"/>
      <sheetName val="Hsekpg &amp; Laundry.CFPUB"/>
      <sheetName val="Vacancy Expenses.CFPUB"/>
      <sheetName val="Personel Expenses.CFPUB"/>
      <sheetName val="Payroll Burden.CFPUB"/>
      <sheetName val="Other PR Expenses.CFPUB"/>
      <sheetName val="G &amp; A Expenses.CFPUB"/>
      <sheetName val="Fees, Taxes &amp; Insurance.CFPUB"/>
      <sheetName val="Rental Income-IND.CFPUB 2004"/>
      <sheetName val="CF WH----&gt;"/>
      <sheetName val="Cover.CFWH"/>
      <sheetName val="Yr vs Yr.CFWH"/>
      <sheetName val="CFWH 2004B"/>
      <sheetName val="Gross Potential-IND.CFWH"/>
      <sheetName val="Gross Potential-FS.CFWH"/>
      <sheetName val="Rental Income-IND.CFWH 2004"/>
      <sheetName val="Rental Income-FS.CFWH"/>
      <sheetName val="Extra Services Income.CFWH"/>
      <sheetName val="Misc. Income.CFWH"/>
      <sheetName val="Advertising.CFWH"/>
      <sheetName val="Utilities.CFWH"/>
      <sheetName val="Activities Expenses.CFWH"/>
      <sheetName val="Repairs and Maintenance.CFWH"/>
      <sheetName val="Food &amp; Other Dietary.CFWH"/>
      <sheetName val="Hsekpg &amp; Laundry.CFWH"/>
      <sheetName val="Vacancy Expenses.CFWH"/>
      <sheetName val="Personel Expenses.CFWH"/>
      <sheetName val="Payroll Burden.CFWH"/>
      <sheetName val="Other PR Expenses.CFWH"/>
      <sheetName val="G &amp; A Expenses.CFWH"/>
      <sheetName val="Fees, Taxes &amp; Insurance.CFWH"/>
      <sheetName val="CF EST----&gt;"/>
      <sheetName val="Cover.CFEST"/>
      <sheetName val="Yr vs Yr.CFEST"/>
      <sheetName val="Gross Potential-IND.CFEST"/>
      <sheetName val="CFEST 2004B"/>
      <sheetName val="Rental Income-FS.CFEST 2004"/>
      <sheetName val="Gross Potential-FS.CFEST"/>
      <sheetName val="Rental Income-IND.CFEST"/>
      <sheetName val="Extra Services Income.CFEST"/>
      <sheetName val="Misc. Income.CFEST"/>
      <sheetName val="Advertising.CFEST"/>
      <sheetName val="Utilities.CFEST"/>
      <sheetName val="Activities Expenses.CFEST"/>
      <sheetName val="Repairs and Maintenance.CFEST"/>
      <sheetName val="Food &amp; Other Dietary.CFEST"/>
      <sheetName val="Hsekpg &amp; Laundry.CFEST"/>
      <sheetName val="Vacancy Expenses.CFEST"/>
      <sheetName val="Personel Expenses.CFEST"/>
      <sheetName val="Payroll Burden.CFEST"/>
      <sheetName val="Other PR Expenses.CFEST"/>
      <sheetName val="G &amp; A Expenses.CFEST"/>
      <sheetName val="Fees, Taxes &amp; Insurance.CFEST"/>
      <sheetName val="CF ALX----&gt;"/>
      <sheetName val="Cover.CFALX"/>
      <sheetName val="Yr vs Yr.CFALX"/>
      <sheetName val="CFALX 2004B"/>
      <sheetName val="Gross Potential-IND.CFALX"/>
      <sheetName val="Gross Potential-FS.CFALX"/>
      <sheetName val="Rental Income-IND.CFALX 2004"/>
      <sheetName val="Rental Income-FS.CFALX"/>
      <sheetName val="Extra Services Income.CFALX"/>
      <sheetName val="Misc. Income.CFALX"/>
      <sheetName val="Advertising.CFALX"/>
      <sheetName val="Utilities.CFALX"/>
      <sheetName val="Activities Expenses.CFALX"/>
      <sheetName val="Repairs and Maintenance.CFALX"/>
      <sheetName val="Food &amp; Other Dietary.CFALX"/>
      <sheetName val="Hsekpg &amp; Laundry.CFALX"/>
      <sheetName val="Vacancy Expenses.CFALX"/>
      <sheetName val="Personel Expenses.CFALX"/>
      <sheetName val="Payroll Burden.CFALX"/>
      <sheetName val="Other PR Expenses.CFALX"/>
      <sheetName val="G &amp; A Expenses.CFALX"/>
      <sheetName val="Fees, Taxes &amp; Insurance.CFALX"/>
      <sheetName val="CF PBL----&gt;"/>
      <sheetName val="Cover.CFPBL"/>
      <sheetName val="Yr vs Yr.CFPBL"/>
      <sheetName val="CFPBL 2004B"/>
      <sheetName val="Gross Potential-IND.CFPBL"/>
      <sheetName val="Gross Potential-FS.CFPBL"/>
      <sheetName val="Rental Income-IND.CFPBL 2004"/>
      <sheetName val="Rental Income-FS.CFPBL"/>
      <sheetName val="Extra Services Income.CFPBL"/>
      <sheetName val="Misc. Income.CFPBL"/>
      <sheetName val="Advertising.CFPBL"/>
      <sheetName val="Utilities.CFPBL"/>
      <sheetName val="Activities Expenses.CFPBL"/>
      <sheetName val="Repairs and Maintenance.CFPBL"/>
      <sheetName val="Food &amp; Other Dietary.CFPBL"/>
      <sheetName val="Hsekpg &amp; Laundry.CFPBL"/>
      <sheetName val="Vacancy Expenses.CFPBL"/>
      <sheetName val="Personel Expenses.CFPBL"/>
      <sheetName val="Payroll Burden.CFPBL"/>
      <sheetName val="Other PR Expenses.CFPBL"/>
      <sheetName val="G &amp; A Expenses.CFPBL"/>
      <sheetName val="Fees, Taxes &amp; Insurance.CFPBL"/>
      <sheetName val="CF OAK----&gt;"/>
      <sheetName val="Cover.CFOAK"/>
      <sheetName val="Yr vs Yr.CFOAK"/>
      <sheetName val="Gross Potential-IND.CFOAK"/>
      <sheetName val="CFOAK 2004B"/>
      <sheetName val="Gross Potential-FS.CFOAK"/>
      <sheetName val="Rental Income-IND.CFOAK"/>
      <sheetName val="Rental Income-FS.CFOAK 2004"/>
      <sheetName val="Extra Services Income.CFOAK"/>
      <sheetName val="Misc. Income.CFOAK"/>
      <sheetName val="Advertising.CFOAK"/>
      <sheetName val="Utilities.CFOAK"/>
      <sheetName val="Activities Expenses.CFOAK"/>
      <sheetName val="Repairs and Maintenance.CFOAK"/>
      <sheetName val="Food &amp; Other Dietary.CFOAK"/>
      <sheetName val="Hsekpg &amp; Laundry.CFOAK"/>
      <sheetName val="Vacancy Expenses.CFOAK"/>
      <sheetName val="Personel Expenses.CFOAK"/>
      <sheetName val="Payroll Burden.CFOAK"/>
      <sheetName val="Other PR Expenses.CFOAK"/>
      <sheetName val="G &amp; A Expenses.CFOAK"/>
      <sheetName val="Fees, Taxes &amp; Insurance.CFOAK"/>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2003 Actuals==&gt;"/>
      <sheetName val="CFVV 2003A"/>
      <sheetName val="CFSH 2003A"/>
      <sheetName val="CFSV 2003A"/>
      <sheetName val="CFPUB 2003A"/>
      <sheetName val="CFWH 2003A"/>
      <sheetName val="CFEST 2003A"/>
      <sheetName val="CFALX 2003A"/>
      <sheetName val="CFPBL 2003A"/>
      <sheetName val="CFOAK 2003A"/>
      <sheetName val="Misc. Income.CFN"/>
      <sheetName val="Advertising.CFN"/>
      <sheetName val="Utilities.CFN"/>
      <sheetName val="Activities Expenses.CFN"/>
      <sheetName val="Repairs and Maintenance.CFN"/>
      <sheetName val="Guest Suite Expense.CFN"/>
      <sheetName val="Vacancy Expenses.CFN"/>
      <sheetName val="Personel Expenses.CFN"/>
      <sheetName val="Sheet1.CFN"/>
      <sheetName val="Payroll Burden.CFN"/>
      <sheetName val="Other PR Expenses.CFN"/>
      <sheetName val="G &amp; A Expenses.CFN"/>
      <sheetName val="Taxes &amp; Insurance.CFN"/>
      <sheetName val="Extra Services Income.CFW"/>
      <sheetName val="Misc. Income.CFW"/>
      <sheetName val="Advertising.CFW"/>
      <sheetName val="Utilities.CFW"/>
      <sheetName val="Activities Expenses.CFW"/>
      <sheetName val="Repairs and Maintenance.CFW"/>
      <sheetName val="Food &amp; Other Dietary.CFW"/>
      <sheetName val="Hskpg &amp; Laundry.CFW"/>
      <sheetName val="Vacancy Expenses.CFW"/>
      <sheetName val="Personel Expenses.CFW"/>
      <sheetName val="Payroll Burden.CFW"/>
      <sheetName val="Other PR Expenses.CFW"/>
      <sheetName val="G &amp; A Expenses.CFW"/>
      <sheetName val="Taxes &amp; Insurance.C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
      <sheetName val="Inv. Summary"/>
      <sheetName val="Rent Roll"/>
      <sheetName val="Proforma"/>
      <sheetName val="Source &amp; Use"/>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sources &amp; uses"/>
      <sheetName val="bank loan budget"/>
      <sheetName val="interest reserve cal"/>
      <sheetName val="cost analysis"/>
      <sheetName val="project detail"/>
      <sheetName val="fee calculation"/>
      <sheetName val="based rents"/>
      <sheetName val="income stmt yr0"/>
      <sheetName val="cf summary dist as apts"/>
      <sheetName val="buyout valuation"/>
      <sheetName val="Sensitivity"/>
      <sheetName val="Sensitivity (IRR)"/>
      <sheetName val="annual inc stmt"/>
      <sheetName val="annual balance sheet"/>
      <sheetName val="annual cash flow"/>
      <sheetName val="depreciation analysis"/>
      <sheetName val="mo income stmt"/>
      <sheetName val="balance sheet"/>
      <sheetName val="cash flow"/>
      <sheetName val="source &amp; uses mo sch"/>
      <sheetName val="% of completion"/>
      <sheetName val="ownership chart"/>
      <sheetName val="amr sch"/>
      <sheetName val="CHECK"/>
      <sheetName val="ovation orig. rents vs. curr"/>
      <sheetName val="cf summary dist as condo"/>
      <sheetName val="tax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Information"/>
      <sheetName val="Rent Roll Analysis"/>
      <sheetName val="Underwriting"/>
      <sheetName val="Loan Summary"/>
      <sheetName val="Spread-Cap Rate Matrix"/>
      <sheetName val="unmapped sheet"/>
      <sheetName val="JHDropdowns"/>
      <sheetName val="LaunchingPad"/>
      <sheetName val="GlobalInfo"/>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1d4"/>
      <sheetName val="CHECK"/>
      <sheetName val="Assumptions"/>
      <sheetName val="INDEX"/>
      <sheetName val="Table of Contents"/>
      <sheetName val="Table of Contents (2)"/>
      <sheetName val="Investment Summary"/>
      <sheetName val="Investment Summary (5yr)"/>
      <sheetName val="Investment Analysis"/>
      <sheetName val="CF Dist Analysis"/>
      <sheetName val="CF Dist Analysis (5yr)"/>
      <sheetName val="sources &amp; uses"/>
      <sheetName val="HUD budget"/>
      <sheetName val="Mortgage (FHA) (2)"/>
      <sheetName val="perm loan"/>
      <sheetName val="cost analysis"/>
      <sheetName val="bank loan budget"/>
      <sheetName val="interest reserve cal"/>
      <sheetName val="fee calculation"/>
      <sheetName val="project detail"/>
      <sheetName val="base rents"/>
      <sheetName val="income stmt yr0"/>
      <sheetName val="Const Loan (0)"/>
      <sheetName val="FMV Analysis"/>
      <sheetName val="site detail"/>
      <sheetName val="Const Loan (1)"/>
      <sheetName val="Sensitivity"/>
      <sheetName val="Sensitivity (3)"/>
      <sheetName val="Sensitivity (4)"/>
      <sheetName val="Sensitivity (5)"/>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Const Loan"/>
      <sheetName val="Appraisal (0)"/>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F Values"/>
      <sheetName val="D3G MF Bldg Comps"/>
      <sheetName val="Site Cost Data"/>
      <sheetName val="Architect Fee Calc"/>
      <sheetName val="Other Fees"/>
      <sheetName val="Not Used1"/>
      <sheetName val="92326 Master"/>
      <sheetName val="92326 AT"/>
      <sheetName val="92326 BA"/>
      <sheetName val="92326 BB"/>
      <sheetName val="92326 BT"/>
      <sheetName val="92326 C"/>
      <sheetName val="92326 Lease"/>
      <sheetName val="92326 GR7"/>
      <sheetName val="92326 GR6SH"/>
      <sheetName val="92326 GR12"/>
      <sheetName val="D3G LI"/>
      <sheetName val="92331-B"/>
      <sheetName val="2328 Master"/>
      <sheetName val="2328 TYPE A"/>
      <sheetName val="2328 TYPE B"/>
      <sheetName val="2328 TYPE 1"/>
      <sheetName val="2328 TYPE 2"/>
      <sheetName val="2328 TYPE 3"/>
      <sheetName val="2328 CLUBHOUSE"/>
      <sheetName val="2328 LI"/>
      <sheetName val="2328 GR"/>
      <sheetName val="92329-Work"/>
      <sheetName val="92329"/>
      <sheetName val="Site Info"/>
      <sheetName val="92264 Section G"/>
      <sheetName val="92264 Section M CNA"/>
      <sheetName val="226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_96 CAM"/>
      <sheetName val="CAMINVBU"/>
    </sheetNames>
    <sheetDataSet>
      <sheetData sheetId="0"/>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P (2)"/>
      <sheetName val="MERCK"/>
      <sheetName val="FIRST P"/>
      <sheetName val="CHEESB"/>
      <sheetName val="OMNI"/>
      <sheetName val="OMNI (2)"/>
      <sheetName val="WALDEN"/>
      <sheetName val="FORCE"/>
      <sheetName val="INCREDBL"/>
      <sheetName val="MASTER"/>
      <sheetName val="KOSIERADZKI"/>
      <sheetName val="WALDENEXP"/>
      <sheetName val="BRDG DTA"/>
      <sheetName val="STWRT TTLE"/>
      <sheetName val="TRNSMRCA"/>
      <sheetName val="LEONE"/>
      <sheetName val="TWOS"/>
      <sheetName val="CAST"/>
      <sheetName val="MAIRE"/>
      <sheetName val="PAIDP"/>
      <sheetName val="INFORMIX"/>
      <sheetName val="MAINWR"/>
      <sheetName val="NORTHC"/>
      <sheetName val="PAID PRES EXP"/>
      <sheetName val="KNAPPENBERGER"/>
      <sheetName val="INFORMIX-GILMAN"/>
      <sheetName val="Sheet1"/>
      <sheetName val="Sheet2"/>
      <sheetName val="Sheet3"/>
      <sheetName val="12_96 CAM"/>
      <sheetName val="CAMINVBU"/>
      <sheetName val="RECONCILIATION"/>
      <sheetName val="Sch01"/>
      <sheetName val="1120 Pg1"/>
      <sheetName val="Assumptions"/>
      <sheetName val="FIRST_P_(2)"/>
      <sheetName val="FIRST_P"/>
      <sheetName val="OMNI_(2)"/>
      <sheetName val="BRDG_DTA"/>
      <sheetName val="STWRT_TTLE"/>
      <sheetName val="PAID_PRES_EXP"/>
      <sheetName val="12_96_CAM"/>
      <sheetName val="1120_Pg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96"/>
      <sheetName val="EA96"/>
      <sheetName val="EGR96"/>
      <sheetName val="ENF96"/>
      <sheetName val="GSP96"/>
      <sheetName val="MER96"/>
      <sheetName val="MID96"/>
      <sheetName val="MON96"/>
      <sheetName val="MVC96"/>
      <sheetName val="PBO96"/>
      <sheetName val="PCR96"/>
      <sheetName val="CRITERIA1"/>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File Admin"/>
      <sheetName val="Sheet2"/>
      <sheetName val="Common Area Maintenance"/>
      <sheetName val="Gen-Info"/>
      <sheetName val="npv"/>
      <sheetName val="DETAIL"/>
      <sheetName val="RENT"/>
      <sheetName val="Inputs (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3"/>
    </sheetNames>
    <sheetDataSet>
      <sheetData sheetId="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Rec"/>
      <sheetName val="Checklist"/>
      <sheetName val="Cover"/>
      <sheetName val="Contact"/>
      <sheetName val="Table of Cont"/>
      <sheetName val="Mgmt fees"/>
      <sheetName val="Dues"/>
      <sheetName val="AR "/>
      <sheetName val="Other Assets"/>
      <sheetName val="Payee 1"/>
      <sheetName val="Payee 2"/>
      <sheetName val="Payee 3"/>
      <sheetName val="RE"/>
      <sheetName val="RE Taxes"/>
      <sheetName val="Variance"/>
      <sheetName val="JE FORM"/>
      <sheetName val="Inc Rec"/>
      <sheetName val="Cash Flow"/>
      <sheetName val="Corp. Recvbl Recon."/>
      <sheetName val="Bte. Recon."/>
      <sheetName val="Instructions"/>
      <sheetName val="BRDG DTA"/>
      <sheetName val="CAST"/>
      <sheetName val="CHEESB"/>
      <sheetName val="FIRST P"/>
      <sheetName val="FORCE"/>
      <sheetName val="INCREDBL"/>
      <sheetName val="INFORMIX"/>
      <sheetName val="LEONE"/>
      <sheetName val="MAIRE"/>
      <sheetName val="MAINWR"/>
      <sheetName val="MASTER"/>
      <sheetName val="MERCK"/>
      <sheetName val="NORTHC"/>
      <sheetName val="OMNI"/>
      <sheetName val="PAIDP"/>
      <sheetName val="STWRT TTLE"/>
      <sheetName val="TRNSMRCA"/>
      <sheetName val="TWOS"/>
      <sheetName val="WALDEN"/>
      <sheetName val="WALDENEXP"/>
      <sheetName val="CB Dump"/>
      <sheetName val="Sheet2"/>
      <sheetName val="Cover Sheet"/>
      <sheetName val="#REF"/>
      <sheetName val="7"/>
      <sheetName val="6"/>
      <sheetName val="9"/>
      <sheetName val="14"/>
      <sheetName val="11"/>
      <sheetName val="Contents"/>
      <sheetName val="TAXES P9.1"/>
      <sheetName val="Rent Roll P8"/>
      <sheetName val="Lease Commission P10.5"/>
      <sheetName val="Vacancy Loss"/>
      <sheetName val="PCR96"/>
      <sheetName val="MVC96"/>
      <sheetName val="Bank_Rec"/>
      <sheetName val="Table_of_Cont"/>
      <sheetName val="Mgmt_fees"/>
      <sheetName val="AR_"/>
      <sheetName val="Other_Assets"/>
      <sheetName val="Payee_1"/>
      <sheetName val="Payee_2"/>
      <sheetName val="Payee_3"/>
      <sheetName val="RE_Taxes"/>
      <sheetName val="JE_FORM"/>
      <sheetName val="Inc_Rec"/>
      <sheetName val="Cash_Flow"/>
      <sheetName val="Corp__Recvbl_Recon_"/>
      <sheetName val="Bte__Recon_"/>
      <sheetName val="BRDG_DTA"/>
      <sheetName val="FIRST_P"/>
      <sheetName val="STWRT_TTLE"/>
      <sheetName val="CB_Dump"/>
      <sheetName val="Cover_Sheet"/>
      <sheetName val="TAXES_P9_1"/>
      <sheetName val="Rent_Roll_P8"/>
      <sheetName val="Lease_Commission_P10_5"/>
      <sheetName val="Copp mgt fee"/>
      <sheetName val="Amortization Schedule"/>
      <sheetName val="ORGANIZ. COSTS"/>
      <sheetName val="Basic Input Sheet"/>
      <sheetName val="File Admin"/>
      <sheetName val="BKREC"/>
      <sheetName val="TAX"/>
      <sheetName val="0900"/>
      <sheetName val="Data"/>
      <sheetName val="Allowance"/>
      <sheetName val="BS &amp; 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Assumptions"/>
      <sheetName val="Product Desc"/>
      <sheetName val="Land Residual - SFD"/>
      <sheetName val="Land Residual - SFA"/>
      <sheetName val="Absorption"/>
      <sheetName val="Costing"/>
      <sheetName val="Inv Overview"/>
      <sheetName val="Monthly Cash Flow"/>
      <sheetName val="Quarterly Cash Flow"/>
      <sheetName val="Annual Cash Flow"/>
      <sheetName val="Monthly Fin Stmt"/>
      <sheetName val="3rd Party Financing"/>
      <sheetName val="Tierred Return"/>
      <sheetName val="Tiered Returns 2"/>
      <sheetName val="Tiered Return 3"/>
      <sheetName val="Tiered Return"/>
      <sheetName val="Residual Revenue"/>
      <sheetName val="Diagnostic"/>
      <sheetName val="Inflation"/>
      <sheetName val="Formulas"/>
      <sheetName val="Finance"/>
      <sheetName val="LIBOR Forwards"/>
      <sheetName val="Monthly Fin Stmt (Internal)"/>
      <sheetName val="Homebuilding Closings"/>
      <sheetName val="GEN_INFO"/>
      <sheetName val="JV_INFO"/>
      <sheetName val="BY_PARCEL"/>
      <sheetName val="BY_QUARTER"/>
      <sheetName val="HS_BY_PHASE"/>
      <sheetName val="Chart"/>
      <sheetName val="Defaults"/>
      <sheetName val="Summary CF"/>
      <sheetName val="Variance"/>
      <sheetName val="Notes"/>
      <sheetName val="Design Ch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A"/>
      <sheetName val="SCHEDULE B&amp;C"/>
      <sheetName val="SCHEDULE D"/>
      <sheetName val="SCHEDULE D1"/>
      <sheetName val="SCHEDULE E "/>
      <sheetName val="SCHEDULE E (1)"/>
      <sheetName val="SCHEDULE F"/>
      <sheetName val="SCHEDULE G"/>
      <sheetName val="SCHEDULE H"/>
      <sheetName val="SCHEDULE I"/>
      <sheetName val="SCHEDULE J"/>
      <sheetName val="SCHEDULE K"/>
      <sheetName val="SCHEDULE 1"/>
      <sheetName val="SCHEDULE 2"/>
      <sheetName val="SCHEDULE 3"/>
      <sheetName val="MARKETING II"/>
      <sheetName val="MARKETING III"/>
      <sheetName val="Sheet1"/>
      <sheetName val="Market temp"/>
      <sheetName val="Inc Rec"/>
      <sheetName val="PCR96"/>
      <sheetName val="MVC96"/>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ves"/>
      <sheetName val="Conventions"/>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nput"/>
      <sheetName val="Inc Rec"/>
      <sheetName val="By dept-bymonthBud"/>
      <sheetName val="Accountant Copy Only"/>
      <sheetName val="Tables"/>
      <sheetName val="234 #1"/>
      <sheetName val="RANGES"/>
      <sheetName val="2GD01Budget"/>
      <sheetName val="Conversion"/>
      <sheetName val="PropertyMappings"/>
      <sheetName val="cash allow"/>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put"/>
      <sheetName val="Instruction"/>
      <sheetName val="Notes"/>
      <sheetName val="Summary"/>
      <sheetName val="S&amp;U"/>
      <sheetName val="2013"/>
      <sheetName val="Rents"/>
      <sheetName val="Other Income"/>
      <sheetName val="Commercial I&amp;E"/>
      <sheetName val="2328-Total"/>
      <sheetName val="2328-Main"/>
      <sheetName val="2328-Sub1"/>
      <sheetName val="2328-Sub2"/>
      <sheetName val="CNA"/>
      <sheetName val="Other Fees"/>
      <sheetName val="Prepaids"/>
      <sheetName val="Cash"/>
      <sheetName val="Bond Costs"/>
      <sheetName val="IOD"/>
      <sheetName val="2264"/>
      <sheetName val="2264-A"/>
      <sheetName val="2264-J"/>
      <sheetName val="2438"/>
      <sheetName val="2283"/>
      <sheetName val="RC by Formula"/>
      <sheetName val="Purchase Costs"/>
      <sheetName val="Refinance Costs"/>
      <sheetName val="R R D"/>
      <sheetName val="Reserve Deposits"/>
      <sheetName val="Sensitivity"/>
      <sheetName val="Exec Sum"/>
      <sheetName val="Summary Costs"/>
      <sheetName val="Rent Comps"/>
      <sheetName val="Expense Comps"/>
      <sheetName val="Occupancy Comps"/>
      <sheetName val="Calc1"/>
      <sheetName val="Calc2"/>
      <sheetName val="C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DEX"/>
      <sheetName val="Table of Contents"/>
      <sheetName val="Investment Summary"/>
      <sheetName val="Investment Analysis"/>
      <sheetName val="CF Split Analysis"/>
      <sheetName val="sources &amp; uses"/>
      <sheetName val="perm loan"/>
      <sheetName val="perm loan (2)"/>
      <sheetName val="fee calculation"/>
      <sheetName val="CHECK"/>
      <sheetName val="bank loan budget"/>
      <sheetName val="interest reserve cal"/>
      <sheetName val="cost analysis"/>
      <sheetName val="project detail"/>
      <sheetName val="site detail"/>
      <sheetName val="base rents"/>
      <sheetName val="income stmt yr0"/>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erona)"/>
      <sheetName val="budgets (verona)"/>
      <sheetName val="mo income stmt"/>
      <sheetName val="balance sheet"/>
      <sheetName val="cash flow"/>
      <sheetName val="ownership chart"/>
      <sheetName val="amr sch"/>
      <sheetName val="source &amp; uses mo sch"/>
      <sheetName val="% of completion"/>
      <sheetName val="&lt;&gt;"/>
      <sheetName val="ovation orig. rents vs. curr"/>
      <sheetName val="buyout valuation"/>
      <sheetName val="cf 30 yr sale"/>
      <sheetName val="CF Split Analysis (4)"/>
      <sheetName val="Sensitivity (I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
      <sheetName val="ACH2"/>
      <sheetName val="Wire2"/>
      <sheetName val="PymtAdvice"/>
      <sheetName val="PymtAdvice 2"/>
      <sheetName val="Approve"/>
      <sheetName val="DisbReq"/>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dgs"/>
      <sheetName val="Clubhouse"/>
      <sheetName val="Garages"/>
      <sheetName val="Site"/>
      <sheetName val="Sheet2"/>
      <sheetName val="Sheet3"/>
    </sheetNames>
    <sheetDataSet>
      <sheetData sheetId="0"/>
      <sheetData sheetId="1"/>
      <sheetData sheetId="2"/>
      <sheetData sheetId="3"/>
      <sheetData sheetId="4"/>
      <sheetData sheetId="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1"/>
      <sheetName val="1001"/>
      <sheetName val="0901"/>
      <sheetName val="0801"/>
      <sheetName val="0701"/>
      <sheetName val="0601"/>
      <sheetName val="0501"/>
      <sheetName val="0401"/>
      <sheetName val="0301"/>
      <sheetName val="0201"/>
      <sheetName val="0101"/>
      <sheetName val="1200"/>
      <sheetName val="1100"/>
      <sheetName val="1000"/>
      <sheetName val="0900"/>
      <sheetName val="030!"/>
      <sheetName val=" 401"/>
      <sheetName val="Inc Rec"/>
      <sheetName val="ACCT ANALYSIS"/>
      <sheetName val="12_96 CAM"/>
      <sheetName val="CAMINVBU"/>
      <sheetName val="CalcSheet"/>
      <sheetName val="_401"/>
      <sheetName val="Inc_Rec"/>
      <sheetName val="ACCT_ANALYSIS"/>
      <sheetName val="Condo Assumptions"/>
      <sheetName val="RECONCILIATION"/>
      <sheetName val="13-524-D"/>
      <sheetName val="Vacancy Loss"/>
      <sheetName val="RENT"/>
      <sheetName val="Bldg Summary"/>
      <sheetName val="Companies"/>
      <sheetName val="XAG Inputs &amp; Log"/>
      <sheetName val="Estimated RI "/>
      <sheetName val="File Admin"/>
      <sheetName val="Basic Input Sheet"/>
      <sheetName val="Sheet2"/>
      <sheetName val="ACCRD INS (2001)"/>
      <sheetName val="Input"/>
      <sheetName val="tax1730&amp;2210"/>
      <sheetName val="2060 Accr"/>
      <sheetName val="June Variance"/>
      <sheetName val="0601_x0000__x0000__x0000__x0000__x0000__x0000__x0000__x0000__x0000__x0009__x0000__x0012_[13-524-D.xls]0"/>
      <sheetName val="Bldg_Summary"/>
      <sheetName val="File_Admin"/>
      <sheetName val="XAG_Inputs_&amp;_Log"/>
      <sheetName val="Estimated_RI_"/>
      <sheetName val="ACCRD_INS_(2001)"/>
      <sheetName val="Vacancy_Loss"/>
      <sheetName val="Basic_Input_Sheet"/>
      <sheetName val="Detail"/>
      <sheetName val="Loan Amortization Schedule"/>
      <sheetName val="Depr Anal"/>
      <sheetName val="#REF"/>
      <sheetName val="Project Reporting Information"/>
      <sheetName val="WorkSheetName"/>
      <sheetName val="LEASGR"/>
      <sheetName val="Accr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s"/>
      <sheetName val="Mgmt YTD"/>
      <sheetName val="Mgmt Fee Invoice"/>
      <sheetName val="Cklst"/>
      <sheetName val="Cover"/>
      <sheetName val="Contact"/>
      <sheetName val="Inc Rec"/>
      <sheetName val="RR"/>
      <sheetName val="Cash Flow"/>
      <sheetName val="Balance Sheet"/>
      <sheetName val="3110"/>
      <sheetName val="Retained Earnings"/>
      <sheetName val="Variance"/>
      <sheetName val="Corp. Rec."/>
      <sheetName val="BTE Recv."/>
      <sheetName val="JE FORM"/>
      <sheetName val="Instructions"/>
      <sheetName val="Security Deposit"/>
      <sheetName val="Notes and Mortgages Pay."/>
      <sheetName val="Contributions"/>
      <sheetName val="Manual Billing"/>
      <sheetName val="One Time Charge for oPx"/>
      <sheetName val="0900"/>
      <sheetName val="Cal"/>
      <sheetName val="RECONCILIATION"/>
      <sheetName val="Mgmt_YTD"/>
      <sheetName val="Mgmt_Fee_Invoice"/>
      <sheetName val="Inc_Rec"/>
      <sheetName val="Cash_Flow"/>
      <sheetName val="Balance_Sheet"/>
      <sheetName val="Retained_Earnings"/>
      <sheetName val="Corp__Rec_"/>
      <sheetName val="BTE_Recv_"/>
      <sheetName val="JE_FORM"/>
      <sheetName val="Security_Deposit"/>
      <sheetName val="Notes_and_Mortgages_Pay_"/>
      <sheetName val="Manual_Billing"/>
      <sheetName val="One_Time_Charge_for_oPx"/>
      <sheetName val="Summary Esc. 1st  half 2005-06"/>
      <sheetName val="ACCT ANALYSIS"/>
      <sheetName val="tax1730&amp;2210"/>
      <sheetName val="Bldg Summary"/>
      <sheetName val="Input"/>
      <sheetName val="2060 Accr"/>
      <sheetName val="Sheet1"/>
      <sheetName val="Channingway Month End-2002"/>
      <sheetName val="Base Accounts"/>
      <sheetName val="#REF"/>
      <sheetName val="Property Tax Estimate"/>
      <sheetName val="Detail"/>
      <sheetName val="Companies"/>
      <sheetName val="WorkSheetName"/>
      <sheetName val="N-Clean-Vac - 483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TAX INV (2)"/>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TX95C"/>
    </sheetNames>
    <sheetDataSet>
      <sheetData sheetId="0"/>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IMB AUTO INS"/>
      <sheetName val="MGMT FEES"/>
      <sheetName val="Paradise-BR Ovation LLC"/>
      <sheetName val="D"/>
      <sheetName val="E"/>
      <sheetName val="Dep fr IUB to NSB"/>
      <sheetName val="TRF IUB TO NSB"/>
      <sheetName val="REIMB INTERCO"/>
      <sheetName val="REIMB COBRA"/>
      <sheetName val="MISC"/>
      <sheetName val="PAYROLL REIMB"/>
      <sheetName val="ALM CONTRIBUTION"/>
      <sheetName val="ALM Distribution"/>
      <sheetName val="SHARON HARRY PR"/>
      <sheetName val="PR FUNDING"/>
      <sheetName val="COVER PAYROLL"/>
      <sheetName val="Draw IUB LOC"/>
      <sheetName val="misc 2 "/>
      <sheetName val="Centennial Contractor Fee"/>
      <sheetName val="Thunder Road Contractor Fee"/>
      <sheetName val="Centennial Developer Fee"/>
      <sheetName val="deferred fees &amp; interco"/>
      <sheetName val="Lone Mountain Developer Fee"/>
      <sheetName val="Lone Mountain Contractor Fee"/>
      <sheetName val="Lone Mtn Contr Fee Paradise"/>
      <sheetName val="Ins Claim Reimb"/>
      <sheetName val="IUB Loan - PM portion"/>
      <sheetName val="IUB Loan pymt"/>
      <sheetName val="PAYROLL REIMB (2)"/>
      <sheetName val="ADP"/>
      <sheetName val="ada"/>
      <sheetName val="Sheet1"/>
      <sheetName val="IUB Loan pymt (2)"/>
      <sheetName val="IUB Loan pymt (3)"/>
      <sheetName val="WWS "/>
      <sheetName val="Turn-Rite reimbursements"/>
      <sheetName val="Bnk Chgs"/>
      <sheetName val="cash "/>
      <sheetName val="SHARON PR"/>
      <sheetName val="ALM Personal Exp"/>
      <sheetName val="PR FUNDING (2)"/>
      <sheetName val="LMS  "/>
      <sheetName val="MISC 5"/>
      <sheetName val="trf to WWS"/>
      <sheetName val="trf to LMS"/>
      <sheetName val="LMS Contractor Fee"/>
      <sheetName val="Bnk Chg Reimb"/>
      <sheetName val="Turn-Rite reimbursements (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sheetData sheetId="30"/>
      <sheetData sheetId="31" refreshError="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2328-All Improvements"/>
      <sheetName val="Bldg A"/>
      <sheetName val="Bldg B"/>
      <sheetName val="Bldg C"/>
      <sheetName val="Bldg F"/>
      <sheetName val="Club-Leasing"/>
      <sheetName val="Carports"/>
      <sheetName val="Trash Encloser"/>
      <sheetName val="Site Breakdown"/>
      <sheetName val="Gen Reqs Breakdow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ummary (nml &amp; ovation)"/>
      <sheetName val="cf summary"/>
      <sheetName val="Underwriting"/>
      <sheetName val="annual inc stmt"/>
      <sheetName val="annual inc stmt (2)"/>
      <sheetName val="Calculator"/>
      <sheetName val="Madera amrt"/>
      <sheetName val="Amort-Schs"/>
      <sheetName val="PMT-Analysis"/>
      <sheetName val="Prepay Penaltie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ipants"/>
      <sheetName val="Checklist"/>
      <sheetName val="@Salient Data Sheet"/>
      <sheetName val="2328 Master"/>
      <sheetName val="2328 TYPE 1"/>
      <sheetName val="2328 TYPE 2"/>
      <sheetName val="2328 TYPE 3"/>
      <sheetName val="2328 TYPE 4"/>
      <sheetName val="2328 TYPE 5"/>
      <sheetName val="2328 TYPE 6"/>
      <sheetName val="2328 TYPE 7"/>
      <sheetName val="2328 TYPE 8"/>
      <sheetName val="2328 TYPE 9"/>
      <sheetName val="2328 TYPE 10"/>
      <sheetName val="2328 TYPE 11"/>
      <sheetName val="2328 TYPE 12"/>
      <sheetName val="2328 TYPE 13"/>
      <sheetName val="2328 TYPE 14"/>
      <sheetName val="2328 TYPE 15"/>
      <sheetName val="2328 TYPE 16"/>
      <sheetName val="SF Table"/>
      <sheetName val="Other Fees"/>
      <sheetName val="Coverpage"/>
      <sheetName val="221d4 Report"/>
      <sheetName val="AE Appendix Page"/>
      <sheetName val="Cost Apps 1"/>
      <sheetName val="MF Bldg Comps"/>
      <sheetName val="CH Comps"/>
      <sheetName val="92326 Master"/>
      <sheetName val="92326 Type 1"/>
      <sheetName val="92326 Type 2"/>
      <sheetName val="92326 Type 3"/>
      <sheetName val="92326 Type 4"/>
      <sheetName val="92326 Type 5"/>
      <sheetName val="92326 Type 6"/>
      <sheetName val="92326 Type 7"/>
      <sheetName val="92326 Type 8"/>
      <sheetName val="92326 Type 9"/>
      <sheetName val="92326 Type 10"/>
      <sheetName val="92326 Type 11"/>
      <sheetName val="92326 Type 12"/>
      <sheetName val="92326 Type 13"/>
      <sheetName val="92326 Type 14"/>
      <sheetName val="92326 Type 15"/>
      <sheetName val="92326 Type 16"/>
      <sheetName val="@Site $ Back Up"/>
      <sheetName val="Bldg Cost $ Back Up"/>
      <sheetName val="Bldg 2 Cost $ Back Up"/>
      <sheetName val="Accessory 1 Cost $ Back Up"/>
      <sheetName val="Accessory 2 Cost $ Back Up"/>
      <sheetName val="Accessory 3 Cost $ Back Up"/>
      <sheetName val="Accessory 4 Cost $ Back Up"/>
      <sheetName val="Accessory 5 Cost $ Back Up"/>
      <sheetName val="Accessory 6 Cost $ Back Up"/>
      <sheetName val="Cost Apps 2"/>
      <sheetName val="AE Fee"/>
      <sheetName val="Cost Apps 3"/>
      <sheetName val="92331-B"/>
      <sheetName val="Cost Apps 4"/>
      <sheetName val="92329 (NC)"/>
      <sheetName val="92329 - Work (NC)"/>
      <sheetName val="92329 (SR)"/>
      <sheetName val="92329 - Work (SR)"/>
      <sheetName val="Cost Apps 5"/>
      <sheetName val="92264"/>
      <sheetName val="92264 Section G"/>
      <sheetName val="92264 Section M CNA"/>
      <sheetName val="Resume Appendix"/>
      <sheetName val="Sheet1"/>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Proposal for Triple 7 Moving Of"/>
    </sheetNames>
    <definedNames>
      <definedName name="Annual_interest_rate" refersTo="#REF!"/>
      <definedName name="First_payment_due" refersTo="#REF!"/>
      <definedName name="Payments_per_year" refersTo="#REF!"/>
      <definedName name="Periodic_rate" refersTo="#REF!"/>
      <definedName name="Pmt_to_use" refersTo="#REF!"/>
      <definedName name="Term_in_years" refersTo="#REF!"/>
      <definedName name="Total_payments" refersTo="#REF!"/>
    </definedNames>
    <sheetDataSet>
      <sheetData sheetId="0"/>
      <sheetData sheetId="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puts"/>
      <sheetName val="Summary"/>
      <sheetName val="RentRoll-Stabilized"/>
      <sheetName val="H&amp;B"/>
      <sheetName val="Proforma"/>
      <sheetName val="Cost"/>
      <sheetName val="Sale Comps"/>
      <sheetName val="Income Comps"/>
      <sheetName val="Land Comps"/>
      <sheetName val="Proforma - 1.50x DCR"/>
      <sheetName val="Rent Roll"/>
      <sheetName val="Sources &amp; Uses"/>
      <sheetName val="Sales Comps"/>
      <sheetName val="Land Sale Comps"/>
      <sheetName val="Asking Rent Comps"/>
      <sheetName val="Amort"/>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Summary"/>
      <sheetName val="RentRoll-Stabilized"/>
      <sheetName val="Cost"/>
      <sheetName val="Sale Comps"/>
      <sheetName val="Income Comps"/>
      <sheetName val="Land Comps"/>
      <sheetName val="Appraisal Comparisons"/>
      <sheetName val="Portfolio Info --&gt;"/>
      <sheetName val="Portfolio Analysis"/>
      <sheetName val="Updated Portfolio Analysis"/>
      <sheetName val="Historical Information"/>
      <sheetName val="Rent Rollover Schedule"/>
      <sheetName val="Wynkoop Info --&gt;"/>
      <sheetName val="Rent Roll - Wynkoop"/>
      <sheetName val="H&amp;B &amp; Proforma - Wynkoop"/>
      <sheetName val="W - 2012"/>
      <sheetName val="W - 2013"/>
      <sheetName val="W - Oct T-12"/>
      <sheetName val="W - Oct 2014 YTD"/>
      <sheetName val="Festival Info --&gt;"/>
      <sheetName val="Festival Comp"/>
      <sheetName val="F - Oct 14 T-12"/>
      <sheetName val="F - Newmark Orig UW"/>
      <sheetName val="Admiral Info --&gt;"/>
      <sheetName val="Admiral Comp"/>
      <sheetName val="A - Oct 14 T-12"/>
      <sheetName val="A - Newmark Orig UW"/>
      <sheetName val="Mission Hills Info --&gt;"/>
      <sheetName val="Mission Hills Comp"/>
      <sheetName val="M - Oct 14 T-12"/>
      <sheetName val="M - Newmark Orig UW"/>
      <sheetName val="Alexandria Commons Info --&gt;"/>
      <sheetName val="Rent Roll - Alexandria"/>
      <sheetName val="H&amp;B - Alexandria"/>
      <sheetName val="Proforma - Alexandria"/>
      <sheetName val="A - 2012"/>
      <sheetName val="A - 2013"/>
      <sheetName val="A - Oct T-12"/>
      <sheetName val="A  - Oct 2014 YTD"/>
      <sheetName val="St. John's --&gt;"/>
      <sheetName val="Rent Roll - St. Johns"/>
      <sheetName val="H&amp;B - St. Johns"/>
      <sheetName val="Proforma - St. Johns"/>
      <sheetName val="SJ - 2011"/>
      <sheetName val="SJ - 2012"/>
      <sheetName val="SJ - 2013"/>
      <sheetName val="SJ - Oct 2014 YTD"/>
      <sheetName val="McCook --&gt;"/>
      <sheetName val="MC - Oct 2014 YTD"/>
      <sheetName val="Proforma - McCo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Ind."/>
      <sheetName val="Cash Flows.CFALX"/>
      <sheetName val="Cash Flows.CFPBL"/>
      <sheetName val="Cash Flows.CFPUB"/>
      <sheetName val="Cash Flows.CFSH"/>
      <sheetName val="Cash Flows.CFSV"/>
      <sheetName val="Cash Flows.CFVV"/>
      <sheetName val="Cash Flows.CFWH"/>
      <sheetName val="Loss to Lease"/>
      <sheetName val="Cash Flows.CFEST"/>
      <sheetName val="Cash Flows.CFOAK"/>
      <sheetName val="Cash Flows.CFN"/>
      <sheetName val="Cash Flows.CFW"/>
      <sheetName val="2004B Consol---&gt;"/>
      <sheetName val="CFVV 2004B Consol"/>
      <sheetName val="CFSH 2004B Consol"/>
      <sheetName val="CFSV 2004B Consol"/>
      <sheetName val="CFPUB 2004B Consol"/>
      <sheetName val="CFWH 2004B Consol"/>
      <sheetName val="CFEST 2004B Consol"/>
      <sheetName val="CFALX 2004B Consol"/>
      <sheetName val="CFPBL 2004B Consol"/>
      <sheetName val="CFOAK 2004B Consol"/>
      <sheetName val="CFN 2004B Consol"/>
      <sheetName val="2004B Consol"/>
      <sheetName val="Projections 2005==&gt;"/>
      <sheetName val="2005E Assumptions"/>
      <sheetName val="CFVV 2005E"/>
      <sheetName val="CFSH 2005E"/>
      <sheetName val="CFSV 2005E"/>
      <sheetName val="CFPUB 2005E"/>
      <sheetName val="CFWH 2005E"/>
      <sheetName val="CFEST 2005E"/>
      <sheetName val="CFALX 2005E"/>
      <sheetName val="CFPBL 2005E"/>
      <sheetName val="CFOAK 2005E"/>
      <sheetName val="CFN 2005E"/>
      <sheetName val="CFW 2005E"/>
      <sheetName val="RI CFVV 2005"/>
      <sheetName val="RI CFSH 2005"/>
      <sheetName val="RI CFSV 2005"/>
      <sheetName val="RI CFPUB 2005"/>
      <sheetName val="RI CFWH 2005"/>
      <sheetName val="RI CFEST 2005"/>
      <sheetName val="RI CFALX 2005"/>
      <sheetName val="RI CFPBL 2005"/>
      <sheetName val="RI CFOAK 2005"/>
      <sheetName val="RI CFN 2005"/>
      <sheetName val="RI CFW 2005"/>
      <sheetName val="Backup==&gt;"/>
      <sheetName val="CFVV----&gt;"/>
      <sheetName val="CFVV 2004B"/>
      <sheetName val="Gross Potential-IND. CFVV 2004"/>
      <sheetName val="Rental Income-IND.CFVV 2004"/>
      <sheetName val="Misc. Income.CFVV"/>
      <sheetName val="Advertising.CFVV"/>
      <sheetName val="Activities Expenses.CFVV"/>
      <sheetName val="CF SH-----&gt;"/>
      <sheetName val="CFSH 2004B"/>
      <sheetName val="Gross Potential-IND.CFSH"/>
      <sheetName val="Rental Income-IND.CFSH 2004"/>
      <sheetName val="Misc. Income.CFSH"/>
      <sheetName val="Advertising.CFSH"/>
      <sheetName val="Vacancy Expenses.CFSH"/>
      <sheetName val="Fees, Taxes &amp; Insurance.CFSH"/>
      <sheetName val="CFSV----&gt; "/>
      <sheetName val="CFSV 2004B"/>
      <sheetName val="Gross Potential-FS.CFSV"/>
      <sheetName val="Gross Potential-IND.CFSV"/>
      <sheetName val="Rental Income-IND.CFSV 2004"/>
      <sheetName val="Rental Income-FS.CFSV"/>
      <sheetName val="Repairs and Maintenance.CFSV"/>
      <sheetName val="CF PUB----&gt; "/>
      <sheetName val="CFPUB 2004B"/>
      <sheetName val="Gross Potential-IND.CFPUB"/>
      <sheetName val="Rental Income-IND.CFPUB 2004"/>
      <sheetName val="CF WH----&gt;"/>
      <sheetName val="CFWH 2004B"/>
      <sheetName val="Gross Potential-IND.CFWH"/>
      <sheetName val="Rental Income-IND.CFWH 2004"/>
      <sheetName val="CF EST----&gt;"/>
      <sheetName val="CFEST 2004B"/>
      <sheetName val="Rental Income-FS.CFEST 2004"/>
      <sheetName val="Gross Potential-FS.CFEST"/>
      <sheetName val="CF ALX----&gt;"/>
      <sheetName val="CFALX 2004B"/>
      <sheetName val="Gross Potential-IND.CFALX"/>
      <sheetName val="Rental Income-IND.CFALX 2004"/>
      <sheetName val="CF PBL----&gt;"/>
      <sheetName val="CFPBL 2004B"/>
      <sheetName val="Gross Potential-IND.CFPBL"/>
      <sheetName val="Rental Income-IND.CFPBL 2004"/>
      <sheetName val="Vacancy Expenses.CFPBL"/>
      <sheetName val="CF OAK----&gt;"/>
      <sheetName val="CFOAK 2004B"/>
      <sheetName val="Gross Potential-FS.CFOAK"/>
      <sheetName val="Rental Income-FS.CFOAK 2004"/>
      <sheetName val="CF N----&gt;"/>
      <sheetName val="CFN 2004B"/>
      <sheetName val="Gross Potential-FS.CFN"/>
      <sheetName val="Rental Income-FS.CFN 2004"/>
      <sheetName val="CF W-----&gt;"/>
      <sheetName val="CFW 2004B"/>
      <sheetName val="Gross Potential-FS.CFW"/>
      <sheetName val="Rental Income-FS.CFW 2004"/>
      <sheetName val="W Budget Stbl"/>
      <sheetName val="W Gross Potential Stbl"/>
      <sheetName val="W Rental Income Stbl"/>
      <sheetName val="W Misc. Income Stbl"/>
      <sheetName val="W Advertising Stl"/>
      <sheetName val="W Utilities Stbl"/>
      <sheetName val="W Activities Expenses Stbl"/>
      <sheetName val="W Repairs and Maintenance Stbl"/>
      <sheetName val="W Vacancy Expenses Stbl"/>
      <sheetName val="W Personel Expenses Stbl"/>
      <sheetName val="W Payroll Burden Stbl"/>
      <sheetName val="W Other PR Expenses Stbl"/>
      <sheetName val="W G &amp; A Expenses Stbl"/>
      <sheetName val="W Taxes &amp; Insurance Stbl"/>
      <sheetName val="CF 2002 for all props"/>
      <sheetName val="Unit Mix"/>
      <sheetName val="Capex"/>
      <sheetName val="CFVV Capex"/>
      <sheetName val="CFSH Capex"/>
      <sheetName val="CFSV Capex"/>
      <sheetName val="CFPUB Capex"/>
      <sheetName val="CFWH Capex"/>
      <sheetName val="CFEST Capex"/>
      <sheetName val="CFALX Capex"/>
      <sheetName val="CFPBL Capex"/>
      <sheetName val="CFOAK Capex"/>
      <sheetName val="Charts==&gt;"/>
      <sheetName val="Advertising Summary"/>
      <sheetName val="Occupancy"/>
      <sheetName val="Occupanc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_Roll (2006)"/>
      <sheetName val="Rent_Roll (Current)"/>
      <sheetName val="Cost_Equity_SourcesUses"/>
      <sheetName val="Inv_Sum"/>
    </sheetNames>
    <sheetDataSet>
      <sheetData sheetId="0"/>
      <sheetData sheetId="1"/>
      <sheetData sheetId="2"/>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umptions"/>
      <sheetName val="Table of Contents"/>
      <sheetName val="Investment Analysis"/>
      <sheetName val="CF Split Analysis"/>
      <sheetName val="summary"/>
      <sheetName val="sources &amp; uses"/>
      <sheetName val="perm loan"/>
      <sheetName val="fee calculation"/>
      <sheetName val="bank loan budget"/>
      <sheetName val="interest reserve cal"/>
      <sheetName val="cost analysis"/>
      <sheetName val="project detail"/>
      <sheetName val="base rents"/>
      <sheetName val="rent basis (2)"/>
      <sheetName val="income stmt yr0"/>
      <sheetName val="Sensitivity"/>
      <sheetName val="Sensitivity (2)"/>
      <sheetName val="Sensitivity (IRR)"/>
      <sheetName val="annual inc stmt"/>
      <sheetName val="annual balance sheet"/>
      <sheetName val="annual cash flow"/>
      <sheetName val="depreciation analysis"/>
      <sheetName val="tax analysis"/>
      <sheetName val="mo income stmt"/>
      <sheetName val="balance sheet"/>
      <sheetName val="cash flow"/>
      <sheetName val="condo sale cash flow"/>
      <sheetName val="source &amp; uses mo sch"/>
      <sheetName val="% of completion"/>
      <sheetName val="amr sch"/>
      <sheetName val="SID sch"/>
      <sheetName val="ownership chart"/>
      <sheetName val="CHECK"/>
      <sheetName val="ovation orig. rents vs. curr"/>
      <sheetName val="cf summary dist as apts"/>
      <sheetName val="cf summary dist as condo"/>
      <sheetName val="buyout valuation"/>
      <sheetName val="cf 30 yr sa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Investment Analysis"/>
      <sheetName val="CF Split Analysis"/>
      <sheetName val="sources &amp; uses"/>
      <sheetName val="perm loan"/>
      <sheetName val="interest reserve cal"/>
      <sheetName val="interest reserve cal (1)"/>
      <sheetName val="interest reserve cal (2)"/>
      <sheetName val="fee calculation"/>
      <sheetName val="bank loan budget"/>
      <sheetName val="cost analysis"/>
      <sheetName val="project detail"/>
      <sheetName val="site detail"/>
      <sheetName val="base rents"/>
      <sheetName val="income stmt yr0"/>
      <sheetName val="Appraisal (0)"/>
      <sheetName val="Const Loan (0)"/>
      <sheetName val="Const Loan (00)"/>
      <sheetName val="FMV"/>
      <sheetName val="Const Loan (1)"/>
      <sheetName val="Const Loan (2)"/>
      <sheetName val="Const Loan (3)"/>
      <sheetName val="Const Loan (4)"/>
      <sheetName val="Sensitivity"/>
      <sheetName val="Sensitivity (3)"/>
      <sheetName val="Sensitivity (4)"/>
      <sheetName val="Sensitivity (5)"/>
      <sheetName val="annual inc stmt"/>
      <sheetName val="annual balance sheet"/>
      <sheetName val="annual cash flow"/>
      <sheetName val="depreciation analysis"/>
      <sheetName val="tax analysis"/>
      <sheetName val="summary (v6)"/>
      <sheetName val="Bank budgets"/>
      <sheetName val="budgets (v6)"/>
      <sheetName val="CF Split (V5)"/>
      <sheetName val="mo income stmt"/>
      <sheetName val="mo income stmt (2)"/>
      <sheetName val="balance sheet"/>
      <sheetName val="cash flow"/>
      <sheetName val="ownership chart"/>
      <sheetName val="amr sch"/>
      <sheetName val="source &amp; uses mo sch"/>
      <sheetName val="% of completion"/>
      <sheetName val="&lt;&gt;"/>
      <sheetName val="ovation orig. rents vs. curr"/>
      <sheetName val="buyout valuation"/>
      <sheetName val="Sensitivity (IRR)"/>
      <sheetName val="Appraisal"/>
      <sheetName val="Appraisal (3)"/>
      <sheetName val="perm loa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ata"/>
      <sheetName val="Square Footage Take-offs"/>
      <sheetName val="Cost Estimate Worksheet"/>
      <sheetName val="92329"/>
      <sheetName val="92329-Work"/>
      <sheetName val="SNA"/>
      <sheetName val="92264 Section G - Rehab Only"/>
      <sheetName val="92264 Section M CNA"/>
      <sheetName val="2264"/>
      <sheetName val="Architect Fee Calc"/>
      <sheetName val="92331-B"/>
      <sheetName val="92326 Master"/>
      <sheetName val="92326 CC"/>
      <sheetName val="D3G LI"/>
      <sheetName val="2328-Main"/>
      <sheetName val="2328- Clubhouse"/>
      <sheetName val="2328-LI Page 1"/>
      <sheetName val="2328-LI Page 2"/>
      <sheetName val="2328-LI Page 3"/>
      <sheetName val="Other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Summary"/>
      <sheetName val="AVP"/>
      <sheetName val="Assumptions"/>
      <sheetName val="IS, CYE(3)"/>
      <sheetName val="IS, FYE(2)"/>
      <sheetName val="CF"/>
      <sheetName val="BS"/>
      <sheetName val="debt"/>
      <sheetName val="Debt Refinancing"/>
      <sheetName val="BSadj"/>
      <sheetName val="BOCA Mgmt Equity"/>
      <sheetName val="Returns"/>
      <sheetName val="ratios"/>
      <sheetName val="CMBS Analysis"/>
      <sheetName val="BREAK"/>
      <sheetName val="ownership summary"/>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Assumptions"/>
      <sheetName val="INDEX"/>
      <sheetName val="Table of Contents"/>
      <sheetName val="Table of Contents (2)"/>
      <sheetName val="Investment Summary"/>
      <sheetName val="Sensitivity (0)"/>
      <sheetName val="sources &amp; uses"/>
      <sheetName val="project detail"/>
      <sheetName val="income stmt yr0"/>
      <sheetName val="base rents (2)"/>
      <sheetName val="Expenses Analysis"/>
      <sheetName val="FMV Analysis"/>
      <sheetName val="Const Loan (1)"/>
      <sheetName val="Const Loan (0)"/>
      <sheetName val="site detail"/>
      <sheetName val="Investment Analysis"/>
      <sheetName val="Investment Summary (5yr)"/>
      <sheetName val="CF Dist Analysis"/>
      <sheetName val="CF Dist Analysis (5yr)"/>
      <sheetName val="perm loan"/>
      <sheetName val="cost analysis"/>
      <sheetName val="bank loan budget"/>
      <sheetName val="interest reserve cal"/>
      <sheetName val="fee calculation"/>
      <sheetName val="Sensitivity"/>
      <sheetName val="Sensitivity (3)"/>
      <sheetName val="annual inc stmt"/>
      <sheetName val="annual balance sheet"/>
      <sheetName val="annual cash flow"/>
      <sheetName val="depreciation analysis"/>
      <sheetName val="tax analysis"/>
      <sheetName val="ownership chart"/>
      <sheetName val="summary (v5)"/>
      <sheetName val="Bank budgets"/>
      <sheetName val="budgets (v5)"/>
      <sheetName val="CF Split (V5)"/>
      <sheetName val="interest reserve cal (v1)"/>
      <sheetName val="mo income stmt"/>
      <sheetName val="balance sheet"/>
      <sheetName val="cash flow"/>
      <sheetName val="amr sch"/>
      <sheetName val="source &amp; uses mo sch"/>
      <sheetName val="% of completion"/>
      <sheetName val="&lt;&gt;"/>
      <sheetName val="Appraisal (0)"/>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Notes Sheet"/>
      <sheetName val="Assumptions"/>
      <sheetName val="Monthly Inputs"/>
      <sheetName val="Monthly Spreads"/>
      <sheetName val="Data Tables"/>
      <sheetName val="AdminMonthly"/>
      <sheetName val="Formulas"/>
      <sheetName val="Inflation"/>
      <sheetName val="AdminDirConst"/>
      <sheetName val="Cover"/>
      <sheetName val="Sensitivity - Single"/>
      <sheetName val="Sensitivity - Dual"/>
      <sheetName val="Investment Overview (old)"/>
      <sheetName val="Investment Overview"/>
      <sheetName val="Income Stmt Summ by Plan"/>
      <sheetName val="Profit Proforma by Plan"/>
      <sheetName val="Sheet1"/>
      <sheetName val="Monthly Cash Flow"/>
      <sheetName val="Quarterly Cash Flow"/>
      <sheetName val="Q CF Investor"/>
      <sheetName val="Annual Cash Flow"/>
      <sheetName val="P&amp;L Stmt."/>
      <sheetName val="Quarterly P&amp;L Stmt."/>
      <sheetName val="Annual P&amp;L Stmt."/>
      <sheetName val="Balance Sheet"/>
      <sheetName val="Quarterly Balance Sheet"/>
      <sheetName val="Annual 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 Total Project Ph IV"/>
      <sheetName val="Costs Total Project Ph III"/>
      <sheetName val="Costs Total Project Ph II"/>
      <sheetName val="Costs Total Project Ph I"/>
      <sheetName val="Costs Total Project"/>
      <sheetName val="Budget Total Project"/>
      <sheetName val=" CF Analysis"/>
      <sheetName val="Construction Costs"/>
      <sheetName val="Cash Flow (1)"/>
      <sheetName val="Cash Flow (2)"/>
      <sheetName val="Cash Flow (3)"/>
      <sheetName val="Cash Flow (4)"/>
      <sheetName val="Cash Flow (5)"/>
      <sheetName val="Cash Flow (6)"/>
      <sheetName val="Sheet2"/>
      <sheetName val="Sheet3"/>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Prescreen"/>
      <sheetName val="Property Pics"/>
      <sheetName val="Property Maps"/>
      <sheetName val="Assumptions"/>
      <sheetName val="Rent Roll &amp; Vacancy"/>
      <sheetName val="Concessions"/>
      <sheetName val="Property Analysis Form"/>
      <sheetName val="Inc Exp"/>
      <sheetName val="ctData"/>
      <sheetName val="Sheet1"/>
      <sheetName val="Inc Exp Comments"/>
      <sheetName val="Optg Stmt Summary"/>
      <sheetName val="Rollover"/>
      <sheetName val="Sensitivity Analysis"/>
      <sheetName val="Replacement Reserve"/>
      <sheetName val="Proforma"/>
      <sheetName val="DSC"/>
      <sheetName val="Amortization Table"/>
      <sheetName val="CBA B-Note"/>
      <sheetName val="RENT ROLL PKG"/>
      <sheetName val="PAF PKG"/>
      <sheetName val="Inc Expense (2)"/>
      <sheetName val="HISTORY P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23990526602"/>
      <sheetName val="Template"/>
      <sheetName val="Sheet3"/>
      <sheetName val="Data Lookup"/>
      <sheetName val="8TX95C"/>
      <sheetName val="ENCUMBRANCE"/>
      <sheetName val="CSH TB"/>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SMCAMEXP97"/>
      <sheetName val="Sheet1 (2)"/>
      <sheetName val="SCountyCAMEXP97 "/>
      <sheetName val="Contrib"/>
      <sheetName val="Exppool"/>
      <sheetName val="SSMCAMEXP96"/>
      <sheetName val="SShoreGLA96CAM"/>
      <sheetName val="Sheet1"/>
      <sheetName val="GLA96TAX"/>
      <sheetName val="SSMGLA12"/>
      <sheetName val="SCounty"/>
      <sheetName val="SC.GLA97"/>
      <sheetName val="Tenants"/>
      <sheetName val="Sales Data"/>
      <sheetName val="Sheet3"/>
      <sheetName val="Contrib (2)"/>
      <sheetName val="Input"/>
      <sheetName val="SCH-28 Cash Disbursements"/>
      <sheetName val="Template"/>
      <sheetName val="3-00 RECONCILIATION"/>
      <sheetName val="Test Malls"/>
      <sheetName val="Mgmt Fee Schd"/>
      <sheetName val="Summary"/>
      <sheetName val="Sheet1_(2)"/>
      <sheetName val="SCountyCAMEXP97_"/>
      <sheetName val="SC_GLA97"/>
      <sheetName val="Sales_Data"/>
      <sheetName val="Contrib_(2)"/>
      <sheetName val="SCH-28_Cash_Disbursements"/>
      <sheetName val="3-00_RECONCILIATION"/>
      <sheetName val="Test_Malls"/>
      <sheetName val="Mgmt_Fee_Schd"/>
      <sheetName val="Note 4-10"/>
      <sheetName val="Hyperion NOI"/>
      <sheetName val="HYP NOI @ 100%"/>
      <sheetName val="Spacenet I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AdminMonthly"/>
      <sheetName val="Formulas"/>
      <sheetName val="Menu"/>
      <sheetName val="Hen Scratchings"/>
      <sheetName val="Monthly Inputs"/>
      <sheetName val="Monthly Spreads"/>
      <sheetName val="Data Tables"/>
      <sheetName val="AdminDirConst"/>
      <sheetName val="Cover"/>
      <sheetName val="Sensitivity - Single"/>
      <sheetName val="Sensitivity - Dual"/>
      <sheetName val="Investment Overview"/>
      <sheetName val="Income Stmt Summ by Plan"/>
      <sheetName val="Profit Proforma by Plan"/>
      <sheetName val="Monthly Cash Flow"/>
      <sheetName val="Quarterly Cash Flow"/>
      <sheetName val="Annual Cash Flow"/>
      <sheetName val="P&amp;L Stmt."/>
      <sheetName val="Quarterly P&amp;L Stmt."/>
      <sheetName val="Annual P&amp;L Stmt."/>
      <sheetName val="Balance Sheet"/>
      <sheetName val="Quarterly Balance Sheet"/>
      <sheetName val="Annual Balance Sheet"/>
      <sheetName val="Essbase"/>
      <sheetName val="Proj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buildup"/>
      <sheetName val="DCF FOR LPS"/>
    </sheetNames>
    <sheetDataSet>
      <sheetData sheetId="0"/>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hanges"/>
      <sheetName val="Bldg"/>
      <sheetName val="Site"/>
      <sheetName val="Clubhouse"/>
      <sheetName val="Upg"/>
      <sheetName val="Sheet3"/>
    </sheetNames>
    <sheetDataSet>
      <sheetData sheetId="0"/>
      <sheetData sheetId="1"/>
      <sheetData sheetId="2"/>
      <sheetData sheetId="3"/>
      <sheetData sheetId="4"/>
      <sheetData sheetId="5"/>
      <sheetData sheetId="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Information"/>
      <sheetName val="Rent Roll Analysis"/>
      <sheetName val="Underwriting"/>
      <sheetName val="unmapped sheet"/>
      <sheetName val="Vote Cover - 1"/>
      <sheetName val="Vote Loan Info - 2"/>
      <sheetName val="Allocation, Prepay &amp; Dates - 3"/>
      <sheetName val="Vote Comments - 4"/>
      <sheetName val="Vote Use-Fees-Borrower Info - 5"/>
      <sheetName val="Vote Principal-Sponsor- 6"/>
      <sheetName val="Vote Escrows- 7"/>
      <sheetName val="Vote Property Info A - 8 "/>
      <sheetName val="Vote Property Info B - 9"/>
      <sheetName val="Vote Valuation- 10"/>
      <sheetName val="Vote Cash Flow- 11"/>
      <sheetName val="Vote Cash Flow Footnotes - 12"/>
      <sheetName val="Vote Rent Roll - 13"/>
      <sheetName val="New Rating"/>
      <sheetName val="Vote Duration"/>
      <sheetName val="Vote Rate Circle"/>
      <sheetName val="Rate Reset"/>
      <sheetName val="Variable to Fixed"/>
      <sheetName val="Cmte. of Finance Pg 1"/>
      <sheetName val="Cmte. of Finance Pg 2"/>
      <sheetName val="VLI  Listing Sheet"/>
      <sheetName val="IPLICO  Listing Sheet "/>
      <sheetName val="JHRECO LTD  Listing Sheet  "/>
      <sheetName val="Vote - Open Text"/>
      <sheetName val="Vote Rating"/>
      <sheetName val="JHREF Re-Fi"/>
      <sheetName val="JHLICO Rate Circle"/>
      <sheetName val="JHREF Rate Lock"/>
      <sheetName val="LaunchingPad"/>
      <sheetName val="GlobalInfo"/>
      <sheetName val="JHDropdowns"/>
      <sheetName val="Dropdowns"/>
      <sheetName val="RangeNameInfo"/>
      <sheetName val="RentRoll_Import"/>
      <sheetName val="RentRoll_Export"/>
      <sheetName val="_EXICashFlowImport"/>
      <sheetName val="_EXICashFlowExport"/>
      <sheetName val="_EXIChartOfAccounts"/>
      <sheetName val="_EXIFunnelImport"/>
      <sheetName val="_EXIFunnelEx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CFFCB0-3C70-4D17-819B-B8A7DD1F0711}" name="Table1" displayName="Table1" ref="J10:M15" totalsRowShown="0" headerRowDxfId="4">
  <tableColumns count="4">
    <tableColumn id="1" xr3:uid="{08B04D12-C8B6-4372-ACCB-14DAF8637CDC}" name="Unit Type" dataDxfId="3"/>
    <tableColumn id="2" xr3:uid="{CEAA6490-07B5-4E7C-BB31-803D758FA6EB}" name="# Boxes" dataDxfId="2"/>
    <tableColumn id="3" xr3:uid="{89A69786-7DA9-47BB-B5D1-E5DE225ECA08}" name="Price Per Box" dataDxfId="1">
      <calculatedColumnFormula>$I$12</calculatedColumnFormula>
    </tableColumn>
    <tableColumn id="4" xr3:uid="{32B8897E-2EF2-41D6-9210-2086A43E2859}" name="Price Per Unit" dataDxfId="0">
      <calculatedColumnFormula>K11*$I$12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BCDC-B63E-437E-847A-3AC29A51398E}">
  <sheetPr>
    <tabColor theme="3" tint="0.499984740745262"/>
    <pageSetUpPr fitToPage="1"/>
  </sheetPr>
  <dimension ref="A1:Y520"/>
  <sheetViews>
    <sheetView showGridLines="0" view="pageBreakPreview" zoomScale="85" zoomScaleNormal="100" zoomScaleSheetLayoutView="85" workbookViewId="0">
      <selection activeCell="L11" sqref="A11:L11"/>
    </sheetView>
  </sheetViews>
  <sheetFormatPr defaultColWidth="9.140625" defaultRowHeight="15"/>
  <cols>
    <col min="1" max="1" width="39" style="1" customWidth="1"/>
    <col min="2" max="2" width="14.85546875" style="2" bestFit="1" customWidth="1"/>
    <col min="3" max="4" width="14.85546875" style="2" customWidth="1"/>
    <col min="5" max="5" width="11.7109375" style="2" bestFit="1" customWidth="1"/>
    <col min="6" max="6" width="14.85546875" style="2" customWidth="1"/>
    <col min="7" max="7" width="10.28515625" style="1" customWidth="1"/>
    <col min="8" max="8" width="11.7109375" style="1" bestFit="1" customWidth="1"/>
    <col min="9" max="9" width="13.5703125" style="1" customWidth="1"/>
    <col min="10" max="10" width="14" style="1" customWidth="1"/>
    <col min="11" max="11" width="12" style="1" customWidth="1"/>
    <col min="12" max="12" width="12.28515625" style="1" bestFit="1" customWidth="1"/>
    <col min="13" max="13" width="2.42578125" style="1" customWidth="1"/>
    <col min="14" max="14" width="16.7109375" style="1" customWidth="1"/>
    <col min="15" max="15" width="10.140625" style="1" customWidth="1"/>
    <col min="16" max="16" width="22.7109375" style="1" customWidth="1"/>
    <col min="17" max="17" width="4.7109375" style="1" customWidth="1"/>
    <col min="18" max="18" width="16" style="1" bestFit="1" customWidth="1"/>
    <col min="19" max="19" width="7.7109375" style="1" bestFit="1" customWidth="1"/>
    <col min="20" max="20" width="21.5703125" style="1" bestFit="1" customWidth="1"/>
    <col min="21" max="22" width="6.7109375" style="1" customWidth="1"/>
    <col min="23" max="25" width="9.140625" style="1"/>
    <col min="26" max="26" width="12.85546875" style="1" bestFit="1" customWidth="1"/>
    <col min="27" max="16384" width="9.140625" style="1"/>
  </cols>
  <sheetData>
    <row r="1" spans="1:20" ht="15.75" thickBot="1">
      <c r="A1" s="111" t="s">
        <v>0</v>
      </c>
      <c r="B1" s="111"/>
      <c r="D1" s="111" t="s">
        <v>1</v>
      </c>
      <c r="E1" s="111"/>
      <c r="F1" s="111"/>
      <c r="H1" s="158" t="s">
        <v>2</v>
      </c>
      <c r="I1" s="158"/>
      <c r="J1" s="158"/>
      <c r="N1" s="157" t="s">
        <v>3</v>
      </c>
      <c r="O1" s="157"/>
      <c r="P1" s="157"/>
      <c r="R1" s="157" t="s">
        <v>3</v>
      </c>
      <c r="S1" s="157"/>
      <c r="T1" s="157"/>
    </row>
    <row r="2" spans="1:20" ht="15.75" thickBot="1">
      <c r="A2" s="4" t="s">
        <v>4</v>
      </c>
      <c r="B2" s="5" t="s">
        <v>5</v>
      </c>
      <c r="D2" s="6" t="s">
        <v>6</v>
      </c>
      <c r="E2" s="7" t="s">
        <v>7</v>
      </c>
      <c r="F2" s="7" t="s">
        <v>8</v>
      </c>
      <c r="H2" s="137" t="s">
        <v>9</v>
      </c>
      <c r="I2" s="138" t="s">
        <v>10</v>
      </c>
      <c r="J2" s="138" t="s">
        <v>11</v>
      </c>
      <c r="N2" s="159" t="s">
        <v>12</v>
      </c>
      <c r="O2" s="160">
        <f>B8/3</f>
        <v>103714</v>
      </c>
      <c r="P2" s="159" t="s">
        <v>13</v>
      </c>
      <c r="R2" s="15" t="s">
        <v>14</v>
      </c>
      <c r="S2" s="220">
        <v>14490</v>
      </c>
      <c r="T2" s="15" t="s">
        <v>15</v>
      </c>
    </row>
    <row r="3" spans="1:20">
      <c r="A3" s="11" t="s">
        <v>16</v>
      </c>
      <c r="B3" s="12" t="s">
        <v>17</v>
      </c>
      <c r="D3" s="13" t="s">
        <v>18</v>
      </c>
      <c r="E3" s="9">
        <v>0</v>
      </c>
      <c r="F3" s="14">
        <f t="shared" ref="F3:F8" si="0">E3/$E$8</f>
        <v>0</v>
      </c>
      <c r="H3" s="36">
        <v>1</v>
      </c>
      <c r="I3" s="36">
        <v>155</v>
      </c>
      <c r="J3" s="136">
        <v>141378</v>
      </c>
      <c r="N3" s="15" t="s">
        <v>19</v>
      </c>
      <c r="O3" s="22">
        <v>4</v>
      </c>
      <c r="P3" s="15" t="s">
        <v>20</v>
      </c>
      <c r="R3" s="15" t="s">
        <v>21</v>
      </c>
      <c r="S3" s="220">
        <v>9294</v>
      </c>
      <c r="T3" s="15" t="s">
        <v>15</v>
      </c>
    </row>
    <row r="4" spans="1:20">
      <c r="A4" s="11" t="s">
        <v>22</v>
      </c>
      <c r="B4" s="12" t="s">
        <v>23</v>
      </c>
      <c r="D4" s="16" t="s">
        <v>24</v>
      </c>
      <c r="E4" s="12">
        <f>77+18+96+30</f>
        <v>221</v>
      </c>
      <c r="F4" s="17">
        <f t="shared" si="0"/>
        <v>0.63688760806916422</v>
      </c>
      <c r="H4" s="12">
        <v>2</v>
      </c>
      <c r="I4" s="12">
        <v>192</v>
      </c>
      <c r="J4" s="136">
        <v>169764</v>
      </c>
      <c r="N4" s="15" t="s">
        <v>25</v>
      </c>
      <c r="O4" s="22">
        <v>10</v>
      </c>
      <c r="P4" s="213" t="s">
        <v>26</v>
      </c>
      <c r="R4" s="15" t="s">
        <v>27</v>
      </c>
      <c r="S4" s="22"/>
      <c r="T4" s="15" t="s">
        <v>28</v>
      </c>
    </row>
    <row r="5" spans="1:20">
      <c r="A5" s="11" t="s">
        <v>29</v>
      </c>
      <c r="B5" s="18">
        <v>45809</v>
      </c>
      <c r="D5" s="16" t="s">
        <v>30</v>
      </c>
      <c r="E5" s="12">
        <f>39+21+39+27</f>
        <v>126</v>
      </c>
      <c r="F5" s="17">
        <f t="shared" si="0"/>
        <v>0.36311239193083572</v>
      </c>
      <c r="H5" s="135"/>
      <c r="I5" s="135"/>
      <c r="J5" s="136"/>
      <c r="N5" s="15" t="s">
        <v>31</v>
      </c>
      <c r="O5" s="22">
        <v>11</v>
      </c>
      <c r="P5" s="15" t="s">
        <v>32</v>
      </c>
      <c r="R5" s="15" t="s">
        <v>33</v>
      </c>
      <c r="S5" s="22"/>
      <c r="T5" s="15" t="s">
        <v>28</v>
      </c>
    </row>
    <row r="6" spans="1:20" ht="15.75" thickBot="1">
      <c r="A6" s="11" t="s">
        <v>34</v>
      </c>
      <c r="B6" s="12">
        <v>24</v>
      </c>
      <c r="D6" s="16" t="s">
        <v>35</v>
      </c>
      <c r="E6" s="12">
        <v>0</v>
      </c>
      <c r="F6" s="17">
        <f t="shared" si="0"/>
        <v>0</v>
      </c>
      <c r="H6" s="137" t="s">
        <v>36</v>
      </c>
      <c r="I6" s="138">
        <f>SUM(I3:I5)</f>
        <v>347</v>
      </c>
      <c r="J6" s="139">
        <f>SUM(J3:J5)</f>
        <v>311142</v>
      </c>
      <c r="N6" s="31" t="s">
        <v>37</v>
      </c>
      <c r="O6" s="177">
        <v>2</v>
      </c>
      <c r="P6" s="31"/>
      <c r="R6" s="15" t="s">
        <v>38</v>
      </c>
      <c r="S6" s="22">
        <f>83*48</f>
        <v>3984</v>
      </c>
      <c r="T6" s="15" t="s">
        <v>15</v>
      </c>
    </row>
    <row r="7" spans="1:20" ht="15.75" thickBot="1">
      <c r="A7" s="11" t="s">
        <v>39</v>
      </c>
      <c r="B7" s="12">
        <v>3</v>
      </c>
      <c r="D7" s="19" t="s">
        <v>40</v>
      </c>
      <c r="E7" s="20">
        <v>0</v>
      </c>
      <c r="F7" s="21">
        <f t="shared" si="0"/>
        <v>0</v>
      </c>
      <c r="N7" s="15" t="s">
        <v>41</v>
      </c>
      <c r="O7" s="22">
        <v>2</v>
      </c>
      <c r="P7" s="15"/>
      <c r="R7" s="15" t="s">
        <v>42</v>
      </c>
      <c r="S7" s="22"/>
      <c r="T7" s="15" t="s">
        <v>15</v>
      </c>
    </row>
    <row r="8" spans="1:20" ht="15.75" thickBot="1">
      <c r="A8" s="11" t="s">
        <v>43</v>
      </c>
      <c r="B8" s="22">
        <f>J6</f>
        <v>311142</v>
      </c>
      <c r="D8" s="112" t="s">
        <v>36</v>
      </c>
      <c r="E8" s="113">
        <f>SUM(E3:E7)</f>
        <v>347</v>
      </c>
      <c r="F8" s="114">
        <f t="shared" si="0"/>
        <v>1</v>
      </c>
      <c r="H8" s="150" t="s">
        <v>44</v>
      </c>
      <c r="I8" s="151"/>
      <c r="J8" s="152">
        <f>L326</f>
        <v>59260085.851408847</v>
      </c>
      <c r="N8" s="15" t="s">
        <v>45</v>
      </c>
      <c r="O8" s="178">
        <f>B8/196333*1600</f>
        <v>2535.6267158348319</v>
      </c>
      <c r="P8" s="170" t="s">
        <v>46</v>
      </c>
      <c r="R8" s="179" t="s">
        <v>47</v>
      </c>
      <c r="S8" s="180"/>
      <c r="T8" s="181" t="s">
        <v>15</v>
      </c>
    </row>
    <row r="9" spans="1:20" ht="15.75" thickBot="1">
      <c r="A9" s="11" t="s">
        <v>48</v>
      </c>
      <c r="B9" s="23">
        <v>11.7</v>
      </c>
      <c r="D9" s="111" t="s">
        <v>49</v>
      </c>
      <c r="E9" s="111"/>
      <c r="F9" s="111"/>
      <c r="H9" s="153" t="s">
        <v>50</v>
      </c>
      <c r="I9" s="149"/>
      <c r="J9" s="154">
        <f>J8/E8</f>
        <v>170778.34539310908</v>
      </c>
      <c r="K9" s="10"/>
      <c r="N9" s="15" t="s">
        <v>51</v>
      </c>
      <c r="O9" s="178">
        <f>(47980+59843)/100</f>
        <v>1078.23</v>
      </c>
      <c r="P9" s="213" t="s">
        <v>52</v>
      </c>
      <c r="R9" s="179" t="s">
        <v>53</v>
      </c>
      <c r="S9" s="180">
        <f>37800+16*200+10600+7900+17600</f>
        <v>77100</v>
      </c>
      <c r="T9" s="181" t="s">
        <v>54</v>
      </c>
    </row>
    <row r="10" spans="1:20" ht="15.75" thickBot="1">
      <c r="A10" s="11" t="s">
        <v>55</v>
      </c>
      <c r="B10" s="22">
        <f>B9*43560</f>
        <v>509651.99999999994</v>
      </c>
      <c r="D10" s="91" t="s">
        <v>56</v>
      </c>
      <c r="E10" s="31"/>
      <c r="F10" s="36">
        <v>0</v>
      </c>
      <c r="H10" s="155" t="s">
        <v>57</v>
      </c>
      <c r="I10" s="112"/>
      <c r="J10" s="156">
        <f>J8/B8</f>
        <v>190.45993742859804</v>
      </c>
      <c r="K10" s="10"/>
      <c r="N10" s="15" t="s">
        <v>58</v>
      </c>
      <c r="O10" s="220">
        <f>(SUM(O14:O16)*40)/9</f>
        <v>15620.000000000004</v>
      </c>
      <c r="P10" s="15" t="s">
        <v>59</v>
      </c>
      <c r="R10" s="179" t="s">
        <v>53</v>
      </c>
      <c r="S10" s="180">
        <f>21300+24400+20800+6800+4300+12000+22*200</f>
        <v>94000</v>
      </c>
      <c r="T10" s="181" t="s">
        <v>60</v>
      </c>
    </row>
    <row r="11" spans="1:20" ht="15.75" thickBot="1">
      <c r="A11" s="11" t="s">
        <v>61</v>
      </c>
      <c r="B11" s="22">
        <v>2</v>
      </c>
      <c r="D11" s="11" t="s">
        <v>62</v>
      </c>
      <c r="E11" s="15"/>
      <c r="F11" s="12">
        <v>0</v>
      </c>
      <c r="K11" s="10"/>
      <c r="N11" s="15" t="s">
        <v>63</v>
      </c>
      <c r="O11" s="22">
        <f>(120244+147789)</f>
        <v>268033</v>
      </c>
      <c r="P11" s="15" t="s">
        <v>64</v>
      </c>
      <c r="R11" s="179" t="s">
        <v>53</v>
      </c>
      <c r="S11" s="180">
        <v>0</v>
      </c>
      <c r="T11" s="181" t="s">
        <v>65</v>
      </c>
    </row>
    <row r="12" spans="1:20">
      <c r="A12" s="115" t="s">
        <v>66</v>
      </c>
      <c r="B12" s="116"/>
      <c r="D12" s="11" t="s">
        <v>67</v>
      </c>
      <c r="E12" s="15"/>
      <c r="F12" s="12">
        <f>706-190</f>
        <v>516</v>
      </c>
      <c r="K12" s="10"/>
      <c r="N12" s="15" t="s">
        <v>68</v>
      </c>
      <c r="O12" s="171">
        <f>F15*60%</f>
        <v>309.59999999999997</v>
      </c>
      <c r="P12" s="15" t="s">
        <v>69</v>
      </c>
      <c r="R12" s="181" t="s">
        <v>70</v>
      </c>
      <c r="S12" s="180">
        <f>103*2+24*2</f>
        <v>254</v>
      </c>
      <c r="T12" s="181"/>
    </row>
    <row r="13" spans="1:20">
      <c r="A13" s="24" t="s">
        <v>71</v>
      </c>
      <c r="B13" s="8"/>
      <c r="D13" s="11" t="s">
        <v>72</v>
      </c>
      <c r="E13" s="15"/>
      <c r="F13" s="12">
        <f>ROUNDUP(E8*0.02,0)</f>
        <v>7</v>
      </c>
      <c r="K13" s="10"/>
      <c r="N13" s="15" t="s">
        <v>73</v>
      </c>
      <c r="O13" s="22">
        <f>44500+31000+29000+33400+36700+5600+4900+100400-82500</f>
        <v>203000</v>
      </c>
      <c r="P13" s="15" t="s">
        <v>74</v>
      </c>
      <c r="R13" s="182" t="s">
        <v>75</v>
      </c>
      <c r="S13" s="183">
        <f>67*2+52*2+9+8</f>
        <v>255</v>
      </c>
      <c r="T13" s="182"/>
    </row>
    <row r="14" spans="1:20">
      <c r="A14" s="25" t="s">
        <v>76</v>
      </c>
      <c r="B14" s="15"/>
      <c r="D14" s="11" t="s">
        <v>77</v>
      </c>
      <c r="E14" s="15"/>
      <c r="F14" s="12">
        <v>0</v>
      </c>
      <c r="K14" s="10"/>
      <c r="N14" s="15" t="s">
        <v>78</v>
      </c>
      <c r="O14" s="220">
        <f>1545*110%</f>
        <v>1699.5000000000002</v>
      </c>
      <c r="P14" s="15" t="s">
        <v>79</v>
      </c>
      <c r="R14" s="179" t="s">
        <v>80</v>
      </c>
      <c r="S14" s="180">
        <f>(2440+1725)*3</f>
        <v>12495</v>
      </c>
      <c r="T14" s="181" t="s">
        <v>54</v>
      </c>
    </row>
    <row r="15" spans="1:20">
      <c r="A15" s="25" t="s">
        <v>81</v>
      </c>
      <c r="B15" s="15"/>
      <c r="D15" s="11" t="s">
        <v>82</v>
      </c>
      <c r="E15" s="15"/>
      <c r="F15" s="12">
        <f>SUM(F10:F12)</f>
        <v>516</v>
      </c>
      <c r="N15" s="15" t="s">
        <v>78</v>
      </c>
      <c r="O15" s="220">
        <f>1650*110%</f>
        <v>1815.0000000000002</v>
      </c>
      <c r="P15" s="15" t="s">
        <v>83</v>
      </c>
      <c r="R15" s="179" t="s">
        <v>80</v>
      </c>
      <c r="S15" s="180">
        <f>(2450+1950)*3</f>
        <v>13200</v>
      </c>
      <c r="T15" s="181" t="s">
        <v>60</v>
      </c>
    </row>
    <row r="16" spans="1:20" ht="15.75" thickBot="1">
      <c r="A16" s="27" t="s">
        <v>84</v>
      </c>
      <c r="B16" s="28"/>
      <c r="D16" s="26" t="s">
        <v>85</v>
      </c>
      <c r="E16" s="28"/>
      <c r="F16" s="90">
        <f>SUM(F10:F12)/E8</f>
        <v>1.4870317002881845</v>
      </c>
      <c r="J16" s="10"/>
      <c r="N16" s="15" t="s">
        <v>78</v>
      </c>
      <c r="O16" s="22">
        <v>0</v>
      </c>
      <c r="P16" s="15" t="s">
        <v>86</v>
      </c>
      <c r="R16" s="179" t="s">
        <v>80</v>
      </c>
      <c r="S16" s="180">
        <v>0</v>
      </c>
      <c r="T16" s="181" t="s">
        <v>65</v>
      </c>
    </row>
    <row r="17" spans="1:25">
      <c r="A17" s="3"/>
      <c r="B17" s="29"/>
      <c r="C17" s="29"/>
      <c r="D17" s="29"/>
      <c r="J17" s="10"/>
      <c r="N17" s="15"/>
      <c r="O17" s="22"/>
      <c r="P17" s="15"/>
      <c r="R17" s="15" t="s">
        <v>87</v>
      </c>
      <c r="S17" s="22">
        <f>9800-815-185-125*8</f>
        <v>7800</v>
      </c>
      <c r="T17" s="15" t="s">
        <v>15</v>
      </c>
    </row>
    <row r="18" spans="1:25">
      <c r="A18" s="3"/>
      <c r="B18" s="29"/>
      <c r="C18" s="29"/>
      <c r="D18" s="29"/>
      <c r="J18" s="10"/>
      <c r="N18" s="10"/>
    </row>
    <row r="19" spans="1:25" ht="30.75" customHeight="1" thickBot="1">
      <c r="A19" s="140" t="s">
        <v>88</v>
      </c>
      <c r="B19" s="141" t="s">
        <v>89</v>
      </c>
      <c r="C19" s="141" t="s">
        <v>90</v>
      </c>
      <c r="D19" s="141" t="s">
        <v>91</v>
      </c>
      <c r="E19" s="141" t="s">
        <v>92</v>
      </c>
      <c r="F19" s="141" t="s">
        <v>93</v>
      </c>
      <c r="G19" s="141" t="s">
        <v>94</v>
      </c>
      <c r="H19" s="141" t="s">
        <v>95</v>
      </c>
      <c r="I19" s="142" t="s">
        <v>96</v>
      </c>
      <c r="J19" s="141" t="s">
        <v>97</v>
      </c>
      <c r="K19" s="141" t="s">
        <v>98</v>
      </c>
      <c r="L19" s="140" t="s">
        <v>99</v>
      </c>
      <c r="M19" s="143"/>
      <c r="N19" s="144" t="s">
        <v>100</v>
      </c>
      <c r="O19" s="145"/>
      <c r="P19" s="145"/>
      <c r="Q19" s="145"/>
      <c r="R19" s="145"/>
      <c r="S19" s="145"/>
      <c r="T19" s="145"/>
      <c r="U19" s="145"/>
      <c r="V19" s="145"/>
    </row>
    <row r="20" spans="1:25">
      <c r="A20" s="30" t="s">
        <v>101</v>
      </c>
      <c r="B20" s="44" t="s">
        <v>102</v>
      </c>
      <c r="C20" s="44"/>
      <c r="D20" s="44"/>
      <c r="E20" s="44"/>
      <c r="F20" s="44"/>
      <c r="G20" s="44"/>
      <c r="H20" s="45"/>
      <c r="I20" s="46"/>
      <c r="J20" s="47"/>
      <c r="K20" s="47"/>
      <c r="L20" s="101">
        <f>K21</f>
        <v>2008563.5999999999</v>
      </c>
      <c r="N20" s="31"/>
      <c r="O20" s="31"/>
      <c r="P20" s="31"/>
      <c r="Q20" s="31"/>
      <c r="R20" s="31"/>
      <c r="S20" s="31"/>
      <c r="T20" s="31"/>
      <c r="U20" s="31"/>
      <c r="V20" s="31"/>
    </row>
    <row r="21" spans="1:25">
      <c r="A21" s="32" t="s">
        <v>101</v>
      </c>
      <c r="B21" s="48" t="s">
        <v>102</v>
      </c>
      <c r="C21" s="48" t="s">
        <v>103</v>
      </c>
      <c r="D21" s="48"/>
      <c r="E21" s="48"/>
      <c r="F21" s="48" t="s">
        <v>104</v>
      </c>
      <c r="G21" s="208">
        <f>B6</f>
        <v>24</v>
      </c>
      <c r="H21" s="50">
        <v>83690.149999999994</v>
      </c>
      <c r="I21" s="51">
        <v>0</v>
      </c>
      <c r="J21" s="52">
        <f>H21*(1+I21)</f>
        <v>83690.149999999994</v>
      </c>
      <c r="K21" s="53">
        <f>J21*G21</f>
        <v>2008563.5999999999</v>
      </c>
      <c r="N21" s="163"/>
      <c r="O21" s="15"/>
      <c r="P21" s="15"/>
      <c r="Q21" s="15"/>
      <c r="R21" s="15"/>
      <c r="S21" s="15"/>
      <c r="T21" s="15"/>
      <c r="U21" s="15"/>
      <c r="V21" s="15"/>
      <c r="W21" s="42"/>
    </row>
    <row r="22" spans="1:25">
      <c r="A22" s="33" t="s">
        <v>105</v>
      </c>
      <c r="B22" s="54" t="s">
        <v>106</v>
      </c>
      <c r="C22" s="54"/>
      <c r="D22" s="54"/>
      <c r="E22" s="54"/>
      <c r="F22" s="54"/>
      <c r="G22" s="55"/>
      <c r="H22" s="56"/>
      <c r="I22" s="57"/>
      <c r="J22" s="58"/>
      <c r="K22" s="59"/>
      <c r="L22" s="102">
        <f>K23</f>
        <v>8000</v>
      </c>
      <c r="N22" s="15"/>
      <c r="O22" s="15"/>
      <c r="P22" s="15"/>
      <c r="Q22" s="15"/>
      <c r="R22" s="15"/>
      <c r="S22" s="15"/>
      <c r="T22" s="15"/>
      <c r="U22" s="15"/>
      <c r="V22" s="15"/>
      <c r="W22" s="42"/>
    </row>
    <row r="23" spans="1:25">
      <c r="A23" s="34" t="s">
        <v>107</v>
      </c>
      <c r="B23" s="60" t="s">
        <v>108</v>
      </c>
      <c r="C23" s="60" t="s">
        <v>103</v>
      </c>
      <c r="D23" s="60" t="s">
        <v>109</v>
      </c>
      <c r="E23" s="60" t="s">
        <v>110</v>
      </c>
      <c r="F23" s="60"/>
      <c r="G23" s="61">
        <v>1</v>
      </c>
      <c r="H23" s="62">
        <v>8000</v>
      </c>
      <c r="I23" s="63">
        <v>0</v>
      </c>
      <c r="J23" s="64">
        <f>H23*(1+I23)</f>
        <v>8000</v>
      </c>
      <c r="K23" s="65">
        <f>J23*G23</f>
        <v>8000</v>
      </c>
      <c r="N23" s="15"/>
      <c r="O23" s="15"/>
      <c r="P23" s="15"/>
      <c r="Q23" s="15"/>
      <c r="R23" s="15"/>
      <c r="S23" s="15"/>
      <c r="T23" s="15"/>
      <c r="U23" s="15"/>
      <c r="V23" s="15"/>
      <c r="W23" s="42"/>
    </row>
    <row r="24" spans="1:25">
      <c r="A24" s="33" t="s">
        <v>111</v>
      </c>
      <c r="B24" s="54" t="s">
        <v>112</v>
      </c>
      <c r="C24" s="54"/>
      <c r="D24" s="54"/>
      <c r="E24" s="54"/>
      <c r="F24" s="54"/>
      <c r="G24" s="55"/>
      <c r="H24" s="56"/>
      <c r="I24" s="57"/>
      <c r="J24" s="58"/>
      <c r="K24" s="59"/>
      <c r="L24" s="102">
        <f>SUM(K25:K34)</f>
        <v>1975170.0200000003</v>
      </c>
      <c r="N24" s="15"/>
      <c r="O24" s="15"/>
      <c r="P24" s="15"/>
      <c r="Q24" s="15"/>
      <c r="R24" s="15"/>
      <c r="S24" s="15"/>
      <c r="T24" s="15"/>
      <c r="U24" s="15"/>
      <c r="V24" s="15"/>
      <c r="W24" s="42"/>
      <c r="Y24" s="2"/>
    </row>
    <row r="25" spans="1:25">
      <c r="A25" s="35" t="s">
        <v>113</v>
      </c>
      <c r="B25" s="66" t="s">
        <v>114</v>
      </c>
      <c r="C25" s="66" t="s">
        <v>103</v>
      </c>
      <c r="D25" s="66" t="s">
        <v>115</v>
      </c>
      <c r="E25" s="66" t="s">
        <v>116</v>
      </c>
      <c r="F25" s="66" t="s">
        <v>15</v>
      </c>
      <c r="G25" s="67">
        <f>J6/3</f>
        <v>103714</v>
      </c>
      <c r="H25" s="68">
        <v>11.99</v>
      </c>
      <c r="I25" s="69">
        <v>0</v>
      </c>
      <c r="J25" s="70">
        <f>H25*(1+I25)</f>
        <v>11.99</v>
      </c>
      <c r="K25" s="71">
        <f>J25*G25</f>
        <v>1243530.8600000001</v>
      </c>
      <c r="N25" s="15"/>
      <c r="O25" s="15"/>
      <c r="P25" s="15"/>
      <c r="Q25" s="15"/>
      <c r="R25" s="15"/>
      <c r="S25" s="15"/>
      <c r="T25" s="15"/>
      <c r="U25" s="15"/>
      <c r="V25" s="15"/>
      <c r="W25" s="42"/>
      <c r="Y25" s="2"/>
    </row>
    <row r="26" spans="1:25">
      <c r="A26" s="37" t="s">
        <v>117</v>
      </c>
      <c r="B26" s="72" t="s">
        <v>114</v>
      </c>
      <c r="C26" s="72" t="s">
        <v>103</v>
      </c>
      <c r="D26" s="72" t="s">
        <v>115</v>
      </c>
      <c r="E26" s="72" t="s">
        <v>118</v>
      </c>
      <c r="F26" s="72"/>
      <c r="G26" s="73"/>
      <c r="H26" s="74"/>
      <c r="I26" s="75"/>
      <c r="J26" s="76">
        <f>H26*(1+I26)</f>
        <v>0</v>
      </c>
      <c r="K26" s="71">
        <f t="shared" ref="K26:K49" si="1">J26*G26</f>
        <v>0</v>
      </c>
      <c r="N26" s="15"/>
      <c r="O26" s="15"/>
      <c r="P26" s="15"/>
      <c r="Q26" s="15"/>
      <c r="R26" s="15"/>
      <c r="S26" s="15"/>
      <c r="T26" s="15"/>
      <c r="U26" s="15"/>
      <c r="V26" s="15"/>
      <c r="W26" s="42"/>
      <c r="Y26" s="2"/>
    </row>
    <row r="27" spans="1:25">
      <c r="A27" s="37" t="s">
        <v>119</v>
      </c>
      <c r="B27" s="72" t="s">
        <v>114</v>
      </c>
      <c r="C27" s="72" t="s">
        <v>120</v>
      </c>
      <c r="D27" s="72" t="s">
        <v>115</v>
      </c>
      <c r="E27" s="48" t="s">
        <v>110</v>
      </c>
      <c r="F27" s="211" t="s">
        <v>121</v>
      </c>
      <c r="G27" s="49">
        <v>1</v>
      </c>
      <c r="H27" s="74">
        <f>2500*3</f>
        <v>7500</v>
      </c>
      <c r="I27" s="75">
        <v>0</v>
      </c>
      <c r="J27" s="76">
        <f t="shared" ref="J27" si="2">H27*(1+I27)</f>
        <v>7500</v>
      </c>
      <c r="K27" s="71">
        <f t="shared" si="1"/>
        <v>7500</v>
      </c>
      <c r="N27" s="15"/>
      <c r="O27" s="15"/>
      <c r="P27" s="15"/>
      <c r="Q27" s="15"/>
      <c r="R27" s="15"/>
      <c r="S27" s="15"/>
      <c r="T27" s="15"/>
      <c r="U27" s="15"/>
      <c r="V27" s="15"/>
      <c r="W27" s="42"/>
      <c r="Y27" s="2"/>
    </row>
    <row r="28" spans="1:25">
      <c r="A28" s="37" t="s">
        <v>122</v>
      </c>
      <c r="B28" s="72" t="s">
        <v>114</v>
      </c>
      <c r="C28" s="72" t="s">
        <v>103</v>
      </c>
      <c r="D28" s="72" t="s">
        <v>123</v>
      </c>
      <c r="E28" s="72" t="s">
        <v>116</v>
      </c>
      <c r="F28" s="72" t="s">
        <v>15</v>
      </c>
      <c r="G28" s="73">
        <v>300</v>
      </c>
      <c r="H28" s="74">
        <v>11.99</v>
      </c>
      <c r="I28" s="75">
        <v>0</v>
      </c>
      <c r="J28" s="76">
        <f>H28*(1+I28)</f>
        <v>11.99</v>
      </c>
      <c r="K28" s="71">
        <f t="shared" si="1"/>
        <v>3597</v>
      </c>
      <c r="N28" s="15"/>
      <c r="O28" s="15"/>
      <c r="P28" s="15"/>
      <c r="Q28" s="15"/>
      <c r="R28" s="15"/>
      <c r="S28" s="15"/>
      <c r="T28" s="15"/>
      <c r="U28" s="15"/>
      <c r="V28" s="15"/>
      <c r="W28" s="42"/>
      <c r="Y28" s="2"/>
    </row>
    <row r="29" spans="1:25">
      <c r="A29" s="37" t="s">
        <v>124</v>
      </c>
      <c r="B29" s="72" t="s">
        <v>125</v>
      </c>
      <c r="C29" s="72" t="s">
        <v>103</v>
      </c>
      <c r="D29" s="72" t="s">
        <v>126</v>
      </c>
      <c r="E29" s="72" t="s">
        <v>127</v>
      </c>
      <c r="F29" s="72" t="s">
        <v>32</v>
      </c>
      <c r="G29" s="73">
        <f>O4</f>
        <v>10</v>
      </c>
      <c r="H29" s="74">
        <v>2698</v>
      </c>
      <c r="I29" s="75">
        <v>0</v>
      </c>
      <c r="J29" s="76">
        <f t="shared" ref="J29:J34" si="3">H29*(1+I29)</f>
        <v>2698</v>
      </c>
      <c r="K29" s="71">
        <f t="shared" si="1"/>
        <v>26980</v>
      </c>
      <c r="N29" s="15"/>
      <c r="O29" s="15"/>
      <c r="P29" s="15"/>
      <c r="Q29" s="15"/>
      <c r="R29" s="15"/>
      <c r="S29" s="15"/>
      <c r="T29" s="15"/>
      <c r="U29" s="15"/>
      <c r="V29" s="15"/>
      <c r="W29" s="42"/>
      <c r="Y29" s="2"/>
    </row>
    <row r="30" spans="1:25">
      <c r="A30" s="37" t="s">
        <v>128</v>
      </c>
      <c r="B30" s="72" t="s">
        <v>129</v>
      </c>
      <c r="C30" s="72" t="s">
        <v>103</v>
      </c>
      <c r="D30" s="72" t="s">
        <v>130</v>
      </c>
      <c r="E30" s="72" t="s">
        <v>116</v>
      </c>
      <c r="F30" s="72" t="s">
        <v>121</v>
      </c>
      <c r="G30" s="209">
        <f>O6</f>
        <v>2</v>
      </c>
      <c r="H30" s="74">
        <v>2500</v>
      </c>
      <c r="I30" s="75">
        <v>0</v>
      </c>
      <c r="J30" s="76">
        <f>H30*(1+I30)</f>
        <v>2500</v>
      </c>
      <c r="K30" s="71">
        <f t="shared" si="1"/>
        <v>5000</v>
      </c>
      <c r="N30" s="163"/>
      <c r="O30" s="15"/>
      <c r="P30" s="15"/>
      <c r="Q30" s="15"/>
      <c r="R30" s="15"/>
      <c r="S30" s="15"/>
      <c r="T30" s="15"/>
      <c r="U30" s="15"/>
      <c r="V30" s="15"/>
      <c r="W30" s="42"/>
      <c r="Y30" s="2"/>
    </row>
    <row r="31" spans="1:25">
      <c r="A31" s="37" t="s">
        <v>131</v>
      </c>
      <c r="B31" s="72" t="s">
        <v>132</v>
      </c>
      <c r="C31" s="72" t="s">
        <v>103</v>
      </c>
      <c r="D31" s="72" t="s">
        <v>130</v>
      </c>
      <c r="E31" s="72" t="s">
        <v>118</v>
      </c>
      <c r="F31" s="72"/>
      <c r="G31" s="73"/>
      <c r="H31" s="74"/>
      <c r="I31" s="75"/>
      <c r="J31" s="76">
        <f t="shared" si="3"/>
        <v>0</v>
      </c>
      <c r="K31" s="71">
        <f t="shared" si="1"/>
        <v>0</v>
      </c>
      <c r="N31" s="15"/>
      <c r="O31" s="15"/>
      <c r="P31" s="15"/>
      <c r="Q31" s="15"/>
      <c r="R31" s="15"/>
      <c r="S31" s="15"/>
      <c r="T31" s="15"/>
      <c r="U31" s="15"/>
      <c r="V31" s="15"/>
      <c r="W31" s="42"/>
      <c r="Y31" s="2"/>
    </row>
    <row r="32" spans="1:25">
      <c r="A32" s="37" t="s">
        <v>133</v>
      </c>
      <c r="B32" s="72" t="s">
        <v>134</v>
      </c>
      <c r="C32" s="72" t="s">
        <v>103</v>
      </c>
      <c r="D32" s="72" t="s">
        <v>135</v>
      </c>
      <c r="E32" s="72" t="s">
        <v>118</v>
      </c>
      <c r="F32" s="72"/>
      <c r="G32" s="73"/>
      <c r="H32" s="74"/>
      <c r="I32" s="75"/>
      <c r="J32" s="76">
        <f t="shared" si="3"/>
        <v>0</v>
      </c>
      <c r="K32" s="71">
        <f t="shared" si="1"/>
        <v>0</v>
      </c>
      <c r="N32" s="15"/>
      <c r="O32" s="15"/>
      <c r="P32" s="15"/>
      <c r="Q32" s="15"/>
      <c r="R32" s="15"/>
      <c r="S32" s="15"/>
      <c r="T32" s="15"/>
      <c r="U32" s="15"/>
      <c r="V32" s="15"/>
      <c r="W32" s="42"/>
      <c r="Y32" s="2"/>
    </row>
    <row r="33" spans="1:25">
      <c r="A33" s="37" t="s">
        <v>136</v>
      </c>
      <c r="B33" s="72" t="s">
        <v>137</v>
      </c>
      <c r="C33" s="72" t="s">
        <v>103</v>
      </c>
      <c r="D33" s="72" t="s">
        <v>115</v>
      </c>
      <c r="E33" s="72" t="s">
        <v>116</v>
      </c>
      <c r="F33" s="72" t="s">
        <v>15</v>
      </c>
      <c r="G33" s="161">
        <f>J6/3*2</f>
        <v>207428</v>
      </c>
      <c r="H33" s="74">
        <v>2.94</v>
      </c>
      <c r="I33" s="75">
        <v>0</v>
      </c>
      <c r="J33" s="76">
        <f t="shared" si="3"/>
        <v>2.94</v>
      </c>
      <c r="K33" s="71">
        <f t="shared" si="1"/>
        <v>609838.31999999995</v>
      </c>
      <c r="N33" s="15"/>
      <c r="O33" s="15"/>
      <c r="P33" s="15"/>
      <c r="Q33" s="15"/>
      <c r="R33" s="15"/>
      <c r="S33" s="15"/>
      <c r="T33" s="15"/>
      <c r="U33" s="15"/>
      <c r="V33" s="15"/>
      <c r="W33" s="42"/>
      <c r="Y33" s="2"/>
    </row>
    <row r="34" spans="1:25">
      <c r="A34" s="38" t="s">
        <v>138</v>
      </c>
      <c r="B34" s="77" t="s">
        <v>139</v>
      </c>
      <c r="C34" s="77" t="s">
        <v>103</v>
      </c>
      <c r="D34" s="77" t="s">
        <v>115</v>
      </c>
      <c r="E34" s="77" t="s">
        <v>116</v>
      </c>
      <c r="F34" s="77" t="s">
        <v>15</v>
      </c>
      <c r="G34" s="162">
        <f>SUM($S$6:$S$7)</f>
        <v>3984</v>
      </c>
      <c r="H34" s="79">
        <v>19.760000000000002</v>
      </c>
      <c r="I34" s="80">
        <v>0</v>
      </c>
      <c r="J34" s="81">
        <f t="shared" si="3"/>
        <v>19.760000000000002</v>
      </c>
      <c r="K34" s="65">
        <f t="shared" si="1"/>
        <v>78723.840000000011</v>
      </c>
      <c r="L34" s="103"/>
      <c r="N34" s="15"/>
      <c r="O34" s="15"/>
      <c r="P34" s="15"/>
      <c r="Q34" s="15"/>
      <c r="R34" s="15"/>
      <c r="S34" s="15"/>
      <c r="T34" s="15"/>
      <c r="U34" s="15"/>
      <c r="V34" s="15"/>
      <c r="W34" s="42"/>
      <c r="Y34" s="2"/>
    </row>
    <row r="35" spans="1:25">
      <c r="A35" s="33" t="s">
        <v>140</v>
      </c>
      <c r="B35" s="54" t="s">
        <v>141</v>
      </c>
      <c r="C35" s="54"/>
      <c r="D35" s="54"/>
      <c r="E35" s="54"/>
      <c r="F35" s="54"/>
      <c r="G35" s="55"/>
      <c r="H35" s="56"/>
      <c r="I35" s="57"/>
      <c r="J35" s="58"/>
      <c r="K35" s="59"/>
      <c r="L35" s="102">
        <f>SUM(K36:K43)</f>
        <v>0</v>
      </c>
      <c r="N35" s="15"/>
      <c r="O35" s="15"/>
      <c r="P35" s="15"/>
      <c r="Q35" s="15"/>
      <c r="R35" s="15"/>
      <c r="S35" s="15"/>
      <c r="T35" s="15"/>
      <c r="U35" s="15"/>
      <c r="V35" s="15"/>
      <c r="W35" s="42"/>
      <c r="Y35" s="2"/>
    </row>
    <row r="36" spans="1:25">
      <c r="A36" s="35" t="s">
        <v>142</v>
      </c>
      <c r="B36" s="66"/>
      <c r="C36" s="66" t="s">
        <v>103</v>
      </c>
      <c r="D36" s="66"/>
      <c r="E36" s="66" t="s">
        <v>118</v>
      </c>
      <c r="F36" s="66"/>
      <c r="G36" s="67"/>
      <c r="H36" s="68"/>
      <c r="I36" s="69"/>
      <c r="J36" s="70">
        <f t="shared" ref="J36:J43" si="4">H36*(1+I36)</f>
        <v>0</v>
      </c>
      <c r="K36" s="71">
        <f>J36*G36</f>
        <v>0</v>
      </c>
      <c r="N36" s="15"/>
      <c r="O36" s="15"/>
      <c r="P36" s="15"/>
      <c r="Q36" s="15"/>
      <c r="R36" s="15"/>
      <c r="S36" s="15"/>
      <c r="T36" s="15"/>
      <c r="U36" s="15"/>
      <c r="V36" s="15"/>
      <c r="W36" s="42"/>
      <c r="Y36" s="2"/>
    </row>
    <row r="37" spans="1:25">
      <c r="A37" s="37" t="s">
        <v>143</v>
      </c>
      <c r="B37" s="72"/>
      <c r="C37" s="72" t="s">
        <v>103</v>
      </c>
      <c r="D37" s="72"/>
      <c r="E37" s="72" t="s">
        <v>118</v>
      </c>
      <c r="F37" s="72"/>
      <c r="G37" s="73"/>
      <c r="H37" s="74"/>
      <c r="I37" s="75"/>
      <c r="J37" s="76">
        <f t="shared" si="4"/>
        <v>0</v>
      </c>
      <c r="K37" s="71">
        <f t="shared" si="1"/>
        <v>0</v>
      </c>
      <c r="N37" s="15"/>
      <c r="O37" s="15"/>
      <c r="P37" s="15"/>
      <c r="Q37" s="15"/>
      <c r="R37" s="15"/>
      <c r="S37" s="15"/>
      <c r="T37" s="15"/>
      <c r="U37" s="15"/>
      <c r="V37" s="15"/>
      <c r="W37" s="42"/>
      <c r="Y37" s="2"/>
    </row>
    <row r="38" spans="1:25">
      <c r="A38" s="37" t="s">
        <v>144</v>
      </c>
      <c r="B38" s="72"/>
      <c r="C38" s="72" t="s">
        <v>103</v>
      </c>
      <c r="D38" s="72"/>
      <c r="E38" s="72" t="s">
        <v>118</v>
      </c>
      <c r="F38" s="72"/>
      <c r="G38" s="73"/>
      <c r="H38" s="74"/>
      <c r="I38" s="75"/>
      <c r="J38" s="76">
        <f t="shared" si="4"/>
        <v>0</v>
      </c>
      <c r="K38" s="71">
        <f t="shared" si="1"/>
        <v>0</v>
      </c>
      <c r="N38" s="15"/>
      <c r="O38" s="15"/>
      <c r="P38" s="15"/>
      <c r="Q38" s="15"/>
      <c r="R38" s="15"/>
      <c r="S38" s="15"/>
      <c r="T38" s="15"/>
      <c r="U38" s="15"/>
      <c r="V38" s="15"/>
      <c r="W38" s="42"/>
      <c r="Y38" s="2"/>
    </row>
    <row r="39" spans="1:25">
      <c r="A39" s="37" t="s">
        <v>145</v>
      </c>
      <c r="B39" s="72"/>
      <c r="C39" s="72" t="s">
        <v>103</v>
      </c>
      <c r="D39" s="72"/>
      <c r="E39" s="72" t="s">
        <v>118</v>
      </c>
      <c r="F39" s="72"/>
      <c r="G39" s="73"/>
      <c r="H39" s="74"/>
      <c r="I39" s="75"/>
      <c r="J39" s="76">
        <f t="shared" si="4"/>
        <v>0</v>
      </c>
      <c r="K39" s="71">
        <f t="shared" si="1"/>
        <v>0</v>
      </c>
      <c r="N39" s="15"/>
      <c r="O39" s="15"/>
      <c r="P39" s="15"/>
      <c r="Q39" s="15"/>
      <c r="R39" s="15"/>
      <c r="S39" s="15"/>
      <c r="T39" s="15"/>
      <c r="U39" s="15"/>
      <c r="V39" s="15"/>
      <c r="W39" s="42"/>
      <c r="Y39" s="2"/>
    </row>
    <row r="40" spans="1:25">
      <c r="A40" s="37" t="s">
        <v>146</v>
      </c>
      <c r="B40" s="72"/>
      <c r="C40" s="72" t="s">
        <v>103</v>
      </c>
      <c r="D40" s="72"/>
      <c r="E40" s="72" t="s">
        <v>118</v>
      </c>
      <c r="F40" s="72"/>
      <c r="G40" s="73"/>
      <c r="H40" s="74"/>
      <c r="I40" s="75"/>
      <c r="J40" s="76">
        <f t="shared" si="4"/>
        <v>0</v>
      </c>
      <c r="K40" s="71">
        <f t="shared" si="1"/>
        <v>0</v>
      </c>
      <c r="N40" s="15"/>
      <c r="O40" s="15"/>
      <c r="P40" s="15"/>
      <c r="Q40" s="15"/>
      <c r="R40" s="15"/>
      <c r="S40" s="15"/>
      <c r="T40" s="15"/>
      <c r="U40" s="15"/>
      <c r="V40" s="15"/>
      <c r="W40" s="42"/>
      <c r="Y40" s="2"/>
    </row>
    <row r="41" spans="1:25">
      <c r="A41" s="37" t="s">
        <v>147</v>
      </c>
      <c r="B41" s="72"/>
      <c r="C41" s="72" t="s">
        <v>103</v>
      </c>
      <c r="D41" s="72"/>
      <c r="E41" s="72" t="s">
        <v>118</v>
      </c>
      <c r="F41" s="72"/>
      <c r="G41" s="73"/>
      <c r="H41" s="74"/>
      <c r="I41" s="75"/>
      <c r="J41" s="76">
        <f t="shared" si="4"/>
        <v>0</v>
      </c>
      <c r="K41" s="71">
        <f t="shared" si="1"/>
        <v>0</v>
      </c>
      <c r="N41" s="15"/>
      <c r="O41" s="15"/>
      <c r="P41" s="15"/>
      <c r="Q41" s="15"/>
      <c r="R41" s="15"/>
      <c r="S41" s="15"/>
      <c r="T41" s="15"/>
      <c r="U41" s="15"/>
      <c r="V41" s="15"/>
      <c r="W41" s="42"/>
      <c r="Y41" s="2"/>
    </row>
    <row r="42" spans="1:25">
      <c r="A42" s="37" t="s">
        <v>148</v>
      </c>
      <c r="B42" s="72"/>
      <c r="C42" s="72" t="s">
        <v>103</v>
      </c>
      <c r="D42" s="72"/>
      <c r="E42" s="72" t="s">
        <v>118</v>
      </c>
      <c r="F42" s="72"/>
      <c r="G42" s="73"/>
      <c r="H42" s="74"/>
      <c r="I42" s="75"/>
      <c r="J42" s="76">
        <f t="shared" si="4"/>
        <v>0</v>
      </c>
      <c r="K42" s="71">
        <f t="shared" si="1"/>
        <v>0</v>
      </c>
      <c r="N42" s="15"/>
      <c r="O42" s="15"/>
      <c r="P42" s="15"/>
      <c r="Q42" s="15"/>
      <c r="R42" s="15"/>
      <c r="S42" s="15"/>
      <c r="T42" s="15"/>
      <c r="U42" s="15"/>
      <c r="V42" s="15"/>
      <c r="W42" s="42"/>
      <c r="Y42" s="2"/>
    </row>
    <row r="43" spans="1:25">
      <c r="A43" s="38" t="s">
        <v>149</v>
      </c>
      <c r="B43" s="77"/>
      <c r="C43" s="77" t="s">
        <v>103</v>
      </c>
      <c r="D43" s="77"/>
      <c r="E43" s="77" t="s">
        <v>118</v>
      </c>
      <c r="F43" s="77"/>
      <c r="G43" s="78"/>
      <c r="H43" s="79"/>
      <c r="I43" s="80"/>
      <c r="J43" s="81">
        <f t="shared" si="4"/>
        <v>0</v>
      </c>
      <c r="K43" s="65">
        <f t="shared" si="1"/>
        <v>0</v>
      </c>
      <c r="N43" s="15"/>
      <c r="O43" s="15"/>
      <c r="P43" s="15"/>
      <c r="Q43" s="15"/>
      <c r="R43" s="15"/>
      <c r="S43" s="15"/>
      <c r="T43" s="15"/>
      <c r="U43" s="15"/>
      <c r="V43" s="15"/>
      <c r="W43" s="42"/>
      <c r="Y43" s="2"/>
    </row>
    <row r="44" spans="1:25">
      <c r="A44" s="33" t="s">
        <v>150</v>
      </c>
      <c r="B44" s="54" t="s">
        <v>151</v>
      </c>
      <c r="C44" s="54"/>
      <c r="D44" s="54"/>
      <c r="E44" s="54"/>
      <c r="F44" s="54"/>
      <c r="G44" s="55"/>
      <c r="H44" s="56"/>
      <c r="I44" s="57"/>
      <c r="J44" s="56"/>
      <c r="K44" s="82"/>
      <c r="L44" s="102">
        <f>SUM(K45:K49)</f>
        <v>171000</v>
      </c>
      <c r="N44" s="15"/>
      <c r="O44" s="15"/>
      <c r="P44" s="15"/>
      <c r="Q44" s="15"/>
      <c r="R44" s="15"/>
      <c r="S44" s="15"/>
      <c r="T44" s="15"/>
      <c r="U44" s="15"/>
      <c r="V44" s="15"/>
      <c r="W44" s="42"/>
      <c r="Y44" s="2"/>
    </row>
    <row r="45" spans="1:25">
      <c r="A45" s="35" t="s">
        <v>152</v>
      </c>
      <c r="B45" s="66" t="s">
        <v>153</v>
      </c>
      <c r="C45" s="66" t="s">
        <v>103</v>
      </c>
      <c r="D45" s="66" t="s">
        <v>115</v>
      </c>
      <c r="E45" s="66" t="s">
        <v>116</v>
      </c>
      <c r="F45" s="66" t="s">
        <v>32</v>
      </c>
      <c r="G45" s="67">
        <f>$O$3</f>
        <v>4</v>
      </c>
      <c r="H45" s="207">
        <v>28500</v>
      </c>
      <c r="I45" s="69">
        <v>0</v>
      </c>
      <c r="J45" s="70">
        <f t="shared" ref="J45:J49" si="5">H45*(1+I45)</f>
        <v>28500</v>
      </c>
      <c r="K45" s="71">
        <f t="shared" si="1"/>
        <v>114000</v>
      </c>
      <c r="N45" s="15"/>
      <c r="O45" s="15"/>
      <c r="P45" s="15"/>
      <c r="Q45" s="15"/>
      <c r="R45" s="15"/>
      <c r="S45" s="15"/>
      <c r="T45" s="15"/>
      <c r="U45" s="15"/>
      <c r="V45" s="15"/>
      <c r="W45" s="42"/>
      <c r="Y45" s="2"/>
    </row>
    <row r="46" spans="1:25">
      <c r="A46" s="37" t="s">
        <v>154</v>
      </c>
      <c r="B46" s="72" t="s">
        <v>155</v>
      </c>
      <c r="C46" s="72" t="s">
        <v>103</v>
      </c>
      <c r="D46" s="72" t="s">
        <v>126</v>
      </c>
      <c r="E46" s="72" t="s">
        <v>116</v>
      </c>
      <c r="F46" s="72" t="s">
        <v>32</v>
      </c>
      <c r="G46" s="73">
        <f>$O$4</f>
        <v>10</v>
      </c>
      <c r="H46" s="74">
        <v>5700</v>
      </c>
      <c r="I46" s="75">
        <v>0</v>
      </c>
      <c r="J46" s="76">
        <f t="shared" si="5"/>
        <v>5700</v>
      </c>
      <c r="K46" s="71">
        <f t="shared" si="1"/>
        <v>57000</v>
      </c>
      <c r="N46" s="15"/>
      <c r="O46" s="15"/>
      <c r="P46" s="15"/>
      <c r="Q46" s="15"/>
      <c r="R46" s="15"/>
      <c r="S46" s="15"/>
      <c r="T46" s="15"/>
      <c r="U46" s="15"/>
      <c r="V46" s="15"/>
      <c r="W46" s="42"/>
      <c r="Y46" s="2"/>
    </row>
    <row r="47" spans="1:25">
      <c r="A47" s="37" t="s">
        <v>156</v>
      </c>
      <c r="B47" s="72" t="s">
        <v>157</v>
      </c>
      <c r="C47" s="72" t="s">
        <v>103</v>
      </c>
      <c r="D47" s="72" t="s">
        <v>109</v>
      </c>
      <c r="E47" s="72" t="s">
        <v>118</v>
      </c>
      <c r="F47" s="72"/>
      <c r="G47" s="73"/>
      <c r="H47" s="74"/>
      <c r="I47" s="75"/>
      <c r="J47" s="76">
        <f t="shared" si="5"/>
        <v>0</v>
      </c>
      <c r="K47" s="71">
        <f t="shared" si="1"/>
        <v>0</v>
      </c>
      <c r="N47" s="15"/>
      <c r="O47" s="15"/>
      <c r="P47" s="15"/>
      <c r="Q47" s="15"/>
      <c r="R47" s="15"/>
      <c r="S47" s="15"/>
      <c r="T47" s="15"/>
      <c r="U47" s="15"/>
      <c r="V47" s="15"/>
      <c r="W47" s="42"/>
      <c r="Y47" s="2"/>
    </row>
    <row r="48" spans="1:25">
      <c r="A48" s="37" t="s">
        <v>158</v>
      </c>
      <c r="B48" s="72" t="s">
        <v>159</v>
      </c>
      <c r="C48" s="72" t="s">
        <v>103</v>
      </c>
      <c r="D48" s="72" t="s">
        <v>130</v>
      </c>
      <c r="E48" s="72" t="s">
        <v>118</v>
      </c>
      <c r="F48" s="72"/>
      <c r="G48" s="146"/>
      <c r="H48" s="74"/>
      <c r="I48" s="75"/>
      <c r="J48" s="76">
        <f t="shared" si="5"/>
        <v>0</v>
      </c>
      <c r="K48" s="71">
        <f t="shared" si="1"/>
        <v>0</v>
      </c>
      <c r="N48" s="15"/>
      <c r="O48" s="15"/>
      <c r="P48" s="15"/>
      <c r="Q48" s="15"/>
      <c r="R48" s="15"/>
      <c r="S48" s="15"/>
      <c r="T48" s="15"/>
      <c r="U48" s="15"/>
      <c r="V48" s="15"/>
      <c r="W48" s="42"/>
      <c r="Y48" s="2"/>
    </row>
    <row r="49" spans="1:25">
      <c r="A49" s="37" t="s">
        <v>160</v>
      </c>
      <c r="B49" s="72" t="s">
        <v>161</v>
      </c>
      <c r="C49" s="72" t="s">
        <v>103</v>
      </c>
      <c r="D49" s="72" t="s">
        <v>135</v>
      </c>
      <c r="E49" s="72" t="s">
        <v>118</v>
      </c>
      <c r="F49" s="72"/>
      <c r="G49" s="146"/>
      <c r="H49" s="74"/>
      <c r="I49" s="75"/>
      <c r="J49" s="76">
        <f t="shared" si="5"/>
        <v>0</v>
      </c>
      <c r="K49" s="71">
        <f t="shared" si="1"/>
        <v>0</v>
      </c>
      <c r="N49" s="213"/>
      <c r="O49" s="15"/>
      <c r="P49" s="15"/>
      <c r="Q49" s="15"/>
      <c r="R49" s="15"/>
      <c r="S49" s="15"/>
      <c r="T49" s="15"/>
      <c r="U49" s="15"/>
      <c r="V49" s="15"/>
      <c r="W49" s="42"/>
      <c r="Y49" s="2"/>
    </row>
    <row r="50" spans="1:25">
      <c r="A50" s="33" t="s">
        <v>162</v>
      </c>
      <c r="B50" s="54" t="s">
        <v>163</v>
      </c>
      <c r="C50" s="54"/>
      <c r="D50" s="54"/>
      <c r="E50" s="54"/>
      <c r="F50" s="54"/>
      <c r="G50" s="55"/>
      <c r="H50" s="56"/>
      <c r="I50" s="57"/>
      <c r="J50" s="56"/>
      <c r="K50" s="82"/>
      <c r="L50" s="102">
        <f>SUM(K51:K58)</f>
        <v>392720.43443537259</v>
      </c>
      <c r="N50" s="15"/>
      <c r="O50" s="15"/>
      <c r="P50" s="15"/>
      <c r="Q50" s="15"/>
      <c r="R50" s="15"/>
      <c r="S50" s="15"/>
      <c r="T50" s="15"/>
      <c r="U50" s="15"/>
      <c r="V50" s="15"/>
      <c r="W50" s="42"/>
      <c r="Y50" s="2"/>
    </row>
    <row r="51" spans="1:25">
      <c r="A51" s="35" t="s">
        <v>164</v>
      </c>
      <c r="B51" s="66" t="s">
        <v>165</v>
      </c>
      <c r="C51" s="66" t="s">
        <v>103</v>
      </c>
      <c r="D51" s="66" t="s">
        <v>115</v>
      </c>
      <c r="E51" s="66" t="s">
        <v>118</v>
      </c>
      <c r="F51" s="66"/>
      <c r="G51" s="148"/>
      <c r="H51" s="68">
        <v>186154</v>
      </c>
      <c r="I51" s="69">
        <v>0</v>
      </c>
      <c r="J51" s="70">
        <f t="shared" ref="J51:J58" si="6">H51*(1+I51)</f>
        <v>186154</v>
      </c>
      <c r="K51" s="71">
        <f t="shared" ref="K51:K58" si="7">J51*G51</f>
        <v>0</v>
      </c>
      <c r="N51" s="170" t="s">
        <v>166</v>
      </c>
      <c r="O51" s="15"/>
      <c r="P51" s="15"/>
      <c r="Q51" s="15"/>
      <c r="R51" s="15"/>
      <c r="S51" s="15"/>
      <c r="T51" s="15"/>
      <c r="U51" s="15"/>
      <c r="V51" s="15"/>
      <c r="W51" s="42"/>
      <c r="Y51" s="2"/>
    </row>
    <row r="52" spans="1:25">
      <c r="A52" s="37" t="s">
        <v>167</v>
      </c>
      <c r="B52" s="72" t="s">
        <v>168</v>
      </c>
      <c r="C52" s="72" t="s">
        <v>103</v>
      </c>
      <c r="D52" s="72" t="s">
        <v>115</v>
      </c>
      <c r="E52" s="210" t="s">
        <v>127</v>
      </c>
      <c r="F52" s="72" t="s">
        <v>32</v>
      </c>
      <c r="G52" s="73">
        <f>$O$3</f>
        <v>4</v>
      </c>
      <c r="H52" s="74">
        <v>5990</v>
      </c>
      <c r="I52" s="75">
        <v>0</v>
      </c>
      <c r="J52" s="70">
        <f t="shared" si="6"/>
        <v>5990</v>
      </c>
      <c r="K52" s="71">
        <f t="shared" si="7"/>
        <v>23960</v>
      </c>
      <c r="N52" s="15"/>
      <c r="O52" s="15"/>
      <c r="P52" s="15"/>
      <c r="Q52" s="15"/>
      <c r="R52" s="15"/>
      <c r="S52" s="15"/>
      <c r="T52" s="15"/>
      <c r="U52" s="15"/>
      <c r="V52" s="15"/>
      <c r="W52" s="42"/>
      <c r="Y52" s="2"/>
    </row>
    <row r="53" spans="1:25">
      <c r="A53" s="37" t="s">
        <v>169</v>
      </c>
      <c r="B53" s="72" t="s">
        <v>170</v>
      </c>
      <c r="C53" s="72" t="s">
        <v>103</v>
      </c>
      <c r="D53" s="72" t="s">
        <v>115</v>
      </c>
      <c r="E53" s="72" t="s">
        <v>127</v>
      </c>
      <c r="F53" s="72" t="s">
        <v>121</v>
      </c>
      <c r="G53" s="73">
        <f>$O$5</f>
        <v>11</v>
      </c>
      <c r="H53" s="74">
        <v>11750</v>
      </c>
      <c r="I53" s="75">
        <v>0</v>
      </c>
      <c r="J53" s="70">
        <f t="shared" si="6"/>
        <v>11750</v>
      </c>
      <c r="K53" s="71">
        <f t="shared" si="7"/>
        <v>129250</v>
      </c>
      <c r="N53" s="15"/>
      <c r="O53" s="15"/>
      <c r="P53" s="15"/>
      <c r="Q53" s="15"/>
      <c r="R53" s="15"/>
      <c r="S53" s="15"/>
      <c r="T53" s="15"/>
      <c r="U53" s="15"/>
      <c r="V53" s="15"/>
      <c r="W53" s="42"/>
      <c r="Y53" s="2"/>
    </row>
    <row r="54" spans="1:25">
      <c r="A54" s="37" t="s">
        <v>171</v>
      </c>
      <c r="B54" s="72" t="s">
        <v>170</v>
      </c>
      <c r="C54" s="72" t="s">
        <v>103</v>
      </c>
      <c r="D54" s="72" t="s">
        <v>115</v>
      </c>
      <c r="E54" s="72" t="s">
        <v>118</v>
      </c>
      <c r="F54" s="72"/>
      <c r="G54" s="73"/>
      <c r="H54" s="74">
        <v>0</v>
      </c>
      <c r="I54" s="75">
        <v>0</v>
      </c>
      <c r="J54" s="70">
        <f t="shared" si="6"/>
        <v>0</v>
      </c>
      <c r="K54" s="71">
        <f t="shared" si="7"/>
        <v>0</v>
      </c>
      <c r="N54" s="15"/>
      <c r="O54" s="15"/>
      <c r="P54" s="15"/>
      <c r="Q54" s="15"/>
      <c r="R54" s="15"/>
      <c r="S54" s="15"/>
      <c r="T54" s="15"/>
      <c r="U54" s="15"/>
      <c r="V54" s="15"/>
      <c r="W54" s="42"/>
      <c r="Y54" s="2"/>
    </row>
    <row r="55" spans="1:25">
      <c r="A55" s="37" t="s">
        <v>172</v>
      </c>
      <c r="B55" s="72" t="s">
        <v>173</v>
      </c>
      <c r="C55" s="72" t="s">
        <v>103</v>
      </c>
      <c r="D55" s="72" t="s">
        <v>130</v>
      </c>
      <c r="E55" s="72" t="s">
        <v>118</v>
      </c>
      <c r="F55" s="72"/>
      <c r="G55" s="73"/>
      <c r="H55" s="74">
        <v>0</v>
      </c>
      <c r="I55" s="75">
        <v>0</v>
      </c>
      <c r="J55" s="70">
        <f t="shared" si="6"/>
        <v>0</v>
      </c>
      <c r="K55" s="71">
        <f t="shared" si="7"/>
        <v>0</v>
      </c>
      <c r="N55" s="15"/>
      <c r="O55" s="15"/>
      <c r="P55" s="15"/>
      <c r="Q55" s="15"/>
      <c r="R55" s="15"/>
      <c r="S55" s="15"/>
      <c r="T55" s="15"/>
      <c r="U55" s="15"/>
      <c r="V55" s="15"/>
      <c r="W55" s="42"/>
      <c r="Y55" s="2"/>
    </row>
    <row r="56" spans="1:25">
      <c r="A56" s="37" t="s">
        <v>174</v>
      </c>
      <c r="B56" s="72" t="s">
        <v>175</v>
      </c>
      <c r="C56" s="72" t="s">
        <v>103</v>
      </c>
      <c r="D56" s="72" t="s">
        <v>135</v>
      </c>
      <c r="E56" s="72" t="s">
        <v>127</v>
      </c>
      <c r="F56" s="72" t="s">
        <v>32</v>
      </c>
      <c r="G56" s="161">
        <f>$O$6</f>
        <v>2</v>
      </c>
      <c r="H56" s="74">
        <v>1950</v>
      </c>
      <c r="I56" s="75">
        <v>0</v>
      </c>
      <c r="J56" s="70">
        <f t="shared" si="6"/>
        <v>1950</v>
      </c>
      <c r="K56" s="71">
        <f t="shared" si="7"/>
        <v>3900</v>
      </c>
      <c r="N56" s="163"/>
      <c r="O56" s="15"/>
      <c r="P56" s="15"/>
      <c r="Q56" s="15"/>
      <c r="R56" s="15"/>
      <c r="S56" s="15"/>
      <c r="T56" s="15"/>
      <c r="U56" s="15"/>
      <c r="V56" s="15"/>
      <c r="W56" s="42"/>
      <c r="Y56" s="2"/>
    </row>
    <row r="57" spans="1:25">
      <c r="A57" s="37" t="s">
        <v>176</v>
      </c>
      <c r="B57" s="72" t="s">
        <v>177</v>
      </c>
      <c r="C57" s="72" t="s">
        <v>103</v>
      </c>
      <c r="D57" s="72" t="s">
        <v>115</v>
      </c>
      <c r="E57" s="72" t="s">
        <v>127</v>
      </c>
      <c r="F57" s="72" t="s">
        <v>178</v>
      </c>
      <c r="G57" s="73">
        <f>$O$8</f>
        <v>2535.6267158348319</v>
      </c>
      <c r="H57" s="212">
        <v>92.92</v>
      </c>
      <c r="I57" s="75">
        <v>0</v>
      </c>
      <c r="J57" s="70">
        <f t="shared" si="6"/>
        <v>92.92</v>
      </c>
      <c r="K57" s="71">
        <f t="shared" si="7"/>
        <v>235610.43443537259</v>
      </c>
      <c r="N57" s="15"/>
      <c r="O57" s="15"/>
      <c r="P57" s="15"/>
      <c r="Q57" s="15"/>
      <c r="R57" s="15"/>
      <c r="S57" s="15"/>
      <c r="T57" s="15"/>
      <c r="U57" s="15"/>
      <c r="V57" s="15"/>
      <c r="W57" s="42"/>
      <c r="Y57" s="2"/>
    </row>
    <row r="58" spans="1:25">
      <c r="A58" s="37" t="s">
        <v>179</v>
      </c>
      <c r="B58" s="72" t="s">
        <v>180</v>
      </c>
      <c r="C58" s="72" t="s">
        <v>103</v>
      </c>
      <c r="D58" s="72" t="s">
        <v>181</v>
      </c>
      <c r="E58" s="72" t="s">
        <v>118</v>
      </c>
      <c r="F58" s="72"/>
      <c r="G58" s="73"/>
      <c r="H58" s="74">
        <v>0</v>
      </c>
      <c r="I58" s="75">
        <v>0</v>
      </c>
      <c r="J58" s="70">
        <f t="shared" si="6"/>
        <v>0</v>
      </c>
      <c r="K58" s="71">
        <f t="shared" si="7"/>
        <v>0</v>
      </c>
      <c r="N58" s="15"/>
      <c r="O58" s="15"/>
      <c r="P58" s="15"/>
      <c r="Q58" s="15"/>
      <c r="R58" s="15"/>
      <c r="S58" s="15"/>
      <c r="T58" s="15"/>
      <c r="U58" s="15"/>
      <c r="V58" s="15"/>
      <c r="W58" s="42"/>
      <c r="Y58" s="2"/>
    </row>
    <row r="59" spans="1:25">
      <c r="A59" s="33" t="s">
        <v>182</v>
      </c>
      <c r="B59" s="54" t="s">
        <v>183</v>
      </c>
      <c r="C59" s="54"/>
      <c r="D59" s="54"/>
      <c r="E59" s="54"/>
      <c r="F59" s="54"/>
      <c r="G59" s="55"/>
      <c r="H59" s="56"/>
      <c r="I59" s="57"/>
      <c r="J59" s="56"/>
      <c r="K59" s="82"/>
      <c r="L59" s="102">
        <f>SUM(K60:K71)</f>
        <v>7663075.3600000003</v>
      </c>
      <c r="N59" s="15"/>
      <c r="O59" s="15"/>
      <c r="P59" s="15"/>
      <c r="Q59" s="15"/>
      <c r="R59" s="15"/>
      <c r="S59" s="15"/>
      <c r="T59" s="15"/>
      <c r="U59" s="15"/>
      <c r="V59" s="15"/>
      <c r="W59" s="42"/>
      <c r="Y59" s="2"/>
    </row>
    <row r="60" spans="1:25">
      <c r="A60" s="35" t="s">
        <v>184</v>
      </c>
      <c r="B60" s="66" t="s">
        <v>185</v>
      </c>
      <c r="C60" s="66" t="s">
        <v>103</v>
      </c>
      <c r="D60" s="66" t="s">
        <v>186</v>
      </c>
      <c r="E60" s="66" t="s">
        <v>116</v>
      </c>
      <c r="F60" s="66" t="s">
        <v>187</v>
      </c>
      <c r="G60" s="67">
        <f>E8</f>
        <v>347</v>
      </c>
      <c r="H60" s="68">
        <v>79</v>
      </c>
      <c r="I60" s="69">
        <v>0</v>
      </c>
      <c r="J60" s="70">
        <f t="shared" ref="J60:J71" si="8">H60*(1+I60)</f>
        <v>79</v>
      </c>
      <c r="K60" s="71">
        <f t="shared" ref="K60:K71" si="9">J60*G60</f>
        <v>27413</v>
      </c>
      <c r="N60" s="15"/>
      <c r="O60" s="15"/>
      <c r="P60" s="15"/>
      <c r="Q60" s="15"/>
      <c r="R60" s="15"/>
      <c r="S60" s="15"/>
      <c r="T60" s="15"/>
      <c r="U60" s="15"/>
      <c r="V60" s="15"/>
      <c r="W60" s="42"/>
      <c r="Y60" s="2"/>
    </row>
    <row r="61" spans="1:25">
      <c r="A61" s="37" t="s">
        <v>188</v>
      </c>
      <c r="B61" s="72" t="s">
        <v>189</v>
      </c>
      <c r="C61" s="72" t="s">
        <v>103</v>
      </c>
      <c r="D61" s="72" t="s">
        <v>115</v>
      </c>
      <c r="E61" s="72" t="s">
        <v>116</v>
      </c>
      <c r="F61" s="72" t="s">
        <v>15</v>
      </c>
      <c r="G61" s="73">
        <f>B8</f>
        <v>311142</v>
      </c>
      <c r="H61" s="74">
        <v>19.920000000000002</v>
      </c>
      <c r="I61" s="75">
        <v>0</v>
      </c>
      <c r="J61" s="70">
        <f t="shared" si="8"/>
        <v>19.920000000000002</v>
      </c>
      <c r="K61" s="71">
        <f t="shared" si="9"/>
        <v>6197948.6400000006</v>
      </c>
      <c r="N61" s="213"/>
      <c r="O61" s="15"/>
      <c r="P61" s="15"/>
      <c r="Q61" s="15"/>
      <c r="R61" s="15"/>
      <c r="S61" s="15"/>
      <c r="T61" s="15"/>
      <c r="U61" s="15"/>
      <c r="V61" s="15"/>
      <c r="W61" s="42"/>
      <c r="Y61" s="2"/>
    </row>
    <row r="62" spans="1:25">
      <c r="A62" s="37" t="s">
        <v>190</v>
      </c>
      <c r="B62" s="72" t="s">
        <v>189</v>
      </c>
      <c r="C62" s="72" t="s">
        <v>103</v>
      </c>
      <c r="D62" s="72" t="s">
        <v>115</v>
      </c>
      <c r="E62" s="72" t="s">
        <v>118</v>
      </c>
      <c r="F62" s="72"/>
      <c r="G62" s="73"/>
      <c r="H62" s="74"/>
      <c r="I62" s="75">
        <v>0</v>
      </c>
      <c r="J62" s="70">
        <f t="shared" si="8"/>
        <v>0</v>
      </c>
      <c r="K62" s="71">
        <f t="shared" si="9"/>
        <v>0</v>
      </c>
      <c r="N62" s="15"/>
      <c r="O62" s="15"/>
      <c r="P62" s="15"/>
      <c r="Q62" s="15"/>
      <c r="R62" s="15"/>
      <c r="S62" s="15"/>
      <c r="T62" s="15"/>
      <c r="U62" s="15"/>
      <c r="V62" s="15"/>
      <c r="W62" s="42"/>
      <c r="Y62" s="2"/>
    </row>
    <row r="63" spans="1:25">
      <c r="A63" s="37" t="s">
        <v>191</v>
      </c>
      <c r="B63" s="72" t="s">
        <v>192</v>
      </c>
      <c r="C63" s="72" t="s">
        <v>103</v>
      </c>
      <c r="D63" s="72" t="s">
        <v>181</v>
      </c>
      <c r="E63" s="72" t="s">
        <v>118</v>
      </c>
      <c r="F63" s="72"/>
      <c r="G63" s="73"/>
      <c r="H63" s="74"/>
      <c r="I63" s="75">
        <v>0</v>
      </c>
      <c r="J63" s="70">
        <f t="shared" si="8"/>
        <v>0</v>
      </c>
      <c r="K63" s="71">
        <f t="shared" si="9"/>
        <v>0</v>
      </c>
      <c r="N63" s="15"/>
      <c r="O63" s="15"/>
      <c r="P63" s="15"/>
      <c r="Q63" s="15"/>
      <c r="R63" s="15"/>
      <c r="S63" s="15"/>
      <c r="T63" s="15"/>
      <c r="U63" s="15"/>
      <c r="V63" s="15"/>
      <c r="W63" s="42"/>
      <c r="Y63" s="2"/>
    </row>
    <row r="64" spans="1:25">
      <c r="A64" s="37" t="s">
        <v>193</v>
      </c>
      <c r="B64" s="72" t="s">
        <v>194</v>
      </c>
      <c r="C64" s="72" t="s">
        <v>103</v>
      </c>
      <c r="D64" s="72" t="s">
        <v>181</v>
      </c>
      <c r="E64" s="72" t="s">
        <v>195</v>
      </c>
      <c r="F64" s="72" t="s">
        <v>121</v>
      </c>
      <c r="G64" s="73">
        <v>2</v>
      </c>
      <c r="H64" s="74">
        <v>2810</v>
      </c>
      <c r="I64" s="75">
        <v>0</v>
      </c>
      <c r="J64" s="70">
        <f t="shared" si="8"/>
        <v>2810</v>
      </c>
      <c r="K64" s="71">
        <f t="shared" si="9"/>
        <v>5620</v>
      </c>
      <c r="N64" s="15"/>
      <c r="O64" s="15"/>
      <c r="P64" s="15"/>
      <c r="Q64" s="15"/>
      <c r="R64" s="15"/>
      <c r="S64" s="15"/>
      <c r="T64" s="15"/>
      <c r="U64" s="15"/>
      <c r="V64" s="15"/>
      <c r="W64" s="42"/>
      <c r="Y64" s="2"/>
    </row>
    <row r="65" spans="1:25">
      <c r="A65" s="37" t="s">
        <v>196</v>
      </c>
      <c r="B65" s="72" t="s">
        <v>197</v>
      </c>
      <c r="C65" s="72" t="s">
        <v>103</v>
      </c>
      <c r="D65" s="72" t="s">
        <v>181</v>
      </c>
      <c r="E65" s="72" t="s">
        <v>118</v>
      </c>
      <c r="F65" s="72"/>
      <c r="G65" s="73"/>
      <c r="H65" s="74"/>
      <c r="I65" s="75">
        <v>0</v>
      </c>
      <c r="J65" s="70">
        <f t="shared" si="8"/>
        <v>0</v>
      </c>
      <c r="K65" s="71">
        <f t="shared" si="9"/>
        <v>0</v>
      </c>
      <c r="N65" s="15"/>
      <c r="O65" s="15"/>
      <c r="P65" s="15"/>
      <c r="Q65" s="15"/>
      <c r="R65" s="15"/>
      <c r="S65" s="15"/>
      <c r="T65" s="15"/>
      <c r="U65" s="15"/>
      <c r="V65" s="15"/>
      <c r="W65" s="42"/>
      <c r="Y65" s="2"/>
    </row>
    <row r="66" spans="1:25">
      <c r="A66" s="37" t="s">
        <v>198</v>
      </c>
      <c r="B66" s="72" t="s">
        <v>199</v>
      </c>
      <c r="C66" s="72" t="s">
        <v>103</v>
      </c>
      <c r="D66" s="72" t="s">
        <v>115</v>
      </c>
      <c r="E66" s="72" t="s">
        <v>118</v>
      </c>
      <c r="F66" s="72"/>
      <c r="G66" s="73"/>
      <c r="H66" s="74"/>
      <c r="I66" s="75">
        <v>0</v>
      </c>
      <c r="J66" s="70">
        <f t="shared" si="8"/>
        <v>0</v>
      </c>
      <c r="K66" s="71">
        <f t="shared" si="9"/>
        <v>0</v>
      </c>
      <c r="N66" s="15"/>
      <c r="O66" s="15"/>
      <c r="P66" s="15"/>
      <c r="Q66" s="15"/>
      <c r="R66" s="15"/>
      <c r="S66" s="15"/>
      <c r="T66" s="15"/>
      <c r="U66" s="15"/>
      <c r="V66" s="15"/>
      <c r="W66" s="42"/>
      <c r="Y66" s="2"/>
    </row>
    <row r="67" spans="1:25">
      <c r="A67" s="37" t="s">
        <v>200</v>
      </c>
      <c r="B67" s="72" t="s">
        <v>199</v>
      </c>
      <c r="C67" s="72" t="s">
        <v>103</v>
      </c>
      <c r="D67" s="72" t="s">
        <v>135</v>
      </c>
      <c r="E67" s="72" t="s">
        <v>118</v>
      </c>
      <c r="F67" s="72"/>
      <c r="G67" s="73"/>
      <c r="H67" s="74"/>
      <c r="I67" s="75">
        <v>0</v>
      </c>
      <c r="J67" s="70">
        <f t="shared" si="8"/>
        <v>0</v>
      </c>
      <c r="K67" s="71">
        <f t="shared" si="9"/>
        <v>0</v>
      </c>
      <c r="N67" s="15"/>
      <c r="O67" s="15"/>
      <c r="P67" s="15"/>
      <c r="Q67" s="15"/>
      <c r="R67" s="15"/>
      <c r="S67" s="15"/>
      <c r="T67" s="15"/>
      <c r="U67" s="15"/>
      <c r="V67" s="15"/>
      <c r="W67" s="42"/>
      <c r="Y67" s="2"/>
    </row>
    <row r="68" spans="1:25">
      <c r="A68" s="37" t="s">
        <v>201</v>
      </c>
      <c r="B68" s="72" t="s">
        <v>202</v>
      </c>
      <c r="C68" s="72" t="s">
        <v>103</v>
      </c>
      <c r="D68" s="72" t="s">
        <v>115</v>
      </c>
      <c r="E68" s="72" t="s">
        <v>195</v>
      </c>
      <c r="F68" s="72" t="s">
        <v>187</v>
      </c>
      <c r="G68" s="73">
        <f>E8</f>
        <v>347</v>
      </c>
      <c r="H68" s="74">
        <v>3081</v>
      </c>
      <c r="I68" s="75">
        <v>0</v>
      </c>
      <c r="J68" s="70">
        <f t="shared" si="8"/>
        <v>3081</v>
      </c>
      <c r="K68" s="71">
        <f t="shared" si="9"/>
        <v>1069107</v>
      </c>
      <c r="N68" s="15"/>
      <c r="O68" s="15"/>
      <c r="P68" s="15"/>
      <c r="Q68" s="15"/>
      <c r="R68" s="15"/>
      <c r="S68" s="15"/>
      <c r="T68" s="15"/>
      <c r="U68" s="15"/>
      <c r="V68" s="15"/>
      <c r="W68" s="42"/>
      <c r="Y68" s="2"/>
    </row>
    <row r="69" spans="1:25">
      <c r="A69" s="37" t="s">
        <v>203</v>
      </c>
      <c r="B69" s="72" t="s">
        <v>202</v>
      </c>
      <c r="C69" s="72" t="s">
        <v>103</v>
      </c>
      <c r="D69" s="72" t="s">
        <v>181</v>
      </c>
      <c r="E69" s="72" t="s">
        <v>195</v>
      </c>
      <c r="F69" s="72" t="s">
        <v>15</v>
      </c>
      <c r="G69" s="73">
        <f>B8</f>
        <v>311142</v>
      </c>
      <c r="H69" s="74">
        <v>1.1599999999999999</v>
      </c>
      <c r="I69" s="75">
        <v>0</v>
      </c>
      <c r="J69" s="70">
        <f t="shared" si="8"/>
        <v>1.1599999999999999</v>
      </c>
      <c r="K69" s="71">
        <f t="shared" si="9"/>
        <v>360924.72</v>
      </c>
      <c r="N69" s="15"/>
      <c r="O69" s="15"/>
      <c r="P69" s="15"/>
      <c r="Q69" s="15"/>
      <c r="R69" s="15"/>
      <c r="S69" s="15"/>
      <c r="T69" s="15"/>
      <c r="U69" s="15"/>
      <c r="V69" s="15"/>
      <c r="W69" s="42"/>
      <c r="Y69" s="2"/>
    </row>
    <row r="70" spans="1:25">
      <c r="A70" s="37" t="s">
        <v>204</v>
      </c>
      <c r="B70" s="72" t="s">
        <v>205</v>
      </c>
      <c r="C70" s="72" t="s">
        <v>103</v>
      </c>
      <c r="D70" s="72" t="s">
        <v>181</v>
      </c>
      <c r="E70" s="72" t="s">
        <v>195</v>
      </c>
      <c r="F70" s="72" t="s">
        <v>121</v>
      </c>
      <c r="G70" s="73">
        <v>2</v>
      </c>
      <c r="H70" s="74">
        <v>1031</v>
      </c>
      <c r="I70" s="75">
        <v>0</v>
      </c>
      <c r="J70" s="70">
        <f t="shared" si="8"/>
        <v>1031</v>
      </c>
      <c r="K70" s="71">
        <f t="shared" si="9"/>
        <v>2062</v>
      </c>
      <c r="N70" s="15"/>
      <c r="O70" s="15"/>
      <c r="P70" s="15"/>
      <c r="Q70" s="15"/>
      <c r="R70" s="15"/>
      <c r="S70" s="15"/>
      <c r="T70" s="15"/>
      <c r="U70" s="15"/>
      <c r="V70" s="15"/>
      <c r="W70" s="42"/>
      <c r="Y70" s="2"/>
    </row>
    <row r="71" spans="1:25">
      <c r="A71" s="37" t="s">
        <v>206</v>
      </c>
      <c r="B71" s="72" t="s">
        <v>207</v>
      </c>
      <c r="C71" s="72" t="s">
        <v>103</v>
      </c>
      <c r="D71" s="72" t="s">
        <v>115</v>
      </c>
      <c r="E71" s="72" t="s">
        <v>118</v>
      </c>
      <c r="F71" s="72"/>
      <c r="G71" s="73"/>
      <c r="H71" s="74"/>
      <c r="I71" s="75">
        <v>0</v>
      </c>
      <c r="J71" s="70">
        <f t="shared" si="8"/>
        <v>0</v>
      </c>
      <c r="K71" s="71">
        <f t="shared" si="9"/>
        <v>0</v>
      </c>
      <c r="N71" s="15"/>
      <c r="O71" s="15"/>
      <c r="P71" s="15"/>
      <c r="Q71" s="15"/>
      <c r="R71" s="15"/>
      <c r="S71" s="15"/>
      <c r="T71" s="15"/>
      <c r="U71" s="15"/>
      <c r="V71" s="15"/>
      <c r="W71" s="42"/>
      <c r="Y71" s="2"/>
    </row>
    <row r="72" spans="1:25">
      <c r="A72" s="33" t="s">
        <v>208</v>
      </c>
      <c r="B72" s="54" t="s">
        <v>209</v>
      </c>
      <c r="C72" s="54"/>
      <c r="D72" s="54"/>
      <c r="E72" s="54"/>
      <c r="F72" s="54"/>
      <c r="G72" s="55"/>
      <c r="H72" s="56"/>
      <c r="I72" s="57"/>
      <c r="J72" s="56"/>
      <c r="K72" s="82"/>
      <c r="L72" s="102">
        <f>SUM(K73:K83)</f>
        <v>1573821.8300000003</v>
      </c>
      <c r="N72" s="15"/>
      <c r="O72" s="15"/>
      <c r="P72" s="15"/>
      <c r="Q72" s="15"/>
      <c r="R72" s="15"/>
      <c r="S72" s="15"/>
      <c r="T72" s="15"/>
      <c r="U72" s="15"/>
      <c r="V72" s="15"/>
      <c r="W72" s="42"/>
      <c r="Y72" s="2"/>
    </row>
    <row r="73" spans="1:25">
      <c r="A73" s="35" t="s">
        <v>210</v>
      </c>
      <c r="B73" s="66" t="s">
        <v>211</v>
      </c>
      <c r="C73" s="66" t="s">
        <v>103</v>
      </c>
      <c r="D73" s="66" t="s">
        <v>115</v>
      </c>
      <c r="E73" s="66" t="s">
        <v>116</v>
      </c>
      <c r="F73" s="66" t="s">
        <v>15</v>
      </c>
      <c r="G73" s="67">
        <f>B8</f>
        <v>311142</v>
      </c>
      <c r="H73" s="68">
        <v>2.54</v>
      </c>
      <c r="I73" s="69">
        <v>0</v>
      </c>
      <c r="J73" s="70">
        <f t="shared" ref="J73:J83" si="10">H73*(1+I73)</f>
        <v>2.54</v>
      </c>
      <c r="K73" s="71">
        <f t="shared" ref="K73:K83" si="11">J73*G73</f>
        <v>790300.68</v>
      </c>
      <c r="N73" s="15"/>
      <c r="O73" s="15"/>
      <c r="P73" s="15"/>
      <c r="Q73" s="15"/>
      <c r="R73" s="15"/>
      <c r="S73" s="15"/>
      <c r="T73" s="15"/>
      <c r="U73" s="15"/>
      <c r="V73" s="15"/>
      <c r="W73" s="42"/>
      <c r="Y73" s="2"/>
    </row>
    <row r="74" spans="1:25">
      <c r="A74" s="37" t="s">
        <v>51</v>
      </c>
      <c r="B74" s="72" t="s">
        <v>212</v>
      </c>
      <c r="C74" s="72" t="s">
        <v>103</v>
      </c>
      <c r="D74" s="72" t="s">
        <v>115</v>
      </c>
      <c r="E74" s="72" t="s">
        <v>116</v>
      </c>
      <c r="F74" s="72" t="s">
        <v>213</v>
      </c>
      <c r="G74" s="73">
        <f>O9</f>
        <v>1078.23</v>
      </c>
      <c r="H74" s="74">
        <v>603</v>
      </c>
      <c r="I74" s="75">
        <v>0</v>
      </c>
      <c r="J74" s="74">
        <f t="shared" si="10"/>
        <v>603</v>
      </c>
      <c r="K74" s="83">
        <f t="shared" si="11"/>
        <v>650172.69000000006</v>
      </c>
      <c r="N74" s="15"/>
      <c r="O74" s="15"/>
      <c r="P74" s="15"/>
      <c r="Q74" s="15"/>
      <c r="R74" s="15"/>
      <c r="S74" s="15"/>
      <c r="T74" s="15"/>
      <c r="U74" s="15"/>
      <c r="V74" s="15"/>
      <c r="W74" s="42"/>
      <c r="Y74" s="2"/>
    </row>
    <row r="75" spans="1:25">
      <c r="A75" s="37" t="s">
        <v>214</v>
      </c>
      <c r="B75" s="72" t="s">
        <v>215</v>
      </c>
      <c r="C75" s="72" t="s">
        <v>103</v>
      </c>
      <c r="D75" s="72" t="s">
        <v>181</v>
      </c>
      <c r="E75" s="72" t="s">
        <v>118</v>
      </c>
      <c r="F75" s="72"/>
      <c r="G75" s="73"/>
      <c r="H75" s="74"/>
      <c r="I75" s="75">
        <v>0</v>
      </c>
      <c r="J75" s="74">
        <f t="shared" si="10"/>
        <v>0</v>
      </c>
      <c r="K75" s="83">
        <f t="shared" si="11"/>
        <v>0</v>
      </c>
      <c r="N75" s="15"/>
      <c r="O75" s="15"/>
      <c r="P75" s="15"/>
      <c r="Q75" s="15"/>
      <c r="R75" s="15"/>
      <c r="S75" s="15"/>
      <c r="T75" s="15"/>
      <c r="U75" s="15"/>
      <c r="V75" s="15"/>
      <c r="W75" s="42"/>
      <c r="Y75" s="2"/>
    </row>
    <row r="76" spans="1:25">
      <c r="A76" s="37" t="s">
        <v>216</v>
      </c>
      <c r="B76" s="72" t="s">
        <v>215</v>
      </c>
      <c r="C76" s="72" t="s">
        <v>103</v>
      </c>
      <c r="D76" s="72" t="s">
        <v>123</v>
      </c>
      <c r="E76" s="72" t="s">
        <v>110</v>
      </c>
      <c r="F76" s="72" t="s">
        <v>121</v>
      </c>
      <c r="G76" s="73">
        <v>1</v>
      </c>
      <c r="H76" s="74">
        <v>6700</v>
      </c>
      <c r="I76" s="75">
        <v>0</v>
      </c>
      <c r="J76" s="74">
        <f t="shared" si="10"/>
        <v>6700</v>
      </c>
      <c r="K76" s="83">
        <f t="shared" si="11"/>
        <v>6700</v>
      </c>
      <c r="N76" s="15"/>
      <c r="O76" s="15"/>
      <c r="P76" s="15"/>
      <c r="Q76" s="15"/>
      <c r="R76" s="15"/>
      <c r="S76" s="15"/>
      <c r="T76" s="15"/>
      <c r="U76" s="15"/>
      <c r="V76" s="15"/>
      <c r="W76" s="42"/>
      <c r="Y76" s="2"/>
    </row>
    <row r="77" spans="1:25">
      <c r="A77" s="37" t="s">
        <v>217</v>
      </c>
      <c r="B77" s="72" t="s">
        <v>218</v>
      </c>
      <c r="C77" s="72" t="s">
        <v>103</v>
      </c>
      <c r="D77" s="72" t="s">
        <v>135</v>
      </c>
      <c r="E77" s="72" t="s">
        <v>118</v>
      </c>
      <c r="F77" s="72"/>
      <c r="G77" s="73"/>
      <c r="H77" s="74"/>
      <c r="I77" s="75">
        <v>0</v>
      </c>
      <c r="J77" s="74">
        <f t="shared" si="10"/>
        <v>0</v>
      </c>
      <c r="K77" s="83">
        <f t="shared" si="11"/>
        <v>0</v>
      </c>
      <c r="N77" s="15"/>
      <c r="O77" s="15"/>
      <c r="P77" s="15"/>
      <c r="Q77" s="15"/>
      <c r="R77" s="15"/>
      <c r="S77" s="15"/>
      <c r="T77" s="15"/>
      <c r="U77" s="15"/>
      <c r="V77" s="15"/>
      <c r="W77" s="42"/>
      <c r="Y77" s="2"/>
    </row>
    <row r="78" spans="1:25">
      <c r="A78" s="37" t="s">
        <v>219</v>
      </c>
      <c r="B78" s="72" t="s">
        <v>220</v>
      </c>
      <c r="C78" s="72" t="s">
        <v>103</v>
      </c>
      <c r="D78" s="72" t="s">
        <v>126</v>
      </c>
      <c r="E78" s="72" t="s">
        <v>116</v>
      </c>
      <c r="F78" s="72" t="s">
        <v>32</v>
      </c>
      <c r="G78" s="73">
        <f>$O$4</f>
        <v>10</v>
      </c>
      <c r="H78" s="74">
        <v>7000</v>
      </c>
      <c r="I78" s="75">
        <v>0</v>
      </c>
      <c r="J78" s="74">
        <f t="shared" si="10"/>
        <v>7000</v>
      </c>
      <c r="K78" s="83">
        <f t="shared" si="11"/>
        <v>70000</v>
      </c>
      <c r="N78" s="15"/>
      <c r="O78" s="15"/>
      <c r="P78" s="15"/>
      <c r="Q78" s="15"/>
      <c r="R78" s="15"/>
      <c r="S78" s="15"/>
      <c r="T78" s="15"/>
      <c r="U78" s="15"/>
      <c r="V78" s="15"/>
      <c r="W78" s="42"/>
      <c r="Y78" s="2"/>
    </row>
    <row r="79" spans="1:25">
      <c r="A79" s="37" t="s">
        <v>221</v>
      </c>
      <c r="B79" s="72" t="s">
        <v>222</v>
      </c>
      <c r="C79" s="72" t="s">
        <v>103</v>
      </c>
      <c r="D79" s="72" t="s">
        <v>115</v>
      </c>
      <c r="E79" s="72" t="s">
        <v>116</v>
      </c>
      <c r="F79" s="72" t="s">
        <v>15</v>
      </c>
      <c r="G79" s="73">
        <f>$B$8</f>
        <v>311142</v>
      </c>
      <c r="H79" s="74">
        <v>0.08</v>
      </c>
      <c r="I79" s="75">
        <v>0</v>
      </c>
      <c r="J79" s="74">
        <f t="shared" si="10"/>
        <v>0.08</v>
      </c>
      <c r="K79" s="83">
        <f t="shared" si="11"/>
        <v>24891.360000000001</v>
      </c>
      <c r="N79" s="15"/>
      <c r="O79" s="15"/>
      <c r="P79" s="15"/>
      <c r="Q79" s="15"/>
      <c r="R79" s="15"/>
      <c r="S79" s="15"/>
      <c r="T79" s="15"/>
      <c r="U79" s="15"/>
      <c r="V79" s="15"/>
      <c r="W79" s="42"/>
      <c r="Y79" s="2"/>
    </row>
    <row r="80" spans="1:25">
      <c r="A80" s="37" t="s">
        <v>223</v>
      </c>
      <c r="B80" s="72" t="s">
        <v>224</v>
      </c>
      <c r="C80" s="72" t="s">
        <v>103</v>
      </c>
      <c r="D80" s="72" t="s">
        <v>115</v>
      </c>
      <c r="E80" s="72" t="s">
        <v>116</v>
      </c>
      <c r="F80" s="72" t="s">
        <v>15</v>
      </c>
      <c r="G80" s="73">
        <f>$B$8</f>
        <v>311142</v>
      </c>
      <c r="H80" s="74">
        <v>0.05</v>
      </c>
      <c r="I80" s="75">
        <v>0</v>
      </c>
      <c r="J80" s="74">
        <f t="shared" si="10"/>
        <v>0.05</v>
      </c>
      <c r="K80" s="83">
        <f t="shared" si="11"/>
        <v>15557.1</v>
      </c>
      <c r="N80" s="15"/>
      <c r="O80" s="15"/>
      <c r="P80" s="15"/>
      <c r="Q80" s="15"/>
      <c r="R80" s="15"/>
      <c r="S80" s="15"/>
      <c r="T80" s="15"/>
      <c r="U80" s="15"/>
      <c r="V80" s="15"/>
      <c r="W80" s="42"/>
      <c r="Y80" s="2"/>
    </row>
    <row r="81" spans="1:25">
      <c r="A81" s="37" t="s">
        <v>225</v>
      </c>
      <c r="B81" s="72" t="s">
        <v>226</v>
      </c>
      <c r="C81" s="72" t="s">
        <v>103</v>
      </c>
      <c r="D81" s="72" t="s">
        <v>115</v>
      </c>
      <c r="E81" s="72" t="s">
        <v>116</v>
      </c>
      <c r="F81" s="72" t="s">
        <v>32</v>
      </c>
      <c r="G81" s="73">
        <f>2*$B$11</f>
        <v>4</v>
      </c>
      <c r="H81" s="74">
        <v>1550</v>
      </c>
      <c r="I81" s="75">
        <v>0</v>
      </c>
      <c r="J81" s="74">
        <f t="shared" si="10"/>
        <v>1550</v>
      </c>
      <c r="K81" s="83">
        <f t="shared" si="11"/>
        <v>6200</v>
      </c>
      <c r="N81" s="15" t="s">
        <v>227</v>
      </c>
      <c r="O81" s="15"/>
      <c r="P81" s="15"/>
      <c r="Q81" s="15"/>
      <c r="R81" s="15"/>
      <c r="S81" s="15"/>
      <c r="T81" s="15"/>
      <c r="U81" s="15"/>
      <c r="V81" s="15"/>
      <c r="W81" s="42"/>
      <c r="Y81" s="2"/>
    </row>
    <row r="82" spans="1:25">
      <c r="A82" s="37" t="s">
        <v>228</v>
      </c>
      <c r="B82" s="72" t="s">
        <v>229</v>
      </c>
      <c r="C82" s="72" t="s">
        <v>103</v>
      </c>
      <c r="D82" s="72" t="s">
        <v>115</v>
      </c>
      <c r="E82" s="72" t="s">
        <v>116</v>
      </c>
      <c r="F82" s="72" t="s">
        <v>32</v>
      </c>
      <c r="G82" s="73">
        <f>2*$B$11</f>
        <v>4</v>
      </c>
      <c r="H82" s="74">
        <v>2500</v>
      </c>
      <c r="I82" s="75">
        <v>0</v>
      </c>
      <c r="J82" s="74">
        <f t="shared" si="10"/>
        <v>2500</v>
      </c>
      <c r="K82" s="83">
        <f t="shared" si="11"/>
        <v>10000</v>
      </c>
      <c r="N82" s="15" t="s">
        <v>227</v>
      </c>
      <c r="O82" s="15"/>
      <c r="P82" s="15"/>
      <c r="Q82" s="15"/>
      <c r="R82" s="15"/>
      <c r="S82" s="15"/>
      <c r="T82" s="15"/>
      <c r="U82" s="15"/>
      <c r="V82" s="15"/>
      <c r="W82" s="42"/>
      <c r="Y82" s="2"/>
    </row>
    <row r="83" spans="1:25">
      <c r="A83" s="37" t="s">
        <v>230</v>
      </c>
      <c r="B83" s="72" t="s">
        <v>231</v>
      </c>
      <c r="C83" s="72" t="s">
        <v>103</v>
      </c>
      <c r="D83" s="72" t="s">
        <v>115</v>
      </c>
      <c r="E83" s="72" t="s">
        <v>118</v>
      </c>
      <c r="F83" s="72"/>
      <c r="G83" s="73"/>
      <c r="H83" s="74"/>
      <c r="I83" s="75">
        <v>0</v>
      </c>
      <c r="J83" s="74">
        <f t="shared" si="10"/>
        <v>0</v>
      </c>
      <c r="K83" s="83">
        <f t="shared" si="11"/>
        <v>0</v>
      </c>
      <c r="N83" s="15"/>
      <c r="O83" s="15"/>
      <c r="P83" s="15"/>
      <c r="Q83" s="15"/>
      <c r="R83" s="15"/>
      <c r="S83" s="15"/>
      <c r="T83" s="15"/>
      <c r="U83" s="15"/>
      <c r="V83" s="15"/>
      <c r="W83" s="42"/>
      <c r="Y83" s="2"/>
    </row>
    <row r="84" spans="1:25">
      <c r="A84" s="33" t="s">
        <v>232</v>
      </c>
      <c r="B84" s="54" t="s">
        <v>233</v>
      </c>
      <c r="C84" s="54"/>
      <c r="D84" s="54"/>
      <c r="E84" s="54"/>
      <c r="F84" s="54"/>
      <c r="G84" s="55"/>
      <c r="H84" s="56"/>
      <c r="I84" s="57"/>
      <c r="J84" s="56"/>
      <c r="K84" s="82"/>
      <c r="L84" s="102">
        <f>SUM(K85:K99)</f>
        <v>548400.70000000007</v>
      </c>
      <c r="N84" s="15"/>
      <c r="O84" s="15"/>
      <c r="P84" s="15"/>
      <c r="Q84" s="15"/>
      <c r="R84" s="15"/>
      <c r="S84" s="15"/>
      <c r="T84" s="15"/>
      <c r="U84" s="15"/>
      <c r="V84" s="15"/>
      <c r="W84" s="42"/>
      <c r="Y84" s="2"/>
    </row>
    <row r="85" spans="1:25">
      <c r="A85" s="35" t="s">
        <v>184</v>
      </c>
      <c r="B85" s="66" t="s">
        <v>234</v>
      </c>
      <c r="C85" s="66" t="s">
        <v>103</v>
      </c>
      <c r="D85" s="66" t="s">
        <v>186</v>
      </c>
      <c r="E85" s="66"/>
      <c r="F85" s="66" t="s">
        <v>235</v>
      </c>
      <c r="G85" s="67">
        <f>$E$8</f>
        <v>347</v>
      </c>
      <c r="H85" s="68">
        <v>79</v>
      </c>
      <c r="I85" s="69">
        <v>0</v>
      </c>
      <c r="J85" s="70">
        <f t="shared" ref="J85:J99" si="12">H85*(1+I85)</f>
        <v>79</v>
      </c>
      <c r="K85" s="71">
        <f t="shared" ref="K85:K99" si="13">J85*G85</f>
        <v>27413</v>
      </c>
      <c r="N85" s="15"/>
      <c r="O85" s="15"/>
      <c r="P85" s="15"/>
      <c r="Q85" s="15"/>
      <c r="R85" s="15"/>
      <c r="S85" s="15"/>
      <c r="T85" s="15"/>
      <c r="U85" s="15"/>
      <c r="V85" s="15"/>
      <c r="W85" s="42"/>
      <c r="Y85" s="2"/>
    </row>
    <row r="86" spans="1:25">
      <c r="A86" s="37" t="s">
        <v>236</v>
      </c>
      <c r="B86" s="72" t="s">
        <v>237</v>
      </c>
      <c r="C86" s="72" t="s">
        <v>103</v>
      </c>
      <c r="D86" s="72" t="s">
        <v>181</v>
      </c>
      <c r="E86" s="72" t="s">
        <v>118</v>
      </c>
      <c r="F86" s="72"/>
      <c r="G86" s="146"/>
      <c r="H86" s="74"/>
      <c r="I86" s="75">
        <v>0</v>
      </c>
      <c r="J86" s="74">
        <f t="shared" si="12"/>
        <v>0</v>
      </c>
      <c r="K86" s="83">
        <f t="shared" si="13"/>
        <v>0</v>
      </c>
      <c r="N86" s="15"/>
      <c r="O86" s="15"/>
      <c r="P86" s="15"/>
      <c r="Q86" s="15"/>
      <c r="R86" s="15"/>
      <c r="S86" s="15"/>
      <c r="T86" s="15"/>
      <c r="U86" s="15"/>
      <c r="V86" s="15"/>
      <c r="W86" s="42"/>
      <c r="Y86" s="2"/>
    </row>
    <row r="87" spans="1:25">
      <c r="A87" s="37" t="s">
        <v>238</v>
      </c>
      <c r="B87" s="72" t="s">
        <v>239</v>
      </c>
      <c r="C87" s="72" t="s">
        <v>103</v>
      </c>
      <c r="D87" s="72" t="s">
        <v>181</v>
      </c>
      <c r="E87" s="72" t="s">
        <v>240</v>
      </c>
      <c r="F87" s="72"/>
      <c r="G87" s="73"/>
      <c r="H87" s="74"/>
      <c r="I87" s="75">
        <v>0</v>
      </c>
      <c r="J87" s="74">
        <f t="shared" si="12"/>
        <v>0</v>
      </c>
      <c r="K87" s="83">
        <f t="shared" si="13"/>
        <v>0</v>
      </c>
      <c r="N87" s="15"/>
      <c r="O87" s="15"/>
      <c r="P87" s="15"/>
      <c r="Q87" s="15"/>
      <c r="R87" s="15"/>
      <c r="S87" s="15"/>
      <c r="T87" s="15"/>
      <c r="U87" s="15"/>
      <c r="V87" s="15"/>
      <c r="W87" s="42"/>
      <c r="Y87" s="2"/>
    </row>
    <row r="88" spans="1:25">
      <c r="A88" s="37" t="s">
        <v>241</v>
      </c>
      <c r="B88" s="72" t="s">
        <v>239</v>
      </c>
      <c r="C88" s="72" t="s">
        <v>103</v>
      </c>
      <c r="D88" s="72" t="s">
        <v>115</v>
      </c>
      <c r="E88" s="72" t="s">
        <v>118</v>
      </c>
      <c r="F88" s="72"/>
      <c r="G88" s="73"/>
      <c r="H88" s="74"/>
      <c r="I88" s="75">
        <v>0</v>
      </c>
      <c r="J88" s="74">
        <f t="shared" si="12"/>
        <v>0</v>
      </c>
      <c r="K88" s="83">
        <f t="shared" si="13"/>
        <v>0</v>
      </c>
      <c r="N88" s="15"/>
      <c r="O88" s="15"/>
      <c r="P88" s="15"/>
      <c r="Q88" s="15"/>
      <c r="R88" s="15"/>
      <c r="S88" s="15"/>
      <c r="T88" s="15"/>
      <c r="U88" s="15"/>
      <c r="V88" s="15"/>
      <c r="W88" s="42"/>
      <c r="Y88" s="2"/>
    </row>
    <row r="89" spans="1:25">
      <c r="A89" s="37" t="s">
        <v>242</v>
      </c>
      <c r="B89" s="72" t="s">
        <v>243</v>
      </c>
      <c r="C89" s="72" t="s">
        <v>103</v>
      </c>
      <c r="D89" s="72" t="s">
        <v>115</v>
      </c>
      <c r="E89" s="72" t="s">
        <v>118</v>
      </c>
      <c r="F89" s="72"/>
      <c r="G89" s="73"/>
      <c r="H89" s="74"/>
      <c r="I89" s="75">
        <v>0</v>
      </c>
      <c r="J89" s="74">
        <f t="shared" si="12"/>
        <v>0</v>
      </c>
      <c r="K89" s="83">
        <f t="shared" si="13"/>
        <v>0</v>
      </c>
      <c r="N89" s="15"/>
      <c r="O89" s="15"/>
      <c r="P89" s="15"/>
      <c r="Q89" s="15"/>
      <c r="R89" s="15"/>
      <c r="S89" s="15"/>
      <c r="T89" s="15"/>
      <c r="U89" s="15"/>
      <c r="V89" s="15"/>
      <c r="W89" s="42"/>
      <c r="Y89" s="2"/>
    </row>
    <row r="90" spans="1:25">
      <c r="A90" s="37" t="s">
        <v>244</v>
      </c>
      <c r="B90" s="72" t="s">
        <v>245</v>
      </c>
      <c r="C90" s="72" t="s">
        <v>103</v>
      </c>
      <c r="D90" s="72" t="s">
        <v>115</v>
      </c>
      <c r="E90" s="72" t="s">
        <v>246</v>
      </c>
      <c r="F90" s="210" t="s">
        <v>235</v>
      </c>
      <c r="G90" s="67">
        <f>$E$8</f>
        <v>347</v>
      </c>
      <c r="H90" s="212">
        <f>1131*110%</f>
        <v>1244.1000000000001</v>
      </c>
      <c r="I90" s="75">
        <v>0</v>
      </c>
      <c r="J90" s="74">
        <f t="shared" si="12"/>
        <v>1244.1000000000001</v>
      </c>
      <c r="K90" s="83">
        <f t="shared" si="13"/>
        <v>431702.70000000007</v>
      </c>
      <c r="N90" s="213" t="s">
        <v>247</v>
      </c>
      <c r="O90" s="15"/>
      <c r="P90" s="15"/>
      <c r="Q90" s="15"/>
      <c r="R90" s="15"/>
      <c r="S90" s="15"/>
      <c r="T90" s="15"/>
      <c r="U90" s="15"/>
      <c r="V90" s="15"/>
      <c r="W90" s="42"/>
      <c r="Y90" s="2"/>
    </row>
    <row r="91" spans="1:25">
      <c r="A91" s="37" t="s">
        <v>248</v>
      </c>
      <c r="B91" s="72" t="s">
        <v>245</v>
      </c>
      <c r="C91" s="72" t="s">
        <v>120</v>
      </c>
      <c r="D91" s="72" t="s">
        <v>115</v>
      </c>
      <c r="E91" s="72" t="s">
        <v>110</v>
      </c>
      <c r="F91" s="210" t="s">
        <v>235</v>
      </c>
      <c r="G91" s="67">
        <f>$E$8</f>
        <v>347</v>
      </c>
      <c r="H91" s="74">
        <v>75</v>
      </c>
      <c r="I91" s="75">
        <v>0</v>
      </c>
      <c r="J91" s="74">
        <f t="shared" si="12"/>
        <v>75</v>
      </c>
      <c r="K91" s="83">
        <f t="shared" si="13"/>
        <v>26025</v>
      </c>
      <c r="N91" s="15"/>
      <c r="O91" s="15"/>
      <c r="P91" s="15"/>
      <c r="Q91" s="15"/>
      <c r="R91" s="15"/>
      <c r="S91" s="15"/>
      <c r="T91" s="15"/>
      <c r="U91" s="15"/>
      <c r="V91" s="15"/>
      <c r="W91" s="42"/>
      <c r="Y91" s="2"/>
    </row>
    <row r="92" spans="1:25">
      <c r="A92" s="37" t="s">
        <v>249</v>
      </c>
      <c r="B92" s="72" t="s">
        <v>250</v>
      </c>
      <c r="C92" s="72" t="s">
        <v>103</v>
      </c>
      <c r="D92" s="72" t="s">
        <v>135</v>
      </c>
      <c r="E92" s="72" t="s">
        <v>118</v>
      </c>
      <c r="F92" s="72"/>
      <c r="G92" s="73"/>
      <c r="H92" s="74"/>
      <c r="I92" s="75">
        <v>0</v>
      </c>
      <c r="J92" s="74">
        <f t="shared" si="12"/>
        <v>0</v>
      </c>
      <c r="K92" s="83">
        <f t="shared" si="13"/>
        <v>0</v>
      </c>
      <c r="N92" s="15"/>
      <c r="O92" s="15"/>
      <c r="P92" s="15"/>
      <c r="Q92" s="15"/>
      <c r="R92" s="15"/>
      <c r="S92" s="15"/>
      <c r="T92" s="15"/>
      <c r="U92" s="15"/>
      <c r="V92" s="15"/>
      <c r="W92" s="42"/>
      <c r="Y92" s="2"/>
    </row>
    <row r="93" spans="1:25">
      <c r="A93" s="37" t="s">
        <v>251</v>
      </c>
      <c r="B93" s="72" t="s">
        <v>252</v>
      </c>
      <c r="C93" s="72" t="s">
        <v>103</v>
      </c>
      <c r="D93" s="72" t="s">
        <v>130</v>
      </c>
      <c r="E93" s="72" t="s">
        <v>118</v>
      </c>
      <c r="F93" s="72"/>
      <c r="G93" s="73"/>
      <c r="H93" s="74"/>
      <c r="I93" s="75">
        <v>0</v>
      </c>
      <c r="J93" s="74">
        <f t="shared" si="12"/>
        <v>0</v>
      </c>
      <c r="K93" s="83">
        <f t="shared" si="13"/>
        <v>0</v>
      </c>
      <c r="N93" s="15"/>
      <c r="O93" s="15"/>
      <c r="P93" s="15"/>
      <c r="Q93" s="15"/>
      <c r="R93" s="15"/>
      <c r="S93" s="15"/>
      <c r="T93" s="15"/>
      <c r="U93" s="15"/>
      <c r="V93" s="15"/>
      <c r="W93" s="42"/>
      <c r="Y93" s="2"/>
    </row>
    <row r="94" spans="1:25">
      <c r="A94" s="37" t="s">
        <v>253</v>
      </c>
      <c r="B94" s="72" t="s">
        <v>254</v>
      </c>
      <c r="C94" s="72" t="s">
        <v>103</v>
      </c>
      <c r="D94" s="72" t="s">
        <v>115</v>
      </c>
      <c r="E94" s="72" t="s">
        <v>118</v>
      </c>
      <c r="F94" s="72"/>
      <c r="G94" s="73"/>
      <c r="H94" s="74"/>
      <c r="I94" s="75">
        <v>0</v>
      </c>
      <c r="J94" s="74">
        <f t="shared" si="12"/>
        <v>0</v>
      </c>
      <c r="K94" s="83">
        <f t="shared" si="13"/>
        <v>0</v>
      </c>
      <c r="N94" s="15"/>
      <c r="O94" s="15"/>
      <c r="P94" s="15"/>
      <c r="Q94" s="15"/>
      <c r="R94" s="15"/>
      <c r="S94" s="15"/>
      <c r="T94" s="15"/>
      <c r="U94" s="15"/>
      <c r="V94" s="15"/>
      <c r="W94" s="42"/>
      <c r="Y94" s="2"/>
    </row>
    <row r="95" spans="1:25">
      <c r="A95" s="37" t="s">
        <v>255</v>
      </c>
      <c r="B95" s="72" t="s">
        <v>256</v>
      </c>
      <c r="C95" s="72" t="s">
        <v>103</v>
      </c>
      <c r="D95" s="72" t="s">
        <v>115</v>
      </c>
      <c r="E95" s="72" t="s">
        <v>118</v>
      </c>
      <c r="F95" s="72"/>
      <c r="G95" s="73"/>
      <c r="H95" s="74"/>
      <c r="I95" s="75">
        <v>0</v>
      </c>
      <c r="J95" s="74">
        <f t="shared" si="12"/>
        <v>0</v>
      </c>
      <c r="K95" s="83">
        <f t="shared" si="13"/>
        <v>0</v>
      </c>
      <c r="N95" s="15"/>
      <c r="O95" s="15"/>
      <c r="P95" s="15"/>
      <c r="Q95" s="15"/>
      <c r="R95" s="15"/>
      <c r="S95" s="15"/>
      <c r="T95" s="15"/>
      <c r="U95" s="15"/>
      <c r="V95" s="15"/>
      <c r="W95" s="42"/>
      <c r="Y95" s="2"/>
    </row>
    <row r="96" spans="1:25">
      <c r="A96" s="37" t="s">
        <v>257</v>
      </c>
      <c r="B96" s="72" t="s">
        <v>258</v>
      </c>
      <c r="C96" s="72" t="s">
        <v>103</v>
      </c>
      <c r="D96" s="72" t="s">
        <v>115</v>
      </c>
      <c r="E96" s="72" t="s">
        <v>118</v>
      </c>
      <c r="F96" s="72"/>
      <c r="G96" s="73"/>
      <c r="H96" s="74"/>
      <c r="I96" s="75">
        <v>0</v>
      </c>
      <c r="J96" s="74">
        <f t="shared" si="12"/>
        <v>0</v>
      </c>
      <c r="K96" s="83">
        <f t="shared" si="13"/>
        <v>0</v>
      </c>
      <c r="N96" s="15"/>
      <c r="O96" s="15"/>
      <c r="P96" s="15"/>
      <c r="Q96" s="15"/>
      <c r="R96" s="15"/>
      <c r="S96" s="15"/>
      <c r="T96" s="15"/>
      <c r="U96" s="15"/>
      <c r="V96" s="15"/>
      <c r="W96" s="42"/>
      <c r="Y96" s="2"/>
    </row>
    <row r="97" spans="1:25">
      <c r="A97" s="37" t="s">
        <v>259</v>
      </c>
      <c r="B97" s="72" t="s">
        <v>256</v>
      </c>
      <c r="C97" s="72" t="s">
        <v>103</v>
      </c>
      <c r="D97" s="72" t="s">
        <v>115</v>
      </c>
      <c r="E97" s="72" t="s">
        <v>118</v>
      </c>
      <c r="F97" s="72"/>
      <c r="G97" s="73"/>
      <c r="H97" s="74"/>
      <c r="I97" s="75">
        <v>0</v>
      </c>
      <c r="J97" s="74">
        <f t="shared" si="12"/>
        <v>0</v>
      </c>
      <c r="K97" s="83">
        <f t="shared" si="13"/>
        <v>0</v>
      </c>
      <c r="N97" s="15"/>
      <c r="O97" s="15"/>
      <c r="P97" s="15"/>
      <c r="Q97" s="15"/>
      <c r="R97" s="15"/>
      <c r="S97" s="15"/>
      <c r="T97" s="15"/>
      <c r="U97" s="15"/>
      <c r="V97" s="15"/>
      <c r="W97" s="42"/>
      <c r="Y97" s="2"/>
    </row>
    <row r="98" spans="1:25">
      <c r="A98" s="37" t="s">
        <v>260</v>
      </c>
      <c r="B98" s="72" t="s">
        <v>256</v>
      </c>
      <c r="C98" s="72" t="s">
        <v>103</v>
      </c>
      <c r="D98" s="72" t="s">
        <v>115</v>
      </c>
      <c r="E98" s="72" t="s">
        <v>127</v>
      </c>
      <c r="F98" s="72" t="s">
        <v>187</v>
      </c>
      <c r="G98" s="67">
        <f>$E$8</f>
        <v>347</v>
      </c>
      <c r="H98" s="74">
        <v>180</v>
      </c>
      <c r="I98" s="75">
        <v>0</v>
      </c>
      <c r="J98" s="74">
        <f t="shared" si="12"/>
        <v>180</v>
      </c>
      <c r="K98" s="83">
        <f t="shared" si="13"/>
        <v>62460</v>
      </c>
      <c r="N98" s="15"/>
      <c r="O98" s="15"/>
      <c r="P98" s="15"/>
      <c r="Q98" s="15"/>
      <c r="R98" s="15"/>
      <c r="S98" s="15"/>
      <c r="T98" s="15"/>
      <c r="U98" s="15"/>
      <c r="V98" s="15"/>
      <c r="W98" s="42"/>
      <c r="Y98" s="2"/>
    </row>
    <row r="99" spans="1:25">
      <c r="A99" s="37" t="s">
        <v>261</v>
      </c>
      <c r="B99" s="72" t="s">
        <v>256</v>
      </c>
      <c r="C99" s="72" t="s">
        <v>103</v>
      </c>
      <c r="D99" s="72" t="s">
        <v>115</v>
      </c>
      <c r="E99" s="72" t="s">
        <v>127</v>
      </c>
      <c r="F99" s="72" t="s">
        <v>32</v>
      </c>
      <c r="G99" s="73">
        <f>$B$11*2</f>
        <v>4</v>
      </c>
      <c r="H99" s="74">
        <v>200</v>
      </c>
      <c r="I99" s="75">
        <v>0</v>
      </c>
      <c r="J99" s="74">
        <f t="shared" si="12"/>
        <v>200</v>
      </c>
      <c r="K99" s="83">
        <f t="shared" si="13"/>
        <v>800</v>
      </c>
      <c r="N99" s="15"/>
      <c r="O99" s="15"/>
      <c r="P99" s="15"/>
      <c r="Q99" s="15"/>
      <c r="R99" s="15"/>
      <c r="S99" s="15"/>
      <c r="T99" s="15"/>
      <c r="U99" s="15"/>
      <c r="V99" s="15"/>
      <c r="W99" s="42"/>
      <c r="Y99" s="2"/>
    </row>
    <row r="100" spans="1:25">
      <c r="A100" s="33" t="s">
        <v>262</v>
      </c>
      <c r="B100" s="54" t="s">
        <v>263</v>
      </c>
      <c r="C100" s="54"/>
      <c r="D100" s="54"/>
      <c r="E100" s="54"/>
      <c r="F100" s="54"/>
      <c r="G100" s="55"/>
      <c r="H100" s="56"/>
      <c r="I100" s="57"/>
      <c r="J100" s="56"/>
      <c r="K100" s="82"/>
      <c r="L100" s="102">
        <f>SUM(K101:K136)</f>
        <v>5170494.1965402467</v>
      </c>
      <c r="N100" s="15"/>
      <c r="O100" s="15"/>
      <c r="P100" s="15"/>
      <c r="Q100" s="15"/>
      <c r="R100" s="15"/>
      <c r="S100" s="15"/>
      <c r="T100" s="15"/>
      <c r="U100" s="15"/>
      <c r="V100" s="15"/>
      <c r="W100" s="42"/>
      <c r="Y100" s="2"/>
    </row>
    <row r="101" spans="1:25">
      <c r="A101" s="35" t="s">
        <v>264</v>
      </c>
      <c r="B101" s="66" t="s">
        <v>265</v>
      </c>
      <c r="C101" s="66" t="s">
        <v>103</v>
      </c>
      <c r="D101" s="66" t="s">
        <v>115</v>
      </c>
      <c r="E101" s="66" t="s">
        <v>266</v>
      </c>
      <c r="F101" s="66" t="s">
        <v>15</v>
      </c>
      <c r="G101" s="67">
        <f t="shared" ref="G101:G128" si="14">$B$8</f>
        <v>311142</v>
      </c>
      <c r="H101" s="68">
        <v>0.05</v>
      </c>
      <c r="I101" s="69">
        <v>0</v>
      </c>
      <c r="J101" s="70">
        <f t="shared" ref="J101:J136" si="15">H101*(1+I101)</f>
        <v>0.05</v>
      </c>
      <c r="K101" s="71">
        <f t="shared" ref="K101:K136" si="16">J101*G101</f>
        <v>15557.1</v>
      </c>
      <c r="N101" s="15"/>
      <c r="O101" s="15"/>
      <c r="P101" s="15"/>
      <c r="Q101" s="15"/>
      <c r="R101" s="15"/>
      <c r="S101" s="15"/>
      <c r="T101" s="15"/>
      <c r="U101" s="15"/>
      <c r="V101" s="15"/>
      <c r="W101" s="42"/>
      <c r="Y101" s="2"/>
    </row>
    <row r="102" spans="1:25">
      <c r="A102" s="37" t="s">
        <v>267</v>
      </c>
      <c r="B102" s="72" t="s">
        <v>268</v>
      </c>
      <c r="C102" s="72" t="s">
        <v>103</v>
      </c>
      <c r="D102" s="72" t="s">
        <v>115</v>
      </c>
      <c r="E102" s="72" t="s">
        <v>266</v>
      </c>
      <c r="F102" s="72" t="s">
        <v>15</v>
      </c>
      <c r="G102" s="73">
        <f t="shared" si="14"/>
        <v>311142</v>
      </c>
      <c r="H102" s="74">
        <v>0.08</v>
      </c>
      <c r="I102" s="75">
        <v>0</v>
      </c>
      <c r="J102" s="74">
        <f t="shared" si="15"/>
        <v>0.08</v>
      </c>
      <c r="K102" s="83">
        <f t="shared" si="16"/>
        <v>24891.360000000001</v>
      </c>
      <c r="N102" s="15"/>
      <c r="O102" s="15"/>
      <c r="P102" s="15"/>
      <c r="Q102" s="15"/>
      <c r="R102" s="15"/>
      <c r="S102" s="15"/>
      <c r="T102" s="15"/>
      <c r="U102" s="15"/>
      <c r="V102" s="15"/>
      <c r="W102" s="42"/>
      <c r="Y102" s="2"/>
    </row>
    <row r="103" spans="1:25">
      <c r="A103" s="37" t="s">
        <v>269</v>
      </c>
      <c r="B103" s="72" t="s">
        <v>270</v>
      </c>
      <c r="C103" s="72" t="s">
        <v>103</v>
      </c>
      <c r="D103" s="72" t="s">
        <v>115</v>
      </c>
      <c r="E103" s="72" t="s">
        <v>266</v>
      </c>
      <c r="F103" s="72" t="s">
        <v>15</v>
      </c>
      <c r="G103" s="73">
        <f t="shared" si="14"/>
        <v>311142</v>
      </c>
      <c r="H103" s="74">
        <v>0.6</v>
      </c>
      <c r="I103" s="75">
        <v>0</v>
      </c>
      <c r="J103" s="74">
        <f t="shared" si="15"/>
        <v>0.6</v>
      </c>
      <c r="K103" s="83">
        <f t="shared" si="16"/>
        <v>186685.19999999998</v>
      </c>
      <c r="N103" s="15"/>
      <c r="O103" s="15"/>
      <c r="P103" s="15"/>
      <c r="Q103" s="15"/>
      <c r="R103" s="15"/>
      <c r="S103" s="15"/>
      <c r="T103" s="15"/>
      <c r="U103" s="15"/>
      <c r="V103" s="15"/>
      <c r="W103" s="42"/>
      <c r="Y103" s="2"/>
    </row>
    <row r="104" spans="1:25">
      <c r="A104" s="37" t="s">
        <v>271</v>
      </c>
      <c r="B104" s="72" t="s">
        <v>272</v>
      </c>
      <c r="C104" s="72" t="s">
        <v>103</v>
      </c>
      <c r="D104" s="72" t="s">
        <v>115</v>
      </c>
      <c r="E104" s="72" t="s">
        <v>266</v>
      </c>
      <c r="F104" s="72" t="s">
        <v>15</v>
      </c>
      <c r="G104" s="73">
        <f t="shared" si="14"/>
        <v>311142</v>
      </c>
      <c r="H104" s="74">
        <v>0.36</v>
      </c>
      <c r="I104" s="75">
        <v>0</v>
      </c>
      <c r="J104" s="74">
        <f t="shared" si="15"/>
        <v>0.36</v>
      </c>
      <c r="K104" s="83">
        <f t="shared" si="16"/>
        <v>112011.12</v>
      </c>
      <c r="N104" s="15"/>
      <c r="O104" s="15"/>
      <c r="P104" s="15"/>
      <c r="Q104" s="15"/>
      <c r="R104" s="15"/>
      <c r="S104" s="15"/>
      <c r="T104" s="15"/>
      <c r="U104" s="15"/>
      <c r="V104" s="15"/>
      <c r="W104" s="42"/>
      <c r="Y104" s="2"/>
    </row>
    <row r="105" spans="1:25">
      <c r="A105" s="37" t="s">
        <v>184</v>
      </c>
      <c r="B105" s="72" t="s">
        <v>273</v>
      </c>
      <c r="C105" s="72" t="s">
        <v>103</v>
      </c>
      <c r="D105" s="72" t="s">
        <v>186</v>
      </c>
      <c r="E105" s="72" t="s">
        <v>274</v>
      </c>
      <c r="F105" s="72" t="s">
        <v>187</v>
      </c>
      <c r="G105" s="67">
        <f>$E$8</f>
        <v>347</v>
      </c>
      <c r="H105" s="74">
        <v>79</v>
      </c>
      <c r="I105" s="75">
        <v>0</v>
      </c>
      <c r="J105" s="74">
        <f t="shared" si="15"/>
        <v>79</v>
      </c>
      <c r="K105" s="83">
        <f t="shared" si="16"/>
        <v>27413</v>
      </c>
      <c r="N105" s="15"/>
      <c r="O105" s="15"/>
      <c r="P105" s="15"/>
      <c r="Q105" s="15"/>
      <c r="R105" s="15"/>
      <c r="S105" s="15"/>
      <c r="T105" s="15"/>
      <c r="U105" s="15"/>
      <c r="V105" s="15"/>
      <c r="W105" s="42"/>
      <c r="Y105" s="2"/>
    </row>
    <row r="106" spans="1:25">
      <c r="A106" s="37" t="s">
        <v>275</v>
      </c>
      <c r="B106" s="72" t="s">
        <v>276</v>
      </c>
      <c r="C106" s="72" t="s">
        <v>103</v>
      </c>
      <c r="D106" s="72" t="s">
        <v>109</v>
      </c>
      <c r="E106" s="72" t="s">
        <v>266</v>
      </c>
      <c r="F106" s="48"/>
      <c r="G106" s="84"/>
      <c r="H106" s="74">
        <v>0.11</v>
      </c>
      <c r="I106" s="75">
        <v>0</v>
      </c>
      <c r="J106" s="74">
        <f t="shared" si="15"/>
        <v>0.11</v>
      </c>
      <c r="K106" s="83">
        <f>J106*G123</f>
        <v>34225.620000000003</v>
      </c>
      <c r="N106" s="15"/>
      <c r="O106" s="15"/>
      <c r="P106" s="15"/>
      <c r="Q106" s="15"/>
      <c r="R106" s="15"/>
      <c r="S106" s="15"/>
      <c r="T106" s="15"/>
      <c r="U106" s="15"/>
      <c r="V106" s="15"/>
      <c r="W106" s="42"/>
      <c r="Y106" s="2"/>
    </row>
    <row r="107" spans="1:25">
      <c r="A107" s="37" t="s">
        <v>58</v>
      </c>
      <c r="B107" s="72" t="s">
        <v>277</v>
      </c>
      <c r="C107" s="72" t="s">
        <v>103</v>
      </c>
      <c r="D107" s="72" t="s">
        <v>115</v>
      </c>
      <c r="E107" s="72" t="s">
        <v>116</v>
      </c>
      <c r="F107" s="72" t="s">
        <v>278</v>
      </c>
      <c r="G107" s="73">
        <f>O10</f>
        <v>15620.000000000004</v>
      </c>
      <c r="H107" s="74">
        <v>40.818673883626523</v>
      </c>
      <c r="I107" s="75">
        <v>0</v>
      </c>
      <c r="J107" s="74">
        <f t="shared" si="15"/>
        <v>40.818673883626523</v>
      </c>
      <c r="K107" s="83">
        <f t="shared" si="16"/>
        <v>637587.68606224644</v>
      </c>
      <c r="N107" s="15" t="s">
        <v>279</v>
      </c>
      <c r="O107" s="15"/>
      <c r="P107" s="15"/>
      <c r="Q107" s="15"/>
      <c r="R107" s="15"/>
      <c r="S107" s="15"/>
      <c r="T107" s="15"/>
      <c r="U107" s="15"/>
      <c r="V107" s="15"/>
      <c r="W107" s="42"/>
      <c r="Y107" s="2"/>
    </row>
    <row r="108" spans="1:25">
      <c r="A108" s="37" t="s">
        <v>280</v>
      </c>
      <c r="B108" s="72" t="s">
        <v>277</v>
      </c>
      <c r="C108" s="72" t="s">
        <v>281</v>
      </c>
      <c r="D108" s="72" t="s">
        <v>123</v>
      </c>
      <c r="E108" s="72" t="s">
        <v>110</v>
      </c>
      <c r="F108" s="72" t="s">
        <v>121</v>
      </c>
      <c r="G108" s="73">
        <v>1</v>
      </c>
      <c r="H108" s="74">
        <v>6000</v>
      </c>
      <c r="I108" s="75">
        <v>0</v>
      </c>
      <c r="J108" s="74">
        <f t="shared" si="15"/>
        <v>6000</v>
      </c>
      <c r="K108" s="83">
        <f t="shared" si="16"/>
        <v>6000</v>
      </c>
      <c r="N108" s="15"/>
      <c r="O108" s="15"/>
      <c r="P108" s="15"/>
      <c r="Q108" s="15"/>
      <c r="R108" s="15"/>
      <c r="S108" s="15"/>
      <c r="T108" s="15"/>
      <c r="U108" s="15"/>
      <c r="V108" s="15"/>
      <c r="W108" s="42"/>
      <c r="Y108" s="2"/>
    </row>
    <row r="109" spans="1:25">
      <c r="A109" s="37" t="s">
        <v>282</v>
      </c>
      <c r="B109" s="72" t="s">
        <v>283</v>
      </c>
      <c r="C109" s="72" t="s">
        <v>103</v>
      </c>
      <c r="D109" s="72" t="s">
        <v>130</v>
      </c>
      <c r="E109" s="72" t="s">
        <v>118</v>
      </c>
      <c r="F109" s="72"/>
      <c r="G109" s="73"/>
      <c r="H109" s="74"/>
      <c r="I109" s="75">
        <v>0</v>
      </c>
      <c r="J109" s="74">
        <f t="shared" si="15"/>
        <v>0</v>
      </c>
      <c r="K109" s="83">
        <f t="shared" si="16"/>
        <v>0</v>
      </c>
      <c r="N109" s="15"/>
      <c r="O109" s="15"/>
      <c r="P109" s="15"/>
      <c r="Q109" s="15"/>
      <c r="R109" s="15"/>
      <c r="S109" s="15"/>
      <c r="T109" s="15"/>
      <c r="U109" s="15"/>
      <c r="V109" s="15"/>
      <c r="W109" s="42"/>
      <c r="Y109" s="2"/>
    </row>
    <row r="110" spans="1:25">
      <c r="A110" s="37" t="s">
        <v>284</v>
      </c>
      <c r="B110" s="72" t="s">
        <v>285</v>
      </c>
      <c r="C110" s="72" t="s">
        <v>281</v>
      </c>
      <c r="D110" s="72" t="s">
        <v>130</v>
      </c>
      <c r="E110" s="72" t="s">
        <v>110</v>
      </c>
      <c r="F110" s="72" t="s">
        <v>121</v>
      </c>
      <c r="G110" s="161">
        <f>$O$6</f>
        <v>2</v>
      </c>
      <c r="H110" s="74">
        <v>2000</v>
      </c>
      <c r="I110" s="75">
        <v>0</v>
      </c>
      <c r="J110" s="74">
        <f t="shared" si="15"/>
        <v>2000</v>
      </c>
      <c r="K110" s="83">
        <f t="shared" si="16"/>
        <v>4000</v>
      </c>
      <c r="N110" s="15"/>
      <c r="O110" s="15"/>
      <c r="P110" s="15"/>
      <c r="Q110" s="15"/>
      <c r="R110" s="15"/>
      <c r="S110" s="15"/>
      <c r="T110" s="15"/>
      <c r="U110" s="15"/>
      <c r="V110" s="15"/>
      <c r="W110" s="42"/>
      <c r="Y110" s="2"/>
    </row>
    <row r="111" spans="1:25">
      <c r="A111" s="37" t="s">
        <v>286</v>
      </c>
      <c r="B111" s="72" t="s">
        <v>287</v>
      </c>
      <c r="C111" s="72" t="s">
        <v>103</v>
      </c>
      <c r="D111" s="72" t="s">
        <v>130</v>
      </c>
      <c r="E111" s="72" t="s">
        <v>118</v>
      </c>
      <c r="F111" s="72"/>
      <c r="G111" s="73"/>
      <c r="H111" s="74"/>
      <c r="I111" s="75">
        <v>0</v>
      </c>
      <c r="J111" s="74">
        <f t="shared" si="15"/>
        <v>0</v>
      </c>
      <c r="K111" s="83">
        <f t="shared" si="16"/>
        <v>0</v>
      </c>
      <c r="N111" s="15"/>
      <c r="O111" s="15"/>
      <c r="P111" s="15"/>
      <c r="Q111" s="15"/>
      <c r="R111" s="15"/>
      <c r="S111" s="15"/>
      <c r="T111" s="15"/>
      <c r="U111" s="15"/>
      <c r="V111" s="15"/>
      <c r="W111" s="42"/>
      <c r="Y111" s="2"/>
    </row>
    <row r="112" spans="1:25">
      <c r="A112" s="37" t="s">
        <v>288</v>
      </c>
      <c r="B112" s="72" t="s">
        <v>289</v>
      </c>
      <c r="C112" s="72" t="s">
        <v>103</v>
      </c>
      <c r="D112" s="72" t="s">
        <v>135</v>
      </c>
      <c r="E112" s="72" t="s">
        <v>118</v>
      </c>
      <c r="F112" s="72"/>
      <c r="G112" s="73"/>
      <c r="H112" s="74"/>
      <c r="I112" s="75">
        <v>0</v>
      </c>
      <c r="J112" s="74">
        <f t="shared" si="15"/>
        <v>0</v>
      </c>
      <c r="K112" s="83">
        <f t="shared" si="16"/>
        <v>0</v>
      </c>
      <c r="N112" s="15"/>
      <c r="O112" s="15"/>
      <c r="P112" s="15"/>
      <c r="Q112" s="15"/>
      <c r="R112" s="15"/>
      <c r="S112" s="15"/>
      <c r="T112" s="15"/>
      <c r="U112" s="15"/>
      <c r="V112" s="15"/>
      <c r="W112" s="42"/>
      <c r="Y112" s="2"/>
    </row>
    <row r="113" spans="1:25">
      <c r="A113" s="37" t="s">
        <v>290</v>
      </c>
      <c r="B113" s="72" t="s">
        <v>291</v>
      </c>
      <c r="C113" s="72" t="s">
        <v>120</v>
      </c>
      <c r="D113" s="72" t="s">
        <v>115</v>
      </c>
      <c r="E113" s="72" t="s">
        <v>110</v>
      </c>
      <c r="F113" s="72" t="s">
        <v>121</v>
      </c>
      <c r="G113" s="73">
        <v>1</v>
      </c>
      <c r="H113" s="74">
        <f>1500*3</f>
        <v>4500</v>
      </c>
      <c r="I113" s="75">
        <v>0</v>
      </c>
      <c r="J113" s="74">
        <f t="shared" si="15"/>
        <v>4500</v>
      </c>
      <c r="K113" s="83">
        <f t="shared" si="16"/>
        <v>4500</v>
      </c>
      <c r="N113" s="15"/>
      <c r="O113" s="15"/>
      <c r="P113" s="15"/>
      <c r="Q113" s="15"/>
      <c r="R113" s="15"/>
      <c r="S113" s="15"/>
      <c r="T113" s="15"/>
      <c r="U113" s="15"/>
      <c r="V113" s="15"/>
      <c r="W113" s="42"/>
      <c r="Y113" s="2"/>
    </row>
    <row r="114" spans="1:25">
      <c r="A114" s="37" t="s">
        <v>292</v>
      </c>
      <c r="B114" s="72" t="s">
        <v>293</v>
      </c>
      <c r="C114" s="72" t="s">
        <v>103</v>
      </c>
      <c r="D114" s="72" t="s">
        <v>115</v>
      </c>
      <c r="E114" s="72" t="s">
        <v>116</v>
      </c>
      <c r="F114" s="72" t="s">
        <v>15</v>
      </c>
      <c r="G114" s="73">
        <f t="shared" ref="G114" si="17">$B$8</f>
        <v>311142</v>
      </c>
      <c r="H114" s="74">
        <v>8.02</v>
      </c>
      <c r="I114" s="75">
        <v>0</v>
      </c>
      <c r="J114" s="74">
        <f t="shared" si="15"/>
        <v>8.02</v>
      </c>
      <c r="K114" s="83">
        <f t="shared" si="16"/>
        <v>2495358.84</v>
      </c>
      <c r="N114" s="15"/>
      <c r="O114" s="15"/>
      <c r="P114" s="15"/>
      <c r="Q114" s="15"/>
      <c r="R114" s="15"/>
      <c r="S114" s="15"/>
      <c r="T114" s="15"/>
      <c r="U114" s="15"/>
      <c r="V114" s="15"/>
      <c r="W114" s="42"/>
      <c r="Y114" s="2"/>
    </row>
    <row r="115" spans="1:25">
      <c r="A115" s="37" t="s">
        <v>294</v>
      </c>
      <c r="B115" s="72" t="s">
        <v>295</v>
      </c>
      <c r="C115" s="72" t="s">
        <v>120</v>
      </c>
      <c r="D115" s="72" t="s">
        <v>115</v>
      </c>
      <c r="E115" s="72" t="s">
        <v>110</v>
      </c>
      <c r="F115" s="72" t="s">
        <v>187</v>
      </c>
      <c r="G115" s="67">
        <f>$E$8</f>
        <v>347</v>
      </c>
      <c r="H115" s="74">
        <v>85</v>
      </c>
      <c r="I115" s="75">
        <v>0</v>
      </c>
      <c r="J115" s="74">
        <f t="shared" si="15"/>
        <v>85</v>
      </c>
      <c r="K115" s="83">
        <f t="shared" si="16"/>
        <v>29495</v>
      </c>
      <c r="N115" s="15"/>
      <c r="O115" s="15"/>
      <c r="P115" s="15"/>
      <c r="Q115" s="15"/>
      <c r="R115" s="15"/>
      <c r="S115" s="15"/>
      <c r="T115" s="15"/>
      <c r="U115" s="15"/>
      <c r="V115" s="15"/>
      <c r="W115" s="42"/>
      <c r="Y115" s="2"/>
    </row>
    <row r="116" spans="1:25">
      <c r="A116" s="37" t="s">
        <v>296</v>
      </c>
      <c r="B116" s="72" t="s">
        <v>297</v>
      </c>
      <c r="C116" s="72" t="s">
        <v>103</v>
      </c>
      <c r="D116" s="72" t="s">
        <v>115</v>
      </c>
      <c r="E116" s="72" t="s">
        <v>118</v>
      </c>
      <c r="F116" s="72"/>
      <c r="G116" s="73"/>
      <c r="H116" s="74"/>
      <c r="I116" s="75">
        <v>0</v>
      </c>
      <c r="J116" s="74">
        <f t="shared" si="15"/>
        <v>0</v>
      </c>
      <c r="K116" s="83">
        <f t="shared" si="16"/>
        <v>0</v>
      </c>
      <c r="N116" s="15"/>
      <c r="O116" s="15"/>
      <c r="P116" s="15"/>
      <c r="Q116" s="15"/>
      <c r="R116" s="15"/>
      <c r="S116" s="15"/>
      <c r="T116" s="15"/>
      <c r="U116" s="15"/>
      <c r="V116" s="15"/>
      <c r="W116" s="42"/>
      <c r="Y116" s="2"/>
    </row>
    <row r="117" spans="1:25">
      <c r="A117" s="37" t="s">
        <v>298</v>
      </c>
      <c r="B117" s="72" t="s">
        <v>299</v>
      </c>
      <c r="C117" s="72" t="s">
        <v>103</v>
      </c>
      <c r="D117" s="72" t="s">
        <v>181</v>
      </c>
      <c r="E117" s="72" t="s">
        <v>127</v>
      </c>
      <c r="F117" s="72" t="s">
        <v>121</v>
      </c>
      <c r="G117" s="73">
        <v>3</v>
      </c>
      <c r="H117" s="74">
        <v>17191</v>
      </c>
      <c r="I117" s="75">
        <v>0</v>
      </c>
      <c r="J117" s="74">
        <f t="shared" si="15"/>
        <v>17191</v>
      </c>
      <c r="K117" s="83">
        <f t="shared" si="16"/>
        <v>51573</v>
      </c>
      <c r="N117" s="163"/>
      <c r="O117" s="15"/>
      <c r="P117" s="15"/>
      <c r="Q117" s="15"/>
      <c r="R117" s="15"/>
      <c r="S117" s="15"/>
      <c r="T117" s="15"/>
      <c r="U117" s="15"/>
      <c r="V117" s="15"/>
      <c r="W117" s="42"/>
      <c r="Y117" s="2"/>
    </row>
    <row r="118" spans="1:25">
      <c r="A118" s="37" t="s">
        <v>300</v>
      </c>
      <c r="B118" s="72" t="s">
        <v>301</v>
      </c>
      <c r="C118" s="72" t="s">
        <v>103</v>
      </c>
      <c r="D118" s="72" t="s">
        <v>115</v>
      </c>
      <c r="E118" s="72" t="s">
        <v>118</v>
      </c>
      <c r="F118" s="72"/>
      <c r="G118" s="73"/>
      <c r="H118" s="74"/>
      <c r="I118" s="75">
        <v>0</v>
      </c>
      <c r="J118" s="74">
        <f t="shared" si="15"/>
        <v>0</v>
      </c>
      <c r="K118" s="83">
        <f t="shared" si="16"/>
        <v>0</v>
      </c>
      <c r="N118" s="15"/>
      <c r="O118" s="15"/>
      <c r="P118" s="15"/>
      <c r="Q118" s="15"/>
      <c r="R118" s="15"/>
      <c r="S118" s="15"/>
      <c r="T118" s="15"/>
      <c r="U118" s="15"/>
      <c r="V118" s="15"/>
      <c r="W118" s="42"/>
      <c r="Y118" s="2"/>
    </row>
    <row r="119" spans="1:25">
      <c r="A119" s="37" t="s">
        <v>302</v>
      </c>
      <c r="B119" s="72" t="s">
        <v>303</v>
      </c>
      <c r="C119" s="72" t="s">
        <v>103</v>
      </c>
      <c r="D119" s="72" t="s">
        <v>130</v>
      </c>
      <c r="E119" s="72" t="s">
        <v>118</v>
      </c>
      <c r="F119" s="72"/>
      <c r="G119" s="73"/>
      <c r="H119" s="74"/>
      <c r="I119" s="75">
        <v>0</v>
      </c>
      <c r="J119" s="74">
        <f t="shared" si="15"/>
        <v>0</v>
      </c>
      <c r="K119" s="83">
        <f t="shared" si="16"/>
        <v>0</v>
      </c>
      <c r="N119" s="15"/>
      <c r="O119" s="15"/>
      <c r="P119" s="15"/>
      <c r="Q119" s="15"/>
      <c r="R119" s="15"/>
      <c r="S119" s="15"/>
      <c r="T119" s="15"/>
      <c r="U119" s="15"/>
      <c r="V119" s="15"/>
      <c r="W119" s="42"/>
      <c r="Y119" s="2"/>
    </row>
    <row r="120" spans="1:25">
      <c r="A120" s="37" t="s">
        <v>304</v>
      </c>
      <c r="B120" s="72" t="s">
        <v>305</v>
      </c>
      <c r="C120" s="72" t="s">
        <v>103</v>
      </c>
      <c r="D120" s="72" t="s">
        <v>115</v>
      </c>
      <c r="E120" s="210" t="s">
        <v>306</v>
      </c>
      <c r="F120" s="72" t="s">
        <v>15</v>
      </c>
      <c r="G120" s="73">
        <f>O11</f>
        <v>268033</v>
      </c>
      <c r="H120" s="212">
        <v>1.83</v>
      </c>
      <c r="I120" s="75">
        <v>0</v>
      </c>
      <c r="J120" s="74">
        <f t="shared" si="15"/>
        <v>1.83</v>
      </c>
      <c r="K120" s="83">
        <f t="shared" si="16"/>
        <v>490500.39</v>
      </c>
      <c r="N120" s="15"/>
      <c r="O120" s="15"/>
      <c r="P120" s="15"/>
      <c r="Q120" s="15"/>
      <c r="R120" s="15"/>
      <c r="S120" s="15"/>
      <c r="T120" s="15"/>
      <c r="U120" s="15"/>
      <c r="V120" s="15"/>
      <c r="W120" s="42"/>
      <c r="Y120" s="2"/>
    </row>
    <row r="121" spans="1:25">
      <c r="A121" s="37" t="s">
        <v>307</v>
      </c>
      <c r="B121" s="72" t="s">
        <v>308</v>
      </c>
      <c r="C121" s="72" t="s">
        <v>103</v>
      </c>
      <c r="D121" s="72" t="s">
        <v>181</v>
      </c>
      <c r="E121" s="72" t="s">
        <v>266</v>
      </c>
      <c r="F121" s="72" t="s">
        <v>121</v>
      </c>
      <c r="G121" s="161">
        <v>2</v>
      </c>
      <c r="H121" s="74">
        <v>30184</v>
      </c>
      <c r="I121" s="75">
        <v>0</v>
      </c>
      <c r="J121" s="74">
        <f t="shared" si="15"/>
        <v>30184</v>
      </c>
      <c r="K121" s="83">
        <f>J121*G121</f>
        <v>60368</v>
      </c>
      <c r="N121" s="163"/>
      <c r="O121" s="15"/>
      <c r="P121" s="15"/>
      <c r="Q121" s="15"/>
      <c r="R121" s="15"/>
      <c r="S121" s="15"/>
      <c r="T121" s="15"/>
      <c r="U121" s="15"/>
      <c r="V121" s="15"/>
      <c r="W121" s="42"/>
      <c r="Y121" s="2"/>
    </row>
    <row r="122" spans="1:25">
      <c r="A122" s="37" t="s">
        <v>309</v>
      </c>
      <c r="B122" s="72" t="s">
        <v>310</v>
      </c>
      <c r="C122" s="72" t="s">
        <v>103</v>
      </c>
      <c r="D122" s="72" t="s">
        <v>181</v>
      </c>
      <c r="E122" s="72" t="s">
        <v>266</v>
      </c>
      <c r="F122" s="72" t="s">
        <v>121</v>
      </c>
      <c r="G122" s="161">
        <v>2</v>
      </c>
      <c r="H122" s="74">
        <v>1994</v>
      </c>
      <c r="I122" s="75">
        <v>0</v>
      </c>
      <c r="J122" s="74">
        <f t="shared" si="15"/>
        <v>1994</v>
      </c>
      <c r="K122" s="83">
        <f t="shared" si="16"/>
        <v>3988</v>
      </c>
      <c r="N122" s="163"/>
      <c r="O122" s="15"/>
      <c r="P122" s="15"/>
      <c r="Q122" s="15"/>
      <c r="R122" s="15"/>
      <c r="S122" s="15"/>
      <c r="T122" s="15"/>
      <c r="U122" s="15"/>
      <c r="V122" s="15"/>
      <c r="W122" s="42"/>
      <c r="Y122" s="2"/>
    </row>
    <row r="123" spans="1:25">
      <c r="A123" s="37" t="s">
        <v>311</v>
      </c>
      <c r="B123" s="72" t="s">
        <v>312</v>
      </c>
      <c r="C123" s="72" t="s">
        <v>103</v>
      </c>
      <c r="D123" s="72" t="s">
        <v>181</v>
      </c>
      <c r="E123" s="72" t="s">
        <v>266</v>
      </c>
      <c r="F123" s="72" t="s">
        <v>15</v>
      </c>
      <c r="G123" s="73">
        <f t="shared" si="14"/>
        <v>311142</v>
      </c>
      <c r="H123" s="74">
        <v>0.5</v>
      </c>
      <c r="I123" s="75">
        <v>0</v>
      </c>
      <c r="J123" s="74">
        <f t="shared" si="15"/>
        <v>0.5</v>
      </c>
      <c r="K123" s="83">
        <f t="shared" si="16"/>
        <v>155571</v>
      </c>
      <c r="N123" s="15"/>
      <c r="O123" s="15"/>
      <c r="P123" s="15"/>
      <c r="Q123" s="15"/>
      <c r="R123" s="15"/>
      <c r="S123" s="15"/>
      <c r="T123" s="15"/>
      <c r="U123" s="15"/>
      <c r="V123" s="15"/>
      <c r="W123" s="42"/>
      <c r="Y123" s="2"/>
    </row>
    <row r="124" spans="1:25">
      <c r="A124" s="37" t="s">
        <v>313</v>
      </c>
      <c r="B124" s="72" t="s">
        <v>314</v>
      </c>
      <c r="C124" s="72" t="s">
        <v>281</v>
      </c>
      <c r="D124" s="72" t="s">
        <v>181</v>
      </c>
      <c r="E124" s="72" t="s">
        <v>110</v>
      </c>
      <c r="F124" s="72" t="s">
        <v>32</v>
      </c>
      <c r="G124" s="73">
        <f>O3</f>
        <v>4</v>
      </c>
      <c r="H124" s="74">
        <v>1500</v>
      </c>
      <c r="I124" s="75">
        <v>0</v>
      </c>
      <c r="J124" s="74">
        <f t="shared" si="15"/>
        <v>1500</v>
      </c>
      <c r="K124" s="83">
        <f t="shared" si="16"/>
        <v>6000</v>
      </c>
      <c r="N124" s="15"/>
      <c r="O124" s="15"/>
      <c r="P124" s="15"/>
      <c r="Q124" s="15"/>
      <c r="R124" s="15"/>
      <c r="S124" s="15"/>
      <c r="T124" s="15"/>
      <c r="U124" s="15"/>
      <c r="V124" s="15"/>
      <c r="W124" s="42"/>
      <c r="Y124" s="2"/>
    </row>
    <row r="125" spans="1:25">
      <c r="A125" s="37" t="s">
        <v>315</v>
      </c>
      <c r="B125" s="72" t="s">
        <v>316</v>
      </c>
      <c r="C125" s="72" t="s">
        <v>103</v>
      </c>
      <c r="D125" s="72" t="s">
        <v>181</v>
      </c>
      <c r="E125" s="72" t="s">
        <v>266</v>
      </c>
      <c r="F125" s="72" t="s">
        <v>15</v>
      </c>
      <c r="G125" s="73">
        <f t="shared" si="14"/>
        <v>311142</v>
      </c>
      <c r="H125" s="74">
        <v>9.0909000000000004E-2</v>
      </c>
      <c r="I125" s="75">
        <v>0</v>
      </c>
      <c r="J125" s="74">
        <f t="shared" si="15"/>
        <v>9.0909000000000004E-2</v>
      </c>
      <c r="K125" s="83">
        <f t="shared" si="16"/>
        <v>28285.608078000001</v>
      </c>
      <c r="N125" s="15"/>
      <c r="O125" s="15"/>
      <c r="P125" s="15"/>
      <c r="Q125" s="15"/>
      <c r="R125" s="15"/>
      <c r="S125" s="15"/>
      <c r="T125" s="15"/>
      <c r="U125" s="15"/>
      <c r="V125" s="15"/>
      <c r="W125" s="42"/>
      <c r="Y125" s="2"/>
    </row>
    <row r="126" spans="1:25">
      <c r="A126" s="37" t="s">
        <v>317</v>
      </c>
      <c r="B126" s="72" t="s">
        <v>318</v>
      </c>
      <c r="C126" s="72" t="s">
        <v>103</v>
      </c>
      <c r="D126" s="72" t="s">
        <v>181</v>
      </c>
      <c r="E126" s="72" t="s">
        <v>266</v>
      </c>
      <c r="F126" s="72" t="s">
        <v>15</v>
      </c>
      <c r="G126" s="73">
        <f t="shared" si="14"/>
        <v>311142</v>
      </c>
      <c r="H126" s="74">
        <v>0.182</v>
      </c>
      <c r="I126" s="75">
        <v>0</v>
      </c>
      <c r="J126" s="74">
        <f t="shared" si="15"/>
        <v>0.182</v>
      </c>
      <c r="K126" s="83">
        <f t="shared" si="16"/>
        <v>56627.843999999997</v>
      </c>
      <c r="N126" s="15"/>
      <c r="O126" s="15"/>
      <c r="P126" s="15"/>
      <c r="Q126" s="15"/>
      <c r="R126" s="15"/>
      <c r="S126" s="15"/>
      <c r="T126" s="15"/>
      <c r="U126" s="15"/>
      <c r="V126" s="15"/>
      <c r="W126" s="42"/>
      <c r="Y126" s="2"/>
    </row>
    <row r="127" spans="1:25">
      <c r="A127" s="37" t="s">
        <v>319</v>
      </c>
      <c r="B127" s="72" t="s">
        <v>320</v>
      </c>
      <c r="C127" s="72" t="s">
        <v>103</v>
      </c>
      <c r="D127" s="72" t="s">
        <v>181</v>
      </c>
      <c r="E127" s="164" t="s">
        <v>127</v>
      </c>
      <c r="F127" s="72" t="s">
        <v>15</v>
      </c>
      <c r="G127" s="161">
        <f>1300*O7</f>
        <v>2600</v>
      </c>
      <c r="H127" s="74">
        <v>15.91</v>
      </c>
      <c r="I127" s="75">
        <v>0</v>
      </c>
      <c r="J127" s="74">
        <f t="shared" si="15"/>
        <v>15.91</v>
      </c>
      <c r="K127" s="83">
        <f t="shared" si="16"/>
        <v>41366</v>
      </c>
      <c r="N127" s="15" t="s">
        <v>321</v>
      </c>
      <c r="O127" s="15"/>
      <c r="P127" s="15"/>
      <c r="Q127" s="15"/>
      <c r="R127" s="15"/>
      <c r="S127" s="15"/>
      <c r="T127" s="15"/>
      <c r="U127" s="15"/>
      <c r="V127" s="15"/>
      <c r="W127" s="42"/>
      <c r="Y127" s="2"/>
    </row>
    <row r="128" spans="1:25">
      <c r="A128" s="37" t="s">
        <v>322</v>
      </c>
      <c r="B128" s="72" t="s">
        <v>323</v>
      </c>
      <c r="C128" s="72" t="s">
        <v>103</v>
      </c>
      <c r="D128" s="72" t="s">
        <v>181</v>
      </c>
      <c r="E128" s="72" t="s">
        <v>266</v>
      </c>
      <c r="F128" s="72" t="s">
        <v>15</v>
      </c>
      <c r="G128" s="73">
        <f t="shared" si="14"/>
        <v>311142</v>
      </c>
      <c r="H128" s="74">
        <v>7.2700000000000001E-2</v>
      </c>
      <c r="I128" s="75">
        <v>0</v>
      </c>
      <c r="J128" s="74">
        <f t="shared" si="15"/>
        <v>7.2700000000000001E-2</v>
      </c>
      <c r="K128" s="83">
        <f t="shared" si="16"/>
        <v>22620.023400000002</v>
      </c>
      <c r="N128" s="15"/>
      <c r="O128" s="15"/>
      <c r="P128" s="15"/>
      <c r="Q128" s="15"/>
      <c r="R128" s="15"/>
      <c r="S128" s="15"/>
      <c r="T128" s="15"/>
      <c r="U128" s="15"/>
      <c r="V128" s="15"/>
      <c r="W128" s="42"/>
      <c r="Y128" s="2"/>
    </row>
    <row r="129" spans="1:25">
      <c r="A129" s="37" t="s">
        <v>324</v>
      </c>
      <c r="B129" s="72" t="s">
        <v>325</v>
      </c>
      <c r="C129" s="72" t="s">
        <v>103</v>
      </c>
      <c r="D129" s="72" t="s">
        <v>181</v>
      </c>
      <c r="E129" s="72" t="s">
        <v>127</v>
      </c>
      <c r="F129" s="72" t="s">
        <v>15</v>
      </c>
      <c r="G129" s="161">
        <f>SUM($S$14:$S$16)*0.25</f>
        <v>6423.75</v>
      </c>
      <c r="H129" s="74">
        <v>1.5</v>
      </c>
      <c r="I129" s="75">
        <v>0</v>
      </c>
      <c r="J129" s="74">
        <f t="shared" si="15"/>
        <v>1.5</v>
      </c>
      <c r="K129" s="83">
        <f t="shared" si="16"/>
        <v>9635.625</v>
      </c>
      <c r="N129" s="170" t="s">
        <v>326</v>
      </c>
      <c r="O129" s="15"/>
      <c r="P129" s="15"/>
      <c r="Q129" s="15"/>
      <c r="R129" s="15"/>
      <c r="S129" s="15"/>
      <c r="T129" s="15"/>
      <c r="U129" s="15"/>
      <c r="V129" s="15"/>
      <c r="W129" s="42"/>
      <c r="Y129" s="2"/>
    </row>
    <row r="130" spans="1:25">
      <c r="A130" s="37" t="s">
        <v>327</v>
      </c>
      <c r="B130" s="72" t="s">
        <v>328</v>
      </c>
      <c r="C130" s="72" t="s">
        <v>103</v>
      </c>
      <c r="D130" s="72" t="s">
        <v>181</v>
      </c>
      <c r="E130" s="72" t="s">
        <v>127</v>
      </c>
      <c r="F130" s="72" t="s">
        <v>15</v>
      </c>
      <c r="G130" s="161">
        <f>SUM($S$14:$S$16)*0.25</f>
        <v>6423.75</v>
      </c>
      <c r="H130" s="74">
        <v>10</v>
      </c>
      <c r="I130" s="75">
        <v>0</v>
      </c>
      <c r="J130" s="74">
        <f t="shared" si="15"/>
        <v>10</v>
      </c>
      <c r="K130" s="83">
        <f t="shared" si="16"/>
        <v>64237.5</v>
      </c>
      <c r="N130" s="170" t="s">
        <v>326</v>
      </c>
      <c r="O130" s="15"/>
      <c r="P130" s="15"/>
      <c r="Q130" s="15"/>
      <c r="R130" s="15"/>
      <c r="S130" s="15"/>
      <c r="T130" s="15"/>
      <c r="U130" s="15"/>
      <c r="V130" s="15"/>
      <c r="W130" s="42"/>
      <c r="Y130" s="2"/>
    </row>
    <row r="131" spans="1:25">
      <c r="A131" s="37" t="s">
        <v>329</v>
      </c>
      <c r="B131" s="72" t="s">
        <v>330</v>
      </c>
      <c r="C131" s="72" t="s">
        <v>120</v>
      </c>
      <c r="D131" s="72" t="s">
        <v>115</v>
      </c>
      <c r="E131" s="72" t="s">
        <v>110</v>
      </c>
      <c r="F131" s="72" t="s">
        <v>187</v>
      </c>
      <c r="G131" s="67">
        <f>$E$8</f>
        <v>347</v>
      </c>
      <c r="H131" s="74">
        <v>85</v>
      </c>
      <c r="I131" s="75">
        <v>0</v>
      </c>
      <c r="J131" s="74">
        <f t="shared" si="15"/>
        <v>85</v>
      </c>
      <c r="K131" s="83">
        <f t="shared" si="16"/>
        <v>29495</v>
      </c>
      <c r="N131" s="15"/>
      <c r="O131" s="15"/>
      <c r="P131" s="15"/>
      <c r="Q131" s="15"/>
      <c r="R131" s="15"/>
      <c r="S131" s="15"/>
      <c r="T131" s="15"/>
      <c r="U131" s="15"/>
      <c r="V131" s="15"/>
      <c r="W131" s="42"/>
      <c r="Y131" s="2"/>
    </row>
    <row r="132" spans="1:25">
      <c r="A132" s="37" t="s">
        <v>331</v>
      </c>
      <c r="B132" s="72" t="s">
        <v>332</v>
      </c>
      <c r="C132" s="72" t="s">
        <v>103</v>
      </c>
      <c r="D132" s="72" t="s">
        <v>115</v>
      </c>
      <c r="E132" s="72" t="s">
        <v>116</v>
      </c>
      <c r="F132" s="72" t="s">
        <v>15</v>
      </c>
      <c r="G132" s="73">
        <f t="shared" ref="G132" si="18">$B$8</f>
        <v>311142</v>
      </c>
      <c r="H132" s="74">
        <v>1.84</v>
      </c>
      <c r="I132" s="75">
        <v>0</v>
      </c>
      <c r="J132" s="74">
        <f t="shared" si="15"/>
        <v>1.84</v>
      </c>
      <c r="K132" s="83">
        <f t="shared" si="16"/>
        <v>572501.28</v>
      </c>
      <c r="N132" s="15"/>
      <c r="O132" s="15"/>
      <c r="P132" s="15"/>
      <c r="Q132" s="15"/>
      <c r="R132" s="15"/>
      <c r="S132" s="15"/>
      <c r="T132" s="15"/>
      <c r="U132" s="15"/>
      <c r="V132" s="15"/>
      <c r="W132" s="42"/>
      <c r="Y132" s="2"/>
    </row>
    <row r="133" spans="1:25">
      <c r="A133" s="37" t="s">
        <v>333</v>
      </c>
      <c r="B133" s="72" t="s">
        <v>334</v>
      </c>
      <c r="C133" s="72" t="s">
        <v>103</v>
      </c>
      <c r="D133" s="72" t="s">
        <v>115</v>
      </c>
      <c r="E133" s="72" t="s">
        <v>118</v>
      </c>
      <c r="F133" s="72"/>
      <c r="G133" s="73"/>
      <c r="H133" s="74"/>
      <c r="I133" s="75">
        <v>0</v>
      </c>
      <c r="J133" s="74">
        <f t="shared" si="15"/>
        <v>0</v>
      </c>
      <c r="K133" s="83">
        <f t="shared" si="16"/>
        <v>0</v>
      </c>
      <c r="N133" s="15"/>
      <c r="O133" s="15"/>
      <c r="P133" s="15"/>
      <c r="Q133" s="15"/>
      <c r="R133" s="15"/>
      <c r="S133" s="15"/>
      <c r="T133" s="15"/>
      <c r="U133" s="15"/>
      <c r="V133" s="15"/>
      <c r="W133" s="42"/>
      <c r="Y133" s="2"/>
    </row>
    <row r="134" spans="1:25">
      <c r="A134" s="37" t="s">
        <v>335</v>
      </c>
      <c r="B134" s="72" t="s">
        <v>336</v>
      </c>
      <c r="C134" s="72" t="s">
        <v>103</v>
      </c>
      <c r="D134" s="72" t="s">
        <v>130</v>
      </c>
      <c r="E134" s="72" t="s">
        <v>118</v>
      </c>
      <c r="F134" s="72"/>
      <c r="G134" s="73"/>
      <c r="H134" s="74"/>
      <c r="I134" s="75">
        <v>0</v>
      </c>
      <c r="J134" s="74">
        <f t="shared" si="15"/>
        <v>0</v>
      </c>
      <c r="K134" s="83">
        <f t="shared" si="16"/>
        <v>0</v>
      </c>
      <c r="N134" s="15"/>
      <c r="O134" s="15"/>
      <c r="P134" s="15"/>
      <c r="Q134" s="15"/>
      <c r="R134" s="15"/>
      <c r="S134" s="15"/>
      <c r="T134" s="15"/>
      <c r="U134" s="15"/>
      <c r="V134" s="15"/>
      <c r="W134" s="42"/>
      <c r="Y134" s="2"/>
    </row>
    <row r="135" spans="1:25">
      <c r="A135" s="37" t="s">
        <v>337</v>
      </c>
      <c r="B135" s="72"/>
      <c r="C135" s="72" t="s">
        <v>103</v>
      </c>
      <c r="D135" s="72" t="s">
        <v>181</v>
      </c>
      <c r="E135" s="72" t="s">
        <v>118</v>
      </c>
      <c r="F135" s="72"/>
      <c r="G135" s="73"/>
      <c r="H135" s="74"/>
      <c r="I135" s="75">
        <v>0</v>
      </c>
      <c r="J135" s="74">
        <f t="shared" si="15"/>
        <v>0</v>
      </c>
      <c r="K135" s="83">
        <f t="shared" si="16"/>
        <v>0</v>
      </c>
      <c r="N135" s="15"/>
      <c r="O135" s="15"/>
      <c r="P135" s="15"/>
      <c r="Q135" s="15"/>
      <c r="R135" s="15"/>
      <c r="S135" s="15"/>
      <c r="T135" s="15"/>
      <c r="U135" s="15"/>
      <c r="V135" s="15"/>
      <c r="W135" s="42"/>
      <c r="Y135" s="2"/>
    </row>
    <row r="136" spans="1:25">
      <c r="A136" s="37" t="s">
        <v>338</v>
      </c>
      <c r="B136" s="72" t="s">
        <v>339</v>
      </c>
      <c r="C136" s="72" t="s">
        <v>103</v>
      </c>
      <c r="D136" s="72" t="s">
        <v>181</v>
      </c>
      <c r="E136" s="72" t="s">
        <v>118</v>
      </c>
      <c r="F136" s="72"/>
      <c r="G136" s="73"/>
      <c r="H136" s="74"/>
      <c r="I136" s="75">
        <v>0</v>
      </c>
      <c r="J136" s="74">
        <f t="shared" si="15"/>
        <v>0</v>
      </c>
      <c r="K136" s="83">
        <f t="shared" si="16"/>
        <v>0</v>
      </c>
      <c r="N136" s="15"/>
      <c r="O136" s="15"/>
      <c r="P136" s="15"/>
      <c r="Q136" s="15"/>
      <c r="R136" s="15"/>
      <c r="S136" s="15"/>
      <c r="T136" s="15"/>
      <c r="U136" s="15"/>
      <c r="V136" s="15"/>
      <c r="W136" s="42"/>
      <c r="Y136" s="2"/>
    </row>
    <row r="137" spans="1:25">
      <c r="A137" s="33" t="s">
        <v>340</v>
      </c>
      <c r="B137" s="54" t="s">
        <v>341</v>
      </c>
      <c r="C137" s="54"/>
      <c r="D137" s="54"/>
      <c r="E137" s="54"/>
      <c r="F137" s="54"/>
      <c r="G137" s="55"/>
      <c r="H137" s="56"/>
      <c r="I137" s="57"/>
      <c r="J137" s="56"/>
      <c r="K137" s="82"/>
      <c r="L137" s="102">
        <f>SUM(K138:K153)</f>
        <v>328837</v>
      </c>
      <c r="N137" s="15"/>
      <c r="O137" s="15"/>
      <c r="P137" s="15"/>
      <c r="Q137" s="15"/>
      <c r="R137" s="15"/>
      <c r="S137" s="15"/>
      <c r="T137" s="15"/>
      <c r="U137" s="15"/>
      <c r="V137" s="15"/>
      <c r="W137" s="42"/>
      <c r="Y137" s="2"/>
    </row>
    <row r="138" spans="1:25">
      <c r="A138" s="35" t="s">
        <v>342</v>
      </c>
      <c r="B138" s="66" t="s">
        <v>343</v>
      </c>
      <c r="C138" s="66" t="s">
        <v>103</v>
      </c>
      <c r="D138" s="66" t="s">
        <v>109</v>
      </c>
      <c r="E138" s="66" t="s">
        <v>118</v>
      </c>
      <c r="F138" s="66"/>
      <c r="G138" s="67"/>
      <c r="H138" s="68"/>
      <c r="I138" s="69">
        <v>0</v>
      </c>
      <c r="J138" s="70">
        <f t="shared" ref="J138:J153" si="19">H138*(1+I138)</f>
        <v>0</v>
      </c>
      <c r="K138" s="71">
        <f t="shared" ref="K138:K153" si="20">J138*G138</f>
        <v>0</v>
      </c>
      <c r="N138" s="15"/>
      <c r="O138" s="15"/>
      <c r="P138" s="15"/>
      <c r="Q138" s="15"/>
      <c r="R138" s="15"/>
      <c r="S138" s="15"/>
      <c r="T138" s="15"/>
      <c r="U138" s="15"/>
      <c r="V138" s="15"/>
      <c r="W138" s="42"/>
      <c r="Y138" s="2"/>
    </row>
    <row r="139" spans="1:25">
      <c r="A139" s="37" t="s">
        <v>344</v>
      </c>
      <c r="B139" s="72" t="s">
        <v>345</v>
      </c>
      <c r="C139" s="72" t="s">
        <v>103</v>
      </c>
      <c r="D139" s="72" t="s">
        <v>346</v>
      </c>
      <c r="E139" s="72" t="s">
        <v>127</v>
      </c>
      <c r="F139" s="72" t="s">
        <v>10</v>
      </c>
      <c r="G139" s="67">
        <f>$E$8</f>
        <v>347</v>
      </c>
      <c r="H139" s="74">
        <v>155</v>
      </c>
      <c r="I139" s="75">
        <v>0</v>
      </c>
      <c r="J139" s="74">
        <f t="shared" si="19"/>
        <v>155</v>
      </c>
      <c r="K139" s="83">
        <f>J139*G139</f>
        <v>53785</v>
      </c>
      <c r="N139" s="15"/>
      <c r="O139" s="15"/>
      <c r="P139" s="15"/>
      <c r="Q139" s="15"/>
      <c r="R139" s="15"/>
      <c r="S139" s="15"/>
      <c r="T139" s="15"/>
      <c r="U139" s="15"/>
      <c r="V139" s="15"/>
      <c r="W139" s="42"/>
      <c r="Y139" s="2"/>
    </row>
    <row r="140" spans="1:25">
      <c r="A140" s="37" t="s">
        <v>347</v>
      </c>
      <c r="B140" s="72" t="s">
        <v>348</v>
      </c>
      <c r="C140" s="72" t="s">
        <v>103</v>
      </c>
      <c r="D140" s="72" t="s">
        <v>109</v>
      </c>
      <c r="E140" s="48" t="s">
        <v>127</v>
      </c>
      <c r="F140" s="72" t="s">
        <v>121</v>
      </c>
      <c r="G140" s="161">
        <v>1</v>
      </c>
      <c r="H140" s="74">
        <v>5688</v>
      </c>
      <c r="I140" s="75">
        <v>0</v>
      </c>
      <c r="J140" s="74">
        <f t="shared" si="19"/>
        <v>5688</v>
      </c>
      <c r="K140" s="83">
        <f t="shared" si="20"/>
        <v>5688</v>
      </c>
      <c r="N140" s="15"/>
      <c r="O140" s="15"/>
      <c r="P140" s="15"/>
      <c r="Q140" s="15"/>
      <c r="R140" s="15"/>
      <c r="S140" s="15"/>
      <c r="T140" s="15"/>
      <c r="U140" s="15"/>
      <c r="V140" s="15"/>
      <c r="W140" s="42"/>
      <c r="Y140" s="2"/>
    </row>
    <row r="141" spans="1:25">
      <c r="A141" s="37" t="s">
        <v>349</v>
      </c>
      <c r="B141" s="72" t="s">
        <v>350</v>
      </c>
      <c r="C141" s="72" t="s">
        <v>103</v>
      </c>
      <c r="D141" s="72" t="s">
        <v>109</v>
      </c>
      <c r="E141" s="72" t="s">
        <v>127</v>
      </c>
      <c r="F141" s="72" t="s">
        <v>121</v>
      </c>
      <c r="G141" s="161">
        <v>1</v>
      </c>
      <c r="H141" s="74">
        <v>4500</v>
      </c>
      <c r="I141" s="75">
        <v>0</v>
      </c>
      <c r="J141" s="74">
        <f t="shared" si="19"/>
        <v>4500</v>
      </c>
      <c r="K141" s="83">
        <f t="shared" si="20"/>
        <v>4500</v>
      </c>
      <c r="N141" s="15"/>
      <c r="O141" s="15"/>
      <c r="P141" s="15"/>
      <c r="Q141" s="15"/>
      <c r="R141" s="15"/>
      <c r="S141" s="15"/>
      <c r="T141" s="15"/>
      <c r="U141" s="15"/>
      <c r="V141" s="15"/>
      <c r="W141" s="42"/>
      <c r="Y141" s="2"/>
    </row>
    <row r="142" spans="1:25">
      <c r="A142" s="37" t="s">
        <v>351</v>
      </c>
      <c r="B142" s="72" t="s">
        <v>352</v>
      </c>
      <c r="C142" s="72" t="s">
        <v>103</v>
      </c>
      <c r="D142" s="72" t="s">
        <v>353</v>
      </c>
      <c r="E142" s="72" t="s">
        <v>110</v>
      </c>
      <c r="F142" s="72" t="s">
        <v>121</v>
      </c>
      <c r="G142" s="161">
        <v>1</v>
      </c>
      <c r="H142" s="74">
        <v>7000</v>
      </c>
      <c r="I142" s="75">
        <v>0</v>
      </c>
      <c r="J142" s="74">
        <f t="shared" si="19"/>
        <v>7000</v>
      </c>
      <c r="K142" s="83">
        <f t="shared" si="20"/>
        <v>7000</v>
      </c>
      <c r="N142" s="15"/>
      <c r="O142" s="15"/>
      <c r="P142" s="15"/>
      <c r="Q142" s="15"/>
      <c r="R142" s="15"/>
      <c r="S142" s="15"/>
      <c r="T142" s="15"/>
      <c r="U142" s="15"/>
      <c r="V142" s="15"/>
      <c r="W142" s="42"/>
      <c r="Y142" s="2"/>
    </row>
    <row r="143" spans="1:25">
      <c r="A143" s="37" t="s">
        <v>354</v>
      </c>
      <c r="B143" s="72" t="s">
        <v>355</v>
      </c>
      <c r="C143" s="72" t="s">
        <v>103</v>
      </c>
      <c r="D143" s="72" t="s">
        <v>115</v>
      </c>
      <c r="E143" s="72" t="s">
        <v>127</v>
      </c>
      <c r="F143" s="72" t="s">
        <v>10</v>
      </c>
      <c r="G143" s="67">
        <f>$E$8</f>
        <v>347</v>
      </c>
      <c r="H143" s="74">
        <v>17</v>
      </c>
      <c r="I143" s="75">
        <v>0</v>
      </c>
      <c r="J143" s="74">
        <f t="shared" si="19"/>
        <v>17</v>
      </c>
      <c r="K143" s="83">
        <f t="shared" si="20"/>
        <v>5899</v>
      </c>
      <c r="N143" s="15"/>
      <c r="O143" s="15"/>
      <c r="P143" s="15"/>
      <c r="Q143" s="15"/>
      <c r="R143" s="15"/>
      <c r="S143" s="15"/>
      <c r="T143" s="15"/>
      <c r="U143" s="15"/>
      <c r="V143" s="15"/>
      <c r="W143" s="42"/>
      <c r="Y143" s="2"/>
    </row>
    <row r="144" spans="1:25">
      <c r="A144" s="37" t="s">
        <v>356</v>
      </c>
      <c r="B144" s="72" t="s">
        <v>357</v>
      </c>
      <c r="C144" s="72" t="s">
        <v>103</v>
      </c>
      <c r="D144" s="72" t="s">
        <v>115</v>
      </c>
      <c r="E144" s="72" t="s">
        <v>118</v>
      </c>
      <c r="F144" s="72"/>
      <c r="G144" s="73"/>
      <c r="H144" s="74"/>
      <c r="I144" s="75">
        <v>0</v>
      </c>
      <c r="J144" s="74">
        <f t="shared" si="19"/>
        <v>0</v>
      </c>
      <c r="K144" s="83">
        <f t="shared" si="20"/>
        <v>0</v>
      </c>
      <c r="N144" s="15"/>
      <c r="O144" s="15"/>
      <c r="P144" s="15"/>
      <c r="Q144" s="15"/>
      <c r="R144" s="15"/>
      <c r="S144" s="15"/>
      <c r="T144" s="15"/>
      <c r="U144" s="15"/>
      <c r="V144" s="15"/>
      <c r="W144" s="42"/>
      <c r="Y144" s="2"/>
    </row>
    <row r="145" spans="1:25">
      <c r="A145" s="37" t="s">
        <v>358</v>
      </c>
      <c r="B145" s="72" t="s">
        <v>359</v>
      </c>
      <c r="C145" s="72" t="s">
        <v>103</v>
      </c>
      <c r="D145" s="72" t="s">
        <v>115</v>
      </c>
      <c r="E145" s="72" t="s">
        <v>118</v>
      </c>
      <c r="F145" s="72"/>
      <c r="G145" s="73"/>
      <c r="H145" s="74"/>
      <c r="I145" s="75">
        <v>0</v>
      </c>
      <c r="J145" s="74">
        <f t="shared" si="19"/>
        <v>0</v>
      </c>
      <c r="K145" s="83">
        <f t="shared" si="20"/>
        <v>0</v>
      </c>
      <c r="N145" s="15"/>
      <c r="O145" s="15"/>
      <c r="P145" s="15"/>
      <c r="Q145" s="15"/>
      <c r="R145" s="15"/>
      <c r="S145" s="15"/>
      <c r="T145" s="15"/>
      <c r="U145" s="15"/>
      <c r="V145" s="15"/>
      <c r="W145" s="42"/>
      <c r="Y145" s="2"/>
    </row>
    <row r="146" spans="1:25">
      <c r="A146" s="37" t="s">
        <v>360</v>
      </c>
      <c r="B146" s="72" t="s">
        <v>361</v>
      </c>
      <c r="C146" s="72" t="s">
        <v>103</v>
      </c>
      <c r="D146" s="72" t="s">
        <v>130</v>
      </c>
      <c r="E146" s="72" t="s">
        <v>118</v>
      </c>
      <c r="F146" s="72"/>
      <c r="G146" s="73"/>
      <c r="H146" s="74"/>
      <c r="I146" s="75">
        <v>0</v>
      </c>
      <c r="J146" s="74">
        <f t="shared" si="19"/>
        <v>0</v>
      </c>
      <c r="K146" s="83">
        <f t="shared" si="20"/>
        <v>0</v>
      </c>
      <c r="N146" s="15"/>
      <c r="O146" s="15"/>
      <c r="P146" s="15"/>
      <c r="Q146" s="15"/>
      <c r="R146" s="15"/>
      <c r="S146" s="15"/>
      <c r="T146" s="15"/>
      <c r="U146" s="15"/>
      <c r="V146" s="15"/>
      <c r="W146" s="42"/>
      <c r="Y146" s="2"/>
    </row>
    <row r="147" spans="1:25">
      <c r="A147" s="37" t="s">
        <v>362</v>
      </c>
      <c r="B147" s="72" t="s">
        <v>363</v>
      </c>
      <c r="C147" s="72" t="s">
        <v>103</v>
      </c>
      <c r="D147" s="72" t="s">
        <v>130</v>
      </c>
      <c r="E147" s="210" t="s">
        <v>306</v>
      </c>
      <c r="F147" s="72" t="s">
        <v>121</v>
      </c>
      <c r="G147" s="73">
        <f>G64</f>
        <v>2</v>
      </c>
      <c r="H147" s="74">
        <v>3360</v>
      </c>
      <c r="I147" s="75">
        <v>0</v>
      </c>
      <c r="J147" s="74">
        <f t="shared" si="19"/>
        <v>3360</v>
      </c>
      <c r="K147" s="83">
        <f t="shared" si="20"/>
        <v>6720</v>
      </c>
      <c r="N147" s="15"/>
      <c r="O147" s="15"/>
      <c r="P147" s="15"/>
      <c r="Q147" s="15"/>
      <c r="R147" s="15"/>
      <c r="S147" s="15"/>
      <c r="T147" s="15"/>
      <c r="U147" s="15"/>
      <c r="V147" s="15"/>
      <c r="W147" s="42"/>
      <c r="Y147" s="2"/>
    </row>
    <row r="148" spans="1:25">
      <c r="A148" s="37" t="s">
        <v>364</v>
      </c>
      <c r="B148" s="72" t="s">
        <v>365</v>
      </c>
      <c r="C148" s="72" t="s">
        <v>103</v>
      </c>
      <c r="D148" s="72" t="s">
        <v>109</v>
      </c>
      <c r="E148" s="72" t="s">
        <v>110</v>
      </c>
      <c r="F148" s="72" t="s">
        <v>32</v>
      </c>
      <c r="G148" s="73">
        <f>6</f>
        <v>6</v>
      </c>
      <c r="H148" s="74">
        <v>550</v>
      </c>
      <c r="I148" s="75">
        <v>0</v>
      </c>
      <c r="J148" s="74">
        <f t="shared" si="19"/>
        <v>550</v>
      </c>
      <c r="K148" s="83">
        <f t="shared" si="20"/>
        <v>3300</v>
      </c>
      <c r="N148" s="15"/>
      <c r="O148" s="15"/>
      <c r="P148" s="15"/>
      <c r="Q148" s="15"/>
      <c r="R148" s="15"/>
      <c r="S148" s="15"/>
      <c r="T148" s="15"/>
      <c r="U148" s="15"/>
      <c r="V148" s="15"/>
      <c r="W148" s="42"/>
      <c r="Y148" s="2"/>
    </row>
    <row r="149" spans="1:25">
      <c r="A149" s="37" t="s">
        <v>366</v>
      </c>
      <c r="B149" s="72" t="s">
        <v>367</v>
      </c>
      <c r="C149" s="72" t="s">
        <v>103</v>
      </c>
      <c r="D149" s="72" t="s">
        <v>115</v>
      </c>
      <c r="E149" s="72" t="s">
        <v>127</v>
      </c>
      <c r="F149" s="72" t="s">
        <v>10</v>
      </c>
      <c r="G149" s="67">
        <f>$E$8</f>
        <v>347</v>
      </c>
      <c r="H149" s="74">
        <v>79</v>
      </c>
      <c r="I149" s="75">
        <v>0</v>
      </c>
      <c r="J149" s="74">
        <f t="shared" si="19"/>
        <v>79</v>
      </c>
      <c r="K149" s="83">
        <f>J149*G149</f>
        <v>27413</v>
      </c>
      <c r="N149" s="15"/>
      <c r="O149" s="15"/>
      <c r="P149" s="15"/>
      <c r="Q149" s="15"/>
      <c r="R149" s="15"/>
      <c r="S149" s="15"/>
      <c r="T149" s="15"/>
      <c r="U149" s="15"/>
      <c r="V149" s="15"/>
      <c r="W149" s="42"/>
      <c r="Y149" s="2"/>
    </row>
    <row r="150" spans="1:25">
      <c r="A150" s="37" t="s">
        <v>368</v>
      </c>
      <c r="B150" s="72" t="s">
        <v>369</v>
      </c>
      <c r="C150" s="72" t="s">
        <v>103</v>
      </c>
      <c r="D150" s="72" t="s">
        <v>115</v>
      </c>
      <c r="E150" s="72" t="s">
        <v>370</v>
      </c>
      <c r="F150" s="72" t="s">
        <v>10</v>
      </c>
      <c r="G150" s="67">
        <f>$E$8</f>
        <v>347</v>
      </c>
      <c r="H150" s="74">
        <v>153</v>
      </c>
      <c r="I150" s="75">
        <v>0</v>
      </c>
      <c r="J150" s="74">
        <f t="shared" si="19"/>
        <v>153</v>
      </c>
      <c r="K150" s="83">
        <f t="shared" si="20"/>
        <v>53091</v>
      </c>
      <c r="N150" s="15"/>
      <c r="O150" s="15"/>
      <c r="P150" s="15"/>
      <c r="Q150" s="15"/>
      <c r="R150" s="15"/>
      <c r="S150" s="15"/>
      <c r="T150" s="15"/>
      <c r="U150" s="15"/>
      <c r="V150" s="15"/>
      <c r="W150" s="42"/>
      <c r="Y150" s="2"/>
    </row>
    <row r="151" spans="1:25">
      <c r="A151" s="37" t="s">
        <v>371</v>
      </c>
      <c r="B151" s="72" t="s">
        <v>372</v>
      </c>
      <c r="C151" s="72" t="s">
        <v>103</v>
      </c>
      <c r="D151" s="72" t="s">
        <v>115</v>
      </c>
      <c r="E151" s="72" t="s">
        <v>195</v>
      </c>
      <c r="F151" s="72" t="s">
        <v>10</v>
      </c>
      <c r="G151" s="67">
        <f>$E$8</f>
        <v>347</v>
      </c>
      <c r="H151" s="74">
        <v>203</v>
      </c>
      <c r="I151" s="75">
        <v>0</v>
      </c>
      <c r="J151" s="74">
        <f t="shared" si="19"/>
        <v>203</v>
      </c>
      <c r="K151" s="83">
        <f t="shared" si="20"/>
        <v>70441</v>
      </c>
      <c r="N151" s="15"/>
      <c r="O151" s="15"/>
      <c r="P151" s="15"/>
      <c r="Q151" s="15"/>
      <c r="R151" s="15"/>
      <c r="S151" s="15"/>
      <c r="T151" s="15"/>
      <c r="U151" s="15"/>
      <c r="V151" s="15"/>
      <c r="W151" s="42"/>
      <c r="Y151" s="2"/>
    </row>
    <row r="152" spans="1:25">
      <c r="A152" s="37" t="s">
        <v>373</v>
      </c>
      <c r="B152" s="72" t="s">
        <v>374</v>
      </c>
      <c r="C152" s="72" t="s">
        <v>103</v>
      </c>
      <c r="D152" s="72" t="s">
        <v>115</v>
      </c>
      <c r="E152" s="72" t="s">
        <v>375</v>
      </c>
      <c r="F152" s="72" t="s">
        <v>32</v>
      </c>
      <c r="G152" s="73">
        <v>16</v>
      </c>
      <c r="H152" s="74">
        <v>2500</v>
      </c>
      <c r="I152" s="75">
        <v>0</v>
      </c>
      <c r="J152" s="74">
        <f t="shared" si="19"/>
        <v>2500</v>
      </c>
      <c r="K152" s="83">
        <f t="shared" si="20"/>
        <v>40000</v>
      </c>
      <c r="N152" s="15" t="s">
        <v>376</v>
      </c>
      <c r="O152" s="15"/>
      <c r="P152" s="15"/>
      <c r="Q152" s="15"/>
      <c r="R152" s="15"/>
      <c r="S152" s="15"/>
      <c r="T152" s="15"/>
      <c r="U152" s="15"/>
      <c r="V152" s="15"/>
      <c r="W152" s="42"/>
      <c r="Y152" s="2"/>
    </row>
    <row r="153" spans="1:25">
      <c r="A153" s="37" t="s">
        <v>377</v>
      </c>
      <c r="B153" s="72" t="s">
        <v>374</v>
      </c>
      <c r="C153" s="72" t="s">
        <v>103</v>
      </c>
      <c r="D153" s="72" t="s">
        <v>115</v>
      </c>
      <c r="E153" s="72" t="s">
        <v>375</v>
      </c>
      <c r="F153" s="72" t="s">
        <v>32</v>
      </c>
      <c r="G153" s="73">
        <v>6</v>
      </c>
      <c r="H153" s="74">
        <v>8500</v>
      </c>
      <c r="I153" s="75">
        <v>0</v>
      </c>
      <c r="J153" s="74">
        <f t="shared" si="19"/>
        <v>8500</v>
      </c>
      <c r="K153" s="83">
        <f t="shared" si="20"/>
        <v>51000</v>
      </c>
      <c r="N153" s="15" t="s">
        <v>376</v>
      </c>
      <c r="O153" s="15"/>
      <c r="P153" s="15"/>
      <c r="Q153" s="15"/>
      <c r="R153" s="15"/>
      <c r="S153" s="15"/>
      <c r="T153" s="15"/>
      <c r="U153" s="15"/>
      <c r="V153" s="15"/>
      <c r="W153" s="42"/>
      <c r="Y153" s="2"/>
    </row>
    <row r="154" spans="1:25">
      <c r="A154" s="33" t="s">
        <v>378</v>
      </c>
      <c r="B154" s="54" t="s">
        <v>379</v>
      </c>
      <c r="C154" s="54"/>
      <c r="D154" s="54"/>
      <c r="E154" s="54"/>
      <c r="F154" s="54"/>
      <c r="G154" s="55"/>
      <c r="H154" s="56"/>
      <c r="I154" s="57"/>
      <c r="J154" s="56"/>
      <c r="K154" s="82"/>
      <c r="L154" s="102">
        <f>SUM(K155)</f>
        <v>1109706</v>
      </c>
      <c r="N154" s="15"/>
      <c r="O154" s="15"/>
      <c r="P154" s="15"/>
      <c r="Q154" s="15"/>
      <c r="R154" s="15"/>
      <c r="S154" s="15"/>
      <c r="T154" s="15"/>
      <c r="U154" s="15"/>
      <c r="V154" s="15"/>
      <c r="W154" s="42"/>
      <c r="Y154" s="2"/>
    </row>
    <row r="155" spans="1:25">
      <c r="A155" s="34" t="s">
        <v>380</v>
      </c>
      <c r="B155" s="60" t="s">
        <v>381</v>
      </c>
      <c r="C155" s="60" t="s">
        <v>103</v>
      </c>
      <c r="D155" s="60" t="s">
        <v>115</v>
      </c>
      <c r="E155" s="60" t="s">
        <v>127</v>
      </c>
      <c r="F155" s="60" t="s">
        <v>10</v>
      </c>
      <c r="G155" s="61">
        <f>$E$8</f>
        <v>347</v>
      </c>
      <c r="H155" s="62">
        <v>3198</v>
      </c>
      <c r="I155" s="63">
        <v>0</v>
      </c>
      <c r="J155" s="64">
        <f t="shared" ref="J155" si="21">H155*(1+I155)</f>
        <v>3198</v>
      </c>
      <c r="K155" s="65">
        <f t="shared" ref="K155" si="22">J155*G155</f>
        <v>1109706</v>
      </c>
      <c r="N155" s="15"/>
      <c r="O155" s="15"/>
      <c r="P155" s="15"/>
      <c r="Q155" s="15"/>
      <c r="R155" s="15"/>
      <c r="S155" s="15"/>
      <c r="T155" s="15"/>
      <c r="U155" s="15"/>
      <c r="V155" s="15"/>
      <c r="W155" s="42"/>
      <c r="Y155" s="2"/>
    </row>
    <row r="156" spans="1:25">
      <c r="A156" s="33" t="s">
        <v>382</v>
      </c>
      <c r="B156" s="54" t="s">
        <v>383</v>
      </c>
      <c r="C156" s="54"/>
      <c r="D156" s="54"/>
      <c r="E156" s="54"/>
      <c r="F156" s="54"/>
      <c r="G156" s="55"/>
      <c r="H156" s="56"/>
      <c r="I156" s="57"/>
      <c r="J156" s="56"/>
      <c r="K156" s="82"/>
      <c r="L156" s="102">
        <f>SUM(K157:K164)</f>
        <v>2002881.62</v>
      </c>
      <c r="N156" s="15"/>
      <c r="O156" s="15"/>
      <c r="P156" s="15"/>
      <c r="Q156" s="15"/>
      <c r="R156" s="15"/>
      <c r="S156" s="15"/>
      <c r="T156" s="15"/>
      <c r="U156" s="15"/>
      <c r="V156" s="15"/>
      <c r="W156" s="42"/>
      <c r="Y156" s="2"/>
    </row>
    <row r="157" spans="1:25">
      <c r="A157" s="35" t="s">
        <v>184</v>
      </c>
      <c r="B157" s="66" t="s">
        <v>384</v>
      </c>
      <c r="C157" s="66" t="s">
        <v>103</v>
      </c>
      <c r="D157" s="66" t="s">
        <v>186</v>
      </c>
      <c r="E157" s="66" t="s">
        <v>274</v>
      </c>
      <c r="F157" s="66" t="s">
        <v>10</v>
      </c>
      <c r="G157" s="67">
        <f>$E$8</f>
        <v>347</v>
      </c>
      <c r="H157" s="68">
        <v>79</v>
      </c>
      <c r="I157" s="69">
        <v>0</v>
      </c>
      <c r="J157" s="70">
        <f t="shared" ref="J157:J164" si="23">H157*(1+I157)</f>
        <v>79</v>
      </c>
      <c r="K157" s="71">
        <f>J157*G157</f>
        <v>27413</v>
      </c>
      <c r="N157" s="15"/>
      <c r="O157" s="15"/>
      <c r="P157" s="15"/>
      <c r="Q157" s="15"/>
      <c r="R157" s="15"/>
      <c r="S157" s="15"/>
      <c r="T157" s="15"/>
      <c r="U157" s="15"/>
      <c r="V157" s="15"/>
      <c r="W157" s="42"/>
      <c r="Y157" s="2"/>
    </row>
    <row r="158" spans="1:25">
      <c r="A158" s="37" t="s">
        <v>385</v>
      </c>
      <c r="B158" s="72" t="s">
        <v>386</v>
      </c>
      <c r="C158" s="72" t="s">
        <v>103</v>
      </c>
      <c r="D158" s="72" t="s">
        <v>115</v>
      </c>
      <c r="E158" s="72" t="s">
        <v>127</v>
      </c>
      <c r="F158" s="164" t="s">
        <v>235</v>
      </c>
      <c r="G158" s="161">
        <f>$E$8</f>
        <v>347</v>
      </c>
      <c r="H158" s="212">
        <v>252.82</v>
      </c>
      <c r="I158" s="75">
        <v>0</v>
      </c>
      <c r="J158" s="74">
        <f t="shared" si="23"/>
        <v>252.82</v>
      </c>
      <c r="K158" s="83">
        <f t="shared" ref="K158:K164" si="24">J158*G158</f>
        <v>87728.54</v>
      </c>
      <c r="N158" s="175"/>
      <c r="O158" s="15"/>
      <c r="P158" s="15"/>
      <c r="Q158" s="15"/>
      <c r="R158" s="15"/>
      <c r="S158" s="15"/>
      <c r="T158" s="15"/>
      <c r="U158" s="15"/>
      <c r="V158" s="15"/>
      <c r="W158" s="42"/>
      <c r="Y158" s="2"/>
    </row>
    <row r="159" spans="1:25">
      <c r="A159" s="37" t="s">
        <v>387</v>
      </c>
      <c r="B159" s="72" t="s">
        <v>388</v>
      </c>
      <c r="C159" s="72" t="s">
        <v>103</v>
      </c>
      <c r="D159" s="72" t="s">
        <v>115</v>
      </c>
      <c r="E159" s="72" t="s">
        <v>195</v>
      </c>
      <c r="F159" s="72" t="s">
        <v>10</v>
      </c>
      <c r="G159" s="67">
        <f>$E$8</f>
        <v>347</v>
      </c>
      <c r="H159" s="212">
        <v>3114</v>
      </c>
      <c r="I159" s="75">
        <v>0</v>
      </c>
      <c r="J159" s="74">
        <f t="shared" si="23"/>
        <v>3114</v>
      </c>
      <c r="K159" s="83">
        <f t="shared" si="24"/>
        <v>1080558</v>
      </c>
      <c r="N159" s="15"/>
      <c r="O159" s="15"/>
      <c r="P159" s="15"/>
      <c r="Q159" s="15"/>
      <c r="R159" s="15"/>
      <c r="S159" s="15"/>
      <c r="T159" s="15"/>
      <c r="U159" s="15"/>
      <c r="V159" s="15"/>
      <c r="W159" s="42"/>
      <c r="Y159" s="2"/>
    </row>
    <row r="160" spans="1:25">
      <c r="A160" s="37" t="s">
        <v>389</v>
      </c>
      <c r="B160" s="72" t="s">
        <v>390</v>
      </c>
      <c r="C160" s="72" t="s">
        <v>103</v>
      </c>
      <c r="D160" s="72" t="s">
        <v>115</v>
      </c>
      <c r="E160" s="72" t="s">
        <v>195</v>
      </c>
      <c r="F160" s="72" t="s">
        <v>121</v>
      </c>
      <c r="G160" s="209">
        <v>2</v>
      </c>
      <c r="H160" s="74">
        <v>15700</v>
      </c>
      <c r="I160" s="75">
        <v>0</v>
      </c>
      <c r="J160" s="74">
        <f t="shared" si="23"/>
        <v>15700</v>
      </c>
      <c r="K160" s="83">
        <f t="shared" si="24"/>
        <v>31400</v>
      </c>
      <c r="N160" s="165"/>
      <c r="O160" s="15"/>
      <c r="P160" s="15"/>
      <c r="Q160" s="15"/>
      <c r="R160" s="15"/>
      <c r="S160" s="15"/>
      <c r="T160" s="15"/>
      <c r="U160" s="15"/>
      <c r="V160" s="15"/>
      <c r="W160" s="42"/>
      <c r="Y160" s="2"/>
    </row>
    <row r="161" spans="1:25">
      <c r="A161" s="37" t="s">
        <v>391</v>
      </c>
      <c r="B161" s="72" t="s">
        <v>392</v>
      </c>
      <c r="C161" s="72" t="s">
        <v>103</v>
      </c>
      <c r="D161" s="72" t="s">
        <v>115</v>
      </c>
      <c r="E161" s="72" t="s">
        <v>306</v>
      </c>
      <c r="F161" s="72" t="s">
        <v>15</v>
      </c>
      <c r="G161" s="209">
        <f>SUM(S2:S3)</f>
        <v>23784</v>
      </c>
      <c r="H161" s="74">
        <v>29.62</v>
      </c>
      <c r="I161" s="75">
        <v>0</v>
      </c>
      <c r="J161" s="74">
        <f t="shared" si="23"/>
        <v>29.62</v>
      </c>
      <c r="K161" s="83">
        <f t="shared" si="24"/>
        <v>704482.08000000007</v>
      </c>
      <c r="N161" s="15" t="s">
        <v>393</v>
      </c>
      <c r="O161" s="15"/>
      <c r="P161" s="15"/>
      <c r="Q161" s="15"/>
      <c r="R161" s="15"/>
      <c r="S161" s="15"/>
      <c r="T161" s="15"/>
      <c r="U161" s="15"/>
      <c r="V161" s="15"/>
      <c r="W161" s="42"/>
      <c r="Y161" s="2"/>
    </row>
    <row r="162" spans="1:25">
      <c r="A162" s="37" t="s">
        <v>394</v>
      </c>
      <c r="B162" s="72" t="s">
        <v>395</v>
      </c>
      <c r="C162" s="72" t="s">
        <v>281</v>
      </c>
      <c r="D162" s="72" t="s">
        <v>115</v>
      </c>
      <c r="E162" s="72" t="s">
        <v>110</v>
      </c>
      <c r="F162" s="72" t="s">
        <v>121</v>
      </c>
      <c r="G162" s="161">
        <v>2</v>
      </c>
      <c r="H162" s="212">
        <v>25000</v>
      </c>
      <c r="I162" s="75">
        <v>0</v>
      </c>
      <c r="J162" s="74">
        <f t="shared" si="23"/>
        <v>25000</v>
      </c>
      <c r="K162" s="83">
        <f t="shared" si="24"/>
        <v>50000</v>
      </c>
      <c r="N162" s="170" t="s">
        <v>396</v>
      </c>
      <c r="O162" s="15"/>
      <c r="P162" s="15"/>
      <c r="Q162" s="15"/>
      <c r="R162" s="15"/>
      <c r="S162" s="15"/>
      <c r="T162" s="15"/>
      <c r="U162" s="15"/>
      <c r="V162" s="15"/>
      <c r="W162" s="42"/>
      <c r="Y162" s="2"/>
    </row>
    <row r="163" spans="1:25">
      <c r="A163" s="37" t="s">
        <v>397</v>
      </c>
      <c r="B163" s="72" t="s">
        <v>398</v>
      </c>
      <c r="C163" s="72" t="s">
        <v>103</v>
      </c>
      <c r="D163" s="72" t="s">
        <v>130</v>
      </c>
      <c r="E163" s="72" t="s">
        <v>118</v>
      </c>
      <c r="F163" s="72"/>
      <c r="G163" s="73"/>
      <c r="H163" s="74"/>
      <c r="I163" s="75">
        <v>0</v>
      </c>
      <c r="J163" s="74">
        <f t="shared" si="23"/>
        <v>0</v>
      </c>
      <c r="K163" s="83">
        <f t="shared" si="24"/>
        <v>0</v>
      </c>
      <c r="N163" s="15"/>
      <c r="O163" s="15"/>
      <c r="P163" s="15"/>
      <c r="Q163" s="15"/>
      <c r="R163" s="15"/>
      <c r="S163" s="15"/>
      <c r="T163" s="15"/>
      <c r="U163" s="15"/>
      <c r="V163" s="15"/>
      <c r="W163" s="42"/>
      <c r="Y163" s="2"/>
    </row>
    <row r="164" spans="1:25">
      <c r="A164" s="37" t="s">
        <v>399</v>
      </c>
      <c r="B164" s="72" t="s">
        <v>400</v>
      </c>
      <c r="C164" s="72" t="s">
        <v>103</v>
      </c>
      <c r="D164" s="72" t="s">
        <v>130</v>
      </c>
      <c r="E164" s="72" t="s">
        <v>306</v>
      </c>
      <c r="F164" s="72" t="s">
        <v>121</v>
      </c>
      <c r="G164" s="73">
        <v>2</v>
      </c>
      <c r="H164" s="212">
        <v>10650</v>
      </c>
      <c r="I164" s="75">
        <v>0</v>
      </c>
      <c r="J164" s="74">
        <f t="shared" si="23"/>
        <v>10650</v>
      </c>
      <c r="K164" s="83">
        <f t="shared" si="24"/>
        <v>21300</v>
      </c>
      <c r="N164" s="170" t="s">
        <v>401</v>
      </c>
      <c r="O164" s="15"/>
      <c r="P164" s="15"/>
      <c r="Q164" s="15"/>
      <c r="R164" s="15"/>
      <c r="S164" s="15"/>
      <c r="T164" s="15"/>
      <c r="U164" s="15"/>
      <c r="V164" s="15"/>
      <c r="W164" s="42"/>
      <c r="Y164" s="2"/>
    </row>
    <row r="165" spans="1:25">
      <c r="A165" s="33" t="s">
        <v>402</v>
      </c>
      <c r="B165" s="54" t="s">
        <v>403</v>
      </c>
      <c r="C165" s="54"/>
      <c r="D165" s="54"/>
      <c r="E165" s="54"/>
      <c r="F165" s="54"/>
      <c r="G165" s="55"/>
      <c r="H165" s="56"/>
      <c r="I165" s="57"/>
      <c r="J165" s="56"/>
      <c r="K165" s="82"/>
      <c r="L165" s="102">
        <f>SUM(K166:K168)</f>
        <v>1225434.5333599998</v>
      </c>
      <c r="N165" s="15"/>
      <c r="O165" s="15"/>
      <c r="P165" s="15"/>
      <c r="Q165" s="15"/>
      <c r="R165" s="15"/>
      <c r="S165" s="15"/>
      <c r="T165" s="15"/>
      <c r="U165" s="15"/>
      <c r="V165" s="15"/>
      <c r="W165" s="42"/>
      <c r="Y165" s="2"/>
    </row>
    <row r="166" spans="1:25">
      <c r="A166" s="35" t="s">
        <v>404</v>
      </c>
      <c r="B166" s="66" t="s">
        <v>405</v>
      </c>
      <c r="C166" s="66" t="s">
        <v>103</v>
      </c>
      <c r="D166" s="66" t="s">
        <v>130</v>
      </c>
      <c r="E166" s="214" t="s">
        <v>116</v>
      </c>
      <c r="F166" s="66" t="s">
        <v>121</v>
      </c>
      <c r="G166" s="67">
        <f>$O$6</f>
        <v>2</v>
      </c>
      <c r="H166" s="207">
        <v>245000</v>
      </c>
      <c r="I166" s="69">
        <v>0</v>
      </c>
      <c r="J166" s="70">
        <f t="shared" ref="J166:J168" si="25">H166*(1+I166)</f>
        <v>245000</v>
      </c>
      <c r="K166" s="71">
        <f t="shared" ref="K166:K168" si="26">J166*G166</f>
        <v>490000</v>
      </c>
      <c r="N166" s="15"/>
      <c r="O166" s="15"/>
      <c r="P166" s="15"/>
      <c r="Q166" s="15"/>
      <c r="R166" s="15"/>
      <c r="S166" s="15"/>
      <c r="T166" s="15"/>
      <c r="U166" s="15"/>
      <c r="V166" s="15"/>
      <c r="W166" s="42"/>
      <c r="Y166" s="2"/>
    </row>
    <row r="167" spans="1:25">
      <c r="A167" s="37" t="s">
        <v>68</v>
      </c>
      <c r="B167" s="72" t="s">
        <v>406</v>
      </c>
      <c r="C167" s="72" t="s">
        <v>103</v>
      </c>
      <c r="D167" s="72" t="s">
        <v>346</v>
      </c>
      <c r="E167" s="72" t="s">
        <v>127</v>
      </c>
      <c r="F167" s="72" t="s">
        <v>32</v>
      </c>
      <c r="G167" s="161">
        <f>O12</f>
        <v>309.59999999999997</v>
      </c>
      <c r="H167" s="74">
        <v>2330.3440999999998</v>
      </c>
      <c r="I167" s="75">
        <v>0</v>
      </c>
      <c r="J167" s="74">
        <f t="shared" si="25"/>
        <v>2330.3440999999998</v>
      </c>
      <c r="K167" s="83">
        <f t="shared" si="26"/>
        <v>721474.53335999988</v>
      </c>
      <c r="N167" s="170" t="s">
        <v>407</v>
      </c>
      <c r="O167" s="15"/>
      <c r="P167" s="15"/>
      <c r="Q167" s="15"/>
      <c r="R167" s="15"/>
      <c r="S167" s="15"/>
      <c r="T167" s="15"/>
      <c r="U167" s="15"/>
      <c r="V167" s="15"/>
      <c r="W167" s="42"/>
      <c r="Y167" s="2"/>
    </row>
    <row r="168" spans="1:25">
      <c r="A168" s="37" t="s">
        <v>408</v>
      </c>
      <c r="B168" s="72" t="s">
        <v>409</v>
      </c>
      <c r="C168" s="72" t="s">
        <v>103</v>
      </c>
      <c r="D168" s="72" t="s">
        <v>135</v>
      </c>
      <c r="E168" s="72" t="s">
        <v>127</v>
      </c>
      <c r="F168" s="72" t="s">
        <v>32</v>
      </c>
      <c r="G168" s="73">
        <f>$O$6</f>
        <v>2</v>
      </c>
      <c r="H168" s="74">
        <v>6980</v>
      </c>
      <c r="I168" s="75">
        <v>0</v>
      </c>
      <c r="J168" s="74">
        <f t="shared" si="25"/>
        <v>6980</v>
      </c>
      <c r="K168" s="83">
        <f t="shared" si="26"/>
        <v>13960</v>
      </c>
      <c r="N168" s="15"/>
      <c r="O168" s="15"/>
      <c r="P168" s="15"/>
      <c r="Q168" s="15"/>
      <c r="R168" s="15"/>
      <c r="S168" s="15"/>
      <c r="T168" s="15"/>
      <c r="U168" s="15"/>
      <c r="V168" s="15"/>
      <c r="W168" s="42"/>
      <c r="Y168" s="2"/>
    </row>
    <row r="169" spans="1:25">
      <c r="A169" s="33" t="s">
        <v>410</v>
      </c>
      <c r="B169" s="54" t="s">
        <v>411</v>
      </c>
      <c r="C169" s="54"/>
      <c r="D169" s="54"/>
      <c r="E169" s="54"/>
      <c r="F169" s="54"/>
      <c r="G169" s="55"/>
      <c r="H169" s="56"/>
      <c r="I169" s="57"/>
      <c r="J169" s="56"/>
      <c r="K169" s="82"/>
      <c r="L169" s="102">
        <f>SUM(K170)</f>
        <v>0</v>
      </c>
      <c r="N169" s="15"/>
      <c r="O169" s="15"/>
      <c r="P169" s="15"/>
      <c r="Q169" s="15"/>
      <c r="R169" s="15"/>
      <c r="S169" s="15"/>
      <c r="T169" s="15"/>
      <c r="U169" s="15"/>
      <c r="V169" s="15"/>
      <c r="W169" s="42"/>
      <c r="Y169" s="2"/>
    </row>
    <row r="170" spans="1:25">
      <c r="A170" s="34" t="s">
        <v>410</v>
      </c>
      <c r="B170" s="60" t="s">
        <v>411</v>
      </c>
      <c r="C170" s="60" t="s">
        <v>103</v>
      </c>
      <c r="D170" s="60" t="s">
        <v>115</v>
      </c>
      <c r="E170" s="60" t="s">
        <v>118</v>
      </c>
      <c r="F170" s="60"/>
      <c r="G170" s="61"/>
      <c r="H170" s="62"/>
      <c r="I170" s="63">
        <v>0</v>
      </c>
      <c r="J170" s="64">
        <f t="shared" ref="J170" si="27">H170*(1+I170)</f>
        <v>0</v>
      </c>
      <c r="K170" s="65">
        <f t="shared" ref="K170" si="28">J170*G170</f>
        <v>0</v>
      </c>
      <c r="N170" s="15"/>
      <c r="O170" s="15"/>
      <c r="P170" s="15"/>
      <c r="Q170" s="15"/>
      <c r="R170" s="15"/>
      <c r="S170" s="15"/>
      <c r="T170" s="15"/>
      <c r="U170" s="15"/>
      <c r="V170" s="15"/>
      <c r="W170" s="42"/>
      <c r="Y170" s="2"/>
    </row>
    <row r="171" spans="1:25">
      <c r="A171" s="33" t="s">
        <v>412</v>
      </c>
      <c r="B171" s="54" t="s">
        <v>413</v>
      </c>
      <c r="C171" s="54"/>
      <c r="D171" s="54"/>
      <c r="E171" s="54"/>
      <c r="F171" s="54"/>
      <c r="G171" s="55"/>
      <c r="H171" s="56"/>
      <c r="I171" s="57"/>
      <c r="J171" s="56"/>
      <c r="K171" s="82"/>
      <c r="L171" s="102">
        <f>SUM(K172:K173)</f>
        <v>578396</v>
      </c>
      <c r="N171" s="15"/>
      <c r="O171" s="15"/>
      <c r="P171" s="15"/>
      <c r="Q171" s="15"/>
      <c r="R171" s="15"/>
      <c r="S171" s="15"/>
      <c r="T171" s="15"/>
      <c r="U171" s="15"/>
      <c r="V171" s="15"/>
      <c r="W171" s="42"/>
      <c r="Y171" s="2"/>
    </row>
    <row r="172" spans="1:25">
      <c r="A172" s="35" t="s">
        <v>414</v>
      </c>
      <c r="B172" s="66" t="s">
        <v>415</v>
      </c>
      <c r="C172" s="66" t="s">
        <v>103</v>
      </c>
      <c r="D172" s="66" t="s">
        <v>115</v>
      </c>
      <c r="E172" s="214" t="s">
        <v>246</v>
      </c>
      <c r="F172" s="66" t="s">
        <v>416</v>
      </c>
      <c r="G172" s="67">
        <f>O3*B7</f>
        <v>12</v>
      </c>
      <c r="H172" s="207">
        <v>46033</v>
      </c>
      <c r="I172" s="69">
        <v>0</v>
      </c>
      <c r="J172" s="70">
        <f t="shared" ref="J172:J173" si="29">H172*(1+I172)</f>
        <v>46033</v>
      </c>
      <c r="K172" s="71">
        <f t="shared" ref="K172:K173" si="30">J172*G172</f>
        <v>552396</v>
      </c>
      <c r="N172" s="15"/>
      <c r="O172" s="15"/>
      <c r="P172" s="15"/>
      <c r="Q172" s="15"/>
      <c r="R172" s="15"/>
      <c r="S172" s="15"/>
      <c r="T172" s="15"/>
      <c r="U172" s="15"/>
      <c r="V172" s="15"/>
      <c r="W172" s="42"/>
      <c r="Y172" s="2"/>
    </row>
    <row r="173" spans="1:25">
      <c r="A173" s="37" t="s">
        <v>417</v>
      </c>
      <c r="B173" s="72" t="s">
        <v>418</v>
      </c>
      <c r="C173" s="72" t="s">
        <v>103</v>
      </c>
      <c r="D173" s="72" t="s">
        <v>130</v>
      </c>
      <c r="E173" s="72" t="s">
        <v>127</v>
      </c>
      <c r="F173" s="72" t="s">
        <v>32</v>
      </c>
      <c r="G173" s="73">
        <f>$O$6*2</f>
        <v>4</v>
      </c>
      <c r="H173" s="74">
        <v>6500</v>
      </c>
      <c r="I173" s="75">
        <v>0</v>
      </c>
      <c r="J173" s="74">
        <f t="shared" si="29"/>
        <v>6500</v>
      </c>
      <c r="K173" s="83">
        <f t="shared" si="30"/>
        <v>26000</v>
      </c>
      <c r="N173" s="15"/>
      <c r="O173" s="15"/>
      <c r="P173" s="15"/>
      <c r="Q173" s="15"/>
      <c r="R173" s="15"/>
      <c r="S173" s="15"/>
      <c r="T173" s="15"/>
      <c r="U173" s="15"/>
      <c r="V173" s="15"/>
      <c r="W173" s="42"/>
      <c r="Y173" s="2"/>
    </row>
    <row r="174" spans="1:25">
      <c r="A174" s="33" t="s">
        <v>419</v>
      </c>
      <c r="B174" s="54" t="s">
        <v>420</v>
      </c>
      <c r="C174" s="54"/>
      <c r="D174" s="54"/>
      <c r="E174" s="54"/>
      <c r="F174" s="54"/>
      <c r="G174" s="55"/>
      <c r="H174" s="56"/>
      <c r="I174" s="57"/>
      <c r="J174" s="56"/>
      <c r="K174" s="82"/>
      <c r="L174" s="102">
        <f>SUM(K175:K177)</f>
        <v>913966.42</v>
      </c>
      <c r="N174" s="15"/>
      <c r="O174" s="15"/>
      <c r="P174" s="15"/>
      <c r="Q174" s="15"/>
      <c r="R174" s="15"/>
      <c r="S174" s="15"/>
      <c r="T174" s="15"/>
      <c r="U174" s="15"/>
      <c r="V174" s="15"/>
      <c r="W174" s="42"/>
      <c r="Y174" s="2"/>
    </row>
    <row r="175" spans="1:25">
      <c r="A175" s="35" t="s">
        <v>421</v>
      </c>
      <c r="B175" s="66" t="s">
        <v>422</v>
      </c>
      <c r="C175" s="66" t="s">
        <v>103</v>
      </c>
      <c r="D175" s="66" t="s">
        <v>115</v>
      </c>
      <c r="E175" s="66" t="s">
        <v>110</v>
      </c>
      <c r="F175" s="66" t="s">
        <v>15</v>
      </c>
      <c r="G175" s="67">
        <f t="shared" ref="G175" si="31">$B$8</f>
        <v>311142</v>
      </c>
      <c r="H175" s="68">
        <v>0.06</v>
      </c>
      <c r="I175" s="69">
        <v>0</v>
      </c>
      <c r="J175" s="70">
        <f t="shared" ref="J175:J177" si="32">H175*(1+I175)</f>
        <v>0.06</v>
      </c>
      <c r="K175" s="71">
        <f>J175*G175</f>
        <v>18668.52</v>
      </c>
      <c r="N175" s="15"/>
      <c r="O175" s="15"/>
      <c r="P175" s="15"/>
      <c r="Q175" s="15"/>
      <c r="R175" s="15"/>
      <c r="S175" s="15"/>
      <c r="T175" s="15"/>
      <c r="U175" s="15"/>
      <c r="V175" s="15"/>
      <c r="W175" s="42"/>
      <c r="Y175" s="2"/>
    </row>
    <row r="176" spans="1:25">
      <c r="A176" s="37" t="s">
        <v>423</v>
      </c>
      <c r="B176" s="72" t="s">
        <v>424</v>
      </c>
      <c r="C176" s="72" t="s">
        <v>103</v>
      </c>
      <c r="D176" s="72" t="s">
        <v>115</v>
      </c>
      <c r="E176" s="72" t="s">
        <v>116</v>
      </c>
      <c r="F176" s="72" t="s">
        <v>15</v>
      </c>
      <c r="G176" s="73">
        <f t="shared" ref="G176:G187" si="33">$B$8</f>
        <v>311142</v>
      </c>
      <c r="H176" s="74">
        <v>2.4500000000000002</v>
      </c>
      <c r="I176" s="75">
        <v>0</v>
      </c>
      <c r="J176" s="74">
        <f t="shared" si="32"/>
        <v>2.4500000000000002</v>
      </c>
      <c r="K176" s="83">
        <f>J176*G176</f>
        <v>762297.9</v>
      </c>
      <c r="N176" s="15"/>
      <c r="O176" s="15"/>
      <c r="P176" s="15"/>
      <c r="Q176" s="15"/>
      <c r="R176" s="15"/>
      <c r="S176" s="15"/>
      <c r="T176" s="15"/>
      <c r="U176" s="15"/>
      <c r="V176" s="15"/>
      <c r="W176" s="42"/>
      <c r="Y176" s="2"/>
    </row>
    <row r="177" spans="1:25">
      <c r="A177" s="37" t="s">
        <v>425</v>
      </c>
      <c r="B177" s="72" t="s">
        <v>426</v>
      </c>
      <c r="C177" s="72" t="s">
        <v>103</v>
      </c>
      <c r="D177" s="72" t="s">
        <v>123</v>
      </c>
      <c r="E177" s="72" t="s">
        <v>116</v>
      </c>
      <c r="F177" s="72" t="s">
        <v>32</v>
      </c>
      <c r="G177" s="73">
        <v>1</v>
      </c>
      <c r="H177" s="74">
        <v>133000</v>
      </c>
      <c r="I177" s="75">
        <v>0</v>
      </c>
      <c r="J177" s="74">
        <f t="shared" si="32"/>
        <v>133000</v>
      </c>
      <c r="K177" s="83">
        <f t="shared" ref="K177" si="34">J177*G177</f>
        <v>133000</v>
      </c>
      <c r="N177" s="15"/>
      <c r="O177" s="15"/>
      <c r="P177" s="15"/>
      <c r="Q177" s="15"/>
      <c r="R177" s="15"/>
      <c r="S177" s="15"/>
      <c r="T177" s="15"/>
      <c r="U177" s="15"/>
      <c r="V177" s="15"/>
      <c r="W177" s="42"/>
      <c r="Y177" s="2"/>
    </row>
    <row r="178" spans="1:25">
      <c r="A178" s="33" t="s">
        <v>427</v>
      </c>
      <c r="B178" s="54" t="s">
        <v>428</v>
      </c>
      <c r="C178" s="54"/>
      <c r="D178" s="54"/>
      <c r="E178" s="54"/>
      <c r="F178" s="54"/>
      <c r="G178" s="55"/>
      <c r="H178" s="56"/>
      <c r="I178" s="57"/>
      <c r="J178" s="56"/>
      <c r="K178" s="82"/>
      <c r="L178" s="102">
        <f>SUM(K179:K183)</f>
        <v>3713746</v>
      </c>
      <c r="N178" s="15"/>
      <c r="O178" s="15"/>
      <c r="P178" s="15"/>
      <c r="Q178" s="15"/>
      <c r="R178" s="15"/>
      <c r="S178" s="15"/>
      <c r="T178" s="15"/>
      <c r="U178" s="15"/>
      <c r="V178" s="15"/>
      <c r="W178" s="42"/>
      <c r="Y178" s="2"/>
    </row>
    <row r="179" spans="1:25">
      <c r="A179" s="35" t="s">
        <v>429</v>
      </c>
      <c r="B179" s="66" t="s">
        <v>430</v>
      </c>
      <c r="C179" s="66" t="s">
        <v>103</v>
      </c>
      <c r="D179" s="66" t="s">
        <v>115</v>
      </c>
      <c r="E179" s="66" t="s">
        <v>116</v>
      </c>
      <c r="F179" s="66" t="s">
        <v>32</v>
      </c>
      <c r="G179" s="67">
        <f>E3+E4+E5</f>
        <v>347</v>
      </c>
      <c r="H179" s="68">
        <v>10526</v>
      </c>
      <c r="I179" s="69">
        <v>0</v>
      </c>
      <c r="J179" s="70">
        <f t="shared" ref="J179:J183" si="35">H179*(1+I179)</f>
        <v>10526</v>
      </c>
      <c r="K179" s="71">
        <f t="shared" ref="K179:K183" si="36">J179*G179</f>
        <v>3652522</v>
      </c>
      <c r="N179" s="15"/>
      <c r="O179" s="15"/>
      <c r="P179" s="15"/>
      <c r="Q179" s="15"/>
      <c r="R179" s="15"/>
      <c r="S179" s="15"/>
      <c r="T179" s="15"/>
      <c r="U179" s="15"/>
      <c r="V179" s="15"/>
      <c r="W179" s="42"/>
      <c r="Y179" s="2"/>
    </row>
    <row r="180" spans="1:25">
      <c r="A180" s="37" t="s">
        <v>431</v>
      </c>
      <c r="B180" s="72" t="s">
        <v>430</v>
      </c>
      <c r="C180" s="72" t="s">
        <v>103</v>
      </c>
      <c r="D180" s="72" t="s">
        <v>115</v>
      </c>
      <c r="E180" s="72" t="s">
        <v>118</v>
      </c>
      <c r="F180" s="72"/>
      <c r="G180" s="73"/>
      <c r="H180" s="74"/>
      <c r="I180" s="75">
        <v>0</v>
      </c>
      <c r="J180" s="74">
        <f t="shared" si="35"/>
        <v>0</v>
      </c>
      <c r="K180" s="83">
        <f t="shared" si="36"/>
        <v>0</v>
      </c>
      <c r="N180" s="15"/>
      <c r="O180" s="15"/>
      <c r="P180" s="15"/>
      <c r="Q180" s="15"/>
      <c r="R180" s="15"/>
      <c r="S180" s="15"/>
      <c r="T180" s="15"/>
      <c r="U180" s="15"/>
      <c r="V180" s="15"/>
      <c r="W180" s="42"/>
      <c r="Y180" s="2"/>
    </row>
    <row r="181" spans="1:25">
      <c r="A181" s="37" t="s">
        <v>432</v>
      </c>
      <c r="B181" s="72"/>
      <c r="C181" s="72" t="s">
        <v>103</v>
      </c>
      <c r="D181" s="72" t="s">
        <v>115</v>
      </c>
      <c r="E181" s="72" t="s">
        <v>118</v>
      </c>
      <c r="F181" s="72"/>
      <c r="G181" s="73"/>
      <c r="H181" s="74"/>
      <c r="I181" s="75">
        <v>0</v>
      </c>
      <c r="J181" s="74">
        <f t="shared" si="35"/>
        <v>0</v>
      </c>
      <c r="K181" s="83">
        <f t="shared" si="36"/>
        <v>0</v>
      </c>
      <c r="N181" s="15"/>
      <c r="O181" s="15"/>
      <c r="P181" s="15"/>
      <c r="Q181" s="15"/>
      <c r="R181" s="15"/>
      <c r="S181" s="15"/>
      <c r="T181" s="15"/>
      <c r="U181" s="15"/>
      <c r="V181" s="15"/>
      <c r="W181" s="42"/>
      <c r="Y181" s="2"/>
    </row>
    <row r="182" spans="1:25">
      <c r="A182" s="37" t="s">
        <v>433</v>
      </c>
      <c r="B182" s="72" t="s">
        <v>434</v>
      </c>
      <c r="C182" s="72" t="s">
        <v>103</v>
      </c>
      <c r="D182" s="72" t="s">
        <v>130</v>
      </c>
      <c r="E182" s="72" t="s">
        <v>127</v>
      </c>
      <c r="F182" s="72" t="s">
        <v>121</v>
      </c>
      <c r="G182" s="73">
        <f>$O$6</f>
        <v>2</v>
      </c>
      <c r="H182" s="74">
        <v>24612</v>
      </c>
      <c r="I182" s="75">
        <v>0</v>
      </c>
      <c r="J182" s="74">
        <f t="shared" si="35"/>
        <v>24612</v>
      </c>
      <c r="K182" s="83">
        <f t="shared" si="36"/>
        <v>49224</v>
      </c>
      <c r="N182" s="15"/>
      <c r="O182" s="15"/>
      <c r="P182" s="15"/>
      <c r="Q182" s="15"/>
      <c r="R182" s="15"/>
      <c r="S182" s="15"/>
      <c r="T182" s="15"/>
      <c r="U182" s="15"/>
      <c r="V182" s="15"/>
      <c r="W182" s="42"/>
      <c r="Y182" s="2"/>
    </row>
    <row r="183" spans="1:25">
      <c r="A183" s="37" t="s">
        <v>435</v>
      </c>
      <c r="B183" s="72" t="s">
        <v>436</v>
      </c>
      <c r="C183" s="72" t="s">
        <v>103</v>
      </c>
      <c r="D183" s="72" t="s">
        <v>135</v>
      </c>
      <c r="E183" s="72" t="s">
        <v>110</v>
      </c>
      <c r="F183" s="72" t="s">
        <v>121</v>
      </c>
      <c r="G183" s="73">
        <f>$O$6</f>
        <v>2</v>
      </c>
      <c r="H183" s="74">
        <v>6000</v>
      </c>
      <c r="I183" s="75">
        <v>0</v>
      </c>
      <c r="J183" s="74">
        <f t="shared" si="35"/>
        <v>6000</v>
      </c>
      <c r="K183" s="83">
        <f t="shared" si="36"/>
        <v>12000</v>
      </c>
      <c r="N183" s="15"/>
      <c r="O183" s="15"/>
      <c r="P183" s="15"/>
      <c r="Q183" s="15"/>
      <c r="R183" s="15"/>
      <c r="S183" s="15"/>
      <c r="T183" s="15"/>
      <c r="U183" s="15"/>
      <c r="V183" s="15"/>
      <c r="W183" s="42"/>
      <c r="Y183" s="2"/>
    </row>
    <row r="184" spans="1:25">
      <c r="A184" s="33" t="s">
        <v>437</v>
      </c>
      <c r="B184" s="54" t="s">
        <v>438</v>
      </c>
      <c r="C184" s="54"/>
      <c r="D184" s="54"/>
      <c r="E184" s="54"/>
      <c r="F184" s="54"/>
      <c r="G184" s="55"/>
      <c r="H184" s="56"/>
      <c r="I184" s="57"/>
      <c r="J184" s="56"/>
      <c r="K184" s="82"/>
      <c r="L184" s="102">
        <f>SUM(K185)</f>
        <v>3717376.3000000003</v>
      </c>
      <c r="N184" s="15"/>
      <c r="O184" s="15"/>
      <c r="P184" s="15"/>
      <c r="Q184" s="15"/>
      <c r="R184" s="15"/>
      <c r="S184" s="15"/>
      <c r="T184" s="15"/>
      <c r="U184" s="15"/>
      <c r="V184" s="15"/>
      <c r="W184" s="42"/>
      <c r="Y184" s="2"/>
    </row>
    <row r="185" spans="1:25">
      <c r="A185" s="34" t="s">
        <v>439</v>
      </c>
      <c r="B185" s="60" t="s">
        <v>440</v>
      </c>
      <c r="C185" s="60" t="s">
        <v>103</v>
      </c>
      <c r="D185" s="60" t="s">
        <v>115</v>
      </c>
      <c r="E185" s="60" t="s">
        <v>116</v>
      </c>
      <c r="F185" s="60" t="s">
        <v>10</v>
      </c>
      <c r="G185" s="61">
        <f>$E$8</f>
        <v>347</v>
      </c>
      <c r="H185" s="215">
        <f>9739*110%</f>
        <v>10712.900000000001</v>
      </c>
      <c r="I185" s="63">
        <v>0</v>
      </c>
      <c r="J185" s="64">
        <f t="shared" ref="J185" si="37">H185*(1+I185)</f>
        <v>10712.900000000001</v>
      </c>
      <c r="K185" s="65">
        <f t="shared" ref="K185" si="38">J185*G185</f>
        <v>3717376.3000000003</v>
      </c>
      <c r="N185" s="213" t="s">
        <v>441</v>
      </c>
      <c r="O185" s="15"/>
      <c r="P185" s="15"/>
      <c r="Q185" s="15"/>
      <c r="R185" s="15"/>
      <c r="S185" s="15"/>
      <c r="T185" s="15"/>
      <c r="U185" s="15"/>
      <c r="V185" s="15"/>
      <c r="W185" s="42"/>
      <c r="Y185" s="2"/>
    </row>
    <row r="186" spans="1:25">
      <c r="A186" s="33" t="s">
        <v>442</v>
      </c>
      <c r="B186" s="54" t="s">
        <v>443</v>
      </c>
      <c r="C186" s="54"/>
      <c r="D186" s="54"/>
      <c r="E186" s="54"/>
      <c r="F186" s="54"/>
      <c r="G186" s="55"/>
      <c r="H186" s="56"/>
      <c r="I186" s="57"/>
      <c r="J186" s="56"/>
      <c r="K186" s="82"/>
      <c r="L186" s="102">
        <f>SUM(K187:K202)</f>
        <v>3468966.5399999996</v>
      </c>
      <c r="N186" s="15"/>
      <c r="O186" s="15"/>
      <c r="P186" s="15"/>
      <c r="Q186" s="15"/>
      <c r="R186" s="15"/>
      <c r="S186" s="15"/>
      <c r="T186" s="15"/>
      <c r="U186" s="15"/>
      <c r="V186" s="15"/>
      <c r="W186" s="42"/>
      <c r="Y186" s="2"/>
    </row>
    <row r="187" spans="1:25">
      <c r="A187" s="35" t="s">
        <v>444</v>
      </c>
      <c r="B187" s="66" t="s">
        <v>445</v>
      </c>
      <c r="C187" s="66" t="s">
        <v>103</v>
      </c>
      <c r="D187" s="66" t="s">
        <v>115</v>
      </c>
      <c r="E187" s="66" t="s">
        <v>116</v>
      </c>
      <c r="F187" s="66" t="s">
        <v>446</v>
      </c>
      <c r="G187" s="67">
        <f t="shared" si="33"/>
        <v>311142</v>
      </c>
      <c r="H187" s="68">
        <v>9.27</v>
      </c>
      <c r="I187" s="69">
        <v>0</v>
      </c>
      <c r="J187" s="70">
        <f t="shared" ref="J187:J202" si="39">H187*(1+I187)</f>
        <v>9.27</v>
      </c>
      <c r="K187" s="71">
        <f>J187*G187</f>
        <v>2884286.34</v>
      </c>
      <c r="N187" s="100"/>
      <c r="O187" s="41"/>
      <c r="P187" s="41"/>
      <c r="Q187" s="15"/>
      <c r="R187" s="15"/>
      <c r="S187" s="15"/>
      <c r="T187" s="15"/>
      <c r="U187" s="15"/>
      <c r="V187" s="15"/>
      <c r="W187" s="42"/>
      <c r="Y187" s="2"/>
    </row>
    <row r="188" spans="1:25">
      <c r="A188" s="37" t="s">
        <v>447</v>
      </c>
      <c r="B188" s="72" t="s">
        <v>448</v>
      </c>
      <c r="C188" s="72" t="s">
        <v>103</v>
      </c>
      <c r="D188" s="72" t="s">
        <v>115</v>
      </c>
      <c r="E188" s="72" t="s">
        <v>127</v>
      </c>
      <c r="F188" s="72" t="s">
        <v>10</v>
      </c>
      <c r="G188" s="73">
        <f>$E$8</f>
        <v>347</v>
      </c>
      <c r="H188" s="74">
        <v>594</v>
      </c>
      <c r="I188" s="75">
        <v>0</v>
      </c>
      <c r="J188" s="74">
        <f t="shared" si="39"/>
        <v>594</v>
      </c>
      <c r="K188" s="83">
        <f t="shared" ref="K188:K202" si="40">J188*G188</f>
        <v>206118</v>
      </c>
      <c r="N188" s="15"/>
      <c r="O188" s="15"/>
      <c r="P188" s="15"/>
      <c r="Q188" s="15"/>
      <c r="R188" s="15"/>
      <c r="S188" s="15"/>
      <c r="T188" s="15"/>
      <c r="U188" s="15"/>
      <c r="V188" s="15"/>
      <c r="W188" s="42"/>
      <c r="Y188" s="2"/>
    </row>
    <row r="189" spans="1:25">
      <c r="A189" s="37" t="s">
        <v>449</v>
      </c>
      <c r="B189" s="72" t="s">
        <v>450</v>
      </c>
      <c r="C189" s="72" t="s">
        <v>103</v>
      </c>
      <c r="D189" s="72" t="s">
        <v>115</v>
      </c>
      <c r="E189" s="72" t="s">
        <v>127</v>
      </c>
      <c r="F189" s="72" t="s">
        <v>10</v>
      </c>
      <c r="G189" s="73">
        <f>$E$8</f>
        <v>347</v>
      </c>
      <c r="H189" s="74">
        <v>119</v>
      </c>
      <c r="I189" s="75">
        <v>0</v>
      </c>
      <c r="J189" s="74">
        <f t="shared" si="39"/>
        <v>119</v>
      </c>
      <c r="K189" s="83">
        <f t="shared" si="40"/>
        <v>41293</v>
      </c>
      <c r="N189" s="15"/>
      <c r="O189" s="15"/>
      <c r="P189" s="15"/>
      <c r="Q189" s="15"/>
      <c r="R189" s="15"/>
      <c r="S189" s="15"/>
      <c r="T189" s="15"/>
      <c r="U189" s="15"/>
      <c r="V189" s="15"/>
      <c r="W189" s="42"/>
      <c r="Y189" s="2"/>
    </row>
    <row r="190" spans="1:25">
      <c r="A190" s="37" t="s">
        <v>451</v>
      </c>
      <c r="B190" s="72" t="s">
        <v>452</v>
      </c>
      <c r="C190" s="72" t="s">
        <v>103</v>
      </c>
      <c r="D190" s="72" t="s">
        <v>115</v>
      </c>
      <c r="E190" s="72" t="s">
        <v>127</v>
      </c>
      <c r="F190" s="72" t="s">
        <v>10</v>
      </c>
      <c r="G190" s="73">
        <f>$E$8</f>
        <v>347</v>
      </c>
      <c r="H190" s="74">
        <v>112</v>
      </c>
      <c r="I190" s="75">
        <v>0</v>
      </c>
      <c r="J190" s="74">
        <f t="shared" si="39"/>
        <v>112</v>
      </c>
      <c r="K190" s="83">
        <f t="shared" si="40"/>
        <v>38864</v>
      </c>
      <c r="N190" s="15"/>
      <c r="O190" s="15"/>
      <c r="P190" s="15"/>
      <c r="Q190" s="15"/>
      <c r="R190" s="15"/>
      <c r="S190" s="15"/>
      <c r="T190" s="15"/>
      <c r="U190" s="15"/>
      <c r="V190" s="15"/>
      <c r="W190" s="42"/>
      <c r="Y190" s="2"/>
    </row>
    <row r="191" spans="1:25">
      <c r="A191" s="37" t="s">
        <v>453</v>
      </c>
      <c r="B191" s="72" t="s">
        <v>445</v>
      </c>
      <c r="C191" s="72" t="s">
        <v>103</v>
      </c>
      <c r="D191" s="72" t="s">
        <v>346</v>
      </c>
      <c r="E191" s="72" t="s">
        <v>127</v>
      </c>
      <c r="F191" s="72" t="s">
        <v>454</v>
      </c>
      <c r="G191" s="161">
        <f>$O$12</f>
        <v>309.59999999999997</v>
      </c>
      <c r="H191" s="74">
        <v>138</v>
      </c>
      <c r="I191" s="75">
        <v>0</v>
      </c>
      <c r="J191" s="74">
        <f t="shared" si="39"/>
        <v>138</v>
      </c>
      <c r="K191" s="83">
        <f t="shared" si="40"/>
        <v>42724.799999999996</v>
      </c>
      <c r="N191" s="163"/>
      <c r="O191" s="15"/>
      <c r="P191" s="15"/>
      <c r="Q191" s="15"/>
      <c r="R191" s="15"/>
      <c r="S191" s="15"/>
      <c r="T191" s="15"/>
      <c r="U191" s="15"/>
      <c r="V191" s="15"/>
      <c r="W191" s="42"/>
      <c r="Y191" s="2"/>
    </row>
    <row r="192" spans="1:25">
      <c r="A192" s="37" t="s">
        <v>455</v>
      </c>
      <c r="B192" s="72" t="s">
        <v>448</v>
      </c>
      <c r="C192" s="72" t="s">
        <v>103</v>
      </c>
      <c r="D192" s="72" t="s">
        <v>346</v>
      </c>
      <c r="E192" s="72" t="s">
        <v>127</v>
      </c>
      <c r="F192" s="72" t="s">
        <v>454</v>
      </c>
      <c r="G192" s="161">
        <f>$O$12</f>
        <v>309.59999999999997</v>
      </c>
      <c r="H192" s="74">
        <v>24</v>
      </c>
      <c r="I192" s="75">
        <v>0</v>
      </c>
      <c r="J192" s="74">
        <f t="shared" si="39"/>
        <v>24</v>
      </c>
      <c r="K192" s="83">
        <f t="shared" si="40"/>
        <v>7430.4</v>
      </c>
      <c r="N192" s="163"/>
      <c r="O192" s="15"/>
      <c r="P192" s="15"/>
      <c r="Q192" s="15"/>
      <c r="R192" s="15"/>
      <c r="S192" s="15"/>
      <c r="T192" s="15"/>
      <c r="U192" s="15"/>
      <c r="V192" s="15"/>
      <c r="W192" s="42"/>
      <c r="Y192" s="2"/>
    </row>
    <row r="193" spans="1:25">
      <c r="A193" s="37" t="s">
        <v>456</v>
      </c>
      <c r="B193" s="72" t="s">
        <v>445</v>
      </c>
      <c r="C193" s="72" t="s">
        <v>103</v>
      </c>
      <c r="D193" s="72" t="s">
        <v>130</v>
      </c>
      <c r="E193" s="72" t="s">
        <v>118</v>
      </c>
      <c r="F193" s="72"/>
      <c r="G193" s="73"/>
      <c r="H193" s="74"/>
      <c r="I193" s="75">
        <v>0</v>
      </c>
      <c r="J193" s="74">
        <f t="shared" si="39"/>
        <v>0</v>
      </c>
      <c r="K193" s="83">
        <f t="shared" si="40"/>
        <v>0</v>
      </c>
      <c r="N193" s="15"/>
      <c r="O193" s="15"/>
      <c r="P193" s="15"/>
      <c r="Q193" s="15"/>
      <c r="R193" s="15"/>
      <c r="S193" s="15"/>
      <c r="T193" s="15"/>
      <c r="U193" s="15"/>
      <c r="V193" s="15"/>
      <c r="W193" s="42"/>
      <c r="Y193" s="2"/>
    </row>
    <row r="194" spans="1:25">
      <c r="A194" s="37" t="s">
        <v>457</v>
      </c>
      <c r="B194" s="72" t="s">
        <v>458</v>
      </c>
      <c r="C194" s="72" t="s">
        <v>103</v>
      </c>
      <c r="D194" s="72" t="s">
        <v>130</v>
      </c>
      <c r="E194" s="72" t="s">
        <v>118</v>
      </c>
      <c r="F194" s="72"/>
      <c r="G194" s="73"/>
      <c r="H194" s="74"/>
      <c r="I194" s="75">
        <v>0</v>
      </c>
      <c r="J194" s="74">
        <f t="shared" si="39"/>
        <v>0</v>
      </c>
      <c r="K194" s="83">
        <f t="shared" si="40"/>
        <v>0</v>
      </c>
      <c r="N194" s="15"/>
      <c r="O194" s="15"/>
      <c r="P194" s="15"/>
      <c r="Q194" s="15"/>
      <c r="R194" s="15"/>
      <c r="S194" s="15"/>
      <c r="T194" s="15"/>
      <c r="U194" s="15"/>
      <c r="V194" s="15"/>
      <c r="W194" s="42"/>
      <c r="Y194" s="2"/>
    </row>
    <row r="195" spans="1:25">
      <c r="A195" s="37" t="s">
        <v>459</v>
      </c>
      <c r="B195" s="72" t="s">
        <v>460</v>
      </c>
      <c r="C195" s="72" t="s">
        <v>103</v>
      </c>
      <c r="D195" s="72" t="s">
        <v>353</v>
      </c>
      <c r="E195" s="72" t="s">
        <v>461</v>
      </c>
      <c r="F195" s="72" t="s">
        <v>32</v>
      </c>
      <c r="G195" s="161">
        <v>6</v>
      </c>
      <c r="H195" s="74">
        <v>25000</v>
      </c>
      <c r="I195" s="75">
        <v>0</v>
      </c>
      <c r="J195" s="74">
        <f t="shared" si="39"/>
        <v>25000</v>
      </c>
      <c r="K195" s="83">
        <f t="shared" si="40"/>
        <v>150000</v>
      </c>
      <c r="N195" s="163"/>
      <c r="O195" s="15"/>
      <c r="P195" s="15"/>
      <c r="Q195" s="15"/>
      <c r="R195" s="15"/>
      <c r="S195" s="15"/>
      <c r="T195" s="15"/>
      <c r="U195" s="15"/>
      <c r="V195" s="15"/>
      <c r="W195" s="42"/>
      <c r="Y195" s="2"/>
    </row>
    <row r="196" spans="1:25">
      <c r="A196" s="37" t="s">
        <v>462</v>
      </c>
      <c r="B196" s="72" t="s">
        <v>463</v>
      </c>
      <c r="C196" s="72" t="s">
        <v>103</v>
      </c>
      <c r="D196" s="72" t="s">
        <v>109</v>
      </c>
      <c r="E196" s="72" t="s">
        <v>127</v>
      </c>
      <c r="F196" s="72" t="s">
        <v>464</v>
      </c>
      <c r="G196" s="86">
        <f>$B$9</f>
        <v>11.7</v>
      </c>
      <c r="H196" s="74">
        <v>1000</v>
      </c>
      <c r="I196" s="75">
        <v>0</v>
      </c>
      <c r="J196" s="74">
        <f t="shared" si="39"/>
        <v>1000</v>
      </c>
      <c r="K196" s="83">
        <f t="shared" si="40"/>
        <v>11700</v>
      </c>
      <c r="N196" s="15"/>
      <c r="O196" s="15"/>
      <c r="P196" s="15"/>
      <c r="Q196" s="15"/>
      <c r="R196" s="15"/>
      <c r="S196" s="15"/>
      <c r="T196" s="15"/>
      <c r="U196" s="15"/>
      <c r="V196" s="15"/>
      <c r="W196" s="42"/>
      <c r="Y196" s="2"/>
    </row>
    <row r="197" spans="1:25">
      <c r="A197" s="37" t="s">
        <v>465</v>
      </c>
      <c r="B197" s="72" t="s">
        <v>466</v>
      </c>
      <c r="C197" s="72" t="s">
        <v>103</v>
      </c>
      <c r="D197" s="72" t="s">
        <v>109</v>
      </c>
      <c r="E197" s="72" t="s">
        <v>127</v>
      </c>
      <c r="F197" s="72" t="s">
        <v>464</v>
      </c>
      <c r="G197" s="86">
        <f>$B$9</f>
        <v>11.7</v>
      </c>
      <c r="H197" s="74">
        <v>1000</v>
      </c>
      <c r="I197" s="75">
        <v>0</v>
      </c>
      <c r="J197" s="74">
        <f t="shared" si="39"/>
        <v>1000</v>
      </c>
      <c r="K197" s="83">
        <f t="shared" si="40"/>
        <v>11700</v>
      </c>
      <c r="N197" s="15"/>
      <c r="O197" s="15"/>
      <c r="P197" s="15"/>
      <c r="Q197" s="15"/>
      <c r="R197" s="15"/>
      <c r="S197" s="15"/>
      <c r="T197" s="15"/>
      <c r="U197" s="15"/>
      <c r="V197" s="15"/>
      <c r="W197" s="42"/>
      <c r="Y197" s="2"/>
    </row>
    <row r="198" spans="1:25">
      <c r="A198" s="37" t="s">
        <v>467</v>
      </c>
      <c r="B198" s="72" t="s">
        <v>468</v>
      </c>
      <c r="C198" s="72" t="s">
        <v>103</v>
      </c>
      <c r="D198" s="72" t="s">
        <v>130</v>
      </c>
      <c r="E198" s="72" t="s">
        <v>127</v>
      </c>
      <c r="F198" s="72" t="s">
        <v>121</v>
      </c>
      <c r="G198" s="161">
        <f>$O$6</f>
        <v>2</v>
      </c>
      <c r="H198" s="74">
        <v>17000</v>
      </c>
      <c r="I198" s="75">
        <v>0</v>
      </c>
      <c r="J198" s="74">
        <f t="shared" si="39"/>
        <v>17000</v>
      </c>
      <c r="K198" s="83">
        <f t="shared" si="40"/>
        <v>34000</v>
      </c>
      <c r="N198" s="15"/>
      <c r="O198" s="15"/>
      <c r="P198" s="15"/>
      <c r="Q198" s="15"/>
      <c r="R198" s="15"/>
      <c r="S198" s="15"/>
      <c r="T198" s="15"/>
      <c r="U198" s="15"/>
      <c r="V198" s="15"/>
      <c r="W198" s="42"/>
      <c r="Y198" s="2"/>
    </row>
    <row r="199" spans="1:25">
      <c r="A199" s="37" t="s">
        <v>469</v>
      </c>
      <c r="B199" s="72" t="s">
        <v>470</v>
      </c>
      <c r="C199" s="72" t="s">
        <v>103</v>
      </c>
      <c r="D199" s="72" t="s">
        <v>130</v>
      </c>
      <c r="E199" s="72" t="s">
        <v>127</v>
      </c>
      <c r="F199" s="72" t="s">
        <v>121</v>
      </c>
      <c r="G199" s="161">
        <f>$O$6</f>
        <v>2</v>
      </c>
      <c r="H199" s="74">
        <v>11000</v>
      </c>
      <c r="I199" s="75">
        <v>0</v>
      </c>
      <c r="J199" s="74">
        <f t="shared" si="39"/>
        <v>11000</v>
      </c>
      <c r="K199" s="83">
        <f t="shared" si="40"/>
        <v>22000</v>
      </c>
      <c r="N199" s="15"/>
      <c r="O199" s="15"/>
      <c r="P199" s="15"/>
      <c r="Q199" s="15"/>
      <c r="R199" s="15"/>
      <c r="S199" s="15"/>
      <c r="T199" s="15"/>
      <c r="U199" s="15"/>
      <c r="V199" s="15"/>
      <c r="W199" s="42"/>
      <c r="Y199" s="2"/>
    </row>
    <row r="200" spans="1:25">
      <c r="A200" s="37" t="s">
        <v>471</v>
      </c>
      <c r="B200" s="72" t="s">
        <v>472</v>
      </c>
      <c r="C200" s="72" t="s">
        <v>103</v>
      </c>
      <c r="D200" s="72" t="s">
        <v>135</v>
      </c>
      <c r="E200" s="72" t="s">
        <v>127</v>
      </c>
      <c r="F200" s="72" t="s">
        <v>121</v>
      </c>
      <c r="G200" s="161">
        <f>$O$6</f>
        <v>2</v>
      </c>
      <c r="H200" s="74">
        <v>2000</v>
      </c>
      <c r="I200" s="75">
        <v>0</v>
      </c>
      <c r="J200" s="74">
        <f t="shared" si="39"/>
        <v>2000</v>
      </c>
      <c r="K200" s="83">
        <f t="shared" si="40"/>
        <v>4000</v>
      </c>
      <c r="N200" s="15"/>
      <c r="O200" s="15"/>
      <c r="P200" s="15"/>
      <c r="Q200" s="15"/>
      <c r="R200" s="15"/>
      <c r="S200" s="15"/>
      <c r="T200" s="15"/>
      <c r="U200" s="15"/>
      <c r="V200" s="15"/>
      <c r="W200" s="42"/>
      <c r="Y200" s="2"/>
    </row>
    <row r="201" spans="1:25">
      <c r="A201" s="37" t="s">
        <v>473</v>
      </c>
      <c r="B201" s="72" t="s">
        <v>445</v>
      </c>
      <c r="C201" s="72" t="s">
        <v>103</v>
      </c>
      <c r="D201" s="72" t="s">
        <v>123</v>
      </c>
      <c r="E201" s="72" t="s">
        <v>127</v>
      </c>
      <c r="F201" s="72" t="s">
        <v>121</v>
      </c>
      <c r="G201" s="161">
        <v>1</v>
      </c>
      <c r="H201" s="74">
        <v>14250</v>
      </c>
      <c r="I201" s="75">
        <v>0</v>
      </c>
      <c r="J201" s="74">
        <f t="shared" si="39"/>
        <v>14250</v>
      </c>
      <c r="K201" s="83">
        <f t="shared" si="40"/>
        <v>14250</v>
      </c>
      <c r="N201" s="15"/>
      <c r="O201" s="15"/>
      <c r="P201" s="15"/>
      <c r="Q201" s="15"/>
      <c r="R201" s="15"/>
      <c r="S201" s="15"/>
      <c r="T201" s="15"/>
      <c r="U201" s="15"/>
      <c r="V201" s="15"/>
      <c r="W201" s="42"/>
      <c r="Y201" s="2"/>
    </row>
    <row r="202" spans="1:25">
      <c r="A202" s="37" t="s">
        <v>474</v>
      </c>
      <c r="B202" s="72" t="s">
        <v>448</v>
      </c>
      <c r="C202" s="72" t="s">
        <v>103</v>
      </c>
      <c r="D202" s="72" t="s">
        <v>123</v>
      </c>
      <c r="E202" s="72" t="s">
        <v>127</v>
      </c>
      <c r="F202" s="72" t="s">
        <v>121</v>
      </c>
      <c r="G202" s="161">
        <v>1</v>
      </c>
      <c r="H202" s="74">
        <v>600</v>
      </c>
      <c r="I202" s="75">
        <v>0</v>
      </c>
      <c r="J202" s="74">
        <f t="shared" si="39"/>
        <v>600</v>
      </c>
      <c r="K202" s="83">
        <f t="shared" si="40"/>
        <v>600</v>
      </c>
      <c r="N202" s="15"/>
      <c r="O202" s="15"/>
      <c r="P202" s="15"/>
      <c r="Q202" s="15"/>
      <c r="R202" s="15"/>
      <c r="S202" s="15"/>
      <c r="T202" s="15"/>
      <c r="U202" s="15"/>
      <c r="V202" s="15"/>
      <c r="W202" s="42"/>
      <c r="Y202" s="2"/>
    </row>
    <row r="203" spans="1:25">
      <c r="A203" s="33" t="s">
        <v>475</v>
      </c>
      <c r="B203" s="54" t="s">
        <v>476</v>
      </c>
      <c r="C203" s="54"/>
      <c r="D203" s="54"/>
      <c r="E203" s="54"/>
      <c r="F203" s="54"/>
      <c r="G203" s="55"/>
      <c r="H203" s="56"/>
      <c r="I203" s="57"/>
      <c r="J203" s="56"/>
      <c r="K203" s="82"/>
      <c r="L203" s="102">
        <f>SUM(K204:K206)</f>
        <v>186973.78</v>
      </c>
      <c r="N203" s="15"/>
      <c r="O203" s="15"/>
      <c r="P203" s="15"/>
      <c r="Q203" s="15"/>
      <c r="R203" s="15"/>
      <c r="S203" s="15"/>
      <c r="T203" s="15"/>
      <c r="U203" s="15"/>
      <c r="V203" s="15"/>
      <c r="W203" s="42"/>
      <c r="Y203" s="2"/>
    </row>
    <row r="204" spans="1:25">
      <c r="A204" s="35" t="s">
        <v>477</v>
      </c>
      <c r="B204" s="66" t="s">
        <v>478</v>
      </c>
      <c r="C204" s="66" t="s">
        <v>281</v>
      </c>
      <c r="D204" s="66" t="s">
        <v>115</v>
      </c>
      <c r="E204" s="66" t="s">
        <v>110</v>
      </c>
      <c r="F204" s="66" t="s">
        <v>121</v>
      </c>
      <c r="G204" s="67">
        <f>$B$11</f>
        <v>2</v>
      </c>
      <c r="H204" s="68">
        <v>900</v>
      </c>
      <c r="I204" s="69">
        <v>0</v>
      </c>
      <c r="J204" s="70">
        <f t="shared" ref="J204:J206" si="41">H204*(1+I204)</f>
        <v>900</v>
      </c>
      <c r="K204" s="71">
        <f t="shared" ref="K204:K206" si="42">J204*G204</f>
        <v>1800</v>
      </c>
      <c r="N204" s="15" t="s">
        <v>479</v>
      </c>
      <c r="O204" s="15"/>
      <c r="P204" s="15"/>
      <c r="Q204" s="15"/>
      <c r="R204" s="15"/>
      <c r="S204" s="15"/>
      <c r="T204" s="15"/>
      <c r="U204" s="15"/>
      <c r="V204" s="15"/>
      <c r="W204" s="42"/>
      <c r="Y204" s="2"/>
    </row>
    <row r="205" spans="1:25">
      <c r="A205" s="37" t="s">
        <v>480</v>
      </c>
      <c r="B205" s="72" t="s">
        <v>481</v>
      </c>
      <c r="C205" s="72" t="s">
        <v>103</v>
      </c>
      <c r="D205" s="72" t="s">
        <v>115</v>
      </c>
      <c r="E205" s="210" t="s">
        <v>195</v>
      </c>
      <c r="F205" s="72" t="s">
        <v>15</v>
      </c>
      <c r="G205" s="73">
        <f t="shared" ref="G205" si="43">$B$8</f>
        <v>311142</v>
      </c>
      <c r="H205" s="74">
        <v>0.59</v>
      </c>
      <c r="I205" s="75">
        <v>0</v>
      </c>
      <c r="J205" s="74">
        <f t="shared" si="41"/>
        <v>0.59</v>
      </c>
      <c r="K205" s="83">
        <f t="shared" si="42"/>
        <v>183573.78</v>
      </c>
      <c r="N205" s="15"/>
      <c r="O205" s="15"/>
      <c r="P205" s="15"/>
      <c r="Q205" s="15"/>
      <c r="R205" s="15"/>
      <c r="S205" s="15"/>
      <c r="T205" s="15"/>
      <c r="U205" s="15"/>
      <c r="V205" s="15"/>
      <c r="W205" s="42"/>
      <c r="Y205" s="2"/>
    </row>
    <row r="206" spans="1:25">
      <c r="A206" s="37" t="s">
        <v>482</v>
      </c>
      <c r="B206" s="72" t="s">
        <v>483</v>
      </c>
      <c r="C206" s="72" t="s">
        <v>103</v>
      </c>
      <c r="D206" s="72" t="s">
        <v>130</v>
      </c>
      <c r="E206" s="72" t="s">
        <v>118</v>
      </c>
      <c r="F206" s="72" t="s">
        <v>121</v>
      </c>
      <c r="G206" s="73">
        <f>$O$6</f>
        <v>2</v>
      </c>
      <c r="H206" s="74">
        <v>800</v>
      </c>
      <c r="I206" s="75">
        <v>0</v>
      </c>
      <c r="J206" s="74">
        <f t="shared" si="41"/>
        <v>800</v>
      </c>
      <c r="K206" s="83">
        <f t="shared" si="42"/>
        <v>1600</v>
      </c>
      <c r="N206" s="15" t="s">
        <v>484</v>
      </c>
      <c r="O206" s="15"/>
      <c r="P206" s="15"/>
      <c r="Q206" s="15"/>
      <c r="R206" s="15"/>
      <c r="S206" s="15"/>
      <c r="T206" s="15"/>
      <c r="U206" s="15"/>
      <c r="V206" s="15"/>
      <c r="W206" s="42"/>
      <c r="Y206" s="2"/>
    </row>
    <row r="207" spans="1:25">
      <c r="A207" s="33" t="s">
        <v>485</v>
      </c>
      <c r="B207" s="54" t="s">
        <v>486</v>
      </c>
      <c r="C207" s="54"/>
      <c r="D207" s="54"/>
      <c r="E207" s="54"/>
      <c r="F207" s="54"/>
      <c r="G207" s="55"/>
      <c r="H207" s="56"/>
      <c r="I207" s="57"/>
      <c r="J207" s="56"/>
      <c r="K207" s="82"/>
      <c r="L207" s="102">
        <f>SUM(K208:K210)</f>
        <v>855355</v>
      </c>
      <c r="N207" s="15"/>
      <c r="O207" s="15"/>
      <c r="P207" s="15"/>
      <c r="Q207" s="15"/>
      <c r="R207" s="15"/>
      <c r="S207" s="15"/>
      <c r="T207" s="15"/>
      <c r="U207" s="15"/>
      <c r="V207" s="15"/>
      <c r="W207" s="42"/>
      <c r="Y207" s="2"/>
    </row>
    <row r="208" spans="1:25">
      <c r="A208" s="166" t="s">
        <v>487</v>
      </c>
      <c r="B208" s="66" t="s">
        <v>488</v>
      </c>
      <c r="C208" s="66" t="s">
        <v>103</v>
      </c>
      <c r="D208" s="66" t="s">
        <v>115</v>
      </c>
      <c r="E208" s="66" t="s">
        <v>127</v>
      </c>
      <c r="F208" s="66" t="s">
        <v>10</v>
      </c>
      <c r="G208" s="67">
        <f>$E$8</f>
        <v>347</v>
      </c>
      <c r="H208" s="68">
        <v>580</v>
      </c>
      <c r="I208" s="69">
        <v>0</v>
      </c>
      <c r="J208" s="70">
        <f t="shared" ref="J208:J210" si="44">H208*(1+I208)</f>
        <v>580</v>
      </c>
      <c r="K208" s="71">
        <f t="shared" ref="K208:K210" si="45">J208*G208</f>
        <v>201260</v>
      </c>
      <c r="N208" s="15"/>
      <c r="O208" s="15"/>
      <c r="P208" s="15"/>
      <c r="Q208" s="15"/>
      <c r="R208" s="15"/>
      <c r="S208" s="15"/>
      <c r="T208" s="15"/>
      <c r="U208" s="15"/>
      <c r="V208" s="15"/>
      <c r="W208" s="42"/>
      <c r="Y208" s="2"/>
    </row>
    <row r="209" spans="1:25">
      <c r="A209" s="37" t="s">
        <v>489</v>
      </c>
      <c r="B209" s="72" t="s">
        <v>490</v>
      </c>
      <c r="C209" s="72" t="s">
        <v>103</v>
      </c>
      <c r="D209" s="72" t="s">
        <v>109</v>
      </c>
      <c r="E209" s="72" t="s">
        <v>127</v>
      </c>
      <c r="F209" s="72" t="s">
        <v>10</v>
      </c>
      <c r="G209" s="73">
        <f>$E$8</f>
        <v>347</v>
      </c>
      <c r="H209" s="74">
        <v>327</v>
      </c>
      <c r="I209" s="75">
        <v>0</v>
      </c>
      <c r="J209" s="74">
        <f t="shared" si="44"/>
        <v>327</v>
      </c>
      <c r="K209" s="83">
        <f t="shared" si="45"/>
        <v>113469</v>
      </c>
      <c r="N209" s="15"/>
      <c r="O209" s="15"/>
      <c r="P209" s="15"/>
      <c r="Q209" s="15"/>
      <c r="R209" s="15"/>
      <c r="S209" s="15"/>
      <c r="T209" s="15"/>
      <c r="U209" s="15"/>
      <c r="V209" s="15"/>
      <c r="W209" s="42"/>
      <c r="Y209" s="2"/>
    </row>
    <row r="210" spans="1:25">
      <c r="A210" s="37" t="s">
        <v>491</v>
      </c>
      <c r="B210" s="72" t="s">
        <v>492</v>
      </c>
      <c r="C210" s="72" t="s">
        <v>103</v>
      </c>
      <c r="D210" s="72" t="s">
        <v>115</v>
      </c>
      <c r="E210" s="72" t="s">
        <v>116</v>
      </c>
      <c r="F210" s="72" t="s">
        <v>10</v>
      </c>
      <c r="G210" s="73">
        <f>$E$8</f>
        <v>347</v>
      </c>
      <c r="H210" s="212">
        <v>1558</v>
      </c>
      <c r="I210" s="75">
        <v>0</v>
      </c>
      <c r="J210" s="74">
        <f t="shared" si="44"/>
        <v>1558</v>
      </c>
      <c r="K210" s="83">
        <f t="shared" si="45"/>
        <v>540626</v>
      </c>
      <c r="N210" s="15"/>
      <c r="O210" s="15"/>
      <c r="P210" s="15"/>
      <c r="Q210" s="15"/>
      <c r="R210" s="15"/>
      <c r="S210" s="15"/>
      <c r="T210" s="15"/>
      <c r="U210" s="15"/>
      <c r="V210" s="15"/>
      <c r="W210" s="42"/>
      <c r="Y210" s="2"/>
    </row>
    <row r="211" spans="1:25">
      <c r="A211" s="33" t="s">
        <v>493</v>
      </c>
      <c r="B211" s="54" t="s">
        <v>494</v>
      </c>
      <c r="C211" s="54"/>
      <c r="D211" s="54"/>
      <c r="E211" s="54"/>
      <c r="F211" s="54"/>
      <c r="G211" s="55"/>
      <c r="H211" s="56"/>
      <c r="I211" s="57"/>
      <c r="J211" s="56"/>
      <c r="K211" s="82"/>
      <c r="L211" s="102">
        <f>SUM(K212:K220)</f>
        <v>747722.65500000003</v>
      </c>
      <c r="N211" s="15"/>
      <c r="O211" s="15"/>
      <c r="P211" s="15"/>
      <c r="Q211" s="15"/>
      <c r="R211" s="15"/>
      <c r="S211" s="15"/>
      <c r="T211" s="15"/>
      <c r="U211" s="15"/>
      <c r="V211" s="15"/>
      <c r="W211" s="42"/>
      <c r="Y211" s="2"/>
    </row>
    <row r="212" spans="1:25">
      <c r="A212" s="35" t="s">
        <v>495</v>
      </c>
      <c r="B212" s="66" t="s">
        <v>496</v>
      </c>
      <c r="C212" s="66" t="s">
        <v>103</v>
      </c>
      <c r="D212" s="66" t="s">
        <v>109</v>
      </c>
      <c r="E212" s="66" t="s">
        <v>266</v>
      </c>
      <c r="F212" s="66" t="s">
        <v>464</v>
      </c>
      <c r="G212" s="85">
        <f>$B$9</f>
        <v>11.7</v>
      </c>
      <c r="H212" s="68">
        <v>6331.5499999999993</v>
      </c>
      <c r="I212" s="69">
        <v>0</v>
      </c>
      <c r="J212" s="70">
        <f t="shared" ref="J212:J220" si="46">H212*(1+I212)</f>
        <v>6331.5499999999993</v>
      </c>
      <c r="K212" s="71">
        <f t="shared" ref="K212:K220" si="47">J212*G212</f>
        <v>74079.13499999998</v>
      </c>
      <c r="N212" s="15"/>
      <c r="O212" s="15"/>
      <c r="P212" s="15"/>
      <c r="Q212" s="15"/>
      <c r="R212" s="15"/>
      <c r="S212" s="15"/>
      <c r="T212" s="15"/>
      <c r="U212" s="15"/>
      <c r="V212" s="15"/>
      <c r="W212" s="42"/>
      <c r="Y212" s="2"/>
    </row>
    <row r="213" spans="1:25">
      <c r="A213" s="37" t="s">
        <v>497</v>
      </c>
      <c r="B213" s="72" t="s">
        <v>498</v>
      </c>
      <c r="C213" s="72" t="s">
        <v>103</v>
      </c>
      <c r="D213" s="72" t="s">
        <v>109</v>
      </c>
      <c r="E213" s="72" t="s">
        <v>266</v>
      </c>
      <c r="F213" s="72" t="s">
        <v>464</v>
      </c>
      <c r="G213" s="86">
        <f>$B$9</f>
        <v>11.7</v>
      </c>
      <c r="H213" s="74">
        <v>3485.6</v>
      </c>
      <c r="I213" s="75">
        <v>0</v>
      </c>
      <c r="J213" s="74">
        <f t="shared" si="46"/>
        <v>3485.6</v>
      </c>
      <c r="K213" s="83">
        <f t="shared" si="47"/>
        <v>40781.519999999997</v>
      </c>
      <c r="N213" s="15"/>
      <c r="O213" s="15"/>
      <c r="P213" s="15"/>
      <c r="Q213" s="15"/>
      <c r="R213" s="15"/>
      <c r="S213" s="15"/>
      <c r="T213" s="15"/>
      <c r="U213" s="15"/>
      <c r="V213" s="15"/>
      <c r="W213" s="42"/>
      <c r="Y213" s="2"/>
    </row>
    <row r="214" spans="1:25">
      <c r="A214" s="37" t="s">
        <v>499</v>
      </c>
      <c r="B214" s="72" t="s">
        <v>500</v>
      </c>
      <c r="C214" s="72" t="s">
        <v>103</v>
      </c>
      <c r="D214" s="72" t="s">
        <v>109</v>
      </c>
      <c r="E214" s="72" t="s">
        <v>118</v>
      </c>
      <c r="F214" s="72"/>
      <c r="G214" s="73"/>
      <c r="H214" s="74"/>
      <c r="I214" s="75">
        <v>0</v>
      </c>
      <c r="J214" s="74">
        <f t="shared" si="46"/>
        <v>0</v>
      </c>
      <c r="K214" s="83">
        <f t="shared" si="47"/>
        <v>0</v>
      </c>
      <c r="N214" s="15"/>
      <c r="O214" s="15"/>
      <c r="P214" s="15"/>
      <c r="Q214" s="15"/>
      <c r="R214" s="15"/>
      <c r="S214" s="15"/>
      <c r="T214" s="15"/>
      <c r="U214" s="15"/>
      <c r="V214" s="15"/>
      <c r="W214" s="42"/>
      <c r="Y214" s="2"/>
    </row>
    <row r="215" spans="1:25">
      <c r="A215" s="37" t="s">
        <v>501</v>
      </c>
      <c r="B215" s="72" t="s">
        <v>502</v>
      </c>
      <c r="C215" s="72" t="s">
        <v>103</v>
      </c>
      <c r="D215" s="72" t="s">
        <v>109</v>
      </c>
      <c r="E215" s="72" t="s">
        <v>461</v>
      </c>
      <c r="F215" s="72" t="s">
        <v>121</v>
      </c>
      <c r="G215" s="161">
        <v>1</v>
      </c>
      <c r="H215" s="212">
        <v>50000</v>
      </c>
      <c r="I215" s="75">
        <v>0</v>
      </c>
      <c r="J215" s="74">
        <f t="shared" si="46"/>
        <v>50000</v>
      </c>
      <c r="K215" s="83">
        <f t="shared" si="47"/>
        <v>50000</v>
      </c>
      <c r="N215" s="213" t="s">
        <v>503</v>
      </c>
      <c r="O215" s="15"/>
      <c r="P215" s="15"/>
      <c r="Q215" s="15"/>
      <c r="R215" s="15"/>
      <c r="S215" s="15"/>
      <c r="T215" s="15"/>
      <c r="U215" s="15"/>
      <c r="V215" s="15"/>
      <c r="W215" s="42"/>
      <c r="Y215" s="2"/>
    </row>
    <row r="216" spans="1:25">
      <c r="A216" s="37" t="s">
        <v>504</v>
      </c>
      <c r="B216" s="72" t="s">
        <v>505</v>
      </c>
      <c r="C216" s="72" t="s">
        <v>103</v>
      </c>
      <c r="D216" s="72" t="s">
        <v>109</v>
      </c>
      <c r="E216" s="72" t="s">
        <v>461</v>
      </c>
      <c r="F216" s="72" t="s">
        <v>121</v>
      </c>
      <c r="G216" s="161">
        <v>1</v>
      </c>
      <c r="H216" s="212">
        <v>391553</v>
      </c>
      <c r="I216" s="75">
        <v>0</v>
      </c>
      <c r="J216" s="74">
        <f t="shared" si="46"/>
        <v>391553</v>
      </c>
      <c r="K216" s="83">
        <f t="shared" si="47"/>
        <v>391553</v>
      </c>
      <c r="N216" s="213" t="s">
        <v>503</v>
      </c>
      <c r="O216" s="15"/>
      <c r="P216" s="15"/>
      <c r="Q216" s="15"/>
      <c r="R216" s="15"/>
      <c r="S216" s="15"/>
      <c r="T216" s="15"/>
      <c r="U216" s="15"/>
      <c r="V216" s="15"/>
      <c r="W216" s="42"/>
      <c r="Y216" s="2"/>
    </row>
    <row r="217" spans="1:25">
      <c r="A217" s="37" t="s">
        <v>506</v>
      </c>
      <c r="B217" s="72" t="s">
        <v>507</v>
      </c>
      <c r="C217" s="72" t="s">
        <v>103</v>
      </c>
      <c r="D217" s="72" t="s">
        <v>109</v>
      </c>
      <c r="E217" s="72" t="s">
        <v>461</v>
      </c>
      <c r="F217" s="72" t="s">
        <v>121</v>
      </c>
      <c r="G217" s="161">
        <v>1</v>
      </c>
      <c r="H217" s="212">
        <v>11006</v>
      </c>
      <c r="I217" s="75">
        <v>0</v>
      </c>
      <c r="J217" s="74">
        <f t="shared" si="46"/>
        <v>11006</v>
      </c>
      <c r="K217" s="83">
        <f t="shared" si="47"/>
        <v>11006</v>
      </c>
      <c r="N217" s="213" t="s">
        <v>503</v>
      </c>
      <c r="O217" s="15"/>
      <c r="P217" s="15"/>
      <c r="Q217" s="15"/>
      <c r="R217" s="15"/>
      <c r="S217" s="15"/>
      <c r="T217" s="15"/>
      <c r="U217" s="15"/>
      <c r="V217" s="15"/>
      <c r="W217" s="42"/>
      <c r="Y217" s="2"/>
    </row>
    <row r="218" spans="1:25">
      <c r="A218" s="37" t="s">
        <v>508</v>
      </c>
      <c r="B218" s="72" t="s">
        <v>509</v>
      </c>
      <c r="C218" s="72" t="s">
        <v>103</v>
      </c>
      <c r="D218" s="72" t="s">
        <v>109</v>
      </c>
      <c r="E218" s="72" t="s">
        <v>461</v>
      </c>
      <c r="F218" s="72" t="s">
        <v>121</v>
      </c>
      <c r="G218" s="161">
        <v>1</v>
      </c>
      <c r="H218" s="212">
        <v>150000</v>
      </c>
      <c r="I218" s="75">
        <v>0</v>
      </c>
      <c r="J218" s="74">
        <f t="shared" si="46"/>
        <v>150000</v>
      </c>
      <c r="K218" s="83">
        <f t="shared" si="47"/>
        <v>150000</v>
      </c>
      <c r="N218" s="213" t="s">
        <v>503</v>
      </c>
      <c r="O218" s="15"/>
      <c r="P218" s="15"/>
      <c r="Q218" s="15"/>
      <c r="R218" s="15"/>
      <c r="S218" s="15"/>
      <c r="T218" s="15"/>
      <c r="U218" s="15"/>
      <c r="V218" s="15"/>
      <c r="W218" s="42"/>
      <c r="Y218" s="2"/>
    </row>
    <row r="219" spans="1:25">
      <c r="A219" s="37" t="s">
        <v>510</v>
      </c>
      <c r="B219" s="72" t="s">
        <v>511</v>
      </c>
      <c r="C219" s="72" t="s">
        <v>103</v>
      </c>
      <c r="D219" s="72" t="s">
        <v>109</v>
      </c>
      <c r="E219" s="72" t="s">
        <v>118</v>
      </c>
      <c r="F219" s="72"/>
      <c r="G219" s="73"/>
      <c r="H219" s="74"/>
      <c r="I219" s="75">
        <v>0</v>
      </c>
      <c r="J219" s="74">
        <f t="shared" si="46"/>
        <v>0</v>
      </c>
      <c r="K219" s="83">
        <f t="shared" si="47"/>
        <v>0</v>
      </c>
      <c r="N219" s="15"/>
      <c r="O219" s="15"/>
      <c r="P219" s="15"/>
      <c r="Q219" s="15"/>
      <c r="R219" s="15"/>
      <c r="S219" s="15"/>
      <c r="T219" s="15"/>
      <c r="U219" s="15"/>
      <c r="V219" s="15"/>
      <c r="W219" s="42"/>
      <c r="Y219" s="2"/>
    </row>
    <row r="220" spans="1:25">
      <c r="A220" s="37" t="s">
        <v>512</v>
      </c>
      <c r="B220" s="72" t="s">
        <v>513</v>
      </c>
      <c r="C220" s="72" t="s">
        <v>103</v>
      </c>
      <c r="D220" s="72" t="s">
        <v>109</v>
      </c>
      <c r="E220" s="72" t="s">
        <v>266</v>
      </c>
      <c r="F220" s="72" t="s">
        <v>464</v>
      </c>
      <c r="G220" s="86">
        <f>$B$9</f>
        <v>11.7</v>
      </c>
      <c r="H220" s="74">
        <v>2590</v>
      </c>
      <c r="I220" s="75">
        <v>0</v>
      </c>
      <c r="J220" s="74">
        <f t="shared" si="46"/>
        <v>2590</v>
      </c>
      <c r="K220" s="83">
        <f t="shared" si="47"/>
        <v>30302.999999999996</v>
      </c>
      <c r="N220" s="15"/>
      <c r="O220" s="15"/>
      <c r="P220" s="15"/>
      <c r="Q220" s="15"/>
      <c r="R220" s="15"/>
      <c r="S220" s="15"/>
      <c r="T220" s="15"/>
      <c r="U220" s="15"/>
      <c r="V220" s="15"/>
      <c r="W220" s="42"/>
      <c r="Y220" s="2"/>
    </row>
    <row r="221" spans="1:25">
      <c r="A221" s="33" t="s">
        <v>514</v>
      </c>
      <c r="B221" s="54" t="s">
        <v>515</v>
      </c>
      <c r="C221" s="54"/>
      <c r="D221" s="54"/>
      <c r="E221" s="54"/>
      <c r="F221" s="54"/>
      <c r="G221" s="55"/>
      <c r="H221" s="56"/>
      <c r="I221" s="57"/>
      <c r="J221" s="56"/>
      <c r="K221" s="82"/>
      <c r="L221" s="102">
        <f>SUM(K222:K257)</f>
        <v>5554669.1399999997</v>
      </c>
      <c r="N221" s="15"/>
      <c r="O221" s="15"/>
      <c r="P221" s="15"/>
      <c r="Q221" s="15"/>
      <c r="R221" s="15"/>
      <c r="S221" s="15"/>
      <c r="T221" s="15"/>
      <c r="U221" s="15"/>
      <c r="V221" s="15"/>
      <c r="W221" s="42"/>
      <c r="Y221" s="2"/>
    </row>
    <row r="222" spans="1:25">
      <c r="A222" s="35" t="s">
        <v>516</v>
      </c>
      <c r="B222" s="66" t="s">
        <v>517</v>
      </c>
      <c r="C222" s="66" t="s">
        <v>120</v>
      </c>
      <c r="D222" s="66" t="s">
        <v>109</v>
      </c>
      <c r="E222" s="66" t="s">
        <v>127</v>
      </c>
      <c r="F222" s="66" t="s">
        <v>121</v>
      </c>
      <c r="G222" s="167">
        <v>1</v>
      </c>
      <c r="H222" s="68">
        <v>5000</v>
      </c>
      <c r="I222" s="69">
        <v>0</v>
      </c>
      <c r="J222" s="70">
        <f t="shared" ref="J222:J257" si="48">H222*(1+I222)</f>
        <v>5000</v>
      </c>
      <c r="K222" s="71">
        <f t="shared" ref="K222:K257" si="49">J222*G222</f>
        <v>5000</v>
      </c>
      <c r="N222" s="15"/>
      <c r="O222" s="15"/>
      <c r="P222" s="15"/>
      <c r="Q222" s="15"/>
      <c r="R222" s="15"/>
      <c r="S222" s="15"/>
      <c r="T222" s="15"/>
      <c r="U222" s="15"/>
      <c r="V222" s="15"/>
      <c r="W222" s="42"/>
      <c r="Y222" s="2"/>
    </row>
    <row r="223" spans="1:25">
      <c r="A223" s="37" t="s">
        <v>518</v>
      </c>
      <c r="B223" s="72" t="s">
        <v>519</v>
      </c>
      <c r="C223" s="72" t="s">
        <v>103</v>
      </c>
      <c r="D223" s="72" t="s">
        <v>126</v>
      </c>
      <c r="E223" s="72" t="s">
        <v>127</v>
      </c>
      <c r="F223" s="72" t="s">
        <v>121</v>
      </c>
      <c r="G223" s="161">
        <v>1</v>
      </c>
      <c r="H223" s="74">
        <v>7500</v>
      </c>
      <c r="I223" s="75">
        <v>0</v>
      </c>
      <c r="J223" s="74">
        <f t="shared" si="48"/>
        <v>7500</v>
      </c>
      <c r="K223" s="83">
        <f t="shared" si="49"/>
        <v>7500</v>
      </c>
      <c r="N223" s="15"/>
      <c r="O223" s="15"/>
      <c r="P223" s="15"/>
      <c r="Q223" s="15"/>
      <c r="R223" s="15"/>
      <c r="S223" s="15"/>
      <c r="T223" s="15"/>
      <c r="U223" s="15"/>
      <c r="V223" s="15"/>
      <c r="W223" s="42"/>
      <c r="Y223" s="2"/>
    </row>
    <row r="224" spans="1:25">
      <c r="A224" s="37" t="s">
        <v>520</v>
      </c>
      <c r="B224" s="72" t="s">
        <v>521</v>
      </c>
      <c r="C224" s="72" t="s">
        <v>103</v>
      </c>
      <c r="D224" s="72" t="s">
        <v>109</v>
      </c>
      <c r="E224" s="72" t="s">
        <v>461</v>
      </c>
      <c r="F224" s="72" t="s">
        <v>121</v>
      </c>
      <c r="G224" s="161">
        <v>1</v>
      </c>
      <c r="H224" s="212">
        <v>15000</v>
      </c>
      <c r="I224" s="75">
        <v>0</v>
      </c>
      <c r="J224" s="74">
        <f t="shared" si="48"/>
        <v>15000</v>
      </c>
      <c r="K224" s="83">
        <f t="shared" si="49"/>
        <v>15000</v>
      </c>
      <c r="N224" s="213" t="s">
        <v>503</v>
      </c>
      <c r="O224" s="15"/>
      <c r="P224" s="15"/>
      <c r="Q224" s="15"/>
      <c r="R224" s="15"/>
      <c r="S224" s="15"/>
      <c r="T224" s="15"/>
      <c r="U224" s="15"/>
      <c r="V224" s="15"/>
      <c r="W224" s="42"/>
      <c r="Y224" s="2"/>
    </row>
    <row r="225" spans="1:25">
      <c r="A225" s="37" t="s">
        <v>522</v>
      </c>
      <c r="B225" s="72" t="s">
        <v>523</v>
      </c>
      <c r="C225" s="72" t="s">
        <v>103</v>
      </c>
      <c r="D225" s="72" t="s">
        <v>109</v>
      </c>
      <c r="E225" s="72" t="s">
        <v>461</v>
      </c>
      <c r="F225" s="72" t="s">
        <v>121</v>
      </c>
      <c r="G225" s="161">
        <v>1</v>
      </c>
      <c r="H225" s="212">
        <v>562190.93999999994</v>
      </c>
      <c r="I225" s="75">
        <v>0</v>
      </c>
      <c r="J225" s="74">
        <f t="shared" si="48"/>
        <v>562190.93999999994</v>
      </c>
      <c r="K225" s="83">
        <f t="shared" si="49"/>
        <v>562190.93999999994</v>
      </c>
      <c r="N225" s="213" t="s">
        <v>503</v>
      </c>
      <c r="O225" s="15"/>
      <c r="P225" s="15"/>
      <c r="Q225" s="15"/>
      <c r="R225" s="15"/>
      <c r="S225" s="15"/>
      <c r="T225" s="15"/>
      <c r="U225" s="15"/>
      <c r="V225" s="15"/>
      <c r="W225" s="42"/>
      <c r="Y225" s="2"/>
    </row>
    <row r="226" spans="1:25">
      <c r="A226" s="37" t="s">
        <v>73</v>
      </c>
      <c r="B226" s="72" t="s">
        <v>524</v>
      </c>
      <c r="C226" s="72" t="s">
        <v>103</v>
      </c>
      <c r="D226" s="72" t="s">
        <v>109</v>
      </c>
      <c r="E226" s="72" t="s">
        <v>127</v>
      </c>
      <c r="F226" s="72" t="s">
        <v>15</v>
      </c>
      <c r="G226" s="161">
        <f>$O$13</f>
        <v>203000</v>
      </c>
      <c r="H226" s="74">
        <v>0.15</v>
      </c>
      <c r="I226" s="75">
        <v>0</v>
      </c>
      <c r="J226" s="74">
        <f t="shared" si="48"/>
        <v>0.15</v>
      </c>
      <c r="K226" s="83">
        <f t="shared" si="49"/>
        <v>30450</v>
      </c>
      <c r="N226" s="15"/>
      <c r="O226" s="15"/>
      <c r="P226" s="15"/>
      <c r="Q226" s="15"/>
      <c r="R226" s="15"/>
      <c r="S226" s="15"/>
      <c r="T226" s="15"/>
      <c r="U226" s="15"/>
      <c r="V226" s="15"/>
      <c r="W226" s="42"/>
      <c r="Y226" s="2"/>
    </row>
    <row r="227" spans="1:25" s="218" customFormat="1">
      <c r="A227" s="37" t="s">
        <v>47</v>
      </c>
      <c r="B227" s="164" t="s">
        <v>525</v>
      </c>
      <c r="C227" s="164" t="s">
        <v>103</v>
      </c>
      <c r="D227" s="164" t="s">
        <v>118</v>
      </c>
      <c r="E227" s="164"/>
      <c r="F227" s="164"/>
      <c r="G227" s="161"/>
      <c r="H227" s="185"/>
      <c r="I227" s="216">
        <v>0</v>
      </c>
      <c r="J227" s="185">
        <f t="shared" si="48"/>
        <v>0</v>
      </c>
      <c r="K227" s="217">
        <f t="shared" si="49"/>
        <v>0</v>
      </c>
      <c r="N227" s="170"/>
      <c r="O227" s="170"/>
      <c r="P227" s="170"/>
      <c r="Q227" s="170"/>
      <c r="R227" s="170"/>
      <c r="S227" s="170"/>
      <c r="T227" s="170"/>
      <c r="U227" s="170"/>
      <c r="V227" s="170"/>
      <c r="W227" s="42"/>
      <c r="Y227" s="219"/>
    </row>
    <row r="228" spans="1:25" s="218" customFormat="1">
      <c r="A228" s="37" t="s">
        <v>526</v>
      </c>
      <c r="B228" s="164" t="s">
        <v>527</v>
      </c>
      <c r="C228" s="164" t="s">
        <v>103</v>
      </c>
      <c r="D228" s="164" t="s">
        <v>130</v>
      </c>
      <c r="E228" s="164" t="s">
        <v>127</v>
      </c>
      <c r="F228" s="164" t="s">
        <v>15</v>
      </c>
      <c r="G228" s="209">
        <f>S17*O6</f>
        <v>15600</v>
      </c>
      <c r="H228" s="185">
        <v>7.5</v>
      </c>
      <c r="I228" s="216">
        <v>0</v>
      </c>
      <c r="J228" s="185">
        <f t="shared" si="48"/>
        <v>7.5</v>
      </c>
      <c r="K228" s="217">
        <f t="shared" si="49"/>
        <v>117000</v>
      </c>
      <c r="N228" s="170"/>
      <c r="O228" s="170"/>
      <c r="P228" s="170"/>
      <c r="Q228" s="170"/>
      <c r="R228" s="170"/>
      <c r="S228" s="170"/>
      <c r="T228" s="170"/>
      <c r="U228" s="170"/>
      <c r="V228" s="170"/>
      <c r="W228" s="42"/>
      <c r="Y228" s="219"/>
    </row>
    <row r="229" spans="1:25">
      <c r="A229" s="37" t="s">
        <v>528</v>
      </c>
      <c r="B229" s="72" t="s">
        <v>529</v>
      </c>
      <c r="C229" s="72" t="s">
        <v>103</v>
      </c>
      <c r="D229" s="72" t="s">
        <v>109</v>
      </c>
      <c r="E229" s="72" t="s">
        <v>461</v>
      </c>
      <c r="F229" s="72" t="s">
        <v>121</v>
      </c>
      <c r="G229" s="161">
        <v>1</v>
      </c>
      <c r="H229" s="212">
        <v>85168</v>
      </c>
      <c r="I229" s="75">
        <v>0</v>
      </c>
      <c r="J229" s="74">
        <f t="shared" si="48"/>
        <v>85168</v>
      </c>
      <c r="K229" s="83">
        <f t="shared" si="49"/>
        <v>85168</v>
      </c>
      <c r="N229" s="213" t="s">
        <v>503</v>
      </c>
      <c r="O229" s="15"/>
      <c r="P229" s="15"/>
      <c r="Q229" s="15"/>
      <c r="R229" s="15"/>
      <c r="S229" s="15"/>
      <c r="T229" s="15"/>
      <c r="U229" s="15"/>
      <c r="V229" s="15"/>
      <c r="W229" s="42"/>
      <c r="Y229" s="2"/>
    </row>
    <row r="230" spans="1:25">
      <c r="A230" s="37" t="s">
        <v>530</v>
      </c>
      <c r="B230" s="72" t="s">
        <v>531</v>
      </c>
      <c r="C230" s="72" t="s">
        <v>103</v>
      </c>
      <c r="D230" s="72" t="s">
        <v>109</v>
      </c>
      <c r="E230" s="72" t="s">
        <v>461</v>
      </c>
      <c r="F230" s="72" t="s">
        <v>121</v>
      </c>
      <c r="G230" s="161">
        <v>1</v>
      </c>
      <c r="H230" s="212">
        <v>67440</v>
      </c>
      <c r="I230" s="75">
        <v>0</v>
      </c>
      <c r="J230" s="74">
        <f t="shared" si="48"/>
        <v>67440</v>
      </c>
      <c r="K230" s="83">
        <f t="shared" si="49"/>
        <v>67440</v>
      </c>
      <c r="N230" s="213" t="s">
        <v>503</v>
      </c>
      <c r="O230" s="15"/>
      <c r="P230" s="15"/>
      <c r="Q230" s="15"/>
      <c r="R230" s="15"/>
      <c r="S230" s="15"/>
      <c r="T230" s="15"/>
      <c r="U230" s="15"/>
      <c r="V230" s="15"/>
      <c r="W230" s="42"/>
      <c r="Y230" s="2"/>
    </row>
    <row r="231" spans="1:25">
      <c r="A231" s="37" t="s">
        <v>532</v>
      </c>
      <c r="B231" s="72" t="s">
        <v>533</v>
      </c>
      <c r="C231" s="72" t="s">
        <v>103</v>
      </c>
      <c r="D231" s="72" t="s">
        <v>109</v>
      </c>
      <c r="E231" s="72" t="s">
        <v>461</v>
      </c>
      <c r="F231" s="72" t="s">
        <v>121</v>
      </c>
      <c r="G231" s="161">
        <v>1</v>
      </c>
      <c r="H231" s="212">
        <v>215140</v>
      </c>
      <c r="I231" s="75">
        <v>0</v>
      </c>
      <c r="J231" s="74">
        <f t="shared" si="48"/>
        <v>215140</v>
      </c>
      <c r="K231" s="83">
        <f t="shared" si="49"/>
        <v>215140</v>
      </c>
      <c r="N231" s="213" t="s">
        <v>503</v>
      </c>
      <c r="O231" s="15"/>
      <c r="P231" s="15"/>
      <c r="Q231" s="15"/>
      <c r="R231" s="15"/>
      <c r="S231" s="15"/>
      <c r="T231" s="15"/>
      <c r="U231" s="15"/>
      <c r="V231" s="15"/>
      <c r="W231" s="42"/>
      <c r="Y231" s="2"/>
    </row>
    <row r="232" spans="1:25">
      <c r="A232" s="37" t="s">
        <v>534</v>
      </c>
      <c r="B232" s="72" t="s">
        <v>535</v>
      </c>
      <c r="C232" s="72" t="s">
        <v>103</v>
      </c>
      <c r="D232" s="72" t="s">
        <v>126</v>
      </c>
      <c r="E232" s="72" t="s">
        <v>118</v>
      </c>
      <c r="F232" s="72"/>
      <c r="G232" s="73"/>
      <c r="H232" s="74"/>
      <c r="I232" s="75">
        <v>0</v>
      </c>
      <c r="J232" s="74">
        <f t="shared" si="48"/>
        <v>0</v>
      </c>
      <c r="K232" s="83">
        <f t="shared" si="49"/>
        <v>0</v>
      </c>
      <c r="N232" s="163"/>
      <c r="O232" s="15"/>
      <c r="P232" s="15"/>
      <c r="Q232" s="15"/>
      <c r="R232" s="15"/>
      <c r="S232" s="15"/>
      <c r="T232" s="15"/>
      <c r="U232" s="15"/>
      <c r="V232" s="15"/>
      <c r="W232" s="42"/>
      <c r="Y232" s="2"/>
    </row>
    <row r="233" spans="1:25">
      <c r="A233" s="37" t="s">
        <v>536</v>
      </c>
      <c r="B233" s="72" t="s">
        <v>537</v>
      </c>
      <c r="C233" s="72" t="s">
        <v>103</v>
      </c>
      <c r="D233" s="72" t="s">
        <v>130</v>
      </c>
      <c r="E233" s="72" t="s">
        <v>127</v>
      </c>
      <c r="F233" s="72" t="s">
        <v>121</v>
      </c>
      <c r="G233" s="73">
        <f>$O$6</f>
        <v>2</v>
      </c>
      <c r="H233" s="74">
        <v>9660</v>
      </c>
      <c r="I233" s="75">
        <v>0</v>
      </c>
      <c r="J233" s="74">
        <f t="shared" si="48"/>
        <v>9660</v>
      </c>
      <c r="K233" s="83">
        <f t="shared" si="49"/>
        <v>19320</v>
      </c>
      <c r="N233" s="15"/>
      <c r="O233" s="15"/>
      <c r="P233" s="15"/>
      <c r="Q233" s="15"/>
      <c r="R233" s="15"/>
      <c r="S233" s="15"/>
      <c r="T233" s="15"/>
      <c r="U233" s="15"/>
      <c r="V233" s="15"/>
      <c r="W233" s="42"/>
      <c r="Y233" s="2"/>
    </row>
    <row r="234" spans="1:25">
      <c r="A234" s="37" t="s">
        <v>538</v>
      </c>
      <c r="B234" s="72" t="s">
        <v>539</v>
      </c>
      <c r="C234" s="72" t="s">
        <v>103</v>
      </c>
      <c r="D234" s="72" t="s">
        <v>109</v>
      </c>
      <c r="E234" s="72" t="s">
        <v>127</v>
      </c>
      <c r="F234" s="72" t="s">
        <v>464</v>
      </c>
      <c r="G234" s="86">
        <f>$B$9</f>
        <v>11.7</v>
      </c>
      <c r="H234" s="74">
        <v>2476</v>
      </c>
      <c r="I234" s="75">
        <v>0</v>
      </c>
      <c r="J234" s="74">
        <f t="shared" si="48"/>
        <v>2476</v>
      </c>
      <c r="K234" s="83">
        <f t="shared" si="49"/>
        <v>28969.199999999997</v>
      </c>
      <c r="N234" s="15"/>
      <c r="O234" s="15"/>
      <c r="P234" s="15"/>
      <c r="Q234" s="15"/>
      <c r="R234" s="15"/>
      <c r="S234" s="15"/>
      <c r="T234" s="15"/>
      <c r="U234" s="15"/>
      <c r="V234" s="15"/>
      <c r="W234" s="42"/>
      <c r="Y234" s="2"/>
    </row>
    <row r="235" spans="1:25">
      <c r="A235" s="37" t="s">
        <v>540</v>
      </c>
      <c r="B235" s="72" t="s">
        <v>541</v>
      </c>
      <c r="C235" s="72" t="s">
        <v>103</v>
      </c>
      <c r="D235" s="72" t="s">
        <v>109</v>
      </c>
      <c r="E235" s="72" t="s">
        <v>461</v>
      </c>
      <c r="F235" s="72" t="s">
        <v>121</v>
      </c>
      <c r="G235" s="161">
        <v>1</v>
      </c>
      <c r="H235" s="212">
        <v>162550</v>
      </c>
      <c r="I235" s="75">
        <v>0</v>
      </c>
      <c r="J235" s="74">
        <f t="shared" si="48"/>
        <v>162550</v>
      </c>
      <c r="K235" s="83">
        <f t="shared" si="49"/>
        <v>162550</v>
      </c>
      <c r="N235" s="213" t="s">
        <v>542</v>
      </c>
      <c r="O235" s="15"/>
      <c r="P235" s="15"/>
      <c r="Q235" s="15"/>
      <c r="R235" s="15"/>
      <c r="S235" s="15"/>
      <c r="T235" s="15"/>
      <c r="U235" s="15"/>
      <c r="V235" s="15"/>
      <c r="W235" s="42"/>
      <c r="Y235" s="2"/>
    </row>
    <row r="236" spans="1:25">
      <c r="A236" s="37" t="s">
        <v>543</v>
      </c>
      <c r="B236" s="72" t="s">
        <v>544</v>
      </c>
      <c r="C236" s="72" t="s">
        <v>103</v>
      </c>
      <c r="D236" s="72" t="s">
        <v>126</v>
      </c>
      <c r="E236" s="72" t="s">
        <v>461</v>
      </c>
      <c r="F236" s="72" t="s">
        <v>32</v>
      </c>
      <c r="G236" s="73">
        <f>$O$4</f>
        <v>10</v>
      </c>
      <c r="H236" s="74">
        <v>2485</v>
      </c>
      <c r="I236" s="75">
        <v>0</v>
      </c>
      <c r="J236" s="74">
        <f t="shared" si="48"/>
        <v>2485</v>
      </c>
      <c r="K236" s="83">
        <f t="shared" si="49"/>
        <v>24850</v>
      </c>
      <c r="N236" s="15"/>
      <c r="O236" s="15"/>
      <c r="P236" s="15"/>
      <c r="Q236" s="15"/>
      <c r="R236" s="15"/>
      <c r="S236" s="15"/>
      <c r="T236" s="15"/>
      <c r="U236" s="15"/>
      <c r="V236" s="15"/>
      <c r="W236" s="42"/>
      <c r="Y236" s="2"/>
    </row>
    <row r="237" spans="1:25">
      <c r="A237" s="37" t="s">
        <v>545</v>
      </c>
      <c r="B237" s="72" t="s">
        <v>546</v>
      </c>
      <c r="C237" s="72" t="s">
        <v>281</v>
      </c>
      <c r="D237" s="72" t="s">
        <v>126</v>
      </c>
      <c r="E237" s="72" t="s">
        <v>110</v>
      </c>
      <c r="F237" s="72" t="s">
        <v>121</v>
      </c>
      <c r="G237" s="161">
        <v>1</v>
      </c>
      <c r="H237" s="74">
        <v>15000</v>
      </c>
      <c r="I237" s="75">
        <v>0</v>
      </c>
      <c r="J237" s="74">
        <f t="shared" si="48"/>
        <v>15000</v>
      </c>
      <c r="K237" s="83">
        <f t="shared" si="49"/>
        <v>15000</v>
      </c>
      <c r="N237" s="163"/>
      <c r="O237" s="15"/>
      <c r="P237" s="15"/>
      <c r="Q237" s="15"/>
      <c r="R237" s="15"/>
      <c r="S237" s="15"/>
      <c r="T237" s="15"/>
      <c r="U237" s="15"/>
      <c r="V237" s="15"/>
      <c r="W237" s="42"/>
      <c r="Y237" s="2"/>
    </row>
    <row r="238" spans="1:25">
      <c r="A238" s="37" t="s">
        <v>547</v>
      </c>
      <c r="B238" s="72" t="s">
        <v>548</v>
      </c>
      <c r="C238" s="72" t="s">
        <v>103</v>
      </c>
      <c r="D238" s="72" t="s">
        <v>109</v>
      </c>
      <c r="E238" s="72" t="s">
        <v>116</v>
      </c>
      <c r="F238" s="72" t="s">
        <v>549</v>
      </c>
      <c r="G238" s="161">
        <f>S13*2</f>
        <v>510</v>
      </c>
      <c r="H238" s="74">
        <v>70</v>
      </c>
      <c r="I238" s="75">
        <v>0</v>
      </c>
      <c r="J238" s="74">
        <f t="shared" si="48"/>
        <v>70</v>
      </c>
      <c r="K238" s="83">
        <f t="shared" si="49"/>
        <v>35700</v>
      </c>
      <c r="N238" s="15" t="s">
        <v>550</v>
      </c>
      <c r="O238" s="15"/>
      <c r="P238" s="15"/>
      <c r="Q238" s="15"/>
      <c r="R238" s="15"/>
      <c r="S238" s="15"/>
      <c r="T238" s="15"/>
      <c r="U238" s="15"/>
      <c r="V238" s="15"/>
      <c r="W238" s="42"/>
      <c r="Y238" s="2"/>
    </row>
    <row r="239" spans="1:25">
      <c r="A239" s="37" t="s">
        <v>70</v>
      </c>
      <c r="B239" s="72" t="s">
        <v>551</v>
      </c>
      <c r="C239" s="72" t="s">
        <v>103</v>
      </c>
      <c r="D239" s="72" t="s">
        <v>130</v>
      </c>
      <c r="E239" s="72" t="s">
        <v>461</v>
      </c>
      <c r="F239" s="72" t="s">
        <v>549</v>
      </c>
      <c r="G239" s="161">
        <f>O6*S12</f>
        <v>508</v>
      </c>
      <c r="H239" s="74">
        <v>75</v>
      </c>
      <c r="I239" s="75">
        <v>0</v>
      </c>
      <c r="J239" s="74">
        <f t="shared" si="48"/>
        <v>75</v>
      </c>
      <c r="K239" s="83">
        <f t="shared" si="49"/>
        <v>38100</v>
      </c>
      <c r="N239" s="15" t="s">
        <v>552</v>
      </c>
      <c r="O239" s="15"/>
      <c r="P239" s="15"/>
      <c r="Q239" s="15"/>
      <c r="R239" s="15"/>
      <c r="S239" s="15"/>
      <c r="T239" s="15"/>
      <c r="U239" s="15"/>
      <c r="V239" s="15"/>
      <c r="W239" s="42"/>
      <c r="Y239" s="2"/>
    </row>
    <row r="240" spans="1:25">
      <c r="A240" s="37" t="s">
        <v>553</v>
      </c>
      <c r="B240" s="72" t="s">
        <v>551</v>
      </c>
      <c r="C240" s="72" t="s">
        <v>103</v>
      </c>
      <c r="D240" s="72" t="s">
        <v>130</v>
      </c>
      <c r="E240" s="72" t="s">
        <v>461</v>
      </c>
      <c r="F240" s="72" t="s">
        <v>32</v>
      </c>
      <c r="G240" s="161">
        <f>2*2</f>
        <v>4</v>
      </c>
      <c r="H240" s="74">
        <v>1950</v>
      </c>
      <c r="I240" s="75">
        <v>0</v>
      </c>
      <c r="J240" s="74">
        <f t="shared" si="48"/>
        <v>1950</v>
      </c>
      <c r="K240" s="83">
        <f t="shared" si="49"/>
        <v>7800</v>
      </c>
      <c r="N240" s="15" t="s">
        <v>552</v>
      </c>
      <c r="O240" s="15"/>
      <c r="P240" s="15"/>
      <c r="Q240" s="15"/>
      <c r="R240" s="15"/>
      <c r="S240" s="15"/>
      <c r="T240" s="15"/>
      <c r="U240" s="15"/>
      <c r="V240" s="15"/>
      <c r="W240" s="42"/>
      <c r="Y240" s="2"/>
    </row>
    <row r="241" spans="1:25">
      <c r="A241" s="37" t="s">
        <v>554</v>
      </c>
      <c r="B241" s="72" t="s">
        <v>555</v>
      </c>
      <c r="C241" s="72" t="s">
        <v>103</v>
      </c>
      <c r="D241" s="72" t="s">
        <v>109</v>
      </c>
      <c r="E241" s="72" t="s">
        <v>118</v>
      </c>
      <c r="F241" s="72"/>
      <c r="G241" s="73"/>
      <c r="H241" s="74">
        <v>96000</v>
      </c>
      <c r="I241" s="75">
        <v>0</v>
      </c>
      <c r="J241" s="74">
        <f t="shared" si="48"/>
        <v>96000</v>
      </c>
      <c r="K241" s="83">
        <f t="shared" si="49"/>
        <v>0</v>
      </c>
      <c r="N241" s="15"/>
      <c r="O241" s="15"/>
      <c r="P241" s="15"/>
      <c r="Q241" s="15"/>
      <c r="R241" s="15"/>
      <c r="S241" s="15"/>
      <c r="T241" s="15"/>
      <c r="U241" s="15"/>
      <c r="V241" s="15"/>
      <c r="W241" s="42"/>
      <c r="Y241" s="2"/>
    </row>
    <row r="242" spans="1:25">
      <c r="A242" s="37" t="s">
        <v>556</v>
      </c>
      <c r="B242" s="72" t="s">
        <v>557</v>
      </c>
      <c r="C242" s="72" t="s">
        <v>103</v>
      </c>
      <c r="D242" s="72" t="s">
        <v>109</v>
      </c>
      <c r="E242" s="72" t="s">
        <v>118</v>
      </c>
      <c r="F242" s="72"/>
      <c r="G242" s="73"/>
      <c r="H242" s="74">
        <v>3555</v>
      </c>
      <c r="I242" s="75">
        <v>0</v>
      </c>
      <c r="J242" s="74">
        <f t="shared" si="48"/>
        <v>3555</v>
      </c>
      <c r="K242" s="83">
        <f t="shared" si="49"/>
        <v>0</v>
      </c>
      <c r="N242" s="15"/>
      <c r="O242" s="15"/>
      <c r="P242" s="15"/>
      <c r="Q242" s="15"/>
      <c r="R242" s="15"/>
      <c r="S242" s="15"/>
      <c r="T242" s="15"/>
      <c r="U242" s="15"/>
      <c r="V242" s="15"/>
      <c r="W242" s="42"/>
      <c r="Y242" s="2"/>
    </row>
    <row r="243" spans="1:25">
      <c r="A243" s="37" t="s">
        <v>558</v>
      </c>
      <c r="B243" s="72" t="s">
        <v>559</v>
      </c>
      <c r="C243" s="72" t="s">
        <v>103</v>
      </c>
      <c r="D243" s="72" t="s">
        <v>109</v>
      </c>
      <c r="E243" s="72" t="s">
        <v>118</v>
      </c>
      <c r="F243" s="72"/>
      <c r="G243" s="73"/>
      <c r="H243" s="74">
        <v>44</v>
      </c>
      <c r="I243" s="75">
        <v>0</v>
      </c>
      <c r="J243" s="74">
        <f t="shared" si="48"/>
        <v>44</v>
      </c>
      <c r="K243" s="83">
        <f t="shared" si="49"/>
        <v>0</v>
      </c>
      <c r="N243" s="15"/>
      <c r="O243" s="15"/>
      <c r="P243" s="15"/>
      <c r="Q243" s="15"/>
      <c r="R243" s="15"/>
      <c r="S243" s="15"/>
      <c r="T243" s="15"/>
      <c r="U243" s="15"/>
      <c r="V243" s="15"/>
      <c r="W243" s="42"/>
      <c r="Y243" s="2"/>
    </row>
    <row r="244" spans="1:25">
      <c r="A244" s="37" t="s">
        <v>560</v>
      </c>
      <c r="B244" s="72" t="s">
        <v>561</v>
      </c>
      <c r="C244" s="72" t="s">
        <v>103</v>
      </c>
      <c r="D244" s="72" t="s">
        <v>109</v>
      </c>
      <c r="E244" s="72" t="s">
        <v>118</v>
      </c>
      <c r="F244" s="72"/>
      <c r="G244" s="161"/>
      <c r="H244" s="74">
        <v>1950</v>
      </c>
      <c r="I244" s="75">
        <v>0</v>
      </c>
      <c r="J244" s="74">
        <f t="shared" si="48"/>
        <v>1950</v>
      </c>
      <c r="K244" s="83">
        <f t="shared" si="49"/>
        <v>0</v>
      </c>
      <c r="N244" s="15"/>
      <c r="O244" s="15"/>
      <c r="P244" s="15"/>
      <c r="Q244" s="15"/>
      <c r="R244" s="15"/>
      <c r="S244" s="15"/>
      <c r="T244" s="15"/>
      <c r="U244" s="15"/>
      <c r="V244" s="15"/>
      <c r="W244" s="42"/>
      <c r="Y244" s="2"/>
    </row>
    <row r="245" spans="1:25">
      <c r="A245" s="37" t="s">
        <v>562</v>
      </c>
      <c r="B245" s="72" t="s">
        <v>563</v>
      </c>
      <c r="C245" s="72" t="s">
        <v>103</v>
      </c>
      <c r="D245" s="72" t="s">
        <v>109</v>
      </c>
      <c r="E245" s="72" t="s">
        <v>127</v>
      </c>
      <c r="F245" s="72" t="s">
        <v>464</v>
      </c>
      <c r="G245" s="86">
        <f>$B$9</f>
        <v>11.7</v>
      </c>
      <c r="H245" s="74">
        <v>2500</v>
      </c>
      <c r="I245" s="75">
        <v>0</v>
      </c>
      <c r="J245" s="74">
        <f t="shared" si="48"/>
        <v>2500</v>
      </c>
      <c r="K245" s="83">
        <f t="shared" si="49"/>
        <v>29250</v>
      </c>
      <c r="N245" s="15"/>
      <c r="O245" s="15"/>
      <c r="P245" s="15"/>
      <c r="Q245" s="15"/>
      <c r="R245" s="15"/>
      <c r="S245" s="15"/>
      <c r="T245" s="15"/>
      <c r="U245" s="15"/>
      <c r="V245" s="15"/>
      <c r="W245" s="42"/>
      <c r="Y245" s="2"/>
    </row>
    <row r="246" spans="1:25">
      <c r="A246" s="37" t="s">
        <v>564</v>
      </c>
      <c r="B246" s="72" t="s">
        <v>565</v>
      </c>
      <c r="C246" s="72" t="s">
        <v>103</v>
      </c>
      <c r="D246" s="72" t="s">
        <v>109</v>
      </c>
      <c r="E246" s="72" t="s">
        <v>461</v>
      </c>
      <c r="F246" s="72" t="s">
        <v>121</v>
      </c>
      <c r="G246" s="161">
        <v>1</v>
      </c>
      <c r="H246" s="212">
        <v>192198</v>
      </c>
      <c r="I246" s="75">
        <v>0</v>
      </c>
      <c r="J246" s="74">
        <f t="shared" si="48"/>
        <v>192198</v>
      </c>
      <c r="K246" s="83">
        <f t="shared" si="49"/>
        <v>192198</v>
      </c>
      <c r="N246" s="213" t="s">
        <v>542</v>
      </c>
      <c r="O246" s="15"/>
      <c r="P246" s="15"/>
      <c r="Q246" s="15"/>
      <c r="R246" s="15"/>
      <c r="S246" s="15"/>
      <c r="T246" s="15"/>
      <c r="U246" s="15"/>
      <c r="V246" s="15"/>
      <c r="W246" s="42"/>
      <c r="Y246" s="2"/>
    </row>
    <row r="247" spans="1:25">
      <c r="A247" s="37" t="s">
        <v>566</v>
      </c>
      <c r="B247" s="72" t="s">
        <v>567</v>
      </c>
      <c r="C247" s="72" t="s">
        <v>103</v>
      </c>
      <c r="D247" s="72" t="s">
        <v>109</v>
      </c>
      <c r="E247" s="72" t="s">
        <v>240</v>
      </c>
      <c r="F247" s="72" t="s">
        <v>121</v>
      </c>
      <c r="G247" s="161">
        <v>1</v>
      </c>
      <c r="H247" s="74">
        <v>0</v>
      </c>
      <c r="I247" s="75">
        <v>0</v>
      </c>
      <c r="J247" s="74">
        <f t="shared" si="48"/>
        <v>0</v>
      </c>
      <c r="K247" s="83">
        <f t="shared" si="49"/>
        <v>0</v>
      </c>
      <c r="N247" s="163"/>
      <c r="O247" s="15"/>
      <c r="P247" s="15"/>
      <c r="Q247" s="15"/>
      <c r="R247" s="15"/>
      <c r="S247" s="15"/>
      <c r="T247" s="15"/>
      <c r="U247" s="15"/>
      <c r="V247" s="15"/>
      <c r="W247" s="42"/>
      <c r="Y247" s="2"/>
    </row>
    <row r="248" spans="1:25">
      <c r="A248" s="37" t="s">
        <v>568</v>
      </c>
      <c r="B248" s="72" t="s">
        <v>569</v>
      </c>
      <c r="C248" s="72" t="s">
        <v>103</v>
      </c>
      <c r="D248" s="72" t="s">
        <v>109</v>
      </c>
      <c r="E248" s="72" t="s">
        <v>110</v>
      </c>
      <c r="F248" s="72" t="s">
        <v>121</v>
      </c>
      <c r="G248" s="161">
        <v>1</v>
      </c>
      <c r="H248" s="212">
        <v>150000</v>
      </c>
      <c r="I248" s="75">
        <v>0</v>
      </c>
      <c r="J248" s="74">
        <f t="shared" si="48"/>
        <v>150000</v>
      </c>
      <c r="K248" s="83">
        <f t="shared" si="49"/>
        <v>150000</v>
      </c>
      <c r="N248" s="213" t="s">
        <v>542</v>
      </c>
      <c r="O248" s="15"/>
      <c r="P248" s="15"/>
      <c r="Q248" s="15"/>
      <c r="R248" s="15"/>
      <c r="S248" s="15"/>
      <c r="T248" s="15"/>
      <c r="U248" s="15"/>
      <c r="V248" s="15"/>
      <c r="W248" s="42"/>
      <c r="Y248" s="2"/>
    </row>
    <row r="249" spans="1:25">
      <c r="A249" s="37" t="s">
        <v>570</v>
      </c>
      <c r="B249" s="72" t="s">
        <v>571</v>
      </c>
      <c r="C249" s="72" t="s">
        <v>281</v>
      </c>
      <c r="D249" s="72" t="s">
        <v>130</v>
      </c>
      <c r="E249" s="72" t="s">
        <v>110</v>
      </c>
      <c r="F249" s="72" t="s">
        <v>121</v>
      </c>
      <c r="G249" s="161">
        <v>2</v>
      </c>
      <c r="H249" s="74">
        <v>11000</v>
      </c>
      <c r="I249" s="75">
        <v>0</v>
      </c>
      <c r="J249" s="74">
        <f t="shared" si="48"/>
        <v>11000</v>
      </c>
      <c r="K249" s="83">
        <f t="shared" si="49"/>
        <v>22000</v>
      </c>
      <c r="N249" s="163"/>
      <c r="O249" s="15"/>
      <c r="P249" s="15"/>
      <c r="Q249" s="15"/>
      <c r="R249" s="15"/>
      <c r="S249" s="15"/>
      <c r="T249" s="15"/>
      <c r="U249" s="15"/>
      <c r="V249" s="15"/>
      <c r="W249" s="42"/>
      <c r="Y249" s="2"/>
    </row>
    <row r="250" spans="1:25">
      <c r="A250" s="37" t="s">
        <v>572</v>
      </c>
      <c r="B250" s="72" t="s">
        <v>573</v>
      </c>
      <c r="C250" s="72" t="s">
        <v>281</v>
      </c>
      <c r="D250" s="72" t="s">
        <v>115</v>
      </c>
      <c r="E250" s="72" t="s">
        <v>110</v>
      </c>
      <c r="F250" s="72" t="s">
        <v>121</v>
      </c>
      <c r="G250" s="161">
        <v>2</v>
      </c>
      <c r="H250" s="74">
        <v>7000</v>
      </c>
      <c r="I250" s="75">
        <v>0</v>
      </c>
      <c r="J250" s="74">
        <f t="shared" si="48"/>
        <v>7000</v>
      </c>
      <c r="K250" s="83">
        <f t="shared" si="49"/>
        <v>14000</v>
      </c>
      <c r="N250" s="163"/>
      <c r="O250" s="15"/>
      <c r="P250" s="15"/>
      <c r="Q250" s="15"/>
      <c r="R250" s="15"/>
      <c r="S250" s="15"/>
      <c r="T250" s="15"/>
      <c r="U250" s="15"/>
      <c r="V250" s="15"/>
      <c r="W250" s="42"/>
      <c r="Y250" s="2"/>
    </row>
    <row r="251" spans="1:25">
      <c r="A251" s="37" t="s">
        <v>53</v>
      </c>
      <c r="B251" s="72" t="s">
        <v>574</v>
      </c>
      <c r="C251" s="72" t="s">
        <v>103</v>
      </c>
      <c r="D251" s="72" t="s">
        <v>109</v>
      </c>
      <c r="E251" s="72" t="s">
        <v>195</v>
      </c>
      <c r="F251" s="72" t="s">
        <v>15</v>
      </c>
      <c r="G251" s="161">
        <f>SUM(S9:S11)</f>
        <v>171100</v>
      </c>
      <c r="H251" s="74">
        <v>21.39</v>
      </c>
      <c r="I251" s="75">
        <v>0</v>
      </c>
      <c r="J251" s="74">
        <f t="shared" si="48"/>
        <v>21.39</v>
      </c>
      <c r="K251" s="83">
        <f t="shared" si="49"/>
        <v>3659829</v>
      </c>
      <c r="N251" s="15"/>
      <c r="O251" s="15"/>
      <c r="P251" s="15"/>
      <c r="Q251" s="15"/>
      <c r="R251" s="15"/>
      <c r="S251" s="15"/>
      <c r="T251" s="15"/>
      <c r="U251" s="15"/>
      <c r="V251" s="15"/>
      <c r="W251" s="42"/>
      <c r="Y251" s="2"/>
    </row>
    <row r="252" spans="1:25">
      <c r="A252" s="37" t="s">
        <v>575</v>
      </c>
      <c r="B252" s="72" t="s">
        <v>574</v>
      </c>
      <c r="C252" s="72" t="s">
        <v>103</v>
      </c>
      <c r="D252" s="72" t="s">
        <v>109</v>
      </c>
      <c r="E252" s="72" t="s">
        <v>118</v>
      </c>
      <c r="F252" s="72"/>
      <c r="G252" s="73"/>
      <c r="H252" s="74"/>
      <c r="I252" s="75">
        <v>0</v>
      </c>
      <c r="J252" s="74">
        <f t="shared" si="48"/>
        <v>0</v>
      </c>
      <c r="K252" s="83">
        <f t="shared" si="49"/>
        <v>0</v>
      </c>
      <c r="N252" s="15"/>
      <c r="O252" s="15"/>
      <c r="P252" s="15"/>
      <c r="Q252" s="15"/>
      <c r="R252" s="15"/>
      <c r="S252" s="15"/>
      <c r="T252" s="15"/>
      <c r="U252" s="15"/>
      <c r="V252" s="15"/>
      <c r="W252" s="42"/>
      <c r="Y252" s="2"/>
    </row>
    <row r="253" spans="1:25">
      <c r="A253" s="37" t="s">
        <v>576</v>
      </c>
      <c r="B253" s="72" t="s">
        <v>577</v>
      </c>
      <c r="C253" s="72" t="s">
        <v>103</v>
      </c>
      <c r="D253" s="72" t="s">
        <v>109</v>
      </c>
      <c r="E253" s="72" t="s">
        <v>118</v>
      </c>
      <c r="F253" s="72"/>
      <c r="G253" s="73"/>
      <c r="H253" s="74"/>
      <c r="I253" s="75">
        <v>0</v>
      </c>
      <c r="J253" s="74">
        <f t="shared" si="48"/>
        <v>0</v>
      </c>
      <c r="K253" s="83">
        <f t="shared" si="49"/>
        <v>0</v>
      </c>
      <c r="N253" s="15"/>
      <c r="O253" s="15"/>
      <c r="P253" s="15"/>
      <c r="Q253" s="15"/>
      <c r="R253" s="15"/>
      <c r="S253" s="15"/>
      <c r="T253" s="15"/>
      <c r="U253" s="15"/>
      <c r="V253" s="15"/>
      <c r="W253" s="42"/>
      <c r="Y253" s="2"/>
    </row>
    <row r="254" spans="1:25">
      <c r="A254" s="37" t="s">
        <v>578</v>
      </c>
      <c r="B254" s="72" t="s">
        <v>521</v>
      </c>
      <c r="C254" s="72" t="s">
        <v>103</v>
      </c>
      <c r="D254" s="72" t="s">
        <v>353</v>
      </c>
      <c r="E254" s="72" t="s">
        <v>461</v>
      </c>
      <c r="F254" s="72" t="s">
        <v>121</v>
      </c>
      <c r="G254" s="161">
        <v>1</v>
      </c>
      <c r="H254" s="212">
        <v>4500</v>
      </c>
      <c r="I254" s="75">
        <v>0</v>
      </c>
      <c r="J254" s="74">
        <f t="shared" si="48"/>
        <v>4500</v>
      </c>
      <c r="K254" s="83">
        <f t="shared" si="49"/>
        <v>4500</v>
      </c>
      <c r="N254" s="213" t="s">
        <v>542</v>
      </c>
      <c r="O254" s="15"/>
      <c r="P254" s="15"/>
      <c r="Q254" s="15"/>
      <c r="R254" s="15"/>
      <c r="S254" s="15"/>
      <c r="T254" s="15"/>
      <c r="U254" s="15"/>
      <c r="V254" s="15"/>
      <c r="W254" s="42"/>
      <c r="Y254" s="2"/>
    </row>
    <row r="255" spans="1:25">
      <c r="A255" s="37" t="s">
        <v>579</v>
      </c>
      <c r="B255" s="72" t="s">
        <v>523</v>
      </c>
      <c r="C255" s="72" t="s">
        <v>103</v>
      </c>
      <c r="D255" s="72" t="s">
        <v>353</v>
      </c>
      <c r="E255" s="72" t="s">
        <v>461</v>
      </c>
      <c r="F255" s="72" t="s">
        <v>121</v>
      </c>
      <c r="G255" s="161">
        <v>1</v>
      </c>
      <c r="H255" s="212">
        <f>23750-4500</f>
        <v>19250</v>
      </c>
      <c r="I255" s="75">
        <v>0</v>
      </c>
      <c r="J255" s="74">
        <f t="shared" si="48"/>
        <v>19250</v>
      </c>
      <c r="K255" s="83">
        <f t="shared" si="49"/>
        <v>19250</v>
      </c>
      <c r="N255" s="213" t="s">
        <v>542</v>
      </c>
      <c r="O255" s="15"/>
      <c r="P255" s="15"/>
      <c r="Q255" s="15"/>
      <c r="R255" s="15"/>
      <c r="S255" s="15"/>
      <c r="T255" s="15"/>
      <c r="U255" s="15"/>
      <c r="V255" s="15"/>
      <c r="W255" s="42"/>
      <c r="Y255" s="2"/>
    </row>
    <row r="256" spans="1:25">
      <c r="A256" s="37" t="s">
        <v>580</v>
      </c>
      <c r="B256" s="72" t="s">
        <v>529</v>
      </c>
      <c r="C256" s="72" t="s">
        <v>103</v>
      </c>
      <c r="D256" s="72" t="s">
        <v>353</v>
      </c>
      <c r="E256" s="72" t="s">
        <v>461</v>
      </c>
      <c r="F256" s="72" t="s">
        <v>121</v>
      </c>
      <c r="G256" s="161">
        <v>1</v>
      </c>
      <c r="H256" s="212">
        <v>920</v>
      </c>
      <c r="I256" s="75">
        <v>0</v>
      </c>
      <c r="J256" s="74">
        <f t="shared" si="48"/>
        <v>920</v>
      </c>
      <c r="K256" s="83">
        <f t="shared" si="49"/>
        <v>920</v>
      </c>
      <c r="N256" s="213" t="s">
        <v>542</v>
      </c>
      <c r="O256" s="15"/>
      <c r="P256" s="15"/>
      <c r="Q256" s="15"/>
      <c r="R256" s="15"/>
      <c r="S256" s="15"/>
      <c r="T256" s="15"/>
      <c r="U256" s="15"/>
      <c r="V256" s="15"/>
      <c r="W256" s="42"/>
      <c r="Y256" s="2"/>
    </row>
    <row r="257" spans="1:25">
      <c r="A257" s="37" t="s">
        <v>581</v>
      </c>
      <c r="B257" s="72" t="s">
        <v>533</v>
      </c>
      <c r="C257" s="72" t="s">
        <v>103</v>
      </c>
      <c r="D257" s="72" t="s">
        <v>353</v>
      </c>
      <c r="E257" s="72" t="s">
        <v>461</v>
      </c>
      <c r="F257" s="72" t="s">
        <v>121</v>
      </c>
      <c r="G257" s="161">
        <v>1</v>
      </c>
      <c r="H257" s="212">
        <v>25544</v>
      </c>
      <c r="I257" s="75">
        <v>0</v>
      </c>
      <c r="J257" s="74">
        <f t="shared" si="48"/>
        <v>25544</v>
      </c>
      <c r="K257" s="83">
        <f t="shared" si="49"/>
        <v>25544</v>
      </c>
      <c r="N257" s="213" t="s">
        <v>542</v>
      </c>
      <c r="O257" s="15"/>
      <c r="P257" s="15"/>
      <c r="Q257" s="15"/>
      <c r="R257" s="15"/>
      <c r="S257" s="15"/>
      <c r="T257" s="15"/>
      <c r="U257" s="15"/>
      <c r="V257" s="15"/>
      <c r="W257" s="42"/>
      <c r="Y257" s="2"/>
    </row>
    <row r="258" spans="1:25">
      <c r="A258" s="33" t="s">
        <v>582</v>
      </c>
      <c r="B258" s="54" t="s">
        <v>583</v>
      </c>
      <c r="C258" s="54"/>
      <c r="D258" s="54"/>
      <c r="E258" s="54"/>
      <c r="F258" s="54"/>
      <c r="G258" s="55"/>
      <c r="H258" s="56"/>
      <c r="I258" s="57"/>
      <c r="J258" s="56"/>
      <c r="K258" s="82"/>
      <c r="L258" s="102">
        <f>SUM(K259:K273)</f>
        <v>2578601.0384615385</v>
      </c>
      <c r="N258" s="15"/>
      <c r="O258" s="15"/>
      <c r="P258" s="15"/>
      <c r="Q258" s="15"/>
      <c r="R258" s="15"/>
      <c r="S258" s="15"/>
      <c r="T258" s="15"/>
      <c r="U258" s="15"/>
      <c r="V258" s="15"/>
      <c r="W258" s="42"/>
      <c r="Y258" s="2"/>
    </row>
    <row r="259" spans="1:25">
      <c r="A259" s="35" t="s">
        <v>584</v>
      </c>
      <c r="B259" s="66" t="s">
        <v>585</v>
      </c>
      <c r="C259" s="66" t="s">
        <v>281</v>
      </c>
      <c r="D259" s="66"/>
      <c r="E259" s="176" t="s">
        <v>375</v>
      </c>
      <c r="F259" s="66" t="s">
        <v>10</v>
      </c>
      <c r="G259" s="67">
        <f>$E$8</f>
        <v>347</v>
      </c>
      <c r="H259" s="68">
        <f>112356/312</f>
        <v>360.11538461538464</v>
      </c>
      <c r="I259" s="69">
        <v>0</v>
      </c>
      <c r="J259" s="70">
        <f t="shared" ref="J259:J273" si="50">H259*(1+I259)</f>
        <v>360.11538461538464</v>
      </c>
      <c r="K259" s="71">
        <f t="shared" ref="K259:K273" si="51">J259*G259</f>
        <v>124960.03846153847</v>
      </c>
      <c r="N259" s="170" t="s">
        <v>586</v>
      </c>
      <c r="O259" s="15"/>
      <c r="P259" s="15"/>
      <c r="Q259" s="15"/>
      <c r="R259" s="15"/>
      <c r="S259" s="15"/>
      <c r="T259" s="15"/>
      <c r="U259" s="15"/>
      <c r="V259" s="15"/>
      <c r="W259" s="42"/>
      <c r="Y259" s="2"/>
    </row>
    <row r="260" spans="1:25">
      <c r="A260" s="37" t="s">
        <v>587</v>
      </c>
      <c r="B260" s="72" t="s">
        <v>588</v>
      </c>
      <c r="C260" s="72" t="s">
        <v>281</v>
      </c>
      <c r="D260" s="72" t="s">
        <v>353</v>
      </c>
      <c r="E260" s="164" t="s">
        <v>118</v>
      </c>
      <c r="F260" s="72"/>
      <c r="G260" s="73"/>
      <c r="H260" s="74"/>
      <c r="I260" s="75">
        <v>0</v>
      </c>
      <c r="J260" s="74">
        <f t="shared" si="50"/>
        <v>0</v>
      </c>
      <c r="K260" s="83">
        <f t="shared" si="51"/>
        <v>0</v>
      </c>
      <c r="N260" s="163"/>
      <c r="O260" s="15"/>
      <c r="P260" s="15"/>
      <c r="Q260" s="15"/>
      <c r="R260" s="15"/>
      <c r="S260" s="15"/>
      <c r="T260" s="15"/>
      <c r="U260" s="15"/>
      <c r="V260" s="15"/>
      <c r="W260" s="42"/>
      <c r="Y260" s="2"/>
    </row>
    <row r="261" spans="1:25">
      <c r="A261" s="169" t="s">
        <v>589</v>
      </c>
      <c r="B261" s="72" t="s">
        <v>588</v>
      </c>
      <c r="C261" s="72" t="s">
        <v>103</v>
      </c>
      <c r="D261" s="72" t="s">
        <v>109</v>
      </c>
      <c r="E261" s="72" t="s">
        <v>461</v>
      </c>
      <c r="F261" s="72" t="s">
        <v>121</v>
      </c>
      <c r="G261" s="161">
        <v>1</v>
      </c>
      <c r="H261" s="212">
        <v>1384327</v>
      </c>
      <c r="I261" s="75">
        <v>0</v>
      </c>
      <c r="J261" s="74">
        <f t="shared" si="50"/>
        <v>1384327</v>
      </c>
      <c r="K261" s="83">
        <f t="shared" si="51"/>
        <v>1384327</v>
      </c>
      <c r="N261" s="213" t="s">
        <v>503</v>
      </c>
      <c r="O261" s="15"/>
      <c r="P261" s="15"/>
      <c r="Q261" s="15"/>
      <c r="R261" s="15"/>
      <c r="S261" s="15"/>
      <c r="T261" s="15"/>
      <c r="U261" s="15"/>
      <c r="V261" s="15"/>
      <c r="W261" s="42"/>
      <c r="Y261" s="2"/>
    </row>
    <row r="262" spans="1:25">
      <c r="A262" s="206" t="s">
        <v>590</v>
      </c>
      <c r="B262" s="72" t="s">
        <v>591</v>
      </c>
      <c r="C262" s="72" t="s">
        <v>103</v>
      </c>
      <c r="D262" s="72" t="s">
        <v>109</v>
      </c>
      <c r="E262" s="72" t="s">
        <v>461</v>
      </c>
      <c r="F262" s="72" t="s">
        <v>121</v>
      </c>
      <c r="G262" s="161">
        <v>1</v>
      </c>
      <c r="H262" s="212">
        <v>446750</v>
      </c>
      <c r="I262" s="75">
        <v>0</v>
      </c>
      <c r="J262" s="74">
        <f t="shared" si="50"/>
        <v>446750</v>
      </c>
      <c r="K262" s="83">
        <f t="shared" si="51"/>
        <v>446750</v>
      </c>
      <c r="N262" s="213" t="s">
        <v>503</v>
      </c>
      <c r="O262" s="15"/>
      <c r="P262" s="15"/>
      <c r="Q262" s="15"/>
      <c r="R262" s="15"/>
      <c r="S262" s="15"/>
      <c r="T262" s="15"/>
      <c r="U262" s="15"/>
      <c r="V262" s="15"/>
      <c r="W262" s="42"/>
      <c r="Y262" s="2"/>
    </row>
    <row r="263" spans="1:25">
      <c r="A263" s="169" t="s">
        <v>592</v>
      </c>
      <c r="B263" s="72" t="s">
        <v>593</v>
      </c>
      <c r="C263" s="72" t="s">
        <v>103</v>
      </c>
      <c r="D263" s="72"/>
      <c r="E263" s="72" t="s">
        <v>118</v>
      </c>
      <c r="F263" s="72"/>
      <c r="G263" s="146"/>
      <c r="H263" s="74"/>
      <c r="I263" s="75">
        <v>0</v>
      </c>
      <c r="J263" s="74">
        <f t="shared" si="50"/>
        <v>0</v>
      </c>
      <c r="K263" s="83">
        <f t="shared" si="51"/>
        <v>0</v>
      </c>
      <c r="N263" s="163"/>
      <c r="O263" s="15"/>
      <c r="P263" s="15"/>
      <c r="Q263" s="15"/>
      <c r="R263" s="15"/>
      <c r="S263" s="15"/>
      <c r="T263" s="15"/>
      <c r="U263" s="15"/>
      <c r="V263" s="15"/>
      <c r="W263" s="42"/>
      <c r="Y263" s="2"/>
    </row>
    <row r="264" spans="1:25">
      <c r="A264" s="37" t="s">
        <v>594</v>
      </c>
      <c r="B264" s="72" t="s">
        <v>595</v>
      </c>
      <c r="C264" s="72" t="s">
        <v>281</v>
      </c>
      <c r="D264" s="72"/>
      <c r="E264" s="72" t="s">
        <v>110</v>
      </c>
      <c r="F264" s="72" t="s">
        <v>121</v>
      </c>
      <c r="G264" s="161">
        <v>1</v>
      </c>
      <c r="H264" s="74">
        <v>5000</v>
      </c>
      <c r="I264" s="75">
        <v>0</v>
      </c>
      <c r="J264" s="74">
        <f t="shared" si="50"/>
        <v>5000</v>
      </c>
      <c r="K264" s="83">
        <f t="shared" si="51"/>
        <v>5000</v>
      </c>
      <c r="N264" s="15"/>
      <c r="O264" s="15"/>
      <c r="P264" s="15"/>
      <c r="Q264" s="15"/>
      <c r="R264" s="15"/>
      <c r="S264" s="15"/>
      <c r="T264" s="15"/>
      <c r="U264" s="15"/>
      <c r="V264" s="15"/>
      <c r="W264" s="42"/>
      <c r="Y264" s="2"/>
    </row>
    <row r="265" spans="1:25">
      <c r="A265" s="37" t="s">
        <v>596</v>
      </c>
      <c r="B265" s="72" t="s">
        <v>597</v>
      </c>
      <c r="C265" s="72" t="s">
        <v>103</v>
      </c>
      <c r="D265" s="72"/>
      <c r="E265" s="72" t="s">
        <v>461</v>
      </c>
      <c r="F265" s="72" t="s">
        <v>121</v>
      </c>
      <c r="G265" s="161">
        <v>1</v>
      </c>
      <c r="H265" s="212">
        <v>200000</v>
      </c>
      <c r="I265" s="75">
        <v>0</v>
      </c>
      <c r="J265" s="74">
        <f t="shared" si="50"/>
        <v>200000</v>
      </c>
      <c r="K265" s="83">
        <f t="shared" si="51"/>
        <v>200000</v>
      </c>
      <c r="N265" s="163"/>
      <c r="O265" s="15"/>
      <c r="P265" s="15"/>
      <c r="Q265" s="15"/>
      <c r="R265" s="15"/>
      <c r="S265" s="15"/>
      <c r="T265" s="15"/>
      <c r="U265" s="15"/>
      <c r="V265" s="15"/>
      <c r="W265" s="42"/>
      <c r="Y265" s="2"/>
    </row>
    <row r="266" spans="1:25">
      <c r="A266" s="37" t="s">
        <v>598</v>
      </c>
      <c r="B266" s="72" t="s">
        <v>599</v>
      </c>
      <c r="C266" s="72" t="s">
        <v>281</v>
      </c>
      <c r="D266" s="72"/>
      <c r="E266" s="72" t="s">
        <v>110</v>
      </c>
      <c r="F266" s="72" t="s">
        <v>121</v>
      </c>
      <c r="G266" s="161">
        <v>1</v>
      </c>
      <c r="H266" s="74">
        <v>10000</v>
      </c>
      <c r="I266" s="75">
        <v>0</v>
      </c>
      <c r="J266" s="74">
        <f t="shared" si="50"/>
        <v>10000</v>
      </c>
      <c r="K266" s="83">
        <f t="shared" si="51"/>
        <v>10000</v>
      </c>
      <c r="N266" s="15"/>
      <c r="O266" s="15"/>
      <c r="P266" s="15"/>
      <c r="Q266" s="15"/>
      <c r="R266" s="15"/>
      <c r="S266" s="15"/>
      <c r="T266" s="15"/>
      <c r="U266" s="15"/>
      <c r="V266" s="15"/>
      <c r="W266" s="42"/>
      <c r="Y266" s="2"/>
    </row>
    <row r="267" spans="1:25">
      <c r="A267" s="37" t="s">
        <v>600</v>
      </c>
      <c r="B267" s="72" t="s">
        <v>601</v>
      </c>
      <c r="C267" s="72" t="s">
        <v>103</v>
      </c>
      <c r="D267" s="72"/>
      <c r="E267" s="72" t="s">
        <v>118</v>
      </c>
      <c r="F267" s="72"/>
      <c r="G267" s="146"/>
      <c r="H267" s="74"/>
      <c r="I267" s="75">
        <v>0</v>
      </c>
      <c r="J267" s="74">
        <f t="shared" si="50"/>
        <v>0</v>
      </c>
      <c r="K267" s="83">
        <f t="shared" si="51"/>
        <v>0</v>
      </c>
      <c r="N267" s="15"/>
      <c r="O267" s="15"/>
      <c r="P267" s="15"/>
      <c r="Q267" s="15"/>
      <c r="R267" s="15"/>
      <c r="S267" s="15"/>
      <c r="T267" s="15"/>
      <c r="U267" s="15"/>
      <c r="V267" s="15"/>
      <c r="W267" s="42"/>
      <c r="Y267" s="2"/>
    </row>
    <row r="268" spans="1:25">
      <c r="A268" s="37" t="s">
        <v>602</v>
      </c>
      <c r="B268" s="72" t="s">
        <v>603</v>
      </c>
      <c r="C268" s="72" t="s">
        <v>103</v>
      </c>
      <c r="D268" s="72"/>
      <c r="E268" s="72" t="s">
        <v>118</v>
      </c>
      <c r="F268" s="72"/>
      <c r="G268" s="146"/>
      <c r="H268" s="74"/>
      <c r="I268" s="75">
        <v>0</v>
      </c>
      <c r="J268" s="74">
        <f t="shared" si="50"/>
        <v>0</v>
      </c>
      <c r="K268" s="83">
        <f t="shared" si="51"/>
        <v>0</v>
      </c>
      <c r="N268" s="15"/>
      <c r="O268" s="15"/>
      <c r="P268" s="15"/>
      <c r="Q268" s="15"/>
      <c r="R268" s="15"/>
      <c r="S268" s="15"/>
      <c r="T268" s="15"/>
      <c r="U268" s="15"/>
      <c r="V268" s="15"/>
      <c r="W268" s="42"/>
      <c r="Y268" s="2"/>
    </row>
    <row r="269" spans="1:25">
      <c r="A269" s="37" t="s">
        <v>604</v>
      </c>
      <c r="B269" s="72" t="s">
        <v>605</v>
      </c>
      <c r="C269" s="72" t="s">
        <v>103</v>
      </c>
      <c r="D269" s="72"/>
      <c r="E269" s="72" t="s">
        <v>118</v>
      </c>
      <c r="F269" s="72"/>
      <c r="G269" s="146"/>
      <c r="H269" s="74"/>
      <c r="I269" s="75">
        <v>0</v>
      </c>
      <c r="J269" s="74">
        <f t="shared" si="50"/>
        <v>0</v>
      </c>
      <c r="K269" s="83">
        <f t="shared" si="51"/>
        <v>0</v>
      </c>
      <c r="N269" s="15"/>
      <c r="O269" s="15"/>
      <c r="P269" s="15"/>
      <c r="Q269" s="15"/>
      <c r="R269" s="15"/>
      <c r="S269" s="15"/>
      <c r="T269" s="15"/>
      <c r="U269" s="15"/>
      <c r="V269" s="15"/>
      <c r="W269" s="42"/>
      <c r="Y269" s="2"/>
    </row>
    <row r="270" spans="1:25">
      <c r="A270" s="37" t="s">
        <v>606</v>
      </c>
      <c r="B270" s="72" t="s">
        <v>588</v>
      </c>
      <c r="C270" s="72" t="s">
        <v>103</v>
      </c>
      <c r="D270" s="72" t="s">
        <v>353</v>
      </c>
      <c r="E270" s="72"/>
      <c r="F270" s="72" t="s">
        <v>121</v>
      </c>
      <c r="G270" s="161">
        <v>1</v>
      </c>
      <c r="H270" s="212">
        <v>349900</v>
      </c>
      <c r="I270" s="75">
        <v>0</v>
      </c>
      <c r="J270" s="74">
        <f t="shared" si="50"/>
        <v>349900</v>
      </c>
      <c r="K270" s="83">
        <f t="shared" si="51"/>
        <v>349900</v>
      </c>
      <c r="N270" s="213" t="s">
        <v>503</v>
      </c>
      <c r="O270" s="15"/>
      <c r="P270" s="15"/>
      <c r="Q270" s="15"/>
      <c r="R270" s="15"/>
      <c r="S270" s="15"/>
      <c r="T270" s="15"/>
      <c r="U270" s="15"/>
      <c r="V270" s="15"/>
      <c r="W270" s="42"/>
      <c r="Y270" s="2"/>
    </row>
    <row r="271" spans="1:25">
      <c r="A271" s="37" t="s">
        <v>607</v>
      </c>
      <c r="B271" s="72" t="s">
        <v>591</v>
      </c>
      <c r="C271" s="72" t="s">
        <v>103</v>
      </c>
      <c r="D271" s="72" t="s">
        <v>353</v>
      </c>
      <c r="E271" s="72"/>
      <c r="F271" s="72" t="s">
        <v>121</v>
      </c>
      <c r="G271" s="161">
        <v>1</v>
      </c>
      <c r="H271" s="212">
        <v>57664</v>
      </c>
      <c r="I271" s="75">
        <v>0</v>
      </c>
      <c r="J271" s="74">
        <f t="shared" si="50"/>
        <v>57664</v>
      </c>
      <c r="K271" s="83">
        <f t="shared" si="51"/>
        <v>57664</v>
      </c>
      <c r="N271" s="213" t="s">
        <v>503</v>
      </c>
      <c r="O271" s="15"/>
      <c r="P271" s="15"/>
      <c r="Q271" s="15"/>
      <c r="R271" s="15"/>
      <c r="S271" s="15"/>
      <c r="T271" s="15"/>
      <c r="U271" s="15"/>
      <c r="V271" s="15"/>
      <c r="W271" s="42"/>
      <c r="Y271" s="2"/>
    </row>
    <row r="272" spans="1:25">
      <c r="A272" s="37" t="s">
        <v>592</v>
      </c>
      <c r="B272" s="72" t="s">
        <v>593</v>
      </c>
      <c r="C272" s="72" t="s">
        <v>103</v>
      </c>
      <c r="D272" s="72" t="s">
        <v>353</v>
      </c>
      <c r="E272" s="72" t="s">
        <v>118</v>
      </c>
      <c r="F272" s="72"/>
      <c r="G272" s="146"/>
      <c r="H272" s="74"/>
      <c r="I272" s="216">
        <v>0</v>
      </c>
      <c r="J272" s="185">
        <f t="shared" ref="J272" si="52">H272*(1+I272)</f>
        <v>0</v>
      </c>
      <c r="K272" s="217">
        <f t="shared" ref="K272" si="53">J272*G272</f>
        <v>0</v>
      </c>
      <c r="N272" s="163"/>
      <c r="O272" s="15"/>
      <c r="P272" s="15"/>
      <c r="Q272" s="15"/>
      <c r="R272" s="15"/>
      <c r="S272" s="15"/>
      <c r="T272" s="15"/>
      <c r="U272" s="15"/>
      <c r="V272" s="15"/>
      <c r="W272" s="42"/>
      <c r="Y272" s="2"/>
    </row>
    <row r="273" spans="1:25" s="218" customFormat="1">
      <c r="A273" s="37" t="s">
        <v>608</v>
      </c>
      <c r="B273" s="164" t="s">
        <v>597</v>
      </c>
      <c r="C273" s="164" t="s">
        <v>103</v>
      </c>
      <c r="D273" s="164" t="s">
        <v>353</v>
      </c>
      <c r="E273" s="164" t="s">
        <v>118</v>
      </c>
      <c r="F273" s="164"/>
      <c r="G273" s="161"/>
      <c r="H273" s="185"/>
      <c r="I273" s="216">
        <v>0</v>
      </c>
      <c r="J273" s="185">
        <f t="shared" si="50"/>
        <v>0</v>
      </c>
      <c r="K273" s="217">
        <f t="shared" si="51"/>
        <v>0</v>
      </c>
      <c r="N273" s="170"/>
      <c r="O273" s="170"/>
      <c r="P273" s="170"/>
      <c r="Q273" s="170"/>
      <c r="R273" s="170"/>
      <c r="S273" s="170"/>
      <c r="T273" s="170"/>
      <c r="U273" s="170"/>
      <c r="V273" s="170"/>
      <c r="W273" s="42"/>
      <c r="Y273" s="219"/>
    </row>
    <row r="274" spans="1:25">
      <c r="A274" s="33" t="s">
        <v>609</v>
      </c>
      <c r="B274" s="54" t="s">
        <v>610</v>
      </c>
      <c r="C274" s="54"/>
      <c r="D274" s="54"/>
      <c r="E274" s="54"/>
      <c r="F274" s="54"/>
      <c r="G274" s="147"/>
      <c r="H274" s="56"/>
      <c r="I274" s="57"/>
      <c r="J274" s="56"/>
      <c r="K274" s="82"/>
      <c r="L274" s="102">
        <f>SUM(K275)</f>
        <v>7500</v>
      </c>
      <c r="N274" s="15"/>
      <c r="O274" s="15"/>
      <c r="P274" s="15"/>
      <c r="Q274" s="15"/>
      <c r="R274" s="15"/>
      <c r="S274" s="15"/>
      <c r="T274" s="15"/>
      <c r="U274" s="15"/>
      <c r="V274" s="15"/>
      <c r="W274" s="42"/>
      <c r="Y274" s="2"/>
    </row>
    <row r="275" spans="1:25">
      <c r="A275" s="34" t="s">
        <v>611</v>
      </c>
      <c r="B275" s="60" t="s">
        <v>612</v>
      </c>
      <c r="C275" s="60" t="s">
        <v>281</v>
      </c>
      <c r="D275" s="60" t="s">
        <v>353</v>
      </c>
      <c r="E275" s="60" t="s">
        <v>110</v>
      </c>
      <c r="F275" s="60" t="s">
        <v>121</v>
      </c>
      <c r="G275" s="168">
        <v>1</v>
      </c>
      <c r="H275" s="62">
        <v>7500</v>
      </c>
      <c r="I275" s="63">
        <v>0</v>
      </c>
      <c r="J275" s="64">
        <f t="shared" ref="J275" si="54">H275*(1+I275)</f>
        <v>7500</v>
      </c>
      <c r="K275" s="65">
        <f t="shared" ref="K275" si="55">J275*G275</f>
        <v>7500</v>
      </c>
      <c r="N275" s="15"/>
      <c r="O275" s="15"/>
      <c r="P275" s="15"/>
      <c r="Q275" s="15"/>
      <c r="R275" s="15"/>
      <c r="S275" s="15"/>
      <c r="T275" s="15"/>
      <c r="U275" s="15"/>
      <c r="V275" s="15"/>
      <c r="W275" s="42"/>
      <c r="Y275" s="2"/>
    </row>
    <row r="276" spans="1:25">
      <c r="A276" s="33" t="s">
        <v>613</v>
      </c>
      <c r="B276" s="54" t="s">
        <v>614</v>
      </c>
      <c r="C276" s="54"/>
      <c r="D276" s="54"/>
      <c r="E276" s="54"/>
      <c r="F276" s="54"/>
      <c r="G276" s="55"/>
      <c r="H276" s="56"/>
      <c r="I276" s="57"/>
      <c r="J276" s="56"/>
      <c r="K276" s="82"/>
      <c r="L276" s="102">
        <f>SUM(K277:K279)</f>
        <v>335539.30769230769</v>
      </c>
      <c r="N276" s="15"/>
      <c r="O276" s="15"/>
      <c r="P276" s="15"/>
      <c r="Q276" s="15"/>
      <c r="R276" s="15"/>
      <c r="S276" s="15"/>
      <c r="T276" s="15"/>
      <c r="U276" s="15"/>
      <c r="V276" s="15"/>
      <c r="W276" s="42"/>
      <c r="Y276" s="2"/>
    </row>
    <row r="277" spans="1:25">
      <c r="A277" s="35" t="s">
        <v>615</v>
      </c>
      <c r="B277" s="66" t="s">
        <v>616</v>
      </c>
      <c r="C277" s="66" t="s">
        <v>103</v>
      </c>
      <c r="D277" s="66"/>
      <c r="E277" s="66" t="s">
        <v>266</v>
      </c>
      <c r="F277" s="66" t="s">
        <v>10</v>
      </c>
      <c r="G277" s="67">
        <f>$E$8</f>
        <v>347</v>
      </c>
      <c r="H277" s="68">
        <v>906.92307692307691</v>
      </c>
      <c r="I277" s="69">
        <v>0</v>
      </c>
      <c r="J277" s="70">
        <f t="shared" ref="J277:J279" si="56">H277*(1+I277)</f>
        <v>906.92307692307691</v>
      </c>
      <c r="K277" s="71">
        <f t="shared" ref="K277:K279" si="57">J277*G277</f>
        <v>314702.30769230769</v>
      </c>
      <c r="N277" s="15"/>
      <c r="O277" s="15"/>
      <c r="P277" s="15"/>
      <c r="Q277" s="15"/>
      <c r="R277" s="15"/>
      <c r="S277" s="15"/>
      <c r="T277" s="15"/>
      <c r="U277" s="15"/>
      <c r="V277" s="15"/>
      <c r="W277" s="42"/>
      <c r="Y277" s="2"/>
    </row>
    <row r="278" spans="1:25">
      <c r="A278" s="37" t="s">
        <v>617</v>
      </c>
      <c r="B278" s="72" t="s">
        <v>618</v>
      </c>
      <c r="C278" s="72" t="s">
        <v>281</v>
      </c>
      <c r="D278" s="72"/>
      <c r="E278" s="72" t="s">
        <v>110</v>
      </c>
      <c r="F278" s="72" t="s">
        <v>121</v>
      </c>
      <c r="G278" s="161">
        <v>1</v>
      </c>
      <c r="H278" s="74">
        <v>20837</v>
      </c>
      <c r="I278" s="75">
        <v>0</v>
      </c>
      <c r="J278" s="74">
        <f t="shared" si="56"/>
        <v>20837</v>
      </c>
      <c r="K278" s="83">
        <f t="shared" si="57"/>
        <v>20837</v>
      </c>
      <c r="N278" s="15"/>
      <c r="O278" s="15"/>
      <c r="P278" s="15"/>
      <c r="Q278" s="15"/>
      <c r="R278" s="15"/>
      <c r="S278" s="15"/>
      <c r="T278" s="15"/>
      <c r="U278" s="15"/>
      <c r="V278" s="15"/>
      <c r="W278" s="42"/>
      <c r="Y278" s="2"/>
    </row>
    <row r="279" spans="1:25">
      <c r="A279" s="37" t="s">
        <v>619</v>
      </c>
      <c r="B279" s="72" t="s">
        <v>620</v>
      </c>
      <c r="C279" s="72" t="s">
        <v>281</v>
      </c>
      <c r="D279" s="72"/>
      <c r="E279" s="72" t="s">
        <v>118</v>
      </c>
      <c r="F279" s="72"/>
      <c r="G279" s="146"/>
      <c r="H279" s="74"/>
      <c r="I279" s="75">
        <v>0</v>
      </c>
      <c r="J279" s="74">
        <f t="shared" si="56"/>
        <v>0</v>
      </c>
      <c r="K279" s="83">
        <f t="shared" si="57"/>
        <v>0</v>
      </c>
      <c r="N279" s="15"/>
      <c r="O279" s="15"/>
      <c r="P279" s="15"/>
      <c r="Q279" s="15"/>
      <c r="R279" s="15"/>
      <c r="S279" s="15"/>
      <c r="T279" s="15"/>
      <c r="U279" s="15"/>
      <c r="V279" s="15"/>
      <c r="W279" s="42"/>
      <c r="Y279" s="2"/>
    </row>
    <row r="280" spans="1:25">
      <c r="A280" s="33" t="s">
        <v>621</v>
      </c>
      <c r="B280" s="54" t="s">
        <v>622</v>
      </c>
      <c r="C280" s="54"/>
      <c r="D280" s="54"/>
      <c r="E280" s="54"/>
      <c r="F280" s="54"/>
      <c r="G280" s="55"/>
      <c r="H280" s="56"/>
      <c r="I280" s="57"/>
      <c r="J280" s="56"/>
      <c r="K280" s="82"/>
      <c r="L280" s="102">
        <f>SUM(K281:K289)</f>
        <v>315942.12</v>
      </c>
      <c r="N280" s="15"/>
      <c r="O280" s="15"/>
      <c r="P280" s="15"/>
      <c r="Q280" s="15"/>
      <c r="R280" s="15"/>
      <c r="S280" s="15"/>
      <c r="T280" s="15"/>
      <c r="U280" s="15"/>
      <c r="V280" s="15"/>
      <c r="W280" s="42"/>
      <c r="Y280" s="2"/>
    </row>
    <row r="281" spans="1:25">
      <c r="A281" s="35" t="s">
        <v>623</v>
      </c>
      <c r="B281" s="66" t="s">
        <v>624</v>
      </c>
      <c r="C281" s="66" t="s">
        <v>103</v>
      </c>
      <c r="D281" s="66"/>
      <c r="E281" s="66" t="s">
        <v>266</v>
      </c>
      <c r="F281" s="66" t="s">
        <v>121</v>
      </c>
      <c r="G281" s="85">
        <f>$B$9</f>
        <v>11.7</v>
      </c>
      <c r="H281" s="68">
        <v>2914</v>
      </c>
      <c r="I281" s="69">
        <v>0</v>
      </c>
      <c r="J281" s="70">
        <f t="shared" ref="J281:J289" si="58">H281*(1+I281)</f>
        <v>2914</v>
      </c>
      <c r="K281" s="71">
        <f t="shared" ref="K281:K289" si="59">J281*G281</f>
        <v>34093.799999999996</v>
      </c>
      <c r="N281" s="15"/>
      <c r="O281" s="15"/>
      <c r="P281" s="15"/>
      <c r="Q281" s="15"/>
      <c r="R281" s="15"/>
      <c r="S281" s="15"/>
      <c r="T281" s="15"/>
      <c r="U281" s="15"/>
      <c r="V281" s="15"/>
      <c r="W281" s="42"/>
      <c r="Y281" s="2"/>
    </row>
    <row r="282" spans="1:25">
      <c r="A282" s="37" t="s">
        <v>625</v>
      </c>
      <c r="B282" s="72" t="s">
        <v>626</v>
      </c>
      <c r="C282" s="72" t="s">
        <v>103</v>
      </c>
      <c r="D282" s="72"/>
      <c r="E282" s="72" t="s">
        <v>266</v>
      </c>
      <c r="F282" s="72" t="s">
        <v>121</v>
      </c>
      <c r="G282" s="86">
        <f t="shared" ref="G282:G289" si="60">$B$9</f>
        <v>11.7</v>
      </c>
      <c r="H282" s="74">
        <v>1542</v>
      </c>
      <c r="I282" s="75">
        <v>0</v>
      </c>
      <c r="J282" s="74">
        <f t="shared" si="58"/>
        <v>1542</v>
      </c>
      <c r="K282" s="83">
        <f t="shared" si="59"/>
        <v>18041.399999999998</v>
      </c>
      <c r="N282" s="15"/>
      <c r="O282" s="15"/>
      <c r="P282" s="15"/>
      <c r="Q282" s="15"/>
      <c r="R282" s="15"/>
      <c r="S282" s="15"/>
      <c r="T282" s="15"/>
      <c r="U282" s="15"/>
      <c r="V282" s="15"/>
      <c r="W282" s="42"/>
      <c r="Y282" s="2"/>
    </row>
    <row r="283" spans="1:25">
      <c r="A283" s="37" t="s">
        <v>627</v>
      </c>
      <c r="B283" s="72" t="s">
        <v>628</v>
      </c>
      <c r="C283" s="72" t="s">
        <v>103</v>
      </c>
      <c r="D283" s="72"/>
      <c r="E283" s="72" t="s">
        <v>266</v>
      </c>
      <c r="F283" s="72" t="s">
        <v>121</v>
      </c>
      <c r="G283" s="86">
        <f t="shared" si="60"/>
        <v>11.7</v>
      </c>
      <c r="H283" s="74">
        <v>1870</v>
      </c>
      <c r="I283" s="75">
        <v>0</v>
      </c>
      <c r="J283" s="74">
        <f t="shared" si="58"/>
        <v>1870</v>
      </c>
      <c r="K283" s="83">
        <f t="shared" si="59"/>
        <v>21879</v>
      </c>
      <c r="N283" s="15"/>
      <c r="O283" s="15"/>
      <c r="P283" s="15"/>
      <c r="Q283" s="15"/>
      <c r="R283" s="15"/>
      <c r="S283" s="15"/>
      <c r="T283" s="15"/>
      <c r="U283" s="15"/>
      <c r="V283" s="15"/>
      <c r="W283" s="42"/>
      <c r="Y283" s="2"/>
    </row>
    <row r="284" spans="1:25">
      <c r="A284" s="37" t="s">
        <v>629</v>
      </c>
      <c r="B284" s="72" t="s">
        <v>630</v>
      </c>
      <c r="C284" s="72" t="s">
        <v>103</v>
      </c>
      <c r="D284" s="72"/>
      <c r="E284" s="72" t="s">
        <v>266</v>
      </c>
      <c r="F284" s="72" t="s">
        <v>121</v>
      </c>
      <c r="G284" s="86">
        <f t="shared" si="60"/>
        <v>11.7</v>
      </c>
      <c r="H284" s="74">
        <v>6618.4</v>
      </c>
      <c r="I284" s="75">
        <v>0</v>
      </c>
      <c r="J284" s="74">
        <f t="shared" si="58"/>
        <v>6618.4</v>
      </c>
      <c r="K284" s="83">
        <f t="shared" si="59"/>
        <v>77435.279999999984</v>
      </c>
      <c r="N284" s="15"/>
      <c r="O284" s="15"/>
      <c r="P284" s="15"/>
      <c r="Q284" s="15"/>
      <c r="R284" s="15"/>
      <c r="S284" s="15"/>
      <c r="T284" s="15"/>
      <c r="U284" s="15"/>
      <c r="V284" s="15"/>
      <c r="W284" s="42"/>
      <c r="Y284" s="2"/>
    </row>
    <row r="285" spans="1:25">
      <c r="A285" s="37" t="s">
        <v>631</v>
      </c>
      <c r="B285" s="72" t="s">
        <v>632</v>
      </c>
      <c r="C285" s="72" t="s">
        <v>103</v>
      </c>
      <c r="D285" s="72"/>
      <c r="E285" s="72" t="s">
        <v>266</v>
      </c>
      <c r="F285" s="72" t="s">
        <v>121</v>
      </c>
      <c r="G285" s="86">
        <f t="shared" si="60"/>
        <v>11.7</v>
      </c>
      <c r="H285" s="74">
        <v>4006</v>
      </c>
      <c r="I285" s="75">
        <v>0</v>
      </c>
      <c r="J285" s="74">
        <f t="shared" si="58"/>
        <v>4006</v>
      </c>
      <c r="K285" s="83">
        <f t="shared" si="59"/>
        <v>46870.2</v>
      </c>
      <c r="N285" s="15"/>
      <c r="O285" s="15"/>
      <c r="P285" s="15"/>
      <c r="Q285" s="15"/>
      <c r="R285" s="15"/>
      <c r="S285" s="15"/>
      <c r="T285" s="15"/>
      <c r="U285" s="15"/>
      <c r="V285" s="15"/>
      <c r="W285" s="42"/>
      <c r="Y285" s="2"/>
    </row>
    <row r="286" spans="1:25">
      <c r="A286" s="37" t="s">
        <v>633</v>
      </c>
      <c r="B286" s="72" t="s">
        <v>634</v>
      </c>
      <c r="C286" s="72" t="s">
        <v>103</v>
      </c>
      <c r="D286" s="72"/>
      <c r="E286" s="72" t="s">
        <v>266</v>
      </c>
      <c r="F286" s="72" t="s">
        <v>121</v>
      </c>
      <c r="G286" s="86">
        <f t="shared" si="60"/>
        <v>11.7</v>
      </c>
      <c r="H286" s="74">
        <v>3544.2</v>
      </c>
      <c r="I286" s="75">
        <v>0</v>
      </c>
      <c r="J286" s="74">
        <f t="shared" si="58"/>
        <v>3544.2</v>
      </c>
      <c r="K286" s="83">
        <f t="shared" si="59"/>
        <v>41467.139999999992</v>
      </c>
      <c r="N286" s="15"/>
      <c r="O286" s="15"/>
      <c r="P286" s="15"/>
      <c r="Q286" s="15"/>
      <c r="R286" s="15"/>
      <c r="S286" s="15"/>
      <c r="T286" s="15"/>
      <c r="U286" s="15"/>
      <c r="V286" s="15"/>
      <c r="W286" s="42"/>
      <c r="Y286" s="2"/>
    </row>
    <row r="287" spans="1:25">
      <c r="A287" s="37" t="s">
        <v>635</v>
      </c>
      <c r="B287" s="72" t="s">
        <v>636</v>
      </c>
      <c r="C287" s="72" t="s">
        <v>103</v>
      </c>
      <c r="D287" s="72"/>
      <c r="E287" s="72" t="s">
        <v>266</v>
      </c>
      <c r="F287" s="72" t="s">
        <v>121</v>
      </c>
      <c r="G287" s="86">
        <f t="shared" si="60"/>
        <v>11.7</v>
      </c>
      <c r="H287" s="74">
        <v>816</v>
      </c>
      <c r="I287" s="75">
        <v>0</v>
      </c>
      <c r="J287" s="74">
        <f t="shared" si="58"/>
        <v>816</v>
      </c>
      <c r="K287" s="83">
        <f t="shared" si="59"/>
        <v>9547.1999999999989</v>
      </c>
      <c r="N287" s="15"/>
      <c r="O287" s="15"/>
      <c r="P287" s="15"/>
      <c r="Q287" s="15"/>
      <c r="R287" s="15"/>
      <c r="S287" s="15"/>
      <c r="T287" s="15"/>
      <c r="U287" s="15"/>
      <c r="V287" s="15"/>
      <c r="W287" s="42"/>
      <c r="Y287" s="2"/>
    </row>
    <row r="288" spans="1:25">
      <c r="A288" s="37" t="s">
        <v>637</v>
      </c>
      <c r="B288" s="72" t="s">
        <v>638</v>
      </c>
      <c r="C288" s="72" t="s">
        <v>103</v>
      </c>
      <c r="D288" s="72"/>
      <c r="E288" s="72" t="s">
        <v>266</v>
      </c>
      <c r="F288" s="72" t="s">
        <v>121</v>
      </c>
      <c r="G288" s="86">
        <f t="shared" si="60"/>
        <v>11.7</v>
      </c>
      <c r="H288" s="74">
        <v>716.4</v>
      </c>
      <c r="I288" s="75">
        <v>0</v>
      </c>
      <c r="J288" s="74">
        <f t="shared" si="58"/>
        <v>716.4</v>
      </c>
      <c r="K288" s="83">
        <f t="shared" si="59"/>
        <v>8381.8799999999992</v>
      </c>
      <c r="N288" s="15"/>
      <c r="O288" s="15"/>
      <c r="P288" s="15"/>
      <c r="Q288" s="15"/>
      <c r="R288" s="15"/>
      <c r="S288" s="15"/>
      <c r="T288" s="15"/>
      <c r="U288" s="15"/>
      <c r="V288" s="15"/>
      <c r="W288" s="42"/>
      <c r="Y288" s="2"/>
    </row>
    <row r="289" spans="1:25">
      <c r="A289" s="37" t="s">
        <v>639</v>
      </c>
      <c r="B289" s="72" t="s">
        <v>640</v>
      </c>
      <c r="C289" s="72" t="s">
        <v>103</v>
      </c>
      <c r="D289" s="72"/>
      <c r="E289" s="72" t="s">
        <v>266</v>
      </c>
      <c r="F289" s="72" t="s">
        <v>121</v>
      </c>
      <c r="G289" s="86">
        <f t="shared" si="60"/>
        <v>11.7</v>
      </c>
      <c r="H289" s="74">
        <v>4976.6000000000004</v>
      </c>
      <c r="I289" s="75">
        <v>0</v>
      </c>
      <c r="J289" s="74">
        <f t="shared" si="58"/>
        <v>4976.6000000000004</v>
      </c>
      <c r="K289" s="83">
        <f t="shared" si="59"/>
        <v>58226.22</v>
      </c>
      <c r="N289" s="15"/>
      <c r="O289" s="15"/>
      <c r="P289" s="15"/>
      <c r="Q289" s="15"/>
      <c r="R289" s="15"/>
      <c r="S289" s="15"/>
      <c r="T289" s="15"/>
      <c r="U289" s="15"/>
      <c r="V289" s="15"/>
      <c r="W289" s="42"/>
      <c r="Y289" s="2"/>
    </row>
    <row r="290" spans="1:25">
      <c r="A290" s="33" t="s">
        <v>641</v>
      </c>
      <c r="B290" s="54"/>
      <c r="C290" s="54"/>
      <c r="D290" s="54"/>
      <c r="E290" s="54"/>
      <c r="F290" s="54"/>
      <c r="G290" s="55"/>
      <c r="H290" s="56"/>
      <c r="I290" s="57"/>
      <c r="J290" s="56"/>
      <c r="K290" s="82"/>
      <c r="L290" s="102">
        <f>SUM(K291:K298)</f>
        <v>1288500</v>
      </c>
      <c r="N290" s="15"/>
      <c r="O290" s="15"/>
      <c r="P290" s="15"/>
      <c r="Q290" s="15"/>
      <c r="R290" s="15"/>
      <c r="S290" s="15"/>
      <c r="T290" s="15"/>
      <c r="U290" s="15"/>
      <c r="V290" s="15"/>
      <c r="W290" s="42"/>
      <c r="Y290" s="2"/>
    </row>
    <row r="291" spans="1:25" ht="30" customHeight="1">
      <c r="A291" s="35" t="s">
        <v>642</v>
      </c>
      <c r="B291" s="66"/>
      <c r="C291" s="66"/>
      <c r="D291" s="66"/>
      <c r="E291" s="66" t="s">
        <v>461</v>
      </c>
      <c r="F291" s="66" t="s">
        <v>121</v>
      </c>
      <c r="G291" s="67">
        <v>2</v>
      </c>
      <c r="H291" s="207">
        <f>594250+50000</f>
        <v>644250</v>
      </c>
      <c r="I291" s="69">
        <v>0</v>
      </c>
      <c r="J291" s="70">
        <f t="shared" ref="J291:J298" si="61">H291*(1+I291)</f>
        <v>644250</v>
      </c>
      <c r="K291" s="71">
        <f t="shared" ref="K291:K298" si="62">J291*G291</f>
        <v>1288500</v>
      </c>
      <c r="N291" s="635" t="s">
        <v>643</v>
      </c>
      <c r="O291" s="635"/>
      <c r="P291" s="635"/>
      <c r="Q291" s="635"/>
      <c r="R291" s="635"/>
      <c r="S291" s="635"/>
      <c r="T291" s="635"/>
      <c r="U291" s="635"/>
      <c r="V291" s="635"/>
      <c r="W291" s="42"/>
      <c r="Y291" s="2"/>
    </row>
    <row r="292" spans="1:25">
      <c r="A292" s="37"/>
      <c r="B292" s="72"/>
      <c r="C292" s="72"/>
      <c r="D292" s="72"/>
      <c r="E292" s="72" t="s">
        <v>118</v>
      </c>
      <c r="F292" s="72"/>
      <c r="G292" s="73"/>
      <c r="H292" s="74"/>
      <c r="I292" s="75">
        <v>0</v>
      </c>
      <c r="J292" s="74">
        <f t="shared" si="61"/>
        <v>0</v>
      </c>
      <c r="K292" s="83">
        <f t="shared" si="62"/>
        <v>0</v>
      </c>
      <c r="N292" s="15"/>
      <c r="O292" s="15"/>
      <c r="P292" s="15"/>
      <c r="Q292" s="15"/>
      <c r="R292" s="15"/>
      <c r="S292" s="15"/>
      <c r="T292" s="15"/>
      <c r="U292" s="15"/>
      <c r="V292" s="15"/>
      <c r="W292" s="42"/>
      <c r="Y292" s="2"/>
    </row>
    <row r="293" spans="1:25">
      <c r="A293" s="37"/>
      <c r="B293" s="72"/>
      <c r="C293" s="72"/>
      <c r="D293" s="72"/>
      <c r="E293" s="72" t="s">
        <v>118</v>
      </c>
      <c r="F293" s="72"/>
      <c r="G293" s="73"/>
      <c r="H293" s="74"/>
      <c r="I293" s="75">
        <v>0</v>
      </c>
      <c r="J293" s="74">
        <f t="shared" si="61"/>
        <v>0</v>
      </c>
      <c r="K293" s="83">
        <f t="shared" si="62"/>
        <v>0</v>
      </c>
      <c r="N293" s="15"/>
      <c r="O293" s="15"/>
      <c r="P293" s="15"/>
      <c r="Q293" s="15"/>
      <c r="R293" s="15"/>
      <c r="S293" s="15"/>
      <c r="T293" s="15"/>
      <c r="U293" s="15"/>
      <c r="V293" s="15"/>
      <c r="W293" s="42"/>
      <c r="Y293" s="2"/>
    </row>
    <row r="294" spans="1:25">
      <c r="A294" s="37"/>
      <c r="B294" s="72"/>
      <c r="C294" s="72"/>
      <c r="D294" s="72"/>
      <c r="E294" s="72" t="s">
        <v>118</v>
      </c>
      <c r="F294" s="72"/>
      <c r="G294" s="73"/>
      <c r="H294" s="74"/>
      <c r="I294" s="75">
        <v>0</v>
      </c>
      <c r="J294" s="74">
        <f t="shared" si="61"/>
        <v>0</v>
      </c>
      <c r="K294" s="83">
        <f t="shared" si="62"/>
        <v>0</v>
      </c>
      <c r="N294" s="15"/>
      <c r="O294" s="15"/>
      <c r="P294" s="15"/>
      <c r="Q294" s="15"/>
      <c r="R294" s="15"/>
      <c r="S294" s="15"/>
      <c r="T294" s="15"/>
      <c r="U294" s="15"/>
      <c r="V294" s="15"/>
      <c r="W294" s="42"/>
      <c r="Y294" s="2"/>
    </row>
    <row r="295" spans="1:25">
      <c r="A295" s="37"/>
      <c r="B295" s="72"/>
      <c r="C295" s="72"/>
      <c r="D295" s="72"/>
      <c r="E295" s="72" t="s">
        <v>118</v>
      </c>
      <c r="F295" s="72"/>
      <c r="G295" s="73"/>
      <c r="H295" s="74"/>
      <c r="I295" s="75">
        <v>0</v>
      </c>
      <c r="J295" s="74">
        <f t="shared" si="61"/>
        <v>0</v>
      </c>
      <c r="K295" s="83">
        <f t="shared" si="62"/>
        <v>0</v>
      </c>
      <c r="N295" s="15"/>
      <c r="O295" s="15"/>
      <c r="P295" s="15"/>
      <c r="Q295" s="15"/>
      <c r="R295" s="15"/>
      <c r="S295" s="15"/>
      <c r="T295" s="15"/>
      <c r="U295" s="15"/>
      <c r="V295" s="15"/>
      <c r="W295" s="42"/>
      <c r="Y295" s="2"/>
    </row>
    <row r="296" spans="1:25">
      <c r="A296" s="37"/>
      <c r="B296" s="72"/>
      <c r="C296" s="72"/>
      <c r="D296" s="72"/>
      <c r="E296" s="72" t="s">
        <v>118</v>
      </c>
      <c r="F296" s="72"/>
      <c r="G296" s="73"/>
      <c r="H296" s="74"/>
      <c r="I296" s="75">
        <v>0</v>
      </c>
      <c r="J296" s="74">
        <f t="shared" si="61"/>
        <v>0</v>
      </c>
      <c r="K296" s="83">
        <f t="shared" si="62"/>
        <v>0</v>
      </c>
      <c r="N296" s="15"/>
      <c r="O296" s="15"/>
      <c r="P296" s="15"/>
      <c r="Q296" s="15"/>
      <c r="R296" s="15"/>
      <c r="S296" s="15"/>
      <c r="T296" s="15"/>
      <c r="U296" s="15"/>
      <c r="V296" s="15"/>
      <c r="W296" s="42"/>
      <c r="Y296" s="2"/>
    </row>
    <row r="297" spans="1:25">
      <c r="A297" s="37"/>
      <c r="B297" s="72"/>
      <c r="C297" s="72"/>
      <c r="D297" s="72"/>
      <c r="E297" s="72" t="s">
        <v>118</v>
      </c>
      <c r="F297" s="72"/>
      <c r="G297" s="73"/>
      <c r="H297" s="74"/>
      <c r="I297" s="75">
        <v>0</v>
      </c>
      <c r="J297" s="74">
        <f t="shared" si="61"/>
        <v>0</v>
      </c>
      <c r="K297" s="83">
        <f t="shared" si="62"/>
        <v>0</v>
      </c>
      <c r="N297" s="15"/>
      <c r="O297" s="15"/>
      <c r="P297" s="15"/>
      <c r="Q297" s="15"/>
      <c r="R297" s="15"/>
      <c r="S297" s="15"/>
      <c r="T297" s="15"/>
      <c r="U297" s="15"/>
      <c r="V297" s="15"/>
      <c r="W297" s="42"/>
      <c r="Y297" s="2"/>
    </row>
    <row r="298" spans="1:25">
      <c r="A298" s="37"/>
      <c r="B298" s="72"/>
      <c r="C298" s="72"/>
      <c r="D298" s="72"/>
      <c r="E298" s="72" t="s">
        <v>118</v>
      </c>
      <c r="F298" s="72"/>
      <c r="G298" s="73"/>
      <c r="H298" s="74"/>
      <c r="I298" s="75">
        <v>0</v>
      </c>
      <c r="J298" s="74">
        <f t="shared" si="61"/>
        <v>0</v>
      </c>
      <c r="K298" s="83">
        <f t="shared" si="62"/>
        <v>0</v>
      </c>
      <c r="N298" s="15"/>
      <c r="O298" s="15"/>
      <c r="P298" s="15"/>
      <c r="Q298" s="15"/>
      <c r="R298" s="15"/>
      <c r="S298" s="15"/>
      <c r="T298" s="15"/>
      <c r="U298" s="15"/>
      <c r="V298" s="15"/>
      <c r="W298" s="42"/>
      <c r="Y298" s="2"/>
    </row>
    <row r="299" spans="1:25">
      <c r="A299" s="33" t="s">
        <v>644</v>
      </c>
      <c r="B299" s="54" t="s">
        <v>644</v>
      </c>
      <c r="C299" s="54"/>
      <c r="D299" s="54"/>
      <c r="E299" s="54"/>
      <c r="F299" s="54"/>
      <c r="G299" s="55"/>
      <c r="H299" s="56"/>
      <c r="I299" s="57"/>
      <c r="J299" s="56"/>
      <c r="K299" s="82"/>
      <c r="L299" s="102">
        <f>SUM(K300)</f>
        <v>928655.91990978911</v>
      </c>
      <c r="N299" s="15"/>
      <c r="O299" s="15"/>
      <c r="P299" s="15"/>
      <c r="Q299" s="15"/>
      <c r="R299" s="15"/>
      <c r="S299" s="15"/>
      <c r="T299" s="15"/>
      <c r="U299" s="15"/>
      <c r="V299" s="15"/>
      <c r="W299" s="42"/>
      <c r="Y299" s="2"/>
    </row>
    <row r="300" spans="1:25">
      <c r="A300" s="34" t="s">
        <v>644</v>
      </c>
      <c r="B300" s="60"/>
      <c r="C300" s="60"/>
      <c r="D300" s="60"/>
      <c r="E300" s="60"/>
      <c r="F300" s="60"/>
      <c r="G300" s="87">
        <v>0.02</v>
      </c>
      <c r="H300" s="62"/>
      <c r="I300" s="63"/>
      <c r="J300" s="64"/>
      <c r="K300" s="65">
        <f>G300*SUM(K23:K299)</f>
        <v>928655.91990978911</v>
      </c>
      <c r="N300" s="15"/>
      <c r="O300" s="15"/>
      <c r="P300" s="15"/>
      <c r="Q300" s="15"/>
      <c r="R300" s="15"/>
      <c r="S300" s="15"/>
      <c r="T300" s="15"/>
      <c r="U300" s="15"/>
      <c r="V300" s="15"/>
      <c r="W300" s="42"/>
      <c r="Y300" s="2"/>
    </row>
    <row r="301" spans="1:25">
      <c r="A301" s="33" t="s">
        <v>645</v>
      </c>
      <c r="B301" s="54" t="s">
        <v>646</v>
      </c>
      <c r="C301" s="54"/>
      <c r="D301" s="54"/>
      <c r="E301" s="54"/>
      <c r="F301" s="54"/>
      <c r="G301" s="55"/>
      <c r="H301" s="56"/>
      <c r="I301" s="57"/>
      <c r="J301" s="56"/>
      <c r="K301" s="82"/>
      <c r="L301" s="102">
        <f>SUM(K302:K315)</f>
        <v>2097795.2000000002</v>
      </c>
      <c r="N301" s="15"/>
      <c r="O301" s="15"/>
      <c r="P301" s="15"/>
      <c r="Q301" s="15"/>
      <c r="R301" s="15"/>
      <c r="S301" s="15"/>
      <c r="T301" s="15"/>
      <c r="U301" s="15"/>
      <c r="V301" s="15"/>
      <c r="W301" s="42"/>
      <c r="Y301" s="2"/>
    </row>
    <row r="302" spans="1:25">
      <c r="A302" s="35" t="s">
        <v>647</v>
      </c>
      <c r="B302" s="66" t="s">
        <v>648</v>
      </c>
      <c r="C302" s="66" t="s">
        <v>103</v>
      </c>
      <c r="D302" s="66"/>
      <c r="E302" s="66" t="s">
        <v>649</v>
      </c>
      <c r="F302" s="66" t="s">
        <v>121</v>
      </c>
      <c r="G302" s="67">
        <v>1</v>
      </c>
      <c r="H302" s="68">
        <v>10000</v>
      </c>
      <c r="I302" s="69">
        <v>0</v>
      </c>
      <c r="J302" s="70">
        <f t="shared" ref="J302:J315" si="63">H302*(1+I302)</f>
        <v>10000</v>
      </c>
      <c r="K302" s="71">
        <f t="shared" ref="K302:K315" si="64">J302*G302</f>
        <v>10000</v>
      </c>
      <c r="N302" s="15"/>
      <c r="O302" s="15"/>
      <c r="P302" s="15"/>
      <c r="Q302" s="15"/>
      <c r="R302" s="15"/>
      <c r="S302" s="15"/>
      <c r="T302" s="15"/>
      <c r="U302" s="15"/>
      <c r="V302" s="15"/>
      <c r="W302" s="42"/>
      <c r="Y302" s="2"/>
    </row>
    <row r="303" spans="1:25">
      <c r="A303" s="37" t="s">
        <v>650</v>
      </c>
      <c r="B303" s="72" t="s">
        <v>651</v>
      </c>
      <c r="C303" s="72" t="s">
        <v>103</v>
      </c>
      <c r="D303" s="72"/>
      <c r="E303" s="72" t="s">
        <v>118</v>
      </c>
      <c r="F303" s="72"/>
      <c r="G303" s="73"/>
      <c r="H303" s="74"/>
      <c r="I303" s="75">
        <v>0</v>
      </c>
      <c r="J303" s="74">
        <f t="shared" si="63"/>
        <v>0</v>
      </c>
      <c r="K303" s="83">
        <f t="shared" si="64"/>
        <v>0</v>
      </c>
      <c r="N303" s="15"/>
      <c r="O303" s="15"/>
      <c r="P303" s="15"/>
      <c r="Q303" s="15"/>
      <c r="R303" s="15"/>
      <c r="S303" s="15"/>
      <c r="T303" s="15"/>
      <c r="U303" s="15"/>
      <c r="V303" s="15"/>
      <c r="W303" s="42"/>
      <c r="Y303" s="2"/>
    </row>
    <row r="304" spans="1:25">
      <c r="A304" s="37" t="s">
        <v>652</v>
      </c>
      <c r="B304" s="72" t="s">
        <v>653</v>
      </c>
      <c r="C304" s="72" t="s">
        <v>103</v>
      </c>
      <c r="D304" s="72"/>
      <c r="E304" s="72" t="s">
        <v>649</v>
      </c>
      <c r="F304" s="72" t="s">
        <v>121</v>
      </c>
      <c r="G304" s="161">
        <v>1</v>
      </c>
      <c r="H304" s="74">
        <v>21000</v>
      </c>
      <c r="I304" s="75">
        <v>0</v>
      </c>
      <c r="J304" s="74">
        <f t="shared" si="63"/>
        <v>21000</v>
      </c>
      <c r="K304" s="83">
        <f t="shared" si="64"/>
        <v>21000</v>
      </c>
      <c r="N304" s="15"/>
      <c r="O304" s="15"/>
      <c r="P304" s="15"/>
      <c r="Q304" s="15"/>
      <c r="R304" s="15"/>
      <c r="S304" s="15"/>
      <c r="T304" s="15"/>
      <c r="U304" s="15"/>
      <c r="V304" s="15"/>
      <c r="W304" s="42"/>
      <c r="Y304" s="2"/>
    </row>
    <row r="305" spans="1:25">
      <c r="A305" s="37" t="s">
        <v>654</v>
      </c>
      <c r="B305" s="72" t="s">
        <v>655</v>
      </c>
      <c r="C305" s="72" t="s">
        <v>103</v>
      </c>
      <c r="D305" s="72"/>
      <c r="E305" s="72" t="s">
        <v>127</v>
      </c>
      <c r="F305" s="72" t="s">
        <v>121</v>
      </c>
      <c r="G305" s="161">
        <v>1</v>
      </c>
      <c r="H305" s="74">
        <v>21900</v>
      </c>
      <c r="I305" s="75">
        <v>0</v>
      </c>
      <c r="J305" s="74">
        <f t="shared" si="63"/>
        <v>21900</v>
      </c>
      <c r="K305" s="83">
        <f t="shared" si="64"/>
        <v>21900</v>
      </c>
      <c r="N305" s="15"/>
      <c r="O305" s="15"/>
      <c r="P305" s="15"/>
      <c r="Q305" s="15"/>
      <c r="R305" s="15"/>
      <c r="S305" s="15"/>
      <c r="T305" s="15"/>
      <c r="U305" s="15"/>
      <c r="V305" s="15"/>
      <c r="W305" s="42"/>
      <c r="Y305" s="2"/>
    </row>
    <row r="306" spans="1:25">
      <c r="A306" s="39" t="s">
        <v>656</v>
      </c>
      <c r="B306" s="72" t="s">
        <v>657</v>
      </c>
      <c r="C306" s="72" t="s">
        <v>103</v>
      </c>
      <c r="D306" s="72"/>
      <c r="E306" s="72" t="s">
        <v>127</v>
      </c>
      <c r="F306" s="72" t="s">
        <v>658</v>
      </c>
      <c r="G306" s="161">
        <v>2</v>
      </c>
      <c r="H306" s="184">
        <f>95000</f>
        <v>95000</v>
      </c>
      <c r="I306" s="75">
        <v>0</v>
      </c>
      <c r="J306" s="74">
        <f>H306*(1+I306)</f>
        <v>95000</v>
      </c>
      <c r="K306" s="83">
        <f>J306*G306</f>
        <v>190000</v>
      </c>
      <c r="N306" s="163"/>
      <c r="O306" s="15"/>
      <c r="P306" s="15"/>
      <c r="Q306" s="15"/>
      <c r="R306" s="15"/>
      <c r="S306" s="15"/>
      <c r="T306" s="15"/>
      <c r="U306" s="15"/>
      <c r="V306" s="15"/>
      <c r="W306" s="42"/>
      <c r="Y306" s="2"/>
    </row>
    <row r="307" spans="1:25">
      <c r="A307" s="39" t="s">
        <v>659</v>
      </c>
      <c r="B307" s="72" t="s">
        <v>660</v>
      </c>
      <c r="C307" s="72" t="s">
        <v>103</v>
      </c>
      <c r="D307" s="72"/>
      <c r="E307" s="72" t="s">
        <v>118</v>
      </c>
      <c r="F307" s="72"/>
      <c r="G307" s="146"/>
      <c r="H307" s="74"/>
      <c r="I307" s="75">
        <v>0</v>
      </c>
      <c r="J307" s="74">
        <f t="shared" si="63"/>
        <v>0</v>
      </c>
      <c r="K307" s="83">
        <f t="shared" si="64"/>
        <v>0</v>
      </c>
      <c r="N307" s="15"/>
      <c r="O307" s="15"/>
      <c r="P307" s="15"/>
      <c r="Q307" s="15"/>
      <c r="R307" s="15"/>
      <c r="S307" s="15"/>
      <c r="T307" s="15"/>
      <c r="U307" s="15"/>
      <c r="V307" s="15"/>
      <c r="W307" s="42"/>
      <c r="Y307" s="2"/>
    </row>
    <row r="308" spans="1:25">
      <c r="A308" s="39" t="s">
        <v>661</v>
      </c>
      <c r="B308" s="72" t="s">
        <v>662</v>
      </c>
      <c r="C308" s="72" t="s">
        <v>103</v>
      </c>
      <c r="D308" s="72"/>
      <c r="E308" s="72" t="s">
        <v>127</v>
      </c>
      <c r="F308" s="72" t="s">
        <v>121</v>
      </c>
      <c r="G308" s="161">
        <v>1</v>
      </c>
      <c r="H308" s="74">
        <v>15000</v>
      </c>
      <c r="I308" s="75">
        <v>0</v>
      </c>
      <c r="J308" s="74">
        <f t="shared" si="63"/>
        <v>15000</v>
      </c>
      <c r="K308" s="83">
        <f t="shared" si="64"/>
        <v>15000</v>
      </c>
      <c r="N308" s="15"/>
      <c r="O308" s="15"/>
      <c r="P308" s="15"/>
      <c r="Q308" s="15"/>
      <c r="R308" s="15"/>
      <c r="S308" s="15"/>
      <c r="T308" s="15"/>
      <c r="U308" s="15"/>
      <c r="V308" s="15"/>
      <c r="W308" s="42"/>
      <c r="Y308" s="2"/>
    </row>
    <row r="309" spans="1:25">
      <c r="A309" s="39" t="s">
        <v>663</v>
      </c>
      <c r="B309" s="72" t="s">
        <v>664</v>
      </c>
      <c r="C309" s="72" t="s">
        <v>103</v>
      </c>
      <c r="D309" s="72"/>
      <c r="E309" s="72" t="s">
        <v>127</v>
      </c>
      <c r="F309" s="72" t="s">
        <v>121</v>
      </c>
      <c r="G309" s="161">
        <v>1</v>
      </c>
      <c r="H309" s="74">
        <v>5000</v>
      </c>
      <c r="I309" s="75">
        <v>0</v>
      </c>
      <c r="J309" s="74">
        <f t="shared" si="63"/>
        <v>5000</v>
      </c>
      <c r="K309" s="83">
        <f t="shared" si="64"/>
        <v>5000</v>
      </c>
      <c r="N309" s="15"/>
      <c r="O309" s="15"/>
      <c r="P309" s="15"/>
      <c r="Q309" s="15"/>
      <c r="R309" s="15"/>
      <c r="S309" s="15"/>
      <c r="T309" s="15"/>
      <c r="U309" s="15"/>
      <c r="V309" s="15"/>
      <c r="W309" s="42"/>
      <c r="Y309" s="2"/>
    </row>
    <row r="310" spans="1:25">
      <c r="A310" s="39" t="s">
        <v>665</v>
      </c>
      <c r="B310" s="72" t="s">
        <v>666</v>
      </c>
      <c r="C310" s="72" t="s">
        <v>103</v>
      </c>
      <c r="D310" s="72"/>
      <c r="E310" s="72" t="s">
        <v>118</v>
      </c>
      <c r="F310" s="72"/>
      <c r="G310" s="146"/>
      <c r="H310" s="74"/>
      <c r="I310" s="75">
        <v>0</v>
      </c>
      <c r="J310" s="74">
        <f t="shared" si="63"/>
        <v>0</v>
      </c>
      <c r="K310" s="83">
        <f t="shared" si="64"/>
        <v>0</v>
      </c>
      <c r="N310" s="15"/>
      <c r="O310" s="15"/>
      <c r="P310" s="15"/>
      <c r="Q310" s="15"/>
      <c r="R310" s="15"/>
      <c r="S310" s="15"/>
      <c r="T310" s="15"/>
      <c r="U310" s="15"/>
      <c r="V310" s="15"/>
      <c r="W310" s="42"/>
      <c r="Y310" s="2"/>
    </row>
    <row r="311" spans="1:25">
      <c r="A311" s="37" t="s">
        <v>667</v>
      </c>
      <c r="B311" s="72" t="s">
        <v>668</v>
      </c>
      <c r="C311" s="72" t="s">
        <v>103</v>
      </c>
      <c r="D311" s="72"/>
      <c r="E311" s="72" t="s">
        <v>266</v>
      </c>
      <c r="F311" s="72" t="s">
        <v>669</v>
      </c>
      <c r="G311" s="161">
        <v>2</v>
      </c>
      <c r="H311" s="185">
        <f>823200</f>
        <v>823200</v>
      </c>
      <c r="I311" s="75">
        <v>0</v>
      </c>
      <c r="J311" s="74">
        <f t="shared" si="63"/>
        <v>823200</v>
      </c>
      <c r="K311" s="83">
        <f t="shared" si="64"/>
        <v>1646400</v>
      </c>
      <c r="N311" s="15"/>
      <c r="O311" s="15"/>
      <c r="P311" s="15"/>
      <c r="Q311" s="15"/>
      <c r="R311" s="15"/>
      <c r="S311" s="15"/>
      <c r="T311" s="15"/>
      <c r="U311" s="15"/>
      <c r="V311" s="15"/>
      <c r="W311" s="42"/>
      <c r="Y311" s="2"/>
    </row>
    <row r="312" spans="1:25">
      <c r="A312" s="37" t="s">
        <v>670</v>
      </c>
      <c r="B312" s="72" t="s">
        <v>671</v>
      </c>
      <c r="C312" s="72" t="s">
        <v>103</v>
      </c>
      <c r="D312" s="72"/>
      <c r="E312" s="72" t="s">
        <v>266</v>
      </c>
      <c r="F312" s="72" t="s">
        <v>669</v>
      </c>
      <c r="G312" s="161">
        <v>2</v>
      </c>
      <c r="H312" s="185">
        <f>72147.6</f>
        <v>72147.600000000006</v>
      </c>
      <c r="I312" s="75">
        <v>0</v>
      </c>
      <c r="J312" s="74">
        <f t="shared" si="63"/>
        <v>72147.600000000006</v>
      </c>
      <c r="K312" s="83">
        <f t="shared" si="64"/>
        <v>144295.20000000001</v>
      </c>
      <c r="N312" s="15"/>
      <c r="O312" s="15"/>
      <c r="P312" s="15"/>
      <c r="Q312" s="15"/>
      <c r="R312" s="15"/>
      <c r="S312" s="15"/>
      <c r="T312" s="15"/>
      <c r="U312" s="15"/>
      <c r="V312" s="15"/>
      <c r="W312" s="42"/>
      <c r="Y312" s="2"/>
    </row>
    <row r="313" spans="1:25">
      <c r="A313" s="39" t="s">
        <v>672</v>
      </c>
      <c r="B313" s="72" t="s">
        <v>478</v>
      </c>
      <c r="C313" s="72" t="s">
        <v>103</v>
      </c>
      <c r="D313" s="72"/>
      <c r="E313" s="72" t="s">
        <v>127</v>
      </c>
      <c r="F313" s="72" t="s">
        <v>121</v>
      </c>
      <c r="G313" s="161">
        <v>2</v>
      </c>
      <c r="H313" s="74">
        <v>19500</v>
      </c>
      <c r="I313" s="75">
        <v>0</v>
      </c>
      <c r="J313" s="74">
        <f t="shared" si="63"/>
        <v>19500</v>
      </c>
      <c r="K313" s="83">
        <f t="shared" si="64"/>
        <v>39000</v>
      </c>
      <c r="N313" s="15"/>
      <c r="O313" s="15"/>
      <c r="P313" s="15"/>
      <c r="Q313" s="15"/>
      <c r="R313" s="15"/>
      <c r="S313" s="15"/>
      <c r="T313" s="15"/>
      <c r="U313" s="15"/>
      <c r="V313" s="15"/>
      <c r="W313" s="42"/>
      <c r="Y313" s="2"/>
    </row>
    <row r="314" spans="1:25">
      <c r="A314" s="39" t="s">
        <v>673</v>
      </c>
      <c r="B314" s="72" t="s">
        <v>674</v>
      </c>
      <c r="C314" s="72" t="s">
        <v>103</v>
      </c>
      <c r="D314" s="72"/>
      <c r="E314" s="72" t="s">
        <v>127</v>
      </c>
      <c r="F314" s="72" t="s">
        <v>121</v>
      </c>
      <c r="G314" s="161">
        <v>2</v>
      </c>
      <c r="H314" s="74">
        <v>2000</v>
      </c>
      <c r="I314" s="75">
        <v>0</v>
      </c>
      <c r="J314" s="74">
        <f t="shared" si="63"/>
        <v>2000</v>
      </c>
      <c r="K314" s="83">
        <f t="shared" si="64"/>
        <v>4000</v>
      </c>
      <c r="N314" s="15"/>
      <c r="O314" s="15"/>
      <c r="P314" s="15"/>
      <c r="Q314" s="15"/>
      <c r="R314" s="15"/>
      <c r="S314" s="15"/>
      <c r="T314" s="15"/>
      <c r="U314" s="15"/>
      <c r="V314" s="15"/>
      <c r="W314" s="42"/>
      <c r="Y314" s="2"/>
    </row>
    <row r="315" spans="1:25">
      <c r="A315" s="39" t="s">
        <v>675</v>
      </c>
      <c r="B315" s="72" t="s">
        <v>676</v>
      </c>
      <c r="C315" s="72" t="s">
        <v>103</v>
      </c>
      <c r="D315" s="72"/>
      <c r="E315" s="72" t="s">
        <v>127</v>
      </c>
      <c r="F315" s="72" t="s">
        <v>121</v>
      </c>
      <c r="G315" s="161">
        <v>1</v>
      </c>
      <c r="H315" s="74">
        <v>1200</v>
      </c>
      <c r="I315" s="75">
        <v>0</v>
      </c>
      <c r="J315" s="74">
        <f t="shared" si="63"/>
        <v>1200</v>
      </c>
      <c r="K315" s="83">
        <f t="shared" si="64"/>
        <v>1200</v>
      </c>
      <c r="N315" s="15"/>
      <c r="O315" s="15"/>
      <c r="P315" s="15"/>
      <c r="Q315" s="15"/>
      <c r="R315" s="15"/>
      <c r="S315" s="15"/>
      <c r="T315" s="15"/>
      <c r="U315" s="15"/>
      <c r="V315" s="15"/>
      <c r="W315" s="42"/>
      <c r="Y315" s="2"/>
    </row>
    <row r="316" spans="1:25">
      <c r="A316" s="33" t="s">
        <v>677</v>
      </c>
      <c r="B316" s="54" t="s">
        <v>678</v>
      </c>
      <c r="C316" s="54"/>
      <c r="D316" s="54"/>
      <c r="E316" s="54"/>
      <c r="F316" s="54"/>
      <c r="G316" s="55"/>
      <c r="H316" s="56"/>
      <c r="I316" s="57"/>
      <c r="J316" s="56"/>
      <c r="K316" s="82"/>
      <c r="L316" s="102">
        <f>SUM(K317)</f>
        <v>2468500.7757699625</v>
      </c>
      <c r="N316" s="15"/>
      <c r="O316" s="15"/>
      <c r="P316" s="15"/>
      <c r="Q316" s="15"/>
      <c r="R316" s="15"/>
      <c r="S316" s="15"/>
      <c r="T316" s="15"/>
      <c r="U316" s="15"/>
      <c r="V316" s="15"/>
      <c r="W316" s="42"/>
      <c r="Y316" s="2"/>
    </row>
    <row r="317" spans="1:25">
      <c r="A317" s="34" t="s">
        <v>677</v>
      </c>
      <c r="B317" s="60" t="s">
        <v>679</v>
      </c>
      <c r="C317" s="60"/>
      <c r="D317" s="60"/>
      <c r="E317" s="60"/>
      <c r="F317" s="60"/>
      <c r="G317" s="87">
        <v>0.05</v>
      </c>
      <c r="H317" s="62"/>
      <c r="I317" s="63"/>
      <c r="J317" s="64"/>
      <c r="K317" s="65">
        <f>G317*SUM(K20:K300)</f>
        <v>2468500.7757699625</v>
      </c>
      <c r="N317" s="15"/>
      <c r="O317" s="15"/>
      <c r="P317" s="15"/>
      <c r="Q317" s="15"/>
      <c r="R317" s="15"/>
      <c r="S317" s="15"/>
      <c r="T317" s="15"/>
      <c r="U317" s="15"/>
      <c r="V317" s="15"/>
      <c r="W317" s="42"/>
      <c r="Y317" s="2"/>
    </row>
    <row r="318" spans="1:25">
      <c r="A318" s="33" t="s">
        <v>680</v>
      </c>
      <c r="B318" s="54" t="s">
        <v>681</v>
      </c>
      <c r="C318" s="54"/>
      <c r="D318" s="54"/>
      <c r="E318" s="54"/>
      <c r="F318" s="54"/>
      <c r="G318" s="55"/>
      <c r="H318" s="56"/>
      <c r="I318" s="57"/>
      <c r="J318" s="56"/>
      <c r="K318" s="82"/>
      <c r="L318" s="102">
        <f>SUM(K319)</f>
        <v>603626.34794136288</v>
      </c>
      <c r="N318" s="15"/>
      <c r="O318" s="15"/>
      <c r="P318" s="15"/>
      <c r="Q318" s="15"/>
      <c r="R318" s="15"/>
      <c r="S318" s="15"/>
      <c r="T318" s="15"/>
      <c r="U318" s="15"/>
      <c r="V318" s="15"/>
      <c r="W318" s="42"/>
      <c r="Y318" s="2"/>
    </row>
    <row r="319" spans="1:25">
      <c r="A319" s="34" t="s">
        <v>680</v>
      </c>
      <c r="B319" s="60" t="s">
        <v>682</v>
      </c>
      <c r="C319" s="60" t="s">
        <v>683</v>
      </c>
      <c r="D319" s="60"/>
      <c r="E319" s="60"/>
      <c r="F319" s="60"/>
      <c r="G319" s="87">
        <v>1.2999999999999999E-2</v>
      </c>
      <c r="H319" s="62"/>
      <c r="I319" s="63"/>
      <c r="J319" s="64"/>
      <c r="K319" s="65">
        <f>G319*SUM(K22:K298)</f>
        <v>603626.34794136288</v>
      </c>
      <c r="N319" s="15"/>
      <c r="O319" s="15"/>
      <c r="P319" s="15"/>
      <c r="Q319" s="15"/>
      <c r="R319" s="15"/>
      <c r="S319" s="15"/>
      <c r="T319" s="15"/>
      <c r="U319" s="15"/>
      <c r="V319" s="15"/>
      <c r="W319" s="42"/>
      <c r="Y319" s="2"/>
    </row>
    <row r="320" spans="1:25">
      <c r="A320" s="33" t="s">
        <v>684</v>
      </c>
      <c r="B320" s="54" t="s">
        <v>681</v>
      </c>
      <c r="C320" s="54"/>
      <c r="D320" s="54"/>
      <c r="E320" s="54"/>
      <c r="F320" s="54"/>
      <c r="G320" s="55"/>
      <c r="H320" s="56"/>
      <c r="I320" s="57"/>
      <c r="J320" s="56"/>
      <c r="K320" s="82"/>
      <c r="L320" s="102">
        <f>SUM(K321:K323)</f>
        <v>330512.02330501011</v>
      </c>
      <c r="N320" s="15"/>
      <c r="O320" s="15"/>
      <c r="P320" s="15"/>
      <c r="Q320" s="15"/>
      <c r="R320" s="15"/>
      <c r="S320" s="15"/>
      <c r="T320" s="15"/>
      <c r="U320" s="15"/>
      <c r="V320" s="15"/>
      <c r="W320" s="42"/>
      <c r="Y320" s="2"/>
    </row>
    <row r="321" spans="1:25">
      <c r="A321" s="35" t="s">
        <v>685</v>
      </c>
      <c r="B321" s="66" t="s">
        <v>686</v>
      </c>
      <c r="C321" s="66"/>
      <c r="D321" s="66"/>
      <c r="E321" s="66"/>
      <c r="F321" s="66" t="s">
        <v>687</v>
      </c>
      <c r="G321" s="88">
        <v>3.03</v>
      </c>
      <c r="H321" s="68"/>
      <c r="I321" s="69"/>
      <c r="J321" s="70"/>
      <c r="K321" s="71">
        <f>SUM(K20:K319)/1000*G321</f>
        <v>165256.01165250505</v>
      </c>
      <c r="N321" s="15"/>
      <c r="O321" s="15"/>
      <c r="P321" s="15"/>
      <c r="Q321" s="15"/>
      <c r="R321" s="15"/>
      <c r="S321" s="15"/>
      <c r="T321" s="15"/>
      <c r="U321" s="15"/>
      <c r="V321" s="15"/>
      <c r="W321" s="42"/>
      <c r="Y321" s="2"/>
    </row>
    <row r="322" spans="1:25">
      <c r="A322" s="39" t="s">
        <v>688</v>
      </c>
      <c r="B322" s="72" t="s">
        <v>686</v>
      </c>
      <c r="C322" s="72"/>
      <c r="D322" s="72"/>
      <c r="E322" s="72"/>
      <c r="F322" s="72" t="s">
        <v>689</v>
      </c>
      <c r="G322" s="75">
        <v>0.05</v>
      </c>
      <c r="H322" s="74"/>
      <c r="I322" s="75"/>
      <c r="J322" s="74"/>
      <c r="K322" s="83">
        <f>K321*G322</f>
        <v>8262.8005826252538</v>
      </c>
      <c r="N322" s="15"/>
      <c r="O322" s="15"/>
      <c r="P322" s="15"/>
      <c r="Q322" s="15"/>
      <c r="R322" s="15"/>
      <c r="S322" s="15"/>
      <c r="T322" s="15"/>
      <c r="U322" s="15"/>
      <c r="V322" s="15"/>
      <c r="W322" s="42"/>
      <c r="Y322" s="2"/>
    </row>
    <row r="323" spans="1:25">
      <c r="A323" s="39" t="s">
        <v>690</v>
      </c>
      <c r="B323" s="72" t="s">
        <v>686</v>
      </c>
      <c r="C323" s="72"/>
      <c r="D323" s="72"/>
      <c r="E323" s="72"/>
      <c r="F323" s="72" t="s">
        <v>691</v>
      </c>
      <c r="G323" s="75">
        <v>0.95</v>
      </c>
      <c r="H323" s="74"/>
      <c r="I323" s="75"/>
      <c r="J323" s="74"/>
      <c r="K323" s="83">
        <f>K321*G323</f>
        <v>156993.21106987979</v>
      </c>
      <c r="N323" s="15"/>
      <c r="O323" s="15"/>
      <c r="P323" s="15"/>
      <c r="Q323" s="15"/>
      <c r="R323" s="15"/>
      <c r="S323" s="15"/>
      <c r="T323" s="15"/>
      <c r="U323" s="15"/>
      <c r="V323" s="15"/>
      <c r="W323" s="42"/>
      <c r="Y323" s="2"/>
    </row>
    <row r="324" spans="1:25">
      <c r="A324" s="33" t="s">
        <v>692</v>
      </c>
      <c r="B324" s="54" t="s">
        <v>693</v>
      </c>
      <c r="C324" s="54"/>
      <c r="D324" s="54"/>
      <c r="E324" s="54"/>
      <c r="F324" s="54"/>
      <c r="G324" s="55"/>
      <c r="H324" s="56"/>
      <c r="I324" s="57"/>
      <c r="J324" s="56"/>
      <c r="K324" s="82"/>
      <c r="L324" s="102">
        <f>SUM(K325)</f>
        <v>4389635.988993247</v>
      </c>
      <c r="N324" s="15"/>
      <c r="O324" s="15"/>
      <c r="P324" s="15"/>
      <c r="Q324" s="15"/>
      <c r="R324" s="15"/>
      <c r="S324" s="15"/>
      <c r="T324" s="15"/>
      <c r="U324" s="15"/>
      <c r="V324" s="15"/>
      <c r="W324" s="42"/>
      <c r="Y324" s="2"/>
    </row>
    <row r="325" spans="1:25">
      <c r="A325" s="32" t="s">
        <v>694</v>
      </c>
      <c r="B325" s="48" t="s">
        <v>693</v>
      </c>
      <c r="C325" s="48"/>
      <c r="D325" s="48"/>
      <c r="E325" s="48"/>
      <c r="F325" s="48"/>
      <c r="G325" s="89">
        <v>0.08</v>
      </c>
      <c r="H325" s="50"/>
      <c r="I325" s="51"/>
      <c r="J325" s="52"/>
      <c r="K325" s="53">
        <f>SUM(K20:K324)*G325</f>
        <v>4389635.988993247</v>
      </c>
      <c r="N325" s="15"/>
      <c r="O325" s="15"/>
      <c r="P325" s="15"/>
      <c r="Q325" s="15"/>
      <c r="R325" s="15"/>
      <c r="S325" s="15"/>
      <c r="T325" s="15"/>
      <c r="U325" s="15"/>
      <c r="V325" s="15"/>
      <c r="W325" s="42"/>
      <c r="Y325" s="2"/>
    </row>
    <row r="326" spans="1:25" ht="15.75" thickBot="1">
      <c r="A326" s="118" t="s">
        <v>695</v>
      </c>
      <c r="B326" s="119"/>
      <c r="C326" s="119"/>
      <c r="D326" s="119"/>
      <c r="E326" s="119"/>
      <c r="F326" s="119"/>
      <c r="G326" s="119"/>
      <c r="H326" s="120"/>
      <c r="I326" s="121"/>
      <c r="J326" s="122"/>
      <c r="K326" s="122"/>
      <c r="L326" s="123">
        <f>SUM(L20:L325)</f>
        <v>59260085.851408847</v>
      </c>
      <c r="N326" s="117"/>
      <c r="O326" s="117"/>
      <c r="P326" s="117"/>
      <c r="Q326" s="117"/>
      <c r="R326" s="117"/>
      <c r="S326" s="117"/>
      <c r="T326" s="117"/>
      <c r="U326" s="117"/>
      <c r="V326" s="117"/>
      <c r="W326" s="42"/>
      <c r="Y326" s="2"/>
    </row>
    <row r="327" spans="1:25">
      <c r="G327" s="2"/>
      <c r="H327" s="2"/>
      <c r="I327" s="40"/>
      <c r="L327" s="43">
        <f>SUM(K20:K326)-L326</f>
        <v>0</v>
      </c>
    </row>
    <row r="328" spans="1:25">
      <c r="A328" s="92" t="s">
        <v>101</v>
      </c>
      <c r="B328" s="9" t="s">
        <v>102</v>
      </c>
      <c r="C328" s="9"/>
      <c r="D328" s="9"/>
      <c r="E328" s="96">
        <f>_xlfn.XLOOKUP(A328,$A$20:$A$326,$L$20:$L$326)</f>
        <v>2008563.5999999999</v>
      </c>
    </row>
    <row r="329" spans="1:25">
      <c r="A329" s="93" t="s">
        <v>105</v>
      </c>
      <c r="B329" s="12" t="s">
        <v>106</v>
      </c>
      <c r="C329" s="12"/>
      <c r="D329" s="12"/>
      <c r="E329" s="97">
        <f t="shared" ref="E329:E339" si="65">_xlfn.XLOOKUP(A329,$A$20:$A$326,$L$20:$L$326)</f>
        <v>8000</v>
      </c>
    </row>
    <row r="330" spans="1:25">
      <c r="A330" s="93" t="s">
        <v>111</v>
      </c>
      <c r="B330" s="12" t="s">
        <v>112</v>
      </c>
      <c r="C330" s="12"/>
      <c r="D330" s="12"/>
      <c r="E330" s="97">
        <f t="shared" si="65"/>
        <v>1975170.0200000003</v>
      </c>
    </row>
    <row r="331" spans="1:25">
      <c r="A331" s="93" t="s">
        <v>140</v>
      </c>
      <c r="B331" s="12" t="s">
        <v>141</v>
      </c>
      <c r="C331" s="12"/>
      <c r="D331" s="12"/>
      <c r="E331" s="97">
        <f t="shared" si="65"/>
        <v>0</v>
      </c>
    </row>
    <row r="332" spans="1:25">
      <c r="A332" s="93" t="s">
        <v>150</v>
      </c>
      <c r="B332" s="12" t="s">
        <v>151</v>
      </c>
      <c r="C332" s="12"/>
      <c r="D332" s="12"/>
      <c r="E332" s="97">
        <f t="shared" si="65"/>
        <v>171000</v>
      </c>
    </row>
    <row r="333" spans="1:25">
      <c r="A333" s="93" t="s">
        <v>162</v>
      </c>
      <c r="B333" s="12" t="s">
        <v>163</v>
      </c>
      <c r="C333" s="12"/>
      <c r="D333" s="12"/>
      <c r="E333" s="97">
        <f t="shared" si="65"/>
        <v>392720.43443537259</v>
      </c>
    </row>
    <row r="334" spans="1:25">
      <c r="A334" s="93" t="s">
        <v>182</v>
      </c>
      <c r="B334" s="12" t="s">
        <v>183</v>
      </c>
      <c r="C334" s="12"/>
      <c r="D334" s="12"/>
      <c r="E334" s="97">
        <f t="shared" si="65"/>
        <v>7663075.3600000003</v>
      </c>
    </row>
    <row r="335" spans="1:25">
      <c r="A335" s="93" t="s">
        <v>208</v>
      </c>
      <c r="B335" s="12" t="s">
        <v>209</v>
      </c>
      <c r="C335" s="12"/>
      <c r="D335" s="12"/>
      <c r="E335" s="97">
        <f t="shared" si="65"/>
        <v>1573821.8300000003</v>
      </c>
    </row>
    <row r="336" spans="1:25">
      <c r="A336" s="93" t="s">
        <v>232</v>
      </c>
      <c r="B336" s="12" t="s">
        <v>233</v>
      </c>
      <c r="C336" s="12"/>
      <c r="D336" s="12"/>
      <c r="E336" s="97">
        <f t="shared" si="65"/>
        <v>548400.70000000007</v>
      </c>
    </row>
    <row r="337" spans="1:5">
      <c r="A337" s="93" t="s">
        <v>262</v>
      </c>
      <c r="B337" s="12" t="s">
        <v>263</v>
      </c>
      <c r="C337" s="12"/>
      <c r="D337" s="12"/>
      <c r="E337" s="97">
        <f t="shared" si="65"/>
        <v>5170494.1965402467</v>
      </c>
    </row>
    <row r="338" spans="1:5">
      <c r="A338" s="93" t="s">
        <v>340</v>
      </c>
      <c r="B338" s="12" t="s">
        <v>341</v>
      </c>
      <c r="C338" s="12"/>
      <c r="D338" s="12"/>
      <c r="E338" s="97">
        <f t="shared" si="65"/>
        <v>328837</v>
      </c>
    </row>
    <row r="339" spans="1:5">
      <c r="A339" s="95" t="s">
        <v>378</v>
      </c>
      <c r="B339" s="20" t="s">
        <v>379</v>
      </c>
      <c r="C339" s="20"/>
      <c r="D339" s="20"/>
      <c r="E339" s="98">
        <f t="shared" si="65"/>
        <v>1109706</v>
      </c>
    </row>
    <row r="340" spans="1:5">
      <c r="A340" s="92" t="s">
        <v>382</v>
      </c>
      <c r="B340" s="9" t="s">
        <v>383</v>
      </c>
      <c r="C340" s="9"/>
      <c r="D340" s="9"/>
      <c r="E340" s="96">
        <f>_xlfn.XLOOKUP(A340,$A$20:$A$326,$L$20:$L$326)</f>
        <v>2002881.62</v>
      </c>
    </row>
    <row r="341" spans="1:5">
      <c r="A341" s="93" t="s">
        <v>402</v>
      </c>
      <c r="B341" s="12" t="s">
        <v>403</v>
      </c>
      <c r="C341" s="12"/>
      <c r="D341" s="12"/>
      <c r="E341" s="97">
        <f t="shared" ref="E341:E351" si="66">_xlfn.XLOOKUP(A341,$A$20:$A$326,$L$20:$L$326)</f>
        <v>1225434.5333599998</v>
      </c>
    </row>
    <row r="342" spans="1:5">
      <c r="A342" s="93" t="s">
        <v>410</v>
      </c>
      <c r="B342" s="12" t="s">
        <v>411</v>
      </c>
      <c r="C342" s="12"/>
      <c r="D342" s="12"/>
      <c r="E342" s="97">
        <f t="shared" si="66"/>
        <v>0</v>
      </c>
    </row>
    <row r="343" spans="1:5">
      <c r="A343" s="93" t="s">
        <v>412</v>
      </c>
      <c r="B343" s="12" t="s">
        <v>413</v>
      </c>
      <c r="C343" s="12"/>
      <c r="D343" s="12"/>
      <c r="E343" s="97">
        <f t="shared" si="66"/>
        <v>578396</v>
      </c>
    </row>
    <row r="344" spans="1:5">
      <c r="A344" s="93" t="s">
        <v>419</v>
      </c>
      <c r="B344" s="12" t="s">
        <v>420</v>
      </c>
      <c r="C344" s="12"/>
      <c r="D344" s="12"/>
      <c r="E344" s="97">
        <f t="shared" si="66"/>
        <v>913966.42</v>
      </c>
    </row>
    <row r="345" spans="1:5">
      <c r="A345" s="93" t="s">
        <v>427</v>
      </c>
      <c r="B345" s="12" t="s">
        <v>428</v>
      </c>
      <c r="C345" s="12"/>
      <c r="D345" s="12"/>
      <c r="E345" s="97">
        <f t="shared" si="66"/>
        <v>3713746</v>
      </c>
    </row>
    <row r="346" spans="1:5">
      <c r="A346" s="93" t="s">
        <v>437</v>
      </c>
      <c r="B346" s="12" t="s">
        <v>438</v>
      </c>
      <c r="C346" s="12"/>
      <c r="D346" s="12"/>
      <c r="E346" s="97">
        <f t="shared" si="66"/>
        <v>3717376.3000000003</v>
      </c>
    </row>
    <row r="347" spans="1:5">
      <c r="A347" s="93" t="s">
        <v>442</v>
      </c>
      <c r="B347" s="12" t="s">
        <v>443</v>
      </c>
      <c r="C347" s="12"/>
      <c r="D347" s="12"/>
      <c r="E347" s="97">
        <f t="shared" si="66"/>
        <v>3468966.5399999996</v>
      </c>
    </row>
    <row r="348" spans="1:5">
      <c r="A348" s="93" t="s">
        <v>475</v>
      </c>
      <c r="B348" s="12" t="s">
        <v>476</v>
      </c>
      <c r="C348" s="12"/>
      <c r="D348" s="12"/>
      <c r="E348" s="97">
        <f t="shared" si="66"/>
        <v>186973.78</v>
      </c>
    </row>
    <row r="349" spans="1:5">
      <c r="A349" s="93" t="s">
        <v>485</v>
      </c>
      <c r="B349" s="12" t="s">
        <v>486</v>
      </c>
      <c r="C349" s="12"/>
      <c r="D349" s="12"/>
      <c r="E349" s="97">
        <f t="shared" si="66"/>
        <v>855355</v>
      </c>
    </row>
    <row r="350" spans="1:5">
      <c r="A350" s="93" t="s">
        <v>493</v>
      </c>
      <c r="B350" s="12" t="s">
        <v>494</v>
      </c>
      <c r="C350" s="12"/>
      <c r="D350" s="12"/>
      <c r="E350" s="97">
        <f t="shared" si="66"/>
        <v>747722.65500000003</v>
      </c>
    </row>
    <row r="351" spans="1:5">
      <c r="A351" s="95" t="s">
        <v>514</v>
      </c>
      <c r="B351" s="20" t="s">
        <v>515</v>
      </c>
      <c r="C351" s="20"/>
      <c r="D351" s="20"/>
      <c r="E351" s="98">
        <f t="shared" si="66"/>
        <v>5554669.1399999997</v>
      </c>
    </row>
    <row r="352" spans="1:5">
      <c r="A352" s="92" t="s">
        <v>582</v>
      </c>
      <c r="B352" s="9" t="s">
        <v>583</v>
      </c>
      <c r="C352" s="9"/>
      <c r="D352" s="9"/>
      <c r="E352" s="96">
        <f>_xlfn.XLOOKUP(A352,$A$20:$A$326,$L$20:$L$326)</f>
        <v>2578601.0384615385</v>
      </c>
    </row>
    <row r="353" spans="1:6">
      <c r="A353" s="93" t="s">
        <v>609</v>
      </c>
      <c r="B353" s="12" t="s">
        <v>610</v>
      </c>
      <c r="C353" s="12"/>
      <c r="D353" s="12"/>
      <c r="E353" s="97">
        <f t="shared" ref="E353:E363" si="67">_xlfn.XLOOKUP(A353,$A$20:$A$326,$L$20:$L$326)</f>
        <v>7500</v>
      </c>
    </row>
    <row r="354" spans="1:6">
      <c r="A354" s="93" t="s">
        <v>613</v>
      </c>
      <c r="B354" s="12" t="s">
        <v>614</v>
      </c>
      <c r="C354" s="12"/>
      <c r="D354" s="12"/>
      <c r="E354" s="97">
        <f t="shared" si="67"/>
        <v>335539.30769230769</v>
      </c>
    </row>
    <row r="355" spans="1:6">
      <c r="A355" s="93" t="s">
        <v>621</v>
      </c>
      <c r="B355" s="12" t="s">
        <v>622</v>
      </c>
      <c r="C355" s="12"/>
      <c r="D355" s="12"/>
      <c r="E355" s="97">
        <f t="shared" si="67"/>
        <v>315942.12</v>
      </c>
    </row>
    <row r="356" spans="1:6">
      <c r="A356" s="93" t="s">
        <v>696</v>
      </c>
      <c r="B356" s="12"/>
      <c r="C356" s="12"/>
      <c r="D356" s="12"/>
      <c r="E356" s="97" t="e">
        <f t="shared" si="67"/>
        <v>#N/A</v>
      </c>
    </row>
    <row r="357" spans="1:6">
      <c r="A357" s="93" t="s">
        <v>644</v>
      </c>
      <c r="B357" s="12"/>
      <c r="C357" s="12"/>
      <c r="D357" s="12"/>
      <c r="E357" s="97">
        <f t="shared" si="67"/>
        <v>928655.91990978911</v>
      </c>
    </row>
    <row r="358" spans="1:6">
      <c r="A358" s="93" t="s">
        <v>645</v>
      </c>
      <c r="B358" s="12"/>
      <c r="C358" s="12"/>
      <c r="D358" s="12"/>
      <c r="E358" s="97">
        <f t="shared" si="67"/>
        <v>2097795.2000000002</v>
      </c>
    </row>
    <row r="359" spans="1:6">
      <c r="A359" s="93" t="s">
        <v>677</v>
      </c>
      <c r="B359" s="12" t="s">
        <v>678</v>
      </c>
      <c r="C359" s="12"/>
      <c r="D359" s="12"/>
      <c r="E359" s="97">
        <f t="shared" si="67"/>
        <v>2468500.7757699625</v>
      </c>
    </row>
    <row r="360" spans="1:6">
      <c r="A360" s="93" t="s">
        <v>680</v>
      </c>
      <c r="B360" s="12" t="s">
        <v>681</v>
      </c>
      <c r="C360" s="12"/>
      <c r="D360" s="12"/>
      <c r="E360" s="97">
        <f t="shared" si="67"/>
        <v>603626.34794136288</v>
      </c>
    </row>
    <row r="361" spans="1:6">
      <c r="A361" s="93" t="s">
        <v>684</v>
      </c>
      <c r="B361" s="12" t="s">
        <v>681</v>
      </c>
      <c r="C361" s="12"/>
      <c r="D361" s="12"/>
      <c r="E361" s="97">
        <f t="shared" si="67"/>
        <v>330512.02330501011</v>
      </c>
    </row>
    <row r="362" spans="1:6">
      <c r="A362" s="93" t="s">
        <v>692</v>
      </c>
      <c r="B362" s="12" t="s">
        <v>693</v>
      </c>
      <c r="C362" s="12"/>
      <c r="D362" s="12"/>
      <c r="E362" s="97">
        <f t="shared" si="67"/>
        <v>4389635.988993247</v>
      </c>
    </row>
    <row r="363" spans="1:6">
      <c r="A363" s="94" t="s">
        <v>695</v>
      </c>
      <c r="B363" s="20"/>
      <c r="C363" s="20"/>
      <c r="D363" s="20"/>
      <c r="E363" s="98">
        <f t="shared" si="67"/>
        <v>59260085.851408847</v>
      </c>
    </row>
    <row r="364" spans="1:6">
      <c r="B364" s="1"/>
      <c r="C364" s="1"/>
      <c r="D364" s="1"/>
      <c r="E364" s="99" t="e">
        <f>SUM(E328:E339,E340:E351,E352:E362)-E363</f>
        <v>#N/A</v>
      </c>
    </row>
    <row r="368" spans="1:6">
      <c r="F368" s="125" t="s">
        <v>89</v>
      </c>
    </row>
    <row r="369" spans="1:6">
      <c r="A369"/>
      <c r="B369" s="124"/>
      <c r="C369" s="124"/>
      <c r="D369" s="124"/>
      <c r="E369" s="124"/>
      <c r="F369" s="125" t="s">
        <v>99</v>
      </c>
    </row>
    <row r="370" spans="1:6">
      <c r="A370" s="109" t="s">
        <v>697</v>
      </c>
      <c r="B370" s="124" t="s">
        <v>102</v>
      </c>
      <c r="C370" s="124"/>
      <c r="D370" s="124"/>
      <c r="E370" s="124"/>
      <c r="F370" s="126">
        <f>SUMIF($B$20:$B$326,B370,$L$20:$L$326)</f>
        <v>2008563.5999999999</v>
      </c>
    </row>
    <row r="371" spans="1:6">
      <c r="A371" s="109" t="s">
        <v>698</v>
      </c>
      <c r="B371" s="124" t="s">
        <v>106</v>
      </c>
      <c r="C371" s="124"/>
      <c r="D371" s="124"/>
      <c r="E371" s="124"/>
      <c r="F371" s="126">
        <f t="shared" ref="F371:F400" si="68">SUMIF($B$20:$B$326,B371,$L$20:$L$326)</f>
        <v>8000</v>
      </c>
    </row>
    <row r="372" spans="1:6">
      <c r="A372" s="109" t="s">
        <v>699</v>
      </c>
      <c r="B372" s="124" t="s">
        <v>112</v>
      </c>
      <c r="C372" s="124"/>
      <c r="D372" s="124"/>
      <c r="E372" s="124"/>
      <c r="F372" s="126">
        <f t="shared" si="68"/>
        <v>1975170.0200000003</v>
      </c>
    </row>
    <row r="373" spans="1:6">
      <c r="A373" s="109" t="s">
        <v>700</v>
      </c>
      <c r="B373" s="124" t="s">
        <v>151</v>
      </c>
      <c r="C373" s="124"/>
      <c r="D373" s="124"/>
      <c r="E373" s="124"/>
      <c r="F373" s="126">
        <f t="shared" si="68"/>
        <v>171000</v>
      </c>
    </row>
    <row r="374" spans="1:6">
      <c r="A374" s="109" t="s">
        <v>701</v>
      </c>
      <c r="B374" s="124" t="s">
        <v>163</v>
      </c>
      <c r="C374" s="124"/>
      <c r="D374" s="124"/>
      <c r="E374" s="124"/>
      <c r="F374" s="126">
        <f t="shared" si="68"/>
        <v>392720.43443537259</v>
      </c>
    </row>
    <row r="375" spans="1:6">
      <c r="A375" s="109" t="s">
        <v>702</v>
      </c>
      <c r="B375" s="124" t="s">
        <v>183</v>
      </c>
      <c r="C375" s="124"/>
      <c r="D375" s="124"/>
      <c r="E375" s="124"/>
      <c r="F375" s="126">
        <f t="shared" si="68"/>
        <v>7663075.3600000003</v>
      </c>
    </row>
    <row r="376" spans="1:6">
      <c r="A376" s="109" t="s">
        <v>703</v>
      </c>
      <c r="B376" s="124" t="s">
        <v>209</v>
      </c>
      <c r="C376" s="124"/>
      <c r="D376" s="124"/>
      <c r="E376" s="124"/>
      <c r="F376" s="126">
        <f t="shared" si="68"/>
        <v>1573821.8300000003</v>
      </c>
    </row>
    <row r="377" spans="1:6">
      <c r="A377" s="109" t="s">
        <v>704</v>
      </c>
      <c r="B377" s="124" t="s">
        <v>233</v>
      </c>
      <c r="C377" s="124"/>
      <c r="D377" s="124"/>
      <c r="E377" s="124"/>
      <c r="F377" s="126">
        <f t="shared" si="68"/>
        <v>548400.70000000007</v>
      </c>
    </row>
    <row r="378" spans="1:6">
      <c r="A378" s="109" t="s">
        <v>705</v>
      </c>
      <c r="B378" s="124" t="s">
        <v>263</v>
      </c>
      <c r="C378" s="124"/>
      <c r="D378" s="124"/>
      <c r="E378" s="124"/>
      <c r="F378" s="126">
        <f t="shared" si="68"/>
        <v>5170494.1965402467</v>
      </c>
    </row>
    <row r="379" spans="1:6">
      <c r="A379" s="109" t="s">
        <v>706</v>
      </c>
      <c r="B379" s="124" t="s">
        <v>341</v>
      </c>
      <c r="C379" s="124"/>
      <c r="D379" s="124"/>
      <c r="E379" s="124"/>
      <c r="F379" s="126">
        <f t="shared" si="68"/>
        <v>328837</v>
      </c>
    </row>
    <row r="380" spans="1:6">
      <c r="A380" s="109" t="s">
        <v>707</v>
      </c>
      <c r="B380" s="124" t="s">
        <v>379</v>
      </c>
      <c r="C380" s="124"/>
      <c r="D380" s="124"/>
      <c r="E380" s="124"/>
      <c r="F380" s="126">
        <f t="shared" si="68"/>
        <v>1109706</v>
      </c>
    </row>
    <row r="381" spans="1:6">
      <c r="A381" s="109" t="s">
        <v>708</v>
      </c>
      <c r="B381" s="124" t="s">
        <v>383</v>
      </c>
      <c r="C381" s="124"/>
      <c r="D381" s="124"/>
      <c r="E381" s="124"/>
      <c r="F381" s="126">
        <f t="shared" si="68"/>
        <v>2002881.62</v>
      </c>
    </row>
    <row r="382" spans="1:6">
      <c r="A382" s="109" t="s">
        <v>709</v>
      </c>
      <c r="B382" s="124" t="s">
        <v>403</v>
      </c>
      <c r="C382" s="124"/>
      <c r="D382" s="124"/>
      <c r="E382" s="124"/>
      <c r="F382" s="126">
        <f t="shared" si="68"/>
        <v>1225434.5333599998</v>
      </c>
    </row>
    <row r="383" spans="1:6">
      <c r="A383" s="109" t="s">
        <v>710</v>
      </c>
      <c r="B383" s="124" t="s">
        <v>413</v>
      </c>
      <c r="C383" s="124"/>
      <c r="D383" s="124"/>
      <c r="E383" s="124"/>
      <c r="F383" s="126">
        <f t="shared" si="68"/>
        <v>578396</v>
      </c>
    </row>
    <row r="384" spans="1:6">
      <c r="A384" s="109" t="s">
        <v>711</v>
      </c>
      <c r="B384" s="124" t="s">
        <v>420</v>
      </c>
      <c r="C384" s="124"/>
      <c r="D384" s="124"/>
      <c r="E384" s="124"/>
      <c r="F384" s="126">
        <f t="shared" si="68"/>
        <v>913966.42</v>
      </c>
    </row>
    <row r="385" spans="1:6">
      <c r="A385" s="109" t="s">
        <v>712</v>
      </c>
      <c r="B385" s="124" t="s">
        <v>428</v>
      </c>
      <c r="C385" s="124"/>
      <c r="D385" s="124"/>
      <c r="E385" s="124"/>
      <c r="F385" s="126">
        <f t="shared" si="68"/>
        <v>3713746</v>
      </c>
    </row>
    <row r="386" spans="1:6">
      <c r="A386" s="109" t="s">
        <v>713</v>
      </c>
      <c r="B386" s="124" t="s">
        <v>438</v>
      </c>
      <c r="C386" s="124"/>
      <c r="D386" s="124"/>
      <c r="E386" s="124"/>
      <c r="F386" s="126">
        <f t="shared" si="68"/>
        <v>3717376.3000000003</v>
      </c>
    </row>
    <row r="387" spans="1:6">
      <c r="A387" s="109" t="s">
        <v>714</v>
      </c>
      <c r="B387" s="124" t="s">
        <v>443</v>
      </c>
      <c r="C387" s="124"/>
      <c r="D387" s="124"/>
      <c r="E387" s="124"/>
      <c r="F387" s="126">
        <f t="shared" si="68"/>
        <v>3468966.5399999996</v>
      </c>
    </row>
    <row r="388" spans="1:6">
      <c r="A388" s="109" t="s">
        <v>715</v>
      </c>
      <c r="B388" s="124" t="s">
        <v>476</v>
      </c>
      <c r="C388" s="124"/>
      <c r="D388" s="124"/>
      <c r="E388" s="124"/>
      <c r="F388" s="126">
        <f t="shared" si="68"/>
        <v>186973.78</v>
      </c>
    </row>
    <row r="389" spans="1:6">
      <c r="A389" s="109" t="s">
        <v>716</v>
      </c>
      <c r="B389" s="124" t="s">
        <v>486</v>
      </c>
      <c r="C389" s="124"/>
      <c r="D389" s="124"/>
      <c r="E389" s="124"/>
      <c r="F389" s="126">
        <f t="shared" si="68"/>
        <v>855355</v>
      </c>
    </row>
    <row r="390" spans="1:6">
      <c r="A390" s="109" t="s">
        <v>717</v>
      </c>
      <c r="B390" s="124" t="s">
        <v>494</v>
      </c>
      <c r="C390" s="124"/>
      <c r="D390" s="124"/>
      <c r="E390" s="124"/>
      <c r="F390" s="126">
        <f t="shared" si="68"/>
        <v>747722.65500000003</v>
      </c>
    </row>
    <row r="391" spans="1:6">
      <c r="A391" s="109" t="s">
        <v>718</v>
      </c>
      <c r="B391" s="124" t="s">
        <v>515</v>
      </c>
      <c r="C391" s="124"/>
      <c r="D391" s="124"/>
      <c r="E391" s="124"/>
      <c r="F391" s="126">
        <f t="shared" si="68"/>
        <v>5554669.1399999997</v>
      </c>
    </row>
    <row r="392" spans="1:6">
      <c r="A392" s="109" t="s">
        <v>719</v>
      </c>
      <c r="B392" s="124" t="s">
        <v>583</v>
      </c>
      <c r="C392" s="124"/>
      <c r="D392" s="124"/>
      <c r="E392" s="124"/>
      <c r="F392" s="126">
        <f t="shared" si="68"/>
        <v>2578601.0384615385</v>
      </c>
    </row>
    <row r="393" spans="1:6">
      <c r="A393" s="109" t="s">
        <v>720</v>
      </c>
      <c r="B393" s="124" t="s">
        <v>610</v>
      </c>
      <c r="C393" s="124"/>
      <c r="D393" s="124"/>
      <c r="E393" s="124"/>
      <c r="F393" s="126">
        <f t="shared" si="68"/>
        <v>7500</v>
      </c>
    </row>
    <row r="394" spans="1:6">
      <c r="A394" s="109" t="s">
        <v>721</v>
      </c>
      <c r="B394" s="124" t="s">
        <v>614</v>
      </c>
      <c r="C394" s="124"/>
      <c r="D394" s="124"/>
      <c r="E394" s="124"/>
      <c r="F394" s="126">
        <f t="shared" si="68"/>
        <v>335539.30769230769</v>
      </c>
    </row>
    <row r="395" spans="1:6">
      <c r="A395" s="109" t="s">
        <v>722</v>
      </c>
      <c r="B395" s="124" t="s">
        <v>622</v>
      </c>
      <c r="C395" s="124"/>
      <c r="D395" s="124"/>
      <c r="E395" s="124"/>
      <c r="F395" s="126">
        <f t="shared" si="68"/>
        <v>315942.12</v>
      </c>
    </row>
    <row r="396" spans="1:6">
      <c r="A396" s="109" t="s">
        <v>644</v>
      </c>
      <c r="B396" s="124" t="s">
        <v>644</v>
      </c>
      <c r="C396" s="124"/>
      <c r="D396" s="124"/>
      <c r="E396" s="124"/>
      <c r="F396" s="126">
        <f t="shared" si="68"/>
        <v>928655.91990978911</v>
      </c>
    </row>
    <row r="397" spans="1:6">
      <c r="A397" s="109" t="s">
        <v>646</v>
      </c>
      <c r="B397" s="124" t="s">
        <v>646</v>
      </c>
      <c r="C397" s="124"/>
      <c r="D397" s="124"/>
      <c r="E397" s="124"/>
      <c r="F397" s="126">
        <f t="shared" si="68"/>
        <v>2097795.2000000002</v>
      </c>
    </row>
    <row r="398" spans="1:6">
      <c r="A398" s="109" t="s">
        <v>723</v>
      </c>
      <c r="B398" s="124" t="s">
        <v>681</v>
      </c>
      <c r="C398" s="124"/>
      <c r="D398" s="124"/>
      <c r="E398" s="124"/>
      <c r="F398" s="126">
        <f t="shared" si="68"/>
        <v>934138.37124637305</v>
      </c>
    </row>
    <row r="399" spans="1:6">
      <c r="A399" s="109" t="s">
        <v>724</v>
      </c>
      <c r="B399" s="124" t="s">
        <v>678</v>
      </c>
      <c r="C399" s="124"/>
      <c r="D399" s="124"/>
      <c r="E399" s="124"/>
      <c r="F399" s="126">
        <f t="shared" si="68"/>
        <v>2468500.7757699625</v>
      </c>
    </row>
    <row r="400" spans="1:6">
      <c r="A400" s="109" t="s">
        <v>725</v>
      </c>
      <c r="B400" s="124" t="s">
        <v>693</v>
      </c>
      <c r="C400" s="124"/>
      <c r="D400" s="124"/>
      <c r="E400" s="124"/>
      <c r="F400" s="126">
        <f t="shared" si="68"/>
        <v>4389635.988993247</v>
      </c>
    </row>
    <row r="401" spans="1:7">
      <c r="A401" s="109" t="s">
        <v>99</v>
      </c>
      <c r="B401" s="124"/>
      <c r="C401" s="124"/>
      <c r="D401" s="124"/>
      <c r="E401" s="124"/>
      <c r="F401" s="127">
        <f>SUM(F370:F400)</f>
        <v>57971585.851408847</v>
      </c>
    </row>
    <row r="402" spans="1:7">
      <c r="A402" s="128" t="s">
        <v>726</v>
      </c>
      <c r="B402" s="129"/>
      <c r="C402" s="129"/>
      <c r="D402" s="129"/>
      <c r="E402" s="129"/>
      <c r="F402" s="130">
        <f>$L$326-F401</f>
        <v>1288500</v>
      </c>
    </row>
    <row r="404" spans="1:7">
      <c r="A404" s="131" t="s">
        <v>727</v>
      </c>
      <c r="B404" s="124"/>
      <c r="C404" s="124"/>
      <c r="D404" s="124"/>
      <c r="E404" s="124"/>
      <c r="F404" s="124"/>
      <c r="G404" s="109"/>
    </row>
    <row r="405" spans="1:7">
      <c r="A405" s="131" t="s">
        <v>728</v>
      </c>
      <c r="B405" s="124"/>
      <c r="C405" s="124"/>
      <c r="D405" s="124"/>
      <c r="E405" s="124"/>
      <c r="F405" s="124"/>
      <c r="G405" s="109"/>
    </row>
    <row r="406" spans="1:7">
      <c r="A406" s="109" t="s">
        <v>304</v>
      </c>
      <c r="B406" s="124" t="s">
        <v>305</v>
      </c>
      <c r="C406" s="124"/>
      <c r="D406" s="124"/>
      <c r="E406" s="124"/>
      <c r="F406" s="126">
        <f t="shared" ref="F406:F416" si="69">SUMIF($B$20:$B$326,B406,$K$20:$K$326)</f>
        <v>490500.39</v>
      </c>
      <c r="G406" s="124" t="s">
        <v>263</v>
      </c>
    </row>
    <row r="407" spans="1:7">
      <c r="A407" s="109" t="s">
        <v>307</v>
      </c>
      <c r="B407" s="124" t="s">
        <v>308</v>
      </c>
      <c r="C407" s="124"/>
      <c r="D407" s="124"/>
      <c r="E407" s="124"/>
      <c r="F407" s="126">
        <f t="shared" si="69"/>
        <v>60368</v>
      </c>
      <c r="G407" s="124" t="s">
        <v>263</v>
      </c>
    </row>
    <row r="408" spans="1:7">
      <c r="A408" s="109" t="s">
        <v>309</v>
      </c>
      <c r="B408" s="124" t="s">
        <v>310</v>
      </c>
      <c r="C408" s="124"/>
      <c r="D408" s="124"/>
      <c r="E408" s="124"/>
      <c r="F408" s="126">
        <f t="shared" si="69"/>
        <v>3988</v>
      </c>
      <c r="G408" s="124" t="s">
        <v>263</v>
      </c>
    </row>
    <row r="409" spans="1:7">
      <c r="A409" s="109" t="s">
        <v>311</v>
      </c>
      <c r="B409" s="124" t="s">
        <v>312</v>
      </c>
      <c r="C409" s="124"/>
      <c r="D409" s="124"/>
      <c r="E409" s="124"/>
      <c r="F409" s="126">
        <f t="shared" si="69"/>
        <v>155571</v>
      </c>
      <c r="G409" s="124" t="s">
        <v>263</v>
      </c>
    </row>
    <row r="410" spans="1:7">
      <c r="A410" s="109" t="s">
        <v>313</v>
      </c>
      <c r="B410" s="124" t="s">
        <v>314</v>
      </c>
      <c r="C410" s="124"/>
      <c r="D410" s="124"/>
      <c r="E410" s="124"/>
      <c r="F410" s="126">
        <f t="shared" si="69"/>
        <v>6000</v>
      </c>
      <c r="G410" s="124" t="s">
        <v>263</v>
      </c>
    </row>
    <row r="411" spans="1:7">
      <c r="A411" s="109" t="s">
        <v>315</v>
      </c>
      <c r="B411" s="124" t="s">
        <v>316</v>
      </c>
      <c r="C411" s="124"/>
      <c r="D411" s="124"/>
      <c r="E411" s="124"/>
      <c r="F411" s="126">
        <f t="shared" si="69"/>
        <v>28285.608078000001</v>
      </c>
      <c r="G411" s="124" t="s">
        <v>263</v>
      </c>
    </row>
    <row r="412" spans="1:7">
      <c r="A412" s="109" t="s">
        <v>317</v>
      </c>
      <c r="B412" s="124" t="s">
        <v>318</v>
      </c>
      <c r="C412" s="124"/>
      <c r="D412" s="124"/>
      <c r="E412" s="124"/>
      <c r="F412" s="126">
        <f t="shared" si="69"/>
        <v>56627.843999999997</v>
      </c>
      <c r="G412" s="124" t="s">
        <v>263</v>
      </c>
    </row>
    <row r="413" spans="1:7">
      <c r="A413" s="109" t="s">
        <v>729</v>
      </c>
      <c r="B413" s="124" t="s">
        <v>320</v>
      </c>
      <c r="C413" s="124"/>
      <c r="D413" s="124"/>
      <c r="E413" s="124"/>
      <c r="F413" s="126">
        <f t="shared" si="69"/>
        <v>41366</v>
      </c>
      <c r="G413" s="124" t="s">
        <v>263</v>
      </c>
    </row>
    <row r="414" spans="1:7">
      <c r="A414" s="109" t="s">
        <v>730</v>
      </c>
      <c r="B414" s="124" t="s">
        <v>323</v>
      </c>
      <c r="C414" s="124"/>
      <c r="D414" s="124"/>
      <c r="E414" s="124"/>
      <c r="F414" s="126">
        <f t="shared" si="69"/>
        <v>22620.023400000002</v>
      </c>
      <c r="G414" s="124" t="s">
        <v>263</v>
      </c>
    </row>
    <row r="415" spans="1:7">
      <c r="A415" s="109" t="s">
        <v>380</v>
      </c>
      <c r="B415" s="124" t="s">
        <v>381</v>
      </c>
      <c r="C415" s="124"/>
      <c r="D415" s="124"/>
      <c r="E415" s="124"/>
      <c r="F415" s="126">
        <f t="shared" si="69"/>
        <v>1109706</v>
      </c>
      <c r="G415" s="124" t="s">
        <v>379</v>
      </c>
    </row>
    <row r="416" spans="1:7" ht="17.25">
      <c r="A416" s="109" t="s">
        <v>385</v>
      </c>
      <c r="B416" s="124" t="s">
        <v>386</v>
      </c>
      <c r="C416" s="124"/>
      <c r="D416" s="124"/>
      <c r="E416" s="124"/>
      <c r="F416" s="132">
        <f t="shared" si="69"/>
        <v>87728.54</v>
      </c>
      <c r="G416" s="124" t="s">
        <v>383</v>
      </c>
    </row>
    <row r="417" spans="1:7">
      <c r="A417" s="109" t="s">
        <v>731</v>
      </c>
      <c r="B417" s="124"/>
      <c r="C417" s="124"/>
      <c r="D417" s="124"/>
      <c r="E417" s="124"/>
      <c r="F417" s="127">
        <f>SUM(F406:F416)</f>
        <v>2062761.4054780002</v>
      </c>
      <c r="G417" s="109"/>
    </row>
    <row r="418" spans="1:7">
      <c r="A418" s="109"/>
      <c r="B418" s="124"/>
      <c r="C418" s="124"/>
      <c r="D418" s="124"/>
      <c r="E418" s="124"/>
      <c r="F418" s="124"/>
      <c r="G418" s="109"/>
    </row>
    <row r="419" spans="1:7">
      <c r="A419" s="109"/>
      <c r="B419" s="124"/>
      <c r="C419" s="124"/>
      <c r="D419" s="124"/>
      <c r="E419" s="124"/>
      <c r="F419" s="109"/>
      <c r="G419" s="109"/>
    </row>
    <row r="420" spans="1:7">
      <c r="A420" s="131" t="s">
        <v>732</v>
      </c>
      <c r="B420" s="124"/>
      <c r="C420" s="124"/>
      <c r="D420" s="124"/>
      <c r="E420" s="124"/>
      <c r="F420" s="124"/>
      <c r="G420" s="109"/>
    </row>
    <row r="421" spans="1:7">
      <c r="A421" s="128" t="s">
        <v>733</v>
      </c>
      <c r="B421" s="124"/>
      <c r="C421" s="124"/>
      <c r="D421" s="124"/>
      <c r="E421" s="124"/>
      <c r="F421" s="124"/>
      <c r="G421" s="109"/>
    </row>
    <row r="422" spans="1:7">
      <c r="A422" s="109" t="s">
        <v>734</v>
      </c>
      <c r="B422" s="124">
        <v>2</v>
      </c>
      <c r="C422" s="124"/>
      <c r="D422" s="124"/>
      <c r="E422" s="124"/>
      <c r="F422" s="126">
        <f t="shared" ref="F422:F427" si="70">SUMIF($B$20:$B$326,B422,$L$20:$L$326)</f>
        <v>8000</v>
      </c>
      <c r="G422" s="109"/>
    </row>
    <row r="423" spans="1:7">
      <c r="A423" s="109" t="s">
        <v>735</v>
      </c>
      <c r="B423" s="124">
        <v>31</v>
      </c>
      <c r="C423" s="124"/>
      <c r="D423" s="124"/>
      <c r="E423" s="124"/>
      <c r="F423" s="126">
        <f t="shared" si="70"/>
        <v>747722.65500000003</v>
      </c>
      <c r="G423" s="109"/>
    </row>
    <row r="424" spans="1:7">
      <c r="A424" s="109" t="s">
        <v>736</v>
      </c>
      <c r="B424" s="124">
        <v>32</v>
      </c>
      <c r="C424" s="124"/>
      <c r="D424" s="124"/>
      <c r="E424" s="124"/>
      <c r="F424" s="126">
        <f t="shared" si="70"/>
        <v>5554669.1399999997</v>
      </c>
      <c r="G424" s="109"/>
    </row>
    <row r="425" spans="1:7">
      <c r="A425" s="109" t="s">
        <v>737</v>
      </c>
      <c r="B425" s="124">
        <v>33</v>
      </c>
      <c r="C425" s="124"/>
      <c r="D425" s="124"/>
      <c r="E425" s="124"/>
      <c r="F425" s="126">
        <f t="shared" si="70"/>
        <v>2578601.0384615385</v>
      </c>
      <c r="G425" s="109"/>
    </row>
    <row r="426" spans="1:7">
      <c r="A426" s="109" t="s">
        <v>738</v>
      </c>
      <c r="B426" s="124">
        <v>34</v>
      </c>
      <c r="C426" s="124"/>
      <c r="D426" s="124"/>
      <c r="E426" s="124"/>
      <c r="F426" s="126">
        <f t="shared" si="70"/>
        <v>7500</v>
      </c>
      <c r="G426" s="109"/>
    </row>
    <row r="427" spans="1:7">
      <c r="A427" s="109" t="s">
        <v>739</v>
      </c>
      <c r="B427" s="124">
        <v>48</v>
      </c>
      <c r="C427" s="124"/>
      <c r="D427" s="124"/>
      <c r="E427" s="124"/>
      <c r="F427" s="126">
        <f t="shared" si="70"/>
        <v>335539.30769230769</v>
      </c>
      <c r="G427" s="109"/>
    </row>
    <row r="428" spans="1:7">
      <c r="A428" s="109"/>
      <c r="B428" s="124"/>
      <c r="C428" s="124"/>
      <c r="D428" s="124"/>
      <c r="E428" s="124"/>
      <c r="F428" s="126"/>
      <c r="G428" s="109"/>
    </row>
    <row r="429" spans="1:7">
      <c r="A429" s="128" t="s">
        <v>740</v>
      </c>
      <c r="B429" s="124"/>
      <c r="C429" s="124"/>
      <c r="D429" s="124"/>
      <c r="E429" s="124"/>
      <c r="F429" s="126"/>
      <c r="G429" s="109"/>
    </row>
    <row r="430" spans="1:7">
      <c r="A430" s="109" t="s">
        <v>68</v>
      </c>
      <c r="B430" s="124" t="s">
        <v>406</v>
      </c>
      <c r="C430" s="124"/>
      <c r="D430" s="124"/>
      <c r="E430" s="124"/>
      <c r="F430" s="126">
        <f t="shared" ref="F430:F437" si="71">SUMIF($B$20:$B$326,B430,$K$20:$K$326)</f>
        <v>721474.53335999988</v>
      </c>
      <c r="G430" s="109"/>
    </row>
    <row r="431" spans="1:7">
      <c r="A431" s="109" t="s">
        <v>184</v>
      </c>
      <c r="B431" s="124" t="s">
        <v>185</v>
      </c>
      <c r="C431" s="124"/>
      <c r="D431" s="124"/>
      <c r="E431" s="124"/>
      <c r="F431" s="126">
        <f t="shared" si="71"/>
        <v>27413</v>
      </c>
      <c r="G431" s="109"/>
    </row>
    <row r="432" spans="1:7">
      <c r="A432" s="109" t="s">
        <v>741</v>
      </c>
      <c r="B432" s="124"/>
      <c r="C432" s="124"/>
      <c r="D432" s="124"/>
      <c r="E432" s="124"/>
      <c r="F432" s="126">
        <f t="shared" si="71"/>
        <v>0</v>
      </c>
      <c r="G432" s="109"/>
    </row>
    <row r="433" spans="1:7">
      <c r="A433" s="109" t="s">
        <v>742</v>
      </c>
      <c r="B433" s="124"/>
      <c r="C433" s="124"/>
      <c r="D433" s="124"/>
      <c r="E433" s="124"/>
      <c r="F433" s="126">
        <f t="shared" si="71"/>
        <v>0</v>
      </c>
      <c r="G433" s="109"/>
    </row>
    <row r="434" spans="1:7">
      <c r="A434" s="109" t="s">
        <v>404</v>
      </c>
      <c r="B434" s="124" t="s">
        <v>405</v>
      </c>
      <c r="C434" s="124"/>
      <c r="D434" s="124"/>
      <c r="E434" s="124"/>
      <c r="F434" s="126">
        <f t="shared" si="71"/>
        <v>490000</v>
      </c>
      <c r="G434" s="109"/>
    </row>
    <row r="435" spans="1:7">
      <c r="A435" s="109" t="s">
        <v>351</v>
      </c>
      <c r="B435" s="124" t="s">
        <v>743</v>
      </c>
      <c r="C435" s="124"/>
      <c r="D435" s="124"/>
      <c r="E435" s="124"/>
      <c r="F435" s="126">
        <f t="shared" si="71"/>
        <v>0</v>
      </c>
      <c r="G435" s="109"/>
    </row>
    <row r="436" spans="1:7">
      <c r="A436" s="109" t="s">
        <v>459</v>
      </c>
      <c r="B436" s="124" t="s">
        <v>744</v>
      </c>
      <c r="C436" s="124"/>
      <c r="D436" s="124"/>
      <c r="E436" s="124"/>
      <c r="F436" s="126">
        <f t="shared" si="71"/>
        <v>0</v>
      </c>
      <c r="G436" s="109"/>
    </row>
    <row r="437" spans="1:7">
      <c r="A437" s="109" t="s">
        <v>122</v>
      </c>
      <c r="B437" s="124" t="s">
        <v>114</v>
      </c>
      <c r="C437" s="124"/>
      <c r="D437" s="124"/>
      <c r="E437" s="109"/>
      <c r="F437" s="126">
        <f t="shared" si="71"/>
        <v>1254627.8600000001</v>
      </c>
      <c r="G437" s="109"/>
    </row>
    <row r="438" spans="1:7">
      <c r="A438" s="131" t="s">
        <v>745</v>
      </c>
      <c r="B438" s="125"/>
      <c r="C438" s="125"/>
      <c r="D438" s="125"/>
      <c r="E438" s="131"/>
      <c r="F438" s="133">
        <f>SUM(F422:F437)</f>
        <v>11725547.534513846</v>
      </c>
      <c r="G438" s="109"/>
    </row>
    <row r="439" spans="1:7">
      <c r="A439" s="109"/>
      <c r="B439" s="124"/>
      <c r="C439" s="124"/>
      <c r="D439" s="124"/>
      <c r="E439" s="109"/>
      <c r="F439" s="109"/>
      <c r="G439" s="109"/>
    </row>
    <row r="440" spans="1:7">
      <c r="A440" s="109"/>
      <c r="B440" s="109"/>
      <c r="C440" s="109"/>
      <c r="D440" s="109"/>
      <c r="E440" s="109"/>
      <c r="F440" s="109"/>
      <c r="G440" s="109"/>
    </row>
    <row r="441" spans="1:7">
      <c r="A441" s="109" t="s">
        <v>578</v>
      </c>
      <c r="B441" s="124" t="s">
        <v>746</v>
      </c>
      <c r="C441" s="124"/>
      <c r="D441" s="124"/>
      <c r="E441" s="134" t="s">
        <v>747</v>
      </c>
      <c r="F441" s="124"/>
      <c r="G441" s="109"/>
    </row>
    <row r="442" spans="1:7">
      <c r="A442" s="109" t="s">
        <v>579</v>
      </c>
      <c r="B442" s="124" t="s">
        <v>748</v>
      </c>
      <c r="C442" s="124"/>
      <c r="D442" s="124"/>
      <c r="E442" s="134" t="s">
        <v>747</v>
      </c>
      <c r="F442" s="124"/>
      <c r="G442" s="109"/>
    </row>
    <row r="443" spans="1:7">
      <c r="A443" s="109" t="s">
        <v>580</v>
      </c>
      <c r="B443" s="124" t="s">
        <v>749</v>
      </c>
      <c r="C443" s="124"/>
      <c r="D443" s="124"/>
      <c r="E443" s="134" t="s">
        <v>747</v>
      </c>
      <c r="F443" s="124"/>
      <c r="G443" s="109"/>
    </row>
    <row r="444" spans="1:7">
      <c r="A444" s="109" t="s">
        <v>581</v>
      </c>
      <c r="B444" s="124" t="s">
        <v>750</v>
      </c>
      <c r="C444" s="124"/>
      <c r="D444" s="124"/>
      <c r="E444" s="134" t="s">
        <v>747</v>
      </c>
      <c r="F444" s="124"/>
      <c r="G444" s="109"/>
    </row>
    <row r="445" spans="1:7">
      <c r="A445" s="109" t="s">
        <v>592</v>
      </c>
      <c r="B445" s="124" t="s">
        <v>751</v>
      </c>
      <c r="C445" s="124"/>
      <c r="D445" s="124"/>
      <c r="E445" s="134" t="s">
        <v>752</v>
      </c>
      <c r="F445" s="124"/>
      <c r="G445" s="109"/>
    </row>
    <row r="446" spans="1:7">
      <c r="A446" s="109" t="s">
        <v>606</v>
      </c>
      <c r="B446" s="124" t="s">
        <v>753</v>
      </c>
      <c r="C446" s="124"/>
      <c r="D446" s="124"/>
      <c r="E446" s="134" t="s">
        <v>752</v>
      </c>
      <c r="F446" s="124"/>
      <c r="G446" s="109"/>
    </row>
    <row r="447" spans="1:7">
      <c r="A447" s="109" t="s">
        <v>607</v>
      </c>
      <c r="B447" s="124" t="s">
        <v>754</v>
      </c>
      <c r="C447" s="124"/>
      <c r="D447" s="124"/>
      <c r="E447" s="134" t="s">
        <v>752</v>
      </c>
      <c r="F447" s="124"/>
      <c r="G447" s="109"/>
    </row>
    <row r="448" spans="1:7">
      <c r="A448" s="109" t="s">
        <v>608</v>
      </c>
      <c r="B448" s="124" t="s">
        <v>755</v>
      </c>
      <c r="C448" s="124"/>
      <c r="D448" s="124"/>
      <c r="E448" s="134" t="s">
        <v>752</v>
      </c>
      <c r="F448" s="109"/>
      <c r="G448" s="109"/>
    </row>
    <row r="449" spans="1:7">
      <c r="A449" s="109" t="s">
        <v>611</v>
      </c>
      <c r="B449" s="124" t="s">
        <v>756</v>
      </c>
      <c r="C449" s="124"/>
      <c r="D449" s="124"/>
      <c r="E449" s="134" t="s">
        <v>757</v>
      </c>
      <c r="F449" s="109"/>
      <c r="G449" s="109"/>
    </row>
    <row r="450" spans="1:7">
      <c r="A450" s="109" t="s">
        <v>122</v>
      </c>
      <c r="B450" s="124" t="s">
        <v>114</v>
      </c>
      <c r="C450" s="124"/>
      <c r="D450" s="124"/>
      <c r="E450" s="124"/>
      <c r="F450" s="109"/>
      <c r="G450" s="109"/>
    </row>
    <row r="451" spans="1:7">
      <c r="A451" s="109"/>
      <c r="B451" s="124"/>
      <c r="C451" s="124"/>
      <c r="D451" s="124"/>
      <c r="E451" s="124"/>
      <c r="F451" s="109"/>
      <c r="G451" s="109"/>
    </row>
    <row r="452" spans="1:7">
      <c r="A452" s="131" t="s">
        <v>758</v>
      </c>
      <c r="B452" s="124"/>
      <c r="C452" s="124"/>
      <c r="D452" s="124"/>
      <c r="E452" s="124"/>
      <c r="F452" s="109"/>
      <c r="G452" s="109"/>
    </row>
    <row r="453" spans="1:7">
      <c r="A453" s="131" t="s">
        <v>759</v>
      </c>
      <c r="B453" s="124"/>
      <c r="C453" s="124"/>
      <c r="D453" s="124"/>
      <c r="E453" s="124"/>
      <c r="F453" s="109"/>
      <c r="G453" s="109"/>
    </row>
    <row r="454" spans="1:7">
      <c r="A454" s="109" t="s">
        <v>351</v>
      </c>
      <c r="B454" s="124" t="s">
        <v>743</v>
      </c>
      <c r="C454" s="124"/>
      <c r="D454" s="124"/>
      <c r="E454" s="124"/>
      <c r="F454" s="126">
        <f>SUMIF($B$20:$B$326,B454,$K$20:$K$326)</f>
        <v>0</v>
      </c>
      <c r="G454" s="109"/>
    </row>
    <row r="455" spans="1:7">
      <c r="A455" s="109" t="s">
        <v>459</v>
      </c>
      <c r="B455" s="124" t="s">
        <v>744</v>
      </c>
      <c r="C455" s="124"/>
      <c r="D455" s="124"/>
      <c r="E455" s="124"/>
      <c r="F455" s="126">
        <f t="shared" ref="F455:F464" si="72">SUMIF($B$20:$B$326,B455,$K$20:$K$326)</f>
        <v>0</v>
      </c>
      <c r="G455" s="109"/>
    </row>
    <row r="456" spans="1:7">
      <c r="A456" s="109" t="s">
        <v>578</v>
      </c>
      <c r="B456" s="124" t="s">
        <v>746</v>
      </c>
      <c r="C456" s="124"/>
      <c r="D456" s="124"/>
      <c r="E456" s="124"/>
      <c r="F456" s="126">
        <f t="shared" si="72"/>
        <v>0</v>
      </c>
      <c r="G456" s="109"/>
    </row>
    <row r="457" spans="1:7">
      <c r="A457" s="109" t="s">
        <v>579</v>
      </c>
      <c r="B457" s="124" t="s">
        <v>748</v>
      </c>
      <c r="C457" s="124"/>
      <c r="D457" s="124"/>
      <c r="E457" s="124"/>
      <c r="F457" s="126">
        <f t="shared" si="72"/>
        <v>0</v>
      </c>
      <c r="G457" s="109"/>
    </row>
    <row r="458" spans="1:7">
      <c r="A458" s="109" t="s">
        <v>580</v>
      </c>
      <c r="B458" s="124" t="s">
        <v>749</v>
      </c>
      <c r="C458" s="124"/>
      <c r="D458" s="124"/>
      <c r="E458" s="124"/>
      <c r="F458" s="126">
        <f t="shared" si="72"/>
        <v>0</v>
      </c>
      <c r="G458" s="109"/>
    </row>
    <row r="459" spans="1:7">
      <c r="A459" s="109" t="s">
        <v>581</v>
      </c>
      <c r="B459" s="124" t="s">
        <v>750</v>
      </c>
      <c r="C459" s="124"/>
      <c r="D459" s="124"/>
      <c r="E459" s="124"/>
      <c r="F459" s="126">
        <f t="shared" si="72"/>
        <v>0</v>
      </c>
      <c r="G459" s="109"/>
    </row>
    <row r="460" spans="1:7">
      <c r="A460" s="109" t="s">
        <v>606</v>
      </c>
      <c r="B460" s="124" t="s">
        <v>753</v>
      </c>
      <c r="C460" s="124"/>
      <c r="D460" s="124"/>
      <c r="E460" s="124"/>
      <c r="F460" s="126">
        <f t="shared" si="72"/>
        <v>0</v>
      </c>
      <c r="G460" s="109"/>
    </row>
    <row r="461" spans="1:7">
      <c r="A461" s="109" t="s">
        <v>607</v>
      </c>
      <c r="B461" s="124" t="s">
        <v>754</v>
      </c>
      <c r="C461" s="124"/>
      <c r="D461" s="124"/>
      <c r="E461" s="124"/>
      <c r="F461" s="126">
        <f t="shared" si="72"/>
        <v>0</v>
      </c>
      <c r="G461" s="109"/>
    </row>
    <row r="462" spans="1:7">
      <c r="A462" s="109" t="s">
        <v>592</v>
      </c>
      <c r="B462" s="124" t="s">
        <v>751</v>
      </c>
      <c r="C462" s="124"/>
      <c r="D462" s="124"/>
      <c r="E462" s="124"/>
      <c r="F462" s="126">
        <f t="shared" si="72"/>
        <v>0</v>
      </c>
      <c r="G462" s="109"/>
    </row>
    <row r="463" spans="1:7">
      <c r="A463" s="109" t="s">
        <v>608</v>
      </c>
      <c r="B463" s="124" t="s">
        <v>755</v>
      </c>
      <c r="C463" s="124"/>
      <c r="D463" s="124"/>
      <c r="E463" s="124"/>
      <c r="F463" s="126">
        <f t="shared" si="72"/>
        <v>0</v>
      </c>
      <c r="G463" s="109"/>
    </row>
    <row r="464" spans="1:7">
      <c r="A464" s="109" t="s">
        <v>611</v>
      </c>
      <c r="B464" s="124" t="s">
        <v>756</v>
      </c>
      <c r="C464" s="124"/>
      <c r="D464" s="124"/>
      <c r="E464" s="124"/>
      <c r="F464" s="126">
        <f t="shared" si="72"/>
        <v>0</v>
      </c>
      <c r="G464" s="109"/>
    </row>
    <row r="465" spans="1:7">
      <c r="A465" s="109"/>
      <c r="B465" s="124"/>
      <c r="C465" s="124"/>
      <c r="D465" s="124"/>
      <c r="E465" s="124"/>
      <c r="F465" s="109"/>
      <c r="G465" s="109"/>
    </row>
    <row r="466" spans="1:7">
      <c r="A466" s="131" t="s">
        <v>760</v>
      </c>
      <c r="B466" s="124"/>
      <c r="C466" s="124"/>
      <c r="D466" s="124"/>
      <c r="E466" s="124"/>
      <c r="F466" s="109"/>
      <c r="G466" s="109"/>
    </row>
    <row r="467" spans="1:7">
      <c r="A467" s="128" t="s">
        <v>733</v>
      </c>
      <c r="B467" s="124"/>
      <c r="C467" s="124"/>
      <c r="D467" s="124"/>
      <c r="E467" s="124"/>
      <c r="F467" s="109"/>
      <c r="G467" s="109"/>
    </row>
    <row r="468" spans="1:7">
      <c r="A468" s="109" t="s">
        <v>140</v>
      </c>
      <c r="B468" s="124" t="s">
        <v>141</v>
      </c>
      <c r="C468" s="124"/>
      <c r="D468" s="124"/>
      <c r="E468" s="124"/>
      <c r="F468" s="126">
        <f t="shared" ref="F468" si="73">SUMIF($B$20:$B$326,B468,$K$20:$K$326)</f>
        <v>0</v>
      </c>
      <c r="G468" s="109"/>
    </row>
    <row r="469" spans="1:7">
      <c r="A469" s="109"/>
      <c r="B469" s="124"/>
      <c r="C469" s="124"/>
      <c r="D469" s="124"/>
      <c r="E469" s="124"/>
      <c r="F469" s="109"/>
      <c r="G469" s="109"/>
    </row>
    <row r="470" spans="1:7">
      <c r="A470" s="128" t="s">
        <v>740</v>
      </c>
      <c r="B470" s="124"/>
      <c r="C470" s="124"/>
      <c r="D470" s="124"/>
      <c r="E470" s="124"/>
      <c r="F470" s="109"/>
      <c r="G470" s="109"/>
    </row>
    <row r="471" spans="1:7">
      <c r="A471" s="109" t="s">
        <v>122</v>
      </c>
      <c r="B471" s="124" t="s">
        <v>114</v>
      </c>
      <c r="C471" s="124"/>
      <c r="D471" s="124"/>
      <c r="E471" s="124"/>
      <c r="F471" s="126">
        <f t="shared" ref="F471:F520" si="74">SUMIF($B$20:$B$326,B471,$K$20:$K$326)</f>
        <v>1254627.8600000001</v>
      </c>
      <c r="G471" s="109"/>
    </row>
    <row r="472" spans="1:7">
      <c r="A472" s="109" t="s">
        <v>128</v>
      </c>
      <c r="B472" s="124" t="s">
        <v>129</v>
      </c>
      <c r="C472" s="124"/>
      <c r="D472" s="124"/>
      <c r="E472" s="124"/>
      <c r="F472" s="126">
        <f t="shared" si="74"/>
        <v>5000</v>
      </c>
      <c r="G472" s="109"/>
    </row>
    <row r="473" spans="1:7">
      <c r="A473" s="109" t="s">
        <v>131</v>
      </c>
      <c r="B473" s="124" t="s">
        <v>132</v>
      </c>
      <c r="C473" s="124"/>
      <c r="D473" s="124"/>
      <c r="E473" s="124"/>
      <c r="F473" s="126">
        <f t="shared" si="74"/>
        <v>0</v>
      </c>
      <c r="G473" s="109"/>
    </row>
    <row r="474" spans="1:7">
      <c r="A474" s="109" t="s">
        <v>133</v>
      </c>
      <c r="B474" s="124" t="s">
        <v>134</v>
      </c>
      <c r="C474" s="124"/>
      <c r="D474" s="124"/>
      <c r="E474" s="124"/>
      <c r="F474" s="126">
        <f t="shared" si="74"/>
        <v>0</v>
      </c>
      <c r="G474" s="109"/>
    </row>
    <row r="475" spans="1:7">
      <c r="A475" s="109" t="s">
        <v>138</v>
      </c>
      <c r="B475" s="124" t="s">
        <v>139</v>
      </c>
      <c r="C475" s="124"/>
      <c r="D475" s="124"/>
      <c r="E475" s="124"/>
      <c r="F475" s="126">
        <f t="shared" si="74"/>
        <v>78723.840000000011</v>
      </c>
      <c r="G475" s="109"/>
    </row>
    <row r="476" spans="1:7">
      <c r="A476" s="109" t="s">
        <v>158</v>
      </c>
      <c r="B476" s="124" t="s">
        <v>159</v>
      </c>
      <c r="C476" s="124"/>
      <c r="D476" s="124"/>
      <c r="E476" s="124"/>
      <c r="F476" s="126">
        <f t="shared" si="74"/>
        <v>0</v>
      </c>
      <c r="G476" s="109"/>
    </row>
    <row r="477" spans="1:7">
      <c r="A477" s="109" t="s">
        <v>761</v>
      </c>
      <c r="B477" s="124" t="s">
        <v>161</v>
      </c>
      <c r="C477" s="124"/>
      <c r="D477" s="124"/>
      <c r="E477" s="124"/>
      <c r="F477" s="126">
        <f t="shared" si="74"/>
        <v>0</v>
      </c>
      <c r="G477" s="109"/>
    </row>
    <row r="478" spans="1:7">
      <c r="A478" s="109" t="s">
        <v>172</v>
      </c>
      <c r="B478" s="124" t="s">
        <v>173</v>
      </c>
      <c r="C478" s="124"/>
      <c r="D478" s="124"/>
      <c r="E478" s="124"/>
      <c r="F478" s="126">
        <f t="shared" si="74"/>
        <v>0</v>
      </c>
      <c r="G478" s="109"/>
    </row>
    <row r="479" spans="1:7">
      <c r="A479" s="109" t="s">
        <v>174</v>
      </c>
      <c r="B479" s="124" t="s">
        <v>175</v>
      </c>
      <c r="C479" s="124"/>
      <c r="D479" s="124"/>
      <c r="E479" s="124"/>
      <c r="F479" s="126">
        <f t="shared" si="74"/>
        <v>3900</v>
      </c>
      <c r="G479" s="109"/>
    </row>
    <row r="480" spans="1:7">
      <c r="A480" s="109" t="s">
        <v>191</v>
      </c>
      <c r="B480" s="124" t="s">
        <v>192</v>
      </c>
      <c r="C480" s="124"/>
      <c r="D480" s="124"/>
      <c r="E480" s="124"/>
      <c r="F480" s="126">
        <f t="shared" si="74"/>
        <v>0</v>
      </c>
      <c r="G480" s="109"/>
    </row>
    <row r="481" spans="1:7">
      <c r="A481" s="109" t="s">
        <v>193</v>
      </c>
      <c r="B481" s="124" t="s">
        <v>194</v>
      </c>
      <c r="C481" s="124"/>
      <c r="D481" s="124"/>
      <c r="E481" s="124"/>
      <c r="F481" s="126">
        <f t="shared" si="74"/>
        <v>5620</v>
      </c>
      <c r="G481" s="109"/>
    </row>
    <row r="482" spans="1:7">
      <c r="A482" s="109" t="s">
        <v>196</v>
      </c>
      <c r="B482" s="124" t="s">
        <v>197</v>
      </c>
      <c r="C482" s="124"/>
      <c r="D482" s="124"/>
      <c r="E482" s="124"/>
      <c r="F482" s="126">
        <f t="shared" si="74"/>
        <v>0</v>
      </c>
      <c r="G482" s="109"/>
    </row>
    <row r="483" spans="1:7">
      <c r="A483" s="109" t="s">
        <v>198</v>
      </c>
      <c r="B483" s="124" t="s">
        <v>199</v>
      </c>
      <c r="C483" s="124"/>
      <c r="D483" s="124"/>
      <c r="E483" s="124"/>
      <c r="F483" s="126">
        <f t="shared" si="74"/>
        <v>0</v>
      </c>
      <c r="G483" s="109"/>
    </row>
    <row r="484" spans="1:7">
      <c r="A484" s="109" t="s">
        <v>204</v>
      </c>
      <c r="B484" s="124" t="s">
        <v>205</v>
      </c>
      <c r="C484" s="124"/>
      <c r="D484" s="124"/>
      <c r="E484" s="124"/>
      <c r="F484" s="126">
        <f t="shared" si="74"/>
        <v>2062</v>
      </c>
      <c r="G484" s="109"/>
    </row>
    <row r="485" spans="1:7">
      <c r="A485" s="109" t="s">
        <v>214</v>
      </c>
      <c r="B485" s="124" t="s">
        <v>215</v>
      </c>
      <c r="C485" s="124"/>
      <c r="D485" s="124"/>
      <c r="E485" s="124"/>
      <c r="F485" s="126">
        <f t="shared" si="74"/>
        <v>6700</v>
      </c>
      <c r="G485" s="109"/>
    </row>
    <row r="486" spans="1:7">
      <c r="A486" s="109" t="s">
        <v>216</v>
      </c>
      <c r="B486" s="124" t="s">
        <v>215</v>
      </c>
      <c r="C486" s="124"/>
      <c r="D486" s="124"/>
      <c r="E486" s="124"/>
      <c r="F486" s="126">
        <f t="shared" si="74"/>
        <v>6700</v>
      </c>
      <c r="G486" s="109"/>
    </row>
    <row r="487" spans="1:7">
      <c r="A487" s="109" t="s">
        <v>249</v>
      </c>
      <c r="B487" s="124" t="s">
        <v>250</v>
      </c>
      <c r="C487" s="124"/>
      <c r="D487" s="124"/>
      <c r="E487" s="124"/>
      <c r="F487" s="126">
        <f t="shared" si="74"/>
        <v>0</v>
      </c>
      <c r="G487" s="109"/>
    </row>
    <row r="488" spans="1:7">
      <c r="A488" s="109" t="s">
        <v>251</v>
      </c>
      <c r="B488" s="124" t="s">
        <v>252</v>
      </c>
      <c r="C488" s="124"/>
      <c r="D488" s="124"/>
      <c r="E488" s="124"/>
      <c r="F488" s="126">
        <f t="shared" si="74"/>
        <v>0</v>
      </c>
      <c r="G488" s="109"/>
    </row>
    <row r="489" spans="1:7">
      <c r="A489" s="109" t="s">
        <v>280</v>
      </c>
      <c r="B489" s="124" t="s">
        <v>277</v>
      </c>
      <c r="C489" s="124"/>
      <c r="D489" s="124"/>
      <c r="E489" s="124"/>
      <c r="F489" s="126">
        <f t="shared" si="74"/>
        <v>643587.68606224644</v>
      </c>
      <c r="G489" s="109"/>
    </row>
    <row r="490" spans="1:7">
      <c r="A490" s="109" t="s">
        <v>286</v>
      </c>
      <c r="B490" s="124" t="s">
        <v>277</v>
      </c>
      <c r="C490" s="124"/>
      <c r="D490" s="124"/>
      <c r="E490" s="124"/>
      <c r="F490" s="126">
        <f t="shared" si="74"/>
        <v>643587.68606224644</v>
      </c>
      <c r="G490" s="109"/>
    </row>
    <row r="491" spans="1:7">
      <c r="A491" s="109" t="s">
        <v>762</v>
      </c>
      <c r="B491" s="124" t="s">
        <v>277</v>
      </c>
      <c r="C491" s="124"/>
      <c r="D491" s="124"/>
      <c r="E491" s="124"/>
      <c r="F491" s="126">
        <f t="shared" si="74"/>
        <v>643587.68606224644</v>
      </c>
      <c r="G491" s="109"/>
    </row>
    <row r="492" spans="1:7">
      <c r="A492" s="109" t="s">
        <v>344</v>
      </c>
      <c r="B492" s="124" t="s">
        <v>345</v>
      </c>
      <c r="C492" s="124"/>
      <c r="D492" s="124"/>
      <c r="E492" s="124"/>
      <c r="F492" s="126">
        <f t="shared" si="74"/>
        <v>53785</v>
      </c>
      <c r="G492" s="109"/>
    </row>
    <row r="493" spans="1:7">
      <c r="A493" s="109" t="s">
        <v>360</v>
      </c>
      <c r="B493" s="124" t="s">
        <v>361</v>
      </c>
      <c r="C493" s="124"/>
      <c r="D493" s="124"/>
      <c r="E493" s="124"/>
      <c r="F493" s="126">
        <f t="shared" si="74"/>
        <v>0</v>
      </c>
      <c r="G493" s="109"/>
    </row>
    <row r="494" spans="1:7">
      <c r="A494" s="109" t="s">
        <v>362</v>
      </c>
      <c r="B494" s="124" t="s">
        <v>363</v>
      </c>
      <c r="C494" s="124"/>
      <c r="D494" s="124"/>
      <c r="E494" s="124"/>
      <c r="F494" s="126">
        <f t="shared" si="74"/>
        <v>6720</v>
      </c>
      <c r="G494" s="109"/>
    </row>
    <row r="495" spans="1:7">
      <c r="A495" s="109" t="s">
        <v>399</v>
      </c>
      <c r="B495" s="124" t="s">
        <v>400</v>
      </c>
      <c r="C495" s="124"/>
      <c r="D495" s="124"/>
      <c r="E495" s="124"/>
      <c r="F495" s="126">
        <f t="shared" si="74"/>
        <v>21300</v>
      </c>
      <c r="G495" s="109"/>
    </row>
    <row r="496" spans="1:7">
      <c r="A496" s="109" t="s">
        <v>404</v>
      </c>
      <c r="B496" s="124" t="s">
        <v>405</v>
      </c>
      <c r="C496" s="124"/>
      <c r="D496" s="124"/>
      <c r="E496" s="124"/>
      <c r="F496" s="126">
        <f t="shared" si="74"/>
        <v>490000</v>
      </c>
      <c r="G496" s="109"/>
    </row>
    <row r="497" spans="1:7">
      <c r="A497" s="109" t="s">
        <v>68</v>
      </c>
      <c r="B497" s="124" t="s">
        <v>406</v>
      </c>
      <c r="C497" s="124"/>
      <c r="D497" s="124"/>
      <c r="E497" s="124"/>
      <c r="F497" s="126">
        <f t="shared" si="74"/>
        <v>721474.53335999988</v>
      </c>
      <c r="G497" s="109"/>
    </row>
    <row r="498" spans="1:7">
      <c r="A498" s="109" t="s">
        <v>408</v>
      </c>
      <c r="B498" s="124" t="s">
        <v>409</v>
      </c>
      <c r="C498" s="124"/>
      <c r="D498" s="124"/>
      <c r="E498" s="124"/>
      <c r="F498" s="126">
        <f t="shared" si="74"/>
        <v>13960</v>
      </c>
      <c r="G498" s="109"/>
    </row>
    <row r="499" spans="1:7">
      <c r="A499" s="109" t="s">
        <v>417</v>
      </c>
      <c r="B499" s="124" t="s">
        <v>418</v>
      </c>
      <c r="C499" s="124"/>
      <c r="D499" s="124"/>
      <c r="E499" s="124"/>
      <c r="F499" s="126">
        <f t="shared" si="74"/>
        <v>26000</v>
      </c>
      <c r="G499" s="109"/>
    </row>
    <row r="500" spans="1:7">
      <c r="A500" s="109" t="s">
        <v>433</v>
      </c>
      <c r="B500" s="124" t="s">
        <v>434</v>
      </c>
      <c r="C500" s="124"/>
      <c r="D500" s="124"/>
      <c r="E500" s="124"/>
      <c r="F500" s="126">
        <f t="shared" si="74"/>
        <v>49224</v>
      </c>
      <c r="G500" s="109"/>
    </row>
    <row r="501" spans="1:7">
      <c r="A501" s="109" t="s">
        <v>435</v>
      </c>
      <c r="B501" s="124" t="s">
        <v>436</v>
      </c>
      <c r="C501" s="124"/>
      <c r="D501" s="124"/>
      <c r="E501" s="124"/>
      <c r="F501" s="126">
        <f t="shared" si="74"/>
        <v>12000</v>
      </c>
      <c r="G501" s="109"/>
    </row>
    <row r="502" spans="1:7">
      <c r="A502" s="109" t="s">
        <v>453</v>
      </c>
      <c r="B502" s="124" t="s">
        <v>445</v>
      </c>
      <c r="C502" s="124"/>
      <c r="D502" s="124"/>
      <c r="E502" s="124"/>
      <c r="F502" s="126">
        <f t="shared" si="74"/>
        <v>2941261.1399999997</v>
      </c>
      <c r="G502" s="109"/>
    </row>
    <row r="503" spans="1:7">
      <c r="A503" s="109" t="s">
        <v>455</v>
      </c>
      <c r="B503" s="124" t="s">
        <v>448</v>
      </c>
      <c r="C503" s="124"/>
      <c r="D503" s="124"/>
      <c r="E503" s="124"/>
      <c r="F503" s="126">
        <f t="shared" si="74"/>
        <v>214148.4</v>
      </c>
      <c r="G503" s="109"/>
    </row>
    <row r="504" spans="1:7">
      <c r="A504" s="109" t="s">
        <v>456</v>
      </c>
      <c r="B504" s="124" t="s">
        <v>445</v>
      </c>
      <c r="C504" s="124"/>
      <c r="D504" s="124"/>
      <c r="E504" s="124"/>
      <c r="F504" s="126">
        <f t="shared" si="74"/>
        <v>2941261.1399999997</v>
      </c>
      <c r="G504" s="109"/>
    </row>
    <row r="505" spans="1:7">
      <c r="A505" s="109" t="s">
        <v>457</v>
      </c>
      <c r="B505" s="124" t="s">
        <v>458</v>
      </c>
      <c r="C505" s="124"/>
      <c r="D505" s="124"/>
      <c r="E505" s="124"/>
      <c r="F505" s="126">
        <f t="shared" si="74"/>
        <v>0</v>
      </c>
      <c r="G505" s="109"/>
    </row>
    <row r="506" spans="1:7">
      <c r="A506" s="109" t="s">
        <v>467</v>
      </c>
      <c r="B506" s="124" t="s">
        <v>468</v>
      </c>
      <c r="C506" s="124"/>
      <c r="D506" s="124"/>
      <c r="E506" s="124"/>
      <c r="F506" s="126">
        <f t="shared" si="74"/>
        <v>34000</v>
      </c>
      <c r="G506" s="109"/>
    </row>
    <row r="507" spans="1:7">
      <c r="A507" s="109" t="s">
        <v>469</v>
      </c>
      <c r="B507" s="124" t="s">
        <v>470</v>
      </c>
      <c r="C507" s="124"/>
      <c r="D507" s="124"/>
      <c r="E507" s="124"/>
      <c r="F507" s="126">
        <f t="shared" si="74"/>
        <v>22000</v>
      </c>
      <c r="G507" s="109"/>
    </row>
    <row r="508" spans="1:7">
      <c r="A508" s="109" t="s">
        <v>471</v>
      </c>
      <c r="B508" s="124" t="s">
        <v>472</v>
      </c>
      <c r="C508" s="124"/>
      <c r="D508" s="124"/>
      <c r="E508" s="124"/>
      <c r="F508" s="126">
        <f t="shared" si="74"/>
        <v>4000</v>
      </c>
      <c r="G508" s="109"/>
    </row>
    <row r="509" spans="1:7">
      <c r="A509" s="109" t="s">
        <v>473</v>
      </c>
      <c r="B509" s="124" t="s">
        <v>445</v>
      </c>
      <c r="C509" s="124"/>
      <c r="D509" s="124"/>
      <c r="E509" s="124"/>
      <c r="F509" s="126">
        <f t="shared" si="74"/>
        <v>2941261.1399999997</v>
      </c>
      <c r="G509" s="109"/>
    </row>
    <row r="510" spans="1:7">
      <c r="A510" s="109" t="s">
        <v>474</v>
      </c>
      <c r="B510" s="124" t="s">
        <v>448</v>
      </c>
      <c r="C510" s="124"/>
      <c r="D510" s="124"/>
      <c r="E510" s="124"/>
      <c r="F510" s="126">
        <f t="shared" si="74"/>
        <v>214148.4</v>
      </c>
      <c r="G510" s="109"/>
    </row>
    <row r="511" spans="1:7">
      <c r="A511" s="109" t="s">
        <v>526</v>
      </c>
      <c r="B511" s="124" t="s">
        <v>527</v>
      </c>
      <c r="C511" s="124"/>
      <c r="D511" s="124"/>
      <c r="E511" s="124"/>
      <c r="F511" s="126">
        <f t="shared" si="74"/>
        <v>117000</v>
      </c>
      <c r="G511" s="109"/>
    </row>
    <row r="512" spans="1:7">
      <c r="A512" s="109" t="s">
        <v>536</v>
      </c>
      <c r="B512" s="124" t="s">
        <v>537</v>
      </c>
      <c r="C512" s="124"/>
      <c r="D512" s="124"/>
      <c r="E512" s="124"/>
      <c r="F512" s="126">
        <f t="shared" si="74"/>
        <v>19320</v>
      </c>
      <c r="G512" s="109"/>
    </row>
    <row r="513" spans="1:7">
      <c r="A513" s="109" t="s">
        <v>70</v>
      </c>
      <c r="B513" s="124" t="s">
        <v>551</v>
      </c>
      <c r="C513" s="124"/>
      <c r="D513" s="124"/>
      <c r="E513" s="124"/>
      <c r="F513" s="126">
        <f t="shared" si="74"/>
        <v>45900</v>
      </c>
      <c r="G513" s="109"/>
    </row>
    <row r="514" spans="1:7">
      <c r="A514" s="109" t="s">
        <v>570</v>
      </c>
      <c r="B514" s="124" t="s">
        <v>571</v>
      </c>
      <c r="C514" s="124"/>
      <c r="D514" s="124"/>
      <c r="E514" s="124"/>
      <c r="F514" s="126">
        <f t="shared" si="74"/>
        <v>22000</v>
      </c>
      <c r="G514" s="109"/>
    </row>
    <row r="515" spans="1:7">
      <c r="A515" s="109" t="s">
        <v>652</v>
      </c>
      <c r="B515" s="124" t="s">
        <v>653</v>
      </c>
      <c r="C515" s="124"/>
      <c r="D515" s="124"/>
      <c r="E515" s="124"/>
      <c r="F515" s="126">
        <f t="shared" si="74"/>
        <v>21000</v>
      </c>
      <c r="G515" s="109"/>
    </row>
    <row r="516" spans="1:7">
      <c r="A516" s="109" t="s">
        <v>654</v>
      </c>
      <c r="B516" s="124" t="s">
        <v>655</v>
      </c>
      <c r="C516" s="124"/>
      <c r="D516" s="124"/>
      <c r="E516" s="124"/>
      <c r="F516" s="126">
        <f t="shared" si="74"/>
        <v>21900</v>
      </c>
      <c r="G516" s="109"/>
    </row>
    <row r="517" spans="1:7">
      <c r="A517" s="109" t="s">
        <v>656</v>
      </c>
      <c r="B517" s="124" t="s">
        <v>657</v>
      </c>
      <c r="C517" s="124"/>
      <c r="D517" s="124"/>
      <c r="E517" s="124"/>
      <c r="F517" s="126">
        <f t="shared" si="74"/>
        <v>190000</v>
      </c>
      <c r="G517" s="109"/>
    </row>
    <row r="518" spans="1:7">
      <c r="A518" s="109" t="s">
        <v>659</v>
      </c>
      <c r="B518" s="124" t="s">
        <v>660</v>
      </c>
      <c r="C518" s="124"/>
      <c r="D518" s="124"/>
      <c r="E518" s="124"/>
      <c r="F518" s="126">
        <f t="shared" si="74"/>
        <v>0</v>
      </c>
      <c r="G518" s="109"/>
    </row>
    <row r="519" spans="1:7">
      <c r="A519" s="109" t="s">
        <v>672</v>
      </c>
      <c r="B519" s="124" t="s">
        <v>478</v>
      </c>
      <c r="C519" s="124"/>
      <c r="D519" s="124"/>
      <c r="E519" s="124"/>
      <c r="F519" s="126">
        <f t="shared" si="74"/>
        <v>40800</v>
      </c>
      <c r="G519" s="109"/>
    </row>
    <row r="520" spans="1:7">
      <c r="A520" s="109" t="s">
        <v>673</v>
      </c>
      <c r="B520" s="124" t="s">
        <v>674</v>
      </c>
      <c r="C520" s="124"/>
      <c r="D520" s="124"/>
      <c r="E520" s="124"/>
      <c r="F520" s="126">
        <f t="shared" si="74"/>
        <v>4000</v>
      </c>
      <c r="G520" s="109"/>
    </row>
  </sheetData>
  <mergeCells count="1">
    <mergeCell ref="N291:V291"/>
  </mergeCells>
  <conditionalFormatting sqref="A2:B11 N20:V290 N292:V325">
    <cfRule type="expression" dxfId="162" priority="33">
      <formula>MOD(ROW(),2)</formula>
    </cfRule>
  </conditionalFormatting>
  <conditionalFormatting sqref="A13:B16">
    <cfRule type="expression" dxfId="161" priority="35">
      <formula>MOD(ROW(),2)=0</formula>
    </cfRule>
  </conditionalFormatting>
  <conditionalFormatting sqref="D3:F7">
    <cfRule type="expression" dxfId="160" priority="36">
      <formula>MOD(ROW(),2)=0</formula>
    </cfRule>
  </conditionalFormatting>
  <conditionalFormatting sqref="D10:F16">
    <cfRule type="expression" dxfId="159" priority="26">
      <formula>MOD(ROW(),2)</formula>
    </cfRule>
  </conditionalFormatting>
  <conditionalFormatting sqref="D15:F15">
    <cfRule type="expression" dxfId="158" priority="34">
      <formula>MOD(ROW(),2)=0</formula>
    </cfRule>
  </conditionalFormatting>
  <conditionalFormatting sqref="E364">
    <cfRule type="cellIs" dxfId="157" priority="28" operator="lessThan">
      <formula>0</formula>
    </cfRule>
    <cfRule type="cellIs" dxfId="156" priority="29" operator="greaterThan">
      <formula>0</formula>
    </cfRule>
  </conditionalFormatting>
  <conditionalFormatting sqref="E222:K257">
    <cfRule type="expression" dxfId="155" priority="2">
      <formula>MOD(ROW(),2)</formula>
    </cfRule>
  </conditionalFormatting>
  <conditionalFormatting sqref="E259:K273">
    <cfRule type="expression" dxfId="154" priority="1">
      <formula>MOD(ROW(),2)</formula>
    </cfRule>
  </conditionalFormatting>
  <conditionalFormatting sqref="E20:L20 A20:D325 E21:K21 E22:L22 E23:K23 E24:L24 E25:K33 E34:L35 E36:K43 E44:L44 E45:K49 E50:L50 E51:K58 E59:L59 E60:K71 E72:L72 E73:K83 E84:L84 E85:K99 E100:L100 E101:K136 E137:L137 E138:K153 E154:L154 E155:K155 E156:L156 E157:K164 E165:L165 E166:K168 E169:L169 E170:K170 E171:L171 E172:K173 E174:L174 E175:K177 E178:L178 E179:K183 E184:L184 E185:K185 E186:L186 E187:K202 E203:L203 E204:K206 E207:L207 E208:K210 E211:L211 E212:K220 E221:L221 E258:L258 E274:L274 E275:K275 E276:L276 E277:K279 E280:L280 E281:K289 E290:L290 E291:K298 E299:L299 E300:K300 E301:L301 E302:K315 E316:L316 E317:K317 E318:L318 E319:K319 E320:L320 E321:K323 E324:L324 E325:K325 A326:L326">
    <cfRule type="expression" dxfId="153" priority="31">
      <formula>MOD(ROW(),2)</formula>
    </cfRule>
  </conditionalFormatting>
  <conditionalFormatting sqref="L327">
    <cfRule type="cellIs" dxfId="152" priority="27" operator="lessThan">
      <formula>0</formula>
    </cfRule>
    <cfRule type="cellIs" dxfId="151" priority="32" operator="greaterThan">
      <formula>0</formula>
    </cfRule>
  </conditionalFormatting>
  <conditionalFormatting sqref="N1:P17">
    <cfRule type="expression" dxfId="150" priority="3">
      <formula>MOD(ROW(),2)</formula>
    </cfRule>
  </conditionalFormatting>
  <conditionalFormatting sqref="R1:T17">
    <cfRule type="expression" dxfId="149" priority="5">
      <formula>MOD(ROW(),2)</formula>
    </cfRule>
  </conditionalFormatting>
  <dataValidations disablePrompts="1" count="2">
    <dataValidation type="list" allowBlank="1" showInputMessage="1" showErrorMessage="1" sqref="B4" xr:uid="{A225F826-3AED-40E3-BC06-B45AEDAE8FD4}">
      <formula1>"Urban, Market, Senior"</formula1>
    </dataValidation>
    <dataValidation type="list" allowBlank="1" showInputMessage="1" showErrorMessage="1" sqref="B3" xr:uid="{E058698A-31DA-47A5-8FAF-A024D6C5E4A8}">
      <formula1>"Level 1, Level 2, Level 3"</formula1>
    </dataValidation>
  </dataValidations>
  <printOptions horizontalCentered="1" verticalCentered="1"/>
  <pageMargins left="0.25" right="0.25" top="0.7" bottom="0.5" header="0.35" footer="0.05"/>
  <pageSetup paperSize="3" scale="70" fitToHeight="0" orientation="landscape" r:id="rId1"/>
  <headerFooter>
    <oddHeader>&amp;R&amp;G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C4F69-4990-4019-81A0-FC83177D5132}">
  <dimension ref="A1:H1"/>
  <sheetViews>
    <sheetView workbookViewId="0"/>
  </sheetViews>
  <sheetFormatPr defaultRowHeight="15"/>
  <cols>
    <col min="1" max="1" width="16.140625" bestFit="1" customWidth="1"/>
    <col min="2" max="2" width="11.5703125" bestFit="1" customWidth="1"/>
    <col min="3" max="3" width="11.42578125" bestFit="1" customWidth="1"/>
    <col min="4" max="4" width="6.140625" bestFit="1" customWidth="1"/>
    <col min="5" max="5" width="9.42578125" bestFit="1" customWidth="1"/>
    <col min="6" max="6" width="8.7109375" bestFit="1" customWidth="1"/>
    <col min="7" max="7" width="16.42578125" bestFit="1" customWidth="1"/>
    <col min="8" max="8" width="12.42578125" bestFit="1" customWidth="1"/>
  </cols>
  <sheetData>
    <row r="1" spans="1:8">
      <c r="A1" t="s">
        <v>763</v>
      </c>
      <c r="B1" t="s">
        <v>764</v>
      </c>
      <c r="C1" t="s">
        <v>765</v>
      </c>
      <c r="D1" t="s">
        <v>766</v>
      </c>
      <c r="E1" t="s">
        <v>767</v>
      </c>
      <c r="F1" t="s">
        <v>768</v>
      </c>
      <c r="G1" t="s">
        <v>769</v>
      </c>
      <c r="H1" t="s">
        <v>770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B4724-39A6-4B76-8B6A-9DAEE3A59253}">
  <sheetPr>
    <tabColor theme="3" tint="0.499984740745262"/>
  </sheetPr>
  <dimension ref="A1:AS529"/>
  <sheetViews>
    <sheetView showGridLines="0" tabSelected="1" view="pageBreakPreview" topLeftCell="A300" zoomScale="70" zoomScaleNormal="100" zoomScaleSheetLayoutView="70" workbookViewId="0">
      <selection activeCell="H319" sqref="H319"/>
    </sheetView>
  </sheetViews>
  <sheetFormatPr defaultColWidth="9.140625" defaultRowHeight="15"/>
  <cols>
    <col min="1" max="1" width="44.85546875" style="218" bestFit="1" customWidth="1"/>
    <col min="2" max="2" width="14.85546875" style="219" bestFit="1" customWidth="1"/>
    <col min="3" max="3" width="17.42578125" style="219" customWidth="1"/>
    <col min="4" max="4" width="20" style="219" customWidth="1"/>
    <col min="5" max="5" width="16.7109375" style="219" customWidth="1"/>
    <col min="6" max="6" width="14.85546875" style="219" customWidth="1"/>
    <col min="7" max="7" width="10.28515625" style="218" customWidth="1"/>
    <col min="8" max="8" width="13.85546875" style="218" bestFit="1" customWidth="1"/>
    <col min="9" max="9" width="13.140625" style="218" customWidth="1"/>
    <col min="10" max="10" width="16.42578125" style="218" bestFit="1" customWidth="1"/>
    <col min="11" max="11" width="15" style="218" bestFit="1" customWidth="1"/>
    <col min="12" max="12" width="16.42578125" style="218" bestFit="1" customWidth="1"/>
    <col min="13" max="13" width="11.5703125" style="218" customWidth="1"/>
    <col min="14" max="14" width="28.140625" style="218" bestFit="1" customWidth="1"/>
    <col min="15" max="15" width="8.140625" style="218" bestFit="1" customWidth="1"/>
    <col min="16" max="16" width="13.140625" style="218" bestFit="1" customWidth="1"/>
    <col min="17" max="17" width="20" style="218" bestFit="1" customWidth="1"/>
    <col min="18" max="18" width="8.85546875" style="218" bestFit="1" customWidth="1"/>
    <col min="19" max="19" width="4" style="218" bestFit="1" customWidth="1"/>
    <col min="20" max="23" width="24.140625" style="218" customWidth="1"/>
    <col min="24" max="25" width="9.140625" style="218"/>
    <col min="26" max="26" width="10.7109375" style="218" customWidth="1"/>
    <col min="27" max="31" width="9.140625" style="218"/>
    <col min="32" max="32" width="14.85546875" style="218" bestFit="1" customWidth="1"/>
    <col min="33" max="36" width="9.140625" style="218"/>
    <col min="37" max="37" width="10.5703125" style="218" bestFit="1" customWidth="1"/>
    <col min="38" max="38" width="9.140625" style="218" customWidth="1"/>
    <col min="39" max="43" width="9.140625" style="218"/>
    <col min="44" max="44" width="12.85546875" style="218" customWidth="1"/>
    <col min="45" max="16384" width="9.140625" style="218"/>
  </cols>
  <sheetData>
    <row r="1" spans="1:45" ht="15.75" thickBot="1">
      <c r="A1" s="237" t="s">
        <v>0</v>
      </c>
      <c r="B1" s="237"/>
      <c r="D1" s="237" t="s">
        <v>1</v>
      </c>
      <c r="E1" s="237"/>
      <c r="F1" s="237"/>
      <c r="H1" s="237" t="s">
        <v>771</v>
      </c>
      <c r="I1" s="237"/>
      <c r="J1" s="237"/>
      <c r="K1" s="237"/>
      <c r="N1" s="238" t="s">
        <v>3</v>
      </c>
      <c r="O1" s="239"/>
      <c r="P1" s="240"/>
      <c r="Q1" s="238" t="s">
        <v>3</v>
      </c>
      <c r="R1" s="239"/>
      <c r="S1" s="240"/>
      <c r="T1" s="238" t="s">
        <v>3</v>
      </c>
      <c r="U1" s="239"/>
      <c r="V1" s="240"/>
    </row>
    <row r="2" spans="1:45" ht="15.75" thickBot="1">
      <c r="A2" s="241" t="s">
        <v>4</v>
      </c>
      <c r="B2" s="242" t="s">
        <v>772</v>
      </c>
      <c r="D2" s="243" t="s">
        <v>6</v>
      </c>
      <c r="E2" s="244" t="s">
        <v>7</v>
      </c>
      <c r="F2" s="244" t="s">
        <v>8</v>
      </c>
      <c r="H2" s="243" t="s">
        <v>6</v>
      </c>
      <c r="I2" s="244" t="s">
        <v>7</v>
      </c>
      <c r="J2" s="244" t="s">
        <v>8</v>
      </c>
      <c r="K2" s="244" t="s">
        <v>15</v>
      </c>
      <c r="N2" s="245" t="s">
        <v>12</v>
      </c>
      <c r="O2" s="411">
        <f>24424+23698</f>
        <v>48122</v>
      </c>
      <c r="P2" s="246" t="s">
        <v>11</v>
      </c>
      <c r="Q2" s="247" t="s">
        <v>773</v>
      </c>
      <c r="R2" s="178">
        <v>11437.45</v>
      </c>
      <c r="S2" s="222" t="s">
        <v>15</v>
      </c>
      <c r="T2" s="247" t="s">
        <v>774</v>
      </c>
      <c r="U2" s="178">
        <v>1316</v>
      </c>
      <c r="V2" s="222" t="s">
        <v>15</v>
      </c>
    </row>
    <row r="3" spans="1:45">
      <c r="A3" s="248" t="s">
        <v>16</v>
      </c>
      <c r="B3" s="249" t="s">
        <v>775</v>
      </c>
      <c r="D3" s="250" t="s">
        <v>18</v>
      </c>
      <c r="E3" s="251">
        <v>0</v>
      </c>
      <c r="F3" s="252">
        <f t="shared" ref="F3:F8" si="0">E3/$E$8</f>
        <v>0</v>
      </c>
      <c r="H3" s="250" t="s">
        <v>776</v>
      </c>
      <c r="I3" s="251">
        <v>5</v>
      </c>
      <c r="J3" s="252">
        <f t="shared" ref="J3" si="1">I3/$E$8</f>
        <v>2.5773195876288658E-2</v>
      </c>
      <c r="K3" s="251">
        <v>663</v>
      </c>
      <c r="N3" s="247" t="s">
        <v>19</v>
      </c>
      <c r="O3" s="178">
        <v>2</v>
      </c>
      <c r="P3" s="222" t="s">
        <v>32</v>
      </c>
      <c r="Q3" s="247" t="s">
        <v>385</v>
      </c>
      <c r="R3" s="178">
        <v>513</v>
      </c>
      <c r="S3" s="222"/>
      <c r="T3" s="247"/>
      <c r="U3" s="178"/>
      <c r="V3" s="222"/>
      <c r="AG3" s="253" t="s">
        <v>777</v>
      </c>
      <c r="AH3" s="254"/>
      <c r="AI3" s="254"/>
      <c r="AJ3" s="254"/>
      <c r="AK3" s="254" t="s">
        <v>778</v>
      </c>
      <c r="AL3" s="255">
        <f>21*7</f>
        <v>147</v>
      </c>
      <c r="AN3" s="253" t="s">
        <v>779</v>
      </c>
      <c r="AO3" s="254"/>
      <c r="AP3" s="254"/>
      <c r="AQ3" s="254"/>
      <c r="AR3" s="254" t="s">
        <v>778</v>
      </c>
      <c r="AS3" s="255">
        <f>15000+6560+6500+15400+4570+4635+4540+4250</f>
        <v>61455</v>
      </c>
    </row>
    <row r="4" spans="1:45">
      <c r="A4" s="248" t="s">
        <v>22</v>
      </c>
      <c r="B4" s="249" t="s">
        <v>23</v>
      </c>
      <c r="D4" s="256" t="s">
        <v>24</v>
      </c>
      <c r="E4" s="249">
        <v>126</v>
      </c>
      <c r="F4" s="257">
        <f>E4/$E$8</f>
        <v>0.64948453608247425</v>
      </c>
      <c r="H4" s="256" t="s">
        <v>780</v>
      </c>
      <c r="I4" s="249">
        <v>73</v>
      </c>
      <c r="J4" s="257">
        <f>I4/$E$8</f>
        <v>0.37628865979381443</v>
      </c>
      <c r="K4" s="249">
        <v>663</v>
      </c>
      <c r="N4" s="258" t="s">
        <v>781</v>
      </c>
      <c r="O4" s="219">
        <v>8</v>
      </c>
      <c r="P4" s="259" t="s">
        <v>32</v>
      </c>
      <c r="Q4" s="247" t="s">
        <v>782</v>
      </c>
      <c r="R4" s="178">
        <v>39274</v>
      </c>
      <c r="S4" s="222" t="s">
        <v>15</v>
      </c>
      <c r="T4" s="247"/>
      <c r="U4" s="178"/>
      <c r="V4" s="222"/>
      <c r="AG4" s="258" t="s">
        <v>783</v>
      </c>
      <c r="AL4" s="259">
        <f>14*7</f>
        <v>98</v>
      </c>
      <c r="AN4" s="258" t="s">
        <v>783</v>
      </c>
      <c r="AS4" s="259"/>
    </row>
    <row r="5" spans="1:45">
      <c r="A5" s="248" t="s">
        <v>29</v>
      </c>
      <c r="B5" s="260">
        <v>45809</v>
      </c>
      <c r="D5" s="256" t="s">
        <v>30</v>
      </c>
      <c r="E5" s="249">
        <v>68</v>
      </c>
      <c r="F5" s="257">
        <f t="shared" si="0"/>
        <v>0.35051546391752575</v>
      </c>
      <c r="H5" s="256" t="s">
        <v>784</v>
      </c>
      <c r="I5" s="249">
        <v>48</v>
      </c>
      <c r="J5" s="257">
        <f t="shared" ref="J5" si="2">I5/$E$8</f>
        <v>0.24742268041237114</v>
      </c>
      <c r="K5" s="249">
        <v>675</v>
      </c>
      <c r="N5" s="247" t="s">
        <v>25</v>
      </c>
      <c r="O5" s="412">
        <v>4</v>
      </c>
      <c r="P5" s="222" t="s">
        <v>785</v>
      </c>
      <c r="Q5" s="247"/>
      <c r="R5" s="178"/>
      <c r="S5" s="222"/>
      <c r="T5" s="247"/>
      <c r="U5" s="178"/>
      <c r="V5" s="222"/>
      <c r="AG5" s="258" t="s">
        <v>786</v>
      </c>
      <c r="AH5" s="218">
        <f>21*4+8*8+7*6</f>
        <v>190</v>
      </c>
      <c r="AL5" s="259">
        <f>8*22</f>
        <v>176</v>
      </c>
      <c r="AN5" s="258" t="s">
        <v>786</v>
      </c>
      <c r="AO5" s="218">
        <v>19256</v>
      </c>
      <c r="AS5" s="259"/>
    </row>
    <row r="6" spans="1:45">
      <c r="A6" s="248" t="s">
        <v>787</v>
      </c>
      <c r="B6" s="249">
        <v>20</v>
      </c>
      <c r="D6" s="256" t="s">
        <v>35</v>
      </c>
      <c r="E6" s="249">
        <v>0</v>
      </c>
      <c r="F6" s="257">
        <f t="shared" si="0"/>
        <v>0</v>
      </c>
      <c r="H6" s="256" t="s">
        <v>788</v>
      </c>
      <c r="I6" s="249">
        <v>5</v>
      </c>
      <c r="J6" s="257">
        <f t="shared" ref="J6:J8" si="3">I6/$E$8</f>
        <v>2.5773195876288658E-2</v>
      </c>
      <c r="K6" s="249">
        <v>888</v>
      </c>
      <c r="N6" s="247" t="s">
        <v>31</v>
      </c>
      <c r="O6" s="178">
        <v>7</v>
      </c>
      <c r="P6" s="222" t="s">
        <v>32</v>
      </c>
      <c r="Q6" s="247" t="s">
        <v>38</v>
      </c>
      <c r="R6" s="227">
        <v>0</v>
      </c>
      <c r="S6" s="222" t="s">
        <v>15</v>
      </c>
      <c r="T6" s="221"/>
      <c r="U6" s="227"/>
      <c r="V6" s="261"/>
      <c r="AG6" s="258" t="s">
        <v>789</v>
      </c>
      <c r="AH6" s="218">
        <f>14*4+21*2+8*6</f>
        <v>146</v>
      </c>
      <c r="AL6" s="259">
        <f>7*10</f>
        <v>70</v>
      </c>
      <c r="AN6" s="258" t="s">
        <v>789</v>
      </c>
      <c r="AO6" s="218">
        <v>8980</v>
      </c>
      <c r="AS6" s="259"/>
    </row>
    <row r="7" spans="1:45">
      <c r="A7" s="248" t="s">
        <v>39</v>
      </c>
      <c r="B7" s="249">
        <v>4</v>
      </c>
      <c r="D7" s="262" t="s">
        <v>40</v>
      </c>
      <c r="E7" s="263">
        <v>0</v>
      </c>
      <c r="F7" s="264">
        <f t="shared" si="0"/>
        <v>0</v>
      </c>
      <c r="H7" s="256" t="s">
        <v>790</v>
      </c>
      <c r="I7" s="249">
        <v>46</v>
      </c>
      <c r="J7" s="257">
        <f t="shared" si="3"/>
        <v>0.23711340206185566</v>
      </c>
      <c r="K7" s="249">
        <v>888</v>
      </c>
      <c r="N7" s="265" t="s">
        <v>37</v>
      </c>
      <c r="O7" s="266">
        <v>1</v>
      </c>
      <c r="P7" s="267"/>
      <c r="Q7" s="247" t="s">
        <v>42</v>
      </c>
      <c r="R7" s="178"/>
      <c r="S7" s="222" t="s">
        <v>15</v>
      </c>
      <c r="T7" s="221"/>
      <c r="U7" s="227"/>
      <c r="V7" s="261"/>
      <c r="AG7" s="258" t="s">
        <v>791</v>
      </c>
      <c r="AH7" s="218">
        <f>21*2+14*2+8*6</f>
        <v>118</v>
      </c>
      <c r="AL7" s="259">
        <f>SUM(AL3:AL6)</f>
        <v>491</v>
      </c>
      <c r="AN7" s="258" t="s">
        <v>791</v>
      </c>
      <c r="AO7" s="218">
        <v>8850</v>
      </c>
      <c r="AS7" s="259"/>
    </row>
    <row r="8" spans="1:45" ht="15.75" thickBot="1">
      <c r="A8" s="248" t="s">
        <v>792</v>
      </c>
      <c r="B8" s="178">
        <v>196289</v>
      </c>
      <c r="D8" s="268" t="s">
        <v>36</v>
      </c>
      <c r="E8" s="269">
        <f>SUM(E3:E7)</f>
        <v>194</v>
      </c>
      <c r="F8" s="270">
        <f t="shared" si="0"/>
        <v>1</v>
      </c>
      <c r="H8" s="348" t="s">
        <v>793</v>
      </c>
      <c r="I8" s="284">
        <v>17</v>
      </c>
      <c r="J8" s="349">
        <f t="shared" si="3"/>
        <v>8.7628865979381437E-2</v>
      </c>
      <c r="K8" s="284">
        <v>955</v>
      </c>
      <c r="N8" s="247" t="s">
        <v>41</v>
      </c>
      <c r="O8" s="178">
        <v>1</v>
      </c>
      <c r="P8" s="222"/>
      <c r="Q8" s="221" t="s">
        <v>794</v>
      </c>
      <c r="R8" s="227">
        <v>147250</v>
      </c>
      <c r="S8" s="261" t="s">
        <v>15</v>
      </c>
      <c r="T8" s="221"/>
      <c r="U8" s="227"/>
      <c r="V8" s="261"/>
      <c r="AG8" s="258" t="s">
        <v>795</v>
      </c>
      <c r="AH8" s="218">
        <f>21*2+14*8+8*12+7*8</f>
        <v>306</v>
      </c>
      <c r="AL8" s="259"/>
      <c r="AN8" s="258" t="s">
        <v>795</v>
      </c>
      <c r="AO8" s="218">
        <v>19965</v>
      </c>
      <c r="AS8" s="259"/>
    </row>
    <row r="9" spans="1:45" ht="15.75" thickBot="1">
      <c r="A9" s="248" t="s">
        <v>48</v>
      </c>
      <c r="B9" s="409">
        <v>4.9000000000000004</v>
      </c>
      <c r="D9" s="237" t="s">
        <v>49</v>
      </c>
      <c r="E9" s="237"/>
      <c r="F9" s="237"/>
      <c r="H9" s="268" t="s">
        <v>36</v>
      </c>
      <c r="I9" s="269">
        <f>SUM(I3:I8)</f>
        <v>194</v>
      </c>
      <c r="J9" s="270">
        <f>SUM(J3:J8)</f>
        <v>1</v>
      </c>
      <c r="K9" s="350">
        <f>SUMPRODUCT(I3:I8,K3:K8)</f>
        <v>145637</v>
      </c>
      <c r="N9" s="247" t="s">
        <v>45</v>
      </c>
      <c r="O9" s="178">
        <v>1593</v>
      </c>
      <c r="P9" s="222" t="s">
        <v>549</v>
      </c>
      <c r="Q9" s="221" t="s">
        <v>47</v>
      </c>
      <c r="R9" s="227">
        <v>0</v>
      </c>
      <c r="S9" s="261" t="s">
        <v>15</v>
      </c>
      <c r="T9" s="221"/>
      <c r="U9" s="227"/>
      <c r="V9" s="261"/>
      <c r="AG9" s="258" t="s">
        <v>796</v>
      </c>
      <c r="AH9" s="218">
        <f>21*4+8*6</f>
        <v>132</v>
      </c>
      <c r="AI9" s="218">
        <f>SUM(AH5:AH9)</f>
        <v>892</v>
      </c>
      <c r="AL9" s="259"/>
      <c r="AN9" s="258" t="s">
        <v>796</v>
      </c>
      <c r="AO9" s="218">
        <f>5870+6250+6290+5915</f>
        <v>24325</v>
      </c>
      <c r="AP9" s="218">
        <f>SUM(AO5:AO9)</f>
        <v>81376</v>
      </c>
      <c r="AS9" s="259"/>
    </row>
    <row r="10" spans="1:45">
      <c r="A10" s="248" t="s">
        <v>55</v>
      </c>
      <c r="B10" s="178">
        <f>B9*43560</f>
        <v>213444.00000000003</v>
      </c>
      <c r="D10" s="248" t="s">
        <v>62</v>
      </c>
      <c r="E10" s="170"/>
      <c r="F10" s="249">
        <v>127</v>
      </c>
      <c r="K10" s="10"/>
      <c r="N10" s="247" t="s">
        <v>51</v>
      </c>
      <c r="O10" s="178">
        <f>(12209+13565+13960+10629)/100</f>
        <v>503.63</v>
      </c>
      <c r="P10" s="222" t="s">
        <v>52</v>
      </c>
      <c r="Q10" s="221" t="s">
        <v>87</v>
      </c>
      <c r="R10" s="227">
        <v>0</v>
      </c>
      <c r="S10" s="261" t="s">
        <v>15</v>
      </c>
      <c r="T10" s="221"/>
      <c r="U10" s="227"/>
      <c r="V10" s="261"/>
      <c r="AG10" s="258"/>
      <c r="AL10" s="259"/>
      <c r="AN10" s="258"/>
      <c r="AS10" s="259"/>
    </row>
    <row r="11" spans="1:45" ht="15.75" thickBot="1">
      <c r="A11" s="248" t="s">
        <v>61</v>
      </c>
      <c r="B11" s="178">
        <v>1</v>
      </c>
      <c r="D11" s="248" t="s">
        <v>797</v>
      </c>
      <c r="E11" s="170"/>
      <c r="F11" s="249">
        <v>3</v>
      </c>
      <c r="K11" s="10"/>
      <c r="N11" s="247" t="s">
        <v>58</v>
      </c>
      <c r="O11" s="178">
        <v>11824</v>
      </c>
      <c r="P11" s="222" t="s">
        <v>59</v>
      </c>
      <c r="Q11" s="221" t="s">
        <v>70</v>
      </c>
      <c r="R11" s="227">
        <v>0</v>
      </c>
      <c r="S11" s="261" t="s">
        <v>549</v>
      </c>
      <c r="T11" s="221"/>
      <c r="U11" s="227"/>
      <c r="V11" s="261"/>
      <c r="AG11" s="258" t="s">
        <v>798</v>
      </c>
      <c r="AK11" s="218" t="s">
        <v>799</v>
      </c>
      <c r="AL11" s="259">
        <f>14*8</f>
        <v>112</v>
      </c>
      <c r="AN11" s="258" t="s">
        <v>798</v>
      </c>
      <c r="AR11" s="218" t="s">
        <v>799</v>
      </c>
      <c r="AS11" s="259">
        <f>5782+5760+8825+9150</f>
        <v>29517</v>
      </c>
    </row>
    <row r="12" spans="1:45">
      <c r="A12" s="272" t="s">
        <v>66</v>
      </c>
      <c r="B12" s="273"/>
      <c r="D12" s="248" t="s">
        <v>67</v>
      </c>
      <c r="E12" s="170"/>
      <c r="F12" s="249">
        <v>45</v>
      </c>
      <c r="K12" s="10"/>
      <c r="N12" s="247" t="s">
        <v>800</v>
      </c>
      <c r="O12" s="178">
        <v>0</v>
      </c>
      <c r="P12" s="222" t="s">
        <v>64</v>
      </c>
      <c r="Q12" s="274" t="s">
        <v>75</v>
      </c>
      <c r="R12" s="183">
        <v>0</v>
      </c>
      <c r="S12" s="275" t="s">
        <v>549</v>
      </c>
      <c r="T12" s="221"/>
      <c r="U12" s="227"/>
      <c r="V12" s="261"/>
      <c r="AG12" s="258" t="s">
        <v>786</v>
      </c>
      <c r="AL12" s="259">
        <f>20*8</f>
        <v>160</v>
      </c>
      <c r="AN12" s="258" t="s">
        <v>786</v>
      </c>
      <c r="AS12" s="259"/>
    </row>
    <row r="13" spans="1:45" ht="15.75" thickBot="1">
      <c r="A13" s="331" t="s">
        <v>71</v>
      </c>
      <c r="B13" s="251" t="s">
        <v>801</v>
      </c>
      <c r="D13" s="248" t="s">
        <v>72</v>
      </c>
      <c r="E13" s="170"/>
      <c r="F13" s="249">
        <v>11</v>
      </c>
      <c r="K13" s="10"/>
      <c r="N13" s="247" t="s">
        <v>68</v>
      </c>
      <c r="O13" s="171">
        <f>F10+F11</f>
        <v>130</v>
      </c>
      <c r="P13" s="222" t="s">
        <v>32</v>
      </c>
      <c r="Q13" s="221" t="s">
        <v>802</v>
      </c>
      <c r="R13" s="227">
        <v>0</v>
      </c>
      <c r="S13" s="261" t="s">
        <v>15</v>
      </c>
      <c r="T13" s="221"/>
      <c r="U13" s="183"/>
      <c r="V13" s="261"/>
      <c r="AG13" s="258" t="s">
        <v>789</v>
      </c>
      <c r="AL13" s="259">
        <f>8*18</f>
        <v>144</v>
      </c>
      <c r="AN13" s="258" t="s">
        <v>789</v>
      </c>
      <c r="AS13" s="259"/>
    </row>
    <row r="14" spans="1:45">
      <c r="A14" s="276" t="s">
        <v>803</v>
      </c>
      <c r="B14" s="249" t="s">
        <v>804</v>
      </c>
      <c r="D14" s="248" t="s">
        <v>805</v>
      </c>
      <c r="E14" s="170"/>
      <c r="F14" s="249">
        <v>8</v>
      </c>
      <c r="H14" s="277" t="s">
        <v>44</v>
      </c>
      <c r="I14" s="278"/>
      <c r="J14" s="279">
        <f>L335</f>
        <v>33486711.625382375</v>
      </c>
      <c r="N14" s="247" t="s">
        <v>806</v>
      </c>
      <c r="O14" s="178">
        <v>60</v>
      </c>
      <c r="P14" s="222" t="s">
        <v>807</v>
      </c>
      <c r="Q14" s="221" t="s">
        <v>808</v>
      </c>
      <c r="R14" s="227">
        <v>75608</v>
      </c>
      <c r="S14" s="261"/>
      <c r="T14" s="221"/>
      <c r="U14" s="227"/>
      <c r="V14" s="261"/>
      <c r="AG14" s="258" t="s">
        <v>791</v>
      </c>
      <c r="AL14" s="259">
        <f>7*12</f>
        <v>84</v>
      </c>
      <c r="AN14" s="258" t="s">
        <v>791</v>
      </c>
      <c r="AS14" s="259"/>
    </row>
    <row r="15" spans="1:45">
      <c r="A15" s="276" t="s">
        <v>81</v>
      </c>
      <c r="B15" s="249" t="s">
        <v>809</v>
      </c>
      <c r="D15" s="248" t="s">
        <v>82</v>
      </c>
      <c r="E15" s="170"/>
      <c r="F15" s="249">
        <f>SUM(F10:F14)</f>
        <v>194</v>
      </c>
      <c r="H15" s="280" t="s">
        <v>50</v>
      </c>
      <c r="I15" s="281"/>
      <c r="J15" s="282">
        <f>J14/E8</f>
        <v>172611.91559475451</v>
      </c>
      <c r="L15" s="317"/>
      <c r="N15" s="247" t="s">
        <v>810</v>
      </c>
      <c r="O15" s="178">
        <v>1</v>
      </c>
      <c r="P15" s="222" t="s">
        <v>811</v>
      </c>
      <c r="Q15" s="221" t="s">
        <v>47</v>
      </c>
      <c r="R15" s="227">
        <v>350</v>
      </c>
      <c r="S15" s="261"/>
      <c r="T15" s="221"/>
      <c r="U15" s="227"/>
      <c r="V15" s="261"/>
      <c r="AG15" s="258" t="s">
        <v>795</v>
      </c>
      <c r="AH15" s="218">
        <f>21*2+14*2+8*6+7*6</f>
        <v>160</v>
      </c>
      <c r="AI15" s="218">
        <f>AH15*2</f>
        <v>320</v>
      </c>
      <c r="AL15" s="259">
        <f>SUM(AL11:AL14)</f>
        <v>500</v>
      </c>
      <c r="AN15" s="258" t="s">
        <v>795</v>
      </c>
      <c r="AO15" s="218">
        <f>5035+5775+1960+1960</f>
        <v>14730</v>
      </c>
      <c r="AP15" s="218">
        <f>AO15*2</f>
        <v>29460</v>
      </c>
      <c r="AS15" s="259"/>
    </row>
    <row r="16" spans="1:45" ht="15.75" thickBot="1">
      <c r="A16" s="283" t="s">
        <v>84</v>
      </c>
      <c r="B16" s="284" t="s">
        <v>801</v>
      </c>
      <c r="D16" s="285" t="s">
        <v>85</v>
      </c>
      <c r="E16" s="286"/>
      <c r="F16" s="410">
        <f>SUM(F10:F13)/E8</f>
        <v>0.95876288659793818</v>
      </c>
      <c r="H16" s="287" t="s">
        <v>57</v>
      </c>
      <c r="I16" s="288"/>
      <c r="J16" s="289">
        <f>J14/B8</f>
        <v>170.59902299865186</v>
      </c>
      <c r="N16" s="247" t="s">
        <v>364</v>
      </c>
      <c r="O16" s="178">
        <v>0</v>
      </c>
      <c r="P16" s="222" t="s">
        <v>811</v>
      </c>
      <c r="Q16" s="221" t="s">
        <v>812</v>
      </c>
      <c r="R16" s="227">
        <v>4500</v>
      </c>
      <c r="S16" s="261"/>
      <c r="T16" s="221"/>
      <c r="U16" s="227"/>
      <c r="V16" s="261"/>
      <c r="AG16" s="258"/>
      <c r="AL16" s="259"/>
      <c r="AN16" s="258"/>
      <c r="AS16" s="259"/>
    </row>
    <row r="17" spans="1:45" ht="15.75" thickBot="1">
      <c r="A17" s="290"/>
      <c r="B17" s="291"/>
      <c r="C17" s="291"/>
      <c r="D17" s="291"/>
      <c r="J17" s="10"/>
      <c r="N17" s="247" t="s">
        <v>813</v>
      </c>
      <c r="O17" s="178">
        <v>0</v>
      </c>
      <c r="P17" s="222" t="s">
        <v>811</v>
      </c>
      <c r="Q17" s="221"/>
      <c r="R17" s="227"/>
      <c r="S17" s="261"/>
      <c r="T17" s="221"/>
      <c r="U17" s="227"/>
      <c r="V17" s="261"/>
      <c r="AG17" s="292" t="s">
        <v>814</v>
      </c>
      <c r="AH17" s="293">
        <f>12.5*62</f>
        <v>775</v>
      </c>
      <c r="AI17" s="293"/>
      <c r="AJ17" s="293"/>
      <c r="AK17" s="293"/>
      <c r="AL17" s="294"/>
      <c r="AN17" s="292" t="s">
        <v>814</v>
      </c>
      <c r="AO17" s="293">
        <f>12.5*62</f>
        <v>775</v>
      </c>
      <c r="AP17" s="293"/>
      <c r="AQ17" s="293"/>
      <c r="AR17" s="293"/>
      <c r="AS17" s="294"/>
    </row>
    <row r="18" spans="1:45" ht="15.75" hidden="1" thickBot="1">
      <c r="A18" s="290"/>
      <c r="B18" s="291"/>
      <c r="C18" s="291"/>
      <c r="D18" s="291"/>
      <c r="J18" s="10"/>
      <c r="N18" s="295" t="s">
        <v>815</v>
      </c>
      <c r="O18" s="296">
        <v>0</v>
      </c>
      <c r="P18" s="297" t="s">
        <v>811</v>
      </c>
      <c r="Q18" s="295"/>
      <c r="R18" s="296"/>
      <c r="S18" s="297"/>
      <c r="T18" s="295"/>
      <c r="U18" s="296"/>
      <c r="V18" s="297"/>
    </row>
    <row r="19" spans="1:45" ht="30.75" customHeight="1" thickBot="1">
      <c r="A19" s="140" t="s">
        <v>88</v>
      </c>
      <c r="B19" s="141" t="s">
        <v>89</v>
      </c>
      <c r="C19" s="141" t="s">
        <v>90</v>
      </c>
      <c r="D19" s="141" t="s">
        <v>816</v>
      </c>
      <c r="E19" s="141" t="s">
        <v>92</v>
      </c>
      <c r="F19" s="141" t="s">
        <v>817</v>
      </c>
      <c r="G19" s="141" t="s">
        <v>818</v>
      </c>
      <c r="H19" s="141" t="s">
        <v>819</v>
      </c>
      <c r="I19" s="142" t="s">
        <v>820</v>
      </c>
      <c r="J19" s="141" t="s">
        <v>821</v>
      </c>
      <c r="K19" s="141" t="s">
        <v>98</v>
      </c>
      <c r="L19" s="140" t="s">
        <v>99</v>
      </c>
      <c r="M19" s="144" t="s">
        <v>100</v>
      </c>
      <c r="N19" s="145"/>
      <c r="O19" s="145"/>
      <c r="P19" s="145"/>
      <c r="Q19" s="145"/>
      <c r="R19" s="145"/>
      <c r="S19" s="145"/>
      <c r="T19" s="145"/>
      <c r="U19" s="145"/>
      <c r="V19" s="145"/>
      <c r="W19" s="145"/>
    </row>
    <row r="20" spans="1:45">
      <c r="A20" s="30" t="s">
        <v>101</v>
      </c>
      <c r="B20" s="298" t="s">
        <v>102</v>
      </c>
      <c r="C20" s="298"/>
      <c r="D20" s="298"/>
      <c r="E20" s="298"/>
      <c r="F20" s="298"/>
      <c r="G20" s="298"/>
      <c r="H20" s="299"/>
      <c r="I20" s="300"/>
      <c r="J20" s="301"/>
      <c r="K20" s="301"/>
      <c r="L20" s="229">
        <f>K21</f>
        <v>1674318</v>
      </c>
      <c r="M20" s="271"/>
      <c r="N20" s="271"/>
      <c r="O20" s="271"/>
      <c r="P20" s="271"/>
      <c r="Q20" s="271"/>
      <c r="R20" s="271"/>
      <c r="S20" s="271"/>
      <c r="T20" s="271"/>
      <c r="U20" s="271"/>
      <c r="V20" s="271"/>
      <c r="W20" s="271"/>
    </row>
    <row r="21" spans="1:45">
      <c r="A21" s="32" t="s">
        <v>822</v>
      </c>
      <c r="B21" s="223" t="s">
        <v>102</v>
      </c>
      <c r="C21" s="223" t="s">
        <v>103</v>
      </c>
      <c r="D21" s="223"/>
      <c r="E21" s="223"/>
      <c r="F21" s="223" t="s">
        <v>104</v>
      </c>
      <c r="G21" s="224">
        <f>$B$6</f>
        <v>20</v>
      </c>
      <c r="H21" s="322">
        <f>1674318/20</f>
        <v>83715.899999999994</v>
      </c>
      <c r="I21" s="302">
        <v>0</v>
      </c>
      <c r="J21" s="303">
        <f>H21*(1+I21)</f>
        <v>83715.899999999994</v>
      </c>
      <c r="K21" s="304">
        <f>J21*G21</f>
        <v>1674318</v>
      </c>
      <c r="M21" s="170"/>
      <c r="N21" s="170"/>
      <c r="O21" s="170"/>
      <c r="P21" s="170"/>
      <c r="Q21" s="170"/>
      <c r="R21" s="170"/>
      <c r="S21" s="170"/>
      <c r="T21" s="170"/>
      <c r="U21" s="170"/>
      <c r="V21" s="170"/>
      <c r="W21" s="170"/>
      <c r="AG21" s="243" t="s">
        <v>823</v>
      </c>
      <c r="AH21" s="244"/>
      <c r="AI21" s="244"/>
      <c r="AJ21" s="244" t="s">
        <v>824</v>
      </c>
      <c r="AK21" s="244" t="s">
        <v>15</v>
      </c>
    </row>
    <row r="22" spans="1:45">
      <c r="A22" s="33" t="s">
        <v>105</v>
      </c>
      <c r="B22" s="305" t="s">
        <v>106</v>
      </c>
      <c r="C22" s="305"/>
      <c r="D22" s="305"/>
      <c r="E22" s="305"/>
      <c r="F22" s="305"/>
      <c r="G22" s="306"/>
      <c r="H22" s="307"/>
      <c r="I22" s="308"/>
      <c r="J22" s="309"/>
      <c r="K22" s="310"/>
      <c r="L22" s="230">
        <f>K23</f>
        <v>3500</v>
      </c>
      <c r="M22" s="170"/>
      <c r="N22" s="170"/>
      <c r="O22" s="170"/>
      <c r="P22" s="170"/>
      <c r="Q22" s="170"/>
      <c r="R22" s="170"/>
      <c r="S22" s="170"/>
      <c r="T22" s="170"/>
      <c r="U22" s="170"/>
      <c r="V22" s="170"/>
      <c r="W22" s="170"/>
      <c r="AG22" s="218" t="s">
        <v>825</v>
      </c>
      <c r="AJ22" s="218">
        <v>1</v>
      </c>
      <c r="AK22" s="533">
        <v>273.39999999999998</v>
      </c>
    </row>
    <row r="23" spans="1:45">
      <c r="A23" s="34" t="s">
        <v>107</v>
      </c>
      <c r="B23" s="226" t="s">
        <v>108</v>
      </c>
      <c r="C23" s="226" t="s">
        <v>103</v>
      </c>
      <c r="D23" s="226" t="s">
        <v>109</v>
      </c>
      <c r="E23" s="226" t="s">
        <v>110</v>
      </c>
      <c r="F23" s="226"/>
      <c r="G23" s="168">
        <v>1</v>
      </c>
      <c r="H23" s="225">
        <v>3500</v>
      </c>
      <c r="I23" s="311">
        <v>0</v>
      </c>
      <c r="J23" s="312">
        <f>H23*(1+I23)</f>
        <v>3500</v>
      </c>
      <c r="K23" s="313">
        <f>J23*G23</f>
        <v>3500</v>
      </c>
      <c r="M23" s="170"/>
      <c r="N23" s="170"/>
      <c r="O23" s="170"/>
      <c r="P23" s="170"/>
      <c r="Q23" s="170"/>
      <c r="R23" s="170"/>
      <c r="S23" s="170"/>
      <c r="T23" s="170"/>
      <c r="U23" s="170"/>
      <c r="V23" s="170"/>
      <c r="W23" s="170"/>
      <c r="AG23" s="218" t="s">
        <v>774</v>
      </c>
      <c r="AJ23" s="218">
        <v>1</v>
      </c>
      <c r="AK23" s="533">
        <v>1281.48</v>
      </c>
    </row>
    <row r="24" spans="1:45">
      <c r="A24" s="33" t="s">
        <v>111</v>
      </c>
      <c r="B24" s="305" t="s">
        <v>112</v>
      </c>
      <c r="C24" s="305"/>
      <c r="D24" s="305"/>
      <c r="E24" s="305"/>
      <c r="F24" s="305"/>
      <c r="G24" s="306"/>
      <c r="H24" s="307"/>
      <c r="I24" s="308"/>
      <c r="J24" s="309"/>
      <c r="K24" s="310"/>
      <c r="L24" s="230">
        <f>SUM(K25:K34)</f>
        <v>1089279.82</v>
      </c>
      <c r="M24" s="170"/>
      <c r="N24" s="170"/>
      <c r="O24" s="170"/>
      <c r="P24" s="170"/>
      <c r="Q24" s="170"/>
      <c r="R24" s="170"/>
      <c r="S24" s="170"/>
      <c r="T24" s="170"/>
      <c r="U24" s="170"/>
      <c r="V24" s="170"/>
      <c r="W24" s="170"/>
      <c r="X24" s="219"/>
      <c r="AG24" s="218" t="s">
        <v>826</v>
      </c>
      <c r="AJ24" s="218">
        <v>1</v>
      </c>
      <c r="AK24" s="533">
        <v>655.42</v>
      </c>
    </row>
    <row r="25" spans="1:45">
      <c r="A25" s="35" t="s">
        <v>113</v>
      </c>
      <c r="B25" s="176" t="s">
        <v>114</v>
      </c>
      <c r="C25" s="176" t="s">
        <v>103</v>
      </c>
      <c r="D25" s="176" t="s">
        <v>115</v>
      </c>
      <c r="E25" s="176" t="s">
        <v>116</v>
      </c>
      <c r="F25" s="176" t="s">
        <v>15</v>
      </c>
      <c r="G25" s="167">
        <f>O2</f>
        <v>48122</v>
      </c>
      <c r="H25" s="413">
        <v>11.99</v>
      </c>
      <c r="I25" s="414">
        <v>0</v>
      </c>
      <c r="J25" s="415">
        <f>H25*(1+I25)</f>
        <v>11.99</v>
      </c>
      <c r="K25" s="529">
        <f>J25*G25</f>
        <v>576982.78</v>
      </c>
      <c r="M25" s="170" t="s">
        <v>827</v>
      </c>
      <c r="N25" s="170"/>
      <c r="O25" s="170"/>
      <c r="P25" s="170"/>
      <c r="Q25" s="170"/>
      <c r="R25" s="170"/>
      <c r="S25" s="170"/>
      <c r="T25" s="170"/>
      <c r="U25" s="170"/>
      <c r="V25" s="170"/>
      <c r="W25" s="170"/>
      <c r="X25" s="219"/>
      <c r="AG25" s="218" t="s">
        <v>828</v>
      </c>
      <c r="AJ25" s="218">
        <v>1</v>
      </c>
      <c r="AK25" s="533">
        <v>1520.89</v>
      </c>
    </row>
    <row r="26" spans="1:45">
      <c r="A26" s="37" t="s">
        <v>117</v>
      </c>
      <c r="B26" s="164" t="s">
        <v>114</v>
      </c>
      <c r="C26" s="164" t="s">
        <v>103</v>
      </c>
      <c r="D26" s="164" t="s">
        <v>115</v>
      </c>
      <c r="E26" s="164" t="s">
        <v>118</v>
      </c>
      <c r="F26" s="164"/>
      <c r="G26" s="161"/>
      <c r="H26" s="185"/>
      <c r="I26" s="216"/>
      <c r="J26" s="417">
        <f>H26*(1+I26)</f>
        <v>0</v>
      </c>
      <c r="K26" s="416">
        <f t="shared" ref="K26:K34" si="4">J26*G26</f>
        <v>0</v>
      </c>
      <c r="M26" s="170"/>
      <c r="N26" s="170"/>
      <c r="O26" s="170"/>
      <c r="P26" s="170"/>
      <c r="Q26" s="170"/>
      <c r="R26" s="170"/>
      <c r="S26" s="170"/>
      <c r="T26" s="170"/>
      <c r="U26" s="170"/>
      <c r="V26" s="170"/>
      <c r="W26" s="170"/>
      <c r="X26" s="219"/>
      <c r="AG26" s="218" t="s">
        <v>829</v>
      </c>
      <c r="AJ26" s="218">
        <v>1</v>
      </c>
      <c r="AK26" s="533">
        <v>5652.7</v>
      </c>
    </row>
    <row r="27" spans="1:45">
      <c r="A27" s="37" t="s">
        <v>119</v>
      </c>
      <c r="B27" s="164" t="s">
        <v>114</v>
      </c>
      <c r="C27" s="164" t="s">
        <v>120</v>
      </c>
      <c r="D27" s="164" t="s">
        <v>115</v>
      </c>
      <c r="E27" s="223" t="s">
        <v>110</v>
      </c>
      <c r="F27" s="164" t="s">
        <v>121</v>
      </c>
      <c r="G27" s="161">
        <v>1</v>
      </c>
      <c r="H27" s="185">
        <v>2500</v>
      </c>
      <c r="I27" s="216">
        <v>0</v>
      </c>
      <c r="J27" s="417">
        <f t="shared" ref="J27" si="5">H27*(1+I27)</f>
        <v>2500</v>
      </c>
      <c r="K27" s="416">
        <f t="shared" si="4"/>
        <v>2500</v>
      </c>
      <c r="M27" s="170"/>
      <c r="N27" s="170"/>
      <c r="O27" s="170"/>
      <c r="P27" s="170"/>
      <c r="Q27" s="170"/>
      <c r="R27" s="170"/>
      <c r="S27" s="170"/>
      <c r="T27" s="170"/>
      <c r="U27" s="170"/>
      <c r="V27" s="170"/>
      <c r="W27" s="170"/>
      <c r="X27" s="219"/>
      <c r="AG27" s="218" t="s">
        <v>830</v>
      </c>
      <c r="AJ27" s="218">
        <v>1</v>
      </c>
      <c r="AK27" s="533">
        <v>937.64</v>
      </c>
    </row>
    <row r="28" spans="1:45">
      <c r="A28" s="37" t="s">
        <v>122</v>
      </c>
      <c r="B28" s="164" t="s">
        <v>114</v>
      </c>
      <c r="C28" s="164" t="s">
        <v>103</v>
      </c>
      <c r="D28" s="164" t="s">
        <v>123</v>
      </c>
      <c r="E28" s="164" t="s">
        <v>116</v>
      </c>
      <c r="F28" s="223" t="s">
        <v>15</v>
      </c>
      <c r="G28" s="224">
        <v>300</v>
      </c>
      <c r="H28" s="185">
        <v>11.99</v>
      </c>
      <c r="I28" s="216"/>
      <c r="J28" s="417">
        <f>H28*(1+I28)</f>
        <v>11.99</v>
      </c>
      <c r="K28" s="529">
        <f t="shared" si="4"/>
        <v>3597</v>
      </c>
      <c r="M28" s="170"/>
      <c r="N28" s="170"/>
      <c r="O28" s="170"/>
      <c r="P28" s="170"/>
      <c r="Q28" s="170"/>
      <c r="R28" s="170"/>
      <c r="S28" s="170"/>
      <c r="T28" s="170"/>
      <c r="U28" s="170"/>
      <c r="V28" s="170"/>
      <c r="W28" s="170"/>
      <c r="X28" s="219"/>
      <c r="AG28" s="218" t="s">
        <v>831</v>
      </c>
      <c r="AJ28" s="218">
        <v>1</v>
      </c>
      <c r="AK28" s="533">
        <v>555.22</v>
      </c>
    </row>
    <row r="29" spans="1:45">
      <c r="A29" s="37" t="s">
        <v>124</v>
      </c>
      <c r="B29" s="164" t="s">
        <v>125</v>
      </c>
      <c r="C29" s="164" t="s">
        <v>103</v>
      </c>
      <c r="D29" s="164" t="s">
        <v>126</v>
      </c>
      <c r="E29" s="164" t="s">
        <v>110</v>
      </c>
      <c r="F29" s="164" t="s">
        <v>15</v>
      </c>
      <c r="G29" s="161">
        <f>230*4</f>
        <v>920</v>
      </c>
      <c r="H29" s="185">
        <v>11.99</v>
      </c>
      <c r="I29" s="216">
        <v>0</v>
      </c>
      <c r="J29" s="417">
        <f t="shared" ref="J29:J34" si="6">H29*(1+I29)</f>
        <v>11.99</v>
      </c>
      <c r="K29" s="529">
        <f t="shared" si="4"/>
        <v>11030.800000000001</v>
      </c>
      <c r="M29" s="170"/>
      <c r="N29" s="170"/>
      <c r="O29" s="170"/>
      <c r="P29" s="170"/>
      <c r="Q29" s="170"/>
      <c r="R29" s="170"/>
      <c r="S29" s="170"/>
      <c r="T29" s="170"/>
      <c r="U29" s="170"/>
      <c r="V29" s="170"/>
      <c r="W29" s="170"/>
      <c r="X29" s="219"/>
      <c r="AG29" s="218" t="s">
        <v>829</v>
      </c>
      <c r="AJ29" s="218">
        <v>2</v>
      </c>
      <c r="AK29" s="533">
        <v>5596.41</v>
      </c>
    </row>
    <row r="30" spans="1:45">
      <c r="A30" s="37" t="s">
        <v>128</v>
      </c>
      <c r="B30" s="164" t="s">
        <v>129</v>
      </c>
      <c r="C30" s="164" t="s">
        <v>103</v>
      </c>
      <c r="D30" s="164" t="s">
        <v>130</v>
      </c>
      <c r="E30" s="164" t="s">
        <v>110</v>
      </c>
      <c r="F30" s="164" t="s">
        <v>121</v>
      </c>
      <c r="G30" s="161">
        <f>$O$7</f>
        <v>1</v>
      </c>
      <c r="H30" s="185">
        <v>2500</v>
      </c>
      <c r="I30" s="216">
        <v>0</v>
      </c>
      <c r="J30" s="417">
        <f t="shared" si="6"/>
        <v>2500</v>
      </c>
      <c r="K30" s="529">
        <f t="shared" si="4"/>
        <v>2500</v>
      </c>
      <c r="M30" s="170"/>
      <c r="N30" s="170"/>
      <c r="O30" s="170"/>
      <c r="P30" s="170"/>
      <c r="Q30" s="170"/>
      <c r="R30" s="170"/>
      <c r="S30" s="170"/>
      <c r="T30" s="170"/>
      <c r="U30" s="170"/>
      <c r="V30" s="170"/>
      <c r="W30" s="170"/>
      <c r="X30" s="219"/>
      <c r="AG30" s="218" t="s">
        <v>832</v>
      </c>
      <c r="AJ30" s="218">
        <v>2</v>
      </c>
      <c r="AK30" s="533">
        <v>794.24</v>
      </c>
    </row>
    <row r="31" spans="1:45">
      <c r="A31" s="37" t="s">
        <v>131</v>
      </c>
      <c r="B31" s="164" t="s">
        <v>132</v>
      </c>
      <c r="C31" s="164" t="s">
        <v>103</v>
      </c>
      <c r="D31" s="164" t="s">
        <v>130</v>
      </c>
      <c r="E31" s="164" t="s">
        <v>118</v>
      </c>
      <c r="F31" s="164"/>
      <c r="G31" s="161"/>
      <c r="H31" s="185"/>
      <c r="I31" s="216"/>
      <c r="J31" s="417">
        <f t="shared" si="6"/>
        <v>0</v>
      </c>
      <c r="K31" s="416">
        <f t="shared" si="4"/>
        <v>0</v>
      </c>
      <c r="M31" s="170"/>
      <c r="N31" s="170"/>
      <c r="O31" s="170"/>
      <c r="P31" s="170"/>
      <c r="Q31" s="170"/>
      <c r="R31" s="170"/>
      <c r="S31" s="170"/>
      <c r="T31" s="170"/>
      <c r="U31" s="170"/>
      <c r="V31" s="170"/>
      <c r="W31" s="170"/>
      <c r="X31" s="219"/>
      <c r="AG31" s="218" t="s">
        <v>829</v>
      </c>
      <c r="AJ31" s="218">
        <v>3</v>
      </c>
      <c r="AK31" s="533">
        <v>5570.59</v>
      </c>
    </row>
    <row r="32" spans="1:45">
      <c r="A32" s="37" t="s">
        <v>133</v>
      </c>
      <c r="B32" s="164" t="s">
        <v>134</v>
      </c>
      <c r="C32" s="164" t="s">
        <v>103</v>
      </c>
      <c r="D32" s="164" t="s">
        <v>135</v>
      </c>
      <c r="E32" s="164" t="s">
        <v>118</v>
      </c>
      <c r="F32" s="164"/>
      <c r="G32" s="161"/>
      <c r="H32" s="185"/>
      <c r="I32" s="216"/>
      <c r="J32" s="417">
        <f t="shared" si="6"/>
        <v>0</v>
      </c>
      <c r="K32" s="416">
        <f t="shared" si="4"/>
        <v>0</v>
      </c>
      <c r="M32" s="170"/>
      <c r="N32" s="170"/>
      <c r="O32" s="170"/>
      <c r="P32" s="170"/>
      <c r="Q32" s="170"/>
      <c r="R32" s="170"/>
      <c r="S32" s="170"/>
      <c r="T32" s="170"/>
      <c r="U32" s="170"/>
      <c r="V32" s="170"/>
      <c r="W32" s="170"/>
      <c r="X32" s="219"/>
      <c r="AG32" s="218" t="s">
        <v>833</v>
      </c>
      <c r="AJ32" s="218">
        <v>3</v>
      </c>
      <c r="AK32" s="533">
        <v>780.29</v>
      </c>
    </row>
    <row r="33" spans="1:37">
      <c r="A33" s="37" t="s">
        <v>136</v>
      </c>
      <c r="B33" s="164" t="s">
        <v>137</v>
      </c>
      <c r="C33" s="164" t="s">
        <v>103</v>
      </c>
      <c r="D33" s="164" t="s">
        <v>115</v>
      </c>
      <c r="E33" s="164" t="s">
        <v>116</v>
      </c>
      <c r="F33" s="164" t="s">
        <v>15</v>
      </c>
      <c r="G33" s="161">
        <f>R8</f>
        <v>147250</v>
      </c>
      <c r="H33" s="185">
        <v>2.94</v>
      </c>
      <c r="I33" s="216">
        <v>0</v>
      </c>
      <c r="J33" s="417">
        <f t="shared" si="6"/>
        <v>2.94</v>
      </c>
      <c r="K33" s="416">
        <f t="shared" si="4"/>
        <v>432915</v>
      </c>
      <c r="M33" s="170"/>
      <c r="N33" s="170"/>
      <c r="O33" s="170"/>
      <c r="P33" s="170"/>
      <c r="Q33" s="170"/>
      <c r="R33" s="170"/>
      <c r="S33" s="170"/>
      <c r="T33" s="170"/>
      <c r="U33" s="170"/>
      <c r="V33" s="170"/>
      <c r="W33" s="170"/>
      <c r="X33" s="219"/>
      <c r="AG33" s="218" t="s">
        <v>829</v>
      </c>
      <c r="AJ33" s="218">
        <v>4</v>
      </c>
      <c r="AK33" s="533">
        <v>5680.05</v>
      </c>
    </row>
    <row r="34" spans="1:37">
      <c r="A34" s="38" t="s">
        <v>138</v>
      </c>
      <c r="B34" s="315" t="s">
        <v>139</v>
      </c>
      <c r="C34" s="315" t="s">
        <v>103</v>
      </c>
      <c r="D34" s="315" t="s">
        <v>115</v>
      </c>
      <c r="E34" s="315" t="s">
        <v>116</v>
      </c>
      <c r="F34" s="315" t="s">
        <v>15</v>
      </c>
      <c r="G34" s="162">
        <v>3024</v>
      </c>
      <c r="H34" s="418">
        <v>19.760000000000002</v>
      </c>
      <c r="I34" s="419">
        <v>0</v>
      </c>
      <c r="J34" s="420">
        <f t="shared" si="6"/>
        <v>19.760000000000002</v>
      </c>
      <c r="K34" s="313">
        <f t="shared" si="4"/>
        <v>59754.240000000005</v>
      </c>
      <c r="L34" s="231"/>
      <c r="M34" s="170"/>
      <c r="N34" s="170"/>
      <c r="O34" s="170"/>
      <c r="P34" s="170"/>
      <c r="Q34" s="170"/>
      <c r="R34" s="170"/>
      <c r="S34" s="170"/>
      <c r="T34" s="170"/>
      <c r="U34" s="170"/>
      <c r="V34" s="170"/>
      <c r="W34" s="170"/>
      <c r="X34" s="219"/>
      <c r="AG34" s="218" t="s">
        <v>834</v>
      </c>
      <c r="AJ34" s="218">
        <v>4</v>
      </c>
      <c r="AK34" s="533">
        <v>799.74</v>
      </c>
    </row>
    <row r="35" spans="1:37">
      <c r="A35" s="33" t="s">
        <v>140</v>
      </c>
      <c r="B35" s="305" t="s">
        <v>141</v>
      </c>
      <c r="C35" s="305"/>
      <c r="D35" s="305"/>
      <c r="E35" s="305"/>
      <c r="F35" s="305"/>
      <c r="G35" s="306"/>
      <c r="H35" s="307"/>
      <c r="I35" s="308"/>
      <c r="J35" s="309"/>
      <c r="K35" s="310"/>
      <c r="L35" s="230">
        <f>SUM(K36:K43)</f>
        <v>0</v>
      </c>
      <c r="M35" s="170"/>
      <c r="N35" s="170"/>
      <c r="O35" s="170"/>
      <c r="P35" s="170"/>
      <c r="Q35" s="170"/>
      <c r="R35" s="170"/>
      <c r="S35" s="170"/>
      <c r="T35" s="170"/>
      <c r="U35" s="170"/>
      <c r="V35" s="170"/>
      <c r="W35" s="170"/>
      <c r="X35" s="219"/>
      <c r="AG35" s="218" t="s">
        <v>835</v>
      </c>
      <c r="AJ35" s="532" t="s">
        <v>836</v>
      </c>
      <c r="AK35" s="533">
        <v>4823.54</v>
      </c>
    </row>
    <row r="36" spans="1:37">
      <c r="A36" s="35" t="s">
        <v>142</v>
      </c>
      <c r="B36" s="176"/>
      <c r="C36" s="176" t="s">
        <v>103</v>
      </c>
      <c r="D36" s="176"/>
      <c r="E36" s="176" t="s">
        <v>118</v>
      </c>
      <c r="F36" s="176"/>
      <c r="G36" s="167"/>
      <c r="H36" s="413"/>
      <c r="I36" s="414"/>
      <c r="J36" s="415">
        <f t="shared" ref="J36:J43" si="7">H36*(1+I36)</f>
        <v>0</v>
      </c>
      <c r="K36" s="416">
        <f t="shared" ref="K36:K43" si="8">J36*G36</f>
        <v>0</v>
      </c>
      <c r="M36" s="170"/>
      <c r="N36" s="170"/>
      <c r="O36" s="170"/>
      <c r="P36" s="170"/>
      <c r="Q36" s="170"/>
      <c r="R36" s="170"/>
      <c r="S36" s="170"/>
      <c r="T36" s="170"/>
      <c r="U36" s="170"/>
      <c r="V36" s="170"/>
      <c r="W36" s="170"/>
      <c r="X36" s="219"/>
    </row>
    <row r="37" spans="1:37">
      <c r="A37" s="37" t="s">
        <v>143</v>
      </c>
      <c r="B37" s="164"/>
      <c r="C37" s="164" t="s">
        <v>103</v>
      </c>
      <c r="D37" s="164"/>
      <c r="E37" s="164" t="s">
        <v>118</v>
      </c>
      <c r="F37" s="164"/>
      <c r="G37" s="161"/>
      <c r="H37" s="185"/>
      <c r="I37" s="216"/>
      <c r="J37" s="417">
        <f t="shared" si="7"/>
        <v>0</v>
      </c>
      <c r="K37" s="416">
        <f t="shared" si="8"/>
        <v>0</v>
      </c>
      <c r="M37" s="170"/>
      <c r="N37" s="170"/>
      <c r="O37" s="170"/>
      <c r="P37" s="170"/>
      <c r="Q37" s="170"/>
      <c r="R37" s="170"/>
      <c r="S37" s="170"/>
      <c r="T37" s="170"/>
      <c r="U37" s="170"/>
      <c r="V37" s="170"/>
      <c r="W37" s="170"/>
      <c r="X37" s="219"/>
    </row>
    <row r="38" spans="1:37">
      <c r="A38" s="37" t="s">
        <v>144</v>
      </c>
      <c r="B38" s="164"/>
      <c r="C38" s="164" t="s">
        <v>103</v>
      </c>
      <c r="D38" s="164"/>
      <c r="E38" s="164" t="s">
        <v>118</v>
      </c>
      <c r="F38" s="164"/>
      <c r="G38" s="161"/>
      <c r="H38" s="185"/>
      <c r="I38" s="216"/>
      <c r="J38" s="417">
        <f t="shared" si="7"/>
        <v>0</v>
      </c>
      <c r="K38" s="416">
        <f t="shared" si="8"/>
        <v>0</v>
      </c>
      <c r="M38" s="170"/>
      <c r="N38" s="170"/>
      <c r="O38" s="170"/>
      <c r="P38" s="170"/>
      <c r="Q38" s="170"/>
      <c r="R38" s="170"/>
      <c r="S38" s="170"/>
      <c r="T38" s="170"/>
      <c r="U38" s="170"/>
      <c r="V38" s="170"/>
      <c r="W38" s="170"/>
      <c r="X38" s="219"/>
    </row>
    <row r="39" spans="1:37">
      <c r="A39" s="37" t="s">
        <v>145</v>
      </c>
      <c r="B39" s="164"/>
      <c r="C39" s="164" t="s">
        <v>103</v>
      </c>
      <c r="D39" s="164"/>
      <c r="E39" s="164" t="s">
        <v>118</v>
      </c>
      <c r="F39" s="164"/>
      <c r="G39" s="161"/>
      <c r="H39" s="185"/>
      <c r="I39" s="216"/>
      <c r="J39" s="417">
        <f t="shared" si="7"/>
        <v>0</v>
      </c>
      <c r="K39" s="416">
        <f t="shared" si="8"/>
        <v>0</v>
      </c>
      <c r="M39" s="170"/>
      <c r="N39" s="170"/>
      <c r="O39" s="170"/>
      <c r="P39" s="170"/>
      <c r="Q39" s="170"/>
      <c r="R39" s="170"/>
      <c r="S39" s="170"/>
      <c r="T39" s="170"/>
      <c r="U39" s="170"/>
      <c r="V39" s="170"/>
      <c r="W39" s="170"/>
      <c r="X39" s="219"/>
    </row>
    <row r="40" spans="1:37">
      <c r="A40" s="37" t="s">
        <v>146</v>
      </c>
      <c r="B40" s="164"/>
      <c r="C40" s="164" t="s">
        <v>103</v>
      </c>
      <c r="D40" s="164"/>
      <c r="E40" s="164" t="s">
        <v>118</v>
      </c>
      <c r="F40" s="164"/>
      <c r="G40" s="161"/>
      <c r="H40" s="185"/>
      <c r="I40" s="216"/>
      <c r="J40" s="417">
        <f t="shared" si="7"/>
        <v>0</v>
      </c>
      <c r="K40" s="416">
        <f t="shared" si="8"/>
        <v>0</v>
      </c>
      <c r="M40" s="170"/>
      <c r="N40" s="170"/>
      <c r="O40" s="170"/>
      <c r="P40" s="170"/>
      <c r="Q40" s="170"/>
      <c r="R40" s="170"/>
      <c r="S40" s="170"/>
      <c r="T40" s="170"/>
      <c r="U40" s="170"/>
      <c r="V40" s="170"/>
      <c r="W40" s="170"/>
      <c r="X40" s="219"/>
    </row>
    <row r="41" spans="1:37">
      <c r="A41" s="37" t="s">
        <v>147</v>
      </c>
      <c r="B41" s="164"/>
      <c r="C41" s="164" t="s">
        <v>103</v>
      </c>
      <c r="D41" s="164"/>
      <c r="E41" s="164" t="s">
        <v>118</v>
      </c>
      <c r="F41" s="164"/>
      <c r="G41" s="161"/>
      <c r="H41" s="185"/>
      <c r="I41" s="216"/>
      <c r="J41" s="417">
        <f t="shared" si="7"/>
        <v>0</v>
      </c>
      <c r="K41" s="416">
        <f t="shared" si="8"/>
        <v>0</v>
      </c>
      <c r="M41" s="170"/>
      <c r="N41" s="170"/>
      <c r="O41" s="170"/>
      <c r="P41" s="170"/>
      <c r="Q41" s="170"/>
      <c r="R41" s="170"/>
      <c r="S41" s="170"/>
      <c r="T41" s="170"/>
      <c r="U41" s="170"/>
      <c r="V41" s="170"/>
      <c r="W41" s="170"/>
      <c r="X41" s="219"/>
    </row>
    <row r="42" spans="1:37">
      <c r="A42" s="37" t="s">
        <v>148</v>
      </c>
      <c r="B42" s="164"/>
      <c r="C42" s="164" t="s">
        <v>103</v>
      </c>
      <c r="D42" s="164"/>
      <c r="E42" s="164" t="s">
        <v>118</v>
      </c>
      <c r="F42" s="164"/>
      <c r="G42" s="161"/>
      <c r="H42" s="185"/>
      <c r="I42" s="216"/>
      <c r="J42" s="417">
        <f t="shared" si="7"/>
        <v>0</v>
      </c>
      <c r="K42" s="416">
        <f t="shared" si="8"/>
        <v>0</v>
      </c>
      <c r="M42" s="170"/>
      <c r="N42" s="170"/>
      <c r="O42" s="170"/>
      <c r="P42" s="170"/>
      <c r="Q42" s="170"/>
      <c r="R42" s="170"/>
      <c r="S42" s="170"/>
      <c r="T42" s="170"/>
      <c r="U42" s="170"/>
      <c r="V42" s="170"/>
      <c r="W42" s="170"/>
      <c r="X42" s="219"/>
    </row>
    <row r="43" spans="1:37">
      <c r="A43" s="38" t="s">
        <v>149</v>
      </c>
      <c r="B43" s="315"/>
      <c r="C43" s="315" t="s">
        <v>103</v>
      </c>
      <c r="D43" s="315"/>
      <c r="E43" s="315" t="s">
        <v>118</v>
      </c>
      <c r="F43" s="315"/>
      <c r="G43" s="162"/>
      <c r="H43" s="418"/>
      <c r="I43" s="419"/>
      <c r="J43" s="420">
        <f t="shared" si="7"/>
        <v>0</v>
      </c>
      <c r="K43" s="313">
        <f t="shared" si="8"/>
        <v>0</v>
      </c>
      <c r="M43" s="170"/>
      <c r="N43" s="170"/>
      <c r="O43" s="170"/>
      <c r="P43" s="170"/>
      <c r="Q43" s="170"/>
      <c r="R43" s="170"/>
      <c r="S43" s="170"/>
      <c r="T43" s="170"/>
      <c r="U43" s="170"/>
      <c r="V43" s="170"/>
      <c r="W43" s="170"/>
      <c r="X43" s="219"/>
    </row>
    <row r="44" spans="1:37">
      <c r="A44" s="33" t="s">
        <v>150</v>
      </c>
      <c r="B44" s="305" t="s">
        <v>151</v>
      </c>
      <c r="C44" s="305"/>
      <c r="D44" s="305"/>
      <c r="E44" s="305"/>
      <c r="F44" s="305"/>
      <c r="G44" s="306"/>
      <c r="H44" s="307"/>
      <c r="I44" s="308"/>
      <c r="J44" s="307"/>
      <c r="K44" s="421"/>
      <c r="L44" s="230">
        <f>SUM(K45:K49)</f>
        <v>112800</v>
      </c>
      <c r="M44" s="170"/>
      <c r="N44" s="170"/>
      <c r="O44" s="170"/>
      <c r="P44" s="170"/>
      <c r="Q44" s="170"/>
      <c r="R44" s="170"/>
      <c r="S44" s="170"/>
      <c r="T44" s="170"/>
      <c r="U44" s="170"/>
      <c r="V44" s="170"/>
      <c r="W44" s="170"/>
      <c r="X44" s="219"/>
    </row>
    <row r="45" spans="1:37">
      <c r="A45" s="35" t="s">
        <v>152</v>
      </c>
      <c r="B45" s="176" t="s">
        <v>153</v>
      </c>
      <c r="C45" s="176" t="s">
        <v>103</v>
      </c>
      <c r="D45" s="176" t="s">
        <v>115</v>
      </c>
      <c r="E45" s="176" t="s">
        <v>116</v>
      </c>
      <c r="F45" s="176" t="s">
        <v>416</v>
      </c>
      <c r="G45" s="167">
        <f>O4</f>
        <v>8</v>
      </c>
      <c r="H45" s="413">
        <v>9500</v>
      </c>
      <c r="I45" s="414">
        <v>0</v>
      </c>
      <c r="J45" s="415">
        <f t="shared" ref="J45:J49" si="9">H45*(1+I45)</f>
        <v>9500</v>
      </c>
      <c r="K45" s="416">
        <f>J45*G45</f>
        <v>76000</v>
      </c>
      <c r="M45" s="170"/>
      <c r="N45" s="170"/>
      <c r="O45" s="170"/>
      <c r="P45" s="170"/>
      <c r="Q45" s="170"/>
      <c r="R45" s="170"/>
      <c r="S45" s="170"/>
      <c r="T45" s="170"/>
      <c r="U45" s="170"/>
      <c r="V45" s="170"/>
      <c r="W45" s="170"/>
      <c r="X45" s="219"/>
    </row>
    <row r="46" spans="1:37">
      <c r="A46" s="37" t="s">
        <v>154</v>
      </c>
      <c r="B46" s="164" t="s">
        <v>155</v>
      </c>
      <c r="C46" s="164" t="s">
        <v>103</v>
      </c>
      <c r="D46" s="164" t="s">
        <v>126</v>
      </c>
      <c r="E46" s="164" t="s">
        <v>116</v>
      </c>
      <c r="F46" s="164" t="s">
        <v>32</v>
      </c>
      <c r="G46" s="161">
        <f>$O$5</f>
        <v>4</v>
      </c>
      <c r="H46" s="185">
        <v>5700</v>
      </c>
      <c r="I46" s="216">
        <v>0</v>
      </c>
      <c r="J46" s="417">
        <f t="shared" si="9"/>
        <v>5700</v>
      </c>
      <c r="K46" s="416">
        <f>J46*G46</f>
        <v>22800</v>
      </c>
      <c r="M46" s="170"/>
      <c r="N46" s="170"/>
      <c r="O46" s="170"/>
      <c r="P46" s="170"/>
      <c r="Q46" s="170"/>
      <c r="R46" s="170"/>
      <c r="S46" s="170"/>
      <c r="T46" s="170"/>
      <c r="U46" s="170"/>
      <c r="V46" s="170"/>
      <c r="W46" s="170"/>
      <c r="X46" s="219"/>
    </row>
    <row r="47" spans="1:37">
      <c r="A47" s="37" t="s">
        <v>156</v>
      </c>
      <c r="B47" s="164" t="s">
        <v>157</v>
      </c>
      <c r="C47" s="164" t="s">
        <v>103</v>
      </c>
      <c r="D47" s="164" t="s">
        <v>109</v>
      </c>
      <c r="E47" s="164" t="s">
        <v>118</v>
      </c>
      <c r="F47" s="164"/>
      <c r="G47" s="161"/>
      <c r="H47" s="185">
        <v>0</v>
      </c>
      <c r="I47" s="216"/>
      <c r="J47" s="417">
        <f t="shared" si="9"/>
        <v>0</v>
      </c>
      <c r="K47" s="416">
        <f>J47*G47</f>
        <v>0</v>
      </c>
      <c r="M47" s="170"/>
      <c r="N47" s="170"/>
      <c r="O47" s="170"/>
      <c r="P47" s="170"/>
      <c r="Q47" s="170"/>
      <c r="R47" s="170"/>
      <c r="S47" s="170"/>
      <c r="T47" s="170"/>
      <c r="U47" s="170"/>
      <c r="V47" s="170"/>
      <c r="W47" s="170"/>
      <c r="X47" s="219"/>
    </row>
    <row r="48" spans="1:37">
      <c r="A48" s="37" t="s">
        <v>158</v>
      </c>
      <c r="B48" s="164" t="s">
        <v>159</v>
      </c>
      <c r="C48" s="164" t="s">
        <v>103</v>
      </c>
      <c r="D48" s="164" t="s">
        <v>130</v>
      </c>
      <c r="E48" s="164" t="s">
        <v>110</v>
      </c>
      <c r="F48" s="164" t="s">
        <v>121</v>
      </c>
      <c r="G48" s="161">
        <f>$O$7</f>
        <v>1</v>
      </c>
      <c r="H48" s="185">
        <v>5000</v>
      </c>
      <c r="I48" s="216">
        <v>0</v>
      </c>
      <c r="J48" s="417">
        <f t="shared" si="9"/>
        <v>5000</v>
      </c>
      <c r="K48" s="416">
        <f>J48*G48</f>
        <v>5000</v>
      </c>
      <c r="M48" s="170"/>
      <c r="N48" s="170"/>
      <c r="O48" s="170"/>
      <c r="P48" s="170"/>
      <c r="Q48" s="170"/>
      <c r="R48" s="170"/>
      <c r="S48" s="170"/>
      <c r="T48" s="170"/>
      <c r="U48" s="170"/>
      <c r="V48" s="170"/>
      <c r="W48" s="170"/>
      <c r="X48" s="219"/>
    </row>
    <row r="49" spans="1:24">
      <c r="A49" s="37" t="s">
        <v>160</v>
      </c>
      <c r="B49" s="164" t="s">
        <v>161</v>
      </c>
      <c r="C49" s="164" t="s">
        <v>281</v>
      </c>
      <c r="D49" s="164" t="s">
        <v>135</v>
      </c>
      <c r="E49" s="164" t="s">
        <v>116</v>
      </c>
      <c r="F49" s="164" t="s">
        <v>121</v>
      </c>
      <c r="G49" s="161">
        <f>$O$7</f>
        <v>1</v>
      </c>
      <c r="H49" s="185">
        <v>9000</v>
      </c>
      <c r="I49" s="216">
        <v>0</v>
      </c>
      <c r="J49" s="417">
        <f t="shared" si="9"/>
        <v>9000</v>
      </c>
      <c r="K49" s="416">
        <f>J49*G49</f>
        <v>9000</v>
      </c>
      <c r="M49" s="170"/>
      <c r="N49" s="170"/>
      <c r="O49" s="170"/>
      <c r="P49" s="170"/>
      <c r="Q49" s="170"/>
      <c r="R49" s="170"/>
      <c r="S49" s="170"/>
      <c r="T49" s="170"/>
      <c r="U49" s="170"/>
      <c r="V49" s="170"/>
      <c r="W49" s="170"/>
      <c r="X49" s="219"/>
    </row>
    <row r="50" spans="1:24">
      <c r="A50" s="33" t="s">
        <v>162</v>
      </c>
      <c r="B50" s="305" t="s">
        <v>163</v>
      </c>
      <c r="C50" s="305"/>
      <c r="D50" s="305"/>
      <c r="E50" s="343"/>
      <c r="F50" s="343"/>
      <c r="G50" s="147"/>
      <c r="H50" s="344"/>
      <c r="I50" s="345"/>
      <c r="J50" s="344"/>
      <c r="K50" s="346"/>
      <c r="L50" s="230">
        <f>SUM(K51:K58)</f>
        <v>325412.12789407256</v>
      </c>
      <c r="M50" s="170"/>
      <c r="N50" s="170"/>
      <c r="O50" s="170"/>
      <c r="P50" s="170"/>
      <c r="Q50" s="170"/>
      <c r="R50" s="170"/>
      <c r="S50" s="170"/>
      <c r="T50" s="170"/>
      <c r="U50" s="170"/>
      <c r="V50" s="170"/>
      <c r="W50" s="170"/>
      <c r="X50" s="219"/>
    </row>
    <row r="51" spans="1:24">
      <c r="A51" s="35" t="s">
        <v>164</v>
      </c>
      <c r="B51" s="176" t="s">
        <v>165</v>
      </c>
      <c r="C51" s="176" t="s">
        <v>103</v>
      </c>
      <c r="D51" s="176" t="s">
        <v>115</v>
      </c>
      <c r="E51" s="176" t="s">
        <v>116</v>
      </c>
      <c r="F51" s="176" t="s">
        <v>837</v>
      </c>
      <c r="G51" s="167">
        <v>31706.95</v>
      </c>
      <c r="H51" s="413">
        <v>3.5584036904865521</v>
      </c>
      <c r="I51" s="414">
        <v>0</v>
      </c>
      <c r="J51" s="415">
        <f t="shared" ref="J51:J58" si="10">H51*(1+I51)</f>
        <v>3.5584036904865521</v>
      </c>
      <c r="K51" s="529">
        <f t="shared" ref="K51:K58" si="11">J51*G51</f>
        <v>112826.12789407259</v>
      </c>
      <c r="M51" s="170"/>
      <c r="N51" s="170"/>
      <c r="O51" s="170"/>
      <c r="P51" s="170"/>
      <c r="Q51" s="170"/>
      <c r="R51" s="170"/>
      <c r="S51" s="170"/>
      <c r="T51" s="170"/>
      <c r="U51" s="170"/>
      <c r="V51" s="170"/>
      <c r="W51" s="170"/>
      <c r="X51" s="219"/>
    </row>
    <row r="52" spans="1:24">
      <c r="A52" s="37" t="s">
        <v>167</v>
      </c>
      <c r="B52" s="164" t="s">
        <v>168</v>
      </c>
      <c r="C52" s="164" t="s">
        <v>103</v>
      </c>
      <c r="D52" s="164" t="s">
        <v>115</v>
      </c>
      <c r="E52" s="164" t="s">
        <v>116</v>
      </c>
      <c r="F52" s="164" t="s">
        <v>32</v>
      </c>
      <c r="G52" s="161">
        <f>$O$3</f>
        <v>2</v>
      </c>
      <c r="H52" s="185">
        <f>1950+2090</f>
        <v>4040</v>
      </c>
      <c r="I52" s="216">
        <v>0</v>
      </c>
      <c r="J52" s="415">
        <f t="shared" si="10"/>
        <v>4040</v>
      </c>
      <c r="K52" s="529">
        <f t="shared" si="11"/>
        <v>8080</v>
      </c>
      <c r="M52" s="170"/>
      <c r="N52" s="170"/>
      <c r="O52" s="170"/>
      <c r="P52" s="170"/>
      <c r="Q52" s="170"/>
      <c r="R52" s="170"/>
      <c r="S52" s="170"/>
      <c r="T52" s="170"/>
      <c r="U52" s="170"/>
      <c r="V52" s="170"/>
      <c r="W52" s="170"/>
      <c r="X52" s="219"/>
    </row>
    <row r="53" spans="1:24">
      <c r="A53" s="37" t="s">
        <v>169</v>
      </c>
      <c r="B53" s="164" t="s">
        <v>170</v>
      </c>
      <c r="C53" s="164" t="s">
        <v>103</v>
      </c>
      <c r="D53" s="164" t="s">
        <v>115</v>
      </c>
      <c r="E53" s="164" t="s">
        <v>116</v>
      </c>
      <c r="F53" s="164" t="s">
        <v>838</v>
      </c>
      <c r="G53" s="161">
        <f>O6*4</f>
        <v>28</v>
      </c>
      <c r="H53" s="185">
        <v>2000</v>
      </c>
      <c r="I53" s="216">
        <v>0</v>
      </c>
      <c r="J53" s="415">
        <f t="shared" si="10"/>
        <v>2000</v>
      </c>
      <c r="K53" s="529">
        <f t="shared" si="11"/>
        <v>56000</v>
      </c>
      <c r="M53" s="170" t="s">
        <v>839</v>
      </c>
      <c r="N53" s="170"/>
      <c r="O53" s="170"/>
      <c r="P53" s="170"/>
      <c r="Q53" s="170"/>
      <c r="R53" s="170"/>
      <c r="S53" s="170"/>
      <c r="T53" s="170"/>
      <c r="U53" s="170"/>
      <c r="V53" s="170"/>
      <c r="W53" s="170"/>
      <c r="X53" s="219"/>
    </row>
    <row r="54" spans="1:24">
      <c r="A54" s="37" t="s">
        <v>171</v>
      </c>
      <c r="B54" s="164" t="s">
        <v>170</v>
      </c>
      <c r="C54" s="164" t="s">
        <v>103</v>
      </c>
      <c r="D54" s="164" t="s">
        <v>115</v>
      </c>
      <c r="E54" s="164" t="s">
        <v>118</v>
      </c>
      <c r="F54" s="164"/>
      <c r="G54" s="161"/>
      <c r="H54" s="185">
        <v>0</v>
      </c>
      <c r="I54" s="216">
        <v>0</v>
      </c>
      <c r="J54" s="415">
        <f t="shared" si="10"/>
        <v>0</v>
      </c>
      <c r="K54" s="416">
        <f t="shared" si="11"/>
        <v>0</v>
      </c>
      <c r="M54" s="170"/>
      <c r="N54" s="170"/>
      <c r="O54" s="170"/>
      <c r="P54" s="170"/>
      <c r="Q54" s="170"/>
      <c r="R54" s="170"/>
      <c r="S54" s="170"/>
      <c r="T54" s="170"/>
      <c r="U54" s="170"/>
      <c r="V54" s="170"/>
      <c r="W54" s="170"/>
      <c r="X54" s="219"/>
    </row>
    <row r="55" spans="1:24">
      <c r="A55" s="37" t="s">
        <v>172</v>
      </c>
      <c r="B55" s="164" t="s">
        <v>173</v>
      </c>
      <c r="C55" s="164" t="s">
        <v>103</v>
      </c>
      <c r="D55" s="164" t="s">
        <v>130</v>
      </c>
      <c r="E55" s="164" t="s">
        <v>118</v>
      </c>
      <c r="F55" s="164"/>
      <c r="G55" s="161"/>
      <c r="H55" s="185">
        <v>0</v>
      </c>
      <c r="I55" s="216">
        <v>0</v>
      </c>
      <c r="J55" s="415">
        <f t="shared" si="10"/>
        <v>0</v>
      </c>
      <c r="K55" s="416">
        <f t="shared" si="11"/>
        <v>0</v>
      </c>
      <c r="M55" s="170"/>
      <c r="N55" s="170"/>
      <c r="O55" s="170"/>
      <c r="P55" s="170"/>
      <c r="Q55" s="170"/>
      <c r="R55" s="170"/>
      <c r="S55" s="170"/>
      <c r="T55" s="170"/>
      <c r="U55" s="170"/>
      <c r="V55" s="170"/>
      <c r="W55" s="170"/>
      <c r="X55" s="219"/>
    </row>
    <row r="56" spans="1:24">
      <c r="A56" s="37" t="s">
        <v>174</v>
      </c>
      <c r="B56" s="164" t="s">
        <v>175</v>
      </c>
      <c r="C56" s="164" t="s">
        <v>103</v>
      </c>
      <c r="D56" s="164" t="s">
        <v>135</v>
      </c>
      <c r="E56" s="164" t="s">
        <v>116</v>
      </c>
      <c r="F56" s="164" t="s">
        <v>32</v>
      </c>
      <c r="G56" s="161">
        <v>1</v>
      </c>
      <c r="H56" s="185">
        <v>1950</v>
      </c>
      <c r="I56" s="216">
        <v>0</v>
      </c>
      <c r="J56" s="415">
        <f t="shared" si="10"/>
        <v>1950</v>
      </c>
      <c r="K56" s="529">
        <f t="shared" si="11"/>
        <v>1950</v>
      </c>
      <c r="M56" s="170"/>
      <c r="N56" s="170"/>
      <c r="O56" s="170"/>
      <c r="P56" s="170"/>
      <c r="Q56" s="170"/>
      <c r="R56" s="170"/>
      <c r="S56" s="170"/>
      <c r="T56" s="170"/>
      <c r="U56" s="170"/>
      <c r="V56" s="170"/>
      <c r="W56" s="170"/>
      <c r="X56" s="219"/>
    </row>
    <row r="57" spans="1:24">
      <c r="A57" s="37" t="s">
        <v>176</v>
      </c>
      <c r="B57" s="164" t="s">
        <v>177</v>
      </c>
      <c r="C57" s="164" t="s">
        <v>103</v>
      </c>
      <c r="D57" s="164" t="s">
        <v>115</v>
      </c>
      <c r="E57" s="164" t="s">
        <v>116</v>
      </c>
      <c r="F57" s="164" t="s">
        <v>549</v>
      </c>
      <c r="G57" s="161">
        <f>$O$9</f>
        <v>1593</v>
      </c>
      <c r="H57" s="185">
        <v>92</v>
      </c>
      <c r="I57" s="216">
        <v>0</v>
      </c>
      <c r="J57" s="415">
        <f t="shared" si="10"/>
        <v>92</v>
      </c>
      <c r="K57" s="529">
        <f t="shared" si="11"/>
        <v>146556</v>
      </c>
      <c r="M57" s="170" t="s">
        <v>840</v>
      </c>
      <c r="N57" s="170"/>
      <c r="O57" s="170"/>
      <c r="P57" s="170"/>
      <c r="Q57" s="170"/>
      <c r="R57" s="170"/>
      <c r="S57" s="170"/>
      <c r="T57" s="170"/>
      <c r="U57" s="170"/>
      <c r="V57" s="170"/>
      <c r="W57" s="170"/>
      <c r="X57" s="219"/>
    </row>
    <row r="58" spans="1:24">
      <c r="A58" s="37" t="s">
        <v>179</v>
      </c>
      <c r="B58" s="164" t="s">
        <v>180</v>
      </c>
      <c r="C58" s="164" t="s">
        <v>103</v>
      </c>
      <c r="D58" s="164" t="s">
        <v>181</v>
      </c>
      <c r="E58" s="164" t="s">
        <v>118</v>
      </c>
      <c r="F58" s="164"/>
      <c r="G58" s="161"/>
      <c r="H58" s="185">
        <v>0</v>
      </c>
      <c r="I58" s="216">
        <v>0</v>
      </c>
      <c r="J58" s="415">
        <f t="shared" si="10"/>
        <v>0</v>
      </c>
      <c r="K58" s="416">
        <f t="shared" si="11"/>
        <v>0</v>
      </c>
      <c r="M58" s="170"/>
      <c r="N58" s="170"/>
      <c r="O58" s="170"/>
      <c r="P58" s="170"/>
      <c r="Q58" s="170"/>
      <c r="R58" s="170"/>
      <c r="S58" s="170"/>
      <c r="T58" s="170"/>
      <c r="U58" s="170"/>
      <c r="V58" s="170"/>
      <c r="W58" s="170"/>
      <c r="X58" s="219"/>
    </row>
    <row r="59" spans="1:24">
      <c r="A59" s="33" t="s">
        <v>182</v>
      </c>
      <c r="B59" s="305" t="s">
        <v>183</v>
      </c>
      <c r="C59" s="305"/>
      <c r="D59" s="305"/>
      <c r="E59" s="343"/>
      <c r="F59" s="343"/>
      <c r="G59" s="147"/>
      <c r="H59" s="344"/>
      <c r="I59" s="345"/>
      <c r="J59" s="344"/>
      <c r="K59" s="346"/>
      <c r="L59" s="230">
        <f>SUM(K60:K72)</f>
        <v>4804000.7</v>
      </c>
      <c r="M59" s="170"/>
      <c r="N59" s="170"/>
      <c r="O59" s="170"/>
      <c r="P59" s="170"/>
      <c r="Q59" s="170"/>
      <c r="R59" s="170"/>
      <c r="S59" s="170"/>
      <c r="T59" s="170"/>
      <c r="U59" s="170"/>
      <c r="V59" s="170"/>
      <c r="W59" s="170"/>
      <c r="X59" s="219"/>
    </row>
    <row r="60" spans="1:24">
      <c r="A60" s="37" t="s">
        <v>188</v>
      </c>
      <c r="B60" s="164" t="s">
        <v>189</v>
      </c>
      <c r="C60" s="164" t="s">
        <v>103</v>
      </c>
      <c r="D60" s="164" t="s">
        <v>115</v>
      </c>
      <c r="E60" s="164" t="s">
        <v>841</v>
      </c>
      <c r="F60" s="164" t="s">
        <v>15</v>
      </c>
      <c r="G60" s="161">
        <f>B8</f>
        <v>196289</v>
      </c>
      <c r="H60" s="185">
        <f>20.5-15000/G60</f>
        <v>20.42358206522016</v>
      </c>
      <c r="I60" s="216">
        <v>0</v>
      </c>
      <c r="J60" s="415">
        <f t="shared" ref="J60:J72" si="12">H60*(1+I60)</f>
        <v>20.42358206522016</v>
      </c>
      <c r="K60" s="416">
        <f t="shared" ref="K60:K72" si="13">J60*G60</f>
        <v>4008924.5</v>
      </c>
      <c r="M60" s="530" t="s">
        <v>842</v>
      </c>
      <c r="N60" s="170"/>
      <c r="O60" s="170"/>
      <c r="P60" s="170"/>
      <c r="Q60" s="170"/>
      <c r="R60" s="170"/>
      <c r="S60" s="170"/>
      <c r="T60" s="170"/>
      <c r="U60" s="170"/>
      <c r="V60" s="170"/>
      <c r="W60" s="170"/>
      <c r="X60" s="219"/>
    </row>
    <row r="61" spans="1:24">
      <c r="A61" s="37" t="s">
        <v>843</v>
      </c>
      <c r="B61" s="164" t="s">
        <v>189</v>
      </c>
      <c r="C61" s="164" t="s">
        <v>103</v>
      </c>
      <c r="D61" s="164" t="s">
        <v>123</v>
      </c>
      <c r="E61" s="164" t="s">
        <v>110</v>
      </c>
      <c r="F61" s="164" t="s">
        <v>121</v>
      </c>
      <c r="G61" s="161">
        <v>1</v>
      </c>
      <c r="H61" s="185">
        <v>15000</v>
      </c>
      <c r="I61" s="216">
        <v>0</v>
      </c>
      <c r="J61" s="415">
        <f t="shared" ref="J61" si="14">H61*(1+I61)</f>
        <v>15000</v>
      </c>
      <c r="K61" s="529">
        <f t="shared" ref="K61" si="15">J61*G61</f>
        <v>15000</v>
      </c>
      <c r="M61" s="530" t="s">
        <v>844</v>
      </c>
      <c r="N61" s="170"/>
      <c r="O61" s="170"/>
      <c r="P61" s="170"/>
      <c r="Q61" s="170"/>
      <c r="R61" s="170"/>
      <c r="S61" s="170"/>
      <c r="T61" s="170"/>
      <c r="U61" s="170"/>
      <c r="V61" s="170"/>
      <c r="W61" s="170"/>
      <c r="X61" s="219"/>
    </row>
    <row r="62" spans="1:24">
      <c r="A62" s="37" t="s">
        <v>190</v>
      </c>
      <c r="B62" s="164" t="s">
        <v>189</v>
      </c>
      <c r="C62" s="164" t="s">
        <v>103</v>
      </c>
      <c r="D62" s="164" t="s">
        <v>115</v>
      </c>
      <c r="E62" s="164" t="s">
        <v>118</v>
      </c>
      <c r="F62" s="164"/>
      <c r="G62" s="161"/>
      <c r="H62" s="185"/>
      <c r="I62" s="216">
        <v>0</v>
      </c>
      <c r="J62" s="415">
        <f t="shared" si="12"/>
        <v>0</v>
      </c>
      <c r="K62" s="416">
        <f t="shared" si="13"/>
        <v>0</v>
      </c>
      <c r="M62" s="170"/>
      <c r="N62" s="170"/>
      <c r="O62" s="170"/>
      <c r="P62" s="170"/>
      <c r="Q62" s="170"/>
      <c r="R62" s="170"/>
      <c r="S62" s="170"/>
      <c r="T62" s="170"/>
      <c r="U62" s="170"/>
      <c r="V62" s="170"/>
      <c r="W62" s="170"/>
      <c r="X62" s="219"/>
    </row>
    <row r="63" spans="1:24">
      <c r="A63" s="37" t="s">
        <v>191</v>
      </c>
      <c r="B63" s="164" t="s">
        <v>192</v>
      </c>
      <c r="C63" s="164" t="s">
        <v>103</v>
      </c>
      <c r="D63" s="164" t="s">
        <v>181</v>
      </c>
      <c r="E63" s="164" t="s">
        <v>118</v>
      </c>
      <c r="F63" s="164"/>
      <c r="G63" s="161"/>
      <c r="H63" s="185"/>
      <c r="I63" s="216">
        <v>0</v>
      </c>
      <c r="J63" s="415">
        <f t="shared" si="12"/>
        <v>0</v>
      </c>
      <c r="K63" s="416">
        <f t="shared" si="13"/>
        <v>0</v>
      </c>
      <c r="M63" s="170"/>
      <c r="N63" s="170"/>
      <c r="O63" s="170"/>
      <c r="P63" s="170"/>
      <c r="Q63" s="170"/>
      <c r="R63" s="170"/>
      <c r="S63" s="170"/>
      <c r="T63" s="170"/>
      <c r="U63" s="170"/>
      <c r="V63" s="170"/>
      <c r="W63" s="170"/>
      <c r="X63" s="219"/>
    </row>
    <row r="64" spans="1:24">
      <c r="A64" s="37" t="s">
        <v>193</v>
      </c>
      <c r="B64" s="164" t="s">
        <v>194</v>
      </c>
      <c r="C64" s="164" t="s">
        <v>103</v>
      </c>
      <c r="D64" s="164" t="s">
        <v>181</v>
      </c>
      <c r="E64" s="164" t="s">
        <v>110</v>
      </c>
      <c r="F64" s="164" t="s">
        <v>121</v>
      </c>
      <c r="G64" s="161">
        <v>1</v>
      </c>
      <c r="H64" s="185">
        <v>2500</v>
      </c>
      <c r="I64" s="216">
        <v>0</v>
      </c>
      <c r="J64" s="415">
        <f t="shared" si="12"/>
        <v>2500</v>
      </c>
      <c r="K64" s="416">
        <f t="shared" si="13"/>
        <v>2500</v>
      </c>
      <c r="M64" s="170"/>
      <c r="N64" s="170"/>
      <c r="O64" s="170"/>
      <c r="P64" s="170"/>
      <c r="Q64" s="170"/>
      <c r="R64" s="170"/>
      <c r="S64" s="170"/>
      <c r="T64" s="170"/>
      <c r="U64" s="170"/>
      <c r="V64" s="170"/>
      <c r="W64" s="170"/>
      <c r="X64" s="219"/>
    </row>
    <row r="65" spans="1:24">
      <c r="A65" s="37" t="s">
        <v>196</v>
      </c>
      <c r="B65" s="164" t="s">
        <v>197</v>
      </c>
      <c r="C65" s="164" t="s">
        <v>103</v>
      </c>
      <c r="D65" s="164" t="s">
        <v>181</v>
      </c>
      <c r="E65" s="164" t="s">
        <v>118</v>
      </c>
      <c r="F65" s="164"/>
      <c r="G65" s="161"/>
      <c r="H65" s="185"/>
      <c r="I65" s="216">
        <v>0</v>
      </c>
      <c r="J65" s="415">
        <f t="shared" si="12"/>
        <v>0</v>
      </c>
      <c r="K65" s="416">
        <f t="shared" si="13"/>
        <v>0</v>
      </c>
      <c r="M65" s="170"/>
      <c r="N65" s="170"/>
      <c r="O65" s="170"/>
      <c r="P65" s="170"/>
      <c r="Q65" s="170"/>
      <c r="R65" s="170"/>
      <c r="S65" s="170"/>
      <c r="T65" s="170"/>
      <c r="U65" s="170"/>
      <c r="V65" s="170"/>
      <c r="W65" s="170"/>
      <c r="X65" s="219"/>
    </row>
    <row r="66" spans="1:24">
      <c r="A66" s="37" t="s">
        <v>198</v>
      </c>
      <c r="B66" s="164" t="s">
        <v>199</v>
      </c>
      <c r="C66" s="164" t="s">
        <v>103</v>
      </c>
      <c r="D66" s="164" t="s">
        <v>115</v>
      </c>
      <c r="E66" s="164" t="s">
        <v>118</v>
      </c>
      <c r="F66" s="164"/>
      <c r="G66" s="161"/>
      <c r="H66" s="185"/>
      <c r="I66" s="216">
        <v>0</v>
      </c>
      <c r="J66" s="415">
        <f t="shared" si="12"/>
        <v>0</v>
      </c>
      <c r="K66" s="416">
        <f t="shared" si="13"/>
        <v>0</v>
      </c>
      <c r="M66" s="170"/>
      <c r="N66" s="170"/>
      <c r="O66" s="170"/>
      <c r="P66" s="170"/>
      <c r="Q66" s="170"/>
      <c r="R66" s="170"/>
      <c r="S66" s="170"/>
      <c r="T66" s="170"/>
      <c r="U66" s="170"/>
      <c r="V66" s="170"/>
      <c r="W66" s="170"/>
      <c r="X66" s="219"/>
    </row>
    <row r="67" spans="1:24">
      <c r="A67" s="37" t="s">
        <v>200</v>
      </c>
      <c r="B67" s="164" t="s">
        <v>199</v>
      </c>
      <c r="C67" s="164" t="s">
        <v>103</v>
      </c>
      <c r="D67" s="164" t="s">
        <v>135</v>
      </c>
      <c r="E67" s="164" t="s">
        <v>118</v>
      </c>
      <c r="F67" s="164"/>
      <c r="G67" s="161"/>
      <c r="H67" s="185"/>
      <c r="I67" s="216">
        <v>0</v>
      </c>
      <c r="J67" s="415">
        <f t="shared" si="12"/>
        <v>0</v>
      </c>
      <c r="K67" s="416">
        <f t="shared" si="13"/>
        <v>0</v>
      </c>
      <c r="M67" s="170"/>
      <c r="N67" s="170"/>
      <c r="O67" s="170"/>
      <c r="P67" s="170"/>
      <c r="Q67" s="170"/>
      <c r="R67" s="170"/>
      <c r="S67" s="170"/>
      <c r="T67" s="170"/>
      <c r="U67" s="170"/>
      <c r="V67" s="170"/>
      <c r="W67" s="170"/>
      <c r="X67" s="219"/>
    </row>
    <row r="68" spans="1:24">
      <c r="A68" s="206" t="s">
        <v>201</v>
      </c>
      <c r="B68" s="164" t="s">
        <v>202</v>
      </c>
      <c r="C68" s="164" t="s">
        <v>103</v>
      </c>
      <c r="D68" s="164" t="s">
        <v>115</v>
      </c>
      <c r="E68" s="164" t="s">
        <v>116</v>
      </c>
      <c r="F68" s="164" t="s">
        <v>187</v>
      </c>
      <c r="G68" s="161">
        <f>$E$8</f>
        <v>194</v>
      </c>
      <c r="H68" s="185">
        <f>3192.5-4500/194</f>
        <v>3169.3041237113403</v>
      </c>
      <c r="I68" s="216">
        <v>0</v>
      </c>
      <c r="J68" s="415">
        <f t="shared" si="12"/>
        <v>3169.3041237113403</v>
      </c>
      <c r="K68" s="416">
        <f t="shared" si="13"/>
        <v>614845</v>
      </c>
      <c r="M68" s="170"/>
      <c r="N68" s="170"/>
      <c r="O68" s="170"/>
      <c r="P68" s="170"/>
      <c r="Q68" s="170"/>
      <c r="R68" s="170"/>
      <c r="S68" s="170"/>
      <c r="T68" s="170"/>
      <c r="U68" s="170"/>
      <c r="V68" s="170"/>
      <c r="W68" s="170"/>
      <c r="X68" s="219"/>
    </row>
    <row r="69" spans="1:24">
      <c r="A69" s="37" t="s">
        <v>203</v>
      </c>
      <c r="B69" s="164" t="s">
        <v>202</v>
      </c>
      <c r="C69" s="164" t="s">
        <v>103</v>
      </c>
      <c r="D69" s="164" t="s">
        <v>181</v>
      </c>
      <c r="E69" s="164" t="s">
        <v>116</v>
      </c>
      <c r="F69" s="164" t="s">
        <v>15</v>
      </c>
      <c r="G69" s="161">
        <f>B8</f>
        <v>196289</v>
      </c>
      <c r="H69" s="185">
        <v>0.8</v>
      </c>
      <c r="I69" s="216">
        <v>0</v>
      </c>
      <c r="J69" s="415">
        <f t="shared" si="12"/>
        <v>0.8</v>
      </c>
      <c r="K69" s="416">
        <f t="shared" si="13"/>
        <v>157031.20000000001</v>
      </c>
      <c r="M69" s="170"/>
      <c r="N69" s="170"/>
      <c r="O69" s="170"/>
      <c r="P69" s="170"/>
      <c r="Q69" s="170"/>
      <c r="R69" s="170"/>
      <c r="S69" s="170"/>
      <c r="T69" s="170"/>
      <c r="U69" s="170"/>
      <c r="V69" s="170"/>
      <c r="W69" s="170"/>
      <c r="X69" s="219"/>
    </row>
    <row r="70" spans="1:24">
      <c r="A70" s="206" t="s">
        <v>845</v>
      </c>
      <c r="B70" s="164" t="s">
        <v>202</v>
      </c>
      <c r="C70" s="164" t="s">
        <v>103</v>
      </c>
      <c r="D70" s="164" t="s">
        <v>123</v>
      </c>
      <c r="E70" s="164" t="s">
        <v>110</v>
      </c>
      <c r="F70" s="164" t="s">
        <v>121</v>
      </c>
      <c r="G70" s="161">
        <v>1</v>
      </c>
      <c r="H70" s="185">
        <v>4500</v>
      </c>
      <c r="I70" s="216">
        <v>0</v>
      </c>
      <c r="J70" s="415">
        <f t="shared" si="12"/>
        <v>4500</v>
      </c>
      <c r="K70" s="529">
        <f t="shared" si="13"/>
        <v>4500</v>
      </c>
      <c r="M70" s="530" t="s">
        <v>846</v>
      </c>
      <c r="N70" s="170"/>
      <c r="O70" s="170"/>
      <c r="P70" s="170"/>
      <c r="Q70" s="170"/>
      <c r="R70" s="170"/>
      <c r="S70" s="170"/>
      <c r="T70" s="170"/>
      <c r="U70" s="170"/>
      <c r="V70" s="170"/>
      <c r="W70" s="170"/>
      <c r="X70" s="219"/>
    </row>
    <row r="71" spans="1:24">
      <c r="A71" s="37" t="s">
        <v>204</v>
      </c>
      <c r="B71" s="164" t="s">
        <v>205</v>
      </c>
      <c r="C71" s="164" t="s">
        <v>103</v>
      </c>
      <c r="D71" s="164" t="s">
        <v>181</v>
      </c>
      <c r="E71" s="164" t="s">
        <v>110</v>
      </c>
      <c r="F71" s="164" t="s">
        <v>121</v>
      </c>
      <c r="G71" s="161">
        <v>1</v>
      </c>
      <c r="H71" s="185">
        <v>1200</v>
      </c>
      <c r="I71" s="216">
        <v>0</v>
      </c>
      <c r="J71" s="415">
        <f t="shared" si="12"/>
        <v>1200</v>
      </c>
      <c r="K71" s="416">
        <f t="shared" si="13"/>
        <v>1200</v>
      </c>
      <c r="M71" s="170"/>
      <c r="N71" s="170"/>
      <c r="O71" s="170"/>
      <c r="P71" s="170"/>
      <c r="Q71" s="170"/>
      <c r="R71" s="170"/>
      <c r="S71" s="170"/>
      <c r="T71" s="170"/>
      <c r="U71" s="170"/>
      <c r="V71" s="170"/>
      <c r="W71" s="170"/>
      <c r="X71" s="219"/>
    </row>
    <row r="72" spans="1:24">
      <c r="A72" s="37" t="s">
        <v>206</v>
      </c>
      <c r="B72" s="164" t="s">
        <v>207</v>
      </c>
      <c r="C72" s="164" t="s">
        <v>103</v>
      </c>
      <c r="D72" s="164" t="s">
        <v>115</v>
      </c>
      <c r="E72" s="164" t="s">
        <v>118</v>
      </c>
      <c r="F72" s="164"/>
      <c r="G72" s="161"/>
      <c r="H72" s="185"/>
      <c r="I72" s="216">
        <v>0</v>
      </c>
      <c r="J72" s="415">
        <f t="shared" si="12"/>
        <v>0</v>
      </c>
      <c r="K72" s="416">
        <f t="shared" si="13"/>
        <v>0</v>
      </c>
      <c r="M72" s="170"/>
      <c r="N72" s="170"/>
      <c r="O72" s="170"/>
      <c r="P72" s="170"/>
      <c r="Q72" s="170"/>
      <c r="R72" s="170"/>
      <c r="S72" s="170"/>
      <c r="T72" s="170"/>
      <c r="U72" s="170"/>
      <c r="V72" s="170"/>
      <c r="W72" s="170"/>
      <c r="X72" s="219"/>
    </row>
    <row r="73" spans="1:24">
      <c r="A73" s="33" t="s">
        <v>208</v>
      </c>
      <c r="B73" s="305" t="s">
        <v>209</v>
      </c>
      <c r="C73" s="305"/>
      <c r="D73" s="305"/>
      <c r="E73" s="343"/>
      <c r="F73" s="343"/>
      <c r="G73" s="147"/>
      <c r="H73" s="344"/>
      <c r="I73" s="345"/>
      <c r="J73" s="344"/>
      <c r="K73" s="346"/>
      <c r="L73" s="230">
        <f>SUM(K74:K85)</f>
        <v>905486.76</v>
      </c>
      <c r="M73" s="170"/>
      <c r="N73" s="170"/>
      <c r="O73" s="170"/>
      <c r="P73" s="170"/>
      <c r="Q73" s="170"/>
      <c r="R73" s="170"/>
      <c r="S73" s="170"/>
      <c r="T73" s="170"/>
      <c r="U73" s="170"/>
      <c r="V73" s="170"/>
      <c r="W73" s="170"/>
      <c r="X73" s="219"/>
    </row>
    <row r="74" spans="1:24">
      <c r="A74" s="35" t="s">
        <v>210</v>
      </c>
      <c r="B74" s="176" t="s">
        <v>211</v>
      </c>
      <c r="C74" s="176" t="s">
        <v>103</v>
      </c>
      <c r="D74" s="176" t="s">
        <v>115</v>
      </c>
      <c r="E74" s="176" t="s">
        <v>116</v>
      </c>
      <c r="F74" s="176" t="s">
        <v>15</v>
      </c>
      <c r="G74" s="167">
        <f>B8</f>
        <v>196289</v>
      </c>
      <c r="H74" s="413">
        <f>2.7-2500/G74</f>
        <v>2.6872636775366936</v>
      </c>
      <c r="I74" s="414">
        <v>0</v>
      </c>
      <c r="J74" s="415">
        <f t="shared" ref="J74:J85" si="16">H74*(1+I74)</f>
        <v>2.6872636775366936</v>
      </c>
      <c r="K74" s="416">
        <f t="shared" ref="K74:K85" si="17">J74*G74</f>
        <v>527480.30000000005</v>
      </c>
      <c r="M74" s="170" t="s">
        <v>847</v>
      </c>
      <c r="N74" s="170"/>
      <c r="O74" s="170"/>
      <c r="P74" s="170"/>
      <c r="Q74" s="170"/>
      <c r="R74" s="170"/>
      <c r="S74" s="170"/>
      <c r="T74" s="170"/>
      <c r="U74" s="170"/>
      <c r="V74" s="170"/>
      <c r="W74" s="170"/>
      <c r="X74" s="219"/>
    </row>
    <row r="75" spans="1:24">
      <c r="A75" s="35" t="s">
        <v>848</v>
      </c>
      <c r="B75" s="176" t="s">
        <v>211</v>
      </c>
      <c r="C75" s="176" t="s">
        <v>103</v>
      </c>
      <c r="D75" s="164" t="s">
        <v>123</v>
      </c>
      <c r="E75" s="164" t="s">
        <v>110</v>
      </c>
      <c r="F75" s="164" t="s">
        <v>121</v>
      </c>
      <c r="G75" s="161">
        <v>1</v>
      </c>
      <c r="H75" s="185">
        <v>2500</v>
      </c>
      <c r="I75" s="216">
        <v>0</v>
      </c>
      <c r="J75" s="415">
        <f t="shared" si="16"/>
        <v>2500</v>
      </c>
      <c r="K75" s="529">
        <f t="shared" si="17"/>
        <v>2500</v>
      </c>
      <c r="M75" s="530" t="s">
        <v>846</v>
      </c>
      <c r="N75" s="170"/>
      <c r="O75" s="170"/>
      <c r="P75" s="170"/>
      <c r="Q75" s="170"/>
      <c r="R75" s="170"/>
      <c r="S75" s="170"/>
      <c r="T75" s="170"/>
      <c r="U75" s="170"/>
      <c r="V75" s="170"/>
      <c r="W75" s="170"/>
      <c r="X75" s="219"/>
    </row>
    <row r="76" spans="1:24">
      <c r="A76" s="37" t="s">
        <v>51</v>
      </c>
      <c r="B76" s="164" t="s">
        <v>212</v>
      </c>
      <c r="C76" s="164" t="s">
        <v>103</v>
      </c>
      <c r="D76" s="164" t="s">
        <v>115</v>
      </c>
      <c r="E76" s="164" t="s">
        <v>116</v>
      </c>
      <c r="F76" s="164" t="s">
        <v>849</v>
      </c>
      <c r="G76" s="161">
        <f>$O$10</f>
        <v>503.63</v>
      </c>
      <c r="H76" s="185">
        <v>603</v>
      </c>
      <c r="I76" s="216">
        <v>0</v>
      </c>
      <c r="J76" s="185">
        <f t="shared" si="16"/>
        <v>603</v>
      </c>
      <c r="K76" s="217">
        <f t="shared" si="17"/>
        <v>303688.89</v>
      </c>
      <c r="M76" s="170"/>
      <c r="N76" s="170"/>
      <c r="O76" s="170"/>
      <c r="P76" s="170"/>
      <c r="Q76" s="170"/>
      <c r="R76" s="170"/>
      <c r="S76" s="170"/>
      <c r="T76" s="170"/>
      <c r="U76" s="170"/>
      <c r="V76" s="170"/>
      <c r="W76" s="170"/>
      <c r="X76" s="219"/>
    </row>
    <row r="77" spans="1:24">
      <c r="A77" s="37" t="s">
        <v>214</v>
      </c>
      <c r="B77" s="164" t="s">
        <v>215</v>
      </c>
      <c r="C77" s="164" t="s">
        <v>103</v>
      </c>
      <c r="D77" s="164" t="s">
        <v>181</v>
      </c>
      <c r="E77" s="164" t="s">
        <v>118</v>
      </c>
      <c r="F77" s="164"/>
      <c r="G77" s="161"/>
      <c r="H77" s="185"/>
      <c r="I77" s="216">
        <v>0</v>
      </c>
      <c r="J77" s="185">
        <f t="shared" si="16"/>
        <v>0</v>
      </c>
      <c r="K77" s="217">
        <f t="shared" si="17"/>
        <v>0</v>
      </c>
      <c r="M77" s="170"/>
      <c r="N77" s="170"/>
      <c r="O77" s="170"/>
      <c r="P77" s="170"/>
      <c r="Q77" s="170"/>
      <c r="R77" s="170"/>
      <c r="S77" s="170"/>
      <c r="T77" s="170"/>
      <c r="U77" s="170"/>
      <c r="V77" s="170"/>
      <c r="W77" s="170"/>
      <c r="X77" s="219"/>
    </row>
    <row r="78" spans="1:24">
      <c r="A78" s="37" t="s">
        <v>216</v>
      </c>
      <c r="B78" s="164" t="s">
        <v>215</v>
      </c>
      <c r="C78" s="164" t="s">
        <v>103</v>
      </c>
      <c r="D78" s="164" t="s">
        <v>123</v>
      </c>
      <c r="E78" s="164" t="s">
        <v>110</v>
      </c>
      <c r="F78" s="164" t="s">
        <v>121</v>
      </c>
      <c r="G78" s="161">
        <v>1</v>
      </c>
      <c r="H78" s="185">
        <v>7500</v>
      </c>
      <c r="I78" s="216">
        <v>0</v>
      </c>
      <c r="J78" s="185">
        <f t="shared" si="16"/>
        <v>7500</v>
      </c>
      <c r="K78" s="217">
        <f t="shared" si="17"/>
        <v>7500</v>
      </c>
      <c r="M78" s="170"/>
      <c r="N78" s="170"/>
      <c r="O78" s="170"/>
      <c r="P78" s="170"/>
      <c r="Q78" s="170"/>
      <c r="R78" s="170"/>
      <c r="S78" s="170"/>
      <c r="T78" s="170"/>
      <c r="U78" s="170"/>
      <c r="V78" s="170"/>
      <c r="W78" s="170"/>
      <c r="X78" s="219"/>
    </row>
    <row r="79" spans="1:24">
      <c r="A79" s="37" t="s">
        <v>217</v>
      </c>
      <c r="B79" s="164" t="s">
        <v>218</v>
      </c>
      <c r="C79" s="164" t="s">
        <v>103</v>
      </c>
      <c r="D79" s="164" t="s">
        <v>135</v>
      </c>
      <c r="E79" s="164" t="s">
        <v>110</v>
      </c>
      <c r="F79" s="164" t="s">
        <v>121</v>
      </c>
      <c r="G79" s="161">
        <f>O7</f>
        <v>1</v>
      </c>
      <c r="H79" s="185">
        <v>7500</v>
      </c>
      <c r="I79" s="216">
        <v>0</v>
      </c>
      <c r="J79" s="185">
        <f t="shared" si="16"/>
        <v>7500</v>
      </c>
      <c r="K79" s="531">
        <f t="shared" si="17"/>
        <v>7500</v>
      </c>
      <c r="M79" s="530"/>
      <c r="N79" s="170"/>
      <c r="O79" s="170"/>
      <c r="P79" s="170"/>
      <c r="Q79" s="170"/>
      <c r="R79" s="170"/>
      <c r="S79" s="170"/>
      <c r="T79" s="170"/>
      <c r="U79" s="170"/>
      <c r="V79" s="170"/>
      <c r="W79" s="170"/>
      <c r="X79" s="219"/>
    </row>
    <row r="80" spans="1:24">
      <c r="A80" s="37" t="s">
        <v>219</v>
      </c>
      <c r="B80" s="164" t="s">
        <v>220</v>
      </c>
      <c r="C80" s="164" t="s">
        <v>103</v>
      </c>
      <c r="D80" s="164" t="s">
        <v>126</v>
      </c>
      <c r="E80" s="164" t="s">
        <v>246</v>
      </c>
      <c r="F80" s="164" t="s">
        <v>32</v>
      </c>
      <c r="G80" s="161">
        <f>$O$5</f>
        <v>4</v>
      </c>
      <c r="H80" s="185">
        <v>5800</v>
      </c>
      <c r="I80" s="216">
        <v>0</v>
      </c>
      <c r="J80" s="185">
        <f t="shared" si="16"/>
        <v>5800</v>
      </c>
      <c r="K80" s="531">
        <f t="shared" si="17"/>
        <v>23200</v>
      </c>
      <c r="M80" s="530"/>
      <c r="N80" s="170"/>
      <c r="O80" s="170"/>
      <c r="P80" s="170"/>
      <c r="Q80" s="170"/>
      <c r="R80" s="170"/>
      <c r="S80" s="170"/>
      <c r="T80" s="170"/>
      <c r="U80" s="170"/>
      <c r="V80" s="170"/>
      <c r="W80" s="170"/>
      <c r="X80" s="219"/>
    </row>
    <row r="81" spans="1:24">
      <c r="A81" s="37" t="s">
        <v>221</v>
      </c>
      <c r="B81" s="164" t="s">
        <v>222</v>
      </c>
      <c r="C81" s="164" t="s">
        <v>103</v>
      </c>
      <c r="D81" s="164" t="s">
        <v>115</v>
      </c>
      <c r="E81" s="164" t="s">
        <v>116</v>
      </c>
      <c r="F81" s="164" t="s">
        <v>15</v>
      </c>
      <c r="G81" s="161">
        <f>$B$8</f>
        <v>196289</v>
      </c>
      <c r="H81" s="185">
        <v>0.08</v>
      </c>
      <c r="I81" s="216">
        <v>0</v>
      </c>
      <c r="J81" s="185">
        <f t="shared" si="16"/>
        <v>0.08</v>
      </c>
      <c r="K81" s="217">
        <f t="shared" si="17"/>
        <v>15703.12</v>
      </c>
      <c r="M81" s="170"/>
      <c r="N81" s="170"/>
      <c r="O81" s="170"/>
      <c r="P81" s="170"/>
      <c r="Q81" s="170"/>
      <c r="R81" s="170"/>
      <c r="S81" s="170"/>
      <c r="T81" s="170"/>
      <c r="U81" s="170"/>
      <c r="V81" s="170"/>
      <c r="W81" s="170"/>
      <c r="X81" s="219"/>
    </row>
    <row r="82" spans="1:24">
      <c r="A82" s="37" t="s">
        <v>223</v>
      </c>
      <c r="B82" s="164" t="s">
        <v>224</v>
      </c>
      <c r="C82" s="164" t="s">
        <v>103</v>
      </c>
      <c r="D82" s="164" t="s">
        <v>115</v>
      </c>
      <c r="E82" s="164" t="s">
        <v>116</v>
      </c>
      <c r="F82" s="164" t="s">
        <v>15</v>
      </c>
      <c r="G82" s="161">
        <f>$B$8</f>
        <v>196289</v>
      </c>
      <c r="H82" s="185">
        <v>0.05</v>
      </c>
      <c r="I82" s="216">
        <v>0</v>
      </c>
      <c r="J82" s="185">
        <f t="shared" si="16"/>
        <v>0.05</v>
      </c>
      <c r="K82" s="217">
        <f t="shared" si="17"/>
        <v>9814.4500000000007</v>
      </c>
      <c r="M82" s="170"/>
      <c r="N82" s="170"/>
      <c r="O82" s="170"/>
      <c r="P82" s="170"/>
      <c r="Q82" s="170"/>
      <c r="R82" s="170"/>
      <c r="S82" s="170"/>
      <c r="T82" s="170"/>
      <c r="U82" s="170"/>
      <c r="V82" s="170"/>
      <c r="W82" s="170"/>
      <c r="X82" s="219"/>
    </row>
    <row r="83" spans="1:24">
      <c r="A83" s="37" t="s">
        <v>225</v>
      </c>
      <c r="B83" s="164" t="s">
        <v>226</v>
      </c>
      <c r="C83" s="164" t="s">
        <v>103</v>
      </c>
      <c r="D83" s="164" t="s">
        <v>115</v>
      </c>
      <c r="E83" s="164" t="s">
        <v>116</v>
      </c>
      <c r="F83" s="164" t="s">
        <v>32</v>
      </c>
      <c r="G83" s="161">
        <f>2*$B$11</f>
        <v>2</v>
      </c>
      <c r="H83" s="185">
        <v>1550</v>
      </c>
      <c r="I83" s="216">
        <v>0</v>
      </c>
      <c r="J83" s="185">
        <f t="shared" si="16"/>
        <v>1550</v>
      </c>
      <c r="K83" s="531">
        <f t="shared" si="17"/>
        <v>3100</v>
      </c>
      <c r="M83" s="530"/>
      <c r="N83" s="170"/>
      <c r="O83" s="170"/>
      <c r="P83" s="170"/>
      <c r="Q83" s="170"/>
      <c r="R83" s="170"/>
      <c r="S83" s="170"/>
      <c r="T83" s="170"/>
      <c r="U83" s="170"/>
      <c r="V83" s="170"/>
      <c r="W83" s="170"/>
      <c r="X83" s="219"/>
    </row>
    <row r="84" spans="1:24">
      <c r="A84" s="37" t="s">
        <v>228</v>
      </c>
      <c r="B84" s="164" t="s">
        <v>229</v>
      </c>
      <c r="C84" s="164" t="s">
        <v>103</v>
      </c>
      <c r="D84" s="164" t="s">
        <v>115</v>
      </c>
      <c r="E84" s="164" t="s">
        <v>116</v>
      </c>
      <c r="F84" s="164" t="s">
        <v>32</v>
      </c>
      <c r="G84" s="161">
        <f>2*$B$11</f>
        <v>2</v>
      </c>
      <c r="H84" s="185">
        <v>2500</v>
      </c>
      <c r="I84" s="216">
        <v>0</v>
      </c>
      <c r="J84" s="185">
        <f t="shared" si="16"/>
        <v>2500</v>
      </c>
      <c r="K84" s="217">
        <f t="shared" si="17"/>
        <v>5000</v>
      </c>
      <c r="M84" s="170"/>
      <c r="N84" s="170"/>
      <c r="O84" s="170"/>
      <c r="P84" s="170"/>
      <c r="Q84" s="170"/>
      <c r="R84" s="170"/>
      <c r="S84" s="170"/>
      <c r="T84" s="170"/>
      <c r="U84" s="170"/>
      <c r="V84" s="170"/>
      <c r="W84" s="170"/>
      <c r="X84" s="219"/>
    </row>
    <row r="85" spans="1:24">
      <c r="A85" s="37" t="s">
        <v>230</v>
      </c>
      <c r="B85" s="164" t="s">
        <v>231</v>
      </c>
      <c r="C85" s="164" t="s">
        <v>103</v>
      </c>
      <c r="D85" s="164" t="s">
        <v>115</v>
      </c>
      <c r="E85" s="164" t="s">
        <v>118</v>
      </c>
      <c r="F85" s="164"/>
      <c r="G85" s="161"/>
      <c r="H85" s="185"/>
      <c r="I85" s="216">
        <v>0</v>
      </c>
      <c r="J85" s="185">
        <f t="shared" si="16"/>
        <v>0</v>
      </c>
      <c r="K85" s="217">
        <f t="shared" si="17"/>
        <v>0</v>
      </c>
      <c r="L85" s="109"/>
      <c r="M85" s="170"/>
      <c r="N85" s="170"/>
      <c r="O85" s="170"/>
      <c r="P85" s="170"/>
      <c r="Q85" s="170"/>
      <c r="R85" s="170"/>
      <c r="S85" s="170"/>
      <c r="T85" s="170"/>
      <c r="U85" s="170"/>
      <c r="V85" s="170"/>
      <c r="W85" s="170"/>
      <c r="X85" s="219"/>
    </row>
    <row r="86" spans="1:24">
      <c r="A86" s="33" t="s">
        <v>232</v>
      </c>
      <c r="B86" s="305" t="s">
        <v>233</v>
      </c>
      <c r="C86" s="305"/>
      <c r="D86" s="305"/>
      <c r="E86" s="343"/>
      <c r="F86" s="343"/>
      <c r="G86" s="147"/>
      <c r="H86" s="344"/>
      <c r="I86" s="345"/>
      <c r="J86" s="344"/>
      <c r="K86" s="346"/>
      <c r="L86" s="230">
        <f>SUM(K87:K100)</f>
        <v>279109.57894736843</v>
      </c>
      <c r="M86" s="170"/>
      <c r="N86" s="170"/>
      <c r="O86" s="170"/>
      <c r="P86" s="170"/>
      <c r="Q86" s="170"/>
      <c r="R86" s="170"/>
      <c r="S86" s="170"/>
      <c r="T86" s="170"/>
      <c r="U86" s="170"/>
      <c r="V86" s="170"/>
      <c r="W86" s="170"/>
      <c r="X86" s="219"/>
    </row>
    <row r="87" spans="1:24">
      <c r="A87" s="37" t="s">
        <v>236</v>
      </c>
      <c r="B87" s="164" t="s">
        <v>237</v>
      </c>
      <c r="C87" s="164" t="s">
        <v>103</v>
      </c>
      <c r="D87" s="164" t="s">
        <v>181</v>
      </c>
      <c r="E87" s="164" t="s">
        <v>110</v>
      </c>
      <c r="F87" s="164" t="s">
        <v>32</v>
      </c>
      <c r="G87" s="161">
        <v>1</v>
      </c>
      <c r="H87" s="185">
        <v>8000</v>
      </c>
      <c r="I87" s="216">
        <v>0</v>
      </c>
      <c r="J87" s="185">
        <f t="shared" ref="J87:J100" si="18">H87*(1+I87)</f>
        <v>8000</v>
      </c>
      <c r="K87" s="217">
        <f t="shared" ref="K87:K100" si="19">J87*G87</f>
        <v>8000</v>
      </c>
      <c r="M87" s="170"/>
      <c r="N87" s="170"/>
      <c r="O87" s="170"/>
      <c r="P87" s="170"/>
      <c r="Q87" s="170"/>
      <c r="R87" s="170"/>
      <c r="S87" s="170"/>
      <c r="T87" s="170"/>
      <c r="U87" s="170"/>
      <c r="V87" s="170"/>
      <c r="W87" s="170"/>
      <c r="X87" s="219"/>
    </row>
    <row r="88" spans="1:24">
      <c r="A88" s="37" t="s">
        <v>238</v>
      </c>
      <c r="B88" s="164" t="s">
        <v>239</v>
      </c>
      <c r="C88" s="164" t="s">
        <v>103</v>
      </c>
      <c r="D88" s="164" t="s">
        <v>181</v>
      </c>
      <c r="E88" s="164" t="s">
        <v>240</v>
      </c>
      <c r="F88" s="164"/>
      <c r="G88" s="161"/>
      <c r="H88" s="185"/>
      <c r="I88" s="216">
        <v>0</v>
      </c>
      <c r="J88" s="185">
        <f t="shared" si="18"/>
        <v>0</v>
      </c>
      <c r="K88" s="217">
        <f t="shared" si="19"/>
        <v>0</v>
      </c>
      <c r="M88" s="170"/>
      <c r="N88" s="170"/>
      <c r="O88" s="170"/>
      <c r="P88" s="170"/>
      <c r="Q88" s="170"/>
      <c r="R88" s="170"/>
      <c r="S88" s="170"/>
      <c r="T88" s="170"/>
      <c r="U88" s="170"/>
      <c r="V88" s="170"/>
      <c r="W88" s="170"/>
      <c r="X88" s="219"/>
    </row>
    <row r="89" spans="1:24">
      <c r="A89" s="37" t="s">
        <v>241</v>
      </c>
      <c r="B89" s="164" t="s">
        <v>239</v>
      </c>
      <c r="C89" s="164" t="s">
        <v>103</v>
      </c>
      <c r="D89" s="164" t="s">
        <v>115</v>
      </c>
      <c r="E89" s="164" t="s">
        <v>118</v>
      </c>
      <c r="F89" s="164"/>
      <c r="G89" s="161"/>
      <c r="H89" s="185"/>
      <c r="I89" s="216">
        <v>0</v>
      </c>
      <c r="J89" s="185">
        <f t="shared" si="18"/>
        <v>0</v>
      </c>
      <c r="K89" s="217">
        <f t="shared" si="19"/>
        <v>0</v>
      </c>
      <c r="M89" s="170"/>
      <c r="N89" s="170"/>
      <c r="O89" s="170"/>
      <c r="P89" s="170"/>
      <c r="Q89" s="170"/>
      <c r="R89" s="170"/>
      <c r="S89" s="170"/>
      <c r="T89" s="170"/>
      <c r="U89" s="170"/>
      <c r="V89" s="170"/>
      <c r="W89" s="170"/>
      <c r="X89" s="219"/>
    </row>
    <row r="90" spans="1:24">
      <c r="A90" s="37" t="s">
        <v>242</v>
      </c>
      <c r="B90" s="164" t="s">
        <v>243</v>
      </c>
      <c r="C90" s="164" t="s">
        <v>103</v>
      </c>
      <c r="D90" s="164" t="s">
        <v>115</v>
      </c>
      <c r="E90" s="164" t="s">
        <v>118</v>
      </c>
      <c r="F90" s="164"/>
      <c r="G90" s="161"/>
      <c r="H90" s="185"/>
      <c r="I90" s="216">
        <v>0</v>
      </c>
      <c r="J90" s="185">
        <f t="shared" si="18"/>
        <v>0</v>
      </c>
      <c r="K90" s="217">
        <f t="shared" si="19"/>
        <v>0</v>
      </c>
      <c r="M90" s="170"/>
      <c r="N90" s="170"/>
      <c r="O90" s="170"/>
      <c r="P90" s="170"/>
      <c r="Q90" s="170"/>
      <c r="R90" s="170"/>
      <c r="S90" s="170"/>
      <c r="T90" s="170"/>
      <c r="U90" s="170"/>
      <c r="V90" s="170"/>
      <c r="W90" s="170"/>
      <c r="X90" s="219"/>
    </row>
    <row r="91" spans="1:24">
      <c r="A91" s="37" t="s">
        <v>244</v>
      </c>
      <c r="B91" s="164" t="s">
        <v>245</v>
      </c>
      <c r="C91" s="164" t="s">
        <v>103</v>
      </c>
      <c r="D91" s="164" t="s">
        <v>115</v>
      </c>
      <c r="E91" s="164" t="s">
        <v>116</v>
      </c>
      <c r="F91" s="164" t="s">
        <v>235</v>
      </c>
      <c r="G91" s="167">
        <f>$E$8</f>
        <v>194</v>
      </c>
      <c r="H91" s="185">
        <v>1157.8947368421052</v>
      </c>
      <c r="I91" s="216">
        <v>0</v>
      </c>
      <c r="J91" s="185">
        <f t="shared" si="18"/>
        <v>1157.8947368421052</v>
      </c>
      <c r="K91" s="217">
        <f t="shared" si="19"/>
        <v>224631.5789473684</v>
      </c>
      <c r="M91" s="170"/>
      <c r="N91" s="170"/>
      <c r="O91" s="170"/>
      <c r="P91" s="170"/>
      <c r="Q91" s="170"/>
      <c r="R91" s="170"/>
      <c r="S91" s="170"/>
      <c r="T91" s="170"/>
      <c r="U91" s="170"/>
      <c r="V91" s="170"/>
      <c r="W91" s="170"/>
      <c r="X91" s="219"/>
    </row>
    <row r="92" spans="1:24">
      <c r="A92" s="37" t="s">
        <v>248</v>
      </c>
      <c r="B92" s="164" t="s">
        <v>245</v>
      </c>
      <c r="C92" s="164" t="s">
        <v>120</v>
      </c>
      <c r="D92" s="164" t="s">
        <v>115</v>
      </c>
      <c r="E92" s="164" t="s">
        <v>110</v>
      </c>
      <c r="F92" s="164" t="s">
        <v>235</v>
      </c>
      <c r="G92" s="167">
        <f>$E$8</f>
        <v>194</v>
      </c>
      <c r="H92" s="185">
        <v>75</v>
      </c>
      <c r="I92" s="216">
        <v>0</v>
      </c>
      <c r="J92" s="185">
        <f t="shared" si="18"/>
        <v>75</v>
      </c>
      <c r="K92" s="217">
        <f t="shared" si="19"/>
        <v>14550</v>
      </c>
      <c r="M92" s="170"/>
      <c r="N92" s="170"/>
      <c r="O92" s="170"/>
      <c r="P92" s="170"/>
      <c r="Q92" s="170"/>
      <c r="R92" s="170"/>
      <c r="S92" s="170"/>
      <c r="T92" s="170"/>
      <c r="U92" s="170"/>
      <c r="V92" s="170"/>
      <c r="W92" s="170"/>
      <c r="X92" s="219"/>
    </row>
    <row r="93" spans="1:24">
      <c r="A93" s="37" t="s">
        <v>249</v>
      </c>
      <c r="B93" s="164" t="s">
        <v>250</v>
      </c>
      <c r="C93" s="164" t="s">
        <v>103</v>
      </c>
      <c r="D93" s="164" t="s">
        <v>135</v>
      </c>
      <c r="E93" s="164" t="s">
        <v>118</v>
      </c>
      <c r="F93" s="164"/>
      <c r="G93" s="161"/>
      <c r="H93" s="185"/>
      <c r="I93" s="216">
        <v>0</v>
      </c>
      <c r="J93" s="185">
        <f t="shared" si="18"/>
        <v>0</v>
      </c>
      <c r="K93" s="217">
        <f t="shared" si="19"/>
        <v>0</v>
      </c>
      <c r="M93" s="170"/>
      <c r="N93" s="170"/>
      <c r="O93" s="170"/>
      <c r="P93" s="170"/>
      <c r="Q93" s="170"/>
      <c r="R93" s="170"/>
      <c r="S93" s="170"/>
      <c r="T93" s="170"/>
      <c r="U93" s="170"/>
      <c r="V93" s="170"/>
      <c r="W93" s="170"/>
      <c r="X93" s="219"/>
    </row>
    <row r="94" spans="1:24">
      <c r="A94" s="37" t="s">
        <v>251</v>
      </c>
      <c r="B94" s="164" t="s">
        <v>252</v>
      </c>
      <c r="C94" s="164" t="s">
        <v>103</v>
      </c>
      <c r="D94" s="164" t="s">
        <v>130</v>
      </c>
      <c r="E94" s="164" t="s">
        <v>118</v>
      </c>
      <c r="F94" s="164"/>
      <c r="G94" s="161"/>
      <c r="H94" s="185"/>
      <c r="I94" s="216">
        <v>0</v>
      </c>
      <c r="J94" s="185">
        <f t="shared" si="18"/>
        <v>0</v>
      </c>
      <c r="K94" s="217">
        <f t="shared" si="19"/>
        <v>0</v>
      </c>
      <c r="M94" s="170"/>
      <c r="N94" s="170"/>
      <c r="O94" s="170"/>
      <c r="P94" s="170"/>
      <c r="Q94" s="170"/>
      <c r="R94" s="170"/>
      <c r="S94" s="170"/>
      <c r="T94" s="170"/>
      <c r="U94" s="170"/>
      <c r="V94" s="170"/>
      <c r="W94" s="170"/>
      <c r="X94" s="219"/>
    </row>
    <row r="95" spans="1:24">
      <c r="A95" s="37" t="s">
        <v>253</v>
      </c>
      <c r="B95" s="164" t="s">
        <v>254</v>
      </c>
      <c r="C95" s="164" t="s">
        <v>103</v>
      </c>
      <c r="D95" s="164" t="s">
        <v>115</v>
      </c>
      <c r="E95" s="164" t="s">
        <v>118</v>
      </c>
      <c r="F95" s="164"/>
      <c r="G95" s="161"/>
      <c r="H95" s="185"/>
      <c r="I95" s="216">
        <v>0</v>
      </c>
      <c r="J95" s="185">
        <f t="shared" si="18"/>
        <v>0</v>
      </c>
      <c r="K95" s="217">
        <f t="shared" si="19"/>
        <v>0</v>
      </c>
      <c r="M95" s="170"/>
      <c r="N95" s="170"/>
      <c r="O95" s="170"/>
      <c r="P95" s="170"/>
      <c r="Q95" s="170"/>
      <c r="R95" s="170"/>
      <c r="S95" s="170"/>
      <c r="T95" s="170"/>
      <c r="U95" s="170"/>
      <c r="V95" s="170"/>
      <c r="W95" s="170"/>
      <c r="X95" s="219"/>
    </row>
    <row r="96" spans="1:24">
      <c r="A96" s="37" t="s">
        <v>255</v>
      </c>
      <c r="B96" s="164" t="s">
        <v>256</v>
      </c>
      <c r="C96" s="164" t="s">
        <v>103</v>
      </c>
      <c r="D96" s="164" t="s">
        <v>115</v>
      </c>
      <c r="E96" s="164" t="s">
        <v>118</v>
      </c>
      <c r="F96" s="164"/>
      <c r="G96" s="161"/>
      <c r="H96" s="185"/>
      <c r="I96" s="216">
        <v>0</v>
      </c>
      <c r="J96" s="185">
        <f t="shared" si="18"/>
        <v>0</v>
      </c>
      <c r="K96" s="217">
        <f t="shared" si="19"/>
        <v>0</v>
      </c>
      <c r="M96" s="170"/>
      <c r="N96" s="170"/>
      <c r="O96" s="170"/>
      <c r="P96" s="170"/>
      <c r="Q96" s="170"/>
      <c r="R96" s="170"/>
      <c r="S96" s="170"/>
      <c r="T96" s="170"/>
      <c r="U96" s="170"/>
      <c r="V96" s="170"/>
      <c r="W96" s="170"/>
      <c r="X96" s="219"/>
    </row>
    <row r="97" spans="1:24">
      <c r="A97" s="37" t="s">
        <v>257</v>
      </c>
      <c r="B97" s="164" t="s">
        <v>258</v>
      </c>
      <c r="C97" s="164" t="s">
        <v>103</v>
      </c>
      <c r="D97" s="164" t="s">
        <v>115</v>
      </c>
      <c r="E97" s="164" t="s">
        <v>118</v>
      </c>
      <c r="F97" s="164"/>
      <c r="G97" s="161"/>
      <c r="H97" s="185"/>
      <c r="I97" s="216">
        <v>0</v>
      </c>
      <c r="J97" s="185">
        <f t="shared" si="18"/>
        <v>0</v>
      </c>
      <c r="K97" s="217">
        <f t="shared" si="19"/>
        <v>0</v>
      </c>
      <c r="M97" s="170"/>
      <c r="N97" s="170"/>
      <c r="O97" s="170"/>
      <c r="P97" s="170"/>
      <c r="Q97" s="170"/>
      <c r="R97" s="170"/>
      <c r="S97" s="170"/>
      <c r="T97" s="170"/>
      <c r="U97" s="170"/>
      <c r="V97" s="170"/>
      <c r="W97" s="170"/>
      <c r="X97" s="219"/>
    </row>
    <row r="98" spans="1:24">
      <c r="A98" s="37" t="s">
        <v>259</v>
      </c>
      <c r="B98" s="164" t="s">
        <v>256</v>
      </c>
      <c r="C98" s="164" t="s">
        <v>103</v>
      </c>
      <c r="D98" s="164" t="s">
        <v>115</v>
      </c>
      <c r="E98" s="164" t="s">
        <v>118</v>
      </c>
      <c r="F98" s="164"/>
      <c r="G98" s="161"/>
      <c r="H98" s="185"/>
      <c r="I98" s="216">
        <v>0</v>
      </c>
      <c r="J98" s="185">
        <f t="shared" si="18"/>
        <v>0</v>
      </c>
      <c r="K98" s="217">
        <f t="shared" si="19"/>
        <v>0</v>
      </c>
      <c r="M98" s="170"/>
      <c r="N98" s="170"/>
      <c r="O98" s="170"/>
      <c r="P98" s="170"/>
      <c r="Q98" s="170"/>
      <c r="R98" s="170"/>
      <c r="S98" s="170"/>
      <c r="T98" s="170"/>
      <c r="U98" s="170"/>
      <c r="V98" s="170"/>
      <c r="W98" s="170"/>
      <c r="X98" s="219"/>
    </row>
    <row r="99" spans="1:24">
      <c r="A99" s="37" t="s">
        <v>260</v>
      </c>
      <c r="B99" s="164" t="s">
        <v>256</v>
      </c>
      <c r="C99" s="164" t="s">
        <v>103</v>
      </c>
      <c r="D99" s="164" t="s">
        <v>115</v>
      </c>
      <c r="E99" s="164" t="s">
        <v>195</v>
      </c>
      <c r="F99" s="164" t="s">
        <v>187</v>
      </c>
      <c r="G99" s="167">
        <f>E8</f>
        <v>194</v>
      </c>
      <c r="H99" s="185">
        <v>162</v>
      </c>
      <c r="I99" s="216">
        <v>0</v>
      </c>
      <c r="J99" s="185">
        <f t="shared" si="18"/>
        <v>162</v>
      </c>
      <c r="K99" s="217">
        <f>J99*G99</f>
        <v>31428</v>
      </c>
      <c r="M99" s="170"/>
      <c r="N99" s="170"/>
      <c r="O99" s="170"/>
      <c r="P99" s="170"/>
      <c r="Q99" s="170"/>
      <c r="R99" s="170"/>
      <c r="S99" s="170"/>
      <c r="T99" s="170"/>
      <c r="U99" s="170"/>
      <c r="V99" s="170"/>
      <c r="W99" s="170"/>
      <c r="X99" s="219"/>
    </row>
    <row r="100" spans="1:24">
      <c r="A100" s="37" t="s">
        <v>261</v>
      </c>
      <c r="B100" s="164" t="s">
        <v>256</v>
      </c>
      <c r="C100" s="164" t="s">
        <v>103</v>
      </c>
      <c r="D100" s="164" t="s">
        <v>115</v>
      </c>
      <c r="E100" s="164" t="s">
        <v>110</v>
      </c>
      <c r="F100" s="164" t="s">
        <v>32</v>
      </c>
      <c r="G100" s="161">
        <v>2</v>
      </c>
      <c r="H100" s="185">
        <v>250</v>
      </c>
      <c r="I100" s="216">
        <v>0</v>
      </c>
      <c r="J100" s="185">
        <f t="shared" si="18"/>
        <v>250</v>
      </c>
      <c r="K100" s="217">
        <f t="shared" si="19"/>
        <v>500</v>
      </c>
      <c r="M100" s="170"/>
      <c r="N100" s="170"/>
      <c r="O100" s="170"/>
      <c r="P100" s="170"/>
      <c r="Q100" s="170"/>
      <c r="R100" s="170"/>
      <c r="S100" s="170"/>
      <c r="T100" s="170"/>
      <c r="U100" s="170"/>
      <c r="V100" s="170"/>
      <c r="W100" s="170"/>
      <c r="X100" s="219"/>
    </row>
    <row r="101" spans="1:24">
      <c r="A101" s="33" t="s">
        <v>262</v>
      </c>
      <c r="B101" s="305" t="s">
        <v>263</v>
      </c>
      <c r="C101" s="305"/>
      <c r="D101" s="305"/>
      <c r="E101" s="343"/>
      <c r="F101" s="343"/>
      <c r="G101" s="147"/>
      <c r="H101" s="344"/>
      <c r="I101" s="345"/>
      <c r="J101" s="344"/>
      <c r="K101" s="346"/>
      <c r="L101" s="230">
        <f>SUM(K102:K138)</f>
        <v>3261602.3529548887</v>
      </c>
      <c r="M101" s="170"/>
      <c r="N101" s="170"/>
      <c r="O101" s="170"/>
      <c r="P101" s="170"/>
      <c r="Q101" s="170"/>
      <c r="R101" s="170"/>
      <c r="S101" s="170"/>
      <c r="T101" s="170"/>
      <c r="U101" s="170"/>
      <c r="V101" s="170"/>
      <c r="W101" s="170"/>
      <c r="X101" s="219"/>
    </row>
    <row r="102" spans="1:24">
      <c r="A102" s="37" t="s">
        <v>850</v>
      </c>
      <c r="B102" s="164" t="s">
        <v>268</v>
      </c>
      <c r="C102" s="164" t="s">
        <v>103</v>
      </c>
      <c r="D102" s="164" t="s">
        <v>115</v>
      </c>
      <c r="E102" s="164" t="s">
        <v>110</v>
      </c>
      <c r="F102" s="164" t="s">
        <v>121</v>
      </c>
      <c r="G102" s="161">
        <v>1</v>
      </c>
      <c r="H102" s="185">
        <v>10000</v>
      </c>
      <c r="I102" s="216">
        <v>0</v>
      </c>
      <c r="J102" s="185">
        <f t="shared" ref="J102:J138" si="20">H102*(1+I102)</f>
        <v>10000</v>
      </c>
      <c r="K102" s="217">
        <f t="shared" ref="K102:K106" si="21">J102*G102</f>
        <v>10000</v>
      </c>
      <c r="M102" s="170"/>
      <c r="N102" s="170"/>
      <c r="O102" s="170"/>
      <c r="P102" s="170"/>
      <c r="Q102" s="170"/>
      <c r="R102" s="170"/>
      <c r="S102" s="170"/>
      <c r="T102" s="170"/>
      <c r="U102" s="170"/>
      <c r="V102" s="170"/>
      <c r="W102" s="170"/>
      <c r="X102" s="219"/>
    </row>
    <row r="103" spans="1:24">
      <c r="A103" s="37" t="s">
        <v>269</v>
      </c>
      <c r="B103" s="164" t="s">
        <v>270</v>
      </c>
      <c r="C103" s="164" t="s">
        <v>103</v>
      </c>
      <c r="D103" s="164" t="s">
        <v>115</v>
      </c>
      <c r="E103" s="164" t="s">
        <v>116</v>
      </c>
      <c r="F103" s="164" t="s">
        <v>15</v>
      </c>
      <c r="G103" s="161">
        <f t="shared" ref="G103:G131" si="22">$B$8</f>
        <v>196289</v>
      </c>
      <c r="H103" s="185">
        <v>0.85</v>
      </c>
      <c r="I103" s="216">
        <v>0</v>
      </c>
      <c r="J103" s="185">
        <f t="shared" si="20"/>
        <v>0.85</v>
      </c>
      <c r="K103" s="217">
        <f t="shared" si="21"/>
        <v>166845.65</v>
      </c>
      <c r="M103" s="170" t="s">
        <v>851</v>
      </c>
      <c r="N103" s="170"/>
      <c r="O103" s="170"/>
      <c r="P103" s="170"/>
      <c r="Q103" s="170"/>
      <c r="R103" s="170"/>
      <c r="S103" s="170"/>
      <c r="T103" s="170"/>
      <c r="U103" s="170"/>
      <c r="V103" s="170"/>
      <c r="W103" s="170"/>
      <c r="X103" s="219"/>
    </row>
    <row r="104" spans="1:24">
      <c r="A104" s="37" t="s">
        <v>852</v>
      </c>
      <c r="B104" s="164" t="s">
        <v>272</v>
      </c>
      <c r="C104" s="164" t="s">
        <v>103</v>
      </c>
      <c r="D104" s="164" t="s">
        <v>115</v>
      </c>
      <c r="E104" s="164" t="s">
        <v>110</v>
      </c>
      <c r="F104" s="164" t="s">
        <v>121</v>
      </c>
      <c r="G104" s="161">
        <v>1</v>
      </c>
      <c r="H104" s="185">
        <v>50000</v>
      </c>
      <c r="I104" s="216">
        <v>0</v>
      </c>
      <c r="J104" s="185">
        <f t="shared" si="20"/>
        <v>50000</v>
      </c>
      <c r="K104" s="217">
        <f t="shared" si="21"/>
        <v>50000</v>
      </c>
      <c r="M104" s="170"/>
      <c r="N104" s="170"/>
      <c r="O104" s="170"/>
      <c r="P104" s="170"/>
      <c r="Q104" s="170"/>
      <c r="R104" s="170"/>
      <c r="S104" s="170"/>
      <c r="T104" s="170"/>
      <c r="U104" s="170"/>
      <c r="V104" s="170"/>
      <c r="W104" s="170"/>
      <c r="X104" s="219"/>
    </row>
    <row r="105" spans="1:24">
      <c r="A105" s="37" t="s">
        <v>184</v>
      </c>
      <c r="B105" s="164" t="s">
        <v>273</v>
      </c>
      <c r="C105" s="164" t="s">
        <v>103</v>
      </c>
      <c r="D105" s="164" t="s">
        <v>186</v>
      </c>
      <c r="E105" s="164" t="s">
        <v>110</v>
      </c>
      <c r="F105" s="164" t="s">
        <v>187</v>
      </c>
      <c r="G105" s="167">
        <f>$E$8</f>
        <v>194</v>
      </c>
      <c r="H105" s="185">
        <v>79</v>
      </c>
      <c r="I105" s="216">
        <v>0</v>
      </c>
      <c r="J105" s="185">
        <f t="shared" si="20"/>
        <v>79</v>
      </c>
      <c r="K105" s="217">
        <f t="shared" si="21"/>
        <v>15326</v>
      </c>
      <c r="M105" s="170"/>
      <c r="N105" s="170"/>
      <c r="O105" s="170"/>
      <c r="P105" s="170"/>
      <c r="Q105" s="170"/>
      <c r="R105" s="170"/>
      <c r="S105" s="170"/>
      <c r="T105" s="170"/>
      <c r="U105" s="170"/>
      <c r="V105" s="170"/>
      <c r="W105" s="170"/>
      <c r="X105" s="219"/>
    </row>
    <row r="106" spans="1:24">
      <c r="A106" s="37" t="s">
        <v>275</v>
      </c>
      <c r="B106" s="164" t="s">
        <v>276</v>
      </c>
      <c r="C106" s="164" t="s">
        <v>103</v>
      </c>
      <c r="D106" s="164" t="s">
        <v>109</v>
      </c>
      <c r="E106" s="164" t="s">
        <v>110</v>
      </c>
      <c r="F106" s="164" t="s">
        <v>121</v>
      </c>
      <c r="G106" s="161">
        <v>1</v>
      </c>
      <c r="H106" s="185">
        <v>10000</v>
      </c>
      <c r="I106" s="216">
        <v>0</v>
      </c>
      <c r="J106" s="185">
        <f>H106*(1+I106)</f>
        <v>10000</v>
      </c>
      <c r="K106" s="217">
        <f t="shared" si="21"/>
        <v>10000</v>
      </c>
      <c r="M106" s="170" t="s">
        <v>853</v>
      </c>
      <c r="N106" s="170"/>
      <c r="O106" s="170"/>
      <c r="P106" s="170"/>
      <c r="Q106" s="170"/>
      <c r="R106" s="170"/>
      <c r="S106" s="170"/>
      <c r="T106" s="170"/>
      <c r="U106" s="170"/>
      <c r="V106" s="170"/>
      <c r="W106" s="170"/>
      <c r="X106" s="219"/>
    </row>
    <row r="107" spans="1:24">
      <c r="A107" s="37" t="s">
        <v>58</v>
      </c>
      <c r="B107" s="164" t="s">
        <v>277</v>
      </c>
      <c r="C107" s="164" t="s">
        <v>103</v>
      </c>
      <c r="D107" s="164" t="s">
        <v>115</v>
      </c>
      <c r="E107" s="164" t="s">
        <v>116</v>
      </c>
      <c r="F107" s="164" t="s">
        <v>278</v>
      </c>
      <c r="G107" s="161">
        <f>O11</f>
        <v>11824</v>
      </c>
      <c r="H107" s="185">
        <v>40.82</v>
      </c>
      <c r="I107" s="216">
        <v>0</v>
      </c>
      <c r="J107" s="185">
        <f t="shared" si="20"/>
        <v>40.82</v>
      </c>
      <c r="K107" s="217">
        <f t="shared" ref="K107:K138" si="23">J107*G107</f>
        <v>482655.68</v>
      </c>
      <c r="M107" s="170" t="s">
        <v>854</v>
      </c>
      <c r="N107" s="170"/>
      <c r="O107" s="170"/>
      <c r="P107" s="170"/>
      <c r="Q107" s="170"/>
      <c r="R107" s="170"/>
      <c r="S107" s="170"/>
      <c r="T107" s="170"/>
      <c r="U107" s="170"/>
      <c r="V107" s="170"/>
      <c r="W107" s="170"/>
      <c r="X107" s="219"/>
    </row>
    <row r="108" spans="1:24">
      <c r="A108" s="37" t="s">
        <v>280</v>
      </c>
      <c r="B108" s="164" t="s">
        <v>277</v>
      </c>
      <c r="C108" s="164" t="s">
        <v>281</v>
      </c>
      <c r="D108" s="164" t="s">
        <v>123</v>
      </c>
      <c r="E108" s="164" t="s">
        <v>110</v>
      </c>
      <c r="F108" s="164" t="s">
        <v>121</v>
      </c>
      <c r="G108" s="161">
        <f>O15</f>
        <v>1</v>
      </c>
      <c r="H108" s="185">
        <v>6000</v>
      </c>
      <c r="I108" s="216">
        <v>0</v>
      </c>
      <c r="J108" s="185">
        <f t="shared" si="20"/>
        <v>6000</v>
      </c>
      <c r="K108" s="217">
        <f t="shared" si="23"/>
        <v>6000</v>
      </c>
      <c r="M108" s="170"/>
      <c r="N108" s="170"/>
      <c r="O108" s="170"/>
      <c r="P108" s="170"/>
      <c r="Q108" s="170"/>
      <c r="R108" s="170"/>
      <c r="S108" s="170"/>
      <c r="T108" s="170"/>
      <c r="U108" s="170"/>
      <c r="V108" s="170"/>
      <c r="W108" s="170"/>
      <c r="X108" s="219"/>
    </row>
    <row r="109" spans="1:24">
      <c r="A109" s="37" t="s">
        <v>282</v>
      </c>
      <c r="B109" s="164" t="s">
        <v>283</v>
      </c>
      <c r="C109" s="164" t="s">
        <v>103</v>
      </c>
      <c r="D109" s="164" t="s">
        <v>130</v>
      </c>
      <c r="E109" s="164" t="s">
        <v>118</v>
      </c>
      <c r="F109" s="164"/>
      <c r="G109" s="161"/>
      <c r="H109" s="185"/>
      <c r="I109" s="216">
        <v>0</v>
      </c>
      <c r="J109" s="185">
        <f t="shared" si="20"/>
        <v>0</v>
      </c>
      <c r="K109" s="217">
        <f t="shared" si="23"/>
        <v>0</v>
      </c>
      <c r="M109" s="170"/>
      <c r="N109" s="170"/>
      <c r="O109" s="170"/>
      <c r="P109" s="170"/>
      <c r="Q109" s="170"/>
      <c r="R109" s="170"/>
      <c r="S109" s="170"/>
      <c r="T109" s="170"/>
      <c r="U109" s="170"/>
      <c r="V109" s="170"/>
      <c r="W109" s="170"/>
      <c r="X109" s="219"/>
    </row>
    <row r="110" spans="1:24">
      <c r="A110" s="37" t="s">
        <v>284</v>
      </c>
      <c r="B110" s="164" t="s">
        <v>285</v>
      </c>
      <c r="C110" s="164" t="s">
        <v>281</v>
      </c>
      <c r="D110" s="164" t="s">
        <v>130</v>
      </c>
      <c r="E110" s="164" t="s">
        <v>110</v>
      </c>
      <c r="F110" s="164" t="s">
        <v>121</v>
      </c>
      <c r="G110" s="161">
        <f>$O$7</f>
        <v>1</v>
      </c>
      <c r="H110" s="185">
        <v>2000</v>
      </c>
      <c r="I110" s="216">
        <v>0</v>
      </c>
      <c r="J110" s="185">
        <f t="shared" si="20"/>
        <v>2000</v>
      </c>
      <c r="K110" s="217">
        <f t="shared" si="23"/>
        <v>2000</v>
      </c>
      <c r="M110" s="170"/>
      <c r="N110" s="170"/>
      <c r="O110" s="170"/>
      <c r="P110" s="170"/>
      <c r="Q110" s="170"/>
      <c r="R110" s="170"/>
      <c r="S110" s="170"/>
      <c r="T110" s="170"/>
      <c r="U110" s="170"/>
      <c r="V110" s="170"/>
      <c r="W110" s="170"/>
      <c r="X110" s="219"/>
    </row>
    <row r="111" spans="1:24">
      <c r="A111" s="37" t="s">
        <v>286</v>
      </c>
      <c r="B111" s="164" t="s">
        <v>287</v>
      </c>
      <c r="C111" s="164" t="s">
        <v>103</v>
      </c>
      <c r="D111" s="164" t="s">
        <v>130</v>
      </c>
      <c r="E111" s="164" t="s">
        <v>118</v>
      </c>
      <c r="F111" s="164"/>
      <c r="G111" s="161"/>
      <c r="H111" s="185"/>
      <c r="I111" s="216">
        <v>0</v>
      </c>
      <c r="J111" s="185">
        <f t="shared" si="20"/>
        <v>0</v>
      </c>
      <c r="K111" s="217">
        <f t="shared" si="23"/>
        <v>0</v>
      </c>
      <c r="M111" s="170"/>
      <c r="N111" s="170"/>
      <c r="O111" s="170"/>
      <c r="P111" s="170"/>
      <c r="Q111" s="170"/>
      <c r="R111" s="170"/>
      <c r="S111" s="170"/>
      <c r="T111" s="170"/>
      <c r="U111" s="170"/>
      <c r="V111" s="170"/>
      <c r="W111" s="170"/>
      <c r="X111" s="219"/>
    </row>
    <row r="112" spans="1:24">
      <c r="A112" s="37" t="s">
        <v>288</v>
      </c>
      <c r="B112" s="164" t="s">
        <v>289</v>
      </c>
      <c r="C112" s="164" t="s">
        <v>103</v>
      </c>
      <c r="D112" s="164" t="s">
        <v>135</v>
      </c>
      <c r="E112" s="164" t="s">
        <v>195</v>
      </c>
      <c r="F112" s="164" t="s">
        <v>121</v>
      </c>
      <c r="G112" s="161">
        <v>1</v>
      </c>
      <c r="H112" s="185">
        <v>5000</v>
      </c>
      <c r="I112" s="216">
        <v>0</v>
      </c>
      <c r="J112" s="185">
        <f t="shared" si="20"/>
        <v>5000</v>
      </c>
      <c r="K112" s="217">
        <f t="shared" si="23"/>
        <v>5000</v>
      </c>
      <c r="M112" s="170"/>
      <c r="N112" s="170"/>
      <c r="O112" s="170"/>
      <c r="P112" s="170"/>
      <c r="Q112" s="170"/>
      <c r="R112" s="170"/>
      <c r="S112" s="170"/>
      <c r="T112" s="170"/>
      <c r="U112" s="170"/>
      <c r="V112" s="170"/>
      <c r="W112" s="170"/>
      <c r="X112" s="219"/>
    </row>
    <row r="113" spans="1:24">
      <c r="A113" s="37" t="s">
        <v>290</v>
      </c>
      <c r="B113" s="164" t="s">
        <v>291</v>
      </c>
      <c r="C113" s="164" t="s">
        <v>120</v>
      </c>
      <c r="D113" s="164" t="s">
        <v>115</v>
      </c>
      <c r="E113" s="164" t="s">
        <v>110</v>
      </c>
      <c r="F113" s="164" t="s">
        <v>121</v>
      </c>
      <c r="G113" s="161">
        <v>1</v>
      </c>
      <c r="H113" s="185">
        <v>1500</v>
      </c>
      <c r="I113" s="216">
        <v>0</v>
      </c>
      <c r="J113" s="185">
        <f t="shared" si="20"/>
        <v>1500</v>
      </c>
      <c r="K113" s="217">
        <f t="shared" si="23"/>
        <v>1500</v>
      </c>
      <c r="M113" s="170"/>
      <c r="N113" s="170"/>
      <c r="O113" s="170"/>
      <c r="P113" s="170"/>
      <c r="Q113" s="170"/>
      <c r="R113" s="170"/>
      <c r="S113" s="170"/>
      <c r="T113" s="170"/>
      <c r="U113" s="170"/>
      <c r="V113" s="170"/>
      <c r="W113" s="170"/>
      <c r="X113" s="219"/>
    </row>
    <row r="114" spans="1:24">
      <c r="A114" s="37" t="s">
        <v>292</v>
      </c>
      <c r="B114" s="164" t="s">
        <v>293</v>
      </c>
      <c r="C114" s="164" t="s">
        <v>103</v>
      </c>
      <c r="D114" s="164" t="s">
        <v>115</v>
      </c>
      <c r="E114" s="164" t="s">
        <v>855</v>
      </c>
      <c r="F114" s="164" t="s">
        <v>15</v>
      </c>
      <c r="G114" s="161">
        <f t="shared" ref="G114" si="24">$B$8</f>
        <v>196289</v>
      </c>
      <c r="H114" s="185">
        <f>8.02-3500/G114</f>
        <v>8.0021691485513706</v>
      </c>
      <c r="I114" s="216">
        <v>0</v>
      </c>
      <c r="J114" s="185">
        <f t="shared" si="20"/>
        <v>8.0021691485513706</v>
      </c>
      <c r="K114" s="531">
        <f t="shared" si="23"/>
        <v>1570737.78</v>
      </c>
      <c r="M114" s="530" t="s">
        <v>856</v>
      </c>
      <c r="N114" s="170"/>
      <c r="O114" s="170"/>
      <c r="P114" s="170"/>
      <c r="Q114" s="170"/>
      <c r="R114" s="170"/>
      <c r="S114" s="170"/>
      <c r="T114" s="170"/>
      <c r="U114" s="170"/>
      <c r="V114" s="170"/>
      <c r="W114" s="170"/>
      <c r="X114" s="219"/>
    </row>
    <row r="115" spans="1:24">
      <c r="A115" s="35" t="s">
        <v>857</v>
      </c>
      <c r="B115" s="164" t="s">
        <v>293</v>
      </c>
      <c r="C115" s="176" t="s">
        <v>103</v>
      </c>
      <c r="D115" s="164" t="s">
        <v>123</v>
      </c>
      <c r="E115" s="164" t="s">
        <v>110</v>
      </c>
      <c r="F115" s="164" t="s">
        <v>121</v>
      </c>
      <c r="G115" s="161">
        <v>1</v>
      </c>
      <c r="H115" s="185">
        <v>3500</v>
      </c>
      <c r="I115" s="216">
        <v>0</v>
      </c>
      <c r="J115" s="415">
        <f t="shared" si="20"/>
        <v>3500</v>
      </c>
      <c r="K115" s="416">
        <f t="shared" si="23"/>
        <v>3500</v>
      </c>
      <c r="M115" s="530" t="s">
        <v>846</v>
      </c>
      <c r="N115" s="170"/>
      <c r="O115" s="170"/>
      <c r="P115" s="170"/>
      <c r="Q115" s="170"/>
      <c r="R115" s="170"/>
      <c r="S115" s="170"/>
      <c r="T115" s="170"/>
      <c r="U115" s="170"/>
      <c r="V115" s="170"/>
      <c r="W115" s="170"/>
      <c r="X115" s="219"/>
    </row>
    <row r="116" spans="1:24">
      <c r="A116" s="37" t="s">
        <v>294</v>
      </c>
      <c r="B116" s="164" t="s">
        <v>295</v>
      </c>
      <c r="C116" s="164" t="s">
        <v>120</v>
      </c>
      <c r="D116" s="164" t="s">
        <v>115</v>
      </c>
      <c r="E116" s="164" t="s">
        <v>110</v>
      </c>
      <c r="F116" s="164" t="s">
        <v>187</v>
      </c>
      <c r="G116" s="167">
        <f>$E$8</f>
        <v>194</v>
      </c>
      <c r="H116" s="185">
        <v>85</v>
      </c>
      <c r="I116" s="216">
        <v>0</v>
      </c>
      <c r="J116" s="185">
        <f t="shared" si="20"/>
        <v>85</v>
      </c>
      <c r="K116" s="217">
        <f t="shared" si="23"/>
        <v>16490</v>
      </c>
      <c r="M116" s="170"/>
      <c r="N116" s="170"/>
      <c r="O116" s="170"/>
      <c r="P116" s="170"/>
      <c r="Q116" s="170"/>
      <c r="R116" s="170"/>
      <c r="S116" s="170"/>
      <c r="T116" s="170"/>
      <c r="U116" s="170"/>
      <c r="V116" s="170"/>
      <c r="W116" s="170"/>
      <c r="X116" s="219"/>
    </row>
    <row r="117" spans="1:24">
      <c r="A117" s="37" t="s">
        <v>296</v>
      </c>
      <c r="B117" s="164" t="s">
        <v>297</v>
      </c>
      <c r="C117" s="164" t="s">
        <v>103</v>
      </c>
      <c r="D117" s="164" t="s">
        <v>115</v>
      </c>
      <c r="E117" s="164" t="s">
        <v>118</v>
      </c>
      <c r="F117" s="164"/>
      <c r="G117" s="161"/>
      <c r="H117" s="185"/>
      <c r="I117" s="216">
        <v>0</v>
      </c>
      <c r="J117" s="185">
        <f t="shared" si="20"/>
        <v>0</v>
      </c>
      <c r="K117" s="217">
        <f t="shared" si="23"/>
        <v>0</v>
      </c>
      <c r="M117" s="170"/>
      <c r="N117" s="170"/>
      <c r="O117" s="170"/>
      <c r="P117" s="170"/>
      <c r="Q117" s="170"/>
      <c r="R117" s="170"/>
      <c r="S117" s="170"/>
      <c r="T117" s="170"/>
      <c r="U117" s="170"/>
      <c r="V117" s="170"/>
      <c r="W117" s="170"/>
      <c r="X117" s="219"/>
    </row>
    <row r="118" spans="1:24">
      <c r="A118" s="37" t="s">
        <v>298</v>
      </c>
      <c r="B118" s="164" t="s">
        <v>299</v>
      </c>
      <c r="C118" s="164" t="s">
        <v>103</v>
      </c>
      <c r="D118" s="164" t="s">
        <v>181</v>
      </c>
      <c r="E118" s="164" t="s">
        <v>195</v>
      </c>
      <c r="F118" s="164" t="s">
        <v>121</v>
      </c>
      <c r="G118" s="161">
        <v>1</v>
      </c>
      <c r="H118" s="185">
        <v>67657</v>
      </c>
      <c r="I118" s="216">
        <v>0</v>
      </c>
      <c r="J118" s="185">
        <f t="shared" si="20"/>
        <v>67657</v>
      </c>
      <c r="K118" s="531">
        <f t="shared" si="23"/>
        <v>67657</v>
      </c>
      <c r="L118" s="218">
        <f>K118/E8</f>
        <v>348.7474226804124</v>
      </c>
      <c r="M118" s="530" t="s">
        <v>858</v>
      </c>
      <c r="N118" s="170"/>
      <c r="O118" s="170"/>
      <c r="P118" s="170"/>
      <c r="Q118" s="170"/>
      <c r="R118" s="170"/>
      <c r="S118" s="170"/>
      <c r="T118" s="170"/>
      <c r="U118" s="170"/>
      <c r="V118" s="170"/>
      <c r="W118" s="170"/>
      <c r="X118" s="219"/>
    </row>
    <row r="119" spans="1:24">
      <c r="A119" s="37" t="s">
        <v>300</v>
      </c>
      <c r="B119" s="164" t="s">
        <v>301</v>
      </c>
      <c r="C119" s="164" t="s">
        <v>103</v>
      </c>
      <c r="D119" s="164" t="s">
        <v>115</v>
      </c>
      <c r="E119" s="164" t="s">
        <v>118</v>
      </c>
      <c r="F119" s="164"/>
      <c r="G119" s="161"/>
      <c r="H119" s="185"/>
      <c r="I119" s="216">
        <v>0</v>
      </c>
      <c r="J119" s="185">
        <f t="shared" si="20"/>
        <v>0</v>
      </c>
      <c r="K119" s="217">
        <f t="shared" si="23"/>
        <v>0</v>
      </c>
      <c r="M119" s="170"/>
      <c r="N119" s="170"/>
      <c r="O119" s="170"/>
      <c r="P119" s="170"/>
      <c r="Q119" s="170"/>
      <c r="R119" s="170"/>
      <c r="S119" s="170"/>
      <c r="T119" s="170"/>
      <c r="U119" s="170"/>
      <c r="V119" s="170"/>
      <c r="W119" s="170"/>
      <c r="X119" s="219"/>
    </row>
    <row r="120" spans="1:24">
      <c r="A120" s="37" t="s">
        <v>302</v>
      </c>
      <c r="B120" s="164" t="s">
        <v>303</v>
      </c>
      <c r="C120" s="164" t="s">
        <v>103</v>
      </c>
      <c r="D120" s="164" t="s">
        <v>130</v>
      </c>
      <c r="E120" s="164" t="s">
        <v>118</v>
      </c>
      <c r="F120" s="164"/>
      <c r="G120" s="161"/>
      <c r="H120" s="185"/>
      <c r="I120" s="216">
        <v>0</v>
      </c>
      <c r="J120" s="185">
        <f t="shared" si="20"/>
        <v>0</v>
      </c>
      <c r="K120" s="217">
        <f t="shared" si="23"/>
        <v>0</v>
      </c>
      <c r="M120" s="170"/>
      <c r="N120" s="170"/>
      <c r="O120" s="170"/>
      <c r="P120" s="170"/>
      <c r="Q120" s="170"/>
      <c r="R120" s="170"/>
      <c r="S120" s="170"/>
      <c r="T120" s="170"/>
      <c r="U120" s="170"/>
      <c r="V120" s="170"/>
      <c r="W120" s="170"/>
      <c r="X120" s="219"/>
    </row>
    <row r="121" spans="1:24">
      <c r="A121" s="37" t="s">
        <v>304</v>
      </c>
      <c r="B121" s="164" t="s">
        <v>305</v>
      </c>
      <c r="C121" s="164" t="s">
        <v>103</v>
      </c>
      <c r="D121" s="164" t="s">
        <v>115</v>
      </c>
      <c r="E121" s="164" t="s">
        <v>859</v>
      </c>
      <c r="F121" s="164" t="s">
        <v>278</v>
      </c>
      <c r="G121" s="161">
        <v>16642</v>
      </c>
      <c r="H121" s="185">
        <f>2.04*9</f>
        <v>18.36</v>
      </c>
      <c r="I121" s="216">
        <v>0</v>
      </c>
      <c r="J121" s="185">
        <f t="shared" si="20"/>
        <v>18.36</v>
      </c>
      <c r="K121" s="531">
        <f t="shared" si="23"/>
        <v>305547.12</v>
      </c>
      <c r="M121" s="530"/>
      <c r="N121" s="170"/>
      <c r="O121" s="170"/>
      <c r="P121" s="170"/>
      <c r="Q121" s="170"/>
      <c r="R121" s="170"/>
      <c r="S121" s="170"/>
      <c r="T121" s="170"/>
      <c r="U121" s="170"/>
      <c r="V121" s="170"/>
      <c r="W121" s="170"/>
      <c r="X121" s="219"/>
    </row>
    <row r="122" spans="1:24">
      <c r="A122" s="37" t="s">
        <v>307</v>
      </c>
      <c r="B122" s="164" t="s">
        <v>308</v>
      </c>
      <c r="C122" s="164" t="s">
        <v>103</v>
      </c>
      <c r="D122" s="164" t="s">
        <v>181</v>
      </c>
      <c r="E122" s="164" t="s">
        <v>118</v>
      </c>
      <c r="F122" s="164"/>
      <c r="G122" s="161">
        <v>0</v>
      </c>
      <c r="H122" s="185">
        <v>0</v>
      </c>
      <c r="I122" s="216">
        <v>0</v>
      </c>
      <c r="J122" s="185">
        <f t="shared" si="20"/>
        <v>0</v>
      </c>
      <c r="K122" s="217">
        <f t="shared" si="23"/>
        <v>0</v>
      </c>
      <c r="M122" s="170"/>
      <c r="N122" s="170"/>
      <c r="O122" s="170"/>
      <c r="P122" s="170"/>
      <c r="Q122" s="170"/>
      <c r="R122" s="170"/>
      <c r="S122" s="170"/>
      <c r="T122" s="170"/>
      <c r="U122" s="170"/>
      <c r="V122" s="170"/>
      <c r="W122" s="170"/>
      <c r="X122" s="219"/>
    </row>
    <row r="123" spans="1:24">
      <c r="A123" s="37" t="s">
        <v>309</v>
      </c>
      <c r="B123" s="164" t="s">
        <v>310</v>
      </c>
      <c r="C123" s="164" t="s">
        <v>103</v>
      </c>
      <c r="D123" s="164" t="s">
        <v>181</v>
      </c>
      <c r="E123" s="164" t="s">
        <v>118</v>
      </c>
      <c r="F123" s="164"/>
      <c r="G123" s="161">
        <v>0</v>
      </c>
      <c r="H123" s="185">
        <v>0</v>
      </c>
      <c r="I123" s="216">
        <v>0</v>
      </c>
      <c r="J123" s="185">
        <f t="shared" si="20"/>
        <v>0</v>
      </c>
      <c r="K123" s="217">
        <f t="shared" si="23"/>
        <v>0</v>
      </c>
      <c r="M123" s="170"/>
      <c r="N123" s="170"/>
      <c r="O123" s="170"/>
      <c r="P123" s="170"/>
      <c r="Q123" s="170"/>
      <c r="R123" s="170"/>
      <c r="S123" s="170"/>
      <c r="T123" s="170"/>
      <c r="U123" s="170"/>
      <c r="V123" s="170"/>
      <c r="W123" s="170"/>
      <c r="X123" s="219"/>
    </row>
    <row r="124" spans="1:24">
      <c r="A124" s="37" t="s">
        <v>311</v>
      </c>
      <c r="B124" s="164" t="s">
        <v>312</v>
      </c>
      <c r="C124" s="164" t="s">
        <v>103</v>
      </c>
      <c r="D124" s="164" t="s">
        <v>181</v>
      </c>
      <c r="E124" s="164" t="s">
        <v>195</v>
      </c>
      <c r="F124" s="164" t="s">
        <v>15</v>
      </c>
      <c r="G124" s="161">
        <f t="shared" ref="G124" si="25">$B$8</f>
        <v>196289</v>
      </c>
      <c r="H124" s="185">
        <v>0.37</v>
      </c>
      <c r="I124" s="216">
        <v>0</v>
      </c>
      <c r="J124" s="185">
        <f t="shared" si="20"/>
        <v>0.37</v>
      </c>
      <c r="K124" s="531">
        <f t="shared" si="23"/>
        <v>72626.929999999993</v>
      </c>
      <c r="M124" s="530"/>
      <c r="N124" s="170"/>
      <c r="O124" s="170"/>
      <c r="P124" s="170"/>
      <c r="Q124" s="170"/>
      <c r="R124" s="170"/>
      <c r="S124" s="170"/>
      <c r="T124" s="170"/>
      <c r="U124" s="170"/>
      <c r="V124" s="170"/>
      <c r="W124" s="170"/>
      <c r="X124" s="219"/>
    </row>
    <row r="125" spans="1:24">
      <c r="A125" s="37" t="s">
        <v>313</v>
      </c>
      <c r="B125" s="164" t="s">
        <v>314</v>
      </c>
      <c r="C125" s="164" t="s">
        <v>281</v>
      </c>
      <c r="D125" s="164" t="s">
        <v>181</v>
      </c>
      <c r="E125" s="164" t="s">
        <v>110</v>
      </c>
      <c r="F125" s="164" t="s">
        <v>32</v>
      </c>
      <c r="G125" s="161">
        <f>O3</f>
        <v>2</v>
      </c>
      <c r="H125" s="185">
        <v>750</v>
      </c>
      <c r="I125" s="216">
        <v>0</v>
      </c>
      <c r="J125" s="185">
        <f t="shared" si="20"/>
        <v>750</v>
      </c>
      <c r="K125" s="217">
        <f t="shared" si="23"/>
        <v>1500</v>
      </c>
      <c r="M125" s="170"/>
      <c r="N125" s="170"/>
      <c r="O125" s="170"/>
      <c r="P125" s="170"/>
      <c r="Q125" s="170"/>
      <c r="R125" s="170"/>
      <c r="S125" s="170"/>
      <c r="T125" s="170"/>
      <c r="U125" s="170"/>
      <c r="V125" s="170"/>
      <c r="W125" s="170"/>
      <c r="X125" s="219"/>
    </row>
    <row r="126" spans="1:24">
      <c r="A126" s="37" t="s">
        <v>315</v>
      </c>
      <c r="B126" s="164" t="s">
        <v>316</v>
      </c>
      <c r="C126" s="164" t="s">
        <v>103</v>
      </c>
      <c r="D126" s="164" t="s">
        <v>181</v>
      </c>
      <c r="E126" s="164" t="s">
        <v>118</v>
      </c>
      <c r="F126" s="164"/>
      <c r="G126" s="161">
        <v>0</v>
      </c>
      <c r="H126" s="185">
        <v>0</v>
      </c>
      <c r="I126" s="216">
        <v>0</v>
      </c>
      <c r="J126" s="185">
        <f t="shared" si="20"/>
        <v>0</v>
      </c>
      <c r="K126" s="217">
        <f t="shared" si="23"/>
        <v>0</v>
      </c>
      <c r="M126" s="170"/>
      <c r="N126" s="170"/>
      <c r="O126" s="170"/>
      <c r="P126" s="170"/>
      <c r="Q126" s="170"/>
      <c r="R126" s="170"/>
      <c r="S126" s="170"/>
      <c r="T126" s="170"/>
      <c r="U126" s="170"/>
      <c r="V126" s="170"/>
      <c r="W126" s="170"/>
      <c r="X126" s="219"/>
    </row>
    <row r="127" spans="1:24">
      <c r="A127" s="37" t="s">
        <v>317</v>
      </c>
      <c r="B127" s="164" t="s">
        <v>318</v>
      </c>
      <c r="C127" s="164" t="s">
        <v>103</v>
      </c>
      <c r="D127" s="164" t="s">
        <v>181</v>
      </c>
      <c r="E127" s="164" t="s">
        <v>118</v>
      </c>
      <c r="F127" s="164" t="s">
        <v>15</v>
      </c>
      <c r="G127" s="161">
        <v>0</v>
      </c>
      <c r="H127" s="185">
        <v>0</v>
      </c>
      <c r="I127" s="216">
        <v>0</v>
      </c>
      <c r="J127" s="185">
        <f t="shared" si="20"/>
        <v>0</v>
      </c>
      <c r="K127" s="217">
        <f t="shared" si="23"/>
        <v>0</v>
      </c>
      <c r="M127" s="170"/>
      <c r="N127" s="170"/>
      <c r="O127" s="170"/>
      <c r="P127" s="170"/>
      <c r="Q127" s="170"/>
      <c r="R127" s="170"/>
      <c r="S127" s="170"/>
      <c r="T127" s="170"/>
      <c r="U127" s="170"/>
      <c r="V127" s="170"/>
      <c r="W127" s="170"/>
      <c r="X127" s="219"/>
    </row>
    <row r="128" spans="1:24">
      <c r="A128" s="37" t="s">
        <v>319</v>
      </c>
      <c r="B128" s="164" t="s">
        <v>320</v>
      </c>
      <c r="C128" s="164" t="s">
        <v>103</v>
      </c>
      <c r="D128" s="164" t="s">
        <v>181</v>
      </c>
      <c r="E128" s="164" t="s">
        <v>195</v>
      </c>
      <c r="F128" s="164" t="s">
        <v>15</v>
      </c>
      <c r="G128" s="161">
        <v>1316</v>
      </c>
      <c r="H128" s="185">
        <v>16.53336114421931</v>
      </c>
      <c r="I128" s="216">
        <v>0</v>
      </c>
      <c r="J128" s="185">
        <f t="shared" si="20"/>
        <v>16.53336114421931</v>
      </c>
      <c r="K128" s="531">
        <f t="shared" si="23"/>
        <v>21757.903265792611</v>
      </c>
      <c r="M128" s="170"/>
      <c r="N128" s="170"/>
      <c r="O128" s="170"/>
      <c r="P128" s="170"/>
      <c r="Q128" s="170"/>
      <c r="R128" s="170"/>
      <c r="S128" s="170"/>
      <c r="T128" s="170"/>
      <c r="U128" s="170"/>
      <c r="V128" s="170"/>
      <c r="W128" s="170"/>
      <c r="X128" s="219"/>
    </row>
    <row r="129" spans="1:32">
      <c r="A129" s="37" t="s">
        <v>322</v>
      </c>
      <c r="B129" s="164" t="s">
        <v>323</v>
      </c>
      <c r="C129" s="164" t="s">
        <v>103</v>
      </c>
      <c r="D129" s="164" t="s">
        <v>181</v>
      </c>
      <c r="E129" s="164" t="s">
        <v>195</v>
      </c>
      <c r="F129" s="164" t="s">
        <v>32</v>
      </c>
      <c r="G129" s="161">
        <f>$O$6</f>
        <v>7</v>
      </c>
      <c r="H129" s="185">
        <v>1848.1428571428571</v>
      </c>
      <c r="I129" s="216">
        <v>0</v>
      </c>
      <c r="J129" s="185">
        <f t="shared" si="20"/>
        <v>1848.1428571428571</v>
      </c>
      <c r="K129" s="217">
        <f t="shared" si="23"/>
        <v>12937</v>
      </c>
      <c r="M129" s="170"/>
      <c r="N129" s="170"/>
      <c r="O129" s="170"/>
      <c r="P129" s="170"/>
      <c r="Q129" s="170"/>
      <c r="R129" s="170"/>
      <c r="S129" s="170"/>
      <c r="T129" s="170"/>
      <c r="U129" s="170"/>
      <c r="V129" s="170"/>
      <c r="W129" s="170"/>
      <c r="X129" s="219"/>
    </row>
    <row r="130" spans="1:32">
      <c r="A130" s="37" t="s">
        <v>324</v>
      </c>
      <c r="B130" s="164" t="s">
        <v>325</v>
      </c>
      <c r="C130" s="164" t="s">
        <v>103</v>
      </c>
      <c r="D130" s="164" t="s">
        <v>181</v>
      </c>
      <c r="E130" s="164" t="s">
        <v>195</v>
      </c>
      <c r="F130" s="164" t="s">
        <v>15</v>
      </c>
      <c r="G130" s="161">
        <f t="shared" si="22"/>
        <v>196289</v>
      </c>
      <c r="H130" s="185">
        <v>5.1209072935450933E-2</v>
      </c>
      <c r="I130" s="216">
        <v>0</v>
      </c>
      <c r="J130" s="185">
        <f t="shared" si="20"/>
        <v>5.1209072935450933E-2</v>
      </c>
      <c r="K130" s="217">
        <f t="shared" si="23"/>
        <v>10051.777717426728</v>
      </c>
      <c r="M130" s="170"/>
      <c r="N130" s="170"/>
      <c r="O130" s="170"/>
      <c r="P130" s="170"/>
      <c r="Q130" s="170"/>
      <c r="R130" s="170"/>
      <c r="S130" s="170"/>
      <c r="T130" s="170"/>
      <c r="U130" s="170"/>
      <c r="V130" s="170"/>
      <c r="W130" s="170"/>
      <c r="X130" s="219"/>
    </row>
    <row r="131" spans="1:32">
      <c r="A131" s="37" t="s">
        <v>327</v>
      </c>
      <c r="B131" s="164" t="s">
        <v>328</v>
      </c>
      <c r="C131" s="164" t="s">
        <v>103</v>
      </c>
      <c r="D131" s="164" t="s">
        <v>181</v>
      </c>
      <c r="E131" s="164" t="s">
        <v>195</v>
      </c>
      <c r="F131" s="164" t="s">
        <v>15</v>
      </c>
      <c r="G131" s="161">
        <f t="shared" si="22"/>
        <v>196289</v>
      </c>
      <c r="H131" s="185">
        <v>0.29699958719881808</v>
      </c>
      <c r="I131" s="216">
        <v>0</v>
      </c>
      <c r="J131" s="185">
        <f t="shared" si="20"/>
        <v>0.29699958719881808</v>
      </c>
      <c r="K131" s="217">
        <f t="shared" si="23"/>
        <v>58297.751971668804</v>
      </c>
      <c r="M131" s="170"/>
      <c r="N131" s="170"/>
      <c r="O131" s="170"/>
      <c r="P131" s="170"/>
      <c r="Q131" s="170"/>
      <c r="R131" s="170"/>
      <c r="S131" s="170"/>
      <c r="T131" s="170"/>
      <c r="U131" s="170"/>
      <c r="V131" s="170"/>
      <c r="W131" s="170"/>
      <c r="X131" s="219"/>
    </row>
    <row r="132" spans="1:32">
      <c r="A132" s="37" t="s">
        <v>329</v>
      </c>
      <c r="B132" s="164" t="s">
        <v>330</v>
      </c>
      <c r="C132" s="164" t="s">
        <v>120</v>
      </c>
      <c r="D132" s="164" t="s">
        <v>115</v>
      </c>
      <c r="E132" s="164" t="s">
        <v>110</v>
      </c>
      <c r="F132" s="164" t="s">
        <v>121</v>
      </c>
      <c r="G132" s="167">
        <v>1</v>
      </c>
      <c r="H132" s="185">
        <v>10000</v>
      </c>
      <c r="I132" s="216">
        <v>0</v>
      </c>
      <c r="J132" s="185">
        <f t="shared" si="20"/>
        <v>10000</v>
      </c>
      <c r="K132" s="217">
        <f t="shared" si="23"/>
        <v>10000</v>
      </c>
      <c r="M132" s="170"/>
      <c r="N132" s="170"/>
      <c r="O132" s="170"/>
      <c r="P132" s="170"/>
      <c r="Q132" s="170"/>
      <c r="R132" s="170"/>
      <c r="S132" s="170"/>
      <c r="T132" s="170"/>
      <c r="U132" s="170"/>
      <c r="V132" s="170"/>
      <c r="W132" s="170"/>
      <c r="X132" s="219"/>
    </row>
    <row r="133" spans="1:32">
      <c r="A133" s="37" t="s">
        <v>331</v>
      </c>
      <c r="B133" s="164" t="s">
        <v>332</v>
      </c>
      <c r="C133" s="164" t="s">
        <v>103</v>
      </c>
      <c r="D133" s="164" t="s">
        <v>115</v>
      </c>
      <c r="E133" s="164" t="s">
        <v>116</v>
      </c>
      <c r="F133" s="164" t="s">
        <v>15</v>
      </c>
      <c r="G133" s="161">
        <f>$B$8</f>
        <v>196289</v>
      </c>
      <c r="H133" s="185">
        <f>1.84-1000/G133</f>
        <v>1.8349054710146775</v>
      </c>
      <c r="I133" s="216">
        <v>0</v>
      </c>
      <c r="J133" s="185">
        <f t="shared" si="20"/>
        <v>1.8349054710146775</v>
      </c>
      <c r="K133" s="217">
        <f t="shared" si="23"/>
        <v>360171.76</v>
      </c>
      <c r="M133" s="170" t="s">
        <v>860</v>
      </c>
      <c r="N133" s="170"/>
      <c r="O133" s="170"/>
      <c r="P133" s="170"/>
      <c r="Q133" s="170"/>
      <c r="R133" s="170"/>
      <c r="S133" s="170"/>
      <c r="T133" s="170"/>
      <c r="U133" s="170"/>
      <c r="V133" s="170"/>
      <c r="W133" s="170"/>
      <c r="X133" s="219"/>
    </row>
    <row r="134" spans="1:32">
      <c r="A134" s="35" t="s">
        <v>861</v>
      </c>
      <c r="B134" s="164" t="s">
        <v>332</v>
      </c>
      <c r="C134" s="176" t="s">
        <v>103</v>
      </c>
      <c r="D134" s="164" t="s">
        <v>123</v>
      </c>
      <c r="E134" s="164" t="s">
        <v>110</v>
      </c>
      <c r="F134" s="164" t="s">
        <v>121</v>
      </c>
      <c r="G134" s="161">
        <v>1</v>
      </c>
      <c r="H134" s="185">
        <v>1000</v>
      </c>
      <c r="I134" s="216">
        <v>0</v>
      </c>
      <c r="J134" s="415">
        <f t="shared" ref="J134" si="26">H134*(1+I134)</f>
        <v>1000</v>
      </c>
      <c r="K134" s="416">
        <f t="shared" ref="K134" si="27">J134*G134</f>
        <v>1000</v>
      </c>
      <c r="M134" s="530" t="s">
        <v>846</v>
      </c>
      <c r="N134" s="170"/>
      <c r="O134" s="170"/>
      <c r="P134" s="170"/>
      <c r="Q134" s="170"/>
      <c r="R134" s="170"/>
      <c r="S134" s="170"/>
      <c r="T134" s="170"/>
      <c r="U134" s="170"/>
      <c r="V134" s="170"/>
      <c r="W134" s="170"/>
      <c r="X134" s="219"/>
    </row>
    <row r="135" spans="1:32">
      <c r="A135" s="37" t="s">
        <v>333</v>
      </c>
      <c r="B135" s="164" t="s">
        <v>334</v>
      </c>
      <c r="C135" s="164" t="s">
        <v>103</v>
      </c>
      <c r="D135" s="164" t="s">
        <v>115</v>
      </c>
      <c r="E135" s="164" t="s">
        <v>118</v>
      </c>
      <c r="F135" s="164"/>
      <c r="G135" s="161"/>
      <c r="H135" s="185"/>
      <c r="I135" s="216">
        <v>0</v>
      </c>
      <c r="J135" s="185">
        <f t="shared" si="20"/>
        <v>0</v>
      </c>
      <c r="K135" s="217">
        <f t="shared" si="23"/>
        <v>0</v>
      </c>
      <c r="M135" s="170"/>
      <c r="N135" s="170"/>
      <c r="O135" s="170"/>
      <c r="P135" s="170"/>
      <c r="Q135" s="170"/>
      <c r="R135" s="170"/>
      <c r="S135" s="170"/>
      <c r="T135" s="170"/>
      <c r="U135" s="170"/>
      <c r="V135" s="170"/>
      <c r="W135" s="170"/>
      <c r="X135" s="219"/>
    </row>
    <row r="136" spans="1:32">
      <c r="A136" s="37" t="s">
        <v>335</v>
      </c>
      <c r="B136" s="164" t="s">
        <v>336</v>
      </c>
      <c r="C136" s="164" t="s">
        <v>103</v>
      </c>
      <c r="D136" s="164" t="s">
        <v>130</v>
      </c>
      <c r="E136" s="164" t="s">
        <v>118</v>
      </c>
      <c r="F136" s="164"/>
      <c r="G136" s="161"/>
      <c r="H136" s="185"/>
      <c r="I136" s="216">
        <v>0</v>
      </c>
      <c r="J136" s="185">
        <f t="shared" si="20"/>
        <v>0</v>
      </c>
      <c r="K136" s="217">
        <f t="shared" si="23"/>
        <v>0</v>
      </c>
      <c r="M136" s="170"/>
      <c r="N136" s="170"/>
      <c r="O136" s="170"/>
      <c r="P136" s="170"/>
      <c r="Q136" s="170"/>
      <c r="R136" s="170"/>
      <c r="S136" s="170"/>
      <c r="T136" s="170"/>
      <c r="U136" s="170"/>
      <c r="V136" s="170"/>
      <c r="W136" s="170"/>
      <c r="X136" s="219"/>
    </row>
    <row r="137" spans="1:32">
      <c r="A137" s="37" t="s">
        <v>337</v>
      </c>
      <c r="B137" s="164"/>
      <c r="C137" s="164" t="s">
        <v>103</v>
      </c>
      <c r="D137" s="164" t="s">
        <v>181</v>
      </c>
      <c r="E137" s="164" t="s">
        <v>118</v>
      </c>
      <c r="F137" s="164"/>
      <c r="G137" s="161"/>
      <c r="H137" s="185"/>
      <c r="I137" s="216">
        <v>0</v>
      </c>
      <c r="J137" s="185">
        <f t="shared" si="20"/>
        <v>0</v>
      </c>
      <c r="K137" s="217">
        <f t="shared" si="23"/>
        <v>0</v>
      </c>
      <c r="M137" s="170"/>
      <c r="N137" s="170"/>
      <c r="O137" s="170"/>
      <c r="P137" s="170"/>
      <c r="Q137" s="170"/>
      <c r="R137" s="170"/>
      <c r="S137" s="170"/>
      <c r="T137" s="170"/>
      <c r="U137" s="170"/>
      <c r="V137" s="170"/>
      <c r="W137" s="170"/>
      <c r="X137" s="219"/>
    </row>
    <row r="138" spans="1:32">
      <c r="A138" s="37" t="s">
        <v>338</v>
      </c>
      <c r="B138" s="164" t="s">
        <v>339</v>
      </c>
      <c r="C138" s="164" t="s">
        <v>103</v>
      </c>
      <c r="D138" s="164" t="s">
        <v>181</v>
      </c>
      <c r="E138" s="164" t="s">
        <v>118</v>
      </c>
      <c r="F138" s="164"/>
      <c r="G138" s="161"/>
      <c r="H138" s="185"/>
      <c r="I138" s="216">
        <v>0</v>
      </c>
      <c r="J138" s="185">
        <f t="shared" si="20"/>
        <v>0</v>
      </c>
      <c r="K138" s="217">
        <f t="shared" si="23"/>
        <v>0</v>
      </c>
      <c r="M138" s="170"/>
      <c r="N138" s="170"/>
      <c r="O138" s="170"/>
      <c r="P138" s="170"/>
      <c r="Q138" s="170"/>
      <c r="R138" s="170"/>
      <c r="S138" s="170"/>
      <c r="T138" s="170"/>
      <c r="U138" s="170"/>
      <c r="V138" s="170"/>
      <c r="W138" s="170"/>
      <c r="X138" s="219"/>
    </row>
    <row r="139" spans="1:32">
      <c r="A139" s="33" t="s">
        <v>340</v>
      </c>
      <c r="B139" s="305" t="s">
        <v>341</v>
      </c>
      <c r="C139" s="305"/>
      <c r="D139" s="305"/>
      <c r="E139" s="343"/>
      <c r="F139" s="343"/>
      <c r="G139" s="147"/>
      <c r="H139" s="344"/>
      <c r="I139" s="345"/>
      <c r="J139" s="344"/>
      <c r="K139" s="346"/>
      <c r="L139" s="230">
        <f>SUM(K140:K155)</f>
        <v>233950</v>
      </c>
      <c r="M139" s="170"/>
      <c r="N139" s="170"/>
      <c r="O139" s="170"/>
      <c r="P139" s="170"/>
      <c r="Q139" s="170"/>
      <c r="R139" s="170"/>
      <c r="S139" s="170"/>
      <c r="T139" s="170"/>
      <c r="U139" s="170"/>
      <c r="V139" s="170"/>
      <c r="W139" s="170"/>
      <c r="X139" s="219"/>
      <c r="AF139" s="218">
        <f>69120</f>
        <v>69120</v>
      </c>
    </row>
    <row r="140" spans="1:32">
      <c r="A140" s="35" t="s">
        <v>342</v>
      </c>
      <c r="B140" s="176" t="s">
        <v>343</v>
      </c>
      <c r="C140" s="176" t="s">
        <v>103</v>
      </c>
      <c r="D140" s="176" t="s">
        <v>109</v>
      </c>
      <c r="E140" s="176" t="s">
        <v>118</v>
      </c>
      <c r="F140" s="176"/>
      <c r="G140" s="167"/>
      <c r="H140" s="413">
        <v>5478</v>
      </c>
      <c r="I140" s="414">
        <v>0</v>
      </c>
      <c r="J140" s="415">
        <f t="shared" ref="J140:J155" si="28">H140*(1+I140)</f>
        <v>5478</v>
      </c>
      <c r="K140" s="416">
        <f t="shared" ref="K140:K155" si="29">J140*G140</f>
        <v>0</v>
      </c>
      <c r="M140" s="170"/>
      <c r="N140" s="170"/>
      <c r="O140" s="170"/>
      <c r="P140" s="170"/>
      <c r="Q140" s="170"/>
      <c r="R140" s="170"/>
      <c r="S140" s="170"/>
      <c r="T140" s="170"/>
      <c r="U140" s="170"/>
      <c r="V140" s="170"/>
      <c r="W140" s="170"/>
      <c r="X140" s="219"/>
      <c r="AF140" s="218">
        <v>64800</v>
      </c>
    </row>
    <row r="141" spans="1:32">
      <c r="A141" s="37" t="s">
        <v>344</v>
      </c>
      <c r="B141" s="164" t="s">
        <v>345</v>
      </c>
      <c r="C141" s="164" t="s">
        <v>103</v>
      </c>
      <c r="D141" s="164" t="s">
        <v>346</v>
      </c>
      <c r="E141" s="164" t="s">
        <v>127</v>
      </c>
      <c r="F141" s="164" t="s">
        <v>10</v>
      </c>
      <c r="G141" s="167">
        <f>$E$8</f>
        <v>194</v>
      </c>
      <c r="H141" s="185">
        <v>155</v>
      </c>
      <c r="I141" s="216">
        <v>0</v>
      </c>
      <c r="J141" s="185">
        <f t="shared" si="28"/>
        <v>155</v>
      </c>
      <c r="K141" s="217">
        <f t="shared" si="29"/>
        <v>30070</v>
      </c>
      <c r="M141" s="170"/>
      <c r="N141" s="170"/>
      <c r="O141" s="170"/>
      <c r="P141" s="170"/>
      <c r="Q141" s="170"/>
      <c r="R141" s="170"/>
      <c r="S141" s="170"/>
      <c r="T141" s="170"/>
      <c r="U141" s="170"/>
      <c r="V141" s="170"/>
      <c r="W141" s="170"/>
      <c r="X141" s="219"/>
      <c r="AF141" s="218">
        <v>100800</v>
      </c>
    </row>
    <row r="142" spans="1:32">
      <c r="A142" s="37" t="s">
        <v>347</v>
      </c>
      <c r="B142" s="164" t="s">
        <v>348</v>
      </c>
      <c r="C142" s="164" t="s">
        <v>103</v>
      </c>
      <c r="D142" s="164" t="s">
        <v>109</v>
      </c>
      <c r="E142" s="223" t="s">
        <v>110</v>
      </c>
      <c r="F142" s="164" t="s">
        <v>121</v>
      </c>
      <c r="G142" s="161">
        <v>1</v>
      </c>
      <c r="H142" s="185">
        <v>6000</v>
      </c>
      <c r="I142" s="216">
        <v>0</v>
      </c>
      <c r="J142" s="185">
        <f t="shared" si="28"/>
        <v>6000</v>
      </c>
      <c r="K142" s="217">
        <f t="shared" si="29"/>
        <v>6000</v>
      </c>
      <c r="M142" s="170"/>
      <c r="N142" s="170"/>
      <c r="O142" s="170"/>
      <c r="P142" s="170"/>
      <c r="Q142" s="170"/>
      <c r="R142" s="170"/>
      <c r="S142" s="170"/>
      <c r="T142" s="170"/>
      <c r="U142" s="170"/>
      <c r="V142" s="170"/>
      <c r="W142" s="170"/>
      <c r="X142" s="219"/>
      <c r="AF142" s="631">
        <f>SUM(AF139:AF141)</f>
        <v>234720</v>
      </c>
    </row>
    <row r="143" spans="1:32">
      <c r="A143" s="37" t="s">
        <v>349</v>
      </c>
      <c r="B143" s="164" t="s">
        <v>350</v>
      </c>
      <c r="C143" s="164" t="s">
        <v>103</v>
      </c>
      <c r="D143" s="164" t="s">
        <v>109</v>
      </c>
      <c r="E143" s="164" t="s">
        <v>110</v>
      </c>
      <c r="F143" s="164" t="s">
        <v>121</v>
      </c>
      <c r="G143" s="161">
        <v>1</v>
      </c>
      <c r="H143" s="185">
        <v>5000</v>
      </c>
      <c r="I143" s="216">
        <v>0</v>
      </c>
      <c r="J143" s="185">
        <f t="shared" si="28"/>
        <v>5000</v>
      </c>
      <c r="K143" s="217">
        <f t="shared" si="29"/>
        <v>5000</v>
      </c>
      <c r="M143" s="170"/>
      <c r="N143" s="170"/>
      <c r="O143" s="170"/>
      <c r="P143" s="170"/>
      <c r="Q143" s="170"/>
      <c r="R143" s="170"/>
      <c r="S143" s="170"/>
      <c r="T143" s="170"/>
      <c r="U143" s="170"/>
      <c r="V143" s="170"/>
      <c r="W143" s="170"/>
      <c r="X143" s="219"/>
    </row>
    <row r="144" spans="1:32">
      <c r="A144" s="37" t="s">
        <v>351</v>
      </c>
      <c r="B144" s="164" t="s">
        <v>352</v>
      </c>
      <c r="C144" s="164" t="s">
        <v>103</v>
      </c>
      <c r="D144" s="164" t="s">
        <v>353</v>
      </c>
      <c r="E144" s="164" t="s">
        <v>110</v>
      </c>
      <c r="F144" s="164" t="s">
        <v>121</v>
      </c>
      <c r="G144" s="161">
        <v>1</v>
      </c>
      <c r="H144" s="185">
        <v>7000</v>
      </c>
      <c r="I144" s="216">
        <v>0</v>
      </c>
      <c r="J144" s="185">
        <f t="shared" si="28"/>
        <v>7000</v>
      </c>
      <c r="K144" s="217">
        <f t="shared" si="29"/>
        <v>7000</v>
      </c>
      <c r="M144" s="170"/>
      <c r="N144" s="170"/>
      <c r="O144" s="170"/>
      <c r="P144" s="170"/>
      <c r="Q144" s="170"/>
      <c r="R144" s="170"/>
      <c r="S144" s="170"/>
      <c r="T144" s="170"/>
      <c r="U144" s="170"/>
      <c r="V144" s="170"/>
      <c r="W144" s="170"/>
      <c r="X144" s="219"/>
    </row>
    <row r="145" spans="1:24">
      <c r="A145" s="37" t="s">
        <v>354</v>
      </c>
      <c r="B145" s="164" t="s">
        <v>355</v>
      </c>
      <c r="C145" s="164" t="s">
        <v>103</v>
      </c>
      <c r="D145" s="164" t="s">
        <v>115</v>
      </c>
      <c r="E145" s="164" t="s">
        <v>127</v>
      </c>
      <c r="F145" s="164" t="s">
        <v>10</v>
      </c>
      <c r="G145" s="167">
        <f>$E$8+E6+E7</f>
        <v>194</v>
      </c>
      <c r="H145" s="185">
        <v>17</v>
      </c>
      <c r="I145" s="216">
        <v>0</v>
      </c>
      <c r="J145" s="185">
        <f t="shared" si="28"/>
        <v>17</v>
      </c>
      <c r="K145" s="217">
        <f t="shared" si="29"/>
        <v>3298</v>
      </c>
      <c r="M145" s="170"/>
      <c r="N145" s="170"/>
      <c r="O145" s="170"/>
      <c r="P145" s="170"/>
      <c r="Q145" s="170"/>
      <c r="R145" s="170"/>
      <c r="S145" s="170"/>
      <c r="T145" s="170"/>
      <c r="U145" s="170"/>
      <c r="V145" s="170"/>
      <c r="W145" s="170"/>
      <c r="X145" s="219"/>
    </row>
    <row r="146" spans="1:24">
      <c r="A146" s="37" t="s">
        <v>356</v>
      </c>
      <c r="B146" s="164" t="s">
        <v>357</v>
      </c>
      <c r="C146" s="164" t="s">
        <v>103</v>
      </c>
      <c r="D146" s="164" t="s">
        <v>115</v>
      </c>
      <c r="E146" s="164" t="s">
        <v>118</v>
      </c>
      <c r="F146" s="164"/>
      <c r="G146" s="161"/>
      <c r="H146" s="185">
        <v>0</v>
      </c>
      <c r="I146" s="216">
        <v>0</v>
      </c>
      <c r="J146" s="185">
        <f t="shared" si="28"/>
        <v>0</v>
      </c>
      <c r="K146" s="217">
        <f t="shared" si="29"/>
        <v>0</v>
      </c>
      <c r="M146" s="170"/>
      <c r="N146" s="170"/>
      <c r="O146" s="170"/>
      <c r="P146" s="170"/>
      <c r="Q146" s="170"/>
      <c r="R146" s="170"/>
      <c r="S146" s="170"/>
      <c r="T146" s="170"/>
      <c r="U146" s="170"/>
      <c r="V146" s="170"/>
      <c r="W146" s="170"/>
      <c r="X146" s="219"/>
    </row>
    <row r="147" spans="1:24">
      <c r="A147" s="37" t="s">
        <v>358</v>
      </c>
      <c r="B147" s="164" t="s">
        <v>359</v>
      </c>
      <c r="C147" s="164" t="s">
        <v>103</v>
      </c>
      <c r="D147" s="164" t="s">
        <v>115</v>
      </c>
      <c r="E147" s="164" t="s">
        <v>118</v>
      </c>
      <c r="F147" s="164"/>
      <c r="G147" s="161"/>
      <c r="H147" s="185">
        <v>0</v>
      </c>
      <c r="I147" s="216">
        <v>0</v>
      </c>
      <c r="J147" s="185">
        <f t="shared" si="28"/>
        <v>0</v>
      </c>
      <c r="K147" s="217">
        <f t="shared" si="29"/>
        <v>0</v>
      </c>
      <c r="M147" s="170"/>
      <c r="N147" s="170"/>
      <c r="O147" s="170"/>
      <c r="P147" s="170"/>
      <c r="Q147" s="170"/>
      <c r="R147" s="170"/>
      <c r="S147" s="170"/>
      <c r="T147" s="170"/>
      <c r="U147" s="170"/>
      <c r="V147" s="170"/>
      <c r="W147" s="170"/>
      <c r="X147" s="219"/>
    </row>
    <row r="148" spans="1:24">
      <c r="A148" s="37" t="s">
        <v>360</v>
      </c>
      <c r="B148" s="164" t="s">
        <v>361</v>
      </c>
      <c r="C148" s="164" t="s">
        <v>103</v>
      </c>
      <c r="D148" s="164" t="s">
        <v>130</v>
      </c>
      <c r="E148" s="164" t="s">
        <v>118</v>
      </c>
      <c r="F148" s="164"/>
      <c r="G148" s="161"/>
      <c r="H148" s="185">
        <v>0</v>
      </c>
      <c r="I148" s="216">
        <v>0</v>
      </c>
      <c r="J148" s="185">
        <f t="shared" si="28"/>
        <v>0</v>
      </c>
      <c r="K148" s="217">
        <f t="shared" si="29"/>
        <v>0</v>
      </c>
      <c r="M148" s="170"/>
      <c r="N148" s="170"/>
      <c r="O148" s="170"/>
      <c r="P148" s="170"/>
      <c r="Q148" s="170"/>
      <c r="R148" s="170"/>
      <c r="S148" s="170"/>
      <c r="T148" s="170"/>
      <c r="U148" s="170"/>
      <c r="V148" s="170"/>
      <c r="W148" s="170"/>
      <c r="X148" s="219"/>
    </row>
    <row r="149" spans="1:24">
      <c r="A149" s="37" t="s">
        <v>362</v>
      </c>
      <c r="B149" s="164" t="s">
        <v>363</v>
      </c>
      <c r="C149" s="164" t="s">
        <v>103</v>
      </c>
      <c r="D149" s="164" t="s">
        <v>130</v>
      </c>
      <c r="E149" s="164" t="s">
        <v>306</v>
      </c>
      <c r="F149" s="164" t="s">
        <v>121</v>
      </c>
      <c r="G149" s="161">
        <v>2</v>
      </c>
      <c r="H149" s="185">
        <v>3360</v>
      </c>
      <c r="I149" s="216">
        <v>0</v>
      </c>
      <c r="J149" s="185">
        <f t="shared" si="28"/>
        <v>3360</v>
      </c>
      <c r="K149" s="217">
        <f t="shared" si="29"/>
        <v>6720</v>
      </c>
      <c r="M149" s="170"/>
      <c r="N149" s="170"/>
      <c r="O149" s="170"/>
      <c r="P149" s="170"/>
      <c r="Q149" s="170"/>
      <c r="R149" s="170"/>
      <c r="S149" s="170"/>
      <c r="T149" s="170"/>
      <c r="U149" s="170"/>
      <c r="V149" s="170"/>
      <c r="W149" s="170"/>
      <c r="X149" s="219"/>
    </row>
    <row r="150" spans="1:24">
      <c r="A150" s="37" t="s">
        <v>364</v>
      </c>
      <c r="B150" s="164" t="s">
        <v>365</v>
      </c>
      <c r="C150" s="164" t="s">
        <v>103</v>
      </c>
      <c r="D150" s="164" t="s">
        <v>109</v>
      </c>
      <c r="E150" s="164" t="s">
        <v>110</v>
      </c>
      <c r="F150" s="164" t="s">
        <v>121</v>
      </c>
      <c r="G150" s="161">
        <v>1</v>
      </c>
      <c r="H150" s="185">
        <v>2000</v>
      </c>
      <c r="I150" s="216">
        <v>0</v>
      </c>
      <c r="J150" s="185">
        <f t="shared" si="28"/>
        <v>2000</v>
      </c>
      <c r="K150" s="217">
        <f t="shared" si="29"/>
        <v>2000</v>
      </c>
      <c r="M150" s="170"/>
      <c r="N150" s="170"/>
      <c r="O150" s="170"/>
      <c r="P150" s="170"/>
      <c r="Q150" s="170"/>
      <c r="R150" s="170"/>
      <c r="S150" s="170"/>
      <c r="T150" s="170"/>
      <c r="U150" s="170"/>
      <c r="V150" s="170"/>
      <c r="W150" s="170"/>
      <c r="X150" s="219"/>
    </row>
    <row r="151" spans="1:24">
      <c r="A151" s="37" t="s">
        <v>366</v>
      </c>
      <c r="B151" s="164" t="s">
        <v>367</v>
      </c>
      <c r="C151" s="164" t="s">
        <v>103</v>
      </c>
      <c r="D151" s="164" t="s">
        <v>115</v>
      </c>
      <c r="E151" s="164" t="s">
        <v>110</v>
      </c>
      <c r="F151" s="164" t="s">
        <v>121</v>
      </c>
      <c r="G151" s="167">
        <v>1</v>
      </c>
      <c r="H151" s="185">
        <v>15000</v>
      </c>
      <c r="I151" s="216">
        <v>0</v>
      </c>
      <c r="J151" s="185">
        <f t="shared" si="28"/>
        <v>15000</v>
      </c>
      <c r="K151" s="217">
        <f t="shared" si="29"/>
        <v>15000</v>
      </c>
      <c r="M151" s="170" t="s">
        <v>862</v>
      </c>
      <c r="N151" s="170"/>
      <c r="O151" s="170"/>
      <c r="P151" s="170"/>
      <c r="Q151" s="170"/>
      <c r="R151" s="170"/>
      <c r="S151" s="170"/>
      <c r="T151" s="170"/>
      <c r="U151" s="170"/>
      <c r="V151" s="170"/>
      <c r="W151" s="170"/>
      <c r="X151" s="219"/>
    </row>
    <row r="152" spans="1:24">
      <c r="A152" s="37" t="s">
        <v>368</v>
      </c>
      <c r="B152" s="164" t="s">
        <v>369</v>
      </c>
      <c r="C152" s="164" t="s">
        <v>103</v>
      </c>
      <c r="D152" s="164" t="s">
        <v>115</v>
      </c>
      <c r="E152" s="164" t="s">
        <v>370</v>
      </c>
      <c r="F152" s="164" t="s">
        <v>10</v>
      </c>
      <c r="G152" s="167">
        <f>$E$8</f>
        <v>194</v>
      </c>
      <c r="H152" s="185">
        <v>153</v>
      </c>
      <c r="I152" s="216">
        <v>0</v>
      </c>
      <c r="J152" s="185">
        <f t="shared" si="28"/>
        <v>153</v>
      </c>
      <c r="K152" s="217">
        <f t="shared" si="29"/>
        <v>29682</v>
      </c>
      <c r="M152" s="170"/>
      <c r="N152" s="170"/>
      <c r="O152" s="170"/>
      <c r="P152" s="170"/>
      <c r="Q152" s="170"/>
      <c r="R152" s="170"/>
      <c r="S152" s="170"/>
      <c r="T152" s="170"/>
      <c r="U152" s="170"/>
      <c r="V152" s="170"/>
      <c r="W152" s="170"/>
      <c r="X152" s="219"/>
    </row>
    <row r="153" spans="1:24">
      <c r="A153" s="37" t="s">
        <v>371</v>
      </c>
      <c r="B153" s="164" t="s">
        <v>372</v>
      </c>
      <c r="C153" s="164" t="s">
        <v>103</v>
      </c>
      <c r="D153" s="164" t="s">
        <v>115</v>
      </c>
      <c r="E153" s="164" t="s">
        <v>116</v>
      </c>
      <c r="F153" s="164" t="s">
        <v>10</v>
      </c>
      <c r="G153" s="167">
        <f>$E$8</f>
        <v>194</v>
      </c>
      <c r="H153" s="185">
        <v>220</v>
      </c>
      <c r="I153" s="216">
        <v>0</v>
      </c>
      <c r="J153" s="185">
        <f t="shared" si="28"/>
        <v>220</v>
      </c>
      <c r="K153" s="217">
        <f t="shared" si="29"/>
        <v>42680</v>
      </c>
      <c r="M153" s="170"/>
      <c r="N153" s="170"/>
      <c r="O153" s="170"/>
      <c r="P153" s="170"/>
      <c r="Q153" s="170"/>
      <c r="R153" s="170"/>
      <c r="S153" s="170"/>
      <c r="T153" s="170"/>
      <c r="U153" s="170"/>
      <c r="V153" s="170"/>
      <c r="W153" s="170"/>
      <c r="X153" s="219"/>
    </row>
    <row r="154" spans="1:24">
      <c r="A154" s="37" t="s">
        <v>373</v>
      </c>
      <c r="B154" s="164" t="s">
        <v>374</v>
      </c>
      <c r="C154" s="164" t="s">
        <v>103</v>
      </c>
      <c r="D154" s="164" t="s">
        <v>115</v>
      </c>
      <c r="E154" s="164" t="s">
        <v>116</v>
      </c>
      <c r="F154" s="164" t="s">
        <v>32</v>
      </c>
      <c r="G154" s="161">
        <f>8+4+3+2+2+2</f>
        <v>21</v>
      </c>
      <c r="H154" s="185">
        <v>2500</v>
      </c>
      <c r="I154" s="216">
        <v>0</v>
      </c>
      <c r="J154" s="185">
        <f t="shared" si="28"/>
        <v>2500</v>
      </c>
      <c r="K154" s="217">
        <f t="shared" si="29"/>
        <v>52500</v>
      </c>
      <c r="M154" s="170"/>
      <c r="N154" s="170"/>
      <c r="O154" s="170"/>
      <c r="P154" s="170"/>
      <c r="Q154" s="170"/>
      <c r="R154" s="170"/>
      <c r="S154" s="170"/>
      <c r="T154" s="170"/>
      <c r="U154" s="170"/>
      <c r="V154" s="170"/>
      <c r="W154" s="170"/>
      <c r="X154" s="219"/>
    </row>
    <row r="155" spans="1:24">
      <c r="A155" s="37" t="s">
        <v>377</v>
      </c>
      <c r="B155" s="164" t="s">
        <v>374</v>
      </c>
      <c r="C155" s="164" t="s">
        <v>103</v>
      </c>
      <c r="D155" s="164" t="s">
        <v>115</v>
      </c>
      <c r="E155" s="164" t="s">
        <v>116</v>
      </c>
      <c r="F155" s="164" t="s">
        <v>32</v>
      </c>
      <c r="G155" s="161">
        <v>4</v>
      </c>
      <c r="H155" s="185">
        <v>8500</v>
      </c>
      <c r="I155" s="216">
        <v>0</v>
      </c>
      <c r="J155" s="185">
        <f t="shared" si="28"/>
        <v>8500</v>
      </c>
      <c r="K155" s="531">
        <f t="shared" si="29"/>
        <v>34000</v>
      </c>
      <c r="M155" s="170" t="s">
        <v>839</v>
      </c>
      <c r="N155" s="170"/>
      <c r="O155" s="170"/>
      <c r="P155" s="170"/>
      <c r="Q155" s="170"/>
      <c r="R155" s="170"/>
      <c r="S155" s="170"/>
      <c r="T155" s="170"/>
      <c r="U155" s="170"/>
      <c r="V155" s="170"/>
      <c r="W155" s="170"/>
      <c r="X155" s="219"/>
    </row>
    <row r="156" spans="1:24">
      <c r="A156" s="33" t="s">
        <v>378</v>
      </c>
      <c r="B156" s="305" t="s">
        <v>379</v>
      </c>
      <c r="C156" s="305"/>
      <c r="D156" s="305"/>
      <c r="E156" s="305"/>
      <c r="F156" s="305"/>
      <c r="G156" s="306"/>
      <c r="H156" s="307"/>
      <c r="I156" s="308"/>
      <c r="J156" s="307"/>
      <c r="K156" s="421"/>
      <c r="L156" s="230">
        <f>SUM(K157)</f>
        <v>621090.50256410253</v>
      </c>
      <c r="M156" s="170"/>
      <c r="N156" s="170"/>
      <c r="O156" s="170"/>
      <c r="P156" s="170"/>
      <c r="Q156" s="170"/>
      <c r="R156" s="170"/>
      <c r="S156" s="170"/>
      <c r="T156" s="170"/>
      <c r="U156" s="170"/>
      <c r="V156" s="170"/>
      <c r="W156" s="170"/>
      <c r="X156" s="219"/>
    </row>
    <row r="157" spans="1:24">
      <c r="A157" s="34" t="s">
        <v>380</v>
      </c>
      <c r="B157" s="226" t="s">
        <v>381</v>
      </c>
      <c r="C157" s="226" t="s">
        <v>103</v>
      </c>
      <c r="D157" s="226" t="s">
        <v>115</v>
      </c>
      <c r="E157" s="226" t="s">
        <v>195</v>
      </c>
      <c r="F157" s="226" t="s">
        <v>10</v>
      </c>
      <c r="G157" s="168">
        <f>$E$8</f>
        <v>194</v>
      </c>
      <c r="H157" s="225">
        <v>3201.4974358974359</v>
      </c>
      <c r="I157" s="311">
        <v>0</v>
      </c>
      <c r="J157" s="312">
        <f t="shared" ref="J157" si="30">H157*(1+I157)</f>
        <v>3201.4974358974359</v>
      </c>
      <c r="K157" s="356">
        <f>J157*G157</f>
        <v>621090.50256410253</v>
      </c>
      <c r="L157" s="540"/>
      <c r="M157" s="530" t="s">
        <v>863</v>
      </c>
      <c r="N157" s="170"/>
      <c r="O157" s="170"/>
      <c r="P157" s="170"/>
      <c r="Q157" s="170"/>
      <c r="R157" s="170"/>
      <c r="S157" s="170"/>
      <c r="T157" s="170"/>
      <c r="U157" s="170"/>
      <c r="V157" s="170"/>
      <c r="W157" s="170"/>
      <c r="X157" s="219"/>
    </row>
    <row r="158" spans="1:24">
      <c r="A158" s="33" t="s">
        <v>382</v>
      </c>
      <c r="B158" s="305" t="s">
        <v>383</v>
      </c>
      <c r="C158" s="305"/>
      <c r="D158" s="305"/>
      <c r="E158" s="343"/>
      <c r="F158" s="343"/>
      <c r="G158" s="147"/>
      <c r="H158" s="344"/>
      <c r="I158" s="345"/>
      <c r="J158" s="344"/>
      <c r="K158" s="346"/>
      <c r="L158" s="328">
        <f>SUM(K159:K166)</f>
        <v>1046615.3613445379</v>
      </c>
      <c r="M158" s="170"/>
      <c r="N158" s="170"/>
      <c r="O158" s="170"/>
      <c r="P158" s="170"/>
      <c r="Q158" s="170"/>
      <c r="R158" s="170"/>
      <c r="S158" s="170"/>
      <c r="T158" s="170"/>
      <c r="U158" s="170"/>
      <c r="V158" s="170"/>
      <c r="W158" s="170"/>
      <c r="X158" s="219"/>
    </row>
    <row r="159" spans="1:24">
      <c r="A159" s="35" t="s">
        <v>184</v>
      </c>
      <c r="B159" s="176" t="s">
        <v>384</v>
      </c>
      <c r="C159" s="176" t="s">
        <v>103</v>
      </c>
      <c r="D159" s="176" t="s">
        <v>186</v>
      </c>
      <c r="E159" s="176" t="s">
        <v>118</v>
      </c>
      <c r="F159" s="176">
        <v>0</v>
      </c>
      <c r="G159" s="167">
        <v>0</v>
      </c>
      <c r="H159" s="413">
        <v>0</v>
      </c>
      <c r="I159" s="414">
        <v>0</v>
      </c>
      <c r="J159" s="415">
        <f t="shared" ref="J159:J166" si="31">H159*(1+I159)</f>
        <v>0</v>
      </c>
      <c r="K159" s="416">
        <f t="shared" ref="K159:K166" si="32">J159*G159</f>
        <v>0</v>
      </c>
      <c r="M159" s="170" t="s">
        <v>864</v>
      </c>
      <c r="N159" s="170"/>
      <c r="O159" s="170"/>
      <c r="P159" s="170"/>
      <c r="Q159" s="170"/>
      <c r="R159" s="170"/>
      <c r="S159" s="170"/>
      <c r="T159" s="170"/>
      <c r="U159" s="170"/>
      <c r="V159" s="170"/>
      <c r="W159" s="170"/>
      <c r="X159" s="219"/>
    </row>
    <row r="160" spans="1:24">
      <c r="A160" s="37" t="s">
        <v>385</v>
      </c>
      <c r="B160" s="164" t="s">
        <v>386</v>
      </c>
      <c r="C160" s="164" t="s">
        <v>103</v>
      </c>
      <c r="D160" s="164" t="s">
        <v>115</v>
      </c>
      <c r="E160" s="164" t="s">
        <v>246</v>
      </c>
      <c r="F160" s="164" t="s">
        <v>235</v>
      </c>
      <c r="G160" s="167">
        <f>$E$8</f>
        <v>194</v>
      </c>
      <c r="H160" s="185">
        <v>377.77731092436977</v>
      </c>
      <c r="I160" s="216">
        <v>0</v>
      </c>
      <c r="J160" s="185">
        <f t="shared" si="31"/>
        <v>377.77731092436977</v>
      </c>
      <c r="K160" s="217">
        <f t="shared" si="32"/>
        <v>73288.798319327732</v>
      </c>
      <c r="M160" s="357" t="s">
        <v>865</v>
      </c>
      <c r="N160" s="357"/>
      <c r="O160" s="357"/>
      <c r="P160" s="357"/>
      <c r="Q160" s="357"/>
      <c r="R160" s="357"/>
      <c r="S160" s="357"/>
      <c r="T160" s="357"/>
      <c r="U160" s="357"/>
      <c r="V160" s="357"/>
      <c r="W160" s="357"/>
      <c r="X160" s="219"/>
    </row>
    <row r="161" spans="1:24">
      <c r="A161" s="37" t="s">
        <v>387</v>
      </c>
      <c r="B161" s="164" t="s">
        <v>388</v>
      </c>
      <c r="C161" s="164" t="s">
        <v>103</v>
      </c>
      <c r="D161" s="164" t="s">
        <v>115</v>
      </c>
      <c r="E161" s="164" t="s">
        <v>246</v>
      </c>
      <c r="F161" s="164" t="s">
        <v>10</v>
      </c>
      <c r="G161" s="167">
        <f>$E$8</f>
        <v>194</v>
      </c>
      <c r="H161" s="185">
        <v>3148</v>
      </c>
      <c r="I161" s="216">
        <v>0</v>
      </c>
      <c r="J161" s="185">
        <f t="shared" si="31"/>
        <v>3148</v>
      </c>
      <c r="K161" s="541">
        <f t="shared" si="32"/>
        <v>610712</v>
      </c>
      <c r="M161" s="170" t="s">
        <v>866</v>
      </c>
      <c r="N161" s="170"/>
      <c r="O161" s="170"/>
      <c r="P161" s="170"/>
      <c r="Q161" s="170"/>
      <c r="R161" s="170"/>
      <c r="S161" s="170"/>
      <c r="T161" s="170"/>
      <c r="U161" s="170"/>
      <c r="V161" s="170"/>
      <c r="W161" s="170"/>
      <c r="X161" s="219"/>
    </row>
    <row r="162" spans="1:24">
      <c r="A162" s="37" t="s">
        <v>389</v>
      </c>
      <c r="B162" s="164" t="s">
        <v>390</v>
      </c>
      <c r="C162" s="164" t="s">
        <v>103</v>
      </c>
      <c r="D162" s="164" t="s">
        <v>115</v>
      </c>
      <c r="E162" s="164" t="s">
        <v>110</v>
      </c>
      <c r="F162" s="164" t="s">
        <v>121</v>
      </c>
      <c r="G162" s="161">
        <v>1</v>
      </c>
      <c r="H162" s="185">
        <v>17500</v>
      </c>
      <c r="I162" s="216">
        <v>0</v>
      </c>
      <c r="J162" s="185">
        <f t="shared" si="31"/>
        <v>17500</v>
      </c>
      <c r="K162" s="217">
        <f t="shared" si="32"/>
        <v>17500</v>
      </c>
      <c r="M162" s="170"/>
      <c r="N162" s="170"/>
      <c r="O162" s="170"/>
      <c r="P162" s="170"/>
      <c r="Q162" s="170"/>
      <c r="R162" s="170"/>
      <c r="S162" s="170"/>
      <c r="T162" s="170"/>
      <c r="U162" s="170"/>
      <c r="V162" s="170"/>
      <c r="W162" s="170"/>
      <c r="X162" s="219"/>
    </row>
    <row r="163" spans="1:24">
      <c r="A163" s="37" t="s">
        <v>391</v>
      </c>
      <c r="B163" s="164" t="s">
        <v>392</v>
      </c>
      <c r="C163" s="164" t="s">
        <v>103</v>
      </c>
      <c r="D163" s="164" t="s">
        <v>115</v>
      </c>
      <c r="E163" s="164" t="s">
        <v>246</v>
      </c>
      <c r="F163" s="164" t="s">
        <v>10</v>
      </c>
      <c r="G163" s="167">
        <f>$E$8</f>
        <v>194</v>
      </c>
      <c r="H163" s="185">
        <v>1567.6008403361345</v>
      </c>
      <c r="I163" s="216">
        <v>0</v>
      </c>
      <c r="J163" s="185">
        <f t="shared" si="31"/>
        <v>1567.6008403361345</v>
      </c>
      <c r="K163" s="531">
        <f t="shared" si="32"/>
        <v>304114.56302521011</v>
      </c>
      <c r="M163" s="170"/>
      <c r="N163" s="170"/>
      <c r="O163" s="170"/>
      <c r="P163" s="170"/>
      <c r="Q163" s="170"/>
      <c r="R163" s="170"/>
      <c r="S163" s="170"/>
      <c r="T163" s="170"/>
      <c r="U163" s="170"/>
      <c r="V163" s="170"/>
      <c r="W163" s="170"/>
      <c r="X163" s="219"/>
    </row>
    <row r="164" spans="1:24">
      <c r="A164" s="37" t="s">
        <v>394</v>
      </c>
      <c r="B164" s="164" t="s">
        <v>395</v>
      </c>
      <c r="C164" s="164" t="s">
        <v>281</v>
      </c>
      <c r="D164" s="164" t="s">
        <v>115</v>
      </c>
      <c r="E164" s="164" t="s">
        <v>110</v>
      </c>
      <c r="F164" s="164" t="s">
        <v>121</v>
      </c>
      <c r="G164" s="161">
        <v>1</v>
      </c>
      <c r="H164" s="185">
        <v>35000</v>
      </c>
      <c r="I164" s="216">
        <v>0</v>
      </c>
      <c r="J164" s="185">
        <f t="shared" si="31"/>
        <v>35000</v>
      </c>
      <c r="K164" s="217">
        <f t="shared" si="32"/>
        <v>35000</v>
      </c>
      <c r="M164" s="170"/>
      <c r="N164" s="170"/>
      <c r="O164" s="170"/>
      <c r="P164" s="170"/>
      <c r="Q164" s="170"/>
      <c r="R164" s="170"/>
      <c r="S164" s="170"/>
      <c r="T164" s="170"/>
      <c r="U164" s="170"/>
      <c r="V164" s="170"/>
      <c r="W164" s="170"/>
      <c r="X164" s="219"/>
    </row>
    <row r="165" spans="1:24">
      <c r="A165" s="37" t="s">
        <v>397</v>
      </c>
      <c r="B165" s="164" t="s">
        <v>398</v>
      </c>
      <c r="C165" s="164" t="s">
        <v>103</v>
      </c>
      <c r="D165" s="164" t="s">
        <v>130</v>
      </c>
      <c r="E165" s="164" t="s">
        <v>118</v>
      </c>
      <c r="F165" s="164"/>
      <c r="G165" s="161"/>
      <c r="H165" s="185"/>
      <c r="I165" s="216">
        <v>0</v>
      </c>
      <c r="J165" s="185">
        <f t="shared" si="31"/>
        <v>0</v>
      </c>
      <c r="K165" s="217">
        <f t="shared" si="32"/>
        <v>0</v>
      </c>
      <c r="M165" s="170"/>
      <c r="N165" s="170"/>
      <c r="O165" s="170"/>
      <c r="P165" s="170"/>
      <c r="Q165" s="170"/>
      <c r="R165" s="170"/>
      <c r="S165" s="170"/>
      <c r="T165" s="170"/>
      <c r="U165" s="170"/>
      <c r="V165" s="170"/>
      <c r="W165" s="170"/>
      <c r="X165" s="219"/>
    </row>
    <row r="166" spans="1:24">
      <c r="A166" s="37" t="s">
        <v>399</v>
      </c>
      <c r="B166" s="164" t="s">
        <v>400</v>
      </c>
      <c r="C166" s="164" t="s">
        <v>103</v>
      </c>
      <c r="D166" s="164" t="s">
        <v>130</v>
      </c>
      <c r="E166" s="164" t="s">
        <v>110</v>
      </c>
      <c r="F166" s="164" t="s">
        <v>121</v>
      </c>
      <c r="G166" s="161">
        <v>1</v>
      </c>
      <c r="H166" s="185">
        <v>6000</v>
      </c>
      <c r="I166" s="216">
        <v>0</v>
      </c>
      <c r="J166" s="185">
        <f t="shared" si="31"/>
        <v>6000</v>
      </c>
      <c r="K166" s="217">
        <f t="shared" si="32"/>
        <v>6000</v>
      </c>
      <c r="M166" s="170"/>
      <c r="N166" s="170"/>
      <c r="O166" s="170"/>
      <c r="P166" s="170"/>
      <c r="Q166" s="170"/>
      <c r="R166" s="170"/>
      <c r="S166" s="170"/>
      <c r="T166" s="170"/>
      <c r="U166" s="170"/>
      <c r="V166" s="170"/>
      <c r="W166" s="170"/>
      <c r="X166" s="219"/>
    </row>
    <row r="167" spans="1:24">
      <c r="A167" s="33" t="s">
        <v>402</v>
      </c>
      <c r="B167" s="305" t="s">
        <v>403</v>
      </c>
      <c r="C167" s="305"/>
      <c r="D167" s="305"/>
      <c r="E167" s="343"/>
      <c r="F167" s="343"/>
      <c r="G167" s="147"/>
      <c r="H167" s="344"/>
      <c r="I167" s="345"/>
      <c r="J167" s="344"/>
      <c r="K167" s="346"/>
      <c r="L167" s="230">
        <f>SUM(K168:K170)</f>
        <v>572485</v>
      </c>
      <c r="M167" s="170"/>
      <c r="N167" s="170"/>
      <c r="O167" s="170"/>
      <c r="P167" s="170"/>
      <c r="Q167" s="170"/>
      <c r="R167" s="170"/>
      <c r="S167" s="170"/>
      <c r="T167" s="170"/>
      <c r="U167" s="170"/>
      <c r="V167" s="170"/>
      <c r="W167" s="170"/>
      <c r="X167" s="219"/>
    </row>
    <row r="168" spans="1:24">
      <c r="A168" s="35" t="s">
        <v>404</v>
      </c>
      <c r="B168" s="176" t="s">
        <v>405</v>
      </c>
      <c r="C168" s="176" t="s">
        <v>103</v>
      </c>
      <c r="D168" s="176" t="s">
        <v>130</v>
      </c>
      <c r="E168" s="176" t="s">
        <v>116</v>
      </c>
      <c r="F168" s="176" t="s">
        <v>121</v>
      </c>
      <c r="G168" s="167">
        <f>$O$7</f>
        <v>1</v>
      </c>
      <c r="H168" s="413">
        <v>245000</v>
      </c>
      <c r="I168" s="414">
        <v>0</v>
      </c>
      <c r="J168" s="415">
        <f t="shared" ref="J168:J170" si="33">H168*(1+I168)</f>
        <v>245000</v>
      </c>
      <c r="K168" s="416">
        <f>J168*G168</f>
        <v>245000</v>
      </c>
      <c r="M168" s="170"/>
      <c r="N168" s="170"/>
      <c r="O168" s="170"/>
      <c r="P168" s="170"/>
      <c r="Q168" s="170"/>
      <c r="R168" s="170"/>
      <c r="S168" s="170"/>
      <c r="T168" s="170"/>
      <c r="U168" s="170"/>
      <c r="V168" s="170"/>
      <c r="W168" s="170"/>
      <c r="X168" s="219"/>
    </row>
    <row r="169" spans="1:24">
      <c r="A169" s="37" t="s">
        <v>68</v>
      </c>
      <c r="B169" s="164" t="s">
        <v>406</v>
      </c>
      <c r="C169" s="164" t="s">
        <v>103</v>
      </c>
      <c r="D169" s="164" t="s">
        <v>346</v>
      </c>
      <c r="E169" s="164" t="s">
        <v>195</v>
      </c>
      <c r="F169" s="164" t="s">
        <v>121</v>
      </c>
      <c r="G169" s="161">
        <v>1</v>
      </c>
      <c r="H169" s="185">
        <f>Sheet3!F13</f>
        <v>320436</v>
      </c>
      <c r="I169" s="216">
        <v>0</v>
      </c>
      <c r="J169" s="185">
        <f t="shared" si="33"/>
        <v>320436</v>
      </c>
      <c r="K169" s="217">
        <f>J169*G169</f>
        <v>320436</v>
      </c>
      <c r="M169" s="170" t="s">
        <v>867</v>
      </c>
      <c r="N169" s="170"/>
      <c r="O169" s="170"/>
      <c r="P169" s="170"/>
      <c r="Q169" s="170"/>
      <c r="R169" s="170"/>
      <c r="S169" s="170"/>
      <c r="T169" s="170"/>
      <c r="U169" s="170"/>
      <c r="V169" s="170"/>
      <c r="W169" s="170"/>
      <c r="X169" s="219"/>
    </row>
    <row r="170" spans="1:24">
      <c r="A170" s="37" t="s">
        <v>408</v>
      </c>
      <c r="B170" s="164" t="s">
        <v>409</v>
      </c>
      <c r="C170" s="164" t="s">
        <v>103</v>
      </c>
      <c r="D170" s="164" t="s">
        <v>135</v>
      </c>
      <c r="E170" s="164" t="s">
        <v>246</v>
      </c>
      <c r="F170" s="164" t="s">
        <v>32</v>
      </c>
      <c r="G170" s="161">
        <f>$O$7</f>
        <v>1</v>
      </c>
      <c r="H170" s="185">
        <v>7049</v>
      </c>
      <c r="I170" s="216">
        <v>0</v>
      </c>
      <c r="J170" s="185">
        <f t="shared" si="33"/>
        <v>7049</v>
      </c>
      <c r="K170" s="217">
        <f>J170*G170</f>
        <v>7049</v>
      </c>
      <c r="M170" s="170"/>
      <c r="N170" s="170"/>
      <c r="O170" s="170"/>
      <c r="P170" s="170"/>
      <c r="Q170" s="170"/>
      <c r="R170" s="170"/>
      <c r="S170" s="170"/>
      <c r="T170" s="170"/>
      <c r="U170" s="170"/>
      <c r="V170" s="170"/>
      <c r="W170" s="170"/>
      <c r="X170" s="219"/>
    </row>
    <row r="171" spans="1:24">
      <c r="A171" s="33" t="s">
        <v>410</v>
      </c>
      <c r="B171" s="305" t="s">
        <v>411</v>
      </c>
      <c r="C171" s="305"/>
      <c r="D171" s="305"/>
      <c r="E171" s="343"/>
      <c r="F171" s="343"/>
      <c r="G171" s="147"/>
      <c r="H171" s="344"/>
      <c r="I171" s="345"/>
      <c r="J171" s="344"/>
      <c r="K171" s="346"/>
      <c r="L171" s="230">
        <f>SUM(K172)</f>
        <v>0</v>
      </c>
      <c r="M171" s="170"/>
      <c r="N171" s="170"/>
      <c r="O171" s="170"/>
      <c r="P171" s="170"/>
      <c r="Q171" s="170"/>
      <c r="R171" s="170"/>
      <c r="S171" s="170"/>
      <c r="T171" s="170"/>
      <c r="U171" s="170"/>
      <c r="V171" s="170"/>
      <c r="W171" s="170"/>
      <c r="X171" s="219"/>
    </row>
    <row r="172" spans="1:24">
      <c r="A172" s="34" t="s">
        <v>410</v>
      </c>
      <c r="B172" s="226" t="s">
        <v>411</v>
      </c>
      <c r="C172" s="226" t="s">
        <v>103</v>
      </c>
      <c r="D172" s="226" t="s">
        <v>115</v>
      </c>
      <c r="E172" s="226" t="s">
        <v>118</v>
      </c>
      <c r="F172" s="226"/>
      <c r="G172" s="168"/>
      <c r="H172" s="225"/>
      <c r="I172" s="311">
        <v>0</v>
      </c>
      <c r="J172" s="312">
        <f t="shared" ref="J172" si="34">H172*(1+I172)</f>
        <v>0</v>
      </c>
      <c r="K172" s="313">
        <f>J172*G172</f>
        <v>0</v>
      </c>
      <c r="M172" s="170"/>
      <c r="N172" s="170"/>
      <c r="O172" s="170"/>
      <c r="P172" s="170"/>
      <c r="Q172" s="170"/>
      <c r="R172" s="170"/>
      <c r="S172" s="170"/>
      <c r="T172" s="170"/>
      <c r="U172" s="170"/>
      <c r="V172" s="170"/>
      <c r="W172" s="170"/>
      <c r="X172" s="219"/>
    </row>
    <row r="173" spans="1:24">
      <c r="A173" s="33" t="s">
        <v>412</v>
      </c>
      <c r="B173" s="305" t="s">
        <v>413</v>
      </c>
      <c r="C173" s="305"/>
      <c r="D173" s="305"/>
      <c r="E173" s="343"/>
      <c r="F173" s="343"/>
      <c r="G173" s="147"/>
      <c r="H173" s="344"/>
      <c r="I173" s="345"/>
      <c r="J173" s="344"/>
      <c r="K173" s="346"/>
      <c r="L173" s="230">
        <f>SUM(K174:K175)</f>
        <v>323200</v>
      </c>
      <c r="M173" s="170"/>
      <c r="N173" s="170"/>
      <c r="O173" s="170"/>
      <c r="P173" s="170"/>
      <c r="Q173" s="170"/>
      <c r="R173" s="170"/>
      <c r="S173" s="170"/>
      <c r="T173" s="170"/>
      <c r="U173" s="170"/>
      <c r="V173" s="170"/>
      <c r="W173" s="170"/>
      <c r="X173" s="219"/>
    </row>
    <row r="174" spans="1:24">
      <c r="A174" s="35" t="s">
        <v>414</v>
      </c>
      <c r="B174" s="176" t="s">
        <v>415</v>
      </c>
      <c r="C174" s="176" t="s">
        <v>103</v>
      </c>
      <c r="D174" s="176" t="s">
        <v>115</v>
      </c>
      <c r="E174" s="176" t="s">
        <v>116</v>
      </c>
      <c r="F174" s="176" t="s">
        <v>416</v>
      </c>
      <c r="G174" s="167">
        <v>8</v>
      </c>
      <c r="H174" s="413">
        <v>38775</v>
      </c>
      <c r="I174" s="414">
        <v>0</v>
      </c>
      <c r="J174" s="415">
        <f t="shared" ref="J174:J175" si="35">H174*(1+I174)</f>
        <v>38775</v>
      </c>
      <c r="K174" s="416">
        <f>J174*G174</f>
        <v>310200</v>
      </c>
      <c r="M174" s="170" t="s">
        <v>868</v>
      </c>
      <c r="N174" s="170"/>
      <c r="O174" s="170"/>
      <c r="P174" s="170"/>
      <c r="Q174" s="170"/>
      <c r="R174" s="170"/>
      <c r="S174" s="170"/>
      <c r="T174" s="170"/>
      <c r="U174" s="170"/>
      <c r="V174" s="170"/>
      <c r="W174" s="170"/>
      <c r="X174" s="219"/>
    </row>
    <row r="175" spans="1:24">
      <c r="A175" s="37" t="s">
        <v>417</v>
      </c>
      <c r="B175" s="164" t="s">
        <v>418</v>
      </c>
      <c r="C175" s="164" t="s">
        <v>103</v>
      </c>
      <c r="D175" s="164" t="s">
        <v>130</v>
      </c>
      <c r="E175" s="164" t="s">
        <v>110</v>
      </c>
      <c r="F175" s="164" t="s">
        <v>32</v>
      </c>
      <c r="G175" s="161">
        <f>$O$7*2</f>
        <v>2</v>
      </c>
      <c r="H175" s="185">
        <v>6500</v>
      </c>
      <c r="I175" s="216">
        <v>0</v>
      </c>
      <c r="J175" s="185">
        <f t="shared" si="35"/>
        <v>6500</v>
      </c>
      <c r="K175" s="217">
        <f>J175*G175</f>
        <v>13000</v>
      </c>
      <c r="M175" s="170"/>
      <c r="N175" s="170"/>
      <c r="O175" s="170"/>
      <c r="P175" s="170"/>
      <c r="Q175" s="170"/>
      <c r="R175" s="170"/>
      <c r="S175" s="170"/>
      <c r="T175" s="170"/>
      <c r="U175" s="170"/>
      <c r="V175" s="170"/>
      <c r="W175" s="170"/>
      <c r="X175" s="219"/>
    </row>
    <row r="176" spans="1:24">
      <c r="A176" s="33" t="s">
        <v>419</v>
      </c>
      <c r="B176" s="305" t="s">
        <v>420</v>
      </c>
      <c r="C176" s="305"/>
      <c r="D176" s="305"/>
      <c r="E176" s="305"/>
      <c r="F176" s="305"/>
      <c r="G176" s="306"/>
      <c r="H176" s="307"/>
      <c r="I176" s="308"/>
      <c r="J176" s="307"/>
      <c r="K176" s="421"/>
      <c r="L176" s="230">
        <f>SUM(K177:K179)</f>
        <v>623908.05000000005</v>
      </c>
      <c r="M176" s="170"/>
      <c r="N176" s="170"/>
      <c r="O176" s="170"/>
      <c r="P176" s="170"/>
      <c r="Q176" s="170"/>
      <c r="R176" s="170"/>
      <c r="S176" s="170"/>
      <c r="T176" s="170"/>
      <c r="U176" s="170"/>
      <c r="V176" s="170"/>
      <c r="W176" s="170"/>
      <c r="X176" s="219"/>
    </row>
    <row r="177" spans="1:24">
      <c r="A177" s="35" t="s">
        <v>421</v>
      </c>
      <c r="B177" s="176" t="s">
        <v>422</v>
      </c>
      <c r="C177" s="176" t="s">
        <v>103</v>
      </c>
      <c r="D177" s="176" t="s">
        <v>115</v>
      </c>
      <c r="E177" s="176" t="s">
        <v>110</v>
      </c>
      <c r="F177" s="176" t="s">
        <v>121</v>
      </c>
      <c r="G177" s="167">
        <v>1</v>
      </c>
      <c r="H177" s="413">
        <v>10000</v>
      </c>
      <c r="I177" s="414">
        <v>0</v>
      </c>
      <c r="J177" s="415">
        <f t="shared" ref="J177:J179" si="36">H177*(1+I177)</f>
        <v>10000</v>
      </c>
      <c r="K177" s="416">
        <f>J177*G177</f>
        <v>10000</v>
      </c>
      <c r="M177" s="170"/>
      <c r="N177" s="170"/>
      <c r="O177" s="170"/>
      <c r="P177" s="170"/>
      <c r="Q177" s="170"/>
      <c r="R177" s="170"/>
      <c r="S177" s="170"/>
      <c r="T177" s="170"/>
      <c r="U177" s="170"/>
      <c r="V177" s="170"/>
      <c r="W177" s="170"/>
      <c r="X177" s="219"/>
    </row>
    <row r="178" spans="1:24">
      <c r="A178" s="37" t="s">
        <v>423</v>
      </c>
      <c r="B178" s="164" t="s">
        <v>424</v>
      </c>
      <c r="C178" s="164" t="s">
        <v>103</v>
      </c>
      <c r="D178" s="164" t="s">
        <v>115</v>
      </c>
      <c r="E178" s="164" t="s">
        <v>116</v>
      </c>
      <c r="F178" s="164" t="s">
        <v>15</v>
      </c>
      <c r="G178" s="161">
        <f t="shared" ref="G178" si="37">$B$8</f>
        <v>196289</v>
      </c>
      <c r="H178" s="185">
        <v>2.4500000000000002</v>
      </c>
      <c r="I178" s="216">
        <v>0</v>
      </c>
      <c r="J178" s="185">
        <f t="shared" si="36"/>
        <v>2.4500000000000002</v>
      </c>
      <c r="K178" s="217">
        <f>J178*G178</f>
        <v>480908.05000000005</v>
      </c>
      <c r="M178" s="170"/>
      <c r="N178" s="170"/>
      <c r="O178" s="170"/>
      <c r="P178" s="170"/>
      <c r="Q178" s="170"/>
      <c r="R178" s="170"/>
      <c r="S178" s="170"/>
      <c r="T178" s="170"/>
      <c r="U178" s="170"/>
      <c r="V178" s="170"/>
      <c r="W178" s="170"/>
      <c r="X178" s="219"/>
    </row>
    <row r="179" spans="1:24">
      <c r="A179" s="37" t="s">
        <v>425</v>
      </c>
      <c r="B179" s="164" t="s">
        <v>426</v>
      </c>
      <c r="C179" s="164" t="s">
        <v>103</v>
      </c>
      <c r="D179" s="164" t="s">
        <v>123</v>
      </c>
      <c r="E179" s="164" t="s">
        <v>116</v>
      </c>
      <c r="F179" s="164" t="s">
        <v>32</v>
      </c>
      <c r="G179" s="161">
        <v>1</v>
      </c>
      <c r="H179" s="185">
        <v>133000</v>
      </c>
      <c r="I179" s="216">
        <v>0</v>
      </c>
      <c r="J179" s="185">
        <f t="shared" si="36"/>
        <v>133000</v>
      </c>
      <c r="K179" s="217">
        <f>J179*G179</f>
        <v>133000</v>
      </c>
      <c r="M179" s="170"/>
      <c r="N179" s="170"/>
      <c r="O179" s="170"/>
      <c r="P179" s="170"/>
      <c r="Q179" s="170"/>
      <c r="R179" s="170"/>
      <c r="S179" s="170"/>
      <c r="T179" s="170"/>
      <c r="U179" s="170"/>
      <c r="V179" s="170"/>
      <c r="W179" s="170"/>
      <c r="X179" s="219"/>
    </row>
    <row r="180" spans="1:24">
      <c r="A180" s="33" t="s">
        <v>427</v>
      </c>
      <c r="B180" s="305" t="s">
        <v>428</v>
      </c>
      <c r="C180" s="305"/>
      <c r="D180" s="305"/>
      <c r="E180" s="343"/>
      <c r="F180" s="343"/>
      <c r="G180" s="147"/>
      <c r="H180" s="344"/>
      <c r="I180" s="345"/>
      <c r="J180" s="344"/>
      <c r="K180" s="346"/>
      <c r="L180" s="230">
        <f>SUM(K181:K186)</f>
        <v>2072717.2631578948</v>
      </c>
      <c r="M180" s="522"/>
      <c r="N180" s="170"/>
      <c r="O180" s="170"/>
      <c r="P180" s="170"/>
      <c r="Q180" s="170"/>
      <c r="R180" s="170"/>
      <c r="S180" s="170"/>
      <c r="T180" s="170"/>
      <c r="U180" s="170"/>
      <c r="V180" s="170"/>
      <c r="W180" s="170"/>
      <c r="X180" s="219"/>
    </row>
    <row r="181" spans="1:24">
      <c r="A181" s="35" t="s">
        <v>429</v>
      </c>
      <c r="B181" s="176" t="s">
        <v>430</v>
      </c>
      <c r="C181" s="176" t="s">
        <v>103</v>
      </c>
      <c r="D181" s="176" t="s">
        <v>115</v>
      </c>
      <c r="E181" s="176" t="s">
        <v>116</v>
      </c>
      <c r="F181" s="164" t="s">
        <v>10</v>
      </c>
      <c r="G181" s="167">
        <f>$E$8</f>
        <v>194</v>
      </c>
      <c r="H181" s="520">
        <f>2000000/190-1000/194</f>
        <v>10521.161150298427</v>
      </c>
      <c r="I181" s="414">
        <v>0</v>
      </c>
      <c r="J181" s="416">
        <f t="shared" ref="J181:J186" si="38">H181*(1+I181)</f>
        <v>10521.161150298427</v>
      </c>
      <c r="K181" s="416">
        <f>J181*G181</f>
        <v>2041105.2631578948</v>
      </c>
      <c r="L181" s="321"/>
      <c r="M181" s="170" t="s">
        <v>869</v>
      </c>
      <c r="N181" s="170"/>
      <c r="O181" s="170"/>
      <c r="P181" s="170"/>
      <c r="Q181" s="170"/>
      <c r="R181" s="170"/>
      <c r="S181" s="170"/>
      <c r="T181" s="170"/>
      <c r="U181" s="170"/>
      <c r="V181" s="170"/>
      <c r="W181" s="170"/>
      <c r="X181" s="219"/>
    </row>
    <row r="182" spans="1:24">
      <c r="A182" s="37" t="s">
        <v>431</v>
      </c>
      <c r="B182" s="164" t="s">
        <v>430</v>
      </c>
      <c r="C182" s="164" t="s">
        <v>103</v>
      </c>
      <c r="D182" s="164" t="s">
        <v>115</v>
      </c>
      <c r="E182" s="176" t="s">
        <v>118</v>
      </c>
      <c r="F182" s="164">
        <v>0</v>
      </c>
      <c r="G182" s="161">
        <f>SUM(E6:E7)</f>
        <v>0</v>
      </c>
      <c r="H182" s="185">
        <v>0</v>
      </c>
      <c r="I182" s="216">
        <v>0</v>
      </c>
      <c r="J182" s="185">
        <f t="shared" si="38"/>
        <v>0</v>
      </c>
      <c r="K182" s="217">
        <f>J182*G182</f>
        <v>0</v>
      </c>
      <c r="L182" s="321"/>
      <c r="M182" s="170"/>
      <c r="N182" s="170"/>
      <c r="O182" s="170"/>
      <c r="P182" s="170"/>
      <c r="Q182" s="170"/>
      <c r="R182" s="170"/>
      <c r="S182" s="170"/>
      <c r="T182" s="170"/>
      <c r="U182" s="170"/>
      <c r="V182" s="170"/>
      <c r="W182" s="170"/>
      <c r="X182" s="219"/>
    </row>
    <row r="183" spans="1:24">
      <c r="A183" s="35" t="s">
        <v>870</v>
      </c>
      <c r="B183" s="164" t="s">
        <v>430</v>
      </c>
      <c r="C183" s="176" t="s">
        <v>103</v>
      </c>
      <c r="D183" s="164" t="s">
        <v>123</v>
      </c>
      <c r="E183" s="164" t="s">
        <v>110</v>
      </c>
      <c r="F183" s="164" t="s">
        <v>121</v>
      </c>
      <c r="G183" s="161">
        <v>1</v>
      </c>
      <c r="H183" s="185">
        <v>1000</v>
      </c>
      <c r="I183" s="216">
        <v>0</v>
      </c>
      <c r="J183" s="415">
        <f t="shared" si="38"/>
        <v>1000</v>
      </c>
      <c r="K183" s="416">
        <f t="shared" ref="K183" si="39">J183*G183</f>
        <v>1000</v>
      </c>
      <c r="M183" s="530" t="s">
        <v>846</v>
      </c>
      <c r="N183" s="170"/>
      <c r="O183" s="170"/>
      <c r="P183" s="170"/>
      <c r="Q183" s="170"/>
      <c r="R183" s="170"/>
      <c r="S183" s="170"/>
      <c r="T183" s="170"/>
      <c r="U183" s="170"/>
      <c r="V183" s="170"/>
      <c r="W183" s="170"/>
      <c r="X183" s="219"/>
    </row>
    <row r="184" spans="1:24">
      <c r="A184" s="37" t="s">
        <v>432</v>
      </c>
      <c r="B184" s="164"/>
      <c r="C184" s="164" t="s">
        <v>103</v>
      </c>
      <c r="D184" s="164" t="s">
        <v>115</v>
      </c>
      <c r="E184" s="164" t="s">
        <v>118</v>
      </c>
      <c r="F184" s="164">
        <v>0</v>
      </c>
      <c r="G184" s="161">
        <v>0</v>
      </c>
      <c r="H184" s="185">
        <v>0</v>
      </c>
      <c r="I184" s="216">
        <v>0</v>
      </c>
      <c r="J184" s="185">
        <f t="shared" si="38"/>
        <v>0</v>
      </c>
      <c r="K184" s="217">
        <f>J184*G184</f>
        <v>0</v>
      </c>
      <c r="M184" s="170"/>
      <c r="N184" s="170"/>
      <c r="O184" s="170"/>
      <c r="P184" s="170"/>
      <c r="Q184" s="170"/>
      <c r="R184" s="170"/>
      <c r="S184" s="170"/>
      <c r="T184" s="170"/>
      <c r="U184" s="170"/>
      <c r="V184" s="170"/>
      <c r="W184" s="170"/>
      <c r="X184" s="219"/>
    </row>
    <row r="185" spans="1:24">
      <c r="A185" s="37" t="s">
        <v>433</v>
      </c>
      <c r="B185" s="164" t="s">
        <v>434</v>
      </c>
      <c r="C185" s="164" t="s">
        <v>103</v>
      </c>
      <c r="D185" s="164" t="s">
        <v>130</v>
      </c>
      <c r="E185" s="164" t="s">
        <v>116</v>
      </c>
      <c r="F185" s="164" t="s">
        <v>121</v>
      </c>
      <c r="G185" s="161">
        <f>$O$7</f>
        <v>1</v>
      </c>
      <c r="H185" s="185">
        <v>24612</v>
      </c>
      <c r="I185" s="216">
        <v>0</v>
      </c>
      <c r="J185" s="185">
        <f t="shared" si="38"/>
        <v>24612</v>
      </c>
      <c r="K185" s="217">
        <f>J185*G185</f>
        <v>24612</v>
      </c>
      <c r="M185" s="170" t="s">
        <v>871</v>
      </c>
      <c r="N185" s="170"/>
      <c r="O185" s="170"/>
      <c r="P185" s="170"/>
      <c r="Q185" s="170"/>
      <c r="R185" s="170"/>
      <c r="S185" s="170"/>
      <c r="T185" s="170"/>
      <c r="U185" s="170"/>
      <c r="V185" s="170"/>
      <c r="W185" s="170"/>
      <c r="X185" s="219"/>
    </row>
    <row r="186" spans="1:24">
      <c r="A186" s="37" t="s">
        <v>435</v>
      </c>
      <c r="B186" s="164" t="s">
        <v>436</v>
      </c>
      <c r="C186" s="164" t="s">
        <v>103</v>
      </c>
      <c r="D186" s="164" t="s">
        <v>135</v>
      </c>
      <c r="E186" s="164" t="s">
        <v>110</v>
      </c>
      <c r="F186" s="164" t="s">
        <v>121</v>
      </c>
      <c r="G186" s="161">
        <f>$O$7</f>
        <v>1</v>
      </c>
      <c r="H186" s="185">
        <v>6000</v>
      </c>
      <c r="I186" s="216">
        <v>0</v>
      </c>
      <c r="J186" s="185">
        <f t="shared" si="38"/>
        <v>6000</v>
      </c>
      <c r="K186" s="217">
        <f>J186*G186</f>
        <v>6000</v>
      </c>
      <c r="M186" s="170" t="s">
        <v>871</v>
      </c>
      <c r="N186" s="170"/>
      <c r="O186" s="170"/>
      <c r="P186" s="170"/>
      <c r="Q186" s="170"/>
      <c r="R186" s="170"/>
      <c r="S186" s="170"/>
      <c r="T186" s="170"/>
      <c r="U186" s="170"/>
      <c r="V186" s="170"/>
      <c r="W186" s="170"/>
      <c r="X186" s="219"/>
    </row>
    <row r="187" spans="1:24">
      <c r="A187" s="33" t="s">
        <v>437</v>
      </c>
      <c r="B187" s="305" t="s">
        <v>438</v>
      </c>
      <c r="C187" s="305"/>
      <c r="D187" s="305"/>
      <c r="E187" s="305"/>
      <c r="F187" s="305"/>
      <c r="G187" s="306"/>
      <c r="H187" s="307"/>
      <c r="I187" s="308"/>
      <c r="J187" s="307"/>
      <c r="K187" s="421"/>
      <c r="L187" s="230">
        <f>SUM(K188:K189)</f>
        <v>2078302.5999999999</v>
      </c>
      <c r="M187" s="170"/>
      <c r="N187" s="170"/>
      <c r="O187" s="170"/>
      <c r="P187" s="170"/>
      <c r="Q187" s="170"/>
      <c r="R187" s="170"/>
      <c r="S187" s="170"/>
      <c r="T187" s="170"/>
      <c r="U187" s="170"/>
      <c r="V187" s="170"/>
      <c r="W187" s="170"/>
      <c r="X187" s="219"/>
    </row>
    <row r="188" spans="1:24">
      <c r="A188" s="37" t="s">
        <v>439</v>
      </c>
      <c r="B188" s="164" t="s">
        <v>440</v>
      </c>
      <c r="C188" s="164" t="s">
        <v>103</v>
      </c>
      <c r="D188" s="632" t="s">
        <v>115</v>
      </c>
      <c r="E188" s="176" t="s">
        <v>116</v>
      </c>
      <c r="F188" s="164" t="s">
        <v>10</v>
      </c>
      <c r="G188" s="167">
        <f>$E$8</f>
        <v>194</v>
      </c>
      <c r="H188" s="520">
        <f>9739-15000/G188</f>
        <v>9661.6804123711336</v>
      </c>
      <c r="I188" s="633">
        <v>0.1</v>
      </c>
      <c r="J188" s="185">
        <f t="shared" ref="J188:J189" si="40">H188*(1+I188)</f>
        <v>10627.848453608247</v>
      </c>
      <c r="K188" s="217">
        <f>J188*G188</f>
        <v>2061802.5999999999</v>
      </c>
      <c r="M188" s="170"/>
      <c r="N188" s="170"/>
      <c r="O188" s="170"/>
      <c r="P188" s="170"/>
      <c r="Q188" s="170"/>
      <c r="R188" s="170"/>
      <c r="S188" s="170"/>
      <c r="T188" s="170"/>
      <c r="U188" s="170"/>
      <c r="V188" s="170"/>
      <c r="W188" s="170"/>
      <c r="X188" s="219"/>
    </row>
    <row r="189" spans="1:24">
      <c r="A189" s="37" t="s">
        <v>872</v>
      </c>
      <c r="B189" s="164" t="s">
        <v>440</v>
      </c>
      <c r="C189" s="164" t="s">
        <v>103</v>
      </c>
      <c r="D189" s="164" t="s">
        <v>123</v>
      </c>
      <c r="E189" s="176" t="s">
        <v>110</v>
      </c>
      <c r="F189" s="176" t="s">
        <v>121</v>
      </c>
      <c r="G189" s="167">
        <v>1</v>
      </c>
      <c r="H189" s="413">
        <v>15000</v>
      </c>
      <c r="I189" s="216">
        <v>0.1</v>
      </c>
      <c r="J189" s="185">
        <f t="shared" si="40"/>
        <v>16500</v>
      </c>
      <c r="K189" s="217">
        <f t="shared" ref="K189" si="41">J189*G189</f>
        <v>16500</v>
      </c>
      <c r="M189" s="530" t="s">
        <v>846</v>
      </c>
      <c r="N189" s="170"/>
      <c r="O189" s="170"/>
      <c r="P189" s="170"/>
      <c r="Q189" s="170"/>
      <c r="R189" s="170"/>
      <c r="S189" s="170"/>
      <c r="T189" s="170"/>
      <c r="U189" s="170"/>
      <c r="V189" s="170"/>
      <c r="W189" s="170"/>
      <c r="X189" s="219"/>
    </row>
    <row r="190" spans="1:24">
      <c r="A190" s="33" t="s">
        <v>442</v>
      </c>
      <c r="B190" s="305" t="s">
        <v>443</v>
      </c>
      <c r="C190" s="305"/>
      <c r="D190" s="305"/>
      <c r="E190" s="343"/>
      <c r="F190" s="343"/>
      <c r="G190" s="147"/>
      <c r="H190" s="344"/>
      <c r="I190" s="345"/>
      <c r="J190" s="344"/>
      <c r="K190" s="346"/>
      <c r="L190" s="230">
        <f>SUM(K191:K206)</f>
        <v>2246065.4308303986</v>
      </c>
      <c r="M190" s="170"/>
      <c r="N190" s="170"/>
      <c r="O190" s="170"/>
      <c r="P190" s="170"/>
      <c r="Q190" s="170"/>
      <c r="R190" s="170"/>
      <c r="S190" s="170"/>
      <c r="T190" s="170"/>
      <c r="U190" s="170"/>
      <c r="V190" s="170"/>
      <c r="W190" s="170"/>
      <c r="X190" s="219"/>
    </row>
    <row r="191" spans="1:24">
      <c r="A191" s="35" t="s">
        <v>444</v>
      </c>
      <c r="B191" s="176" t="s">
        <v>445</v>
      </c>
      <c r="C191" s="176" t="s">
        <v>103</v>
      </c>
      <c r="D191" s="176" t="s">
        <v>115</v>
      </c>
      <c r="E191" s="176" t="s">
        <v>116</v>
      </c>
      <c r="F191" s="176" t="s">
        <v>446</v>
      </c>
      <c r="G191" s="167">
        <f t="shared" ref="G191" si="42">$B$8</f>
        <v>196289</v>
      </c>
      <c r="H191" s="413">
        <v>9.2699536607970341</v>
      </c>
      <c r="I191" s="414">
        <v>0.05</v>
      </c>
      <c r="J191" s="415">
        <f t="shared" ref="J191:J206" si="43">H191*(1+I191)</f>
        <v>9.7334513438368866</v>
      </c>
      <c r="K191" s="416">
        <f t="shared" ref="K191:K206" si="44">J191*G191</f>
        <v>1910569.4308303986</v>
      </c>
      <c r="M191" s="325" t="s">
        <v>873</v>
      </c>
      <c r="N191" s="170"/>
      <c r="O191" s="170"/>
      <c r="P191" s="170"/>
      <c r="Q191" s="170"/>
      <c r="R191" s="170"/>
      <c r="S191" s="170"/>
      <c r="T191" s="170"/>
      <c r="U191" s="170"/>
      <c r="V191" s="170"/>
      <c r="W191" s="170"/>
      <c r="X191" s="219"/>
    </row>
    <row r="192" spans="1:24">
      <c r="A192" s="37" t="s">
        <v>447</v>
      </c>
      <c r="B192" s="164" t="s">
        <v>448</v>
      </c>
      <c r="C192" s="164" t="s">
        <v>103</v>
      </c>
      <c r="D192" s="164" t="s">
        <v>115</v>
      </c>
      <c r="E192" s="164" t="s">
        <v>195</v>
      </c>
      <c r="F192" s="164" t="s">
        <v>10</v>
      </c>
      <c r="G192" s="161">
        <f>$E$8</f>
        <v>194</v>
      </c>
      <c r="H192" s="185">
        <v>594</v>
      </c>
      <c r="I192" s="216">
        <v>0</v>
      </c>
      <c r="J192" s="185">
        <f t="shared" si="43"/>
        <v>594</v>
      </c>
      <c r="K192" s="217">
        <f t="shared" si="44"/>
        <v>115236</v>
      </c>
      <c r="M192" s="170"/>
      <c r="N192" s="170"/>
      <c r="O192" s="170"/>
      <c r="P192" s="170"/>
      <c r="Q192" s="170"/>
      <c r="R192" s="170"/>
      <c r="S192" s="170"/>
      <c r="T192" s="170"/>
      <c r="U192" s="170"/>
      <c r="V192" s="170"/>
      <c r="W192" s="170"/>
      <c r="X192" s="219"/>
    </row>
    <row r="193" spans="1:24">
      <c r="A193" s="37" t="s">
        <v>449</v>
      </c>
      <c r="B193" s="164" t="s">
        <v>450</v>
      </c>
      <c r="C193" s="164" t="s">
        <v>103</v>
      </c>
      <c r="D193" s="164" t="s">
        <v>115</v>
      </c>
      <c r="E193" s="164" t="s">
        <v>127</v>
      </c>
      <c r="F193" s="164" t="s">
        <v>10</v>
      </c>
      <c r="G193" s="161">
        <f>$E$8</f>
        <v>194</v>
      </c>
      <c r="H193" s="185">
        <v>119</v>
      </c>
      <c r="I193" s="216">
        <v>0</v>
      </c>
      <c r="J193" s="185">
        <f t="shared" si="43"/>
        <v>119</v>
      </c>
      <c r="K193" s="217">
        <f t="shared" si="44"/>
        <v>23086</v>
      </c>
      <c r="M193" s="170"/>
      <c r="N193" s="170"/>
      <c r="O193" s="170"/>
      <c r="P193" s="170"/>
      <c r="Q193" s="170"/>
      <c r="R193" s="170"/>
      <c r="S193" s="170"/>
      <c r="T193" s="170"/>
      <c r="U193" s="170"/>
      <c r="V193" s="170"/>
      <c r="W193" s="170"/>
      <c r="X193" s="219"/>
    </row>
    <row r="194" spans="1:24">
      <c r="A194" s="37" t="s">
        <v>451</v>
      </c>
      <c r="B194" s="164" t="s">
        <v>452</v>
      </c>
      <c r="C194" s="164" t="s">
        <v>103</v>
      </c>
      <c r="D194" s="164" t="s">
        <v>115</v>
      </c>
      <c r="E194" s="164" t="s">
        <v>127</v>
      </c>
      <c r="F194" s="164" t="s">
        <v>10</v>
      </c>
      <c r="G194" s="161">
        <f>$E$8</f>
        <v>194</v>
      </c>
      <c r="H194" s="185">
        <v>112</v>
      </c>
      <c r="I194" s="216">
        <v>0</v>
      </c>
      <c r="J194" s="185">
        <f t="shared" si="43"/>
        <v>112</v>
      </c>
      <c r="K194" s="217">
        <f t="shared" si="44"/>
        <v>21728</v>
      </c>
      <c r="M194" s="170"/>
      <c r="N194" s="170"/>
      <c r="O194" s="170"/>
      <c r="P194" s="170"/>
      <c r="Q194" s="170"/>
      <c r="R194" s="170"/>
      <c r="S194" s="170"/>
      <c r="T194" s="170"/>
      <c r="U194" s="170"/>
      <c r="V194" s="170"/>
      <c r="W194" s="170"/>
      <c r="X194" s="219"/>
    </row>
    <row r="195" spans="1:24">
      <c r="A195" s="37" t="s">
        <v>453</v>
      </c>
      <c r="B195" s="164" t="s">
        <v>445</v>
      </c>
      <c r="C195" s="164" t="s">
        <v>103</v>
      </c>
      <c r="D195" s="164" t="s">
        <v>346</v>
      </c>
      <c r="E195" s="164" t="s">
        <v>127</v>
      </c>
      <c r="F195" s="164" t="s">
        <v>454</v>
      </c>
      <c r="G195" s="161">
        <f>F10</f>
        <v>127</v>
      </c>
      <c r="H195" s="185">
        <v>138</v>
      </c>
      <c r="I195" s="216">
        <v>0</v>
      </c>
      <c r="J195" s="185">
        <f t="shared" si="43"/>
        <v>138</v>
      </c>
      <c r="K195" s="217">
        <f t="shared" si="44"/>
        <v>17526</v>
      </c>
      <c r="M195" s="170"/>
      <c r="N195" s="170"/>
      <c r="O195" s="170"/>
      <c r="P195" s="170"/>
      <c r="Q195" s="170"/>
      <c r="R195" s="170"/>
      <c r="S195" s="170"/>
      <c r="T195" s="170"/>
      <c r="U195" s="170"/>
      <c r="V195" s="170"/>
      <c r="W195" s="170"/>
      <c r="X195" s="219"/>
    </row>
    <row r="196" spans="1:24">
      <c r="A196" s="37" t="s">
        <v>455</v>
      </c>
      <c r="B196" s="164" t="s">
        <v>448</v>
      </c>
      <c r="C196" s="164" t="s">
        <v>103</v>
      </c>
      <c r="D196" s="164" t="s">
        <v>346</v>
      </c>
      <c r="E196" s="164" t="s">
        <v>127</v>
      </c>
      <c r="F196" s="164" t="s">
        <v>454</v>
      </c>
      <c r="G196" s="161">
        <f>$O$13</f>
        <v>130</v>
      </c>
      <c r="H196" s="185">
        <v>24</v>
      </c>
      <c r="I196" s="216">
        <v>0</v>
      </c>
      <c r="J196" s="185">
        <f t="shared" si="43"/>
        <v>24</v>
      </c>
      <c r="K196" s="217">
        <f t="shared" si="44"/>
        <v>3120</v>
      </c>
      <c r="M196" s="170"/>
      <c r="N196" s="170"/>
      <c r="O196" s="170"/>
      <c r="P196" s="170"/>
      <c r="Q196" s="170"/>
      <c r="R196" s="170"/>
      <c r="S196" s="170"/>
      <c r="T196" s="170"/>
      <c r="U196" s="170"/>
      <c r="V196" s="170"/>
      <c r="W196" s="170"/>
      <c r="X196" s="219"/>
    </row>
    <row r="197" spans="1:24">
      <c r="A197" s="37" t="s">
        <v>456</v>
      </c>
      <c r="B197" s="164" t="s">
        <v>445</v>
      </c>
      <c r="C197" s="164" t="s">
        <v>103</v>
      </c>
      <c r="D197" s="164" t="s">
        <v>130</v>
      </c>
      <c r="E197" s="164" t="s">
        <v>118</v>
      </c>
      <c r="F197" s="164"/>
      <c r="G197" s="161"/>
      <c r="H197" s="185"/>
      <c r="I197" s="216">
        <v>0</v>
      </c>
      <c r="J197" s="185">
        <f t="shared" si="43"/>
        <v>0</v>
      </c>
      <c r="K197" s="217">
        <f t="shared" si="44"/>
        <v>0</v>
      </c>
      <c r="M197" s="170"/>
      <c r="N197" s="170"/>
      <c r="O197" s="170"/>
      <c r="P197" s="170"/>
      <c r="Q197" s="170"/>
      <c r="R197" s="170"/>
      <c r="S197" s="170"/>
      <c r="T197" s="170"/>
      <c r="U197" s="170"/>
      <c r="V197" s="170"/>
      <c r="W197" s="170"/>
      <c r="X197" s="219"/>
    </row>
    <row r="198" spans="1:24">
      <c r="A198" s="37" t="s">
        <v>457</v>
      </c>
      <c r="B198" s="164" t="s">
        <v>458</v>
      </c>
      <c r="C198" s="164" t="s">
        <v>103</v>
      </c>
      <c r="D198" s="164" t="s">
        <v>130</v>
      </c>
      <c r="E198" s="164" t="s">
        <v>118</v>
      </c>
      <c r="F198" s="164"/>
      <c r="G198" s="161"/>
      <c r="H198" s="185"/>
      <c r="I198" s="216">
        <v>0</v>
      </c>
      <c r="J198" s="185">
        <f t="shared" si="43"/>
        <v>0</v>
      </c>
      <c r="K198" s="217">
        <f t="shared" si="44"/>
        <v>0</v>
      </c>
      <c r="M198" s="170"/>
      <c r="N198" s="170"/>
      <c r="O198" s="170"/>
      <c r="P198" s="170"/>
      <c r="Q198" s="170"/>
      <c r="R198" s="170"/>
      <c r="S198" s="170"/>
      <c r="T198" s="170"/>
      <c r="U198" s="170"/>
      <c r="V198" s="170"/>
      <c r="W198" s="170"/>
      <c r="X198" s="219"/>
    </row>
    <row r="199" spans="1:24">
      <c r="A199" s="37" t="s">
        <v>459</v>
      </c>
      <c r="B199" s="164" t="s">
        <v>460</v>
      </c>
      <c r="C199" s="164" t="s">
        <v>103</v>
      </c>
      <c r="D199" s="164" t="s">
        <v>353</v>
      </c>
      <c r="E199" s="164" t="s">
        <v>461</v>
      </c>
      <c r="F199" s="164" t="s">
        <v>32</v>
      </c>
      <c r="G199" s="161">
        <v>4</v>
      </c>
      <c r="H199" s="185">
        <v>25000</v>
      </c>
      <c r="I199" s="216">
        <v>0</v>
      </c>
      <c r="J199" s="185">
        <f t="shared" si="43"/>
        <v>25000</v>
      </c>
      <c r="K199" s="531">
        <f t="shared" si="44"/>
        <v>100000</v>
      </c>
      <c r="M199" s="170" t="s">
        <v>874</v>
      </c>
      <c r="N199" s="170"/>
      <c r="O199" s="170"/>
      <c r="P199" s="170"/>
      <c r="Q199" s="170"/>
      <c r="R199" s="170"/>
      <c r="S199" s="170"/>
      <c r="T199" s="170"/>
      <c r="U199" s="170"/>
      <c r="V199" s="170"/>
      <c r="W199" s="170"/>
      <c r="X199" s="219"/>
    </row>
    <row r="200" spans="1:24">
      <c r="A200" s="37" t="s">
        <v>462</v>
      </c>
      <c r="B200" s="164" t="s">
        <v>463</v>
      </c>
      <c r="C200" s="164" t="s">
        <v>103</v>
      </c>
      <c r="D200" s="164" t="s">
        <v>109</v>
      </c>
      <c r="E200" s="326" t="s">
        <v>127</v>
      </c>
      <c r="F200" s="326" t="s">
        <v>464</v>
      </c>
      <c r="G200" s="347">
        <f>$B$9</f>
        <v>4.9000000000000004</v>
      </c>
      <c r="H200" s="327">
        <v>1000</v>
      </c>
      <c r="I200" s="216">
        <v>0</v>
      </c>
      <c r="J200" s="185">
        <f t="shared" si="43"/>
        <v>1000</v>
      </c>
      <c r="K200" s="217">
        <f t="shared" si="44"/>
        <v>4900</v>
      </c>
      <c r="M200" s="163"/>
      <c r="N200" s="170"/>
      <c r="O200" s="170"/>
      <c r="P200" s="170"/>
      <c r="Q200" s="170"/>
      <c r="R200" s="170"/>
      <c r="S200" s="170"/>
      <c r="T200" s="170"/>
      <c r="U200" s="170"/>
      <c r="V200" s="170"/>
      <c r="W200" s="170"/>
      <c r="X200" s="219"/>
    </row>
    <row r="201" spans="1:24">
      <c r="A201" s="37" t="s">
        <v>465</v>
      </c>
      <c r="B201" s="164" t="s">
        <v>466</v>
      </c>
      <c r="C201" s="164" t="s">
        <v>103</v>
      </c>
      <c r="D201" s="164" t="s">
        <v>109</v>
      </c>
      <c r="E201" s="164" t="s">
        <v>127</v>
      </c>
      <c r="F201" s="164" t="s">
        <v>464</v>
      </c>
      <c r="G201" s="422">
        <f>$B$9</f>
        <v>4.9000000000000004</v>
      </c>
      <c r="H201" s="185">
        <v>1000</v>
      </c>
      <c r="I201" s="216">
        <v>0</v>
      </c>
      <c r="J201" s="185">
        <f t="shared" si="43"/>
        <v>1000</v>
      </c>
      <c r="K201" s="217">
        <f t="shared" si="44"/>
        <v>4900</v>
      </c>
      <c r="M201" s="170"/>
      <c r="N201" s="170"/>
      <c r="O201" s="170"/>
      <c r="P201" s="170"/>
      <c r="Q201" s="170"/>
      <c r="R201" s="170"/>
      <c r="S201" s="170"/>
      <c r="T201" s="170"/>
      <c r="U201" s="170"/>
      <c r="V201" s="170"/>
      <c r="W201" s="170"/>
      <c r="X201" s="219"/>
    </row>
    <row r="202" spans="1:24">
      <c r="A202" s="37" t="s">
        <v>467</v>
      </c>
      <c r="B202" s="164" t="s">
        <v>468</v>
      </c>
      <c r="C202" s="164" t="s">
        <v>103</v>
      </c>
      <c r="D202" s="164" t="s">
        <v>130</v>
      </c>
      <c r="E202" s="326" t="s">
        <v>127</v>
      </c>
      <c r="F202" s="326" t="s">
        <v>121</v>
      </c>
      <c r="G202" s="146">
        <f>$O$7</f>
        <v>1</v>
      </c>
      <c r="H202" s="327">
        <v>17000</v>
      </c>
      <c r="I202" s="216">
        <v>0</v>
      </c>
      <c r="J202" s="185">
        <f t="shared" si="43"/>
        <v>17000</v>
      </c>
      <c r="K202" s="217">
        <f t="shared" si="44"/>
        <v>17000</v>
      </c>
      <c r="M202" s="163"/>
      <c r="N202" s="170"/>
      <c r="O202" s="170"/>
      <c r="P202" s="170"/>
      <c r="Q202" s="170"/>
      <c r="R202" s="170"/>
      <c r="S202" s="170"/>
      <c r="T202" s="170"/>
      <c r="U202" s="170"/>
      <c r="V202" s="170"/>
      <c r="W202" s="170"/>
      <c r="X202" s="219"/>
    </row>
    <row r="203" spans="1:24">
      <c r="A203" s="37" t="s">
        <v>469</v>
      </c>
      <c r="B203" s="164" t="s">
        <v>470</v>
      </c>
      <c r="C203" s="164" t="s">
        <v>103</v>
      </c>
      <c r="D203" s="164" t="s">
        <v>130</v>
      </c>
      <c r="E203" s="164" t="s">
        <v>127</v>
      </c>
      <c r="F203" s="164" t="s">
        <v>121</v>
      </c>
      <c r="G203" s="161">
        <f>$O$7</f>
        <v>1</v>
      </c>
      <c r="H203" s="185">
        <v>11000</v>
      </c>
      <c r="I203" s="216">
        <v>0</v>
      </c>
      <c r="J203" s="185">
        <f t="shared" si="43"/>
        <v>11000</v>
      </c>
      <c r="K203" s="217">
        <f t="shared" si="44"/>
        <v>11000</v>
      </c>
      <c r="M203" s="170"/>
      <c r="N203" s="170"/>
      <c r="O203" s="170"/>
      <c r="P203" s="170"/>
      <c r="Q203" s="170"/>
      <c r="R203" s="170"/>
      <c r="S203" s="170"/>
      <c r="T203" s="170"/>
      <c r="U203" s="170"/>
      <c r="V203" s="170"/>
      <c r="W203" s="170"/>
      <c r="X203" s="219"/>
    </row>
    <row r="204" spans="1:24">
      <c r="A204" s="37" t="s">
        <v>471</v>
      </c>
      <c r="B204" s="164" t="s">
        <v>472</v>
      </c>
      <c r="C204" s="164" t="s">
        <v>103</v>
      </c>
      <c r="D204" s="164" t="s">
        <v>135</v>
      </c>
      <c r="E204" s="326" t="s">
        <v>127</v>
      </c>
      <c r="F204" s="326" t="s">
        <v>121</v>
      </c>
      <c r="G204" s="146">
        <f>$O$7</f>
        <v>1</v>
      </c>
      <c r="H204" s="327">
        <v>2000</v>
      </c>
      <c r="I204" s="216">
        <v>0</v>
      </c>
      <c r="J204" s="185">
        <f t="shared" si="43"/>
        <v>2000</v>
      </c>
      <c r="K204" s="217">
        <f t="shared" si="44"/>
        <v>2000</v>
      </c>
      <c r="M204" s="170"/>
      <c r="N204" s="170"/>
      <c r="O204" s="170"/>
      <c r="P204" s="170"/>
      <c r="Q204" s="170"/>
      <c r="R204" s="170"/>
      <c r="S204" s="170"/>
      <c r="T204" s="170"/>
      <c r="U204" s="170"/>
      <c r="V204" s="170"/>
      <c r="W204" s="170"/>
      <c r="X204" s="219"/>
    </row>
    <row r="205" spans="1:24">
      <c r="A205" s="37" t="s">
        <v>473</v>
      </c>
      <c r="B205" s="164" t="s">
        <v>445</v>
      </c>
      <c r="C205" s="164" t="s">
        <v>103</v>
      </c>
      <c r="D205" s="164" t="s">
        <v>123</v>
      </c>
      <c r="E205" s="326" t="s">
        <v>127</v>
      </c>
      <c r="F205" s="326" t="s">
        <v>121</v>
      </c>
      <c r="G205" s="146">
        <v>1</v>
      </c>
      <c r="H205" s="327">
        <v>14250</v>
      </c>
      <c r="I205" s="216">
        <v>0</v>
      </c>
      <c r="J205" s="185">
        <f t="shared" si="43"/>
        <v>14250</v>
      </c>
      <c r="K205" s="217">
        <f t="shared" si="44"/>
        <v>14250</v>
      </c>
      <c r="M205" s="163"/>
      <c r="N205" s="170"/>
      <c r="O205" s="170"/>
      <c r="P205" s="170"/>
      <c r="Q205" s="170"/>
      <c r="R205" s="170"/>
      <c r="S205" s="170"/>
      <c r="T205" s="170"/>
      <c r="U205" s="170"/>
      <c r="V205" s="170"/>
      <c r="W205" s="170"/>
      <c r="X205" s="219"/>
    </row>
    <row r="206" spans="1:24">
      <c r="A206" s="37" t="s">
        <v>474</v>
      </c>
      <c r="B206" s="164" t="s">
        <v>448</v>
      </c>
      <c r="C206" s="164" t="s">
        <v>103</v>
      </c>
      <c r="D206" s="164" t="s">
        <v>123</v>
      </c>
      <c r="E206" s="164" t="s">
        <v>110</v>
      </c>
      <c r="F206" s="164" t="s">
        <v>121</v>
      </c>
      <c r="G206" s="161">
        <v>1</v>
      </c>
      <c r="H206" s="185">
        <v>750</v>
      </c>
      <c r="I206" s="216">
        <v>0</v>
      </c>
      <c r="J206" s="185">
        <f t="shared" si="43"/>
        <v>750</v>
      </c>
      <c r="K206" s="217">
        <f t="shared" si="44"/>
        <v>750</v>
      </c>
      <c r="M206" s="170"/>
      <c r="N206" s="170"/>
      <c r="O206" s="170"/>
      <c r="P206" s="170"/>
      <c r="Q206" s="170"/>
      <c r="R206" s="170"/>
      <c r="S206" s="170"/>
      <c r="T206" s="170"/>
      <c r="U206" s="170"/>
      <c r="V206" s="170"/>
      <c r="W206" s="170"/>
      <c r="X206" s="219"/>
    </row>
    <row r="207" spans="1:24">
      <c r="A207" s="33" t="s">
        <v>475</v>
      </c>
      <c r="B207" s="305" t="s">
        <v>476</v>
      </c>
      <c r="C207" s="305"/>
      <c r="D207" s="305"/>
      <c r="E207" s="343"/>
      <c r="F207" s="343"/>
      <c r="G207" s="147"/>
      <c r="H207" s="344"/>
      <c r="I207" s="345"/>
      <c r="J207" s="344"/>
      <c r="K207" s="346"/>
      <c r="L207" s="230">
        <f>SUM(K208:K210)</f>
        <v>117610.51</v>
      </c>
      <c r="M207" s="170"/>
      <c r="N207" s="170"/>
      <c r="O207" s="170"/>
      <c r="P207" s="170"/>
      <c r="Q207" s="170"/>
      <c r="R207" s="170"/>
      <c r="S207" s="170"/>
      <c r="T207" s="170"/>
      <c r="U207" s="170"/>
      <c r="V207" s="170"/>
      <c r="W207" s="170"/>
      <c r="X207" s="219"/>
    </row>
    <row r="208" spans="1:24">
      <c r="A208" s="35" t="s">
        <v>477</v>
      </c>
      <c r="B208" s="176" t="s">
        <v>478</v>
      </c>
      <c r="C208" s="176" t="s">
        <v>281</v>
      </c>
      <c r="D208" s="176" t="s">
        <v>115</v>
      </c>
      <c r="E208" s="176" t="s">
        <v>110</v>
      </c>
      <c r="F208" s="176" t="s">
        <v>121</v>
      </c>
      <c r="G208" s="167">
        <f>$B$11</f>
        <v>1</v>
      </c>
      <c r="H208" s="413">
        <v>1000</v>
      </c>
      <c r="I208" s="414">
        <v>0</v>
      </c>
      <c r="J208" s="415">
        <f t="shared" ref="J208:J210" si="45">H208*(1+I208)</f>
        <v>1000</v>
      </c>
      <c r="K208" s="416">
        <f>J208*G208</f>
        <v>1000</v>
      </c>
      <c r="M208" s="170" t="s">
        <v>479</v>
      </c>
      <c r="N208" s="170"/>
      <c r="O208" s="170"/>
      <c r="P208" s="170"/>
      <c r="Q208" s="170"/>
      <c r="R208" s="170"/>
      <c r="S208" s="170"/>
      <c r="T208" s="170"/>
      <c r="U208" s="170"/>
      <c r="V208" s="170"/>
      <c r="W208" s="170"/>
      <c r="X208" s="219"/>
    </row>
    <row r="209" spans="1:24">
      <c r="A209" s="37" t="s">
        <v>480</v>
      </c>
      <c r="B209" s="164" t="s">
        <v>481</v>
      </c>
      <c r="C209" s="164" t="s">
        <v>103</v>
      </c>
      <c r="D209" s="164" t="s">
        <v>115</v>
      </c>
      <c r="E209" s="164" t="s">
        <v>195</v>
      </c>
      <c r="F209" s="164" t="s">
        <v>15</v>
      </c>
      <c r="G209" s="161">
        <f>B8</f>
        <v>196289</v>
      </c>
      <c r="H209" s="185">
        <v>0.59</v>
      </c>
      <c r="I209" s="216">
        <v>0</v>
      </c>
      <c r="J209" s="185">
        <f t="shared" si="45"/>
        <v>0.59</v>
      </c>
      <c r="K209" s="217">
        <f>J209*G209</f>
        <v>115810.51</v>
      </c>
      <c r="M209" s="170"/>
      <c r="N209" s="170"/>
      <c r="O209" s="170"/>
      <c r="P209" s="170"/>
      <c r="Q209" s="170"/>
      <c r="R209" s="170"/>
      <c r="S209" s="170"/>
      <c r="T209" s="170"/>
      <c r="U209" s="170"/>
      <c r="V209" s="170"/>
      <c r="W209" s="170"/>
      <c r="X209" s="219"/>
    </row>
    <row r="210" spans="1:24">
      <c r="A210" s="37" t="s">
        <v>482</v>
      </c>
      <c r="B210" s="164" t="s">
        <v>483</v>
      </c>
      <c r="C210" s="164" t="s">
        <v>103</v>
      </c>
      <c r="D210" s="164" t="s">
        <v>130</v>
      </c>
      <c r="E210" s="164" t="s">
        <v>110</v>
      </c>
      <c r="F210" s="164" t="s">
        <v>121</v>
      </c>
      <c r="G210" s="161">
        <f>$O$7</f>
        <v>1</v>
      </c>
      <c r="H210" s="185">
        <v>800</v>
      </c>
      <c r="I210" s="216">
        <v>0</v>
      </c>
      <c r="J210" s="185">
        <f t="shared" si="45"/>
        <v>800</v>
      </c>
      <c r="K210" s="217">
        <f>J210*G210</f>
        <v>800</v>
      </c>
      <c r="M210" s="170" t="s">
        <v>484</v>
      </c>
      <c r="N210" s="170"/>
      <c r="O210" s="170"/>
      <c r="P210" s="170"/>
      <c r="Q210" s="170"/>
      <c r="R210" s="170"/>
      <c r="S210" s="170"/>
      <c r="T210" s="170"/>
      <c r="U210" s="170"/>
      <c r="V210" s="170"/>
      <c r="W210" s="170"/>
      <c r="X210" s="219"/>
    </row>
    <row r="211" spans="1:24">
      <c r="A211" s="33" t="s">
        <v>485</v>
      </c>
      <c r="B211" s="305" t="s">
        <v>486</v>
      </c>
      <c r="C211" s="305"/>
      <c r="D211" s="305"/>
      <c r="E211" s="343"/>
      <c r="F211" s="343"/>
      <c r="G211" s="147"/>
      <c r="H211" s="344"/>
      <c r="I211" s="345"/>
      <c r="J211" s="344"/>
      <c r="K211" s="346"/>
      <c r="L211" s="230">
        <f>SUM(K212:K215)</f>
        <v>521084</v>
      </c>
      <c r="M211" s="170"/>
      <c r="N211" s="170"/>
      <c r="O211" s="170"/>
      <c r="P211" s="170"/>
      <c r="Q211" s="170"/>
      <c r="R211" s="170"/>
      <c r="S211" s="170"/>
      <c r="T211" s="170"/>
      <c r="U211" s="170"/>
      <c r="V211" s="170"/>
      <c r="W211" s="170"/>
      <c r="X211" s="219"/>
    </row>
    <row r="212" spans="1:24">
      <c r="A212" s="166" t="s">
        <v>487</v>
      </c>
      <c r="B212" s="176" t="s">
        <v>488</v>
      </c>
      <c r="C212" s="176" t="s">
        <v>103</v>
      </c>
      <c r="D212" s="176" t="s">
        <v>115</v>
      </c>
      <c r="E212" s="176" t="s">
        <v>116</v>
      </c>
      <c r="F212" s="176" t="s">
        <v>10</v>
      </c>
      <c r="G212" s="167">
        <f>$E$8</f>
        <v>194</v>
      </c>
      <c r="H212" s="413">
        <v>581</v>
      </c>
      <c r="I212" s="414">
        <v>0</v>
      </c>
      <c r="J212" s="415">
        <f t="shared" ref="J212:J215" si="46">H212*(1+I212)</f>
        <v>581</v>
      </c>
      <c r="K212" s="416">
        <f>J212*G212</f>
        <v>112714</v>
      </c>
      <c r="M212" s="170" t="s">
        <v>875</v>
      </c>
      <c r="N212" s="170"/>
      <c r="O212" s="170"/>
      <c r="P212" s="170"/>
      <c r="Q212" s="170"/>
      <c r="R212" s="170"/>
      <c r="S212" s="170"/>
      <c r="T212" s="170"/>
      <c r="U212" s="170"/>
      <c r="V212" s="170"/>
      <c r="W212" s="170"/>
      <c r="X212" s="219"/>
    </row>
    <row r="213" spans="1:24">
      <c r="A213" s="228" t="s">
        <v>489</v>
      </c>
      <c r="B213" s="164" t="s">
        <v>490</v>
      </c>
      <c r="C213" s="164" t="s">
        <v>103</v>
      </c>
      <c r="D213" s="164" t="s">
        <v>109</v>
      </c>
      <c r="E213" s="164" t="s">
        <v>195</v>
      </c>
      <c r="F213" s="164" t="s">
        <v>10</v>
      </c>
      <c r="G213" s="161">
        <f>$E$8</f>
        <v>194</v>
      </c>
      <c r="H213" s="185">
        <v>442</v>
      </c>
      <c r="I213" s="216">
        <v>0</v>
      </c>
      <c r="J213" s="185">
        <f t="shared" si="46"/>
        <v>442</v>
      </c>
      <c r="K213" s="217">
        <f>J213*G213</f>
        <v>85748</v>
      </c>
      <c r="M213" s="170" t="s">
        <v>876</v>
      </c>
      <c r="N213" s="170"/>
      <c r="O213" s="170"/>
      <c r="P213" s="170"/>
      <c r="Q213" s="170"/>
      <c r="R213" s="170"/>
      <c r="S213" s="170"/>
      <c r="T213" s="170"/>
      <c r="U213" s="170"/>
      <c r="V213" s="170"/>
      <c r="W213" s="170"/>
      <c r="X213" s="219"/>
    </row>
    <row r="214" spans="1:24">
      <c r="A214" s="37" t="s">
        <v>491</v>
      </c>
      <c r="B214" s="164" t="s">
        <v>492</v>
      </c>
      <c r="C214" s="164" t="s">
        <v>103</v>
      </c>
      <c r="D214" s="164" t="s">
        <v>115</v>
      </c>
      <c r="E214" s="164" t="s">
        <v>116</v>
      </c>
      <c r="F214" s="164" t="s">
        <v>10</v>
      </c>
      <c r="G214" s="161">
        <f>$E$8</f>
        <v>194</v>
      </c>
      <c r="H214" s="185">
        <f>1663-7500/194</f>
        <v>1624.340206185567</v>
      </c>
      <c r="I214" s="216">
        <v>0</v>
      </c>
      <c r="J214" s="185">
        <f t="shared" ref="J214" si="47">H214*(1+I214)</f>
        <v>1624.340206185567</v>
      </c>
      <c r="K214" s="217">
        <f>J214*G214</f>
        <v>315122</v>
      </c>
      <c r="M214" s="170"/>
      <c r="N214" s="170"/>
      <c r="O214" s="170"/>
      <c r="P214" s="170"/>
      <c r="Q214" s="170"/>
      <c r="R214" s="170"/>
      <c r="S214" s="170"/>
      <c r="T214" s="170"/>
      <c r="U214" s="170"/>
      <c r="V214" s="170"/>
      <c r="W214" s="170"/>
      <c r="X214" s="219"/>
    </row>
    <row r="215" spans="1:24">
      <c r="A215" s="37" t="s">
        <v>877</v>
      </c>
      <c r="B215" s="164" t="s">
        <v>492</v>
      </c>
      <c r="C215" s="164" t="s">
        <v>103</v>
      </c>
      <c r="D215" s="164" t="s">
        <v>123</v>
      </c>
      <c r="E215" s="164" t="s">
        <v>110</v>
      </c>
      <c r="F215" s="164" t="s">
        <v>121</v>
      </c>
      <c r="G215" s="161">
        <v>1</v>
      </c>
      <c r="H215" s="185">
        <v>7500</v>
      </c>
      <c r="I215" s="216">
        <v>0</v>
      </c>
      <c r="J215" s="185">
        <f t="shared" si="46"/>
        <v>7500</v>
      </c>
      <c r="K215" s="217">
        <f>J215*G215</f>
        <v>7500</v>
      </c>
      <c r="M215" s="530" t="s">
        <v>846</v>
      </c>
      <c r="N215" s="170"/>
      <c r="O215" s="170"/>
      <c r="P215" s="170"/>
      <c r="Q215" s="170"/>
      <c r="R215" s="170"/>
      <c r="S215" s="170"/>
      <c r="T215" s="170"/>
      <c r="U215" s="170"/>
      <c r="V215" s="170"/>
      <c r="W215" s="170"/>
      <c r="X215" s="219"/>
    </row>
    <row r="216" spans="1:24">
      <c r="A216" s="33" t="s">
        <v>493</v>
      </c>
      <c r="B216" s="305" t="s">
        <v>494</v>
      </c>
      <c r="C216" s="305"/>
      <c r="D216" s="305"/>
      <c r="E216" s="343"/>
      <c r="F216" s="343"/>
      <c r="G216" s="147"/>
      <c r="H216" s="344"/>
      <c r="I216" s="345"/>
      <c r="J216" s="344"/>
      <c r="K216" s="346"/>
      <c r="L216" s="230">
        <f>SUM(K217:K225)</f>
        <v>347262</v>
      </c>
      <c r="M216" s="170"/>
      <c r="N216" s="170"/>
      <c r="O216" s="170"/>
      <c r="P216" s="170"/>
      <c r="Q216" s="170"/>
      <c r="R216" s="170"/>
      <c r="S216" s="170"/>
      <c r="T216" s="170"/>
      <c r="U216" s="170"/>
      <c r="V216" s="170"/>
      <c r="W216" s="170"/>
      <c r="X216" s="219"/>
    </row>
    <row r="217" spans="1:24">
      <c r="A217" s="35" t="s">
        <v>495</v>
      </c>
      <c r="B217" s="176" t="s">
        <v>496</v>
      </c>
      <c r="C217" s="176" t="s">
        <v>103</v>
      </c>
      <c r="D217" s="176" t="s">
        <v>109</v>
      </c>
      <c r="E217" s="176" t="s">
        <v>110</v>
      </c>
      <c r="F217" s="176" t="s">
        <v>464</v>
      </c>
      <c r="G217" s="423">
        <f>$B$9</f>
        <v>4.9000000000000004</v>
      </c>
      <c r="H217" s="413">
        <v>6500</v>
      </c>
      <c r="I217" s="414">
        <v>0</v>
      </c>
      <c r="J217" s="415">
        <f t="shared" ref="J217:J225" si="48">H217*(1+I217)</f>
        <v>6500</v>
      </c>
      <c r="K217" s="217">
        <f>J217*G217</f>
        <v>31850.000000000004</v>
      </c>
      <c r="M217" s="170"/>
      <c r="N217" s="170"/>
      <c r="O217" s="170"/>
      <c r="P217" s="170"/>
      <c r="Q217" s="170"/>
      <c r="R217" s="170"/>
      <c r="S217" s="170"/>
      <c r="T217" s="170"/>
      <c r="U217" s="170"/>
      <c r="V217" s="170"/>
      <c r="W217" s="170"/>
      <c r="X217" s="219"/>
    </row>
    <row r="218" spans="1:24">
      <c r="A218" s="37" t="s">
        <v>497</v>
      </c>
      <c r="B218" s="164" t="s">
        <v>498</v>
      </c>
      <c r="C218" s="164" t="s">
        <v>103</v>
      </c>
      <c r="D218" s="164" t="s">
        <v>109</v>
      </c>
      <c r="E218" s="164" t="s">
        <v>110</v>
      </c>
      <c r="F218" s="164" t="s">
        <v>464</v>
      </c>
      <c r="G218" s="422">
        <f>$B$9</f>
        <v>4.9000000000000004</v>
      </c>
      <c r="H218" s="185">
        <v>3500</v>
      </c>
      <c r="I218" s="216">
        <v>0</v>
      </c>
      <c r="J218" s="185">
        <f t="shared" si="48"/>
        <v>3500</v>
      </c>
      <c r="K218" s="217">
        <f t="shared" ref="K218:K225" si="49">J218*G218</f>
        <v>17150</v>
      </c>
      <c r="M218" s="170"/>
      <c r="N218" s="170"/>
      <c r="O218" s="170"/>
      <c r="P218" s="170"/>
      <c r="Q218" s="170"/>
      <c r="R218" s="170"/>
      <c r="S218" s="170"/>
      <c r="T218" s="170"/>
      <c r="U218" s="170"/>
      <c r="V218" s="170"/>
      <c r="W218" s="170"/>
      <c r="X218" s="219"/>
    </row>
    <row r="219" spans="1:24">
      <c r="A219" s="37" t="s">
        <v>878</v>
      </c>
      <c r="B219" s="164" t="s">
        <v>500</v>
      </c>
      <c r="C219" s="164" t="s">
        <v>103</v>
      </c>
      <c r="D219" s="164" t="s">
        <v>109</v>
      </c>
      <c r="E219" s="164" t="s">
        <v>110</v>
      </c>
      <c r="F219" s="164" t="s">
        <v>121</v>
      </c>
      <c r="G219" s="161">
        <v>0</v>
      </c>
      <c r="H219" s="185">
        <v>10000</v>
      </c>
      <c r="I219" s="216">
        <v>0</v>
      </c>
      <c r="J219" s="185">
        <f t="shared" ref="J219" si="50">H219*(1+I219)</f>
        <v>10000</v>
      </c>
      <c r="K219" s="531">
        <f t="shared" ref="K219" si="51">J219*G219</f>
        <v>0</v>
      </c>
      <c r="M219" s="170"/>
      <c r="N219" s="170"/>
      <c r="O219" s="170"/>
      <c r="P219" s="170"/>
      <c r="Q219" s="170"/>
      <c r="R219" s="170"/>
      <c r="S219" s="170"/>
      <c r="T219" s="170"/>
      <c r="U219" s="170"/>
      <c r="V219" s="170"/>
      <c r="W219" s="170"/>
      <c r="X219" s="219"/>
    </row>
    <row r="220" spans="1:24">
      <c r="A220" s="37" t="s">
        <v>501</v>
      </c>
      <c r="B220" s="164" t="s">
        <v>502</v>
      </c>
      <c r="C220" s="164" t="s">
        <v>103</v>
      </c>
      <c r="D220" s="164" t="s">
        <v>109</v>
      </c>
      <c r="E220" s="164" t="s">
        <v>110</v>
      </c>
      <c r="F220" s="164" t="s">
        <v>121</v>
      </c>
      <c r="G220" s="161">
        <v>1</v>
      </c>
      <c r="H220" s="185">
        <v>25000</v>
      </c>
      <c r="I220" s="216">
        <v>0</v>
      </c>
      <c r="J220" s="185">
        <f t="shared" si="48"/>
        <v>25000</v>
      </c>
      <c r="K220" s="531">
        <f t="shared" si="49"/>
        <v>25000</v>
      </c>
      <c r="M220" s="170" t="s">
        <v>503</v>
      </c>
      <c r="N220" s="170"/>
      <c r="O220" s="170"/>
      <c r="P220" s="170"/>
      <c r="Q220" s="170"/>
      <c r="R220" s="170"/>
      <c r="S220" s="170"/>
      <c r="T220" s="170"/>
      <c r="U220" s="170"/>
      <c r="V220" s="170"/>
      <c r="W220" s="170"/>
      <c r="X220" s="219"/>
    </row>
    <row r="221" spans="1:24">
      <c r="A221" s="37" t="s">
        <v>504</v>
      </c>
      <c r="B221" s="164" t="s">
        <v>505</v>
      </c>
      <c r="C221" s="164" t="s">
        <v>103</v>
      </c>
      <c r="D221" s="164" t="s">
        <v>109</v>
      </c>
      <c r="E221" s="164" t="s">
        <v>116</v>
      </c>
      <c r="F221" s="164" t="s">
        <v>121</v>
      </c>
      <c r="G221" s="161">
        <v>1</v>
      </c>
      <c r="H221" s="185">
        <v>156000</v>
      </c>
      <c r="I221" s="216">
        <v>0</v>
      </c>
      <c r="J221" s="185">
        <f t="shared" si="48"/>
        <v>156000</v>
      </c>
      <c r="K221" s="531">
        <f t="shared" si="49"/>
        <v>156000</v>
      </c>
      <c r="M221" s="170" t="s">
        <v>503</v>
      </c>
      <c r="N221" s="170"/>
      <c r="O221" s="170"/>
      <c r="P221" s="170"/>
      <c r="Q221" s="170"/>
      <c r="R221" s="170"/>
      <c r="S221" s="170"/>
      <c r="T221" s="170"/>
      <c r="U221" s="170"/>
      <c r="V221" s="170"/>
      <c r="W221" s="170"/>
      <c r="X221" s="219"/>
    </row>
    <row r="222" spans="1:24">
      <c r="A222" s="37" t="s">
        <v>506</v>
      </c>
      <c r="B222" s="164" t="s">
        <v>507</v>
      </c>
      <c r="C222" s="164" t="s">
        <v>103</v>
      </c>
      <c r="D222" s="164" t="s">
        <v>109</v>
      </c>
      <c r="E222" s="164" t="s">
        <v>116</v>
      </c>
      <c r="F222" s="164" t="s">
        <v>121</v>
      </c>
      <c r="G222" s="161">
        <v>1</v>
      </c>
      <c r="H222" s="185">
        <v>5012</v>
      </c>
      <c r="I222" s="216">
        <v>0</v>
      </c>
      <c r="J222" s="185">
        <f t="shared" si="48"/>
        <v>5012</v>
      </c>
      <c r="K222" s="531">
        <f t="shared" si="49"/>
        <v>5012</v>
      </c>
      <c r="M222" s="170" t="s">
        <v>503</v>
      </c>
      <c r="N222" s="170"/>
      <c r="O222" s="170"/>
      <c r="P222" s="170"/>
      <c r="Q222" s="170"/>
      <c r="R222" s="170"/>
      <c r="S222" s="170"/>
      <c r="T222" s="170"/>
      <c r="U222" s="170"/>
      <c r="V222" s="170"/>
      <c r="W222" s="170"/>
      <c r="X222" s="219"/>
    </row>
    <row r="223" spans="1:24">
      <c r="A223" s="37" t="s">
        <v>508</v>
      </c>
      <c r="B223" s="164" t="s">
        <v>509</v>
      </c>
      <c r="C223" s="164" t="s">
        <v>103</v>
      </c>
      <c r="D223" s="164" t="s">
        <v>109</v>
      </c>
      <c r="E223" s="164" t="s">
        <v>110</v>
      </c>
      <c r="F223" s="164" t="s">
        <v>121</v>
      </c>
      <c r="G223" s="161">
        <v>1</v>
      </c>
      <c r="H223" s="185">
        <v>100000</v>
      </c>
      <c r="I223" s="216">
        <v>0</v>
      </c>
      <c r="J223" s="185">
        <f t="shared" si="48"/>
        <v>100000</v>
      </c>
      <c r="K223" s="531">
        <f t="shared" si="49"/>
        <v>100000</v>
      </c>
      <c r="M223" s="170" t="s">
        <v>503</v>
      </c>
      <c r="N223" s="170"/>
      <c r="O223" s="170"/>
      <c r="P223" s="170"/>
      <c r="Q223" s="170"/>
      <c r="R223" s="170"/>
      <c r="S223" s="170"/>
      <c r="T223" s="170"/>
      <c r="U223" s="170"/>
      <c r="V223" s="170"/>
      <c r="W223" s="170"/>
      <c r="X223" s="219"/>
    </row>
    <row r="224" spans="1:24">
      <c r="A224" s="37" t="s">
        <v>510</v>
      </c>
      <c r="B224" s="164" t="s">
        <v>511</v>
      </c>
      <c r="C224" s="164" t="s">
        <v>103</v>
      </c>
      <c r="D224" s="164" t="s">
        <v>109</v>
      </c>
      <c r="E224" s="164" t="s">
        <v>118</v>
      </c>
      <c r="F224" s="164"/>
      <c r="G224" s="161"/>
      <c r="H224" s="185"/>
      <c r="I224" s="216">
        <v>0</v>
      </c>
      <c r="J224" s="185">
        <f t="shared" si="48"/>
        <v>0</v>
      </c>
      <c r="K224" s="217">
        <f t="shared" si="49"/>
        <v>0</v>
      </c>
      <c r="M224" s="170"/>
      <c r="N224" s="170"/>
      <c r="O224" s="170"/>
      <c r="P224" s="170"/>
      <c r="Q224" s="170"/>
      <c r="R224" s="170"/>
      <c r="S224" s="170"/>
      <c r="T224" s="170"/>
      <c r="U224" s="170"/>
      <c r="V224" s="170"/>
      <c r="W224" s="170"/>
      <c r="X224" s="219"/>
    </row>
    <row r="225" spans="1:24">
      <c r="A225" s="37" t="s">
        <v>512</v>
      </c>
      <c r="B225" s="164" t="s">
        <v>513</v>
      </c>
      <c r="C225" s="164" t="s">
        <v>103</v>
      </c>
      <c r="D225" s="164" t="s">
        <v>109</v>
      </c>
      <c r="E225" s="164" t="s">
        <v>110</v>
      </c>
      <c r="F225" s="164" t="s">
        <v>464</v>
      </c>
      <c r="G225" s="422">
        <f>$B$9</f>
        <v>4.9000000000000004</v>
      </c>
      <c r="H225" s="185">
        <v>2500</v>
      </c>
      <c r="I225" s="216">
        <v>0</v>
      </c>
      <c r="J225" s="185">
        <f t="shared" si="48"/>
        <v>2500</v>
      </c>
      <c r="K225" s="217">
        <f t="shared" si="49"/>
        <v>12250</v>
      </c>
      <c r="M225" s="170"/>
      <c r="N225" s="170"/>
      <c r="O225" s="170"/>
      <c r="P225" s="170"/>
      <c r="Q225" s="170"/>
      <c r="R225" s="170"/>
      <c r="S225" s="170"/>
      <c r="T225" s="170"/>
      <c r="U225" s="170"/>
      <c r="V225" s="170"/>
      <c r="W225" s="170"/>
      <c r="X225" s="219"/>
    </row>
    <row r="226" spans="1:24">
      <c r="A226" s="33" t="s">
        <v>514</v>
      </c>
      <c r="B226" s="305" t="s">
        <v>515</v>
      </c>
      <c r="C226" s="305"/>
      <c r="D226" s="305"/>
      <c r="E226" s="343"/>
      <c r="F226" s="343"/>
      <c r="G226" s="147"/>
      <c r="H226" s="344"/>
      <c r="I226" s="345"/>
      <c r="J226" s="344"/>
      <c r="K226" s="346"/>
      <c r="L226" s="230">
        <f>SUM(K227:K263)</f>
        <v>2005246.9073471352</v>
      </c>
      <c r="M226" s="170"/>
      <c r="N226" s="170"/>
      <c r="O226" s="170"/>
      <c r="P226" s="170"/>
      <c r="Q226" s="170"/>
      <c r="R226" s="170"/>
      <c r="S226" s="170"/>
      <c r="T226" s="170"/>
      <c r="U226" s="170"/>
      <c r="V226" s="170"/>
      <c r="W226" s="170"/>
      <c r="X226" s="219"/>
    </row>
    <row r="227" spans="1:24">
      <c r="A227" s="35" t="s">
        <v>516</v>
      </c>
      <c r="B227" s="176" t="s">
        <v>517</v>
      </c>
      <c r="C227" s="176" t="s">
        <v>120</v>
      </c>
      <c r="D227" s="176" t="s">
        <v>109</v>
      </c>
      <c r="E227" s="176" t="s">
        <v>110</v>
      </c>
      <c r="F227" s="176" t="s">
        <v>121</v>
      </c>
      <c r="G227" s="167">
        <v>1</v>
      </c>
      <c r="H227" s="413">
        <v>5000</v>
      </c>
      <c r="I227" s="414">
        <v>0</v>
      </c>
      <c r="J227" s="415">
        <f t="shared" ref="J227:J262" si="52">H227*(1+I227)</f>
        <v>5000</v>
      </c>
      <c r="K227" s="416">
        <f t="shared" ref="K227:K262" si="53">J227*G227</f>
        <v>5000</v>
      </c>
      <c r="M227" s="170"/>
      <c r="N227" s="170"/>
      <c r="O227" s="170"/>
      <c r="P227" s="170"/>
      <c r="Q227" s="170"/>
      <c r="R227" s="170"/>
      <c r="S227" s="170"/>
      <c r="T227" s="170"/>
      <c r="U227" s="170"/>
      <c r="V227" s="170"/>
      <c r="W227" s="170"/>
      <c r="X227" s="219"/>
    </row>
    <row r="228" spans="1:24">
      <c r="A228" s="37" t="s">
        <v>518</v>
      </c>
      <c r="B228" s="164" t="s">
        <v>519</v>
      </c>
      <c r="C228" s="164" t="s">
        <v>103</v>
      </c>
      <c r="D228" s="164" t="s">
        <v>126</v>
      </c>
      <c r="E228" s="164" t="s">
        <v>110</v>
      </c>
      <c r="F228" s="164" t="s">
        <v>121</v>
      </c>
      <c r="G228" s="161">
        <v>1</v>
      </c>
      <c r="H228" s="185">
        <v>2500</v>
      </c>
      <c r="I228" s="216">
        <v>0</v>
      </c>
      <c r="J228" s="185">
        <f t="shared" si="52"/>
        <v>2500</v>
      </c>
      <c r="K228" s="217">
        <f t="shared" si="53"/>
        <v>2500</v>
      </c>
      <c r="M228" s="170"/>
      <c r="N228" s="170"/>
      <c r="O228" s="170"/>
      <c r="P228" s="170"/>
      <c r="Q228" s="170"/>
      <c r="R228" s="170"/>
      <c r="S228" s="170"/>
      <c r="T228" s="170"/>
      <c r="U228" s="170"/>
      <c r="V228" s="170"/>
      <c r="W228" s="170"/>
      <c r="X228" s="219"/>
    </row>
    <row r="229" spans="1:24">
      <c r="A229" s="37" t="s">
        <v>520</v>
      </c>
      <c r="B229" s="164" t="s">
        <v>521</v>
      </c>
      <c r="C229" s="164" t="s">
        <v>103</v>
      </c>
      <c r="D229" s="164" t="s">
        <v>109</v>
      </c>
      <c r="E229" s="164" t="s">
        <v>110</v>
      </c>
      <c r="F229" s="164" t="s">
        <v>121</v>
      </c>
      <c r="G229" s="161">
        <v>1</v>
      </c>
      <c r="H229" s="185">
        <v>20000</v>
      </c>
      <c r="I229" s="216">
        <v>0</v>
      </c>
      <c r="J229" s="185">
        <f t="shared" si="52"/>
        <v>20000</v>
      </c>
      <c r="K229" s="217">
        <f t="shared" si="53"/>
        <v>20000</v>
      </c>
      <c r="M229" s="170" t="s">
        <v>503</v>
      </c>
      <c r="N229" s="170"/>
      <c r="O229" s="170"/>
      <c r="P229" s="170"/>
      <c r="Q229" s="170"/>
      <c r="R229" s="170"/>
      <c r="S229" s="170"/>
      <c r="T229" s="170"/>
      <c r="U229" s="170"/>
      <c r="V229" s="170"/>
      <c r="W229" s="170"/>
      <c r="X229" s="219"/>
    </row>
    <row r="230" spans="1:24">
      <c r="A230" s="37" t="s">
        <v>522</v>
      </c>
      <c r="B230" s="164" t="s">
        <v>523</v>
      </c>
      <c r="C230" s="164" t="s">
        <v>103</v>
      </c>
      <c r="D230" s="164" t="s">
        <v>109</v>
      </c>
      <c r="E230" s="164" t="s">
        <v>116</v>
      </c>
      <c r="F230" s="164" t="s">
        <v>121</v>
      </c>
      <c r="G230" s="161">
        <v>1</v>
      </c>
      <c r="H230" s="185">
        <v>225069</v>
      </c>
      <c r="I230" s="216">
        <v>0</v>
      </c>
      <c r="J230" s="185">
        <f t="shared" si="52"/>
        <v>225069</v>
      </c>
      <c r="K230" s="531">
        <f t="shared" si="53"/>
        <v>225069</v>
      </c>
      <c r="M230" s="170" t="s">
        <v>503</v>
      </c>
      <c r="N230" s="170"/>
      <c r="O230" s="170"/>
      <c r="P230" s="170"/>
      <c r="Q230" s="170"/>
      <c r="R230" s="170"/>
      <c r="S230" s="170"/>
      <c r="T230" s="170"/>
      <c r="U230" s="170"/>
      <c r="V230" s="170"/>
      <c r="W230" s="170"/>
      <c r="X230" s="219"/>
    </row>
    <row r="231" spans="1:24">
      <c r="A231" s="37" t="s">
        <v>73</v>
      </c>
      <c r="B231" s="164" t="s">
        <v>524</v>
      </c>
      <c r="C231" s="164" t="s">
        <v>103</v>
      </c>
      <c r="D231" s="164" t="s">
        <v>109</v>
      </c>
      <c r="E231" s="164" t="s">
        <v>110</v>
      </c>
      <c r="F231" s="164" t="s">
        <v>15</v>
      </c>
      <c r="G231" s="161">
        <v>75608</v>
      </c>
      <c r="H231" s="185">
        <v>0.2</v>
      </c>
      <c r="I231" s="216">
        <v>0</v>
      </c>
      <c r="J231" s="185">
        <f t="shared" si="52"/>
        <v>0.2</v>
      </c>
      <c r="K231" s="217">
        <f t="shared" si="53"/>
        <v>15121.6</v>
      </c>
      <c r="M231" s="170"/>
      <c r="N231" s="170"/>
      <c r="O231" s="170"/>
      <c r="P231" s="170"/>
      <c r="Q231" s="170"/>
      <c r="R231" s="170"/>
      <c r="S231" s="170"/>
      <c r="T231" s="170"/>
      <c r="U231" s="170"/>
      <c r="V231" s="170"/>
      <c r="W231" s="170"/>
      <c r="X231" s="219"/>
    </row>
    <row r="232" spans="1:24">
      <c r="A232" s="37" t="s">
        <v>47</v>
      </c>
      <c r="B232" s="164" t="s">
        <v>525</v>
      </c>
      <c r="C232" s="164" t="s">
        <v>103</v>
      </c>
      <c r="D232" s="164" t="s">
        <v>126</v>
      </c>
      <c r="E232" s="164" t="s">
        <v>195</v>
      </c>
      <c r="F232" s="164" t="s">
        <v>15</v>
      </c>
      <c r="G232" s="161">
        <f>$R$15</f>
        <v>350</v>
      </c>
      <c r="H232" s="185">
        <v>8.5</v>
      </c>
      <c r="I232" s="216">
        <v>0</v>
      </c>
      <c r="J232" s="185">
        <f t="shared" si="52"/>
        <v>8.5</v>
      </c>
      <c r="K232" s="217">
        <f t="shared" si="53"/>
        <v>2975</v>
      </c>
      <c r="M232" s="170"/>
      <c r="N232" s="170"/>
      <c r="O232" s="170"/>
      <c r="P232" s="170"/>
      <c r="Q232" s="170"/>
      <c r="R232" s="170"/>
      <c r="S232" s="170"/>
      <c r="T232" s="170"/>
      <c r="U232" s="170"/>
      <c r="V232" s="170"/>
      <c r="W232" s="170"/>
      <c r="X232" s="219"/>
    </row>
    <row r="233" spans="1:24">
      <c r="A233" s="37" t="s">
        <v>526</v>
      </c>
      <c r="B233" s="164" t="s">
        <v>527</v>
      </c>
      <c r="C233" s="164" t="s">
        <v>103</v>
      </c>
      <c r="D233" s="164" t="s">
        <v>130</v>
      </c>
      <c r="E233" s="164" t="s">
        <v>195</v>
      </c>
      <c r="F233" s="164" t="s">
        <v>15</v>
      </c>
      <c r="G233" s="161">
        <f>$R$16</f>
        <v>4500</v>
      </c>
      <c r="H233" s="185">
        <v>8.5</v>
      </c>
      <c r="I233" s="216">
        <v>0</v>
      </c>
      <c r="J233" s="185">
        <f t="shared" si="52"/>
        <v>8.5</v>
      </c>
      <c r="K233" s="217">
        <f t="shared" si="53"/>
        <v>38250</v>
      </c>
      <c r="M233" s="170"/>
      <c r="N233" s="170"/>
      <c r="O233" s="170"/>
      <c r="P233" s="170"/>
      <c r="Q233" s="170"/>
      <c r="R233" s="170"/>
      <c r="S233" s="170"/>
      <c r="T233" s="170"/>
      <c r="U233" s="170"/>
      <c r="V233" s="170"/>
      <c r="W233" s="170"/>
      <c r="X233" s="219"/>
    </row>
    <row r="234" spans="1:24">
      <c r="A234" s="37" t="s">
        <v>528</v>
      </c>
      <c r="B234" s="164" t="s">
        <v>529</v>
      </c>
      <c r="C234" s="164" t="s">
        <v>103</v>
      </c>
      <c r="D234" s="164" t="s">
        <v>109</v>
      </c>
      <c r="E234" s="164" t="s">
        <v>116</v>
      </c>
      <c r="F234" s="164" t="s">
        <v>121</v>
      </c>
      <c r="G234" s="161">
        <v>1</v>
      </c>
      <c r="H234" s="185">
        <v>66295</v>
      </c>
      <c r="I234" s="216">
        <v>0</v>
      </c>
      <c r="J234" s="185">
        <f t="shared" si="52"/>
        <v>66295</v>
      </c>
      <c r="K234" s="217">
        <f t="shared" si="53"/>
        <v>66295</v>
      </c>
      <c r="M234" s="170" t="s">
        <v>503</v>
      </c>
      <c r="N234" s="170"/>
      <c r="O234" s="170"/>
      <c r="P234" s="170"/>
      <c r="Q234" s="170"/>
      <c r="R234" s="170"/>
      <c r="S234" s="170"/>
      <c r="T234" s="170"/>
      <c r="U234" s="170"/>
      <c r="V234" s="170"/>
      <c r="W234" s="170"/>
      <c r="X234" s="219"/>
    </row>
    <row r="235" spans="1:24">
      <c r="A235" s="37" t="s">
        <v>530</v>
      </c>
      <c r="B235" s="164" t="s">
        <v>531</v>
      </c>
      <c r="C235" s="164" t="s">
        <v>103</v>
      </c>
      <c r="D235" s="164" t="s">
        <v>109</v>
      </c>
      <c r="E235" s="164" t="s">
        <v>116</v>
      </c>
      <c r="F235" s="164" t="s">
        <v>121</v>
      </c>
      <c r="G235" s="161">
        <v>1</v>
      </c>
      <c r="H235" s="185">
        <v>42120</v>
      </c>
      <c r="I235" s="216">
        <v>0</v>
      </c>
      <c r="J235" s="185">
        <f t="shared" si="52"/>
        <v>42120</v>
      </c>
      <c r="K235" s="217">
        <f t="shared" si="53"/>
        <v>42120</v>
      </c>
      <c r="M235" s="170" t="s">
        <v>503</v>
      </c>
      <c r="N235" s="170"/>
      <c r="O235" s="170"/>
      <c r="P235" s="170"/>
      <c r="Q235" s="170"/>
      <c r="R235" s="170"/>
      <c r="S235" s="170"/>
      <c r="T235" s="170"/>
      <c r="U235" s="170"/>
      <c r="V235" s="170"/>
      <c r="W235" s="170"/>
      <c r="X235" s="219"/>
    </row>
    <row r="236" spans="1:24">
      <c r="A236" s="206" t="s">
        <v>532</v>
      </c>
      <c r="B236" s="164" t="s">
        <v>533</v>
      </c>
      <c r="C236" s="164" t="s">
        <v>103</v>
      </c>
      <c r="D236" s="164" t="s">
        <v>109</v>
      </c>
      <c r="E236" s="164" t="s">
        <v>116</v>
      </c>
      <c r="F236" s="164" t="s">
        <v>121</v>
      </c>
      <c r="G236" s="161">
        <v>1</v>
      </c>
      <c r="H236" s="185">
        <v>89086</v>
      </c>
      <c r="I236" s="216">
        <v>0</v>
      </c>
      <c r="J236" s="185">
        <f t="shared" si="52"/>
        <v>89086</v>
      </c>
      <c r="K236" s="217">
        <f t="shared" si="53"/>
        <v>89086</v>
      </c>
      <c r="M236" s="170" t="s">
        <v>503</v>
      </c>
      <c r="N236" s="170"/>
      <c r="O236" s="170"/>
      <c r="P236" s="170"/>
      <c r="Q236" s="170"/>
      <c r="R236" s="170"/>
      <c r="S236" s="170"/>
      <c r="T236" s="170"/>
      <c r="U236" s="170"/>
      <c r="V236" s="170"/>
      <c r="W236" s="170"/>
      <c r="X236" s="219"/>
    </row>
    <row r="237" spans="1:24">
      <c r="A237" s="37" t="s">
        <v>534</v>
      </c>
      <c r="B237" s="164" t="s">
        <v>535</v>
      </c>
      <c r="C237" s="164" t="s">
        <v>103</v>
      </c>
      <c r="D237" s="164" t="s">
        <v>126</v>
      </c>
      <c r="E237" s="164" t="s">
        <v>118</v>
      </c>
      <c r="F237" s="164"/>
      <c r="G237" s="161"/>
      <c r="H237" s="185"/>
      <c r="I237" s="216">
        <v>0</v>
      </c>
      <c r="J237" s="185">
        <f t="shared" si="52"/>
        <v>0</v>
      </c>
      <c r="K237" s="217">
        <f t="shared" si="53"/>
        <v>0</v>
      </c>
      <c r="M237" s="170"/>
      <c r="N237" s="170"/>
      <c r="O237" s="170"/>
      <c r="P237" s="170"/>
      <c r="Q237" s="170"/>
      <c r="R237" s="170"/>
      <c r="S237" s="170"/>
      <c r="T237" s="170"/>
      <c r="U237" s="170"/>
      <c r="V237" s="170"/>
      <c r="W237" s="170"/>
      <c r="X237" s="219"/>
    </row>
    <row r="238" spans="1:24">
      <c r="A238" s="37" t="s">
        <v>536</v>
      </c>
      <c r="B238" s="164" t="s">
        <v>537</v>
      </c>
      <c r="C238" s="164" t="s">
        <v>103</v>
      </c>
      <c r="D238" s="164" t="s">
        <v>130</v>
      </c>
      <c r="E238" s="164" t="s">
        <v>110</v>
      </c>
      <c r="F238" s="164" t="s">
        <v>121</v>
      </c>
      <c r="G238" s="161">
        <f>$O$7</f>
        <v>1</v>
      </c>
      <c r="H238" s="185">
        <v>10000</v>
      </c>
      <c r="I238" s="216">
        <v>0</v>
      </c>
      <c r="J238" s="185">
        <f t="shared" si="52"/>
        <v>10000</v>
      </c>
      <c r="K238" s="217">
        <f t="shared" si="53"/>
        <v>10000</v>
      </c>
      <c r="M238" s="170"/>
      <c r="N238" s="170"/>
      <c r="O238" s="170"/>
      <c r="P238" s="170"/>
      <c r="Q238" s="170"/>
      <c r="R238" s="170"/>
      <c r="S238" s="170"/>
      <c r="T238" s="170"/>
      <c r="U238" s="170"/>
      <c r="V238" s="170"/>
      <c r="W238" s="170"/>
      <c r="X238" s="219"/>
    </row>
    <row r="239" spans="1:24">
      <c r="A239" s="37" t="s">
        <v>538</v>
      </c>
      <c r="B239" s="164" t="s">
        <v>539</v>
      </c>
      <c r="C239" s="164" t="s">
        <v>103</v>
      </c>
      <c r="D239" s="164" t="s">
        <v>109</v>
      </c>
      <c r="E239" s="164" t="s">
        <v>110</v>
      </c>
      <c r="F239" s="164" t="s">
        <v>464</v>
      </c>
      <c r="G239" s="422">
        <f>$B$9</f>
        <v>4.9000000000000004</v>
      </c>
      <c r="H239" s="185">
        <v>2500</v>
      </c>
      <c r="I239" s="216">
        <v>0</v>
      </c>
      <c r="J239" s="185">
        <f t="shared" si="52"/>
        <v>2500</v>
      </c>
      <c r="K239" s="217">
        <f t="shared" si="53"/>
        <v>12250</v>
      </c>
      <c r="M239" s="170"/>
      <c r="N239" s="170"/>
      <c r="O239" s="170"/>
      <c r="P239" s="170"/>
      <c r="Q239" s="170"/>
      <c r="R239" s="170"/>
      <c r="S239" s="170"/>
      <c r="T239" s="170"/>
      <c r="U239" s="170"/>
      <c r="V239" s="170"/>
      <c r="W239" s="170"/>
      <c r="X239" s="219"/>
    </row>
    <row r="240" spans="1:24">
      <c r="A240" s="37" t="s">
        <v>540</v>
      </c>
      <c r="B240" s="164" t="s">
        <v>541</v>
      </c>
      <c r="C240" s="164" t="s">
        <v>103</v>
      </c>
      <c r="D240" s="164" t="s">
        <v>109</v>
      </c>
      <c r="E240" s="164" t="s">
        <v>116</v>
      </c>
      <c r="F240" s="164" t="s">
        <v>121</v>
      </c>
      <c r="G240" s="161">
        <v>1</v>
      </c>
      <c r="H240" s="185">
        <v>92505</v>
      </c>
      <c r="I240" s="216">
        <v>0</v>
      </c>
      <c r="J240" s="185">
        <f t="shared" si="52"/>
        <v>92505</v>
      </c>
      <c r="K240" s="217">
        <f t="shared" si="53"/>
        <v>92505</v>
      </c>
      <c r="M240" s="170" t="s">
        <v>542</v>
      </c>
      <c r="N240" s="170"/>
      <c r="O240" s="170"/>
      <c r="P240" s="170"/>
      <c r="Q240" s="170"/>
      <c r="R240" s="170"/>
      <c r="S240" s="170"/>
      <c r="T240" s="170"/>
      <c r="U240" s="170"/>
      <c r="V240" s="170"/>
      <c r="W240" s="170"/>
      <c r="X240" s="219"/>
    </row>
    <row r="241" spans="1:24">
      <c r="A241" s="37" t="s">
        <v>543</v>
      </c>
      <c r="B241" s="164" t="s">
        <v>544</v>
      </c>
      <c r="C241" s="164" t="s">
        <v>103</v>
      </c>
      <c r="D241" s="164" t="s">
        <v>126</v>
      </c>
      <c r="E241" s="164" t="s">
        <v>116</v>
      </c>
      <c r="F241" s="164" t="s">
        <v>32</v>
      </c>
      <c r="G241" s="161">
        <f>$O$5</f>
        <v>4</v>
      </c>
      <c r="H241" s="185">
        <v>2485</v>
      </c>
      <c r="I241" s="216">
        <v>0</v>
      </c>
      <c r="J241" s="185">
        <f t="shared" si="52"/>
        <v>2485</v>
      </c>
      <c r="K241" s="217">
        <f t="shared" si="53"/>
        <v>9940</v>
      </c>
      <c r="M241" s="170"/>
      <c r="N241" s="170"/>
      <c r="O241" s="170"/>
      <c r="P241" s="170"/>
      <c r="Q241" s="170"/>
      <c r="R241" s="170"/>
      <c r="S241" s="170"/>
      <c r="T241" s="170"/>
      <c r="U241" s="170"/>
      <c r="V241" s="170"/>
      <c r="W241" s="170"/>
      <c r="X241" s="219"/>
    </row>
    <row r="242" spans="1:24">
      <c r="A242" s="37" t="s">
        <v>545</v>
      </c>
      <c r="B242" s="164" t="s">
        <v>546</v>
      </c>
      <c r="C242" s="164" t="s">
        <v>281</v>
      </c>
      <c r="D242" s="164" t="s">
        <v>126</v>
      </c>
      <c r="E242" s="164" t="s">
        <v>110</v>
      </c>
      <c r="F242" s="164" t="s">
        <v>121</v>
      </c>
      <c r="G242" s="161">
        <v>1</v>
      </c>
      <c r="H242" s="185">
        <v>10000</v>
      </c>
      <c r="I242" s="216">
        <v>0</v>
      </c>
      <c r="J242" s="185">
        <f t="shared" si="52"/>
        <v>10000</v>
      </c>
      <c r="K242" s="217">
        <f t="shared" si="53"/>
        <v>10000</v>
      </c>
      <c r="M242" s="170"/>
      <c r="N242" s="170"/>
      <c r="O242" s="170"/>
      <c r="P242" s="170"/>
      <c r="Q242" s="170"/>
      <c r="R242" s="170"/>
      <c r="S242" s="170"/>
      <c r="T242" s="170"/>
      <c r="U242" s="170"/>
      <c r="V242" s="170"/>
      <c r="W242" s="170"/>
      <c r="X242" s="219"/>
    </row>
    <row r="243" spans="1:24">
      <c r="A243" s="37" t="s">
        <v>547</v>
      </c>
      <c r="B243" s="164" t="s">
        <v>548</v>
      </c>
      <c r="C243" s="164" t="s">
        <v>103</v>
      </c>
      <c r="D243" s="164" t="s">
        <v>109</v>
      </c>
      <c r="E243" s="164" t="s">
        <v>110</v>
      </c>
      <c r="F243" s="164" t="s">
        <v>549</v>
      </c>
      <c r="G243" s="161">
        <v>150</v>
      </c>
      <c r="H243" s="185">
        <v>70</v>
      </c>
      <c r="I243" s="216">
        <v>0</v>
      </c>
      <c r="J243" s="185">
        <f t="shared" si="52"/>
        <v>70</v>
      </c>
      <c r="K243" s="217">
        <f t="shared" si="53"/>
        <v>10500</v>
      </c>
      <c r="M243" s="170"/>
      <c r="N243" s="170"/>
      <c r="O243" s="170"/>
      <c r="P243" s="170"/>
      <c r="Q243" s="170"/>
      <c r="R243" s="170"/>
      <c r="S243" s="170"/>
      <c r="T243" s="170"/>
      <c r="U243" s="170"/>
      <c r="V243" s="170"/>
      <c r="W243" s="170"/>
      <c r="X243" s="219"/>
    </row>
    <row r="244" spans="1:24">
      <c r="A244" s="37" t="s">
        <v>70</v>
      </c>
      <c r="B244" s="164" t="s">
        <v>551</v>
      </c>
      <c r="C244" s="164" t="s">
        <v>103</v>
      </c>
      <c r="D244" s="164" t="s">
        <v>130</v>
      </c>
      <c r="E244" s="164" t="s">
        <v>116</v>
      </c>
      <c r="F244" s="164" t="s">
        <v>549</v>
      </c>
      <c r="G244" s="161">
        <v>300</v>
      </c>
      <c r="H244" s="185">
        <v>70</v>
      </c>
      <c r="I244" s="216">
        <v>0</v>
      </c>
      <c r="J244" s="185">
        <f t="shared" si="52"/>
        <v>70</v>
      </c>
      <c r="K244" s="217">
        <f t="shared" si="53"/>
        <v>21000</v>
      </c>
      <c r="M244" s="170"/>
      <c r="N244" s="170"/>
      <c r="O244" s="170"/>
      <c r="P244" s="170"/>
      <c r="Q244" s="170"/>
      <c r="R244" s="170"/>
      <c r="S244" s="170"/>
      <c r="T244" s="170"/>
      <c r="U244" s="170"/>
      <c r="V244" s="170"/>
      <c r="W244" s="170"/>
      <c r="X244" s="219"/>
    </row>
    <row r="245" spans="1:24">
      <c r="A245" s="37" t="s">
        <v>553</v>
      </c>
      <c r="B245" s="164" t="s">
        <v>551</v>
      </c>
      <c r="C245" s="164" t="s">
        <v>103</v>
      </c>
      <c r="D245" s="164" t="s">
        <v>130</v>
      </c>
      <c r="E245" s="164" t="s">
        <v>116</v>
      </c>
      <c r="F245" s="164" t="s">
        <v>32</v>
      </c>
      <c r="G245" s="161">
        <f>$O$7*2</f>
        <v>2</v>
      </c>
      <c r="H245" s="185">
        <v>1950</v>
      </c>
      <c r="I245" s="216">
        <v>0</v>
      </c>
      <c r="J245" s="185">
        <f t="shared" si="52"/>
        <v>1950</v>
      </c>
      <c r="K245" s="217">
        <f t="shared" si="53"/>
        <v>3900</v>
      </c>
      <c r="M245" s="170"/>
      <c r="N245" s="170"/>
      <c r="O245" s="170"/>
      <c r="P245" s="170"/>
      <c r="Q245" s="170"/>
      <c r="R245" s="170"/>
      <c r="S245" s="170"/>
      <c r="T245" s="170"/>
      <c r="U245" s="170"/>
      <c r="V245" s="170"/>
      <c r="W245" s="170"/>
      <c r="X245" s="219"/>
    </row>
    <row r="246" spans="1:24">
      <c r="A246" s="37" t="s">
        <v>554</v>
      </c>
      <c r="B246" s="164" t="s">
        <v>555</v>
      </c>
      <c r="C246" s="164" t="s">
        <v>103</v>
      </c>
      <c r="D246" s="164" t="s">
        <v>109</v>
      </c>
      <c r="E246" s="164" t="s">
        <v>116</v>
      </c>
      <c r="F246" s="164" t="s">
        <v>121</v>
      </c>
      <c r="G246" s="161">
        <v>1</v>
      </c>
      <c r="H246" s="185">
        <v>6000</v>
      </c>
      <c r="I246" s="216">
        <v>0</v>
      </c>
      <c r="J246" s="185">
        <f t="shared" si="52"/>
        <v>6000</v>
      </c>
      <c r="K246" s="217">
        <f t="shared" si="53"/>
        <v>6000</v>
      </c>
      <c r="M246" s="170" t="s">
        <v>879</v>
      </c>
      <c r="N246" s="170"/>
      <c r="O246" s="170"/>
      <c r="P246" s="170"/>
      <c r="Q246" s="170"/>
      <c r="R246" s="170"/>
      <c r="S246" s="170"/>
      <c r="T246" s="170"/>
      <c r="U246" s="170"/>
      <c r="V246" s="170"/>
      <c r="W246" s="170"/>
      <c r="X246" s="219"/>
    </row>
    <row r="247" spans="1:24">
      <c r="A247" s="37" t="s">
        <v>556</v>
      </c>
      <c r="B247" s="164" t="s">
        <v>557</v>
      </c>
      <c r="C247" s="164" t="s">
        <v>103</v>
      </c>
      <c r="D247" s="164" t="s">
        <v>109</v>
      </c>
      <c r="E247" s="164" t="s">
        <v>110</v>
      </c>
      <c r="F247" s="164" t="s">
        <v>121</v>
      </c>
      <c r="G247" s="161">
        <v>1</v>
      </c>
      <c r="H247" s="185">
        <v>0</v>
      </c>
      <c r="I247" s="216">
        <v>0</v>
      </c>
      <c r="J247" s="185">
        <f t="shared" si="52"/>
        <v>0</v>
      </c>
      <c r="K247" s="217">
        <f t="shared" si="53"/>
        <v>0</v>
      </c>
      <c r="M247" s="170"/>
      <c r="N247" s="170"/>
      <c r="O247" s="170"/>
      <c r="P247" s="170"/>
      <c r="Q247" s="170"/>
      <c r="R247" s="170"/>
      <c r="S247" s="170"/>
      <c r="T247" s="170"/>
      <c r="U247" s="170"/>
      <c r="V247" s="170"/>
      <c r="W247" s="170"/>
      <c r="X247" s="219"/>
    </row>
    <row r="248" spans="1:24">
      <c r="A248" s="37" t="s">
        <v>558</v>
      </c>
      <c r="B248" s="164" t="s">
        <v>559</v>
      </c>
      <c r="C248" s="164" t="s">
        <v>103</v>
      </c>
      <c r="D248" s="164" t="s">
        <v>109</v>
      </c>
      <c r="E248" s="164" t="s">
        <v>118</v>
      </c>
      <c r="F248" s="164"/>
      <c r="G248" s="161"/>
      <c r="H248" s="185">
        <v>44</v>
      </c>
      <c r="I248" s="216">
        <v>0</v>
      </c>
      <c r="J248" s="185">
        <f t="shared" si="52"/>
        <v>44</v>
      </c>
      <c r="K248" s="217">
        <f t="shared" si="53"/>
        <v>0</v>
      </c>
      <c r="M248" s="170"/>
      <c r="N248" s="170"/>
      <c r="O248" s="170"/>
      <c r="P248" s="170"/>
      <c r="Q248" s="170"/>
      <c r="R248" s="170"/>
      <c r="S248" s="170"/>
      <c r="T248" s="170"/>
      <c r="U248" s="170"/>
      <c r="V248" s="170"/>
      <c r="W248" s="170"/>
      <c r="X248" s="219"/>
    </row>
    <row r="249" spans="1:24">
      <c r="A249" s="37" t="s">
        <v>560</v>
      </c>
      <c r="B249" s="164" t="s">
        <v>561</v>
      </c>
      <c r="C249" s="164" t="s">
        <v>103</v>
      </c>
      <c r="D249" s="164" t="s">
        <v>109</v>
      </c>
      <c r="E249" s="164" t="s">
        <v>461</v>
      </c>
      <c r="F249" s="164" t="s">
        <v>121</v>
      </c>
      <c r="G249" s="161">
        <v>2</v>
      </c>
      <c r="H249" s="185">
        <v>1950</v>
      </c>
      <c r="I249" s="216">
        <v>0</v>
      </c>
      <c r="J249" s="185">
        <f t="shared" si="52"/>
        <v>1950</v>
      </c>
      <c r="K249" s="217">
        <f t="shared" si="53"/>
        <v>3900</v>
      </c>
      <c r="M249" s="170"/>
      <c r="N249" s="170"/>
      <c r="O249" s="170"/>
      <c r="P249" s="170"/>
      <c r="Q249" s="170"/>
      <c r="R249" s="170"/>
      <c r="S249" s="170"/>
      <c r="T249" s="170"/>
      <c r="U249" s="170"/>
      <c r="V249" s="170"/>
      <c r="W249" s="170"/>
      <c r="X249" s="219"/>
    </row>
    <row r="250" spans="1:24">
      <c r="A250" s="37" t="s">
        <v>562</v>
      </c>
      <c r="B250" s="164" t="s">
        <v>563</v>
      </c>
      <c r="C250" s="164" t="s">
        <v>103</v>
      </c>
      <c r="D250" s="164" t="s">
        <v>109</v>
      </c>
      <c r="E250" s="164" t="s">
        <v>110</v>
      </c>
      <c r="F250" s="164" t="s">
        <v>121</v>
      </c>
      <c r="G250" s="422">
        <v>1</v>
      </c>
      <c r="H250" s="185">
        <v>15000</v>
      </c>
      <c r="I250" s="216">
        <v>0</v>
      </c>
      <c r="J250" s="185">
        <f t="shared" si="52"/>
        <v>15000</v>
      </c>
      <c r="K250" s="217">
        <f t="shared" si="53"/>
        <v>15000</v>
      </c>
      <c r="M250" s="170"/>
      <c r="N250" s="170"/>
      <c r="O250" s="170"/>
      <c r="P250" s="170"/>
      <c r="Q250" s="170"/>
      <c r="R250" s="170"/>
      <c r="S250" s="170"/>
      <c r="T250" s="170"/>
      <c r="U250" s="170"/>
      <c r="V250" s="170"/>
      <c r="W250" s="170"/>
      <c r="X250" s="219"/>
    </row>
    <row r="251" spans="1:24">
      <c r="A251" s="37" t="s">
        <v>564</v>
      </c>
      <c r="B251" s="164" t="s">
        <v>565</v>
      </c>
      <c r="C251" s="164" t="s">
        <v>103</v>
      </c>
      <c r="D251" s="164" t="s">
        <v>109</v>
      </c>
      <c r="E251" s="164" t="s">
        <v>461</v>
      </c>
      <c r="F251" s="164" t="s">
        <v>121</v>
      </c>
      <c r="G251" s="161">
        <v>1</v>
      </c>
      <c r="H251" s="185">
        <v>98343</v>
      </c>
      <c r="I251" s="216">
        <v>0</v>
      </c>
      <c r="J251" s="185">
        <f t="shared" si="52"/>
        <v>98343</v>
      </c>
      <c r="K251" s="217">
        <f t="shared" si="53"/>
        <v>98343</v>
      </c>
      <c r="M251" s="170" t="s">
        <v>503</v>
      </c>
      <c r="N251" s="170"/>
      <c r="O251" s="170"/>
      <c r="P251" s="170"/>
      <c r="Q251" s="170"/>
      <c r="R251" s="170"/>
      <c r="S251" s="170"/>
      <c r="T251" s="170"/>
      <c r="U251" s="170"/>
      <c r="V251" s="170"/>
      <c r="W251" s="170"/>
      <c r="X251" s="219"/>
    </row>
    <row r="252" spans="1:24">
      <c r="A252" s="37" t="s">
        <v>566</v>
      </c>
      <c r="B252" s="164" t="s">
        <v>567</v>
      </c>
      <c r="C252" s="164" t="s">
        <v>103</v>
      </c>
      <c r="D252" s="164" t="s">
        <v>109</v>
      </c>
      <c r="E252" s="164" t="s">
        <v>240</v>
      </c>
      <c r="F252" s="164" t="s">
        <v>121</v>
      </c>
      <c r="G252" s="161">
        <v>1</v>
      </c>
      <c r="H252" s="185">
        <v>0</v>
      </c>
      <c r="I252" s="216">
        <v>0</v>
      </c>
      <c r="J252" s="185">
        <f t="shared" si="52"/>
        <v>0</v>
      </c>
      <c r="K252" s="217">
        <f t="shared" si="53"/>
        <v>0</v>
      </c>
      <c r="M252" s="170" t="s">
        <v>503</v>
      </c>
      <c r="N252" s="170"/>
      <c r="O252" s="170"/>
      <c r="P252" s="170"/>
      <c r="Q252" s="170"/>
      <c r="R252" s="170"/>
      <c r="S252" s="170"/>
      <c r="T252" s="170"/>
      <c r="U252" s="170"/>
      <c r="V252" s="170"/>
      <c r="W252" s="170"/>
      <c r="X252" s="219"/>
    </row>
    <row r="253" spans="1:24">
      <c r="A253" s="37" t="s">
        <v>568</v>
      </c>
      <c r="B253" s="164" t="s">
        <v>569</v>
      </c>
      <c r="C253" s="164" t="s">
        <v>103</v>
      </c>
      <c r="D253" s="164" t="s">
        <v>109</v>
      </c>
      <c r="E253" s="164" t="s">
        <v>110</v>
      </c>
      <c r="F253" s="164" t="s">
        <v>121</v>
      </c>
      <c r="G253" s="161">
        <v>1</v>
      </c>
      <c r="H253" s="185">
        <v>15000</v>
      </c>
      <c r="I253" s="216">
        <v>0</v>
      </c>
      <c r="J253" s="185">
        <f t="shared" si="52"/>
        <v>15000</v>
      </c>
      <c r="K253" s="217">
        <f t="shared" si="53"/>
        <v>15000</v>
      </c>
      <c r="M253" s="170"/>
      <c r="N253" s="170"/>
      <c r="O253" s="170"/>
      <c r="P253" s="170"/>
      <c r="Q253" s="170"/>
      <c r="R253" s="170"/>
      <c r="S253" s="170"/>
      <c r="T253" s="170"/>
      <c r="U253" s="170"/>
      <c r="V253" s="170"/>
      <c r="W253" s="170"/>
      <c r="X253" s="219"/>
    </row>
    <row r="254" spans="1:24">
      <c r="A254" s="37" t="s">
        <v>570</v>
      </c>
      <c r="B254" s="164" t="s">
        <v>571</v>
      </c>
      <c r="C254" s="164" t="s">
        <v>281</v>
      </c>
      <c r="D254" s="164" t="s">
        <v>130</v>
      </c>
      <c r="E254" s="164" t="s">
        <v>110</v>
      </c>
      <c r="F254" s="164" t="s">
        <v>121</v>
      </c>
      <c r="G254" s="161">
        <v>1</v>
      </c>
      <c r="H254" s="185">
        <v>11000</v>
      </c>
      <c r="I254" s="216">
        <v>0</v>
      </c>
      <c r="J254" s="185">
        <f t="shared" si="52"/>
        <v>11000</v>
      </c>
      <c r="K254" s="217">
        <f t="shared" si="53"/>
        <v>11000</v>
      </c>
      <c r="M254" s="170"/>
      <c r="N254" s="170"/>
      <c r="O254" s="170"/>
      <c r="P254" s="170"/>
      <c r="Q254" s="170"/>
      <c r="R254" s="170"/>
      <c r="S254" s="170"/>
      <c r="T254" s="170"/>
      <c r="U254" s="170"/>
      <c r="V254" s="170"/>
      <c r="W254" s="170"/>
      <c r="X254" s="219"/>
    </row>
    <row r="255" spans="1:24">
      <c r="A255" s="37" t="s">
        <v>572</v>
      </c>
      <c r="B255" s="164" t="s">
        <v>573</v>
      </c>
      <c r="C255" s="164" t="s">
        <v>281</v>
      </c>
      <c r="D255" s="164" t="s">
        <v>115</v>
      </c>
      <c r="E255" s="164" t="s">
        <v>110</v>
      </c>
      <c r="F255" s="164" t="s">
        <v>121</v>
      </c>
      <c r="G255" s="161">
        <v>1</v>
      </c>
      <c r="H255" s="185">
        <v>7000</v>
      </c>
      <c r="I255" s="216">
        <v>0</v>
      </c>
      <c r="J255" s="185">
        <f t="shared" si="52"/>
        <v>7000</v>
      </c>
      <c r="K255" s="217">
        <f t="shared" si="53"/>
        <v>7000</v>
      </c>
      <c r="M255" s="170"/>
      <c r="N255" s="170"/>
      <c r="O255" s="170"/>
      <c r="P255" s="170"/>
      <c r="Q255" s="170"/>
      <c r="R255" s="170"/>
      <c r="S255" s="170"/>
      <c r="T255" s="170"/>
      <c r="U255" s="170"/>
      <c r="V255" s="170"/>
      <c r="W255" s="170"/>
      <c r="X255" s="219"/>
    </row>
    <row r="256" spans="1:24">
      <c r="A256" s="37" t="s">
        <v>53</v>
      </c>
      <c r="B256" s="164" t="s">
        <v>574</v>
      </c>
      <c r="C256" s="164" t="s">
        <v>103</v>
      </c>
      <c r="D256" s="164" t="s">
        <v>109</v>
      </c>
      <c r="E256" s="164" t="s">
        <v>246</v>
      </c>
      <c r="F256" s="164" t="s">
        <v>15</v>
      </c>
      <c r="G256" s="167">
        <f>R4</f>
        <v>39274</v>
      </c>
      <c r="H256" s="185">
        <v>17.056708470190106</v>
      </c>
      <c r="I256" s="216">
        <v>0</v>
      </c>
      <c r="J256" s="185">
        <f t="shared" si="52"/>
        <v>17.056708470190106</v>
      </c>
      <c r="K256" s="217">
        <f t="shared" si="53"/>
        <v>669885.16845824628</v>
      </c>
      <c r="M256" s="170"/>
      <c r="N256" s="170"/>
      <c r="O256" s="170"/>
      <c r="P256" s="170"/>
      <c r="Q256" s="170"/>
      <c r="R256" s="170"/>
      <c r="S256" s="170"/>
      <c r="T256" s="170"/>
      <c r="U256" s="170"/>
      <c r="V256" s="170"/>
      <c r="W256" s="170"/>
      <c r="X256" s="219"/>
    </row>
    <row r="257" spans="1:24">
      <c r="A257" s="37" t="s">
        <v>575</v>
      </c>
      <c r="B257" s="164" t="s">
        <v>574</v>
      </c>
      <c r="C257" s="164" t="s">
        <v>103</v>
      </c>
      <c r="D257" s="164" t="s">
        <v>109</v>
      </c>
      <c r="E257" s="164" t="s">
        <v>118</v>
      </c>
      <c r="F257" s="164"/>
      <c r="G257" s="161"/>
      <c r="H257" s="185"/>
      <c r="I257" s="216">
        <v>0</v>
      </c>
      <c r="J257" s="185">
        <f t="shared" si="52"/>
        <v>0</v>
      </c>
      <c r="K257" s="217">
        <f t="shared" si="53"/>
        <v>0</v>
      </c>
      <c r="M257" s="170"/>
      <c r="N257" s="170"/>
      <c r="O257" s="170"/>
      <c r="P257" s="170"/>
      <c r="Q257" s="170"/>
      <c r="R257" s="170"/>
      <c r="S257" s="170"/>
      <c r="T257" s="170"/>
      <c r="U257" s="170"/>
      <c r="V257" s="170"/>
      <c r="W257" s="170"/>
      <c r="X257" s="219"/>
    </row>
    <row r="258" spans="1:24">
      <c r="A258" s="37" t="s">
        <v>576</v>
      </c>
      <c r="B258" s="164" t="s">
        <v>577</v>
      </c>
      <c r="C258" s="164" t="s">
        <v>103</v>
      </c>
      <c r="D258" s="164" t="s">
        <v>109</v>
      </c>
      <c r="E258" s="164" t="s">
        <v>118</v>
      </c>
      <c r="F258" s="164"/>
      <c r="G258" s="161"/>
      <c r="H258" s="185"/>
      <c r="I258" s="216">
        <v>0</v>
      </c>
      <c r="J258" s="185">
        <f t="shared" si="52"/>
        <v>0</v>
      </c>
      <c r="K258" s="217">
        <f t="shared" si="53"/>
        <v>0</v>
      </c>
      <c r="M258" s="170"/>
      <c r="N258" s="170"/>
      <c r="O258" s="170"/>
      <c r="P258" s="170"/>
      <c r="Q258" s="170"/>
      <c r="R258" s="170"/>
      <c r="S258" s="170"/>
      <c r="T258" s="170"/>
      <c r="U258" s="170"/>
      <c r="V258" s="170"/>
      <c r="W258" s="170"/>
      <c r="X258" s="219"/>
    </row>
    <row r="259" spans="1:24">
      <c r="A259" s="37" t="s">
        <v>578</v>
      </c>
      <c r="B259" s="164" t="s">
        <v>521</v>
      </c>
      <c r="C259" s="164" t="s">
        <v>103</v>
      </c>
      <c r="D259" s="164" t="s">
        <v>353</v>
      </c>
      <c r="E259" s="164" t="s">
        <v>880</v>
      </c>
      <c r="F259" s="164" t="s">
        <v>121</v>
      </c>
      <c r="G259" s="161">
        <v>1</v>
      </c>
      <c r="H259" s="185">
        <v>5000</v>
      </c>
      <c r="I259" s="216">
        <v>0</v>
      </c>
      <c r="J259" s="185">
        <f t="shared" si="52"/>
        <v>5000</v>
      </c>
      <c r="K259" s="217">
        <f t="shared" si="53"/>
        <v>5000</v>
      </c>
      <c r="M259" s="170"/>
      <c r="N259" s="170"/>
      <c r="O259" s="170"/>
      <c r="P259" s="170"/>
      <c r="Q259" s="170"/>
      <c r="R259" s="170"/>
      <c r="S259" s="170"/>
      <c r="T259" s="170"/>
      <c r="U259" s="170"/>
      <c r="V259" s="170"/>
      <c r="W259" s="170"/>
      <c r="X259" s="219"/>
    </row>
    <row r="260" spans="1:24">
      <c r="A260" s="37" t="s">
        <v>579</v>
      </c>
      <c r="B260" s="164" t="s">
        <v>523</v>
      </c>
      <c r="C260" s="164" t="s">
        <v>103</v>
      </c>
      <c r="D260" s="164" t="s">
        <v>353</v>
      </c>
      <c r="E260" s="164" t="s">
        <v>116</v>
      </c>
      <c r="F260" s="164" t="s">
        <v>121</v>
      </c>
      <c r="G260" s="161">
        <v>1</v>
      </c>
      <c r="H260" s="185">
        <v>414871.13888888888</v>
      </c>
      <c r="I260" s="216">
        <v>0</v>
      </c>
      <c r="J260" s="185">
        <f t="shared" si="52"/>
        <v>414871.13888888888</v>
      </c>
      <c r="K260" s="531">
        <f t="shared" si="53"/>
        <v>414871.13888888888</v>
      </c>
      <c r="M260" s="170" t="s">
        <v>881</v>
      </c>
      <c r="N260" s="170"/>
      <c r="O260" s="170"/>
      <c r="P260" s="170"/>
      <c r="Q260" s="170"/>
      <c r="R260" s="170"/>
      <c r="S260" s="170"/>
      <c r="T260" s="170"/>
      <c r="U260" s="170"/>
      <c r="V260" s="170"/>
      <c r="W260" s="170"/>
      <c r="X260" s="219"/>
    </row>
    <row r="261" spans="1:24">
      <c r="A261" s="37" t="s">
        <v>580</v>
      </c>
      <c r="B261" s="164" t="s">
        <v>529</v>
      </c>
      <c r="C261" s="164" t="s">
        <v>103</v>
      </c>
      <c r="D261" s="164" t="s">
        <v>353</v>
      </c>
      <c r="E261" s="164" t="s">
        <v>116</v>
      </c>
      <c r="F261" s="164" t="s">
        <v>121</v>
      </c>
      <c r="G261" s="161">
        <v>1</v>
      </c>
      <c r="H261" s="185">
        <v>50205</v>
      </c>
      <c r="I261" s="216">
        <v>0</v>
      </c>
      <c r="J261" s="185">
        <f t="shared" si="52"/>
        <v>50205</v>
      </c>
      <c r="K261" s="217">
        <f t="shared" si="53"/>
        <v>50205</v>
      </c>
      <c r="M261" s="170" t="s">
        <v>503</v>
      </c>
      <c r="N261" s="170"/>
      <c r="O261" s="170"/>
      <c r="P261" s="170"/>
      <c r="Q261" s="170"/>
      <c r="R261" s="170"/>
      <c r="S261" s="170"/>
      <c r="T261" s="170"/>
      <c r="U261" s="170"/>
      <c r="V261" s="170"/>
      <c r="W261" s="170"/>
      <c r="X261" s="219"/>
    </row>
    <row r="262" spans="1:24">
      <c r="A262" s="37" t="s">
        <v>581</v>
      </c>
      <c r="B262" s="164" t="s">
        <v>533</v>
      </c>
      <c r="C262" s="164" t="s">
        <v>103</v>
      </c>
      <c r="D262" s="164" t="s">
        <v>353</v>
      </c>
      <c r="E262" s="164" t="s">
        <v>116</v>
      </c>
      <c r="F262" s="164" t="s">
        <v>121</v>
      </c>
      <c r="G262" s="161">
        <v>1</v>
      </c>
      <c r="H262" s="185">
        <v>32531</v>
      </c>
      <c r="I262" s="216">
        <v>0</v>
      </c>
      <c r="J262" s="185">
        <f t="shared" si="52"/>
        <v>32531</v>
      </c>
      <c r="K262" s="217">
        <f t="shared" si="53"/>
        <v>32531</v>
      </c>
      <c r="M262" s="170" t="s">
        <v>503</v>
      </c>
      <c r="N262" s="170"/>
      <c r="O262" s="170"/>
      <c r="P262" s="170"/>
      <c r="Q262" s="170"/>
      <c r="R262" s="170"/>
      <c r="S262" s="170"/>
      <c r="T262" s="170"/>
      <c r="U262" s="170"/>
      <c r="V262" s="170"/>
      <c r="W262" s="170"/>
      <c r="X262" s="219"/>
    </row>
    <row r="263" spans="1:24" s="329" customFormat="1">
      <c r="A263" s="37" t="s">
        <v>882</v>
      </c>
      <c r="B263" s="164" t="s">
        <v>883</v>
      </c>
      <c r="C263" s="164" t="s">
        <v>103</v>
      </c>
      <c r="D263" s="164" t="s">
        <v>353</v>
      </c>
      <c r="E263" s="164" t="s">
        <v>461</v>
      </c>
      <c r="F263" s="164" t="s">
        <v>121</v>
      </c>
      <c r="G263" s="161">
        <v>1</v>
      </c>
      <c r="H263" s="185">
        <v>0</v>
      </c>
      <c r="I263" s="216">
        <v>0</v>
      </c>
      <c r="J263" s="185">
        <f t="shared" ref="J263" si="54">H263*(1+I263)</f>
        <v>0</v>
      </c>
      <c r="K263" s="217">
        <f t="shared" ref="K263" si="55">J263*G263</f>
        <v>0</v>
      </c>
      <c r="L263" s="218"/>
      <c r="M263" s="634" t="s">
        <v>884</v>
      </c>
      <c r="N263" s="170"/>
      <c r="O263" s="163"/>
      <c r="P263" s="163"/>
      <c r="Q263" s="163"/>
      <c r="R263" s="163"/>
      <c r="S263" s="163"/>
      <c r="T263" s="163"/>
      <c r="U263" s="163"/>
      <c r="V263" s="163"/>
      <c r="W263" s="163"/>
      <c r="X263" s="330"/>
    </row>
    <row r="264" spans="1:24">
      <c r="A264" s="33" t="s">
        <v>582</v>
      </c>
      <c r="B264" s="305" t="s">
        <v>583</v>
      </c>
      <c r="C264" s="305"/>
      <c r="D264" s="305"/>
      <c r="E264" s="343"/>
      <c r="F264" s="343"/>
      <c r="G264" s="147"/>
      <c r="H264" s="344"/>
      <c r="I264" s="345"/>
      <c r="J264" s="344"/>
      <c r="K264" s="346"/>
      <c r="L264" s="328">
        <f>SUM(K265:K280)</f>
        <v>1619983</v>
      </c>
      <c r="M264" s="170"/>
      <c r="N264" s="170"/>
      <c r="O264" s="170"/>
      <c r="P264" s="170"/>
      <c r="Q264" s="170"/>
      <c r="R264" s="170"/>
      <c r="S264" s="170"/>
      <c r="T264" s="170"/>
      <c r="U264" s="170"/>
      <c r="V264" s="170"/>
      <c r="W264" s="170"/>
      <c r="X264" s="219"/>
    </row>
    <row r="265" spans="1:24">
      <c r="A265" s="166" t="s">
        <v>584</v>
      </c>
      <c r="B265" s="176" t="s">
        <v>585</v>
      </c>
      <c r="C265" s="176" t="s">
        <v>281</v>
      </c>
      <c r="D265" s="176"/>
      <c r="E265" s="176" t="s">
        <v>110</v>
      </c>
      <c r="F265" s="176" t="s">
        <v>10</v>
      </c>
      <c r="G265" s="167">
        <f>$E$8</f>
        <v>194</v>
      </c>
      <c r="H265" s="413">
        <v>375</v>
      </c>
      <c r="I265" s="414">
        <v>0</v>
      </c>
      <c r="J265" s="415">
        <f t="shared" ref="J265:J280" si="56">H265*(1+I265)</f>
        <v>375</v>
      </c>
      <c r="K265" s="416">
        <f t="shared" ref="K265:K280" si="57">J265*G265</f>
        <v>72750</v>
      </c>
      <c r="M265" s="170"/>
      <c r="N265" s="170"/>
      <c r="O265" s="170"/>
      <c r="P265" s="170"/>
      <c r="Q265" s="170"/>
      <c r="R265" s="170"/>
      <c r="S265" s="170"/>
      <c r="T265" s="170"/>
      <c r="U265" s="170"/>
      <c r="V265" s="170"/>
      <c r="W265" s="170"/>
      <c r="X265" s="219"/>
    </row>
    <row r="266" spans="1:24">
      <c r="A266" s="206" t="s">
        <v>587</v>
      </c>
      <c r="B266" s="164" t="s">
        <v>588</v>
      </c>
      <c r="C266" s="164" t="s">
        <v>281</v>
      </c>
      <c r="D266" s="164" t="s">
        <v>353</v>
      </c>
      <c r="E266" s="164" t="s">
        <v>110</v>
      </c>
      <c r="F266" s="164" t="s">
        <v>121</v>
      </c>
      <c r="G266" s="161">
        <v>1</v>
      </c>
      <c r="H266" s="185">
        <v>10000</v>
      </c>
      <c r="I266" s="216">
        <v>0</v>
      </c>
      <c r="J266" s="185">
        <f t="shared" ref="J266" si="58">H266*(1+I266)</f>
        <v>10000</v>
      </c>
      <c r="K266" s="217">
        <f t="shared" ref="K266" si="59">J266*G266</f>
        <v>10000</v>
      </c>
      <c r="M266" s="170"/>
      <c r="N266" s="170"/>
      <c r="O266" s="170"/>
      <c r="P266" s="170"/>
      <c r="Q266" s="170"/>
      <c r="R266" s="170"/>
      <c r="S266" s="170"/>
      <c r="T266" s="170"/>
      <c r="U266" s="170"/>
      <c r="V266" s="170"/>
      <c r="W266" s="170"/>
      <c r="X266" s="219"/>
    </row>
    <row r="267" spans="1:24">
      <c r="A267" s="206" t="s">
        <v>589</v>
      </c>
      <c r="B267" s="164" t="s">
        <v>588</v>
      </c>
      <c r="C267" s="164" t="s">
        <v>103</v>
      </c>
      <c r="D267" s="164" t="s">
        <v>109</v>
      </c>
      <c r="E267" s="164" t="s">
        <v>855</v>
      </c>
      <c r="F267" s="164" t="s">
        <v>121</v>
      </c>
      <c r="G267" s="161">
        <v>1</v>
      </c>
      <c r="H267" s="185">
        <v>424224</v>
      </c>
      <c r="I267" s="216">
        <v>0</v>
      </c>
      <c r="J267" s="185">
        <f t="shared" si="56"/>
        <v>424224</v>
      </c>
      <c r="K267" s="531">
        <f t="shared" si="57"/>
        <v>424224</v>
      </c>
      <c r="M267" s="170" t="s">
        <v>885</v>
      </c>
      <c r="N267" s="170"/>
      <c r="O267" s="170"/>
      <c r="P267" s="170"/>
      <c r="Q267" s="170"/>
      <c r="R267" s="170"/>
      <c r="S267" s="170"/>
      <c r="T267" s="170"/>
      <c r="U267" s="170"/>
      <c r="V267" s="170"/>
      <c r="W267" s="170"/>
      <c r="X267" s="219"/>
    </row>
    <row r="268" spans="1:24">
      <c r="A268" s="206" t="s">
        <v>590</v>
      </c>
      <c r="B268" s="164" t="s">
        <v>591</v>
      </c>
      <c r="C268" s="164" t="s">
        <v>103</v>
      </c>
      <c r="D268" s="164" t="s">
        <v>109</v>
      </c>
      <c r="E268" s="164" t="s">
        <v>855</v>
      </c>
      <c r="F268" s="164" t="s">
        <v>121</v>
      </c>
      <c r="G268" s="161">
        <v>1</v>
      </c>
      <c r="H268" s="185">
        <v>68283</v>
      </c>
      <c r="I268" s="216">
        <v>0</v>
      </c>
      <c r="J268" s="185">
        <f t="shared" si="56"/>
        <v>68283</v>
      </c>
      <c r="K268" s="531">
        <f t="shared" si="57"/>
        <v>68283</v>
      </c>
      <c r="M268" s="170" t="s">
        <v>503</v>
      </c>
      <c r="N268" s="170"/>
      <c r="O268" s="170"/>
      <c r="P268" s="170"/>
      <c r="Q268" s="170"/>
      <c r="R268" s="170"/>
      <c r="S268" s="170"/>
      <c r="T268" s="170"/>
      <c r="U268" s="170"/>
      <c r="V268" s="170"/>
      <c r="W268" s="170"/>
      <c r="X268" s="219"/>
    </row>
    <row r="269" spans="1:24">
      <c r="A269" s="206" t="s">
        <v>592</v>
      </c>
      <c r="B269" s="164" t="s">
        <v>593</v>
      </c>
      <c r="C269" s="164" t="s">
        <v>103</v>
      </c>
      <c r="D269" s="164"/>
      <c r="E269" s="164" t="s">
        <v>118</v>
      </c>
      <c r="F269" s="164"/>
      <c r="G269" s="161"/>
      <c r="H269" s="185"/>
      <c r="I269" s="216">
        <v>0</v>
      </c>
      <c r="J269" s="185">
        <f t="shared" si="56"/>
        <v>0</v>
      </c>
      <c r="K269" s="217">
        <f t="shared" si="57"/>
        <v>0</v>
      </c>
      <c r="M269" s="170"/>
      <c r="N269" s="170"/>
      <c r="O269" s="170"/>
      <c r="P269" s="170"/>
      <c r="Q269" s="170"/>
      <c r="R269" s="170"/>
      <c r="S269" s="170"/>
      <c r="T269" s="170"/>
      <c r="U269" s="170"/>
      <c r="V269" s="170"/>
      <c r="W269" s="170"/>
      <c r="X269" s="219"/>
    </row>
    <row r="270" spans="1:24">
      <c r="A270" s="206" t="s">
        <v>594</v>
      </c>
      <c r="B270" s="164" t="s">
        <v>595</v>
      </c>
      <c r="C270" s="164" t="s">
        <v>281</v>
      </c>
      <c r="D270" s="164"/>
      <c r="E270" s="164" t="s">
        <v>110</v>
      </c>
      <c r="F270" s="164" t="s">
        <v>121</v>
      </c>
      <c r="G270" s="161">
        <v>1</v>
      </c>
      <c r="H270" s="185">
        <v>5000</v>
      </c>
      <c r="I270" s="216">
        <v>0</v>
      </c>
      <c r="J270" s="185">
        <f t="shared" si="56"/>
        <v>5000</v>
      </c>
      <c r="K270" s="217">
        <f t="shared" si="57"/>
        <v>5000</v>
      </c>
      <c r="M270" s="170"/>
      <c r="N270" s="170"/>
      <c r="O270" s="170"/>
      <c r="P270" s="170"/>
      <c r="Q270" s="170"/>
      <c r="R270" s="170"/>
      <c r="S270" s="170"/>
      <c r="T270" s="170"/>
      <c r="U270" s="170"/>
      <c r="V270" s="170"/>
      <c r="W270" s="170"/>
      <c r="X270" s="219"/>
    </row>
    <row r="271" spans="1:24" s="329" customFormat="1">
      <c r="A271" s="206" t="s">
        <v>886</v>
      </c>
      <c r="B271" s="164" t="s">
        <v>887</v>
      </c>
      <c r="C271" s="164" t="s">
        <v>103</v>
      </c>
      <c r="D271" s="164" t="s">
        <v>353</v>
      </c>
      <c r="E271" s="164" t="s">
        <v>461</v>
      </c>
      <c r="F271" s="164" t="s">
        <v>121</v>
      </c>
      <c r="G271" s="161">
        <v>1</v>
      </c>
      <c r="H271" s="185">
        <v>350000</v>
      </c>
      <c r="I271" s="216">
        <v>0.15</v>
      </c>
      <c r="J271" s="185">
        <f t="shared" si="56"/>
        <v>402499.99999999994</v>
      </c>
      <c r="K271" s="217">
        <f t="shared" si="57"/>
        <v>402499.99999999994</v>
      </c>
      <c r="L271" s="218"/>
      <c r="M271" s="170" t="s">
        <v>888</v>
      </c>
      <c r="N271" s="163"/>
      <c r="O271" s="163"/>
      <c r="P271" s="163"/>
      <c r="Q271" s="163"/>
      <c r="R271" s="163"/>
      <c r="S271" s="163"/>
      <c r="T271" s="163"/>
      <c r="U271" s="163"/>
      <c r="V271" s="163"/>
      <c r="W271" s="163"/>
      <c r="X271" s="330"/>
    </row>
    <row r="272" spans="1:24">
      <c r="A272" s="37" t="s">
        <v>596</v>
      </c>
      <c r="B272" s="164" t="s">
        <v>597</v>
      </c>
      <c r="C272" s="164" t="s">
        <v>103</v>
      </c>
      <c r="D272" s="164"/>
      <c r="E272" s="164" t="s">
        <v>855</v>
      </c>
      <c r="F272" s="164" t="s">
        <v>121</v>
      </c>
      <c r="G272" s="161">
        <v>1</v>
      </c>
      <c r="H272" s="185">
        <v>136424</v>
      </c>
      <c r="I272" s="216">
        <v>0</v>
      </c>
      <c r="J272" s="185">
        <f t="shared" si="56"/>
        <v>136424</v>
      </c>
      <c r="K272" s="531">
        <f t="shared" si="57"/>
        <v>136424</v>
      </c>
      <c r="M272" s="170" t="s">
        <v>889</v>
      </c>
      <c r="N272" s="170"/>
      <c r="O272" s="170"/>
      <c r="P272" s="170"/>
      <c r="Q272" s="170"/>
      <c r="R272" s="170"/>
      <c r="S272" s="170"/>
      <c r="T272" s="170"/>
      <c r="U272" s="170"/>
      <c r="V272" s="170"/>
      <c r="W272" s="170"/>
      <c r="X272" s="219"/>
    </row>
    <row r="273" spans="1:24">
      <c r="A273" s="37" t="s">
        <v>598</v>
      </c>
      <c r="B273" s="164" t="s">
        <v>599</v>
      </c>
      <c r="C273" s="164" t="s">
        <v>281</v>
      </c>
      <c r="D273" s="164"/>
      <c r="E273" s="164" t="s">
        <v>110</v>
      </c>
      <c r="F273" s="164" t="s">
        <v>121</v>
      </c>
      <c r="G273" s="161">
        <v>0</v>
      </c>
      <c r="H273" s="185">
        <v>10000</v>
      </c>
      <c r="I273" s="216">
        <v>0</v>
      </c>
      <c r="J273" s="185">
        <f t="shared" si="56"/>
        <v>10000</v>
      </c>
      <c r="K273" s="217">
        <f t="shared" si="57"/>
        <v>0</v>
      </c>
      <c r="M273" s="170" t="s">
        <v>890</v>
      </c>
      <c r="N273" s="170"/>
      <c r="O273" s="170"/>
      <c r="P273" s="170"/>
      <c r="Q273" s="170"/>
      <c r="R273" s="170"/>
      <c r="S273" s="170"/>
      <c r="T273" s="170"/>
      <c r="U273" s="170"/>
      <c r="V273" s="170"/>
      <c r="W273" s="170"/>
      <c r="X273" s="219"/>
    </row>
    <row r="274" spans="1:24">
      <c r="A274" s="37" t="s">
        <v>600</v>
      </c>
      <c r="B274" s="164" t="s">
        <v>601</v>
      </c>
      <c r="C274" s="164" t="s">
        <v>103</v>
      </c>
      <c r="D274" s="164"/>
      <c r="E274" s="164" t="s">
        <v>118</v>
      </c>
      <c r="F274" s="164"/>
      <c r="G274" s="161"/>
      <c r="H274" s="185"/>
      <c r="I274" s="216">
        <v>0</v>
      </c>
      <c r="J274" s="185">
        <f t="shared" si="56"/>
        <v>0</v>
      </c>
      <c r="K274" s="217">
        <f t="shared" si="57"/>
        <v>0</v>
      </c>
      <c r="M274" s="170"/>
      <c r="N274" s="170"/>
      <c r="O274" s="170"/>
      <c r="P274" s="170"/>
      <c r="Q274" s="170"/>
      <c r="R274" s="170"/>
      <c r="S274" s="170"/>
      <c r="T274" s="170"/>
      <c r="U274" s="170"/>
      <c r="V274" s="170"/>
      <c r="W274" s="170"/>
      <c r="X274" s="219"/>
    </row>
    <row r="275" spans="1:24">
      <c r="A275" s="37" t="s">
        <v>602</v>
      </c>
      <c r="B275" s="164" t="s">
        <v>603</v>
      </c>
      <c r="C275" s="164" t="s">
        <v>103</v>
      </c>
      <c r="D275" s="164"/>
      <c r="E275" s="164" t="s">
        <v>118</v>
      </c>
      <c r="F275" s="164"/>
      <c r="G275" s="161"/>
      <c r="H275" s="185"/>
      <c r="I275" s="216">
        <v>0</v>
      </c>
      <c r="J275" s="185">
        <f t="shared" si="56"/>
        <v>0</v>
      </c>
      <c r="K275" s="217">
        <f t="shared" si="57"/>
        <v>0</v>
      </c>
      <c r="M275" s="170"/>
      <c r="N275" s="170"/>
      <c r="O275" s="170"/>
      <c r="P275" s="170"/>
      <c r="Q275" s="170"/>
      <c r="R275" s="170"/>
      <c r="S275" s="170"/>
      <c r="T275" s="170"/>
      <c r="U275" s="170"/>
      <c r="V275" s="170"/>
      <c r="W275" s="170"/>
      <c r="X275" s="219"/>
    </row>
    <row r="276" spans="1:24">
      <c r="A276" s="37" t="s">
        <v>604</v>
      </c>
      <c r="B276" s="164" t="s">
        <v>605</v>
      </c>
      <c r="C276" s="164" t="s">
        <v>103</v>
      </c>
      <c r="D276" s="164"/>
      <c r="E276" s="164" t="s">
        <v>118</v>
      </c>
      <c r="F276" s="164"/>
      <c r="G276" s="161"/>
      <c r="H276" s="185"/>
      <c r="I276" s="216">
        <v>0</v>
      </c>
      <c r="J276" s="185">
        <f t="shared" si="56"/>
        <v>0</v>
      </c>
      <c r="K276" s="217">
        <f t="shared" si="57"/>
        <v>0</v>
      </c>
      <c r="M276" s="170"/>
      <c r="N276" s="170"/>
      <c r="O276" s="170"/>
      <c r="P276" s="170"/>
      <c r="Q276" s="170"/>
      <c r="R276" s="170"/>
      <c r="S276" s="170"/>
      <c r="T276" s="170"/>
      <c r="U276" s="170"/>
      <c r="V276" s="170"/>
      <c r="W276" s="170"/>
      <c r="X276" s="219"/>
    </row>
    <row r="277" spans="1:24">
      <c r="A277" s="37" t="s">
        <v>606</v>
      </c>
      <c r="B277" s="164" t="s">
        <v>588</v>
      </c>
      <c r="C277" s="164" t="s">
        <v>103</v>
      </c>
      <c r="D277" s="164" t="s">
        <v>353</v>
      </c>
      <c r="E277" s="164" t="s">
        <v>855</v>
      </c>
      <c r="F277" s="164" t="s">
        <v>121</v>
      </c>
      <c r="G277" s="161">
        <v>1</v>
      </c>
      <c r="H277" s="327">
        <v>299756</v>
      </c>
      <c r="I277" s="216">
        <v>0</v>
      </c>
      <c r="J277" s="185">
        <f t="shared" si="56"/>
        <v>299756</v>
      </c>
      <c r="K277" s="531">
        <f t="shared" si="57"/>
        <v>299756</v>
      </c>
      <c r="M277" s="170" t="s">
        <v>503</v>
      </c>
      <c r="N277" s="170"/>
      <c r="O277" s="170"/>
      <c r="P277" s="170"/>
      <c r="Q277" s="170"/>
      <c r="R277" s="170"/>
      <c r="S277" s="170"/>
      <c r="T277" s="170"/>
      <c r="U277" s="170"/>
      <c r="V277" s="170"/>
      <c r="W277" s="170"/>
      <c r="X277" s="219"/>
    </row>
    <row r="278" spans="1:24">
      <c r="A278" s="37" t="s">
        <v>607</v>
      </c>
      <c r="B278" s="164" t="s">
        <v>591</v>
      </c>
      <c r="C278" s="164" t="s">
        <v>103</v>
      </c>
      <c r="D278" s="164" t="s">
        <v>353</v>
      </c>
      <c r="E278" s="164" t="s">
        <v>855</v>
      </c>
      <c r="F278" s="164" t="s">
        <v>121</v>
      </c>
      <c r="G278" s="161">
        <v>1</v>
      </c>
      <c r="H278" s="185">
        <v>51885</v>
      </c>
      <c r="I278" s="216">
        <v>0</v>
      </c>
      <c r="J278" s="185">
        <f t="shared" si="56"/>
        <v>51885</v>
      </c>
      <c r="K278" s="531">
        <f t="shared" si="57"/>
        <v>51885</v>
      </c>
      <c r="M278" s="170" t="s">
        <v>503</v>
      </c>
      <c r="N278" s="170"/>
      <c r="O278" s="170"/>
      <c r="P278" s="170"/>
      <c r="Q278" s="170"/>
      <c r="R278" s="170"/>
      <c r="S278" s="170"/>
      <c r="T278" s="170"/>
      <c r="U278" s="170"/>
      <c r="V278" s="170"/>
      <c r="W278" s="170"/>
      <c r="X278" s="219"/>
    </row>
    <row r="279" spans="1:24">
      <c r="A279" s="37" t="s">
        <v>891</v>
      </c>
      <c r="B279" s="164" t="s">
        <v>593</v>
      </c>
      <c r="C279" s="164" t="s">
        <v>103</v>
      </c>
      <c r="D279" s="164" t="s">
        <v>353</v>
      </c>
      <c r="E279" s="164" t="s">
        <v>118</v>
      </c>
      <c r="F279" s="164"/>
      <c r="G279" s="161"/>
      <c r="H279" s="185"/>
      <c r="I279" s="216">
        <v>0</v>
      </c>
      <c r="J279" s="185">
        <f t="shared" ref="J279" si="60">H279*(1+I279)</f>
        <v>0</v>
      </c>
      <c r="K279" s="217">
        <f t="shared" si="57"/>
        <v>0</v>
      </c>
      <c r="M279" s="170"/>
      <c r="N279" s="170"/>
      <c r="O279" s="170"/>
      <c r="P279" s="170"/>
      <c r="Q279" s="170"/>
      <c r="R279" s="170"/>
      <c r="S279" s="170"/>
      <c r="T279" s="170"/>
      <c r="U279" s="170"/>
      <c r="V279" s="170"/>
      <c r="W279" s="170"/>
      <c r="X279" s="219"/>
    </row>
    <row r="280" spans="1:24">
      <c r="A280" s="37" t="s">
        <v>608</v>
      </c>
      <c r="B280" s="164" t="s">
        <v>597</v>
      </c>
      <c r="C280" s="164" t="s">
        <v>103</v>
      </c>
      <c r="D280" s="164" t="s">
        <v>353</v>
      </c>
      <c r="E280" s="164" t="s">
        <v>855</v>
      </c>
      <c r="F280" s="164" t="s">
        <v>121</v>
      </c>
      <c r="G280" s="161">
        <v>1</v>
      </c>
      <c r="H280" s="185">
        <v>149161</v>
      </c>
      <c r="I280" s="216">
        <v>0</v>
      </c>
      <c r="J280" s="185">
        <f t="shared" si="56"/>
        <v>149161</v>
      </c>
      <c r="K280" s="531">
        <f t="shared" si="57"/>
        <v>149161</v>
      </c>
      <c r="M280" s="170" t="s">
        <v>892</v>
      </c>
      <c r="N280" s="170"/>
      <c r="O280" s="170"/>
      <c r="P280" s="170"/>
      <c r="Q280" s="170"/>
      <c r="R280" s="170"/>
      <c r="S280" s="170"/>
      <c r="T280" s="170"/>
      <c r="U280" s="170"/>
      <c r="V280" s="170"/>
      <c r="W280" s="170"/>
      <c r="X280" s="219"/>
    </row>
    <row r="281" spans="1:24">
      <c r="A281" s="33" t="s">
        <v>609</v>
      </c>
      <c r="B281" s="305" t="s">
        <v>610</v>
      </c>
      <c r="C281" s="305"/>
      <c r="D281" s="305"/>
      <c r="E281" s="305"/>
      <c r="F281" s="305"/>
      <c r="G281" s="306"/>
      <c r="H281" s="307"/>
      <c r="I281" s="308"/>
      <c r="J281" s="307"/>
      <c r="K281" s="421"/>
      <c r="L281" s="230">
        <f>SUM(K282)</f>
        <v>7500</v>
      </c>
      <c r="M281" s="170"/>
      <c r="N281" s="170"/>
      <c r="O281" s="170"/>
      <c r="P281" s="170"/>
      <c r="Q281" s="170"/>
      <c r="R281" s="170"/>
      <c r="S281" s="170"/>
      <c r="T281" s="170"/>
      <c r="U281" s="170"/>
      <c r="V281" s="170"/>
      <c r="W281" s="170"/>
      <c r="X281" s="219"/>
    </row>
    <row r="282" spans="1:24">
      <c r="A282" s="34" t="s">
        <v>611</v>
      </c>
      <c r="B282" s="226" t="s">
        <v>612</v>
      </c>
      <c r="C282" s="226" t="s">
        <v>281</v>
      </c>
      <c r="D282" s="226" t="s">
        <v>353</v>
      </c>
      <c r="E282" s="226" t="s">
        <v>110</v>
      </c>
      <c r="F282" s="226" t="s">
        <v>121</v>
      </c>
      <c r="G282" s="168">
        <v>1</v>
      </c>
      <c r="H282" s="225">
        <v>7500</v>
      </c>
      <c r="I282" s="311">
        <v>0</v>
      </c>
      <c r="J282" s="312">
        <f t="shared" ref="J282" si="61">H282*(1+I282)</f>
        <v>7500</v>
      </c>
      <c r="K282" s="313">
        <f>J282*G282</f>
        <v>7500</v>
      </c>
      <c r="M282" s="170"/>
      <c r="N282" s="170"/>
      <c r="O282" s="170"/>
      <c r="P282" s="170"/>
      <c r="Q282" s="170"/>
      <c r="R282" s="170"/>
      <c r="S282" s="170"/>
      <c r="T282" s="170"/>
      <c r="U282" s="170"/>
      <c r="V282" s="170"/>
      <c r="W282" s="170"/>
      <c r="X282" s="219"/>
    </row>
    <row r="283" spans="1:24">
      <c r="A283" s="33" t="s">
        <v>613</v>
      </c>
      <c r="B283" s="305" t="s">
        <v>614</v>
      </c>
      <c r="C283" s="305"/>
      <c r="D283" s="305"/>
      <c r="E283" s="305"/>
      <c r="F283" s="305"/>
      <c r="G283" s="306"/>
      <c r="H283" s="307"/>
      <c r="I283" s="308"/>
      <c r="J283" s="307"/>
      <c r="K283" s="421"/>
      <c r="L283" s="230">
        <f>SUM(K284:K286)</f>
        <v>392850</v>
      </c>
      <c r="M283" s="170"/>
      <c r="N283" s="170"/>
      <c r="O283" s="170"/>
      <c r="P283" s="170"/>
      <c r="Q283" s="170"/>
      <c r="R283" s="170"/>
      <c r="S283" s="170"/>
      <c r="T283" s="170"/>
      <c r="U283" s="170"/>
      <c r="V283" s="170"/>
      <c r="W283" s="170"/>
      <c r="X283" s="219"/>
    </row>
    <row r="284" spans="1:24">
      <c r="A284" s="35" t="s">
        <v>615</v>
      </c>
      <c r="B284" s="176" t="s">
        <v>616</v>
      </c>
      <c r="C284" s="176" t="s">
        <v>103</v>
      </c>
      <c r="D284" s="176"/>
      <c r="E284" s="176" t="s">
        <v>110</v>
      </c>
      <c r="F284" s="176" t="s">
        <v>121</v>
      </c>
      <c r="G284" s="167">
        <v>1</v>
      </c>
      <c r="H284" s="413">
        <v>326850</v>
      </c>
      <c r="I284" s="414">
        <v>0</v>
      </c>
      <c r="J284" s="415">
        <f t="shared" ref="J284:J286" si="62">H284*(1+I284)</f>
        <v>326850</v>
      </c>
      <c r="K284" s="416">
        <f>J284*G284</f>
        <v>326850</v>
      </c>
      <c r="M284" s="170"/>
      <c r="N284" s="170"/>
      <c r="O284" s="170"/>
      <c r="P284" s="170"/>
      <c r="Q284" s="170"/>
      <c r="R284" s="170"/>
      <c r="S284" s="170"/>
      <c r="T284" s="170"/>
      <c r="U284" s="170"/>
      <c r="V284" s="170"/>
      <c r="W284" s="170"/>
      <c r="X284" s="219"/>
    </row>
    <row r="285" spans="1:24">
      <c r="A285" s="37" t="s">
        <v>617</v>
      </c>
      <c r="B285" s="164" t="s">
        <v>618</v>
      </c>
      <c r="C285" s="164" t="s">
        <v>281</v>
      </c>
      <c r="D285" s="164"/>
      <c r="E285" s="164" t="s">
        <v>110</v>
      </c>
      <c r="F285" s="164" t="s">
        <v>121</v>
      </c>
      <c r="G285" s="161">
        <v>1</v>
      </c>
      <c r="H285" s="185">
        <v>31000</v>
      </c>
      <c r="I285" s="216">
        <v>0</v>
      </c>
      <c r="J285" s="185">
        <f t="shared" si="62"/>
        <v>31000</v>
      </c>
      <c r="K285" s="217">
        <f>J285*G285</f>
        <v>31000</v>
      </c>
      <c r="M285" s="170" t="s">
        <v>893</v>
      </c>
      <c r="N285" s="170"/>
      <c r="O285" s="170"/>
      <c r="P285" s="170"/>
      <c r="Q285" s="170"/>
      <c r="R285" s="170"/>
      <c r="S285" s="170"/>
      <c r="T285" s="170"/>
      <c r="U285" s="170"/>
      <c r="V285" s="170"/>
      <c r="W285" s="170"/>
      <c r="X285" s="219"/>
    </row>
    <row r="286" spans="1:24">
      <c r="A286" s="37" t="s">
        <v>619</v>
      </c>
      <c r="B286" s="164" t="s">
        <v>620</v>
      </c>
      <c r="C286" s="164" t="s">
        <v>281</v>
      </c>
      <c r="D286" s="164"/>
      <c r="E286" s="164" t="s">
        <v>110</v>
      </c>
      <c r="F286" s="164" t="s">
        <v>121</v>
      </c>
      <c r="G286" s="161">
        <v>1</v>
      </c>
      <c r="H286" s="185">
        <v>35000</v>
      </c>
      <c r="I286" s="216">
        <v>0</v>
      </c>
      <c r="J286" s="185">
        <f t="shared" si="62"/>
        <v>35000</v>
      </c>
      <c r="K286" s="217">
        <f>J286*G286</f>
        <v>35000</v>
      </c>
      <c r="M286" s="170"/>
      <c r="N286" s="170"/>
      <c r="O286" s="170"/>
      <c r="P286" s="170"/>
      <c r="Q286" s="170"/>
      <c r="R286" s="170"/>
      <c r="S286" s="170"/>
      <c r="T286" s="170"/>
      <c r="U286" s="170"/>
      <c r="V286" s="170"/>
      <c r="W286" s="170"/>
      <c r="X286" s="219"/>
    </row>
    <row r="287" spans="1:24">
      <c r="A287" s="33" t="s">
        <v>621</v>
      </c>
      <c r="B287" s="305" t="s">
        <v>622</v>
      </c>
      <c r="C287" s="305"/>
      <c r="D287" s="305"/>
      <c r="E287" s="305"/>
      <c r="F287" s="305"/>
      <c r="G287" s="306"/>
      <c r="H287" s="307"/>
      <c r="I287" s="308"/>
      <c r="J287" s="307"/>
      <c r="K287" s="421"/>
      <c r="L287" s="230">
        <f>SUM(K288:K296)</f>
        <v>234787.5</v>
      </c>
      <c r="M287" s="170"/>
      <c r="N287" s="170"/>
      <c r="O287" s="170"/>
      <c r="P287" s="170"/>
      <c r="Q287" s="170"/>
      <c r="R287" s="170"/>
      <c r="S287" s="170"/>
      <c r="T287" s="170"/>
      <c r="U287" s="170"/>
      <c r="V287" s="170"/>
      <c r="W287" s="170"/>
      <c r="X287" s="219"/>
    </row>
    <row r="288" spans="1:24">
      <c r="A288" s="35" t="s">
        <v>623</v>
      </c>
      <c r="B288" s="176" t="s">
        <v>624</v>
      </c>
      <c r="C288" s="176" t="s">
        <v>103</v>
      </c>
      <c r="D288" s="176"/>
      <c r="E288" s="176" t="s">
        <v>195</v>
      </c>
      <c r="F288" s="176" t="s">
        <v>121</v>
      </c>
      <c r="G288" s="423">
        <f>$B$9</f>
        <v>4.9000000000000004</v>
      </c>
      <c r="H288" s="413">
        <v>10000</v>
      </c>
      <c r="I288" s="414">
        <v>0</v>
      </c>
      <c r="J288" s="415">
        <f t="shared" ref="J288:J296" si="63">H288*(1+I288)</f>
        <v>10000</v>
      </c>
      <c r="K288" s="416">
        <f t="shared" ref="K288:K296" si="64">J288*G288</f>
        <v>49000</v>
      </c>
      <c r="M288" s="170" t="s">
        <v>894</v>
      </c>
      <c r="N288" s="170"/>
      <c r="O288" s="170"/>
      <c r="P288" s="170"/>
      <c r="Q288" s="170"/>
      <c r="R288" s="170"/>
      <c r="S288" s="170"/>
      <c r="T288" s="170"/>
      <c r="U288" s="170"/>
      <c r="V288" s="170"/>
      <c r="W288" s="170"/>
      <c r="X288" s="219"/>
    </row>
    <row r="289" spans="1:24">
      <c r="A289" s="37" t="s">
        <v>625</v>
      </c>
      <c r="B289" s="164" t="s">
        <v>626</v>
      </c>
      <c r="C289" s="164" t="s">
        <v>103</v>
      </c>
      <c r="D289" s="164"/>
      <c r="E289" s="164" t="s">
        <v>110</v>
      </c>
      <c r="F289" s="164" t="s">
        <v>121</v>
      </c>
      <c r="G289" s="422">
        <v>1</v>
      </c>
      <c r="H289" s="185">
        <v>5000</v>
      </c>
      <c r="I289" s="216">
        <v>0</v>
      </c>
      <c r="J289" s="185">
        <f t="shared" si="63"/>
        <v>5000</v>
      </c>
      <c r="K289" s="217">
        <f t="shared" si="64"/>
        <v>5000</v>
      </c>
      <c r="M289" s="170" t="s">
        <v>894</v>
      </c>
      <c r="N289" s="170"/>
      <c r="O289" s="170"/>
      <c r="P289" s="170"/>
      <c r="Q289" s="170"/>
      <c r="R289" s="170"/>
      <c r="S289" s="170"/>
      <c r="T289" s="170"/>
      <c r="U289" s="170"/>
      <c r="V289" s="170"/>
      <c r="W289" s="170"/>
      <c r="X289" s="219"/>
    </row>
    <row r="290" spans="1:24">
      <c r="A290" s="37" t="s">
        <v>627</v>
      </c>
      <c r="B290" s="164" t="s">
        <v>628</v>
      </c>
      <c r="C290" s="164" t="s">
        <v>103</v>
      </c>
      <c r="D290" s="164"/>
      <c r="E290" s="164" t="s">
        <v>110</v>
      </c>
      <c r="F290" s="164" t="s">
        <v>121</v>
      </c>
      <c r="G290" s="422">
        <v>1</v>
      </c>
      <c r="H290" s="185">
        <v>5000</v>
      </c>
      <c r="I290" s="216">
        <v>0</v>
      </c>
      <c r="J290" s="185">
        <f t="shared" si="63"/>
        <v>5000</v>
      </c>
      <c r="K290" s="217">
        <f t="shared" si="64"/>
        <v>5000</v>
      </c>
      <c r="M290" s="170" t="s">
        <v>894</v>
      </c>
      <c r="N290" s="170"/>
      <c r="O290" s="170"/>
      <c r="P290" s="170"/>
      <c r="Q290" s="170"/>
      <c r="R290" s="170"/>
      <c r="S290" s="170"/>
      <c r="T290" s="170"/>
      <c r="U290" s="170"/>
      <c r="V290" s="170"/>
      <c r="W290" s="170"/>
      <c r="X290" s="219"/>
    </row>
    <row r="291" spans="1:24">
      <c r="A291" s="37" t="s">
        <v>629</v>
      </c>
      <c r="B291" s="164" t="s">
        <v>630</v>
      </c>
      <c r="C291" s="164" t="s">
        <v>103</v>
      </c>
      <c r="D291" s="164"/>
      <c r="E291" s="164" t="s">
        <v>195</v>
      </c>
      <c r="F291" s="164" t="s">
        <v>121</v>
      </c>
      <c r="G291" s="422">
        <f t="shared" ref="G291:G296" si="65">$B$9</f>
        <v>4.9000000000000004</v>
      </c>
      <c r="H291" s="185">
        <v>5775</v>
      </c>
      <c r="I291" s="216">
        <v>0</v>
      </c>
      <c r="J291" s="185">
        <f t="shared" si="63"/>
        <v>5775</v>
      </c>
      <c r="K291" s="217">
        <f>J291*G291</f>
        <v>28297.500000000004</v>
      </c>
      <c r="M291" s="170" t="s">
        <v>894</v>
      </c>
      <c r="N291" s="170"/>
      <c r="O291" s="170"/>
      <c r="P291" s="170"/>
      <c r="Q291" s="170"/>
      <c r="R291" s="170"/>
      <c r="S291" s="170"/>
      <c r="T291" s="170"/>
      <c r="U291" s="170"/>
      <c r="V291" s="170"/>
      <c r="W291" s="170"/>
      <c r="X291" s="219"/>
    </row>
    <row r="292" spans="1:24">
      <c r="A292" s="37" t="s">
        <v>631</v>
      </c>
      <c r="B292" s="164" t="s">
        <v>632</v>
      </c>
      <c r="C292" s="164" t="s">
        <v>103</v>
      </c>
      <c r="D292" s="164"/>
      <c r="E292" s="164" t="s">
        <v>195</v>
      </c>
      <c r="F292" s="164" t="s">
        <v>121</v>
      </c>
      <c r="G292" s="422">
        <f t="shared" si="65"/>
        <v>4.9000000000000004</v>
      </c>
      <c r="H292" s="185">
        <v>7600</v>
      </c>
      <c r="I292" s="216">
        <v>0</v>
      </c>
      <c r="J292" s="185">
        <f t="shared" si="63"/>
        <v>7600</v>
      </c>
      <c r="K292" s="217">
        <f t="shared" si="64"/>
        <v>37240</v>
      </c>
      <c r="M292" s="170" t="s">
        <v>894</v>
      </c>
      <c r="N292" s="170"/>
      <c r="O292" s="170"/>
      <c r="P292" s="170"/>
      <c r="Q292" s="170"/>
      <c r="R292" s="170"/>
      <c r="S292" s="170"/>
      <c r="T292" s="170"/>
      <c r="U292" s="170"/>
      <c r="V292" s="170"/>
      <c r="W292" s="170"/>
      <c r="X292" s="219"/>
    </row>
    <row r="293" spans="1:24">
      <c r="A293" s="37" t="s">
        <v>633</v>
      </c>
      <c r="B293" s="164" t="s">
        <v>634</v>
      </c>
      <c r="C293" s="164" t="s">
        <v>103</v>
      </c>
      <c r="D293" s="164"/>
      <c r="E293" s="164" t="s">
        <v>195</v>
      </c>
      <c r="F293" s="164" t="s">
        <v>121</v>
      </c>
      <c r="G293" s="422">
        <f t="shared" si="65"/>
        <v>4.9000000000000004</v>
      </c>
      <c r="H293" s="185">
        <v>11500</v>
      </c>
      <c r="I293" s="216">
        <v>0</v>
      </c>
      <c r="J293" s="185">
        <f t="shared" si="63"/>
        <v>11500</v>
      </c>
      <c r="K293" s="217">
        <f t="shared" si="64"/>
        <v>56350.000000000007</v>
      </c>
      <c r="M293" s="170" t="s">
        <v>894</v>
      </c>
      <c r="N293" s="170"/>
      <c r="O293" s="170"/>
      <c r="P293" s="170"/>
      <c r="Q293" s="170"/>
      <c r="R293" s="170"/>
      <c r="S293" s="170"/>
      <c r="T293" s="170"/>
      <c r="U293" s="170"/>
      <c r="V293" s="170"/>
      <c r="W293" s="170"/>
      <c r="X293" s="219"/>
    </row>
    <row r="294" spans="1:24">
      <c r="A294" s="37" t="s">
        <v>635</v>
      </c>
      <c r="B294" s="164" t="s">
        <v>636</v>
      </c>
      <c r="C294" s="164" t="s">
        <v>103</v>
      </c>
      <c r="D294" s="164"/>
      <c r="E294" s="164" t="s">
        <v>110</v>
      </c>
      <c r="F294" s="164" t="s">
        <v>121</v>
      </c>
      <c r="G294" s="422">
        <f t="shared" si="65"/>
        <v>4.9000000000000004</v>
      </c>
      <c r="H294" s="185">
        <v>4000</v>
      </c>
      <c r="I294" s="216">
        <v>0</v>
      </c>
      <c r="J294" s="185">
        <f t="shared" si="63"/>
        <v>4000</v>
      </c>
      <c r="K294" s="217">
        <f t="shared" si="64"/>
        <v>19600</v>
      </c>
      <c r="M294" s="170" t="s">
        <v>894</v>
      </c>
      <c r="N294" s="170"/>
      <c r="O294" s="170"/>
      <c r="P294" s="170"/>
      <c r="Q294" s="170"/>
      <c r="R294" s="170"/>
      <c r="S294" s="170"/>
      <c r="T294" s="170"/>
      <c r="U294" s="170"/>
      <c r="V294" s="170"/>
      <c r="W294" s="170"/>
      <c r="X294" s="219"/>
    </row>
    <row r="295" spans="1:24">
      <c r="A295" s="37" t="s">
        <v>637</v>
      </c>
      <c r="B295" s="164" t="s">
        <v>638</v>
      </c>
      <c r="C295" s="164" t="s">
        <v>103</v>
      </c>
      <c r="D295" s="164"/>
      <c r="E295" s="164" t="s">
        <v>110</v>
      </c>
      <c r="F295" s="164" t="s">
        <v>121</v>
      </c>
      <c r="G295" s="422">
        <f t="shared" si="65"/>
        <v>4.9000000000000004</v>
      </c>
      <c r="H295" s="185">
        <v>3000</v>
      </c>
      <c r="I295" s="216">
        <v>0</v>
      </c>
      <c r="J295" s="185">
        <f t="shared" si="63"/>
        <v>3000</v>
      </c>
      <c r="K295" s="217">
        <f t="shared" si="64"/>
        <v>14700.000000000002</v>
      </c>
      <c r="M295" s="170" t="s">
        <v>894</v>
      </c>
      <c r="N295" s="170"/>
      <c r="O295" s="170"/>
      <c r="P295" s="170"/>
      <c r="Q295" s="170"/>
      <c r="R295" s="170"/>
      <c r="S295" s="170"/>
      <c r="T295" s="170"/>
      <c r="U295" s="170"/>
      <c r="V295" s="170"/>
      <c r="W295" s="170"/>
      <c r="X295" s="219"/>
    </row>
    <row r="296" spans="1:24">
      <c r="A296" s="37" t="s">
        <v>639</v>
      </c>
      <c r="B296" s="164" t="s">
        <v>640</v>
      </c>
      <c r="C296" s="164" t="s">
        <v>103</v>
      </c>
      <c r="D296" s="164"/>
      <c r="E296" s="164" t="s">
        <v>195</v>
      </c>
      <c r="F296" s="164" t="s">
        <v>121</v>
      </c>
      <c r="G296" s="422">
        <f t="shared" si="65"/>
        <v>4.9000000000000004</v>
      </c>
      <c r="H296" s="185">
        <v>4000</v>
      </c>
      <c r="I296" s="216">
        <v>0</v>
      </c>
      <c r="J296" s="185">
        <f t="shared" si="63"/>
        <v>4000</v>
      </c>
      <c r="K296" s="217">
        <f t="shared" si="64"/>
        <v>19600</v>
      </c>
      <c r="M296" s="170" t="s">
        <v>894</v>
      </c>
      <c r="N296" s="170"/>
      <c r="O296" s="170"/>
      <c r="P296" s="170"/>
      <c r="Q296" s="170"/>
      <c r="R296" s="170"/>
      <c r="S296" s="170"/>
      <c r="T296" s="170"/>
      <c r="U296" s="170"/>
      <c r="V296" s="170"/>
      <c r="W296" s="170"/>
      <c r="X296" s="219"/>
    </row>
    <row r="297" spans="1:24">
      <c r="A297" s="33" t="s">
        <v>696</v>
      </c>
      <c r="B297" s="305"/>
      <c r="C297" s="305"/>
      <c r="D297" s="305"/>
      <c r="E297" s="305"/>
      <c r="F297" s="305"/>
      <c r="G297" s="306"/>
      <c r="H297" s="307"/>
      <c r="I297" s="308"/>
      <c r="J297" s="307"/>
      <c r="K297" s="421"/>
      <c r="L297" s="230">
        <f>SUM(K298:K305)</f>
        <v>0</v>
      </c>
      <c r="M297" s="170"/>
      <c r="N297" s="170"/>
      <c r="O297" s="170"/>
      <c r="P297" s="170"/>
      <c r="Q297" s="170"/>
      <c r="R297" s="170"/>
      <c r="S297" s="170"/>
      <c r="T297" s="170"/>
      <c r="U297" s="170"/>
      <c r="V297" s="170"/>
      <c r="W297" s="170"/>
      <c r="X297" s="219"/>
    </row>
    <row r="298" spans="1:24">
      <c r="A298" s="35" t="s">
        <v>696</v>
      </c>
      <c r="B298" s="176"/>
      <c r="C298" s="176"/>
      <c r="D298" s="176"/>
      <c r="E298" s="176" t="s">
        <v>118</v>
      </c>
      <c r="F298" s="176"/>
      <c r="G298" s="167"/>
      <c r="H298" s="413"/>
      <c r="I298" s="414">
        <v>0</v>
      </c>
      <c r="J298" s="415">
        <f t="shared" ref="J298:J305" si="66">H298*(1+I298)</f>
        <v>0</v>
      </c>
      <c r="K298" s="416">
        <f t="shared" ref="K298:K305" si="67">J298*G298</f>
        <v>0</v>
      </c>
      <c r="M298" s="170"/>
      <c r="N298" s="170"/>
      <c r="O298" s="170"/>
      <c r="P298" s="170"/>
      <c r="Q298" s="170"/>
      <c r="R298" s="170"/>
      <c r="S298" s="170"/>
      <c r="T298" s="170"/>
      <c r="U298" s="170"/>
      <c r="V298" s="170"/>
      <c r="W298" s="170"/>
      <c r="X298" s="219"/>
    </row>
    <row r="299" spans="1:24">
      <c r="A299" s="37" t="s">
        <v>895</v>
      </c>
      <c r="B299" s="164"/>
      <c r="C299" s="164"/>
      <c r="D299" s="164"/>
      <c r="E299" s="164" t="s">
        <v>118</v>
      </c>
      <c r="F299" s="164"/>
      <c r="G299" s="161"/>
      <c r="H299" s="185"/>
      <c r="I299" s="216">
        <v>0</v>
      </c>
      <c r="J299" s="185">
        <f t="shared" si="66"/>
        <v>0</v>
      </c>
      <c r="K299" s="217">
        <f t="shared" si="67"/>
        <v>0</v>
      </c>
      <c r="M299" s="170"/>
      <c r="N299" s="170"/>
      <c r="O299" s="170"/>
      <c r="P299" s="170"/>
      <c r="Q299" s="170"/>
      <c r="R299" s="170"/>
      <c r="S299" s="170"/>
      <c r="T299" s="170"/>
      <c r="U299" s="170"/>
      <c r="V299" s="170"/>
      <c r="W299" s="170"/>
      <c r="X299" s="219"/>
    </row>
    <row r="300" spans="1:24">
      <c r="A300" s="37" t="s">
        <v>896</v>
      </c>
      <c r="B300" s="164"/>
      <c r="C300" s="164"/>
      <c r="D300" s="164"/>
      <c r="E300" s="164" t="s">
        <v>118</v>
      </c>
      <c r="F300" s="164"/>
      <c r="G300" s="161"/>
      <c r="H300" s="185"/>
      <c r="I300" s="216">
        <v>0</v>
      </c>
      <c r="J300" s="185">
        <f t="shared" si="66"/>
        <v>0</v>
      </c>
      <c r="K300" s="217">
        <f t="shared" si="67"/>
        <v>0</v>
      </c>
      <c r="M300" s="170"/>
      <c r="N300" s="170"/>
      <c r="O300" s="170"/>
      <c r="P300" s="170"/>
      <c r="Q300" s="170"/>
      <c r="R300" s="170"/>
      <c r="S300" s="170"/>
      <c r="T300" s="170"/>
      <c r="U300" s="170"/>
      <c r="V300" s="170"/>
      <c r="W300" s="170"/>
      <c r="X300" s="219"/>
    </row>
    <row r="301" spans="1:24">
      <c r="A301" s="37" t="s">
        <v>897</v>
      </c>
      <c r="B301" s="164"/>
      <c r="C301" s="164"/>
      <c r="D301" s="164"/>
      <c r="E301" s="164" t="s">
        <v>118</v>
      </c>
      <c r="F301" s="164"/>
      <c r="G301" s="161"/>
      <c r="H301" s="185"/>
      <c r="I301" s="216">
        <v>0</v>
      </c>
      <c r="J301" s="185">
        <f t="shared" si="66"/>
        <v>0</v>
      </c>
      <c r="K301" s="217">
        <f t="shared" si="67"/>
        <v>0</v>
      </c>
      <c r="M301" s="170"/>
      <c r="N301" s="170"/>
      <c r="O301" s="170"/>
      <c r="P301" s="170"/>
      <c r="Q301" s="170"/>
      <c r="R301" s="170"/>
      <c r="S301" s="170"/>
      <c r="T301" s="170"/>
      <c r="U301" s="170"/>
      <c r="V301" s="170"/>
      <c r="W301" s="170"/>
      <c r="X301" s="219"/>
    </row>
    <row r="302" spans="1:24">
      <c r="A302" s="37" t="s">
        <v>898</v>
      </c>
      <c r="B302" s="164"/>
      <c r="C302" s="164"/>
      <c r="D302" s="164"/>
      <c r="E302" s="164" t="s">
        <v>118</v>
      </c>
      <c r="F302" s="164"/>
      <c r="G302" s="161"/>
      <c r="H302" s="185"/>
      <c r="I302" s="216">
        <v>0</v>
      </c>
      <c r="J302" s="185">
        <f t="shared" si="66"/>
        <v>0</v>
      </c>
      <c r="K302" s="217">
        <f t="shared" si="67"/>
        <v>0</v>
      </c>
      <c r="M302" s="170"/>
      <c r="N302" s="170"/>
      <c r="O302" s="170"/>
      <c r="P302" s="170"/>
      <c r="Q302" s="170"/>
      <c r="R302" s="170"/>
      <c r="S302" s="170"/>
      <c r="T302" s="170"/>
      <c r="U302" s="170"/>
      <c r="V302" s="170"/>
      <c r="W302" s="170"/>
      <c r="X302" s="219"/>
    </row>
    <row r="303" spans="1:24">
      <c r="A303" s="37" t="s">
        <v>899</v>
      </c>
      <c r="B303" s="164"/>
      <c r="C303" s="164"/>
      <c r="D303" s="164"/>
      <c r="E303" s="164" t="s">
        <v>118</v>
      </c>
      <c r="F303" s="164"/>
      <c r="G303" s="161"/>
      <c r="H303" s="185"/>
      <c r="I303" s="216">
        <v>0</v>
      </c>
      <c r="J303" s="185">
        <f t="shared" si="66"/>
        <v>0</v>
      </c>
      <c r="K303" s="217">
        <f t="shared" si="67"/>
        <v>0</v>
      </c>
      <c r="M303" s="170"/>
      <c r="N303" s="170"/>
      <c r="O303" s="170"/>
      <c r="P303" s="170"/>
      <c r="Q303" s="170"/>
      <c r="R303" s="170"/>
      <c r="S303" s="170"/>
      <c r="T303" s="170"/>
      <c r="U303" s="170"/>
      <c r="V303" s="170"/>
      <c r="W303" s="170"/>
      <c r="X303" s="219"/>
    </row>
    <row r="304" spans="1:24">
      <c r="A304" s="37" t="s">
        <v>900</v>
      </c>
      <c r="B304" s="164"/>
      <c r="C304" s="164"/>
      <c r="D304" s="164"/>
      <c r="E304" s="164" t="s">
        <v>118</v>
      </c>
      <c r="F304" s="164"/>
      <c r="G304" s="161"/>
      <c r="H304" s="185"/>
      <c r="I304" s="216">
        <v>0</v>
      </c>
      <c r="J304" s="185">
        <f t="shared" si="66"/>
        <v>0</v>
      </c>
      <c r="K304" s="217">
        <f t="shared" si="67"/>
        <v>0</v>
      </c>
      <c r="M304" s="170"/>
      <c r="N304" s="170"/>
      <c r="O304" s="170"/>
      <c r="P304" s="170"/>
      <c r="Q304" s="170"/>
      <c r="R304" s="170"/>
      <c r="S304" s="170"/>
      <c r="T304" s="170"/>
      <c r="U304" s="170"/>
      <c r="V304" s="170"/>
      <c r="W304" s="170"/>
      <c r="X304" s="219"/>
    </row>
    <row r="305" spans="1:24">
      <c r="A305" s="37" t="s">
        <v>901</v>
      </c>
      <c r="B305" s="164"/>
      <c r="C305" s="164"/>
      <c r="D305" s="164"/>
      <c r="E305" s="164" t="s">
        <v>118</v>
      </c>
      <c r="F305" s="164"/>
      <c r="G305" s="161"/>
      <c r="H305" s="185"/>
      <c r="I305" s="216">
        <v>0</v>
      </c>
      <c r="J305" s="185">
        <f t="shared" si="66"/>
        <v>0</v>
      </c>
      <c r="K305" s="217">
        <f t="shared" si="67"/>
        <v>0</v>
      </c>
      <c r="M305" s="170"/>
      <c r="N305" s="170"/>
      <c r="O305" s="170"/>
      <c r="P305" s="170"/>
      <c r="Q305" s="170"/>
      <c r="R305" s="170"/>
      <c r="S305" s="170"/>
      <c r="T305" s="170"/>
      <c r="U305" s="170"/>
      <c r="V305" s="170"/>
      <c r="W305" s="170"/>
      <c r="X305" s="219"/>
    </row>
    <row r="306" spans="1:24">
      <c r="A306" s="33" t="s">
        <v>902</v>
      </c>
      <c r="B306" s="305" t="s">
        <v>644</v>
      </c>
      <c r="C306" s="305"/>
      <c r="D306" s="305"/>
      <c r="E306" s="305"/>
      <c r="F306" s="305"/>
      <c r="G306" s="306"/>
      <c r="H306" s="307"/>
      <c r="I306" s="308"/>
      <c r="J306" s="307"/>
      <c r="K306" s="421"/>
      <c r="L306" s="230">
        <f>SUM(K307:K308)</f>
        <v>516914.98930080794</v>
      </c>
      <c r="M306" s="170"/>
      <c r="N306" s="170"/>
      <c r="O306" s="170"/>
      <c r="P306" s="170"/>
      <c r="Q306" s="170"/>
      <c r="R306" s="170"/>
      <c r="S306" s="170"/>
      <c r="T306" s="170"/>
      <c r="U306" s="170"/>
      <c r="V306" s="170"/>
      <c r="W306" s="170"/>
      <c r="X306" s="219"/>
    </row>
    <row r="307" spans="1:24">
      <c r="A307" s="35" t="s">
        <v>903</v>
      </c>
      <c r="B307" s="176"/>
      <c r="C307" s="176"/>
      <c r="D307" s="176"/>
      <c r="E307" s="176"/>
      <c r="F307" s="176"/>
      <c r="G307" s="424">
        <v>0</v>
      </c>
      <c r="H307" s="413"/>
      <c r="I307" s="414"/>
      <c r="J307" s="415"/>
      <c r="K307" s="416">
        <f>G307*SUM(K22:K305)</f>
        <v>0</v>
      </c>
      <c r="M307" s="170"/>
      <c r="N307" s="170"/>
      <c r="O307" s="170"/>
      <c r="P307" s="170"/>
      <c r="Q307" s="170"/>
      <c r="R307" s="170"/>
      <c r="S307" s="170"/>
      <c r="T307" s="170"/>
      <c r="U307" s="170"/>
      <c r="V307" s="170"/>
      <c r="W307" s="170"/>
      <c r="X307" s="219"/>
    </row>
    <row r="308" spans="1:24">
      <c r="A308" s="34" t="s">
        <v>644</v>
      </c>
      <c r="B308" s="226"/>
      <c r="C308" s="226"/>
      <c r="D308" s="226"/>
      <c r="E308" s="226"/>
      <c r="F308" s="226"/>
      <c r="G308" s="425">
        <v>0.02</v>
      </c>
      <c r="H308" s="225"/>
      <c r="I308" s="311"/>
      <c r="J308" s="312"/>
      <c r="K308" s="313">
        <f>G308*SUM(K23:K306)-2</f>
        <v>516914.98930080794</v>
      </c>
      <c r="M308" s="170"/>
      <c r="N308" s="170"/>
      <c r="O308" s="170"/>
      <c r="P308" s="170"/>
      <c r="Q308" s="170"/>
      <c r="R308" s="170"/>
      <c r="S308" s="170"/>
      <c r="T308" s="170"/>
      <c r="U308" s="170"/>
      <c r="V308" s="170"/>
      <c r="W308" s="170"/>
      <c r="X308" s="219"/>
    </row>
    <row r="309" spans="1:24">
      <c r="A309" s="33" t="s">
        <v>645</v>
      </c>
      <c r="B309" s="305" t="s">
        <v>646</v>
      </c>
      <c r="C309" s="305"/>
      <c r="D309" s="305"/>
      <c r="E309" s="305"/>
      <c r="F309" s="305"/>
      <c r="G309" s="306"/>
      <c r="H309" s="307"/>
      <c r="I309" s="308"/>
      <c r="J309" s="307"/>
      <c r="K309" s="421"/>
      <c r="L309" s="230">
        <f>SUM(K310:K323)</f>
        <v>691024.09</v>
      </c>
      <c r="M309" s="170"/>
      <c r="N309" s="170"/>
      <c r="O309" s="170"/>
      <c r="P309" s="170"/>
      <c r="Q309" s="170"/>
      <c r="R309" s="170"/>
      <c r="S309" s="170"/>
      <c r="T309" s="170"/>
      <c r="U309" s="170"/>
      <c r="V309" s="170"/>
      <c r="W309" s="170"/>
      <c r="X309" s="219"/>
    </row>
    <row r="310" spans="1:24">
      <c r="A310" s="35" t="s">
        <v>647</v>
      </c>
      <c r="B310" s="176" t="s">
        <v>648</v>
      </c>
      <c r="C310" s="176" t="s">
        <v>103</v>
      </c>
      <c r="D310" s="176"/>
      <c r="E310" s="176" t="s">
        <v>110</v>
      </c>
      <c r="F310" s="176" t="s">
        <v>121</v>
      </c>
      <c r="G310" s="167">
        <v>1</v>
      </c>
      <c r="H310" s="413">
        <v>10000</v>
      </c>
      <c r="I310" s="414">
        <v>0</v>
      </c>
      <c r="J310" s="415">
        <f t="shared" ref="J310:J323" si="68">H310*(1+I310)</f>
        <v>10000</v>
      </c>
      <c r="K310" s="416">
        <f t="shared" ref="K310:K323" si="69">J310*G310</f>
        <v>10000</v>
      </c>
      <c r="M310" s="170"/>
      <c r="N310" s="170"/>
      <c r="O310" s="170"/>
      <c r="P310" s="170"/>
      <c r="Q310" s="170"/>
      <c r="R310" s="170"/>
      <c r="S310" s="170"/>
      <c r="T310" s="170"/>
      <c r="U310" s="170"/>
      <c r="V310" s="170"/>
      <c r="W310" s="170"/>
      <c r="X310" s="219"/>
    </row>
    <row r="311" spans="1:24">
      <c r="A311" s="37" t="s">
        <v>650</v>
      </c>
      <c r="B311" s="164" t="s">
        <v>651</v>
      </c>
      <c r="C311" s="164" t="s">
        <v>103</v>
      </c>
      <c r="D311" s="164"/>
      <c r="E311" s="164" t="s">
        <v>118</v>
      </c>
      <c r="F311" s="164"/>
      <c r="G311" s="161"/>
      <c r="H311" s="185"/>
      <c r="I311" s="216">
        <v>0</v>
      </c>
      <c r="J311" s="185">
        <f t="shared" si="68"/>
        <v>0</v>
      </c>
      <c r="K311" s="217">
        <f t="shared" si="69"/>
        <v>0</v>
      </c>
      <c r="M311" s="170"/>
      <c r="N311" s="170"/>
      <c r="O311" s="170"/>
      <c r="P311" s="170"/>
      <c r="Q311" s="170"/>
      <c r="R311" s="170"/>
      <c r="S311" s="170"/>
      <c r="T311" s="170"/>
      <c r="U311" s="170"/>
      <c r="V311" s="170"/>
      <c r="W311" s="170"/>
      <c r="X311" s="219"/>
    </row>
    <row r="312" spans="1:24">
      <c r="A312" s="37" t="s">
        <v>652</v>
      </c>
      <c r="B312" s="164" t="s">
        <v>653</v>
      </c>
      <c r="C312" s="164" t="s">
        <v>103</v>
      </c>
      <c r="D312" s="164"/>
      <c r="E312" s="164" t="s">
        <v>118</v>
      </c>
      <c r="F312" s="164" t="s">
        <v>121</v>
      </c>
      <c r="G312" s="161">
        <v>0</v>
      </c>
      <c r="H312" s="185">
        <v>21000</v>
      </c>
      <c r="I312" s="216">
        <v>0</v>
      </c>
      <c r="J312" s="185">
        <f t="shared" si="68"/>
        <v>21000</v>
      </c>
      <c r="K312" s="217">
        <f t="shared" si="69"/>
        <v>0</v>
      </c>
      <c r="M312" s="170"/>
      <c r="N312" s="170"/>
      <c r="O312" s="170"/>
      <c r="P312" s="170"/>
      <c r="Q312" s="170"/>
      <c r="R312" s="170"/>
      <c r="S312" s="170"/>
      <c r="T312" s="170"/>
      <c r="U312" s="170"/>
      <c r="V312" s="170"/>
      <c r="W312" s="170"/>
      <c r="X312" s="219"/>
    </row>
    <row r="313" spans="1:24">
      <c r="A313" s="37" t="s">
        <v>654</v>
      </c>
      <c r="B313" s="164" t="s">
        <v>655</v>
      </c>
      <c r="C313" s="164" t="s">
        <v>103</v>
      </c>
      <c r="D313" s="164"/>
      <c r="E313" s="164" t="s">
        <v>110</v>
      </c>
      <c r="F313" s="164" t="s">
        <v>121</v>
      </c>
      <c r="G313" s="161">
        <v>1</v>
      </c>
      <c r="H313" s="185">
        <v>22000</v>
      </c>
      <c r="I313" s="216">
        <v>0</v>
      </c>
      <c r="J313" s="185">
        <f t="shared" si="68"/>
        <v>22000</v>
      </c>
      <c r="K313" s="217">
        <f t="shared" si="69"/>
        <v>22000</v>
      </c>
      <c r="M313" s="170"/>
      <c r="N313" s="170"/>
      <c r="O313" s="170"/>
      <c r="P313" s="170"/>
      <c r="Q313" s="170"/>
      <c r="R313" s="170"/>
      <c r="S313" s="170"/>
      <c r="T313" s="170"/>
      <c r="U313" s="170"/>
      <c r="V313" s="170"/>
      <c r="W313" s="170"/>
      <c r="X313" s="219"/>
    </row>
    <row r="314" spans="1:24">
      <c r="A314" s="39" t="s">
        <v>656</v>
      </c>
      <c r="B314" s="164" t="s">
        <v>657</v>
      </c>
      <c r="C314" s="164" t="s">
        <v>103</v>
      </c>
      <c r="D314" s="164"/>
      <c r="E314" s="164" t="s">
        <v>195</v>
      </c>
      <c r="F314" s="164" t="s">
        <v>121</v>
      </c>
      <c r="G314" s="161">
        <v>1</v>
      </c>
      <c r="H314" s="184">
        <v>43676.49</v>
      </c>
      <c r="I314" s="216">
        <v>0</v>
      </c>
      <c r="J314" s="185">
        <f t="shared" si="68"/>
        <v>43676.49</v>
      </c>
      <c r="K314" s="217">
        <f t="shared" si="69"/>
        <v>43676.49</v>
      </c>
      <c r="M314" s="170"/>
      <c r="N314" s="170"/>
      <c r="O314" s="170"/>
      <c r="P314" s="170"/>
      <c r="Q314" s="170"/>
      <c r="R314" s="170"/>
      <c r="S314" s="170"/>
      <c r="T314" s="170"/>
      <c r="U314" s="170"/>
      <c r="V314" s="170"/>
      <c r="W314" s="170"/>
      <c r="X314" s="219"/>
    </row>
    <row r="315" spans="1:24">
      <c r="A315" s="39" t="s">
        <v>659</v>
      </c>
      <c r="B315" s="164" t="s">
        <v>660</v>
      </c>
      <c r="C315" s="164" t="s">
        <v>103</v>
      </c>
      <c r="D315" s="164"/>
      <c r="E315" s="164" t="s">
        <v>118</v>
      </c>
      <c r="F315" s="164"/>
      <c r="G315" s="161"/>
      <c r="H315" s="185"/>
      <c r="I315" s="216">
        <v>0</v>
      </c>
      <c r="J315" s="185">
        <f t="shared" si="68"/>
        <v>0</v>
      </c>
      <c r="K315" s="217">
        <f t="shared" si="69"/>
        <v>0</v>
      </c>
      <c r="M315" s="170"/>
      <c r="N315" s="170"/>
      <c r="O315" s="170"/>
      <c r="P315" s="170"/>
      <c r="Q315" s="170"/>
      <c r="R315" s="170"/>
      <c r="S315" s="170"/>
      <c r="T315" s="170"/>
      <c r="U315" s="170"/>
      <c r="V315" s="170"/>
      <c r="W315" s="170"/>
      <c r="X315" s="219"/>
    </row>
    <row r="316" spans="1:24">
      <c r="A316" s="39" t="s">
        <v>661</v>
      </c>
      <c r="B316" s="164" t="s">
        <v>662</v>
      </c>
      <c r="C316" s="164" t="s">
        <v>103</v>
      </c>
      <c r="D316" s="164"/>
      <c r="E316" s="164" t="s">
        <v>110</v>
      </c>
      <c r="F316" s="164" t="s">
        <v>121</v>
      </c>
      <c r="G316" s="161">
        <v>1</v>
      </c>
      <c r="H316" s="185">
        <v>15000</v>
      </c>
      <c r="I316" s="216">
        <v>0</v>
      </c>
      <c r="J316" s="185">
        <f t="shared" si="68"/>
        <v>15000</v>
      </c>
      <c r="K316" s="217">
        <f t="shared" si="69"/>
        <v>15000</v>
      </c>
      <c r="M316" s="170"/>
      <c r="N316" s="170"/>
      <c r="O316" s="170"/>
      <c r="P316" s="170"/>
      <c r="Q316" s="170"/>
      <c r="R316" s="170"/>
      <c r="S316" s="170"/>
      <c r="T316" s="170"/>
      <c r="U316" s="170"/>
      <c r="V316" s="170"/>
      <c r="W316" s="170"/>
      <c r="X316" s="219"/>
    </row>
    <row r="317" spans="1:24">
      <c r="A317" s="39" t="s">
        <v>663</v>
      </c>
      <c r="B317" s="164" t="s">
        <v>664</v>
      </c>
      <c r="C317" s="164" t="s">
        <v>103</v>
      </c>
      <c r="D317" s="164"/>
      <c r="E317" s="164" t="s">
        <v>904</v>
      </c>
      <c r="F317" s="164" t="s">
        <v>121</v>
      </c>
      <c r="G317" s="161">
        <v>1</v>
      </c>
      <c r="H317" s="185">
        <v>5000</v>
      </c>
      <c r="I317" s="216">
        <v>0</v>
      </c>
      <c r="J317" s="185">
        <f t="shared" si="68"/>
        <v>5000</v>
      </c>
      <c r="K317" s="217">
        <f t="shared" si="69"/>
        <v>5000</v>
      </c>
      <c r="M317" s="170"/>
      <c r="N317" s="170"/>
      <c r="O317" s="170"/>
      <c r="P317" s="170"/>
      <c r="Q317" s="170"/>
      <c r="R317" s="170"/>
      <c r="S317" s="170"/>
      <c r="T317" s="170"/>
      <c r="U317" s="170"/>
      <c r="V317" s="170"/>
      <c r="W317" s="170"/>
      <c r="X317" s="219"/>
    </row>
    <row r="318" spans="1:24">
      <c r="A318" s="39" t="s">
        <v>665</v>
      </c>
      <c r="B318" s="164" t="s">
        <v>666</v>
      </c>
      <c r="C318" s="164" t="s">
        <v>103</v>
      </c>
      <c r="D318" s="164"/>
      <c r="E318" s="164" t="s">
        <v>118</v>
      </c>
      <c r="F318" s="164"/>
      <c r="G318" s="161"/>
      <c r="H318" s="185"/>
      <c r="I318" s="216">
        <v>0</v>
      </c>
      <c r="J318" s="185">
        <f t="shared" si="68"/>
        <v>0</v>
      </c>
      <c r="K318" s="217">
        <f t="shared" si="69"/>
        <v>0</v>
      </c>
      <c r="M318" s="170"/>
      <c r="N318" s="170"/>
      <c r="O318" s="170"/>
      <c r="P318" s="170"/>
      <c r="Q318" s="170"/>
      <c r="R318" s="170"/>
      <c r="S318" s="170"/>
      <c r="T318" s="170"/>
      <c r="U318" s="170"/>
      <c r="V318" s="170"/>
      <c r="W318" s="170"/>
      <c r="X318" s="219"/>
    </row>
    <row r="319" spans="1:24">
      <c r="A319" s="37" t="s">
        <v>667</v>
      </c>
      <c r="B319" s="164" t="s">
        <v>668</v>
      </c>
      <c r="C319" s="164" t="s">
        <v>103</v>
      </c>
      <c r="D319" s="164"/>
      <c r="E319" s="164" t="s">
        <v>110</v>
      </c>
      <c r="F319" s="164" t="s">
        <v>121</v>
      </c>
      <c r="G319" s="161">
        <v>1</v>
      </c>
      <c r="H319" s="185">
        <v>500000</v>
      </c>
      <c r="I319" s="216">
        <v>0</v>
      </c>
      <c r="J319" s="185">
        <f t="shared" si="68"/>
        <v>500000</v>
      </c>
      <c r="K319" s="217">
        <f t="shared" si="69"/>
        <v>500000</v>
      </c>
      <c r="M319" s="170"/>
      <c r="N319" s="170"/>
      <c r="O319" s="170"/>
      <c r="P319" s="170"/>
      <c r="Q319" s="170"/>
      <c r="R319" s="170"/>
      <c r="S319" s="170"/>
      <c r="T319" s="170"/>
      <c r="U319" s="170"/>
      <c r="V319" s="170"/>
      <c r="W319" s="170"/>
      <c r="X319" s="219"/>
    </row>
    <row r="320" spans="1:24">
      <c r="A320" s="37" t="s">
        <v>670</v>
      </c>
      <c r="B320" s="164" t="s">
        <v>671</v>
      </c>
      <c r="C320" s="164" t="s">
        <v>103</v>
      </c>
      <c r="D320" s="164"/>
      <c r="E320" s="164" t="s">
        <v>880</v>
      </c>
      <c r="F320" s="164" t="s">
        <v>121</v>
      </c>
      <c r="G320" s="161">
        <v>1</v>
      </c>
      <c r="H320" s="185">
        <v>72147.600000000006</v>
      </c>
      <c r="I320" s="216">
        <v>0</v>
      </c>
      <c r="J320" s="185">
        <f t="shared" si="68"/>
        <v>72147.600000000006</v>
      </c>
      <c r="K320" s="217">
        <f t="shared" si="69"/>
        <v>72147.600000000006</v>
      </c>
      <c r="M320" s="170" t="s">
        <v>905</v>
      </c>
      <c r="N320" s="170"/>
      <c r="O320" s="170"/>
      <c r="P320" s="170"/>
      <c r="Q320" s="170"/>
      <c r="R320" s="170"/>
      <c r="S320" s="170"/>
      <c r="T320" s="170"/>
      <c r="U320" s="170"/>
      <c r="V320" s="170"/>
      <c r="W320" s="170"/>
      <c r="X320" s="219"/>
    </row>
    <row r="321" spans="1:24">
      <c r="A321" s="39" t="s">
        <v>672</v>
      </c>
      <c r="B321" s="164" t="s">
        <v>478</v>
      </c>
      <c r="C321" s="164" t="s">
        <v>103</v>
      </c>
      <c r="D321" s="164"/>
      <c r="E321" s="164" t="s">
        <v>110</v>
      </c>
      <c r="F321" s="164" t="s">
        <v>121</v>
      </c>
      <c r="G321" s="161">
        <v>1</v>
      </c>
      <c r="H321" s="185">
        <v>20000</v>
      </c>
      <c r="I321" s="216">
        <v>0</v>
      </c>
      <c r="J321" s="185">
        <f t="shared" si="68"/>
        <v>20000</v>
      </c>
      <c r="K321" s="217">
        <f t="shared" si="69"/>
        <v>20000</v>
      </c>
      <c r="M321" s="170"/>
      <c r="N321" s="170"/>
      <c r="O321" s="170"/>
      <c r="P321" s="170"/>
      <c r="Q321" s="170"/>
      <c r="R321" s="170"/>
      <c r="S321" s="170"/>
      <c r="T321" s="170"/>
      <c r="U321" s="170"/>
      <c r="V321" s="170"/>
      <c r="W321" s="170"/>
      <c r="X321" s="219"/>
    </row>
    <row r="322" spans="1:24">
      <c r="A322" s="39" t="s">
        <v>673</v>
      </c>
      <c r="B322" s="164" t="s">
        <v>674</v>
      </c>
      <c r="C322" s="164" t="s">
        <v>103</v>
      </c>
      <c r="D322" s="164"/>
      <c r="E322" s="164" t="s">
        <v>110</v>
      </c>
      <c r="F322" s="164" t="s">
        <v>121</v>
      </c>
      <c r="G322" s="161">
        <v>1</v>
      </c>
      <c r="H322" s="185">
        <v>2000</v>
      </c>
      <c r="I322" s="216">
        <v>0</v>
      </c>
      <c r="J322" s="185">
        <f t="shared" si="68"/>
        <v>2000</v>
      </c>
      <c r="K322" s="217">
        <f t="shared" si="69"/>
        <v>2000</v>
      </c>
      <c r="M322" s="170"/>
      <c r="N322" s="170"/>
      <c r="O322" s="170"/>
      <c r="P322" s="170"/>
      <c r="Q322" s="170"/>
      <c r="R322" s="170"/>
      <c r="S322" s="170"/>
      <c r="T322" s="170"/>
      <c r="U322" s="170"/>
      <c r="V322" s="170"/>
      <c r="W322" s="170"/>
      <c r="X322" s="219"/>
    </row>
    <row r="323" spans="1:24">
      <c r="A323" s="39" t="s">
        <v>675</v>
      </c>
      <c r="B323" s="164" t="s">
        <v>676</v>
      </c>
      <c r="C323" s="164" t="s">
        <v>103</v>
      </c>
      <c r="D323" s="164"/>
      <c r="E323" s="164" t="s">
        <v>110</v>
      </c>
      <c r="F323" s="164" t="s">
        <v>121</v>
      </c>
      <c r="G323" s="161">
        <v>1</v>
      </c>
      <c r="H323" s="185">
        <v>1200</v>
      </c>
      <c r="I323" s="216">
        <v>0</v>
      </c>
      <c r="J323" s="185">
        <f t="shared" si="68"/>
        <v>1200</v>
      </c>
      <c r="K323" s="217">
        <f t="shared" si="69"/>
        <v>1200</v>
      </c>
      <c r="M323" s="170"/>
      <c r="N323" s="170"/>
      <c r="O323" s="170"/>
      <c r="P323" s="170"/>
      <c r="Q323" s="170"/>
      <c r="R323" s="170"/>
      <c r="S323" s="170"/>
      <c r="T323" s="170"/>
      <c r="U323" s="170"/>
      <c r="V323" s="170"/>
      <c r="W323" s="170"/>
      <c r="X323" s="219"/>
    </row>
    <row r="324" spans="1:24">
      <c r="A324" s="33" t="s">
        <v>677</v>
      </c>
      <c r="B324" s="305" t="s">
        <v>678</v>
      </c>
      <c r="C324" s="305"/>
      <c r="D324" s="305"/>
      <c r="E324" s="305"/>
      <c r="F324" s="305"/>
      <c r="G324" s="306"/>
      <c r="H324" s="307"/>
      <c r="I324" s="308"/>
      <c r="J324" s="307"/>
      <c r="K324" s="421"/>
      <c r="L324" s="230">
        <f>SUM(K325)</f>
        <v>1674318</v>
      </c>
      <c r="M324" s="170"/>
      <c r="N324" s="170"/>
      <c r="O324" s="170"/>
      <c r="P324" s="170"/>
      <c r="Q324" s="170"/>
      <c r="R324" s="170"/>
      <c r="S324" s="170"/>
      <c r="T324" s="170"/>
      <c r="U324" s="170"/>
      <c r="V324" s="170"/>
      <c r="W324" s="170"/>
      <c r="X324" s="219"/>
    </row>
    <row r="325" spans="1:24">
      <c r="A325" s="34" t="s">
        <v>677</v>
      </c>
      <c r="B325" s="226" t="s">
        <v>679</v>
      </c>
      <c r="C325" s="226"/>
      <c r="D325" s="226"/>
      <c r="E325" s="226"/>
      <c r="F325" s="226"/>
      <c r="G325" s="425"/>
      <c r="H325" s="225"/>
      <c r="I325" s="311"/>
      <c r="J325" s="312"/>
      <c r="K325" s="313">
        <v>1674318</v>
      </c>
      <c r="M325" s="170"/>
      <c r="N325" s="170"/>
      <c r="O325" s="170"/>
      <c r="P325" s="170"/>
      <c r="Q325" s="170"/>
      <c r="R325" s="170"/>
      <c r="S325" s="170"/>
      <c r="T325" s="170"/>
      <c r="U325" s="170"/>
      <c r="V325" s="170"/>
      <c r="W325" s="170"/>
      <c r="X325" s="219"/>
    </row>
    <row r="326" spans="1:24">
      <c r="A326" s="33" t="s">
        <v>680</v>
      </c>
      <c r="B326" s="305" t="s">
        <v>681</v>
      </c>
      <c r="C326" s="305"/>
      <c r="D326" s="305"/>
      <c r="E326" s="305"/>
      <c r="F326" s="305"/>
      <c r="G326" s="306"/>
      <c r="H326" s="307"/>
      <c r="I326" s="308"/>
      <c r="J326" s="307"/>
      <c r="K326" s="421"/>
      <c r="L326" s="230">
        <f>SUM(K327)</f>
        <v>336354.04304552515</v>
      </c>
      <c r="M326" s="170"/>
      <c r="N326" s="170"/>
      <c r="O326" s="170"/>
      <c r="P326" s="170"/>
      <c r="Q326" s="170"/>
      <c r="R326" s="170"/>
      <c r="S326" s="170"/>
      <c r="T326" s="170"/>
      <c r="U326" s="170"/>
      <c r="V326" s="170"/>
      <c r="W326" s="170"/>
      <c r="X326" s="219"/>
    </row>
    <row r="327" spans="1:24">
      <c r="A327" s="34" t="s">
        <v>680</v>
      </c>
      <c r="B327" s="226" t="s">
        <v>682</v>
      </c>
      <c r="C327" s="226" t="s">
        <v>683</v>
      </c>
      <c r="D327" s="226"/>
      <c r="E327" s="226"/>
      <c r="F327" s="226"/>
      <c r="G327" s="425">
        <v>1.2999999999999999E-2</v>
      </c>
      <c r="H327" s="225"/>
      <c r="I327" s="311"/>
      <c r="J327" s="312"/>
      <c r="K327" s="313">
        <v>336354.04304552515</v>
      </c>
      <c r="M327" s="170"/>
      <c r="N327" s="170"/>
      <c r="O327" s="170"/>
      <c r="P327" s="170"/>
      <c r="Q327" s="170"/>
      <c r="R327" s="170"/>
      <c r="S327" s="170"/>
      <c r="T327" s="170"/>
      <c r="U327" s="170"/>
      <c r="V327" s="170"/>
      <c r="W327" s="170"/>
      <c r="X327" s="219"/>
    </row>
    <row r="328" spans="1:24">
      <c r="A328" s="33" t="s">
        <v>684</v>
      </c>
      <c r="B328" s="305" t="s">
        <v>681</v>
      </c>
      <c r="C328" s="305"/>
      <c r="D328" s="305"/>
      <c r="E328" s="305"/>
      <c r="F328" s="305"/>
      <c r="G328" s="306"/>
      <c r="H328" s="307"/>
      <c r="I328" s="308"/>
      <c r="J328" s="307"/>
      <c r="K328" s="421"/>
      <c r="L328" s="230">
        <f>SUM(K329:K331)</f>
        <v>515160.29057296121</v>
      </c>
      <c r="M328" s="170"/>
      <c r="N328" s="170"/>
      <c r="O328" s="170"/>
      <c r="P328" s="170"/>
      <c r="Q328" s="170"/>
      <c r="R328" s="170"/>
      <c r="S328" s="170"/>
      <c r="T328" s="170"/>
      <c r="U328" s="170"/>
      <c r="V328" s="170"/>
      <c r="W328" s="170"/>
      <c r="X328" s="219"/>
    </row>
    <row r="329" spans="1:24">
      <c r="A329" s="35" t="s">
        <v>685</v>
      </c>
      <c r="B329" s="176" t="s">
        <v>686</v>
      </c>
      <c r="C329" s="176"/>
      <c r="D329" s="176"/>
      <c r="E329" s="176"/>
      <c r="F329" s="176"/>
      <c r="G329" s="426">
        <v>9</v>
      </c>
      <c r="H329" s="413"/>
      <c r="I329" s="414"/>
      <c r="J329" s="415"/>
      <c r="K329" s="416">
        <v>257580.14528648061</v>
      </c>
      <c r="M329" s="170"/>
      <c r="N329" s="170"/>
      <c r="O329" s="170"/>
      <c r="P329" s="170"/>
      <c r="Q329" s="170"/>
      <c r="R329" s="170"/>
      <c r="S329" s="170"/>
      <c r="T329" s="170"/>
      <c r="U329" s="170"/>
      <c r="V329" s="170"/>
      <c r="W329" s="170"/>
      <c r="X329" s="219"/>
    </row>
    <row r="330" spans="1:24">
      <c r="A330" s="39" t="s">
        <v>688</v>
      </c>
      <c r="B330" s="164" t="s">
        <v>686</v>
      </c>
      <c r="C330" s="164"/>
      <c r="D330" s="164"/>
      <c r="E330" s="164"/>
      <c r="F330" s="164" t="s">
        <v>689</v>
      </c>
      <c r="G330" s="216">
        <v>0.05</v>
      </c>
      <c r="H330" s="185"/>
      <c r="I330" s="216"/>
      <c r="J330" s="185"/>
      <c r="K330" s="217">
        <v>12879.007264324031</v>
      </c>
      <c r="M330" s="170"/>
      <c r="N330" s="170"/>
      <c r="O330" s="170"/>
      <c r="P330" s="170"/>
      <c r="Q330" s="170"/>
      <c r="R330" s="170"/>
      <c r="S330" s="170"/>
      <c r="T330" s="170"/>
      <c r="U330" s="170"/>
      <c r="V330" s="170"/>
      <c r="W330" s="170"/>
      <c r="X330" s="219"/>
    </row>
    <row r="331" spans="1:24">
      <c r="A331" s="39" t="s">
        <v>690</v>
      </c>
      <c r="B331" s="164" t="s">
        <v>686</v>
      </c>
      <c r="C331" s="164"/>
      <c r="D331" s="164"/>
      <c r="E331" s="164"/>
      <c r="F331" s="164" t="s">
        <v>691</v>
      </c>
      <c r="G331" s="216">
        <v>0.95</v>
      </c>
      <c r="H331" s="185"/>
      <c r="I331" s="216"/>
      <c r="J331" s="185"/>
      <c r="K331" s="217">
        <v>244701.13802215658</v>
      </c>
      <c r="M331" s="170"/>
      <c r="N331" s="170"/>
      <c r="O331" s="170"/>
      <c r="P331" s="170"/>
      <c r="Q331" s="170"/>
      <c r="R331" s="170"/>
      <c r="S331" s="170"/>
      <c r="T331" s="170"/>
      <c r="U331" s="170"/>
      <c r="V331" s="170"/>
      <c r="W331" s="170"/>
      <c r="X331" s="219"/>
    </row>
    <row r="332" spans="1:24">
      <c r="A332" s="33" t="s">
        <v>692</v>
      </c>
      <c r="B332" s="305" t="s">
        <v>693</v>
      </c>
      <c r="C332" s="305"/>
      <c r="D332" s="305"/>
      <c r="E332" s="305"/>
      <c r="F332" s="305"/>
      <c r="G332" s="306"/>
      <c r="H332" s="307"/>
      <c r="I332" s="308"/>
      <c r="J332" s="307"/>
      <c r="K332" s="421"/>
      <c r="L332" s="230">
        <f>SUM(K333:K334)</f>
        <v>2232424</v>
      </c>
      <c r="M332" s="170"/>
      <c r="N332" s="170"/>
      <c r="O332" s="170"/>
      <c r="P332" s="170"/>
      <c r="Q332" s="170"/>
      <c r="R332" s="170"/>
      <c r="S332" s="170"/>
      <c r="T332" s="170"/>
      <c r="U332" s="170"/>
      <c r="V332" s="170"/>
      <c r="W332" s="170"/>
      <c r="X332" s="219"/>
    </row>
    <row r="333" spans="1:24">
      <c r="A333" s="32" t="s">
        <v>906</v>
      </c>
      <c r="B333" s="223" t="s">
        <v>693</v>
      </c>
      <c r="C333" s="223"/>
      <c r="D333" s="223"/>
      <c r="E333" s="223"/>
      <c r="F333" s="223"/>
      <c r="G333" s="427">
        <v>0.02</v>
      </c>
      <c r="H333" s="428"/>
      <c r="I333" s="302"/>
      <c r="J333" s="303"/>
      <c r="K333" s="304">
        <v>558106</v>
      </c>
      <c r="M333" s="170"/>
      <c r="N333" s="170"/>
      <c r="O333" s="170"/>
      <c r="P333" s="170"/>
      <c r="Q333" s="170"/>
      <c r="R333" s="170"/>
      <c r="S333" s="170"/>
      <c r="T333" s="170"/>
      <c r="U333" s="170"/>
      <c r="V333" s="170"/>
      <c r="W333" s="170"/>
      <c r="X333" s="219"/>
    </row>
    <row r="334" spans="1:24">
      <c r="A334" s="32" t="s">
        <v>692</v>
      </c>
      <c r="B334" s="223" t="s">
        <v>693</v>
      </c>
      <c r="C334" s="223"/>
      <c r="D334" s="223"/>
      <c r="E334" s="223"/>
      <c r="F334" s="223"/>
      <c r="G334" s="427">
        <v>0.06</v>
      </c>
      <c r="H334" s="428"/>
      <c r="I334" s="302"/>
      <c r="J334" s="303"/>
      <c r="K334" s="304">
        <v>1674318</v>
      </c>
      <c r="M334" s="170"/>
      <c r="N334" s="170"/>
      <c r="O334" s="170"/>
      <c r="P334" s="170"/>
      <c r="Q334" s="170"/>
      <c r="R334" s="170"/>
      <c r="S334" s="170"/>
      <c r="T334" s="170"/>
      <c r="U334" s="170"/>
      <c r="V334" s="170"/>
      <c r="W334" s="170"/>
      <c r="X334" s="219"/>
    </row>
    <row r="335" spans="1:24" ht="15.75" thickBot="1">
      <c r="A335" s="118" t="s">
        <v>695</v>
      </c>
      <c r="B335" s="119"/>
      <c r="C335" s="119"/>
      <c r="D335" s="119"/>
      <c r="E335" s="119"/>
      <c r="F335" s="119"/>
      <c r="G335" s="119"/>
      <c r="H335" s="120"/>
      <c r="I335" s="121"/>
      <c r="J335" s="122"/>
      <c r="K335" s="122"/>
      <c r="L335" s="123">
        <f>SUM(L20:L334)</f>
        <v>33486711.625382375</v>
      </c>
      <c r="M335" s="117"/>
      <c r="N335" s="117"/>
      <c r="O335" s="117"/>
      <c r="P335" s="117"/>
      <c r="Q335" s="117"/>
      <c r="R335" s="117"/>
      <c r="S335" s="117"/>
      <c r="T335" s="117"/>
      <c r="U335" s="117"/>
      <c r="V335" s="117"/>
      <c r="W335" s="117"/>
      <c r="X335" s="219"/>
    </row>
    <row r="336" spans="1:24" ht="15.75" thickBot="1">
      <c r="G336" s="219"/>
      <c r="H336" s="219"/>
      <c r="I336" s="316"/>
      <c r="L336" s="317">
        <f>SUM(K20:K335)-L335</f>
        <v>-348.74742267653346</v>
      </c>
      <c r="M336" s="317"/>
    </row>
    <row r="337" spans="1:15">
      <c r="A337" s="92" t="s">
        <v>101</v>
      </c>
      <c r="B337" s="251" t="s">
        <v>102</v>
      </c>
      <c r="C337" s="251"/>
      <c r="D337" s="251"/>
      <c r="E337" s="318">
        <f t="shared" ref="E337:E372" si="70">_xlfn.XLOOKUP(A337,$A$20:$A$335,$L$20:$L$335)</f>
        <v>1674318</v>
      </c>
      <c r="N337" s="314" t="s">
        <v>907</v>
      </c>
      <c r="O337" s="255"/>
    </row>
    <row r="338" spans="1:15">
      <c r="A338" s="93" t="s">
        <v>105</v>
      </c>
      <c r="B338" s="249" t="s">
        <v>106</v>
      </c>
      <c r="C338" s="249"/>
      <c r="D338" s="249"/>
      <c r="E338" s="319">
        <f t="shared" si="70"/>
        <v>3500</v>
      </c>
      <c r="N338" s="323">
        <v>29075931</v>
      </c>
      <c r="O338" s="259"/>
    </row>
    <row r="339" spans="1:15">
      <c r="A339" s="93" t="s">
        <v>111</v>
      </c>
      <c r="B339" s="249" t="s">
        <v>112</v>
      </c>
      <c r="C339" s="249"/>
      <c r="D339" s="249"/>
      <c r="E339" s="319">
        <f t="shared" si="70"/>
        <v>1089279.82</v>
      </c>
      <c r="N339" s="323">
        <f>N338*0.06</f>
        <v>1744555.8599999999</v>
      </c>
      <c r="O339" s="259"/>
    </row>
    <row r="340" spans="1:15" ht="15.75" thickBot="1">
      <c r="A340" s="93" t="s">
        <v>140</v>
      </c>
      <c r="B340" s="249" t="s">
        <v>141</v>
      </c>
      <c r="C340" s="249"/>
      <c r="D340" s="249"/>
      <c r="E340" s="319">
        <f t="shared" si="70"/>
        <v>0</v>
      </c>
      <c r="N340" s="324">
        <f>N339/B6</f>
        <v>87227.792999999991</v>
      </c>
      <c r="O340" s="294"/>
    </row>
    <row r="341" spans="1:15">
      <c r="A341" s="93" t="s">
        <v>150</v>
      </c>
      <c r="B341" s="249" t="s">
        <v>151</v>
      </c>
      <c r="C341" s="249"/>
      <c r="D341" s="249"/>
      <c r="E341" s="319">
        <f t="shared" si="70"/>
        <v>112800</v>
      </c>
      <c r="L341" s="317">
        <f>SUM(L324:L332,L306,L20)</f>
        <v>6949489.3229192942</v>
      </c>
    </row>
    <row r="342" spans="1:15">
      <c r="A342" s="93" t="s">
        <v>162</v>
      </c>
      <c r="B342" s="249" t="s">
        <v>163</v>
      </c>
      <c r="C342" s="249"/>
      <c r="D342" s="249"/>
      <c r="E342" s="319">
        <f t="shared" si="70"/>
        <v>325412.12789407256</v>
      </c>
      <c r="L342" s="317">
        <f>L335-L341</f>
        <v>26537222.302463081</v>
      </c>
    </row>
    <row r="343" spans="1:15">
      <c r="A343" s="93" t="s">
        <v>182</v>
      </c>
      <c r="B343" s="249" t="s">
        <v>183</v>
      </c>
      <c r="C343" s="249"/>
      <c r="D343" s="249"/>
      <c r="E343" s="319">
        <f t="shared" si="70"/>
        <v>4804000.7</v>
      </c>
    </row>
    <row r="344" spans="1:15">
      <c r="A344" s="93" t="s">
        <v>208</v>
      </c>
      <c r="B344" s="249" t="s">
        <v>209</v>
      </c>
      <c r="C344" s="249"/>
      <c r="D344" s="249"/>
      <c r="E344" s="319">
        <f t="shared" si="70"/>
        <v>905486.76</v>
      </c>
    </row>
    <row r="345" spans="1:15">
      <c r="A345" s="93" t="s">
        <v>232</v>
      </c>
      <c r="B345" s="249" t="s">
        <v>233</v>
      </c>
      <c r="C345" s="249"/>
      <c r="D345" s="249"/>
      <c r="E345" s="319">
        <f t="shared" si="70"/>
        <v>279109.57894736843</v>
      </c>
    </row>
    <row r="346" spans="1:15">
      <c r="A346" s="93" t="s">
        <v>262</v>
      </c>
      <c r="B346" s="249" t="s">
        <v>263</v>
      </c>
      <c r="C346" s="249"/>
      <c r="D346" s="249"/>
      <c r="E346" s="319">
        <f t="shared" si="70"/>
        <v>3261602.3529548887</v>
      </c>
    </row>
    <row r="347" spans="1:15">
      <c r="A347" s="93" t="s">
        <v>340</v>
      </c>
      <c r="B347" s="249" t="s">
        <v>341</v>
      </c>
      <c r="C347" s="249"/>
      <c r="D347" s="249"/>
      <c r="E347" s="319">
        <f t="shared" si="70"/>
        <v>233950</v>
      </c>
    </row>
    <row r="348" spans="1:15">
      <c r="A348" s="95" t="s">
        <v>378</v>
      </c>
      <c r="B348" s="263" t="s">
        <v>379</v>
      </c>
      <c r="C348" s="263"/>
      <c r="D348" s="263"/>
      <c r="E348" s="320">
        <f t="shared" si="70"/>
        <v>621090.50256410253</v>
      </c>
    </row>
    <row r="349" spans="1:15">
      <c r="A349" s="92" t="s">
        <v>382</v>
      </c>
      <c r="B349" s="251" t="s">
        <v>383</v>
      </c>
      <c r="C349" s="251"/>
      <c r="D349" s="251"/>
      <c r="E349" s="318">
        <f t="shared" si="70"/>
        <v>1046615.3613445379</v>
      </c>
    </row>
    <row r="350" spans="1:15">
      <c r="A350" s="93" t="s">
        <v>402</v>
      </c>
      <c r="B350" s="249" t="s">
        <v>403</v>
      </c>
      <c r="C350" s="249"/>
      <c r="D350" s="249"/>
      <c r="E350" s="319">
        <f t="shared" si="70"/>
        <v>572485</v>
      </c>
    </row>
    <row r="351" spans="1:15">
      <c r="A351" s="93" t="s">
        <v>410</v>
      </c>
      <c r="B351" s="249" t="s">
        <v>411</v>
      </c>
      <c r="C351" s="249"/>
      <c r="D351" s="249"/>
      <c r="E351" s="319">
        <f t="shared" si="70"/>
        <v>0</v>
      </c>
    </row>
    <row r="352" spans="1:15">
      <c r="A352" s="93" t="s">
        <v>412</v>
      </c>
      <c r="B352" s="249" t="s">
        <v>413</v>
      </c>
      <c r="C352" s="249"/>
      <c r="D352" s="249"/>
      <c r="E352" s="319">
        <f t="shared" si="70"/>
        <v>323200</v>
      </c>
    </row>
    <row r="353" spans="1:5">
      <c r="A353" s="93" t="s">
        <v>419</v>
      </c>
      <c r="B353" s="249" t="s">
        <v>420</v>
      </c>
      <c r="C353" s="249"/>
      <c r="D353" s="249"/>
      <c r="E353" s="319">
        <f t="shared" si="70"/>
        <v>623908.05000000005</v>
      </c>
    </row>
    <row r="354" spans="1:5">
      <c r="A354" s="93" t="s">
        <v>427</v>
      </c>
      <c r="B354" s="249" t="s">
        <v>428</v>
      </c>
      <c r="C354" s="249"/>
      <c r="D354" s="249"/>
      <c r="E354" s="319">
        <f t="shared" si="70"/>
        <v>2072717.2631578948</v>
      </c>
    </row>
    <row r="355" spans="1:5">
      <c r="A355" s="93" t="s">
        <v>437</v>
      </c>
      <c r="B355" s="249" t="s">
        <v>438</v>
      </c>
      <c r="C355" s="249"/>
      <c r="D355" s="249"/>
      <c r="E355" s="319">
        <f t="shared" si="70"/>
        <v>2078302.5999999999</v>
      </c>
    </row>
    <row r="356" spans="1:5">
      <c r="A356" s="93" t="s">
        <v>442</v>
      </c>
      <c r="B356" s="249" t="s">
        <v>443</v>
      </c>
      <c r="C356" s="249"/>
      <c r="D356" s="249"/>
      <c r="E356" s="319">
        <f t="shared" si="70"/>
        <v>2246065.4308303986</v>
      </c>
    </row>
    <row r="357" spans="1:5">
      <c r="A357" s="93" t="s">
        <v>475</v>
      </c>
      <c r="B357" s="249" t="s">
        <v>476</v>
      </c>
      <c r="C357" s="249"/>
      <c r="D357" s="249"/>
      <c r="E357" s="319">
        <f t="shared" si="70"/>
        <v>117610.51</v>
      </c>
    </row>
    <row r="358" spans="1:5">
      <c r="A358" s="93" t="s">
        <v>485</v>
      </c>
      <c r="B358" s="249" t="s">
        <v>486</v>
      </c>
      <c r="C358" s="249"/>
      <c r="D358" s="249"/>
      <c r="E358" s="319">
        <f t="shared" si="70"/>
        <v>521084</v>
      </c>
    </row>
    <row r="359" spans="1:5">
      <c r="A359" s="93" t="s">
        <v>493</v>
      </c>
      <c r="B359" s="249" t="s">
        <v>494</v>
      </c>
      <c r="C359" s="249"/>
      <c r="D359" s="249"/>
      <c r="E359" s="319">
        <f t="shared" si="70"/>
        <v>347262</v>
      </c>
    </row>
    <row r="360" spans="1:5">
      <c r="A360" s="95" t="s">
        <v>514</v>
      </c>
      <c r="B360" s="263" t="s">
        <v>515</v>
      </c>
      <c r="C360" s="263"/>
      <c r="D360" s="263"/>
      <c r="E360" s="320">
        <f t="shared" si="70"/>
        <v>2005246.9073471352</v>
      </c>
    </row>
    <row r="361" spans="1:5">
      <c r="A361" s="92" t="s">
        <v>582</v>
      </c>
      <c r="B361" s="251" t="s">
        <v>583</v>
      </c>
      <c r="C361" s="251"/>
      <c r="D361" s="251"/>
      <c r="E361" s="318">
        <f t="shared" si="70"/>
        <v>1619983</v>
      </c>
    </row>
    <row r="362" spans="1:5">
      <c r="A362" s="93" t="s">
        <v>609</v>
      </c>
      <c r="B362" s="249" t="s">
        <v>610</v>
      </c>
      <c r="C362" s="249"/>
      <c r="D362" s="249"/>
      <c r="E362" s="319">
        <f t="shared" si="70"/>
        <v>7500</v>
      </c>
    </row>
    <row r="363" spans="1:5">
      <c r="A363" s="93" t="s">
        <v>613</v>
      </c>
      <c r="B363" s="249" t="s">
        <v>614</v>
      </c>
      <c r="C363" s="249"/>
      <c r="D363" s="249"/>
      <c r="E363" s="319">
        <f t="shared" si="70"/>
        <v>392850</v>
      </c>
    </row>
    <row r="364" spans="1:5">
      <c r="A364" s="93" t="s">
        <v>621</v>
      </c>
      <c r="B364" s="249" t="s">
        <v>622</v>
      </c>
      <c r="C364" s="249"/>
      <c r="D364" s="249"/>
      <c r="E364" s="319">
        <f t="shared" si="70"/>
        <v>234787.5</v>
      </c>
    </row>
    <row r="365" spans="1:5">
      <c r="A365" s="93" t="s">
        <v>696</v>
      </c>
      <c r="B365" s="249"/>
      <c r="C365" s="249"/>
      <c r="D365" s="249"/>
      <c r="E365" s="319">
        <f t="shared" si="70"/>
        <v>0</v>
      </c>
    </row>
    <row r="366" spans="1:5">
      <c r="A366" s="93" t="s">
        <v>644</v>
      </c>
      <c r="B366" s="249"/>
      <c r="C366" s="249"/>
      <c r="D366" s="249"/>
      <c r="E366" s="319">
        <f t="shared" si="70"/>
        <v>0</v>
      </c>
    </row>
    <row r="367" spans="1:5">
      <c r="A367" s="93" t="s">
        <v>645</v>
      </c>
      <c r="B367" s="249"/>
      <c r="C367" s="249"/>
      <c r="D367" s="249"/>
      <c r="E367" s="319">
        <f t="shared" si="70"/>
        <v>691024.09</v>
      </c>
    </row>
    <row r="368" spans="1:5">
      <c r="A368" s="93" t="s">
        <v>677</v>
      </c>
      <c r="B368" s="249" t="s">
        <v>678</v>
      </c>
      <c r="C368" s="249"/>
      <c r="D368" s="249"/>
      <c r="E368" s="319">
        <f t="shared" si="70"/>
        <v>1674318</v>
      </c>
    </row>
    <row r="369" spans="1:6">
      <c r="A369" s="93" t="s">
        <v>680</v>
      </c>
      <c r="B369" s="249" t="s">
        <v>681</v>
      </c>
      <c r="C369" s="249"/>
      <c r="D369" s="249"/>
      <c r="E369" s="319">
        <f t="shared" si="70"/>
        <v>336354.04304552515</v>
      </c>
    </row>
    <row r="370" spans="1:6">
      <c r="A370" s="93" t="s">
        <v>684</v>
      </c>
      <c r="B370" s="249" t="s">
        <v>681</v>
      </c>
      <c r="C370" s="249"/>
      <c r="D370" s="249"/>
      <c r="E370" s="319">
        <f t="shared" si="70"/>
        <v>515160.29057296121</v>
      </c>
    </row>
    <row r="371" spans="1:6">
      <c r="A371" s="93" t="s">
        <v>692</v>
      </c>
      <c r="B371" s="249" t="s">
        <v>693</v>
      </c>
      <c r="C371" s="249"/>
      <c r="D371" s="249"/>
      <c r="E371" s="319">
        <f t="shared" si="70"/>
        <v>2232424</v>
      </c>
    </row>
    <row r="372" spans="1:6">
      <c r="A372" s="94" t="s">
        <v>695</v>
      </c>
      <c r="B372" s="263"/>
      <c r="C372" s="263"/>
      <c r="D372" s="263"/>
      <c r="E372" s="320">
        <f t="shared" si="70"/>
        <v>33486711.625382375</v>
      </c>
    </row>
    <row r="373" spans="1:6">
      <c r="B373" s="218"/>
      <c r="C373" s="218"/>
      <c r="D373" s="218"/>
      <c r="E373" s="321">
        <f>SUM(E337:E348,E349:E360,E361:E371)-E372</f>
        <v>-517263.73672348633</v>
      </c>
    </row>
    <row r="377" spans="1:6">
      <c r="F377" s="125" t="s">
        <v>89</v>
      </c>
    </row>
    <row r="378" spans="1:6">
      <c r="A378" s="109"/>
      <c r="B378" s="124"/>
      <c r="C378" s="124"/>
      <c r="D378" s="124"/>
      <c r="E378" s="124"/>
      <c r="F378" s="125" t="s">
        <v>99</v>
      </c>
    </row>
    <row r="379" spans="1:6">
      <c r="A379" s="109" t="s">
        <v>697</v>
      </c>
      <c r="B379" s="124" t="s">
        <v>102</v>
      </c>
      <c r="C379" s="124"/>
      <c r="D379" s="124"/>
      <c r="E379" s="124"/>
      <c r="F379" s="126">
        <f t="shared" ref="F379:F409" si="71">SUMIF($B$20:$B$335,B379,$L$20:$L$335)</f>
        <v>1674318</v>
      </c>
    </row>
    <row r="380" spans="1:6">
      <c r="A380" s="109" t="s">
        <v>698</v>
      </c>
      <c r="B380" s="124" t="s">
        <v>106</v>
      </c>
      <c r="C380" s="124"/>
      <c r="D380" s="124"/>
      <c r="E380" s="124"/>
      <c r="F380" s="126">
        <f t="shared" si="71"/>
        <v>3500</v>
      </c>
    </row>
    <row r="381" spans="1:6">
      <c r="A381" s="109" t="s">
        <v>699</v>
      </c>
      <c r="B381" s="124" t="s">
        <v>112</v>
      </c>
      <c r="C381" s="124"/>
      <c r="D381" s="124"/>
      <c r="E381" s="124"/>
      <c r="F381" s="126">
        <f t="shared" si="71"/>
        <v>1089279.82</v>
      </c>
    </row>
    <row r="382" spans="1:6">
      <c r="A382" s="109" t="s">
        <v>700</v>
      </c>
      <c r="B382" s="124" t="s">
        <v>151</v>
      </c>
      <c r="C382" s="124"/>
      <c r="D382" s="124"/>
      <c r="E382" s="124"/>
      <c r="F382" s="126">
        <f t="shared" si="71"/>
        <v>112800</v>
      </c>
    </row>
    <row r="383" spans="1:6">
      <c r="A383" s="109" t="s">
        <v>701</v>
      </c>
      <c r="B383" s="124" t="s">
        <v>163</v>
      </c>
      <c r="C383" s="124"/>
      <c r="D383" s="124"/>
      <c r="E383" s="124"/>
      <c r="F383" s="126">
        <f t="shared" si="71"/>
        <v>325412.12789407256</v>
      </c>
    </row>
    <row r="384" spans="1:6">
      <c r="A384" s="109" t="s">
        <v>702</v>
      </c>
      <c r="B384" s="124" t="s">
        <v>183</v>
      </c>
      <c r="C384" s="124"/>
      <c r="D384" s="124"/>
      <c r="E384" s="124"/>
      <c r="F384" s="126">
        <f t="shared" si="71"/>
        <v>4804000.7</v>
      </c>
    </row>
    <row r="385" spans="1:6">
      <c r="A385" s="109" t="s">
        <v>703</v>
      </c>
      <c r="B385" s="124" t="s">
        <v>209</v>
      </c>
      <c r="C385" s="124"/>
      <c r="D385" s="124"/>
      <c r="E385" s="124"/>
      <c r="F385" s="126">
        <f t="shared" si="71"/>
        <v>905486.76</v>
      </c>
    </row>
    <row r="386" spans="1:6">
      <c r="A386" s="109" t="s">
        <v>704</v>
      </c>
      <c r="B386" s="124" t="s">
        <v>233</v>
      </c>
      <c r="C386" s="124"/>
      <c r="D386" s="124"/>
      <c r="E386" s="124"/>
      <c r="F386" s="126">
        <f t="shared" si="71"/>
        <v>279109.57894736843</v>
      </c>
    </row>
    <row r="387" spans="1:6">
      <c r="A387" s="109" t="s">
        <v>705</v>
      </c>
      <c r="B387" s="124" t="s">
        <v>263</v>
      </c>
      <c r="C387" s="124"/>
      <c r="D387" s="124"/>
      <c r="E387" s="124"/>
      <c r="F387" s="126">
        <f t="shared" si="71"/>
        <v>3261602.3529548887</v>
      </c>
    </row>
    <row r="388" spans="1:6">
      <c r="A388" s="109" t="s">
        <v>706</v>
      </c>
      <c r="B388" s="124" t="s">
        <v>341</v>
      </c>
      <c r="C388" s="124"/>
      <c r="D388" s="124"/>
      <c r="E388" s="124"/>
      <c r="F388" s="126">
        <f t="shared" si="71"/>
        <v>233950</v>
      </c>
    </row>
    <row r="389" spans="1:6">
      <c r="A389" s="109" t="s">
        <v>707</v>
      </c>
      <c r="B389" s="124" t="s">
        <v>379</v>
      </c>
      <c r="C389" s="124"/>
      <c r="D389" s="124"/>
      <c r="E389" s="124"/>
      <c r="F389" s="126">
        <f t="shared" si="71"/>
        <v>621090.50256410253</v>
      </c>
    </row>
    <row r="390" spans="1:6">
      <c r="A390" s="109" t="s">
        <v>708</v>
      </c>
      <c r="B390" s="124" t="s">
        <v>383</v>
      </c>
      <c r="C390" s="124"/>
      <c r="D390" s="124"/>
      <c r="E390" s="124"/>
      <c r="F390" s="126">
        <f t="shared" si="71"/>
        <v>1046615.3613445379</v>
      </c>
    </row>
    <row r="391" spans="1:6">
      <c r="A391" s="109" t="s">
        <v>709</v>
      </c>
      <c r="B391" s="124" t="s">
        <v>403</v>
      </c>
      <c r="C391" s="124"/>
      <c r="D391" s="124"/>
      <c r="E391" s="124"/>
      <c r="F391" s="126">
        <f t="shared" si="71"/>
        <v>572485</v>
      </c>
    </row>
    <row r="392" spans="1:6">
      <c r="A392" s="109" t="s">
        <v>710</v>
      </c>
      <c r="B392" s="124" t="s">
        <v>413</v>
      </c>
      <c r="C392" s="124"/>
      <c r="D392" s="124"/>
      <c r="E392" s="124"/>
      <c r="F392" s="126">
        <f t="shared" si="71"/>
        <v>323200</v>
      </c>
    </row>
    <row r="393" spans="1:6">
      <c r="A393" s="109" t="s">
        <v>711</v>
      </c>
      <c r="B393" s="124" t="s">
        <v>420</v>
      </c>
      <c r="C393" s="124"/>
      <c r="D393" s="124"/>
      <c r="E393" s="124"/>
      <c r="F393" s="126">
        <f t="shared" si="71"/>
        <v>623908.05000000005</v>
      </c>
    </row>
    <row r="394" spans="1:6">
      <c r="A394" s="109" t="s">
        <v>712</v>
      </c>
      <c r="B394" s="124" t="s">
        <v>428</v>
      </c>
      <c r="C394" s="124"/>
      <c r="D394" s="124"/>
      <c r="E394" s="124"/>
      <c r="F394" s="126">
        <f t="shared" si="71"/>
        <v>2072717.2631578948</v>
      </c>
    </row>
    <row r="395" spans="1:6">
      <c r="A395" s="109" t="s">
        <v>713</v>
      </c>
      <c r="B395" s="124" t="s">
        <v>438</v>
      </c>
      <c r="C395" s="124"/>
      <c r="D395" s="124"/>
      <c r="E395" s="124"/>
      <c r="F395" s="126">
        <f t="shared" si="71"/>
        <v>2078302.5999999999</v>
      </c>
    </row>
    <row r="396" spans="1:6">
      <c r="A396" s="109" t="s">
        <v>714</v>
      </c>
      <c r="B396" s="124" t="s">
        <v>443</v>
      </c>
      <c r="C396" s="124"/>
      <c r="D396" s="124"/>
      <c r="E396" s="124"/>
      <c r="F396" s="126">
        <f t="shared" si="71"/>
        <v>2246065.4308303986</v>
      </c>
    </row>
    <row r="397" spans="1:6">
      <c r="A397" s="109" t="s">
        <v>715</v>
      </c>
      <c r="B397" s="124" t="s">
        <v>476</v>
      </c>
      <c r="C397" s="124"/>
      <c r="D397" s="124"/>
      <c r="E397" s="124"/>
      <c r="F397" s="126">
        <f t="shared" si="71"/>
        <v>117610.51</v>
      </c>
    </row>
    <row r="398" spans="1:6">
      <c r="A398" s="109" t="s">
        <v>716</v>
      </c>
      <c r="B398" s="124" t="s">
        <v>486</v>
      </c>
      <c r="C398" s="124"/>
      <c r="D398" s="124"/>
      <c r="E398" s="124"/>
      <c r="F398" s="126">
        <f t="shared" si="71"/>
        <v>521084</v>
      </c>
    </row>
    <row r="399" spans="1:6">
      <c r="A399" s="109" t="s">
        <v>717</v>
      </c>
      <c r="B399" s="124" t="s">
        <v>494</v>
      </c>
      <c r="C399" s="124"/>
      <c r="D399" s="124"/>
      <c r="E399" s="124"/>
      <c r="F399" s="126">
        <f t="shared" si="71"/>
        <v>347262</v>
      </c>
    </row>
    <row r="400" spans="1:6">
      <c r="A400" s="109" t="s">
        <v>718</v>
      </c>
      <c r="B400" s="124" t="s">
        <v>515</v>
      </c>
      <c r="C400" s="124"/>
      <c r="D400" s="124"/>
      <c r="E400" s="124"/>
      <c r="F400" s="126">
        <f t="shared" si="71"/>
        <v>2005246.9073471352</v>
      </c>
    </row>
    <row r="401" spans="1:7">
      <c r="A401" s="109" t="s">
        <v>719</v>
      </c>
      <c r="B401" s="124" t="s">
        <v>583</v>
      </c>
      <c r="C401" s="124"/>
      <c r="D401" s="124"/>
      <c r="E401" s="124"/>
      <c r="F401" s="126">
        <f t="shared" si="71"/>
        <v>1619983</v>
      </c>
    </row>
    <row r="402" spans="1:7">
      <c r="A402" s="109" t="s">
        <v>720</v>
      </c>
      <c r="B402" s="124" t="s">
        <v>610</v>
      </c>
      <c r="C402" s="124"/>
      <c r="D402" s="124"/>
      <c r="E402" s="124"/>
      <c r="F402" s="126">
        <f t="shared" si="71"/>
        <v>7500</v>
      </c>
    </row>
    <row r="403" spans="1:7">
      <c r="A403" s="109" t="s">
        <v>721</v>
      </c>
      <c r="B403" s="124" t="s">
        <v>614</v>
      </c>
      <c r="C403" s="124"/>
      <c r="D403" s="124"/>
      <c r="E403" s="124"/>
      <c r="F403" s="126">
        <f t="shared" si="71"/>
        <v>392850</v>
      </c>
    </row>
    <row r="404" spans="1:7">
      <c r="A404" s="109" t="s">
        <v>722</v>
      </c>
      <c r="B404" s="124" t="s">
        <v>622</v>
      </c>
      <c r="C404" s="124"/>
      <c r="D404" s="124"/>
      <c r="E404" s="124"/>
      <c r="F404" s="126">
        <f t="shared" si="71"/>
        <v>234787.5</v>
      </c>
    </row>
    <row r="405" spans="1:7">
      <c r="A405" s="109" t="s">
        <v>644</v>
      </c>
      <c r="B405" s="124" t="s">
        <v>644</v>
      </c>
      <c r="C405" s="124"/>
      <c r="D405" s="124"/>
      <c r="E405" s="124"/>
      <c r="F405" s="126">
        <f t="shared" si="71"/>
        <v>516914.98930080794</v>
      </c>
    </row>
    <row r="406" spans="1:7">
      <c r="A406" s="109" t="s">
        <v>646</v>
      </c>
      <c r="B406" s="124" t="s">
        <v>646</v>
      </c>
      <c r="C406" s="124"/>
      <c r="D406" s="124"/>
      <c r="E406" s="124"/>
      <c r="F406" s="126">
        <f t="shared" si="71"/>
        <v>691024.09</v>
      </c>
    </row>
    <row r="407" spans="1:7">
      <c r="A407" s="109" t="s">
        <v>723</v>
      </c>
      <c r="B407" s="124" t="s">
        <v>681</v>
      </c>
      <c r="C407" s="124"/>
      <c r="D407" s="124"/>
      <c r="E407" s="124"/>
      <c r="F407" s="126">
        <f t="shared" si="71"/>
        <v>851514.3336184863</v>
      </c>
    </row>
    <row r="408" spans="1:7">
      <c r="A408" s="109" t="s">
        <v>724</v>
      </c>
      <c r="B408" s="124" t="s">
        <v>678</v>
      </c>
      <c r="C408" s="124"/>
      <c r="D408" s="124"/>
      <c r="E408" s="124"/>
      <c r="F408" s="126">
        <f t="shared" si="71"/>
        <v>1674318</v>
      </c>
    </row>
    <row r="409" spans="1:7">
      <c r="A409" s="109" t="s">
        <v>725</v>
      </c>
      <c r="B409" s="124" t="s">
        <v>693</v>
      </c>
      <c r="C409" s="124"/>
      <c r="D409" s="124"/>
      <c r="E409" s="124"/>
      <c r="F409" s="126">
        <f t="shared" si="71"/>
        <v>2232424</v>
      </c>
    </row>
    <row r="410" spans="1:7">
      <c r="A410" s="109" t="s">
        <v>99</v>
      </c>
      <c r="B410" s="124"/>
      <c r="C410" s="124"/>
      <c r="D410" s="124"/>
      <c r="E410" s="124"/>
      <c r="F410" s="127">
        <f>SUM(F379:F409)</f>
        <v>33486362.877959698</v>
      </c>
    </row>
    <row r="411" spans="1:7">
      <c r="A411" s="128" t="s">
        <v>726</v>
      </c>
      <c r="B411" s="129"/>
      <c r="C411" s="129"/>
      <c r="D411" s="129"/>
      <c r="E411" s="129"/>
      <c r="F411" s="130">
        <f>$L$335-F410</f>
        <v>348.74742267653346</v>
      </c>
    </row>
    <row r="413" spans="1:7">
      <c r="A413" s="131" t="s">
        <v>727</v>
      </c>
      <c r="B413" s="124"/>
      <c r="C413" s="124"/>
      <c r="D413" s="124"/>
      <c r="E413" s="124"/>
      <c r="F413" s="124"/>
      <c r="G413" s="109"/>
    </row>
    <row r="414" spans="1:7">
      <c r="A414" s="131" t="s">
        <v>728</v>
      </c>
      <c r="B414" s="124"/>
      <c r="C414" s="124"/>
      <c r="D414" s="124"/>
      <c r="E414" s="124"/>
      <c r="F414" s="124"/>
      <c r="G414" s="109"/>
    </row>
    <row r="415" spans="1:7">
      <c r="A415" s="109" t="s">
        <v>304</v>
      </c>
      <c r="B415" s="124" t="s">
        <v>305</v>
      </c>
      <c r="C415" s="124"/>
      <c r="D415" s="124"/>
      <c r="E415" s="124"/>
      <c r="F415" s="126">
        <f t="shared" ref="F415:F425" si="72">SUMIF($B$20:$B$335,B415,$K$20:$K$335)</f>
        <v>305547.12</v>
      </c>
      <c r="G415" s="124" t="s">
        <v>263</v>
      </c>
    </row>
    <row r="416" spans="1:7">
      <c r="A416" s="109" t="s">
        <v>307</v>
      </c>
      <c r="B416" s="124" t="s">
        <v>308</v>
      </c>
      <c r="C416" s="124"/>
      <c r="D416" s="124"/>
      <c r="E416" s="124"/>
      <c r="F416" s="126">
        <f t="shared" si="72"/>
        <v>0</v>
      </c>
      <c r="G416" s="124" t="s">
        <v>263</v>
      </c>
    </row>
    <row r="417" spans="1:7">
      <c r="A417" s="109" t="s">
        <v>309</v>
      </c>
      <c r="B417" s="124" t="s">
        <v>310</v>
      </c>
      <c r="C417" s="124"/>
      <c r="D417" s="124"/>
      <c r="E417" s="124"/>
      <c r="F417" s="126">
        <f t="shared" si="72"/>
        <v>0</v>
      </c>
      <c r="G417" s="124" t="s">
        <v>263</v>
      </c>
    </row>
    <row r="418" spans="1:7">
      <c r="A418" s="109" t="s">
        <v>311</v>
      </c>
      <c r="B418" s="124" t="s">
        <v>312</v>
      </c>
      <c r="C418" s="124"/>
      <c r="D418" s="124"/>
      <c r="E418" s="124"/>
      <c r="F418" s="126">
        <f t="shared" si="72"/>
        <v>72626.929999999993</v>
      </c>
      <c r="G418" s="124" t="s">
        <v>263</v>
      </c>
    </row>
    <row r="419" spans="1:7">
      <c r="A419" s="109" t="s">
        <v>313</v>
      </c>
      <c r="B419" s="124" t="s">
        <v>314</v>
      </c>
      <c r="C419" s="124"/>
      <c r="D419" s="124"/>
      <c r="E419" s="124"/>
      <c r="F419" s="126">
        <f t="shared" si="72"/>
        <v>1500</v>
      </c>
      <c r="G419" s="124" t="s">
        <v>263</v>
      </c>
    </row>
    <row r="420" spans="1:7">
      <c r="A420" s="109" t="s">
        <v>315</v>
      </c>
      <c r="B420" s="124" t="s">
        <v>316</v>
      </c>
      <c r="C420" s="124"/>
      <c r="D420" s="124"/>
      <c r="E420" s="124"/>
      <c r="F420" s="126">
        <f t="shared" si="72"/>
        <v>0</v>
      </c>
      <c r="G420" s="124" t="s">
        <v>263</v>
      </c>
    </row>
    <row r="421" spans="1:7">
      <c r="A421" s="109" t="s">
        <v>317</v>
      </c>
      <c r="B421" s="124" t="s">
        <v>318</v>
      </c>
      <c r="C421" s="124"/>
      <c r="D421" s="124"/>
      <c r="E421" s="124"/>
      <c r="F421" s="126">
        <f t="shared" si="72"/>
        <v>0</v>
      </c>
      <c r="G421" s="124" t="s">
        <v>263</v>
      </c>
    </row>
    <row r="422" spans="1:7">
      <c r="A422" s="109" t="s">
        <v>729</v>
      </c>
      <c r="B422" s="124" t="s">
        <v>320</v>
      </c>
      <c r="C422" s="124"/>
      <c r="D422" s="124"/>
      <c r="E422" s="124"/>
      <c r="F422" s="126">
        <f t="shared" si="72"/>
        <v>21757.903265792611</v>
      </c>
      <c r="G422" s="124" t="s">
        <v>263</v>
      </c>
    </row>
    <row r="423" spans="1:7">
      <c r="A423" s="109" t="s">
        <v>730</v>
      </c>
      <c r="B423" s="124" t="s">
        <v>323</v>
      </c>
      <c r="C423" s="124"/>
      <c r="D423" s="124"/>
      <c r="E423" s="124"/>
      <c r="F423" s="126">
        <f t="shared" si="72"/>
        <v>12937</v>
      </c>
      <c r="G423" s="124" t="s">
        <v>263</v>
      </c>
    </row>
    <row r="424" spans="1:7">
      <c r="A424" s="109" t="s">
        <v>380</v>
      </c>
      <c r="B424" s="124" t="s">
        <v>381</v>
      </c>
      <c r="C424" s="124"/>
      <c r="D424" s="124"/>
      <c r="E424" s="124"/>
      <c r="F424" s="126">
        <f t="shared" si="72"/>
        <v>621090.50256410253</v>
      </c>
      <c r="G424" s="124" t="s">
        <v>379</v>
      </c>
    </row>
    <row r="425" spans="1:7" ht="17.25">
      <c r="A425" s="109" t="s">
        <v>385</v>
      </c>
      <c r="B425" s="124" t="s">
        <v>386</v>
      </c>
      <c r="C425" s="124"/>
      <c r="D425" s="124"/>
      <c r="E425" s="124"/>
      <c r="F425" s="132">
        <f t="shared" si="72"/>
        <v>73288.798319327732</v>
      </c>
      <c r="G425" s="124" t="s">
        <v>383</v>
      </c>
    </row>
    <row r="426" spans="1:7">
      <c r="A426" s="109" t="s">
        <v>731</v>
      </c>
      <c r="B426" s="124"/>
      <c r="C426" s="124"/>
      <c r="D426" s="124"/>
      <c r="E426" s="124"/>
      <c r="F426" s="127">
        <f>SUM(F415:F425)</f>
        <v>1108748.2541492227</v>
      </c>
      <c r="G426" s="109"/>
    </row>
    <row r="427" spans="1:7">
      <c r="A427" s="109"/>
      <c r="B427" s="124"/>
      <c r="C427" s="124"/>
      <c r="D427" s="124"/>
      <c r="E427" s="124"/>
      <c r="F427" s="124"/>
      <c r="G427" s="109"/>
    </row>
    <row r="428" spans="1:7">
      <c r="A428" s="109"/>
      <c r="B428" s="124"/>
      <c r="C428" s="124"/>
      <c r="D428" s="124"/>
      <c r="E428" s="124"/>
      <c r="F428" s="109"/>
      <c r="G428" s="109"/>
    </row>
    <row r="429" spans="1:7">
      <c r="A429" s="131" t="s">
        <v>732</v>
      </c>
      <c r="B429" s="124"/>
      <c r="C429" s="124"/>
      <c r="D429" s="124"/>
      <c r="E429" s="124"/>
      <c r="F429" s="124"/>
      <c r="G429" s="109"/>
    </row>
    <row r="430" spans="1:7">
      <c r="A430" s="128" t="s">
        <v>733</v>
      </c>
      <c r="B430" s="124"/>
      <c r="C430" s="124"/>
      <c r="D430" s="124"/>
      <c r="E430" s="124"/>
      <c r="F430" s="124"/>
      <c r="G430" s="109"/>
    </row>
    <row r="431" spans="1:7">
      <c r="A431" s="109" t="s">
        <v>734</v>
      </c>
      <c r="B431" s="124">
        <v>2</v>
      </c>
      <c r="C431" s="124"/>
      <c r="D431" s="124"/>
      <c r="E431" s="124"/>
      <c r="F431" s="126">
        <f t="shared" ref="F431:F436" si="73">SUMIF($B$20:$B$335,B431,$L$20:$L$335)</f>
        <v>3500</v>
      </c>
      <c r="G431" s="109"/>
    </row>
    <row r="432" spans="1:7">
      <c r="A432" s="109" t="s">
        <v>735</v>
      </c>
      <c r="B432" s="124">
        <v>31</v>
      </c>
      <c r="C432" s="124"/>
      <c r="D432" s="124"/>
      <c r="E432" s="124"/>
      <c r="F432" s="126">
        <f t="shared" si="73"/>
        <v>347262</v>
      </c>
      <c r="G432" s="109"/>
    </row>
    <row r="433" spans="1:7">
      <c r="A433" s="109" t="s">
        <v>736</v>
      </c>
      <c r="B433" s="124">
        <v>32</v>
      </c>
      <c r="C433" s="124"/>
      <c r="D433" s="124"/>
      <c r="E433" s="124"/>
      <c r="F433" s="126">
        <f t="shared" si="73"/>
        <v>2005246.9073471352</v>
      </c>
      <c r="G433" s="109"/>
    </row>
    <row r="434" spans="1:7">
      <c r="A434" s="109" t="s">
        <v>737</v>
      </c>
      <c r="B434" s="124">
        <v>33</v>
      </c>
      <c r="C434" s="124"/>
      <c r="D434" s="124"/>
      <c r="E434" s="124"/>
      <c r="F434" s="126">
        <f t="shared" si="73"/>
        <v>1619983</v>
      </c>
      <c r="G434" s="109"/>
    </row>
    <row r="435" spans="1:7">
      <c r="A435" s="109" t="s">
        <v>738</v>
      </c>
      <c r="B435" s="124">
        <v>34</v>
      </c>
      <c r="C435" s="124"/>
      <c r="D435" s="124"/>
      <c r="E435" s="124"/>
      <c r="F435" s="126">
        <f t="shared" si="73"/>
        <v>7500</v>
      </c>
      <c r="G435" s="109"/>
    </row>
    <row r="436" spans="1:7">
      <c r="A436" s="109" t="s">
        <v>739</v>
      </c>
      <c r="B436" s="124">
        <v>48</v>
      </c>
      <c r="C436" s="124"/>
      <c r="D436" s="124"/>
      <c r="E436" s="124"/>
      <c r="F436" s="126">
        <f t="shared" si="73"/>
        <v>392850</v>
      </c>
      <c r="G436" s="109"/>
    </row>
    <row r="437" spans="1:7">
      <c r="A437" s="109"/>
      <c r="B437" s="124"/>
      <c r="C437" s="124"/>
      <c r="D437" s="124"/>
      <c r="E437" s="124"/>
      <c r="F437" s="126"/>
      <c r="G437" s="109"/>
    </row>
    <row r="438" spans="1:7">
      <c r="A438" s="128" t="s">
        <v>740</v>
      </c>
      <c r="B438" s="124"/>
      <c r="C438" s="124"/>
      <c r="D438" s="124"/>
      <c r="E438" s="124"/>
      <c r="F438" s="126"/>
      <c r="G438" s="109"/>
    </row>
    <row r="439" spans="1:7">
      <c r="A439" s="109" t="s">
        <v>68</v>
      </c>
      <c r="B439" s="124" t="s">
        <v>406</v>
      </c>
      <c r="C439" s="124"/>
      <c r="D439" s="124"/>
      <c r="E439" s="124"/>
      <c r="F439" s="126">
        <f t="shared" ref="F439:F446" si="74">SUMIF($B$20:$B$335,B439,$K$20:$K$335)</f>
        <v>320436</v>
      </c>
      <c r="G439" s="109"/>
    </row>
    <row r="440" spans="1:7">
      <c r="A440" s="109" t="s">
        <v>184</v>
      </c>
      <c r="B440" s="124" t="s">
        <v>185</v>
      </c>
      <c r="C440" s="124"/>
      <c r="D440" s="124"/>
      <c r="E440" s="124"/>
      <c r="F440" s="126">
        <f t="shared" si="74"/>
        <v>0</v>
      </c>
      <c r="G440" s="109"/>
    </row>
    <row r="441" spans="1:7">
      <c r="A441" s="109" t="s">
        <v>741</v>
      </c>
      <c r="B441" s="124"/>
      <c r="C441" s="124"/>
      <c r="D441" s="124"/>
      <c r="E441" s="124"/>
      <c r="F441" s="126">
        <f t="shared" si="74"/>
        <v>0</v>
      </c>
      <c r="G441" s="109"/>
    </row>
    <row r="442" spans="1:7">
      <c r="A442" s="109" t="s">
        <v>742</v>
      </c>
      <c r="B442" s="124"/>
      <c r="C442" s="124"/>
      <c r="D442" s="124"/>
      <c r="E442" s="124"/>
      <c r="F442" s="126">
        <f t="shared" si="74"/>
        <v>0</v>
      </c>
      <c r="G442" s="109"/>
    </row>
    <row r="443" spans="1:7">
      <c r="A443" s="109" t="s">
        <v>404</v>
      </c>
      <c r="B443" s="124" t="s">
        <v>405</v>
      </c>
      <c r="C443" s="124"/>
      <c r="D443" s="124"/>
      <c r="E443" s="124"/>
      <c r="F443" s="126">
        <f t="shared" si="74"/>
        <v>245000</v>
      </c>
      <c r="G443" s="109"/>
    </row>
    <row r="444" spans="1:7">
      <c r="A444" s="109" t="s">
        <v>351</v>
      </c>
      <c r="B444" s="124" t="s">
        <v>743</v>
      </c>
      <c r="C444" s="124"/>
      <c r="D444" s="124"/>
      <c r="E444" s="124"/>
      <c r="F444" s="126">
        <f t="shared" si="74"/>
        <v>0</v>
      </c>
      <c r="G444" s="109"/>
    </row>
    <row r="445" spans="1:7">
      <c r="A445" s="109" t="s">
        <v>459</v>
      </c>
      <c r="B445" s="124" t="s">
        <v>744</v>
      </c>
      <c r="C445" s="124"/>
      <c r="D445" s="124"/>
      <c r="E445" s="124"/>
      <c r="F445" s="126">
        <f t="shared" si="74"/>
        <v>0</v>
      </c>
      <c r="G445" s="109"/>
    </row>
    <row r="446" spans="1:7">
      <c r="A446" s="109" t="s">
        <v>122</v>
      </c>
      <c r="B446" s="124" t="s">
        <v>114</v>
      </c>
      <c r="C446" s="124"/>
      <c r="D446" s="124"/>
      <c r="E446" s="109"/>
      <c r="F446" s="126">
        <f t="shared" si="74"/>
        <v>583079.78</v>
      </c>
      <c r="G446" s="109"/>
    </row>
    <row r="447" spans="1:7">
      <c r="A447" s="131" t="s">
        <v>745</v>
      </c>
      <c r="B447" s="125"/>
      <c r="C447" s="125"/>
      <c r="D447" s="125"/>
      <c r="E447" s="131"/>
      <c r="F447" s="133">
        <f>SUM(F431:F446)</f>
        <v>5524857.6873471355</v>
      </c>
      <c r="G447" s="109"/>
    </row>
    <row r="448" spans="1:7">
      <c r="A448" s="109"/>
      <c r="B448" s="124"/>
      <c r="C448" s="124"/>
      <c r="D448" s="124"/>
      <c r="E448" s="109"/>
      <c r="F448" s="109"/>
      <c r="G448" s="109"/>
    </row>
    <row r="449" spans="1:7">
      <c r="A449" s="109"/>
      <c r="B449" s="109"/>
      <c r="C449" s="109"/>
      <c r="D449" s="109"/>
      <c r="E449" s="109"/>
      <c r="F449" s="109"/>
      <c r="G449" s="109"/>
    </row>
    <row r="450" spans="1:7">
      <c r="A450" s="109" t="s">
        <v>578</v>
      </c>
      <c r="B450" s="124" t="s">
        <v>746</v>
      </c>
      <c r="C450" s="124"/>
      <c r="D450" s="124"/>
      <c r="E450" s="134" t="s">
        <v>747</v>
      </c>
      <c r="F450" s="124"/>
      <c r="G450" s="109"/>
    </row>
    <row r="451" spans="1:7">
      <c r="A451" s="109" t="s">
        <v>579</v>
      </c>
      <c r="B451" s="124" t="s">
        <v>748</v>
      </c>
      <c r="C451" s="124"/>
      <c r="D451" s="124"/>
      <c r="E451" s="134" t="s">
        <v>747</v>
      </c>
      <c r="F451" s="124"/>
      <c r="G451" s="109"/>
    </row>
    <row r="452" spans="1:7">
      <c r="A452" s="109" t="s">
        <v>580</v>
      </c>
      <c r="B452" s="124" t="s">
        <v>749</v>
      </c>
      <c r="C452" s="124"/>
      <c r="D452" s="124"/>
      <c r="E452" s="134" t="s">
        <v>747</v>
      </c>
      <c r="F452" s="124"/>
      <c r="G452" s="109"/>
    </row>
    <row r="453" spans="1:7">
      <c r="A453" s="109" t="s">
        <v>581</v>
      </c>
      <c r="B453" s="124" t="s">
        <v>750</v>
      </c>
      <c r="C453" s="124"/>
      <c r="D453" s="124"/>
      <c r="E453" s="134" t="s">
        <v>747</v>
      </c>
      <c r="F453" s="124"/>
      <c r="G453" s="109"/>
    </row>
    <row r="454" spans="1:7">
      <c r="A454" s="109" t="s">
        <v>592</v>
      </c>
      <c r="B454" s="124" t="s">
        <v>751</v>
      </c>
      <c r="C454" s="124"/>
      <c r="D454" s="124"/>
      <c r="E454" s="134" t="s">
        <v>752</v>
      </c>
      <c r="F454" s="124"/>
      <c r="G454" s="109"/>
    </row>
    <row r="455" spans="1:7">
      <c r="A455" s="109" t="s">
        <v>606</v>
      </c>
      <c r="B455" s="124" t="s">
        <v>753</v>
      </c>
      <c r="C455" s="124"/>
      <c r="D455" s="124"/>
      <c r="E455" s="134" t="s">
        <v>752</v>
      </c>
      <c r="F455" s="124"/>
      <c r="G455" s="109"/>
    </row>
    <row r="456" spans="1:7">
      <c r="A456" s="109" t="s">
        <v>607</v>
      </c>
      <c r="B456" s="124" t="s">
        <v>754</v>
      </c>
      <c r="C456" s="124"/>
      <c r="D456" s="124"/>
      <c r="E456" s="134" t="s">
        <v>752</v>
      </c>
      <c r="F456" s="124"/>
      <c r="G456" s="109"/>
    </row>
    <row r="457" spans="1:7">
      <c r="A457" s="109" t="s">
        <v>608</v>
      </c>
      <c r="B457" s="124" t="s">
        <v>755</v>
      </c>
      <c r="C457" s="124"/>
      <c r="D457" s="124"/>
      <c r="E457" s="134" t="s">
        <v>752</v>
      </c>
      <c r="F457" s="109"/>
      <c r="G457" s="109"/>
    </row>
    <row r="458" spans="1:7">
      <c r="A458" s="109" t="s">
        <v>611</v>
      </c>
      <c r="B458" s="124" t="s">
        <v>756</v>
      </c>
      <c r="C458" s="124"/>
      <c r="D458" s="124"/>
      <c r="E458" s="134" t="s">
        <v>757</v>
      </c>
      <c r="F458" s="109"/>
      <c r="G458" s="109"/>
    </row>
    <row r="459" spans="1:7">
      <c r="A459" s="109" t="s">
        <v>122</v>
      </c>
      <c r="B459" s="124" t="s">
        <v>114</v>
      </c>
      <c r="C459" s="124"/>
      <c r="D459" s="124"/>
      <c r="E459" s="124"/>
      <c r="F459" s="109"/>
      <c r="G459" s="109"/>
    </row>
    <row r="460" spans="1:7">
      <c r="A460" s="109"/>
      <c r="B460" s="124"/>
      <c r="C460" s="124"/>
      <c r="D460" s="124"/>
      <c r="E460" s="124"/>
      <c r="F460" s="109"/>
      <c r="G460" s="109"/>
    </row>
    <row r="461" spans="1:7">
      <c r="A461" s="131" t="s">
        <v>758</v>
      </c>
      <c r="B461" s="124"/>
      <c r="C461" s="124"/>
      <c r="D461" s="124"/>
      <c r="E461" s="124"/>
      <c r="F461" s="109"/>
      <c r="G461" s="109"/>
    </row>
    <row r="462" spans="1:7">
      <c r="A462" s="131" t="s">
        <v>759</v>
      </c>
      <c r="B462" s="124"/>
      <c r="C462" s="124"/>
      <c r="D462" s="124"/>
      <c r="E462" s="124"/>
      <c r="F462" s="109"/>
      <c r="G462" s="109"/>
    </row>
    <row r="463" spans="1:7">
      <c r="A463" s="109" t="s">
        <v>351</v>
      </c>
      <c r="B463" s="124" t="s">
        <v>743</v>
      </c>
      <c r="C463" s="124"/>
      <c r="D463" s="124"/>
      <c r="E463" s="124"/>
      <c r="F463" s="126">
        <f t="shared" ref="F463:F473" si="75">SUMIF($B$20:$B$335,B463,$K$20:$K$335)</f>
        <v>0</v>
      </c>
      <c r="G463" s="109"/>
    </row>
    <row r="464" spans="1:7">
      <c r="A464" s="109" t="s">
        <v>459</v>
      </c>
      <c r="B464" s="124" t="s">
        <v>744</v>
      </c>
      <c r="C464" s="124"/>
      <c r="D464" s="124"/>
      <c r="E464" s="124"/>
      <c r="F464" s="126">
        <f t="shared" si="75"/>
        <v>0</v>
      </c>
      <c r="G464" s="109"/>
    </row>
    <row r="465" spans="1:7">
      <c r="A465" s="109" t="s">
        <v>578</v>
      </c>
      <c r="B465" s="124" t="s">
        <v>746</v>
      </c>
      <c r="C465" s="124"/>
      <c r="D465" s="124"/>
      <c r="E465" s="124"/>
      <c r="F465" s="126">
        <f t="shared" si="75"/>
        <v>0</v>
      </c>
      <c r="G465" s="109"/>
    </row>
    <row r="466" spans="1:7">
      <c r="A466" s="109" t="s">
        <v>579</v>
      </c>
      <c r="B466" s="124" t="s">
        <v>748</v>
      </c>
      <c r="C466" s="124"/>
      <c r="D466" s="124"/>
      <c r="E466" s="124"/>
      <c r="F466" s="126">
        <f t="shared" si="75"/>
        <v>0</v>
      </c>
      <c r="G466" s="109"/>
    </row>
    <row r="467" spans="1:7">
      <c r="A467" s="109" t="s">
        <v>580</v>
      </c>
      <c r="B467" s="124" t="s">
        <v>749</v>
      </c>
      <c r="C467" s="124"/>
      <c r="D467" s="124"/>
      <c r="E467" s="124"/>
      <c r="F467" s="126">
        <f t="shared" si="75"/>
        <v>0</v>
      </c>
      <c r="G467" s="109"/>
    </row>
    <row r="468" spans="1:7">
      <c r="A468" s="109" t="s">
        <v>581</v>
      </c>
      <c r="B468" s="124" t="s">
        <v>750</v>
      </c>
      <c r="C468" s="124"/>
      <c r="D468" s="124"/>
      <c r="E468" s="124"/>
      <c r="F468" s="126">
        <f t="shared" si="75"/>
        <v>0</v>
      </c>
      <c r="G468" s="109"/>
    </row>
    <row r="469" spans="1:7">
      <c r="A469" s="109" t="s">
        <v>606</v>
      </c>
      <c r="B469" s="124" t="s">
        <v>753</v>
      </c>
      <c r="C469" s="124"/>
      <c r="D469" s="124"/>
      <c r="E469" s="124"/>
      <c r="F469" s="126">
        <f t="shared" si="75"/>
        <v>0</v>
      </c>
      <c r="G469" s="109"/>
    </row>
    <row r="470" spans="1:7">
      <c r="A470" s="109" t="s">
        <v>607</v>
      </c>
      <c r="B470" s="124" t="s">
        <v>754</v>
      </c>
      <c r="C470" s="124"/>
      <c r="D470" s="124"/>
      <c r="E470" s="124"/>
      <c r="F470" s="126">
        <f t="shared" si="75"/>
        <v>0</v>
      </c>
      <c r="G470" s="109"/>
    </row>
    <row r="471" spans="1:7">
      <c r="A471" s="109" t="s">
        <v>592</v>
      </c>
      <c r="B471" s="124" t="s">
        <v>751</v>
      </c>
      <c r="C471" s="124"/>
      <c r="D471" s="124"/>
      <c r="E471" s="124"/>
      <c r="F471" s="126">
        <f t="shared" si="75"/>
        <v>0</v>
      </c>
      <c r="G471" s="109"/>
    </row>
    <row r="472" spans="1:7">
      <c r="A472" s="109" t="s">
        <v>608</v>
      </c>
      <c r="B472" s="124" t="s">
        <v>755</v>
      </c>
      <c r="C472" s="124"/>
      <c r="D472" s="124"/>
      <c r="E472" s="124"/>
      <c r="F472" s="126">
        <f t="shared" si="75"/>
        <v>0</v>
      </c>
      <c r="G472" s="109"/>
    </row>
    <row r="473" spans="1:7">
      <c r="A473" s="109" t="s">
        <v>611</v>
      </c>
      <c r="B473" s="124" t="s">
        <v>756</v>
      </c>
      <c r="C473" s="124"/>
      <c r="D473" s="124"/>
      <c r="E473" s="124"/>
      <c r="F473" s="126">
        <f t="shared" si="75"/>
        <v>0</v>
      </c>
      <c r="G473" s="109"/>
    </row>
    <row r="474" spans="1:7">
      <c r="A474" s="109"/>
      <c r="B474" s="124"/>
      <c r="C474" s="124"/>
      <c r="D474" s="124"/>
      <c r="E474" s="124"/>
      <c r="F474" s="109"/>
      <c r="G474" s="109"/>
    </row>
    <row r="475" spans="1:7">
      <c r="A475" s="131" t="s">
        <v>760</v>
      </c>
      <c r="B475" s="124"/>
      <c r="C475" s="124"/>
      <c r="D475" s="124"/>
      <c r="E475" s="124"/>
      <c r="F475" s="109"/>
      <c r="G475" s="109"/>
    </row>
    <row r="476" spans="1:7">
      <c r="A476" s="128" t="s">
        <v>733</v>
      </c>
      <c r="B476" s="124"/>
      <c r="C476" s="124"/>
      <c r="D476" s="124"/>
      <c r="E476" s="124"/>
      <c r="F476" s="109"/>
      <c r="G476" s="109"/>
    </row>
    <row r="477" spans="1:7">
      <c r="A477" s="109" t="s">
        <v>140</v>
      </c>
      <c r="B477" s="124" t="s">
        <v>141</v>
      </c>
      <c r="C477" s="124"/>
      <c r="D477" s="124"/>
      <c r="E477" s="124"/>
      <c r="F477" s="126">
        <f>SUMIF($B$20:$B$335,B477,$K$20:$K$335)</f>
        <v>0</v>
      </c>
      <c r="G477" s="109"/>
    </row>
    <row r="478" spans="1:7">
      <c r="A478" s="109"/>
      <c r="B478" s="124"/>
      <c r="C478" s="124"/>
      <c r="D478" s="124"/>
      <c r="E478" s="124"/>
      <c r="F478" s="109"/>
      <c r="G478" s="109"/>
    </row>
    <row r="479" spans="1:7">
      <c r="A479" s="128" t="s">
        <v>740</v>
      </c>
      <c r="B479" s="124"/>
      <c r="C479" s="124"/>
      <c r="D479" s="124"/>
      <c r="E479" s="124"/>
      <c r="F479" s="109"/>
      <c r="G479" s="109"/>
    </row>
    <row r="480" spans="1:7">
      <c r="A480" s="109" t="s">
        <v>122</v>
      </c>
      <c r="B480" s="124" t="s">
        <v>114</v>
      </c>
      <c r="C480" s="124"/>
      <c r="D480" s="124"/>
      <c r="E480" s="124"/>
      <c r="F480" s="126">
        <f t="shared" ref="F480:F511" si="76">SUMIF($B$20:$B$335,B480,$K$20:$K$335)</f>
        <v>583079.78</v>
      </c>
      <c r="G480" s="109"/>
    </row>
    <row r="481" spans="1:7">
      <c r="A481" s="109" t="s">
        <v>128</v>
      </c>
      <c r="B481" s="124" t="s">
        <v>129</v>
      </c>
      <c r="C481" s="124"/>
      <c r="D481" s="124"/>
      <c r="E481" s="124"/>
      <c r="F481" s="126">
        <f t="shared" si="76"/>
        <v>2500</v>
      </c>
      <c r="G481" s="109"/>
    </row>
    <row r="482" spans="1:7">
      <c r="A482" s="109" t="s">
        <v>131</v>
      </c>
      <c r="B482" s="124" t="s">
        <v>132</v>
      </c>
      <c r="C482" s="124"/>
      <c r="D482" s="124"/>
      <c r="E482" s="124"/>
      <c r="F482" s="126">
        <f t="shared" si="76"/>
        <v>0</v>
      </c>
      <c r="G482" s="109"/>
    </row>
    <row r="483" spans="1:7">
      <c r="A483" s="109" t="s">
        <v>133</v>
      </c>
      <c r="B483" s="124" t="s">
        <v>134</v>
      </c>
      <c r="C483" s="124"/>
      <c r="D483" s="124"/>
      <c r="E483" s="124"/>
      <c r="F483" s="126">
        <f t="shared" si="76"/>
        <v>0</v>
      </c>
      <c r="G483" s="109"/>
    </row>
    <row r="484" spans="1:7">
      <c r="A484" s="109" t="s">
        <v>138</v>
      </c>
      <c r="B484" s="124" t="s">
        <v>139</v>
      </c>
      <c r="C484" s="124"/>
      <c r="D484" s="124"/>
      <c r="E484" s="124"/>
      <c r="F484" s="126">
        <f t="shared" si="76"/>
        <v>59754.240000000005</v>
      </c>
      <c r="G484" s="109"/>
    </row>
    <row r="485" spans="1:7">
      <c r="A485" s="109" t="s">
        <v>158</v>
      </c>
      <c r="B485" s="124" t="s">
        <v>159</v>
      </c>
      <c r="C485" s="124"/>
      <c r="D485" s="124"/>
      <c r="E485" s="124"/>
      <c r="F485" s="126">
        <f t="shared" si="76"/>
        <v>5000</v>
      </c>
      <c r="G485" s="109"/>
    </row>
    <row r="486" spans="1:7">
      <c r="A486" s="109" t="s">
        <v>761</v>
      </c>
      <c r="B486" s="124" t="s">
        <v>161</v>
      </c>
      <c r="C486" s="124"/>
      <c r="D486" s="124"/>
      <c r="E486" s="124"/>
      <c r="F486" s="126">
        <f t="shared" si="76"/>
        <v>9000</v>
      </c>
      <c r="G486" s="109"/>
    </row>
    <row r="487" spans="1:7">
      <c r="A487" s="109" t="s">
        <v>172</v>
      </c>
      <c r="B487" s="124" t="s">
        <v>173</v>
      </c>
      <c r="C487" s="124"/>
      <c r="D487" s="124"/>
      <c r="E487" s="124"/>
      <c r="F487" s="126">
        <f t="shared" si="76"/>
        <v>0</v>
      </c>
      <c r="G487" s="109"/>
    </row>
    <row r="488" spans="1:7">
      <c r="A488" s="109" t="s">
        <v>174</v>
      </c>
      <c r="B488" s="124" t="s">
        <v>175</v>
      </c>
      <c r="C488" s="124"/>
      <c r="D488" s="124"/>
      <c r="E488" s="124"/>
      <c r="F488" s="126">
        <f t="shared" si="76"/>
        <v>1950</v>
      </c>
      <c r="G488" s="109"/>
    </row>
    <row r="489" spans="1:7">
      <c r="A489" s="109" t="s">
        <v>191</v>
      </c>
      <c r="B489" s="124" t="s">
        <v>192</v>
      </c>
      <c r="C489" s="124"/>
      <c r="D489" s="124"/>
      <c r="E489" s="124"/>
      <c r="F489" s="126">
        <f t="shared" si="76"/>
        <v>0</v>
      </c>
      <c r="G489" s="109"/>
    </row>
    <row r="490" spans="1:7">
      <c r="A490" s="109" t="s">
        <v>193</v>
      </c>
      <c r="B490" s="124" t="s">
        <v>194</v>
      </c>
      <c r="C490" s="124"/>
      <c r="D490" s="124"/>
      <c r="E490" s="124"/>
      <c r="F490" s="126">
        <f t="shared" si="76"/>
        <v>2500</v>
      </c>
      <c r="G490" s="109"/>
    </row>
    <row r="491" spans="1:7">
      <c r="A491" s="109" t="s">
        <v>196</v>
      </c>
      <c r="B491" s="124" t="s">
        <v>197</v>
      </c>
      <c r="C491" s="124"/>
      <c r="D491" s="124"/>
      <c r="E491" s="124"/>
      <c r="F491" s="126">
        <f t="shared" si="76"/>
        <v>0</v>
      </c>
      <c r="G491" s="109"/>
    </row>
    <row r="492" spans="1:7">
      <c r="A492" s="109" t="s">
        <v>198</v>
      </c>
      <c r="B492" s="124" t="s">
        <v>199</v>
      </c>
      <c r="C492" s="124"/>
      <c r="D492" s="124"/>
      <c r="E492" s="124"/>
      <c r="F492" s="126">
        <f t="shared" si="76"/>
        <v>0</v>
      </c>
      <c r="G492" s="109"/>
    </row>
    <row r="493" spans="1:7">
      <c r="A493" s="109" t="s">
        <v>204</v>
      </c>
      <c r="B493" s="124" t="s">
        <v>205</v>
      </c>
      <c r="C493" s="124"/>
      <c r="D493" s="124"/>
      <c r="E493" s="124"/>
      <c r="F493" s="126">
        <f t="shared" si="76"/>
        <v>1200</v>
      </c>
      <c r="G493" s="109"/>
    </row>
    <row r="494" spans="1:7">
      <c r="A494" s="109" t="s">
        <v>214</v>
      </c>
      <c r="B494" s="124" t="s">
        <v>215</v>
      </c>
      <c r="C494" s="124"/>
      <c r="D494" s="124"/>
      <c r="E494" s="124"/>
      <c r="F494" s="126">
        <f t="shared" si="76"/>
        <v>7500</v>
      </c>
      <c r="G494" s="109"/>
    </row>
    <row r="495" spans="1:7">
      <c r="A495" s="109" t="s">
        <v>216</v>
      </c>
      <c r="B495" s="124" t="s">
        <v>215</v>
      </c>
      <c r="C495" s="124"/>
      <c r="D495" s="124"/>
      <c r="E495" s="124"/>
      <c r="F495" s="126">
        <f t="shared" si="76"/>
        <v>7500</v>
      </c>
      <c r="G495" s="109"/>
    </row>
    <row r="496" spans="1:7">
      <c r="A496" s="109" t="s">
        <v>249</v>
      </c>
      <c r="B496" s="124" t="s">
        <v>250</v>
      </c>
      <c r="C496" s="124"/>
      <c r="D496" s="124"/>
      <c r="E496" s="124"/>
      <c r="F496" s="126">
        <f t="shared" si="76"/>
        <v>0</v>
      </c>
      <c r="G496" s="109"/>
    </row>
    <row r="497" spans="1:7">
      <c r="A497" s="109" t="s">
        <v>251</v>
      </c>
      <c r="B497" s="124" t="s">
        <v>252</v>
      </c>
      <c r="C497" s="124"/>
      <c r="D497" s="124"/>
      <c r="E497" s="124"/>
      <c r="F497" s="126">
        <f t="shared" si="76"/>
        <v>0</v>
      </c>
      <c r="G497" s="109"/>
    </row>
    <row r="498" spans="1:7">
      <c r="A498" s="109" t="s">
        <v>280</v>
      </c>
      <c r="B498" s="124" t="s">
        <v>277</v>
      </c>
      <c r="C498" s="124"/>
      <c r="D498" s="124"/>
      <c r="E498" s="124"/>
      <c r="F498" s="126">
        <f t="shared" si="76"/>
        <v>488655.68</v>
      </c>
      <c r="G498" s="109"/>
    </row>
    <row r="499" spans="1:7">
      <c r="A499" s="109" t="s">
        <v>286</v>
      </c>
      <c r="B499" s="124" t="s">
        <v>277</v>
      </c>
      <c r="C499" s="124"/>
      <c r="D499" s="124"/>
      <c r="E499" s="124"/>
      <c r="F499" s="126">
        <f t="shared" si="76"/>
        <v>488655.68</v>
      </c>
      <c r="G499" s="109"/>
    </row>
    <row r="500" spans="1:7">
      <c r="A500" s="109" t="s">
        <v>762</v>
      </c>
      <c r="B500" s="124" t="s">
        <v>277</v>
      </c>
      <c r="C500" s="124"/>
      <c r="D500" s="124"/>
      <c r="E500" s="124"/>
      <c r="F500" s="126">
        <f t="shared" si="76"/>
        <v>488655.68</v>
      </c>
      <c r="G500" s="109"/>
    </row>
    <row r="501" spans="1:7">
      <c r="A501" s="109" t="s">
        <v>344</v>
      </c>
      <c r="B501" s="124" t="s">
        <v>345</v>
      </c>
      <c r="C501" s="124"/>
      <c r="D501" s="124"/>
      <c r="E501" s="124"/>
      <c r="F501" s="126">
        <f t="shared" si="76"/>
        <v>30070</v>
      </c>
      <c r="G501" s="109"/>
    </row>
    <row r="502" spans="1:7">
      <c r="A502" s="109" t="s">
        <v>360</v>
      </c>
      <c r="B502" s="124" t="s">
        <v>361</v>
      </c>
      <c r="C502" s="124"/>
      <c r="D502" s="124"/>
      <c r="E502" s="124"/>
      <c r="F502" s="126">
        <f t="shared" si="76"/>
        <v>0</v>
      </c>
      <c r="G502" s="109"/>
    </row>
    <row r="503" spans="1:7">
      <c r="A503" s="109" t="s">
        <v>362</v>
      </c>
      <c r="B503" s="124" t="s">
        <v>363</v>
      </c>
      <c r="C503" s="124"/>
      <c r="D503" s="124"/>
      <c r="E503" s="124"/>
      <c r="F503" s="126">
        <f t="shared" si="76"/>
        <v>6720</v>
      </c>
      <c r="G503" s="109"/>
    </row>
    <row r="504" spans="1:7">
      <c r="A504" s="109" t="s">
        <v>399</v>
      </c>
      <c r="B504" s="124" t="s">
        <v>400</v>
      </c>
      <c r="C504" s="124"/>
      <c r="D504" s="124"/>
      <c r="E504" s="124"/>
      <c r="F504" s="126">
        <f t="shared" si="76"/>
        <v>6000</v>
      </c>
      <c r="G504" s="109"/>
    </row>
    <row r="505" spans="1:7">
      <c r="A505" s="109" t="s">
        <v>404</v>
      </c>
      <c r="B505" s="124" t="s">
        <v>405</v>
      </c>
      <c r="C505" s="124"/>
      <c r="D505" s="124"/>
      <c r="E505" s="124"/>
      <c r="F505" s="126">
        <f t="shared" si="76"/>
        <v>245000</v>
      </c>
      <c r="G505" s="109"/>
    </row>
    <row r="506" spans="1:7">
      <c r="A506" s="109" t="s">
        <v>68</v>
      </c>
      <c r="B506" s="124" t="s">
        <v>406</v>
      </c>
      <c r="C506" s="124"/>
      <c r="D506" s="124"/>
      <c r="E506" s="124"/>
      <c r="F506" s="126">
        <f t="shared" si="76"/>
        <v>320436</v>
      </c>
      <c r="G506" s="109"/>
    </row>
    <row r="507" spans="1:7">
      <c r="A507" s="109" t="s">
        <v>408</v>
      </c>
      <c r="B507" s="124" t="s">
        <v>409</v>
      </c>
      <c r="C507" s="124"/>
      <c r="D507" s="124"/>
      <c r="E507" s="124"/>
      <c r="F507" s="126">
        <f t="shared" si="76"/>
        <v>7049</v>
      </c>
      <c r="G507" s="109"/>
    </row>
    <row r="508" spans="1:7">
      <c r="A508" s="109" t="s">
        <v>417</v>
      </c>
      <c r="B508" s="124" t="s">
        <v>418</v>
      </c>
      <c r="C508" s="124"/>
      <c r="D508" s="124"/>
      <c r="E508" s="124"/>
      <c r="F508" s="126">
        <f t="shared" si="76"/>
        <v>13000</v>
      </c>
      <c r="G508" s="109"/>
    </row>
    <row r="509" spans="1:7">
      <c r="A509" s="109" t="s">
        <v>433</v>
      </c>
      <c r="B509" s="124" t="s">
        <v>434</v>
      </c>
      <c r="C509" s="124"/>
      <c r="D509" s="124"/>
      <c r="E509" s="124"/>
      <c r="F509" s="126">
        <f t="shared" si="76"/>
        <v>24612</v>
      </c>
      <c r="G509" s="109"/>
    </row>
    <row r="510" spans="1:7">
      <c r="A510" s="109" t="s">
        <v>435</v>
      </c>
      <c r="B510" s="124" t="s">
        <v>436</v>
      </c>
      <c r="C510" s="124"/>
      <c r="D510" s="124"/>
      <c r="E510" s="124"/>
      <c r="F510" s="126">
        <f t="shared" si="76"/>
        <v>6000</v>
      </c>
      <c r="G510" s="109"/>
    </row>
    <row r="511" spans="1:7">
      <c r="A511" s="109" t="s">
        <v>453</v>
      </c>
      <c r="B511" s="124" t="s">
        <v>445</v>
      </c>
      <c r="C511" s="124"/>
      <c r="D511" s="124"/>
      <c r="E511" s="124"/>
      <c r="F511" s="126">
        <f t="shared" si="76"/>
        <v>1942345.4308303986</v>
      </c>
      <c r="G511" s="109"/>
    </row>
    <row r="512" spans="1:7">
      <c r="A512" s="109" t="s">
        <v>455</v>
      </c>
      <c r="B512" s="124" t="s">
        <v>448</v>
      </c>
      <c r="C512" s="124"/>
      <c r="D512" s="124"/>
      <c r="E512" s="124"/>
      <c r="F512" s="126">
        <f t="shared" ref="F512:F529" si="77">SUMIF($B$20:$B$335,B512,$K$20:$K$335)</f>
        <v>119106</v>
      </c>
      <c r="G512" s="109"/>
    </row>
    <row r="513" spans="1:7">
      <c r="A513" s="109" t="s">
        <v>456</v>
      </c>
      <c r="B513" s="124" t="s">
        <v>445</v>
      </c>
      <c r="C513" s="124"/>
      <c r="D513" s="124"/>
      <c r="E513" s="124"/>
      <c r="F513" s="126">
        <f t="shared" si="77"/>
        <v>1942345.4308303986</v>
      </c>
      <c r="G513" s="109"/>
    </row>
    <row r="514" spans="1:7">
      <c r="A514" s="109" t="s">
        <v>457</v>
      </c>
      <c r="B514" s="124" t="s">
        <v>458</v>
      </c>
      <c r="C514" s="124"/>
      <c r="D514" s="124"/>
      <c r="E514" s="124"/>
      <c r="F514" s="126">
        <f t="shared" si="77"/>
        <v>0</v>
      </c>
      <c r="G514" s="109"/>
    </row>
    <row r="515" spans="1:7">
      <c r="A515" s="109" t="s">
        <v>467</v>
      </c>
      <c r="B515" s="124" t="s">
        <v>468</v>
      </c>
      <c r="C515" s="124"/>
      <c r="D515" s="124"/>
      <c r="E515" s="124"/>
      <c r="F515" s="126">
        <f t="shared" si="77"/>
        <v>17000</v>
      </c>
      <c r="G515" s="109"/>
    </row>
    <row r="516" spans="1:7">
      <c r="A516" s="109" t="s">
        <v>469</v>
      </c>
      <c r="B516" s="124" t="s">
        <v>470</v>
      </c>
      <c r="C516" s="124"/>
      <c r="D516" s="124"/>
      <c r="E516" s="124"/>
      <c r="F516" s="126">
        <f t="shared" si="77"/>
        <v>11000</v>
      </c>
      <c r="G516" s="109"/>
    </row>
    <row r="517" spans="1:7">
      <c r="A517" s="109" t="s">
        <v>471</v>
      </c>
      <c r="B517" s="124" t="s">
        <v>472</v>
      </c>
      <c r="C517" s="124"/>
      <c r="D517" s="124"/>
      <c r="E517" s="124"/>
      <c r="F517" s="126">
        <f t="shared" si="77"/>
        <v>2000</v>
      </c>
      <c r="G517" s="109"/>
    </row>
    <row r="518" spans="1:7">
      <c r="A518" s="109" t="s">
        <v>473</v>
      </c>
      <c r="B518" s="124" t="s">
        <v>445</v>
      </c>
      <c r="C518" s="124"/>
      <c r="D518" s="124"/>
      <c r="E518" s="124"/>
      <c r="F518" s="126">
        <f t="shared" si="77"/>
        <v>1942345.4308303986</v>
      </c>
      <c r="G518" s="109"/>
    </row>
    <row r="519" spans="1:7">
      <c r="A519" s="109" t="s">
        <v>474</v>
      </c>
      <c r="B519" s="124" t="s">
        <v>448</v>
      </c>
      <c r="C519" s="124"/>
      <c r="D519" s="124"/>
      <c r="E519" s="124"/>
      <c r="F519" s="126">
        <f t="shared" si="77"/>
        <v>119106</v>
      </c>
      <c r="G519" s="109"/>
    </row>
    <row r="520" spans="1:7">
      <c r="A520" s="109" t="s">
        <v>526</v>
      </c>
      <c r="B520" s="124" t="s">
        <v>527</v>
      </c>
      <c r="C520" s="124"/>
      <c r="D520" s="124"/>
      <c r="E520" s="124"/>
      <c r="F520" s="126">
        <f t="shared" si="77"/>
        <v>38250</v>
      </c>
      <c r="G520" s="109"/>
    </row>
    <row r="521" spans="1:7">
      <c r="A521" s="109" t="s">
        <v>536</v>
      </c>
      <c r="B521" s="124" t="s">
        <v>537</v>
      </c>
      <c r="C521" s="124"/>
      <c r="D521" s="124"/>
      <c r="E521" s="124"/>
      <c r="F521" s="126">
        <f t="shared" si="77"/>
        <v>10000</v>
      </c>
      <c r="G521" s="109"/>
    </row>
    <row r="522" spans="1:7">
      <c r="A522" s="109" t="s">
        <v>70</v>
      </c>
      <c r="B522" s="124" t="s">
        <v>551</v>
      </c>
      <c r="C522" s="124"/>
      <c r="D522" s="124"/>
      <c r="E522" s="124"/>
      <c r="F522" s="126">
        <f t="shared" si="77"/>
        <v>24900</v>
      </c>
      <c r="G522" s="109"/>
    </row>
    <row r="523" spans="1:7">
      <c r="A523" s="109" t="s">
        <v>570</v>
      </c>
      <c r="B523" s="124" t="s">
        <v>571</v>
      </c>
      <c r="C523" s="124"/>
      <c r="D523" s="124"/>
      <c r="E523" s="124"/>
      <c r="F523" s="126">
        <f t="shared" si="77"/>
        <v>11000</v>
      </c>
      <c r="G523" s="109"/>
    </row>
    <row r="524" spans="1:7">
      <c r="A524" s="109" t="s">
        <v>652</v>
      </c>
      <c r="B524" s="124" t="s">
        <v>653</v>
      </c>
      <c r="C524" s="124"/>
      <c r="D524" s="124"/>
      <c r="E524" s="124"/>
      <c r="F524" s="126">
        <f t="shared" si="77"/>
        <v>0</v>
      </c>
      <c r="G524" s="109"/>
    </row>
    <row r="525" spans="1:7">
      <c r="A525" s="109" t="s">
        <v>654</v>
      </c>
      <c r="B525" s="124" t="s">
        <v>655</v>
      </c>
      <c r="C525" s="124"/>
      <c r="D525" s="124"/>
      <c r="E525" s="124"/>
      <c r="F525" s="126">
        <f t="shared" si="77"/>
        <v>22000</v>
      </c>
      <c r="G525" s="109"/>
    </row>
    <row r="526" spans="1:7">
      <c r="A526" s="109" t="s">
        <v>656</v>
      </c>
      <c r="B526" s="124" t="s">
        <v>657</v>
      </c>
      <c r="C526" s="124"/>
      <c r="D526" s="124"/>
      <c r="E526" s="124"/>
      <c r="F526" s="126">
        <f t="shared" si="77"/>
        <v>43676.49</v>
      </c>
      <c r="G526" s="109"/>
    </row>
    <row r="527" spans="1:7">
      <c r="A527" s="109" t="s">
        <v>659</v>
      </c>
      <c r="B527" s="124" t="s">
        <v>660</v>
      </c>
      <c r="C527" s="124"/>
      <c r="D527" s="124"/>
      <c r="E527" s="124"/>
      <c r="F527" s="126">
        <f t="shared" si="77"/>
        <v>0</v>
      </c>
      <c r="G527" s="109"/>
    </row>
    <row r="528" spans="1:7">
      <c r="A528" s="109" t="s">
        <v>672</v>
      </c>
      <c r="B528" s="124" t="s">
        <v>478</v>
      </c>
      <c r="C528" s="124"/>
      <c r="D528" s="124"/>
      <c r="E528" s="124"/>
      <c r="F528" s="126">
        <f t="shared" si="77"/>
        <v>21000</v>
      </c>
      <c r="G528" s="109"/>
    </row>
    <row r="529" spans="1:7">
      <c r="A529" s="109" t="s">
        <v>673</v>
      </c>
      <c r="B529" s="124" t="s">
        <v>674</v>
      </c>
      <c r="C529" s="124"/>
      <c r="D529" s="124"/>
      <c r="E529" s="124"/>
      <c r="F529" s="126">
        <f t="shared" si="77"/>
        <v>2000</v>
      </c>
      <c r="G529" s="109"/>
    </row>
  </sheetData>
  <phoneticPr fontId="11" type="noConversion"/>
  <conditionalFormatting sqref="A13:B16">
    <cfRule type="expression" dxfId="148" priority="70">
      <formula>MOD(ROW(),2)=0</formula>
    </cfRule>
  </conditionalFormatting>
  <conditionalFormatting sqref="D3:F7">
    <cfRule type="expression" dxfId="147" priority="71">
      <formula>MOD(ROW(),2)=0</formula>
    </cfRule>
  </conditionalFormatting>
  <conditionalFormatting sqref="D10:F16 A20:D59 A60:K70 E71:K72 A71:D262 E87:K100 M161:W168 M170:W188 M189 M190:W198 M200:W262 M264:W270 M272:W334">
    <cfRule type="expression" dxfId="146" priority="62">
      <formula>MOD(ROW(),2)</formula>
    </cfRule>
  </conditionalFormatting>
  <conditionalFormatting sqref="D15:F15">
    <cfRule type="expression" dxfId="145" priority="69">
      <formula>MOD(ROW(),2)=0</formula>
    </cfRule>
  </conditionalFormatting>
  <conditionalFormatting sqref="E373">
    <cfRule type="cellIs" dxfId="144" priority="64" operator="lessThan">
      <formula>0</formula>
    </cfRule>
    <cfRule type="cellIs" dxfId="143" priority="65" operator="greaterThan">
      <formula>0</formula>
    </cfRule>
  </conditionalFormatting>
  <conditionalFormatting sqref="E25:K33">
    <cfRule type="expression" dxfId="142" priority="23">
      <formula>MOD(ROW(),2)</formula>
    </cfRule>
  </conditionalFormatting>
  <conditionalFormatting sqref="E45:K49">
    <cfRule type="expression" dxfId="141" priority="58">
      <formula>MOD(ROW(),2)</formula>
    </cfRule>
  </conditionalFormatting>
  <conditionalFormatting sqref="E51:K58">
    <cfRule type="expression" dxfId="140" priority="22">
      <formula>MOD(ROW(),2)</formula>
    </cfRule>
  </conditionalFormatting>
  <conditionalFormatting sqref="E74:K85">
    <cfRule type="expression" dxfId="139" priority="32">
      <formula>MOD(ROW(),2)</formula>
    </cfRule>
  </conditionalFormatting>
  <conditionalFormatting sqref="E102:K138">
    <cfRule type="expression" dxfId="138" priority="18">
      <formula>MOD(ROW(),2)</formula>
    </cfRule>
  </conditionalFormatting>
  <conditionalFormatting sqref="E157:K157">
    <cfRule type="expression" dxfId="137" priority="17">
      <formula>MOD(ROW(),2)</formula>
    </cfRule>
  </conditionalFormatting>
  <conditionalFormatting sqref="E159:K166">
    <cfRule type="expression" dxfId="136" priority="16">
      <formula>MOD(ROW(),2)</formula>
    </cfRule>
  </conditionalFormatting>
  <conditionalFormatting sqref="E174:K175">
    <cfRule type="expression" dxfId="135" priority="15">
      <formula>MOD(ROW(),2)</formula>
    </cfRule>
  </conditionalFormatting>
  <conditionalFormatting sqref="E177:K179">
    <cfRule type="expression" dxfId="134" priority="14">
      <formula>MOD(ROW(),2)</formula>
    </cfRule>
  </conditionalFormatting>
  <conditionalFormatting sqref="E181:K186">
    <cfRule type="expression" dxfId="133" priority="12">
      <formula>MOD(ROW(),2)</formula>
    </cfRule>
  </conditionalFormatting>
  <conditionalFormatting sqref="E188:K189">
    <cfRule type="expression" dxfId="132" priority="9">
      <formula>MOD(ROW(),2)</formula>
    </cfRule>
  </conditionalFormatting>
  <conditionalFormatting sqref="E191:K206">
    <cfRule type="expression" dxfId="131" priority="8">
      <formula>MOD(ROW(),2)</formula>
    </cfRule>
  </conditionalFormatting>
  <conditionalFormatting sqref="E217:K225">
    <cfRule type="expression" dxfId="130" priority="7">
      <formula>MOD(ROW(),2)</formula>
    </cfRule>
  </conditionalFormatting>
  <conditionalFormatting sqref="E227:K262">
    <cfRule type="expression" dxfId="129" priority="4">
      <formula>MOD(ROW(),2)</formula>
    </cfRule>
  </conditionalFormatting>
  <conditionalFormatting sqref="E265:K280">
    <cfRule type="expression" dxfId="128" priority="2">
      <formula>MOD(ROW(),2)</formula>
    </cfRule>
  </conditionalFormatting>
  <conditionalFormatting sqref="E288:K296">
    <cfRule type="expression" dxfId="127" priority="1">
      <formula>MOD(ROW(),2)</formula>
    </cfRule>
  </conditionalFormatting>
  <conditionalFormatting sqref="E20:L20 E21:K21 E22:L22 E23:K23 E24:L24 E34:L35 E36:K43 E44:L44 E50:L50 E59:L59 E73:L73 E86:L86 E101:L101 E139:L139 E140:K155 E156:L156 E158:L158 E167:L167 E168:K170 E171:L171 E172:K172 E173:L173 E176:L176 E180:L180 E187:L187 E190:L190 E207:L207 E208:K210 E211:L211 E212:K215 E216:L216 E226:L226 A263:K263 E264:L264 A264:D306 E281:L281 E282:K282 E283:L283 E284:K286 E287:L287 E297:L297 E298:K305 E306:L306 A307:K307 E308:K308 A308:D332 E309:L309 E310:K323 E324:L324 E325:K325 E326:L326 E327:K327 E328:L328 E329:K331 E332:L332 A333:K334 A335:L335">
    <cfRule type="expression" dxfId="126" priority="66">
      <formula>MOD(ROW(),2)</formula>
    </cfRule>
  </conditionalFormatting>
  <conditionalFormatting sqref="H3:K8">
    <cfRule type="expression" dxfId="125" priority="33">
      <formula>MOD(ROW(),2)=0</formula>
    </cfRule>
  </conditionalFormatting>
  <conditionalFormatting sqref="L336:M336">
    <cfRule type="cellIs" dxfId="124" priority="63" operator="lessThan">
      <formula>0</formula>
    </cfRule>
    <cfRule type="cellIs" dxfId="123" priority="67" operator="greaterThan">
      <formula>0</formula>
    </cfRule>
  </conditionalFormatting>
  <conditionalFormatting sqref="M160 M169 M199 M271">
    <cfRule type="expression" dxfId="122" priority="53">
      <formula>MOD(ROW(),2)</formula>
    </cfRule>
  </conditionalFormatting>
  <conditionalFormatting sqref="M263">
    <cfRule type="expression" dxfId="121" priority="3">
      <formula>MOD(ROW(),2)</formula>
    </cfRule>
  </conditionalFormatting>
  <conditionalFormatting sqref="M20:W159">
    <cfRule type="expression" dxfId="120" priority="25">
      <formula>MOD(ROW(),2)</formula>
    </cfRule>
  </conditionalFormatting>
  <conditionalFormatting sqref="N5:P18">
    <cfRule type="expression" dxfId="119" priority="38">
      <formula>MOD(ROW(),2)</formula>
    </cfRule>
  </conditionalFormatting>
  <conditionalFormatting sqref="N1:V3 A2:B11">
    <cfRule type="expression" dxfId="118" priority="68">
      <formula>MOD(ROW(),2)</formula>
    </cfRule>
  </conditionalFormatting>
  <conditionalFormatting sqref="Q4:V18">
    <cfRule type="expression" dxfId="117" priority="35">
      <formula>MOD(ROW(),2)</formula>
    </cfRule>
  </conditionalFormatting>
  <dataValidations disablePrompts="1" count="2">
    <dataValidation type="list" allowBlank="1" showInputMessage="1" showErrorMessage="1" sqref="B3" xr:uid="{CB441B18-B522-40CA-B0B1-0F862A0A4FEB}">
      <formula1>"Level 1, Level 2, Level 3"</formula1>
    </dataValidation>
    <dataValidation type="list" allowBlank="1" showInputMessage="1" showErrorMessage="1" sqref="B4" xr:uid="{F808E7D7-4EF1-44D9-AF93-6A167BBCCF3B}">
      <formula1>"Urban, Market, Senior, Afforable"</formula1>
    </dataValidation>
  </dataValidations>
  <printOptions horizontalCentered="1"/>
  <pageMargins left="0.25" right="0.25" top="0.7" bottom="0.5" header="0.35" footer="0.05"/>
  <pageSetup paperSize="3" scale="49" fitToHeight="0" orientation="landscape" r:id="rId1"/>
  <headerFooter>
    <oddHeader>&amp;R&amp;G</oddHeader>
  </headerFooter>
  <rowBreaks count="3" manualBreakCount="3">
    <brk id="85" max="22" man="1"/>
    <brk id="175" max="22" man="1"/>
    <brk id="263" max="22" man="1"/>
  </rowBreaks>
  <ignoredErrors>
    <ignoredError sqref="F16" formulaRange="1"/>
  </ignoredError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3E6A-DCEA-45CD-80E1-375293DB9918}">
  <sheetPr>
    <tabColor theme="3" tint="0.499984740745262"/>
    <pageSetUpPr fitToPage="1"/>
  </sheetPr>
  <dimension ref="A1:AS524"/>
  <sheetViews>
    <sheetView showGridLines="0" view="pageBreakPreview" topLeftCell="A317" zoomScale="70" zoomScaleNormal="100" zoomScaleSheetLayoutView="70" workbookViewId="0">
      <selection activeCell="O29" sqref="A25:O29"/>
    </sheetView>
  </sheetViews>
  <sheetFormatPr defaultColWidth="9.140625" defaultRowHeight="15"/>
  <cols>
    <col min="1" max="1" width="44.85546875" style="218" bestFit="1" customWidth="1"/>
    <col min="2" max="2" width="14.85546875" style="219" bestFit="1" customWidth="1"/>
    <col min="3" max="3" width="17.42578125" style="219" customWidth="1"/>
    <col min="4" max="4" width="20" style="219" customWidth="1"/>
    <col min="5" max="5" width="15.42578125" style="219" customWidth="1"/>
    <col min="6" max="6" width="14.85546875" style="219" customWidth="1"/>
    <col min="7" max="7" width="10.28515625" style="218" customWidth="1"/>
    <col min="8" max="8" width="13.85546875" style="218" bestFit="1" customWidth="1"/>
    <col min="9" max="9" width="13.140625" style="218" customWidth="1"/>
    <col min="10" max="10" width="16.42578125" style="218" bestFit="1" customWidth="1"/>
    <col min="11" max="11" width="15" style="218" bestFit="1" customWidth="1"/>
    <col min="12" max="12" width="16.42578125" style="218" bestFit="1" customWidth="1"/>
    <col min="13" max="13" width="11.5703125" style="218" customWidth="1"/>
    <col min="14" max="14" width="28.140625" style="218" bestFit="1" customWidth="1"/>
    <col min="15" max="15" width="10.140625" style="218" bestFit="1" customWidth="1"/>
    <col min="16" max="16" width="13.140625" style="218" bestFit="1" customWidth="1"/>
    <col min="17" max="17" width="20" style="218" bestFit="1" customWidth="1"/>
    <col min="18" max="18" width="8.85546875" style="218" bestFit="1" customWidth="1"/>
    <col min="19" max="19" width="4" style="218" bestFit="1" customWidth="1"/>
    <col min="20" max="23" width="24.140625" style="218" customWidth="1"/>
    <col min="24" max="25" width="9.140625" style="218"/>
    <col min="26" max="26" width="10.7109375" style="218" customWidth="1"/>
    <col min="27" max="34" width="9.140625" style="218"/>
    <col min="35" max="35" width="12" style="218" bestFit="1" customWidth="1"/>
    <col min="36" max="36" width="9.140625" style="218"/>
    <col min="37" max="37" width="10.5703125" style="218" bestFit="1" customWidth="1"/>
    <col min="38" max="38" width="9.140625" style="218" customWidth="1"/>
    <col min="39" max="43" width="9.140625" style="218"/>
    <col min="44" max="44" width="12.85546875" style="218" customWidth="1"/>
    <col min="45" max="16384" width="9.140625" style="218"/>
  </cols>
  <sheetData>
    <row r="1" spans="1:45" ht="15.75" thickBot="1">
      <c r="A1" s="237" t="s">
        <v>0</v>
      </c>
      <c r="B1" s="237"/>
      <c r="D1" s="237" t="s">
        <v>1</v>
      </c>
      <c r="E1" s="237"/>
      <c r="F1" s="237"/>
      <c r="H1" s="237" t="s">
        <v>771</v>
      </c>
      <c r="I1" s="237"/>
      <c r="J1" s="237"/>
      <c r="K1" s="237"/>
      <c r="N1" s="238" t="s">
        <v>3</v>
      </c>
      <c r="O1" s="239"/>
      <c r="P1" s="240"/>
      <c r="Q1" s="238" t="s">
        <v>3</v>
      </c>
      <c r="R1" s="239"/>
      <c r="S1" s="240"/>
      <c r="T1" s="238" t="s">
        <v>3</v>
      </c>
      <c r="U1" s="239"/>
      <c r="V1" s="240"/>
    </row>
    <row r="2" spans="1:45" ht="15.75" thickBot="1">
      <c r="A2" s="241" t="s">
        <v>4</v>
      </c>
      <c r="B2" s="242" t="s">
        <v>772</v>
      </c>
      <c r="D2" s="243" t="s">
        <v>6</v>
      </c>
      <c r="E2" s="244" t="s">
        <v>7</v>
      </c>
      <c r="F2" s="244" t="s">
        <v>8</v>
      </c>
      <c r="H2" s="243" t="s">
        <v>6</v>
      </c>
      <c r="I2" s="244" t="s">
        <v>7</v>
      </c>
      <c r="J2" s="244" t="s">
        <v>8</v>
      </c>
      <c r="K2" s="244" t="s">
        <v>15</v>
      </c>
      <c r="N2" s="245" t="s">
        <v>12</v>
      </c>
      <c r="O2" s="411">
        <f>24424+23698</f>
        <v>48122</v>
      </c>
      <c r="P2" s="246" t="s">
        <v>11</v>
      </c>
      <c r="Q2" s="247" t="s">
        <v>773</v>
      </c>
      <c r="R2" s="178">
        <v>11437.45</v>
      </c>
      <c r="S2" s="222" t="s">
        <v>15</v>
      </c>
      <c r="T2" s="247" t="s">
        <v>774</v>
      </c>
      <c r="U2" s="178">
        <v>1316</v>
      </c>
      <c r="V2" s="222" t="s">
        <v>15</v>
      </c>
    </row>
    <row r="3" spans="1:45">
      <c r="A3" s="248" t="s">
        <v>16</v>
      </c>
      <c r="B3" s="249" t="s">
        <v>908</v>
      </c>
      <c r="D3" s="250" t="s">
        <v>18</v>
      </c>
      <c r="E3" s="251">
        <v>0</v>
      </c>
      <c r="F3" s="252">
        <f t="shared" ref="F3:F8" si="0">E3/$E$8</f>
        <v>0</v>
      </c>
      <c r="H3" s="250" t="s">
        <v>776</v>
      </c>
      <c r="I3" s="251">
        <v>5</v>
      </c>
      <c r="J3" s="252">
        <f t="shared" ref="J3" si="1">I3/$E$8</f>
        <v>2.5773195876288658E-2</v>
      </c>
      <c r="K3" s="251">
        <v>663</v>
      </c>
      <c r="N3" s="247" t="s">
        <v>19</v>
      </c>
      <c r="O3" s="178">
        <v>2</v>
      </c>
      <c r="P3" s="222" t="s">
        <v>32</v>
      </c>
      <c r="Q3" s="247" t="s">
        <v>385</v>
      </c>
      <c r="R3" s="178">
        <v>513</v>
      </c>
      <c r="S3" s="222"/>
      <c r="T3" s="247"/>
      <c r="U3" s="178"/>
      <c r="V3" s="222"/>
      <c r="AG3" s="253" t="s">
        <v>777</v>
      </c>
      <c r="AH3" s="254"/>
      <c r="AI3" s="254"/>
      <c r="AJ3" s="254"/>
      <c r="AK3" s="254" t="s">
        <v>778</v>
      </c>
      <c r="AL3" s="255">
        <f>21*7</f>
        <v>147</v>
      </c>
      <c r="AN3" s="253" t="s">
        <v>779</v>
      </c>
      <c r="AO3" s="254"/>
      <c r="AP3" s="254"/>
      <c r="AQ3" s="254"/>
      <c r="AR3" s="254" t="s">
        <v>778</v>
      </c>
      <c r="AS3" s="255">
        <f>15000+6560+6500+15400+4570+4635+4540+4250</f>
        <v>61455</v>
      </c>
    </row>
    <row r="4" spans="1:45">
      <c r="A4" s="248" t="s">
        <v>22</v>
      </c>
      <c r="B4" s="249" t="s">
        <v>23</v>
      </c>
      <c r="D4" s="256" t="s">
        <v>24</v>
      </c>
      <c r="E4" s="249">
        <v>126</v>
      </c>
      <c r="F4" s="257">
        <f>E4/$E$8</f>
        <v>0.64948453608247425</v>
      </c>
      <c r="H4" s="256" t="s">
        <v>780</v>
      </c>
      <c r="I4" s="249">
        <v>73</v>
      </c>
      <c r="J4" s="257">
        <f>I4/$E$8</f>
        <v>0.37628865979381443</v>
      </c>
      <c r="K4" s="249">
        <v>663</v>
      </c>
      <c r="N4" s="258" t="s">
        <v>781</v>
      </c>
      <c r="O4" s="219">
        <v>8</v>
      </c>
      <c r="P4" s="259" t="s">
        <v>32</v>
      </c>
      <c r="Q4" s="247" t="s">
        <v>782</v>
      </c>
      <c r="R4" s="178">
        <v>39274</v>
      </c>
      <c r="S4" s="222" t="s">
        <v>15</v>
      </c>
      <c r="T4" s="247"/>
      <c r="U4" s="178"/>
      <c r="V4" s="222"/>
      <c r="AG4" s="258" t="s">
        <v>783</v>
      </c>
      <c r="AL4" s="259">
        <f>14*7</f>
        <v>98</v>
      </c>
      <c r="AN4" s="258" t="s">
        <v>783</v>
      </c>
      <c r="AS4" s="259"/>
    </row>
    <row r="5" spans="1:45">
      <c r="A5" s="248" t="s">
        <v>29</v>
      </c>
      <c r="B5" s="260">
        <v>45809</v>
      </c>
      <c r="D5" s="256" t="s">
        <v>30</v>
      </c>
      <c r="E5" s="249">
        <v>68</v>
      </c>
      <c r="F5" s="257">
        <f t="shared" si="0"/>
        <v>0.35051546391752575</v>
      </c>
      <c r="H5" s="256" t="s">
        <v>784</v>
      </c>
      <c r="I5" s="249">
        <v>48</v>
      </c>
      <c r="J5" s="257">
        <f t="shared" ref="J5:J8" si="2">I5/$E$8</f>
        <v>0.24742268041237114</v>
      </c>
      <c r="K5" s="249">
        <v>675</v>
      </c>
      <c r="N5" s="247" t="s">
        <v>25</v>
      </c>
      <c r="O5" s="412">
        <v>4</v>
      </c>
      <c r="P5" s="222" t="s">
        <v>785</v>
      </c>
      <c r="Q5" s="247"/>
      <c r="R5" s="178"/>
      <c r="S5" s="222"/>
      <c r="T5" s="247"/>
      <c r="U5" s="178"/>
      <c r="V5" s="222"/>
      <c r="AG5" s="258" t="s">
        <v>786</v>
      </c>
      <c r="AH5" s="218">
        <f>21*4+8*8+7*6</f>
        <v>190</v>
      </c>
      <c r="AL5" s="259">
        <f>8*22</f>
        <v>176</v>
      </c>
      <c r="AN5" s="258" t="s">
        <v>786</v>
      </c>
      <c r="AO5" s="218">
        <v>19256</v>
      </c>
      <c r="AS5" s="259"/>
    </row>
    <row r="6" spans="1:45">
      <c r="A6" s="248" t="s">
        <v>787</v>
      </c>
      <c r="B6" s="249">
        <v>20</v>
      </c>
      <c r="D6" s="256" t="s">
        <v>35</v>
      </c>
      <c r="E6" s="249">
        <v>0</v>
      </c>
      <c r="F6" s="257">
        <f t="shared" si="0"/>
        <v>0</v>
      </c>
      <c r="H6" s="256" t="s">
        <v>788</v>
      </c>
      <c r="I6" s="249">
        <v>5</v>
      </c>
      <c r="J6" s="257">
        <f t="shared" si="2"/>
        <v>2.5773195876288658E-2</v>
      </c>
      <c r="K6" s="249">
        <v>888</v>
      </c>
      <c r="N6" s="247" t="s">
        <v>31</v>
      </c>
      <c r="O6" s="178">
        <v>7</v>
      </c>
      <c r="P6" s="222" t="s">
        <v>32</v>
      </c>
      <c r="Q6" s="247" t="s">
        <v>38</v>
      </c>
      <c r="R6" s="227">
        <v>0</v>
      </c>
      <c r="S6" s="222" t="s">
        <v>15</v>
      </c>
      <c r="T6" s="221"/>
      <c r="U6" s="227"/>
      <c r="V6" s="261"/>
      <c r="AG6" s="258" t="s">
        <v>789</v>
      </c>
      <c r="AH6" s="218">
        <f>14*4+21*2+8*6</f>
        <v>146</v>
      </c>
      <c r="AL6" s="259">
        <f>7*10</f>
        <v>70</v>
      </c>
      <c r="AN6" s="258" t="s">
        <v>789</v>
      </c>
      <c r="AO6" s="218">
        <v>8980</v>
      </c>
      <c r="AS6" s="259"/>
    </row>
    <row r="7" spans="1:45">
      <c r="A7" s="248" t="s">
        <v>39</v>
      </c>
      <c r="B7" s="249">
        <v>4</v>
      </c>
      <c r="D7" s="262" t="s">
        <v>40</v>
      </c>
      <c r="E7" s="263">
        <v>0</v>
      </c>
      <c r="F7" s="264">
        <f t="shared" si="0"/>
        <v>0</v>
      </c>
      <c r="H7" s="256" t="s">
        <v>790</v>
      </c>
      <c r="I7" s="249">
        <v>46</v>
      </c>
      <c r="J7" s="257">
        <f t="shared" si="2"/>
        <v>0.23711340206185566</v>
      </c>
      <c r="K7" s="249">
        <v>888</v>
      </c>
      <c r="N7" s="265" t="s">
        <v>37</v>
      </c>
      <c r="O7" s="266">
        <v>1</v>
      </c>
      <c r="P7" s="267"/>
      <c r="Q7" s="247" t="s">
        <v>42</v>
      </c>
      <c r="R7" s="178"/>
      <c r="S7" s="222" t="s">
        <v>15</v>
      </c>
      <c r="T7" s="221"/>
      <c r="U7" s="227"/>
      <c r="V7" s="261"/>
      <c r="AG7" s="258" t="s">
        <v>791</v>
      </c>
      <c r="AH7" s="218">
        <f>21*2+14*2+8*6</f>
        <v>118</v>
      </c>
      <c r="AL7" s="259">
        <f>SUM(AL3:AL6)</f>
        <v>491</v>
      </c>
      <c r="AN7" s="258" t="s">
        <v>791</v>
      </c>
      <c r="AO7" s="218">
        <v>8850</v>
      </c>
      <c r="AS7" s="259"/>
    </row>
    <row r="8" spans="1:45" ht="15.75" thickBot="1">
      <c r="A8" s="248" t="s">
        <v>792</v>
      </c>
      <c r="B8" s="178">
        <v>196289</v>
      </c>
      <c r="D8" s="268" t="s">
        <v>36</v>
      </c>
      <c r="E8" s="269">
        <f>SUM(E3:E7)</f>
        <v>194</v>
      </c>
      <c r="F8" s="270">
        <f t="shared" si="0"/>
        <v>1</v>
      </c>
      <c r="H8" s="348" t="s">
        <v>793</v>
      </c>
      <c r="I8" s="284">
        <v>17</v>
      </c>
      <c r="J8" s="349">
        <f t="shared" si="2"/>
        <v>8.7628865979381437E-2</v>
      </c>
      <c r="K8" s="284">
        <v>955</v>
      </c>
      <c r="N8" s="247" t="s">
        <v>41</v>
      </c>
      <c r="O8" s="178">
        <v>1</v>
      </c>
      <c r="P8" s="222"/>
      <c r="Q8" s="221" t="s">
        <v>794</v>
      </c>
      <c r="R8" s="227">
        <v>147250</v>
      </c>
      <c r="S8" s="261" t="s">
        <v>15</v>
      </c>
      <c r="T8" s="221"/>
      <c r="U8" s="227"/>
      <c r="V8" s="261"/>
      <c r="AG8" s="258" t="s">
        <v>795</v>
      </c>
      <c r="AH8" s="218">
        <f>21*2+14*8+8*12+7*8</f>
        <v>306</v>
      </c>
      <c r="AL8" s="259"/>
      <c r="AN8" s="258" t="s">
        <v>795</v>
      </c>
      <c r="AO8" s="218">
        <v>19965</v>
      </c>
      <c r="AS8" s="259"/>
    </row>
    <row r="9" spans="1:45" ht="15.75" thickBot="1">
      <c r="A9" s="248" t="s">
        <v>48</v>
      </c>
      <c r="B9" s="409">
        <v>4.9000000000000004</v>
      </c>
      <c r="D9" s="237" t="s">
        <v>49</v>
      </c>
      <c r="E9" s="237"/>
      <c r="F9" s="237"/>
      <c r="H9" s="268" t="s">
        <v>36</v>
      </c>
      <c r="I9" s="269">
        <f>SUM(I3:I8)</f>
        <v>194</v>
      </c>
      <c r="J9" s="270">
        <f>SUM(J3:J8)</f>
        <v>1</v>
      </c>
      <c r="K9" s="350">
        <f>SUMPRODUCT(I3:I8,K3:K8)</f>
        <v>145637</v>
      </c>
      <c r="N9" s="247" t="s">
        <v>45</v>
      </c>
      <c r="O9" s="178">
        <v>1593</v>
      </c>
      <c r="P9" s="222" t="s">
        <v>549</v>
      </c>
      <c r="Q9" s="221" t="s">
        <v>47</v>
      </c>
      <c r="R9" s="227">
        <v>0</v>
      </c>
      <c r="S9" s="261" t="s">
        <v>15</v>
      </c>
      <c r="T9" s="221"/>
      <c r="U9" s="227"/>
      <c r="V9" s="261"/>
      <c r="AG9" s="258" t="s">
        <v>796</v>
      </c>
      <c r="AH9" s="218">
        <f>21*4+8*6</f>
        <v>132</v>
      </c>
      <c r="AI9" s="218">
        <f>SUM(AH5:AH9)</f>
        <v>892</v>
      </c>
      <c r="AL9" s="259"/>
      <c r="AN9" s="258" t="s">
        <v>796</v>
      </c>
      <c r="AO9" s="218">
        <f>5870+6250+6290+5915</f>
        <v>24325</v>
      </c>
      <c r="AP9" s="218">
        <f>SUM(AO5:AO9)</f>
        <v>81376</v>
      </c>
      <c r="AS9" s="259"/>
    </row>
    <row r="10" spans="1:45">
      <c r="A10" s="248" t="s">
        <v>55</v>
      </c>
      <c r="B10" s="178">
        <f>B9*43560</f>
        <v>213444.00000000003</v>
      </c>
      <c r="D10" s="248" t="s">
        <v>62</v>
      </c>
      <c r="E10" s="170"/>
      <c r="F10" s="249">
        <v>127</v>
      </c>
      <c r="K10" s="10"/>
      <c r="N10" s="247" t="s">
        <v>51</v>
      </c>
      <c r="O10" s="178">
        <f>(12209+13565+13960+10629)/100</f>
        <v>503.63</v>
      </c>
      <c r="P10" s="222" t="s">
        <v>52</v>
      </c>
      <c r="Q10" s="221" t="s">
        <v>87</v>
      </c>
      <c r="R10" s="227">
        <v>0</v>
      </c>
      <c r="S10" s="261" t="s">
        <v>15</v>
      </c>
      <c r="T10" s="221"/>
      <c r="U10" s="227"/>
      <c r="V10" s="261"/>
      <c r="AG10" s="258"/>
      <c r="AL10" s="259"/>
      <c r="AN10" s="258"/>
      <c r="AS10" s="259"/>
    </row>
    <row r="11" spans="1:45" ht="15.75" thickBot="1">
      <c r="A11" s="248" t="s">
        <v>61</v>
      </c>
      <c r="B11" s="178">
        <v>1</v>
      </c>
      <c r="D11" s="248" t="s">
        <v>797</v>
      </c>
      <c r="E11" s="170"/>
      <c r="F11" s="249">
        <v>3</v>
      </c>
      <c r="K11" s="10"/>
      <c r="N11" s="247" t="s">
        <v>58</v>
      </c>
      <c r="O11" s="178">
        <v>11824</v>
      </c>
      <c r="P11" s="222" t="s">
        <v>59</v>
      </c>
      <c r="Q11" s="221" t="s">
        <v>70</v>
      </c>
      <c r="R11" s="227">
        <v>0</v>
      </c>
      <c r="S11" s="261" t="s">
        <v>549</v>
      </c>
      <c r="T11" s="221"/>
      <c r="U11" s="227"/>
      <c r="V11" s="261"/>
      <c r="AG11" s="258" t="s">
        <v>798</v>
      </c>
      <c r="AK11" s="218" t="s">
        <v>799</v>
      </c>
      <c r="AL11" s="259">
        <f>14*8</f>
        <v>112</v>
      </c>
      <c r="AN11" s="258" t="s">
        <v>798</v>
      </c>
      <c r="AR11" s="218" t="s">
        <v>799</v>
      </c>
      <c r="AS11" s="259">
        <f>5782+5760+8825+9150</f>
        <v>29517</v>
      </c>
    </row>
    <row r="12" spans="1:45">
      <c r="A12" s="272" t="s">
        <v>66</v>
      </c>
      <c r="B12" s="273"/>
      <c r="D12" s="248" t="s">
        <v>67</v>
      </c>
      <c r="E12" s="170"/>
      <c r="F12" s="249">
        <v>45</v>
      </c>
      <c r="K12" s="10"/>
      <c r="N12" s="247" t="s">
        <v>800</v>
      </c>
      <c r="O12" s="178">
        <v>0</v>
      </c>
      <c r="P12" s="222" t="s">
        <v>64</v>
      </c>
      <c r="Q12" s="274" t="s">
        <v>75</v>
      </c>
      <c r="R12" s="183">
        <v>0</v>
      </c>
      <c r="S12" s="275" t="s">
        <v>549</v>
      </c>
      <c r="T12" s="221"/>
      <c r="U12" s="227"/>
      <c r="V12" s="261"/>
      <c r="AG12" s="258" t="s">
        <v>786</v>
      </c>
      <c r="AL12" s="259">
        <f>20*8</f>
        <v>160</v>
      </c>
      <c r="AN12" s="258" t="s">
        <v>786</v>
      </c>
      <c r="AS12" s="259"/>
    </row>
    <row r="13" spans="1:45" ht="15.75" thickBot="1">
      <c r="A13" s="331" t="s">
        <v>71</v>
      </c>
      <c r="B13" s="251" t="s">
        <v>801</v>
      </c>
      <c r="D13" s="248" t="s">
        <v>72</v>
      </c>
      <c r="E13" s="170"/>
      <c r="F13" s="249">
        <v>11</v>
      </c>
      <c r="K13" s="10"/>
      <c r="N13" s="247" t="s">
        <v>68</v>
      </c>
      <c r="O13" s="171">
        <f>F10+F11</f>
        <v>130</v>
      </c>
      <c r="P13" s="222" t="s">
        <v>32</v>
      </c>
      <c r="Q13" s="221" t="s">
        <v>802</v>
      </c>
      <c r="R13" s="227">
        <v>0</v>
      </c>
      <c r="S13" s="261" t="s">
        <v>15</v>
      </c>
      <c r="T13" s="221"/>
      <c r="U13" s="183"/>
      <c r="V13" s="261"/>
      <c r="AG13" s="258" t="s">
        <v>789</v>
      </c>
      <c r="AL13" s="259">
        <f>8*18</f>
        <v>144</v>
      </c>
      <c r="AN13" s="258" t="s">
        <v>789</v>
      </c>
      <c r="AS13" s="259"/>
    </row>
    <row r="14" spans="1:45">
      <c r="A14" s="276" t="s">
        <v>803</v>
      </c>
      <c r="B14" s="249" t="s">
        <v>804</v>
      </c>
      <c r="D14" s="248" t="s">
        <v>805</v>
      </c>
      <c r="E14" s="170"/>
      <c r="F14" s="249">
        <v>8</v>
      </c>
      <c r="H14" s="277" t="s">
        <v>44</v>
      </c>
      <c r="I14" s="278"/>
      <c r="J14" s="279">
        <f>L330</f>
        <v>33757309.044341207</v>
      </c>
      <c r="N14" s="247" t="s">
        <v>806</v>
      </c>
      <c r="O14" s="178">
        <v>60</v>
      </c>
      <c r="P14" s="222" t="s">
        <v>807</v>
      </c>
      <c r="Q14" s="221" t="s">
        <v>808</v>
      </c>
      <c r="R14" s="227">
        <v>75608</v>
      </c>
      <c r="S14" s="261"/>
      <c r="T14" s="221"/>
      <c r="U14" s="227"/>
      <c r="V14" s="261"/>
      <c r="AG14" s="258" t="s">
        <v>791</v>
      </c>
      <c r="AL14" s="259">
        <f>7*12</f>
        <v>84</v>
      </c>
      <c r="AN14" s="258" t="s">
        <v>791</v>
      </c>
      <c r="AS14" s="259"/>
    </row>
    <row r="15" spans="1:45">
      <c r="A15" s="276" t="s">
        <v>81</v>
      </c>
      <c r="B15" s="249" t="s">
        <v>809</v>
      </c>
      <c r="D15" s="248" t="s">
        <v>82</v>
      </c>
      <c r="E15" s="170"/>
      <c r="F15" s="249">
        <f>SUM(F10:F14)</f>
        <v>194</v>
      </c>
      <c r="H15" s="280" t="s">
        <v>50</v>
      </c>
      <c r="I15" s="281"/>
      <c r="J15" s="282">
        <f>J14/E8</f>
        <v>174006.74765124332</v>
      </c>
      <c r="N15" s="247" t="s">
        <v>810</v>
      </c>
      <c r="O15" s="178">
        <v>1</v>
      </c>
      <c r="P15" s="222" t="s">
        <v>811</v>
      </c>
      <c r="Q15" s="221" t="s">
        <v>47</v>
      </c>
      <c r="R15" s="227">
        <v>350</v>
      </c>
      <c r="S15" s="261"/>
      <c r="T15" s="221"/>
      <c r="U15" s="227"/>
      <c r="V15" s="261"/>
      <c r="AG15" s="258" t="s">
        <v>795</v>
      </c>
      <c r="AH15" s="218">
        <f>21*2+14*2+8*6+7*6</f>
        <v>160</v>
      </c>
      <c r="AI15" s="218">
        <f>AH15*2</f>
        <v>320</v>
      </c>
      <c r="AL15" s="259">
        <f>SUM(AL11:AL14)</f>
        <v>500</v>
      </c>
      <c r="AN15" s="258" t="s">
        <v>795</v>
      </c>
      <c r="AO15" s="218">
        <f>5035+5775+1960+1960</f>
        <v>14730</v>
      </c>
      <c r="AP15" s="218">
        <f>AO15*2</f>
        <v>29460</v>
      </c>
      <c r="AS15" s="259"/>
    </row>
    <row r="16" spans="1:45" ht="15.75" thickBot="1">
      <c r="A16" s="283" t="s">
        <v>84</v>
      </c>
      <c r="B16" s="284" t="s">
        <v>801</v>
      </c>
      <c r="D16" s="285" t="s">
        <v>85</v>
      </c>
      <c r="E16" s="286"/>
      <c r="F16" s="410">
        <f>SUM(F10:F13)/E8</f>
        <v>0.95876288659793818</v>
      </c>
      <c r="H16" s="287" t="s">
        <v>57</v>
      </c>
      <c r="I16" s="288"/>
      <c r="J16" s="289">
        <f>J14/B8</f>
        <v>171.97758939289113</v>
      </c>
      <c r="L16" s="543"/>
      <c r="N16" s="247" t="s">
        <v>364</v>
      </c>
      <c r="O16" s="178">
        <v>0</v>
      </c>
      <c r="P16" s="222" t="s">
        <v>811</v>
      </c>
      <c r="Q16" s="221" t="s">
        <v>812</v>
      </c>
      <c r="R16" s="227">
        <v>4500</v>
      </c>
      <c r="S16" s="261"/>
      <c r="T16" s="221"/>
      <c r="U16" s="227"/>
      <c r="V16" s="261"/>
      <c r="AG16" s="258"/>
      <c r="AL16" s="259"/>
      <c r="AN16" s="258"/>
      <c r="AS16" s="259"/>
    </row>
    <row r="17" spans="1:45" ht="15.75" thickBot="1">
      <c r="A17" s="290"/>
      <c r="B17" s="291"/>
      <c r="C17" s="291"/>
      <c r="D17" s="291"/>
      <c r="J17" s="10"/>
      <c r="N17" s="247" t="s">
        <v>813</v>
      </c>
      <c r="O17" s="178">
        <v>0</v>
      </c>
      <c r="P17" s="222" t="s">
        <v>811</v>
      </c>
      <c r="Q17" s="221"/>
      <c r="R17" s="227"/>
      <c r="S17" s="261"/>
      <c r="T17" s="221"/>
      <c r="U17" s="227"/>
      <c r="V17" s="261"/>
      <c r="AG17" s="292" t="s">
        <v>814</v>
      </c>
      <c r="AH17" s="293">
        <f>12.5*62</f>
        <v>775</v>
      </c>
      <c r="AI17" s="293"/>
      <c r="AJ17" s="293"/>
      <c r="AK17" s="293"/>
      <c r="AL17" s="294"/>
      <c r="AN17" s="292" t="s">
        <v>814</v>
      </c>
      <c r="AO17" s="293">
        <f>12.5*62</f>
        <v>775</v>
      </c>
      <c r="AP17" s="293"/>
      <c r="AQ17" s="293"/>
      <c r="AR17" s="293"/>
      <c r="AS17" s="294"/>
    </row>
    <row r="18" spans="1:45" ht="15.75" thickBot="1">
      <c r="A18" s="290"/>
      <c r="B18" s="291"/>
      <c r="C18" s="291"/>
      <c r="D18" s="291"/>
      <c r="J18" s="10"/>
      <c r="N18" s="295" t="s">
        <v>815</v>
      </c>
      <c r="O18" s="296">
        <v>0</v>
      </c>
      <c r="P18" s="297" t="s">
        <v>811</v>
      </c>
      <c r="Q18" s="295"/>
      <c r="R18" s="296"/>
      <c r="S18" s="297"/>
      <c r="T18" s="295"/>
      <c r="U18" s="296"/>
      <c r="V18" s="297"/>
    </row>
    <row r="19" spans="1:45" ht="30.75" customHeight="1" thickBot="1">
      <c r="A19" s="140" t="s">
        <v>88</v>
      </c>
      <c r="B19" s="141" t="s">
        <v>89</v>
      </c>
      <c r="C19" s="141" t="s">
        <v>90</v>
      </c>
      <c r="D19" s="141" t="s">
        <v>816</v>
      </c>
      <c r="E19" s="141" t="s">
        <v>92</v>
      </c>
      <c r="F19" s="141" t="s">
        <v>817</v>
      </c>
      <c r="G19" s="141" t="s">
        <v>94</v>
      </c>
      <c r="H19" s="141" t="s">
        <v>819</v>
      </c>
      <c r="I19" s="142" t="s">
        <v>820</v>
      </c>
      <c r="J19" s="141" t="s">
        <v>821</v>
      </c>
      <c r="K19" s="141" t="s">
        <v>98</v>
      </c>
      <c r="L19" s="140" t="s">
        <v>99</v>
      </c>
      <c r="M19" s="144" t="s">
        <v>100</v>
      </c>
      <c r="N19" s="145"/>
      <c r="O19" s="145"/>
      <c r="P19" s="145"/>
      <c r="Q19" s="145"/>
      <c r="R19" s="145"/>
      <c r="S19" s="145"/>
      <c r="T19" s="145"/>
      <c r="U19" s="145"/>
      <c r="V19" s="145"/>
      <c r="W19" s="145"/>
    </row>
    <row r="20" spans="1:45">
      <c r="A20" s="30" t="s">
        <v>101</v>
      </c>
      <c r="B20" s="298" t="s">
        <v>102</v>
      </c>
      <c r="C20" s="298"/>
      <c r="D20" s="298"/>
      <c r="E20" s="298"/>
      <c r="F20" s="298"/>
      <c r="G20" s="298"/>
      <c r="H20" s="299"/>
      <c r="I20" s="300"/>
      <c r="J20" s="301"/>
      <c r="K20" s="301"/>
      <c r="L20" s="229">
        <f>K21</f>
        <v>1692096</v>
      </c>
      <c r="M20" s="526"/>
      <c r="N20" s="271"/>
      <c r="O20" s="271"/>
      <c r="P20" s="271"/>
      <c r="Q20" s="271"/>
      <c r="R20" s="271"/>
      <c r="S20" s="271"/>
      <c r="T20" s="271"/>
      <c r="U20" s="271"/>
      <c r="V20" s="271"/>
      <c r="W20" s="271"/>
    </row>
    <row r="21" spans="1:45">
      <c r="A21" s="32" t="s">
        <v>822</v>
      </c>
      <c r="B21" s="223" t="s">
        <v>102</v>
      </c>
      <c r="C21" s="223" t="s">
        <v>103</v>
      </c>
      <c r="D21" s="223"/>
      <c r="E21" s="223"/>
      <c r="F21" s="223" t="s">
        <v>104</v>
      </c>
      <c r="G21" s="224">
        <f>$B$6</f>
        <v>20</v>
      </c>
      <c r="H21" s="322">
        <f>1692096/20</f>
        <v>84604.800000000003</v>
      </c>
      <c r="I21" s="302">
        <v>0</v>
      </c>
      <c r="J21" s="303">
        <f>H21*(1+I21)</f>
        <v>84604.800000000003</v>
      </c>
      <c r="K21" s="304">
        <f>J21*G21</f>
        <v>1692096</v>
      </c>
      <c r="M21" s="170"/>
      <c r="N21" s="170"/>
      <c r="O21" s="170"/>
      <c r="P21" s="170"/>
      <c r="Q21" s="170"/>
      <c r="R21" s="170"/>
      <c r="S21" s="170"/>
      <c r="T21" s="170"/>
      <c r="U21" s="170"/>
      <c r="V21" s="170"/>
      <c r="W21" s="170"/>
    </row>
    <row r="22" spans="1:45">
      <c r="A22" s="33" t="s">
        <v>105</v>
      </c>
      <c r="B22" s="305" t="s">
        <v>106</v>
      </c>
      <c r="C22" s="305"/>
      <c r="D22" s="305"/>
      <c r="E22" s="305"/>
      <c r="F22" s="305"/>
      <c r="G22" s="306"/>
      <c r="H22" s="307"/>
      <c r="I22" s="308"/>
      <c r="J22" s="309"/>
      <c r="K22" s="310"/>
      <c r="L22" s="230">
        <f>K23</f>
        <v>3500</v>
      </c>
      <c r="M22" s="170"/>
      <c r="N22" s="170"/>
      <c r="O22" s="170"/>
      <c r="P22" s="170"/>
      <c r="Q22" s="170"/>
      <c r="R22" s="170"/>
      <c r="S22" s="170"/>
      <c r="T22" s="170"/>
      <c r="U22" s="170"/>
      <c r="V22" s="170"/>
      <c r="W22" s="170"/>
    </row>
    <row r="23" spans="1:45">
      <c r="A23" s="34" t="s">
        <v>107</v>
      </c>
      <c r="B23" s="226" t="s">
        <v>108</v>
      </c>
      <c r="C23" s="226" t="s">
        <v>103</v>
      </c>
      <c r="D23" s="226" t="s">
        <v>109</v>
      </c>
      <c r="E23" s="226" t="s">
        <v>110</v>
      </c>
      <c r="F23" s="226"/>
      <c r="G23" s="168">
        <v>1</v>
      </c>
      <c r="H23" s="225">
        <v>3500</v>
      </c>
      <c r="I23" s="311">
        <v>0</v>
      </c>
      <c r="J23" s="312">
        <f>H23*(1+I23)</f>
        <v>3500</v>
      </c>
      <c r="K23" s="313">
        <f>J23*G23</f>
        <v>3500</v>
      </c>
      <c r="M23" s="170"/>
      <c r="N23" s="170"/>
      <c r="O23" s="170"/>
      <c r="P23" s="170"/>
      <c r="Q23" s="170"/>
      <c r="R23" s="170"/>
      <c r="S23" s="170"/>
      <c r="T23" s="170"/>
      <c r="U23" s="170"/>
      <c r="V23" s="170"/>
      <c r="W23" s="170"/>
    </row>
    <row r="24" spans="1:45">
      <c r="A24" s="33" t="s">
        <v>111</v>
      </c>
      <c r="B24" s="305" t="s">
        <v>112</v>
      </c>
      <c r="C24" s="305"/>
      <c r="D24" s="305"/>
      <c r="E24" s="305"/>
      <c r="F24" s="305"/>
      <c r="G24" s="306"/>
      <c r="H24" s="307"/>
      <c r="I24" s="308"/>
      <c r="J24" s="309"/>
      <c r="K24" s="310"/>
      <c r="L24" s="230">
        <f>SUM(K25:K34)</f>
        <v>1089279.82</v>
      </c>
      <c r="M24" s="170"/>
      <c r="N24" s="170"/>
      <c r="O24" s="170"/>
      <c r="P24" s="170"/>
      <c r="Q24" s="170"/>
      <c r="R24" s="170"/>
      <c r="S24" s="170"/>
      <c r="T24" s="170"/>
      <c r="U24" s="170"/>
      <c r="V24" s="170"/>
      <c r="W24" s="170"/>
      <c r="X24" s="219"/>
    </row>
    <row r="25" spans="1:45">
      <c r="A25" s="35" t="s">
        <v>113</v>
      </c>
      <c r="B25" s="176" t="s">
        <v>114</v>
      </c>
      <c r="C25" s="176" t="s">
        <v>103</v>
      </c>
      <c r="D25" s="176" t="s">
        <v>115</v>
      </c>
      <c r="E25" s="176" t="s">
        <v>116</v>
      </c>
      <c r="F25" s="176" t="s">
        <v>15</v>
      </c>
      <c r="G25" s="167">
        <f>O2</f>
        <v>48122</v>
      </c>
      <c r="H25" s="413">
        <v>11.99</v>
      </c>
      <c r="I25" s="414">
        <v>0</v>
      </c>
      <c r="J25" s="415">
        <f>H25*(1+I25)</f>
        <v>11.99</v>
      </c>
      <c r="K25" s="416">
        <f t="shared" ref="K25:K34" si="3">J25*G25</f>
        <v>576982.78</v>
      </c>
      <c r="M25" s="170" t="s">
        <v>909</v>
      </c>
      <c r="N25" s="170"/>
      <c r="O25" s="170"/>
      <c r="P25" s="170"/>
      <c r="Q25" s="170"/>
      <c r="R25" s="170"/>
      <c r="S25" s="170"/>
      <c r="T25" s="170"/>
      <c r="U25" s="170"/>
      <c r="V25" s="170"/>
      <c r="W25" s="170"/>
      <c r="X25" s="219"/>
    </row>
    <row r="26" spans="1:45">
      <c r="A26" s="37" t="s">
        <v>117</v>
      </c>
      <c r="B26" s="164" t="s">
        <v>114</v>
      </c>
      <c r="C26" s="164" t="s">
        <v>103</v>
      </c>
      <c r="D26" s="164" t="s">
        <v>115</v>
      </c>
      <c r="E26" s="164" t="s">
        <v>118</v>
      </c>
      <c r="F26" s="164"/>
      <c r="G26" s="161"/>
      <c r="H26" s="185"/>
      <c r="I26" s="216"/>
      <c r="J26" s="417">
        <f>H26*(1+I26)</f>
        <v>0</v>
      </c>
      <c r="K26" s="416">
        <f t="shared" si="3"/>
        <v>0</v>
      </c>
      <c r="M26" s="170"/>
      <c r="N26" s="170"/>
      <c r="O26" s="170"/>
      <c r="P26" s="170"/>
      <c r="Q26" s="170"/>
      <c r="R26" s="170"/>
      <c r="S26" s="170"/>
      <c r="T26" s="170"/>
      <c r="U26" s="170"/>
      <c r="V26" s="170"/>
      <c r="W26" s="170"/>
      <c r="X26" s="219"/>
    </row>
    <row r="27" spans="1:45">
      <c r="A27" s="37" t="s">
        <v>119</v>
      </c>
      <c r="B27" s="164" t="s">
        <v>114</v>
      </c>
      <c r="C27" s="164" t="s">
        <v>120</v>
      </c>
      <c r="D27" s="164" t="s">
        <v>115</v>
      </c>
      <c r="E27" s="223" t="s">
        <v>110</v>
      </c>
      <c r="F27" s="164" t="s">
        <v>121</v>
      </c>
      <c r="G27" s="161">
        <v>1</v>
      </c>
      <c r="H27" s="185">
        <v>2500</v>
      </c>
      <c r="I27" s="216">
        <v>0</v>
      </c>
      <c r="J27" s="417">
        <f t="shared" ref="J27" si="4">H27*(1+I27)</f>
        <v>2500</v>
      </c>
      <c r="K27" s="416">
        <f t="shared" si="3"/>
        <v>2500</v>
      </c>
      <c r="M27" s="170"/>
      <c r="N27" s="170"/>
      <c r="O27" s="170"/>
      <c r="P27" s="170"/>
      <c r="Q27" s="170"/>
      <c r="R27" s="170"/>
      <c r="S27" s="170"/>
      <c r="T27" s="170"/>
      <c r="U27" s="170"/>
      <c r="V27" s="170"/>
      <c r="W27" s="170"/>
      <c r="X27" s="219"/>
    </row>
    <row r="28" spans="1:45">
      <c r="A28" s="37" t="s">
        <v>122</v>
      </c>
      <c r="B28" s="164" t="s">
        <v>114</v>
      </c>
      <c r="C28" s="164" t="s">
        <v>103</v>
      </c>
      <c r="D28" s="164" t="s">
        <v>123</v>
      </c>
      <c r="E28" s="164" t="s">
        <v>116</v>
      </c>
      <c r="F28" s="223" t="s">
        <v>15</v>
      </c>
      <c r="G28" s="224">
        <v>300</v>
      </c>
      <c r="H28" s="185">
        <v>11.99</v>
      </c>
      <c r="I28" s="216"/>
      <c r="J28" s="417">
        <f>H28*(1+I28)</f>
        <v>11.99</v>
      </c>
      <c r="K28" s="416">
        <f t="shared" si="3"/>
        <v>3597</v>
      </c>
      <c r="M28" s="170"/>
      <c r="N28" s="170"/>
      <c r="O28" s="170"/>
      <c r="P28" s="170"/>
      <c r="Q28" s="170"/>
      <c r="R28" s="170"/>
      <c r="S28" s="170"/>
      <c r="T28" s="170"/>
      <c r="U28" s="170"/>
      <c r="V28" s="170"/>
      <c r="W28" s="170"/>
      <c r="X28" s="219"/>
    </row>
    <row r="29" spans="1:45">
      <c r="A29" s="37" t="s">
        <v>124</v>
      </c>
      <c r="B29" s="164" t="s">
        <v>125</v>
      </c>
      <c r="C29" s="164" t="s">
        <v>103</v>
      </c>
      <c r="D29" s="164" t="s">
        <v>126</v>
      </c>
      <c r="E29" s="164" t="s">
        <v>110</v>
      </c>
      <c r="F29" s="164" t="s">
        <v>15</v>
      </c>
      <c r="G29" s="161">
        <f>230*4</f>
        <v>920</v>
      </c>
      <c r="H29" s="185">
        <v>11.99</v>
      </c>
      <c r="I29" s="216">
        <v>0</v>
      </c>
      <c r="J29" s="417">
        <f t="shared" ref="J29:J34" si="5">H29*(1+I29)</f>
        <v>11.99</v>
      </c>
      <c r="K29" s="416">
        <f t="shared" si="3"/>
        <v>11030.800000000001</v>
      </c>
      <c r="M29" s="170"/>
      <c r="N29" s="170"/>
      <c r="O29" s="170"/>
      <c r="P29" s="170"/>
      <c r="Q29" s="170"/>
      <c r="R29" s="170"/>
      <c r="S29" s="170"/>
      <c r="T29" s="170"/>
      <c r="U29" s="170"/>
      <c r="V29" s="170"/>
      <c r="W29" s="170"/>
      <c r="X29" s="219"/>
    </row>
    <row r="30" spans="1:45">
      <c r="A30" s="37" t="s">
        <v>128</v>
      </c>
      <c r="B30" s="164" t="s">
        <v>129</v>
      </c>
      <c r="C30" s="164" t="s">
        <v>103</v>
      </c>
      <c r="D30" s="164" t="s">
        <v>130</v>
      </c>
      <c r="E30" s="164" t="s">
        <v>116</v>
      </c>
      <c r="F30" s="164" t="s">
        <v>121</v>
      </c>
      <c r="G30" s="161">
        <f>$O$7</f>
        <v>1</v>
      </c>
      <c r="H30" s="185">
        <v>2500</v>
      </c>
      <c r="I30" s="216">
        <v>0</v>
      </c>
      <c r="J30" s="417">
        <f t="shared" si="5"/>
        <v>2500</v>
      </c>
      <c r="K30" s="416">
        <f t="shared" si="3"/>
        <v>2500</v>
      </c>
      <c r="M30" s="170"/>
      <c r="N30" s="170"/>
      <c r="O30" s="170"/>
      <c r="P30" s="170"/>
      <c r="Q30" s="170"/>
      <c r="R30" s="170"/>
      <c r="S30" s="170"/>
      <c r="T30" s="170"/>
      <c r="U30" s="170"/>
      <c r="V30" s="170"/>
      <c r="W30" s="170"/>
      <c r="X30" s="219"/>
    </row>
    <row r="31" spans="1:45">
      <c r="A31" s="37" t="s">
        <v>131</v>
      </c>
      <c r="B31" s="164" t="s">
        <v>132</v>
      </c>
      <c r="C31" s="164" t="s">
        <v>103</v>
      </c>
      <c r="D31" s="164" t="s">
        <v>130</v>
      </c>
      <c r="E31" s="164" t="s">
        <v>118</v>
      </c>
      <c r="F31" s="164"/>
      <c r="G31" s="161"/>
      <c r="H31" s="185"/>
      <c r="I31" s="216"/>
      <c r="J31" s="417">
        <f t="shared" si="5"/>
        <v>0</v>
      </c>
      <c r="K31" s="416">
        <f t="shared" si="3"/>
        <v>0</v>
      </c>
      <c r="M31" s="170"/>
      <c r="N31" s="170"/>
      <c r="O31" s="170"/>
      <c r="P31" s="170"/>
      <c r="Q31" s="170"/>
      <c r="R31" s="170"/>
      <c r="S31" s="170"/>
      <c r="T31" s="170"/>
      <c r="U31" s="170"/>
      <c r="V31" s="170"/>
      <c r="W31" s="170"/>
      <c r="X31" s="219"/>
    </row>
    <row r="32" spans="1:45">
      <c r="A32" s="37" t="s">
        <v>133</v>
      </c>
      <c r="B32" s="164" t="s">
        <v>134</v>
      </c>
      <c r="C32" s="164" t="s">
        <v>103</v>
      </c>
      <c r="D32" s="164" t="s">
        <v>135</v>
      </c>
      <c r="E32" s="164" t="s">
        <v>118</v>
      </c>
      <c r="F32" s="164"/>
      <c r="G32" s="161"/>
      <c r="H32" s="185"/>
      <c r="I32" s="216"/>
      <c r="J32" s="417">
        <f t="shared" si="5"/>
        <v>0</v>
      </c>
      <c r="K32" s="416">
        <f t="shared" si="3"/>
        <v>0</v>
      </c>
      <c r="M32" s="170"/>
      <c r="N32" s="170"/>
      <c r="O32" s="170"/>
      <c r="P32" s="170"/>
      <c r="Q32" s="170"/>
      <c r="R32" s="170"/>
      <c r="S32" s="170"/>
      <c r="T32" s="170"/>
      <c r="U32" s="170"/>
      <c r="V32" s="170"/>
      <c r="W32" s="170"/>
      <c r="X32" s="219"/>
    </row>
    <row r="33" spans="1:35">
      <c r="A33" s="37" t="s">
        <v>136</v>
      </c>
      <c r="B33" s="164" t="s">
        <v>137</v>
      </c>
      <c r="C33" s="164" t="s">
        <v>103</v>
      </c>
      <c r="D33" s="164" t="s">
        <v>115</v>
      </c>
      <c r="E33" s="164" t="s">
        <v>116</v>
      </c>
      <c r="F33" s="164" t="s">
        <v>15</v>
      </c>
      <c r="G33" s="161">
        <f>R8</f>
        <v>147250</v>
      </c>
      <c r="H33" s="185">
        <v>2.94</v>
      </c>
      <c r="I33" s="216">
        <v>0</v>
      </c>
      <c r="J33" s="417">
        <f t="shared" si="5"/>
        <v>2.94</v>
      </c>
      <c r="K33" s="416">
        <f t="shared" si="3"/>
        <v>432915</v>
      </c>
      <c r="M33" s="170"/>
      <c r="N33" s="170"/>
      <c r="O33" s="170"/>
      <c r="P33" s="170"/>
      <c r="Q33" s="170"/>
      <c r="R33" s="170"/>
      <c r="S33" s="170"/>
      <c r="T33" s="170"/>
      <c r="U33" s="170"/>
      <c r="V33" s="170"/>
      <c r="W33" s="170"/>
      <c r="X33" s="219"/>
      <c r="AI33" s="631">
        <f>237250/B8</f>
        <v>1.2086770017678015</v>
      </c>
    </row>
    <row r="34" spans="1:35">
      <c r="A34" s="38" t="s">
        <v>138</v>
      </c>
      <c r="B34" s="315" t="s">
        <v>139</v>
      </c>
      <c r="C34" s="315" t="s">
        <v>103</v>
      </c>
      <c r="D34" s="315" t="s">
        <v>115</v>
      </c>
      <c r="E34" s="315" t="s">
        <v>116</v>
      </c>
      <c r="F34" s="315" t="s">
        <v>15</v>
      </c>
      <c r="G34" s="162">
        <v>3024</v>
      </c>
      <c r="H34" s="418">
        <v>19.760000000000002</v>
      </c>
      <c r="I34" s="419">
        <v>0</v>
      </c>
      <c r="J34" s="420">
        <f t="shared" si="5"/>
        <v>19.760000000000002</v>
      </c>
      <c r="K34" s="313">
        <f t="shared" si="3"/>
        <v>59754.240000000005</v>
      </c>
      <c r="L34" s="231"/>
      <c r="M34" s="170"/>
      <c r="N34" s="170"/>
      <c r="O34" s="170"/>
      <c r="P34" s="170"/>
      <c r="Q34" s="170"/>
      <c r="R34" s="170"/>
      <c r="S34" s="170"/>
      <c r="T34" s="170"/>
      <c r="U34" s="170"/>
      <c r="V34" s="170"/>
      <c r="W34" s="170"/>
      <c r="X34" s="219"/>
      <c r="AI34" s="631">
        <f>237250/194</f>
        <v>1222.9381443298969</v>
      </c>
    </row>
    <row r="35" spans="1:35">
      <c r="A35" s="33" t="s">
        <v>140</v>
      </c>
      <c r="B35" s="305" t="s">
        <v>141</v>
      </c>
      <c r="C35" s="305"/>
      <c r="D35" s="305"/>
      <c r="E35" s="305"/>
      <c r="F35" s="305"/>
      <c r="G35" s="306"/>
      <c r="H35" s="307"/>
      <c r="I35" s="308"/>
      <c r="J35" s="309"/>
      <c r="K35" s="310"/>
      <c r="L35" s="230">
        <f>SUM(K36:K43)</f>
        <v>0</v>
      </c>
      <c r="M35" s="170"/>
      <c r="N35" s="170"/>
      <c r="O35" s="170"/>
      <c r="P35" s="170"/>
      <c r="Q35" s="170"/>
      <c r="R35" s="170"/>
      <c r="S35" s="170"/>
      <c r="T35" s="170"/>
      <c r="U35" s="170"/>
      <c r="V35" s="170"/>
      <c r="W35" s="170"/>
      <c r="X35" s="219"/>
    </row>
    <row r="36" spans="1:35">
      <c r="A36" s="35" t="s">
        <v>142</v>
      </c>
      <c r="B36" s="176"/>
      <c r="C36" s="176" t="s">
        <v>103</v>
      </c>
      <c r="D36" s="176"/>
      <c r="E36" s="176" t="s">
        <v>118</v>
      </c>
      <c r="F36" s="176"/>
      <c r="G36" s="167"/>
      <c r="H36" s="413"/>
      <c r="I36" s="414"/>
      <c r="J36" s="415">
        <f t="shared" ref="J36:J43" si="6">H36*(1+I36)</f>
        <v>0</v>
      </c>
      <c r="K36" s="416">
        <f t="shared" ref="K36:K43" si="7">J36*G36</f>
        <v>0</v>
      </c>
      <c r="M36" s="170"/>
      <c r="N36" s="170"/>
      <c r="O36" s="170"/>
      <c r="P36" s="170"/>
      <c r="Q36" s="170"/>
      <c r="R36" s="170"/>
      <c r="S36" s="170"/>
      <c r="T36" s="170"/>
      <c r="U36" s="170"/>
      <c r="V36" s="170"/>
      <c r="W36" s="170"/>
      <c r="X36" s="219"/>
    </row>
    <row r="37" spans="1:35">
      <c r="A37" s="37" t="s">
        <v>143</v>
      </c>
      <c r="B37" s="164"/>
      <c r="C37" s="164" t="s">
        <v>103</v>
      </c>
      <c r="D37" s="164"/>
      <c r="E37" s="164" t="s">
        <v>118</v>
      </c>
      <c r="F37" s="164"/>
      <c r="G37" s="161"/>
      <c r="H37" s="185"/>
      <c r="I37" s="216"/>
      <c r="J37" s="417">
        <f t="shared" si="6"/>
        <v>0</v>
      </c>
      <c r="K37" s="416">
        <f t="shared" si="7"/>
        <v>0</v>
      </c>
      <c r="M37" s="170"/>
      <c r="N37" s="170"/>
      <c r="O37" s="170"/>
      <c r="P37" s="170"/>
      <c r="Q37" s="170"/>
      <c r="R37" s="170"/>
      <c r="S37" s="170"/>
      <c r="T37" s="170"/>
      <c r="U37" s="170"/>
      <c r="V37" s="170"/>
      <c r="W37" s="170"/>
      <c r="X37" s="219"/>
    </row>
    <row r="38" spans="1:35">
      <c r="A38" s="37" t="s">
        <v>144</v>
      </c>
      <c r="B38" s="164"/>
      <c r="C38" s="164" t="s">
        <v>103</v>
      </c>
      <c r="D38" s="164"/>
      <c r="E38" s="164" t="s">
        <v>118</v>
      </c>
      <c r="F38" s="164"/>
      <c r="G38" s="161"/>
      <c r="H38" s="185"/>
      <c r="I38" s="216"/>
      <c r="J38" s="417">
        <f t="shared" si="6"/>
        <v>0</v>
      </c>
      <c r="K38" s="416">
        <f t="shared" si="7"/>
        <v>0</v>
      </c>
      <c r="M38" s="170"/>
      <c r="N38" s="170"/>
      <c r="O38" s="170"/>
      <c r="P38" s="170"/>
      <c r="Q38" s="170"/>
      <c r="R38" s="170"/>
      <c r="S38" s="170"/>
      <c r="T38" s="170"/>
      <c r="U38" s="170"/>
      <c r="V38" s="170"/>
      <c r="W38" s="170"/>
      <c r="X38" s="219"/>
    </row>
    <row r="39" spans="1:35">
      <c r="A39" s="37" t="s">
        <v>145</v>
      </c>
      <c r="B39" s="164"/>
      <c r="C39" s="164" t="s">
        <v>103</v>
      </c>
      <c r="D39" s="164"/>
      <c r="E39" s="164" t="s">
        <v>118</v>
      </c>
      <c r="F39" s="164"/>
      <c r="G39" s="161"/>
      <c r="H39" s="185"/>
      <c r="I39" s="216"/>
      <c r="J39" s="417">
        <f t="shared" si="6"/>
        <v>0</v>
      </c>
      <c r="K39" s="416">
        <f t="shared" si="7"/>
        <v>0</v>
      </c>
      <c r="M39" s="170"/>
      <c r="N39" s="170"/>
      <c r="O39" s="170"/>
      <c r="P39" s="170"/>
      <c r="Q39" s="170"/>
      <c r="R39" s="170"/>
      <c r="S39" s="170"/>
      <c r="T39" s="170"/>
      <c r="U39" s="170"/>
      <c r="V39" s="170"/>
      <c r="W39" s="170"/>
      <c r="X39" s="219"/>
    </row>
    <row r="40" spans="1:35">
      <c r="A40" s="37" t="s">
        <v>146</v>
      </c>
      <c r="B40" s="164"/>
      <c r="C40" s="164" t="s">
        <v>103</v>
      </c>
      <c r="D40" s="164"/>
      <c r="E40" s="164" t="s">
        <v>118</v>
      </c>
      <c r="F40" s="164"/>
      <c r="G40" s="161"/>
      <c r="H40" s="185"/>
      <c r="I40" s="216"/>
      <c r="J40" s="417">
        <f t="shared" si="6"/>
        <v>0</v>
      </c>
      <c r="K40" s="416">
        <f t="shared" si="7"/>
        <v>0</v>
      </c>
      <c r="M40" s="170"/>
      <c r="N40" s="170"/>
      <c r="O40" s="170"/>
      <c r="P40" s="170"/>
      <c r="Q40" s="170"/>
      <c r="R40" s="170"/>
      <c r="S40" s="170"/>
      <c r="T40" s="170"/>
      <c r="U40" s="170"/>
      <c r="V40" s="170"/>
      <c r="W40" s="170"/>
      <c r="X40" s="219"/>
    </row>
    <row r="41" spans="1:35">
      <c r="A41" s="37" t="s">
        <v>147</v>
      </c>
      <c r="B41" s="164"/>
      <c r="C41" s="164" t="s">
        <v>103</v>
      </c>
      <c r="D41" s="164"/>
      <c r="E41" s="164" t="s">
        <v>118</v>
      </c>
      <c r="F41" s="164"/>
      <c r="G41" s="161"/>
      <c r="H41" s="185"/>
      <c r="I41" s="216"/>
      <c r="J41" s="417">
        <f t="shared" si="6"/>
        <v>0</v>
      </c>
      <c r="K41" s="416">
        <f t="shared" si="7"/>
        <v>0</v>
      </c>
      <c r="M41" s="170"/>
      <c r="N41" s="170"/>
      <c r="O41" s="170"/>
      <c r="P41" s="170"/>
      <c r="Q41" s="170"/>
      <c r="R41" s="170"/>
      <c r="S41" s="170"/>
      <c r="T41" s="170"/>
      <c r="U41" s="170"/>
      <c r="V41" s="170"/>
      <c r="W41" s="170"/>
      <c r="X41" s="219"/>
    </row>
    <row r="42" spans="1:35">
      <c r="A42" s="37" t="s">
        <v>148</v>
      </c>
      <c r="B42" s="164"/>
      <c r="C42" s="164" t="s">
        <v>103</v>
      </c>
      <c r="D42" s="164"/>
      <c r="E42" s="164" t="s">
        <v>118</v>
      </c>
      <c r="F42" s="164"/>
      <c r="G42" s="161"/>
      <c r="H42" s="185"/>
      <c r="I42" s="216"/>
      <c r="J42" s="417">
        <f t="shared" si="6"/>
        <v>0</v>
      </c>
      <c r="K42" s="416">
        <f t="shared" si="7"/>
        <v>0</v>
      </c>
      <c r="M42" s="170"/>
      <c r="N42" s="170"/>
      <c r="O42" s="170"/>
      <c r="P42" s="170"/>
      <c r="Q42" s="170"/>
      <c r="R42" s="170"/>
      <c r="S42" s="170"/>
      <c r="T42" s="170"/>
      <c r="U42" s="170"/>
      <c r="V42" s="170"/>
      <c r="W42" s="170"/>
      <c r="X42" s="219"/>
    </row>
    <row r="43" spans="1:35">
      <c r="A43" s="38" t="s">
        <v>149</v>
      </c>
      <c r="B43" s="315"/>
      <c r="C43" s="315" t="s">
        <v>103</v>
      </c>
      <c r="D43" s="315"/>
      <c r="E43" s="315" t="s">
        <v>118</v>
      </c>
      <c r="F43" s="315"/>
      <c r="G43" s="162"/>
      <c r="H43" s="418"/>
      <c r="I43" s="419"/>
      <c r="J43" s="420">
        <f t="shared" si="6"/>
        <v>0</v>
      </c>
      <c r="K43" s="313">
        <f t="shared" si="7"/>
        <v>0</v>
      </c>
      <c r="M43" s="170"/>
      <c r="N43" s="170"/>
      <c r="O43" s="170"/>
      <c r="P43" s="170"/>
      <c r="Q43" s="170"/>
      <c r="R43" s="170"/>
      <c r="S43" s="170"/>
      <c r="T43" s="170"/>
      <c r="U43" s="170"/>
      <c r="V43" s="170"/>
      <c r="W43" s="170"/>
      <c r="X43" s="219"/>
    </row>
    <row r="44" spans="1:35">
      <c r="A44" s="33" t="s">
        <v>150</v>
      </c>
      <c r="B44" s="305" t="s">
        <v>151</v>
      </c>
      <c r="C44" s="305"/>
      <c r="D44" s="305"/>
      <c r="E44" s="305"/>
      <c r="F44" s="305"/>
      <c r="G44" s="306"/>
      <c r="H44" s="307"/>
      <c r="I44" s="308"/>
      <c r="J44" s="307"/>
      <c r="K44" s="421"/>
      <c r="L44" s="230">
        <f>SUM(K45:K49)</f>
        <v>112800</v>
      </c>
      <c r="M44" s="170"/>
      <c r="N44" s="170"/>
      <c r="O44" s="170"/>
      <c r="P44" s="170"/>
      <c r="Q44" s="170"/>
      <c r="R44" s="170"/>
      <c r="S44" s="170"/>
      <c r="T44" s="170"/>
      <c r="U44" s="170"/>
      <c r="V44" s="170"/>
      <c r="W44" s="170"/>
      <c r="X44" s="219"/>
    </row>
    <row r="45" spans="1:35">
      <c r="A45" s="35" t="s">
        <v>152</v>
      </c>
      <c r="B45" s="176" t="s">
        <v>153</v>
      </c>
      <c r="C45" s="176" t="s">
        <v>103</v>
      </c>
      <c r="D45" s="176" t="s">
        <v>115</v>
      </c>
      <c r="E45" s="176" t="s">
        <v>116</v>
      </c>
      <c r="F45" s="176" t="s">
        <v>416</v>
      </c>
      <c r="G45" s="167">
        <f>O4</f>
        <v>8</v>
      </c>
      <c r="H45" s="413">
        <v>9500</v>
      </c>
      <c r="I45" s="414">
        <v>0</v>
      </c>
      <c r="J45" s="415">
        <f t="shared" ref="J45:J49" si="8">H45*(1+I45)</f>
        <v>9500</v>
      </c>
      <c r="K45" s="416">
        <f>J45*G45</f>
        <v>76000</v>
      </c>
      <c r="M45" s="170"/>
      <c r="N45" s="170"/>
      <c r="O45" s="170"/>
      <c r="P45" s="170"/>
      <c r="Q45" s="170"/>
      <c r="R45" s="170"/>
      <c r="S45" s="170"/>
      <c r="T45" s="170"/>
      <c r="U45" s="170"/>
      <c r="V45" s="170"/>
      <c r="W45" s="170"/>
      <c r="X45" s="219"/>
    </row>
    <row r="46" spans="1:35">
      <c r="A46" s="37" t="s">
        <v>154</v>
      </c>
      <c r="B46" s="164" t="s">
        <v>155</v>
      </c>
      <c r="C46" s="164" t="s">
        <v>103</v>
      </c>
      <c r="D46" s="164" t="s">
        <v>126</v>
      </c>
      <c r="E46" s="164" t="s">
        <v>116</v>
      </c>
      <c r="F46" s="164" t="s">
        <v>32</v>
      </c>
      <c r="G46" s="161">
        <f>$O$5</f>
        <v>4</v>
      </c>
      <c r="H46" s="185">
        <v>5700</v>
      </c>
      <c r="I46" s="216">
        <v>0</v>
      </c>
      <c r="J46" s="417">
        <f t="shared" si="8"/>
        <v>5700</v>
      </c>
      <c r="K46" s="416">
        <f>J46*G46</f>
        <v>22800</v>
      </c>
      <c r="M46" s="170"/>
      <c r="N46" s="170"/>
      <c r="O46" s="170"/>
      <c r="P46" s="170"/>
      <c r="Q46" s="170"/>
      <c r="R46" s="170"/>
      <c r="S46" s="170"/>
      <c r="T46" s="170"/>
      <c r="U46" s="170"/>
      <c r="V46" s="170"/>
      <c r="W46" s="170"/>
      <c r="X46" s="219"/>
    </row>
    <row r="47" spans="1:35">
      <c r="A47" s="37" t="s">
        <v>156</v>
      </c>
      <c r="B47" s="164" t="s">
        <v>157</v>
      </c>
      <c r="C47" s="164" t="s">
        <v>103</v>
      </c>
      <c r="D47" s="164" t="s">
        <v>109</v>
      </c>
      <c r="E47" s="164" t="s">
        <v>118</v>
      </c>
      <c r="F47" s="164"/>
      <c r="G47" s="161"/>
      <c r="H47" s="185">
        <v>0</v>
      </c>
      <c r="I47" s="216"/>
      <c r="J47" s="417">
        <f t="shared" si="8"/>
        <v>0</v>
      </c>
      <c r="K47" s="416">
        <f>J47*G47</f>
        <v>0</v>
      </c>
      <c r="M47" s="170"/>
      <c r="N47" s="170"/>
      <c r="O47" s="170"/>
      <c r="P47" s="170"/>
      <c r="Q47" s="170"/>
      <c r="R47" s="170"/>
      <c r="S47" s="170"/>
      <c r="T47" s="170"/>
      <c r="U47" s="170"/>
      <c r="V47" s="170"/>
      <c r="W47" s="170"/>
      <c r="X47" s="219"/>
    </row>
    <row r="48" spans="1:35">
      <c r="A48" s="37" t="s">
        <v>158</v>
      </c>
      <c r="B48" s="164" t="s">
        <v>159</v>
      </c>
      <c r="C48" s="164" t="s">
        <v>103</v>
      </c>
      <c r="D48" s="164" t="s">
        <v>130</v>
      </c>
      <c r="E48" s="164" t="s">
        <v>110</v>
      </c>
      <c r="F48" s="164" t="s">
        <v>121</v>
      </c>
      <c r="G48" s="161">
        <f>$O$7</f>
        <v>1</v>
      </c>
      <c r="H48" s="185">
        <v>5000</v>
      </c>
      <c r="I48" s="216">
        <v>0</v>
      </c>
      <c r="J48" s="417">
        <f t="shared" si="8"/>
        <v>5000</v>
      </c>
      <c r="K48" s="416">
        <f>J48*G48</f>
        <v>5000</v>
      </c>
      <c r="M48" s="170"/>
      <c r="N48" s="170"/>
      <c r="O48" s="170"/>
      <c r="P48" s="170"/>
      <c r="Q48" s="170"/>
      <c r="R48" s="170"/>
      <c r="S48" s="170"/>
      <c r="T48" s="170"/>
      <c r="U48" s="170"/>
      <c r="V48" s="170"/>
      <c r="W48" s="170"/>
      <c r="X48" s="219"/>
    </row>
    <row r="49" spans="1:24">
      <c r="A49" s="37" t="s">
        <v>160</v>
      </c>
      <c r="B49" s="164" t="s">
        <v>161</v>
      </c>
      <c r="C49" s="164" t="s">
        <v>281</v>
      </c>
      <c r="D49" s="164" t="s">
        <v>135</v>
      </c>
      <c r="E49" s="164" t="s">
        <v>116</v>
      </c>
      <c r="F49" s="164" t="s">
        <v>121</v>
      </c>
      <c r="G49" s="161">
        <f>$O$7</f>
        <v>1</v>
      </c>
      <c r="H49" s="185">
        <v>9000</v>
      </c>
      <c r="I49" s="216">
        <v>0</v>
      </c>
      <c r="J49" s="417">
        <f t="shared" si="8"/>
        <v>9000</v>
      </c>
      <c r="K49" s="416">
        <f>J49*G49</f>
        <v>9000</v>
      </c>
      <c r="M49" s="170"/>
      <c r="N49" s="170"/>
      <c r="O49" s="170"/>
      <c r="P49" s="170"/>
      <c r="Q49" s="170"/>
      <c r="R49" s="170"/>
      <c r="S49" s="170"/>
      <c r="T49" s="170"/>
      <c r="U49" s="170"/>
      <c r="V49" s="170"/>
      <c r="W49" s="170"/>
      <c r="X49" s="219"/>
    </row>
    <row r="50" spans="1:24">
      <c r="A50" s="33" t="s">
        <v>162</v>
      </c>
      <c r="B50" s="305" t="s">
        <v>163</v>
      </c>
      <c r="C50" s="305"/>
      <c r="D50" s="305"/>
      <c r="E50" s="343"/>
      <c r="F50" s="343"/>
      <c r="G50" s="147"/>
      <c r="H50" s="344"/>
      <c r="I50" s="345"/>
      <c r="J50" s="344"/>
      <c r="K50" s="346"/>
      <c r="L50" s="230">
        <f>SUM(K51:K58)</f>
        <v>325412.12789407256</v>
      </c>
      <c r="M50" s="170"/>
      <c r="N50" s="170"/>
      <c r="O50" s="170"/>
      <c r="P50" s="170"/>
      <c r="Q50" s="170"/>
      <c r="R50" s="170"/>
      <c r="S50" s="170"/>
      <c r="T50" s="170"/>
      <c r="U50" s="170"/>
      <c r="V50" s="170"/>
      <c r="W50" s="170"/>
      <c r="X50" s="219"/>
    </row>
    <row r="51" spans="1:24">
      <c r="A51" s="35" t="s">
        <v>164</v>
      </c>
      <c r="B51" s="176" t="s">
        <v>165</v>
      </c>
      <c r="C51" s="176" t="s">
        <v>103</v>
      </c>
      <c r="D51" s="176" t="s">
        <v>115</v>
      </c>
      <c r="E51" s="176" t="s">
        <v>116</v>
      </c>
      <c r="F51" s="176" t="s">
        <v>837</v>
      </c>
      <c r="G51" s="167">
        <v>31706.95</v>
      </c>
      <c r="H51" s="413">
        <v>3.5584036904865521</v>
      </c>
      <c r="I51" s="414">
        <v>0</v>
      </c>
      <c r="J51" s="415">
        <f t="shared" ref="J51:J58" si="9">H51*(1+I51)</f>
        <v>3.5584036904865521</v>
      </c>
      <c r="K51" s="416">
        <f t="shared" ref="K51:K58" si="10">J51*G51</f>
        <v>112826.12789407259</v>
      </c>
      <c r="M51" s="170"/>
      <c r="N51" s="170"/>
      <c r="O51" s="170"/>
      <c r="P51" s="170"/>
      <c r="Q51" s="170"/>
      <c r="R51" s="170"/>
      <c r="S51" s="170"/>
      <c r="T51" s="170"/>
      <c r="U51" s="170"/>
      <c r="V51" s="170"/>
      <c r="W51" s="170"/>
      <c r="X51" s="219"/>
    </row>
    <row r="52" spans="1:24">
      <c r="A52" s="37" t="s">
        <v>167</v>
      </c>
      <c r="B52" s="164" t="s">
        <v>168</v>
      </c>
      <c r="C52" s="164" t="s">
        <v>103</v>
      </c>
      <c r="D52" s="164" t="s">
        <v>115</v>
      </c>
      <c r="E52" s="164" t="s">
        <v>116</v>
      </c>
      <c r="F52" s="164" t="s">
        <v>32</v>
      </c>
      <c r="G52" s="161">
        <f>$O$3</f>
        <v>2</v>
      </c>
      <c r="H52" s="185">
        <f>1950+2090</f>
        <v>4040</v>
      </c>
      <c r="I52" s="216">
        <v>0</v>
      </c>
      <c r="J52" s="415">
        <f t="shared" si="9"/>
        <v>4040</v>
      </c>
      <c r="K52" s="416">
        <f t="shared" si="10"/>
        <v>8080</v>
      </c>
      <c r="M52" s="170"/>
      <c r="N52" s="170"/>
      <c r="O52" s="170"/>
      <c r="P52" s="170"/>
      <c r="Q52" s="170"/>
      <c r="R52" s="170"/>
      <c r="S52" s="170"/>
      <c r="T52" s="170"/>
      <c r="U52" s="170"/>
      <c r="V52" s="170"/>
      <c r="W52" s="170"/>
      <c r="X52" s="219"/>
    </row>
    <row r="53" spans="1:24">
      <c r="A53" s="37" t="s">
        <v>169</v>
      </c>
      <c r="B53" s="164" t="s">
        <v>170</v>
      </c>
      <c r="C53" s="164" t="s">
        <v>103</v>
      </c>
      <c r="D53" s="164" t="s">
        <v>115</v>
      </c>
      <c r="E53" s="164" t="s">
        <v>116</v>
      </c>
      <c r="F53" s="164" t="s">
        <v>838</v>
      </c>
      <c r="G53" s="161">
        <f>O6*4</f>
        <v>28</v>
      </c>
      <c r="H53" s="185">
        <v>2000</v>
      </c>
      <c r="I53" s="216">
        <v>0</v>
      </c>
      <c r="J53" s="415">
        <f t="shared" si="9"/>
        <v>2000</v>
      </c>
      <c r="K53" s="416">
        <f t="shared" si="10"/>
        <v>56000</v>
      </c>
      <c r="M53" s="170"/>
      <c r="N53" s="170"/>
      <c r="O53" s="170"/>
      <c r="P53" s="170"/>
      <c r="Q53" s="170"/>
      <c r="R53" s="170"/>
      <c r="S53" s="170"/>
      <c r="T53" s="170"/>
      <c r="U53" s="170"/>
      <c r="V53" s="170"/>
      <c r="W53" s="170"/>
      <c r="X53" s="219"/>
    </row>
    <row r="54" spans="1:24">
      <c r="A54" s="37" t="s">
        <v>171</v>
      </c>
      <c r="B54" s="164" t="s">
        <v>170</v>
      </c>
      <c r="C54" s="164" t="s">
        <v>103</v>
      </c>
      <c r="D54" s="164" t="s">
        <v>115</v>
      </c>
      <c r="E54" s="164" t="s">
        <v>118</v>
      </c>
      <c r="F54" s="164"/>
      <c r="G54" s="161"/>
      <c r="H54" s="185">
        <v>0</v>
      </c>
      <c r="I54" s="216">
        <v>0</v>
      </c>
      <c r="J54" s="415">
        <f t="shared" si="9"/>
        <v>0</v>
      </c>
      <c r="K54" s="416">
        <f t="shared" si="10"/>
        <v>0</v>
      </c>
      <c r="M54" s="170"/>
      <c r="N54" s="170"/>
      <c r="O54" s="170"/>
      <c r="P54" s="170"/>
      <c r="Q54" s="170"/>
      <c r="R54" s="170"/>
      <c r="S54" s="170"/>
      <c r="T54" s="170"/>
      <c r="U54" s="170"/>
      <c r="V54" s="170"/>
      <c r="W54" s="170"/>
      <c r="X54" s="219"/>
    </row>
    <row r="55" spans="1:24">
      <c r="A55" s="37" t="s">
        <v>172</v>
      </c>
      <c r="B55" s="164" t="s">
        <v>173</v>
      </c>
      <c r="C55" s="164" t="s">
        <v>103</v>
      </c>
      <c r="D55" s="164" t="s">
        <v>130</v>
      </c>
      <c r="E55" s="164" t="s">
        <v>118</v>
      </c>
      <c r="F55" s="164"/>
      <c r="G55" s="161"/>
      <c r="H55" s="185">
        <v>0</v>
      </c>
      <c r="I55" s="216">
        <v>0</v>
      </c>
      <c r="J55" s="415">
        <f t="shared" si="9"/>
        <v>0</v>
      </c>
      <c r="K55" s="416">
        <f t="shared" si="10"/>
        <v>0</v>
      </c>
      <c r="M55" s="170"/>
      <c r="N55" s="170"/>
      <c r="O55" s="170"/>
      <c r="P55" s="170"/>
      <c r="Q55" s="170"/>
      <c r="R55" s="170"/>
      <c r="S55" s="170"/>
      <c r="T55" s="170"/>
      <c r="U55" s="170"/>
      <c r="V55" s="170"/>
      <c r="W55" s="170"/>
      <c r="X55" s="219"/>
    </row>
    <row r="56" spans="1:24">
      <c r="A56" s="37" t="s">
        <v>174</v>
      </c>
      <c r="B56" s="164" t="s">
        <v>175</v>
      </c>
      <c r="C56" s="164" t="s">
        <v>103</v>
      </c>
      <c r="D56" s="164" t="s">
        <v>135</v>
      </c>
      <c r="E56" s="164" t="s">
        <v>116</v>
      </c>
      <c r="F56" s="164" t="s">
        <v>32</v>
      </c>
      <c r="G56" s="161">
        <v>1</v>
      </c>
      <c r="H56" s="185">
        <v>1950</v>
      </c>
      <c r="I56" s="216">
        <v>0</v>
      </c>
      <c r="J56" s="415">
        <f t="shared" si="9"/>
        <v>1950</v>
      </c>
      <c r="K56" s="416">
        <f t="shared" si="10"/>
        <v>1950</v>
      </c>
      <c r="M56" s="170"/>
      <c r="N56" s="170"/>
      <c r="O56" s="170"/>
      <c r="P56" s="170"/>
      <c r="Q56" s="170"/>
      <c r="R56" s="170"/>
      <c r="S56" s="170"/>
      <c r="T56" s="170"/>
      <c r="U56" s="170"/>
      <c r="V56" s="170"/>
      <c r="W56" s="170"/>
      <c r="X56" s="219"/>
    </row>
    <row r="57" spans="1:24">
      <c r="A57" s="37" t="s">
        <v>176</v>
      </c>
      <c r="B57" s="164" t="s">
        <v>177</v>
      </c>
      <c r="C57" s="164" t="s">
        <v>103</v>
      </c>
      <c r="D57" s="164" t="s">
        <v>115</v>
      </c>
      <c r="E57" s="164" t="s">
        <v>116</v>
      </c>
      <c r="F57" s="164" t="s">
        <v>549</v>
      </c>
      <c r="G57" s="161">
        <f>$O$9</f>
        <v>1593</v>
      </c>
      <c r="H57" s="185">
        <v>92</v>
      </c>
      <c r="I57" s="216">
        <v>0</v>
      </c>
      <c r="J57" s="415">
        <f t="shared" si="9"/>
        <v>92</v>
      </c>
      <c r="K57" s="416">
        <f t="shared" si="10"/>
        <v>146556</v>
      </c>
      <c r="M57" s="170"/>
      <c r="N57" s="170"/>
      <c r="O57" s="170"/>
      <c r="P57" s="170"/>
      <c r="Q57" s="170"/>
      <c r="R57" s="170"/>
      <c r="S57" s="170"/>
      <c r="T57" s="170"/>
      <c r="U57" s="170"/>
      <c r="V57" s="170"/>
      <c r="W57" s="170"/>
      <c r="X57" s="219"/>
    </row>
    <row r="58" spans="1:24">
      <c r="A58" s="37" t="s">
        <v>179</v>
      </c>
      <c r="B58" s="164" t="s">
        <v>180</v>
      </c>
      <c r="C58" s="164" t="s">
        <v>103</v>
      </c>
      <c r="D58" s="164" t="s">
        <v>181</v>
      </c>
      <c r="E58" s="164" t="s">
        <v>118</v>
      </c>
      <c r="F58" s="164"/>
      <c r="G58" s="161"/>
      <c r="H58" s="185">
        <v>0</v>
      </c>
      <c r="I58" s="216">
        <v>0</v>
      </c>
      <c r="J58" s="415">
        <f t="shared" si="9"/>
        <v>0</v>
      </c>
      <c r="K58" s="416">
        <f t="shared" si="10"/>
        <v>0</v>
      </c>
      <c r="M58" s="170"/>
      <c r="N58" s="170"/>
      <c r="O58" s="170"/>
      <c r="P58" s="170"/>
      <c r="Q58" s="170"/>
      <c r="R58" s="170"/>
      <c r="S58" s="170"/>
      <c r="T58" s="170"/>
      <c r="U58" s="170"/>
      <c r="V58" s="170"/>
      <c r="W58" s="170"/>
      <c r="X58" s="219"/>
    </row>
    <row r="59" spans="1:24">
      <c r="A59" s="33" t="s">
        <v>182</v>
      </c>
      <c r="B59" s="305" t="s">
        <v>183</v>
      </c>
      <c r="C59" s="305"/>
      <c r="D59" s="305"/>
      <c r="E59" s="343"/>
      <c r="F59" s="343"/>
      <c r="G59" s="147"/>
      <c r="H59" s="344"/>
      <c r="I59" s="345"/>
      <c r="J59" s="344"/>
      <c r="K59" s="346"/>
      <c r="L59" s="230">
        <f>SUM(K60:K71)</f>
        <v>4804000.7</v>
      </c>
      <c r="M59" s="170"/>
      <c r="N59" s="170"/>
      <c r="O59" s="170"/>
      <c r="P59" s="170"/>
      <c r="Q59" s="170"/>
      <c r="R59" s="170"/>
      <c r="S59" s="170"/>
      <c r="T59" s="170"/>
      <c r="U59" s="170"/>
      <c r="V59" s="170"/>
      <c r="W59" s="170"/>
      <c r="X59" s="219"/>
    </row>
    <row r="60" spans="1:24">
      <c r="A60" s="35" t="s">
        <v>184</v>
      </c>
      <c r="B60" s="176" t="s">
        <v>185</v>
      </c>
      <c r="C60" s="176" t="s">
        <v>103</v>
      </c>
      <c r="D60" s="176" t="s">
        <v>186</v>
      </c>
      <c r="E60" s="176"/>
      <c r="F60" s="176"/>
      <c r="G60" s="167"/>
      <c r="H60" s="413"/>
      <c r="I60" s="414">
        <v>0</v>
      </c>
      <c r="J60" s="415">
        <f t="shared" ref="J60:J71" si="11">H60*(1+I60)</f>
        <v>0</v>
      </c>
      <c r="K60" s="416">
        <f t="shared" ref="K60:K71" si="12">J60*G60</f>
        <v>0</v>
      </c>
      <c r="M60" s="170" t="s">
        <v>864</v>
      </c>
      <c r="N60" s="170"/>
      <c r="O60" s="170"/>
      <c r="P60" s="170"/>
      <c r="Q60" s="170"/>
      <c r="R60" s="170"/>
      <c r="S60" s="170"/>
      <c r="T60" s="170"/>
      <c r="U60" s="170"/>
      <c r="V60" s="170"/>
      <c r="W60" s="170"/>
      <c r="X60" s="219"/>
    </row>
    <row r="61" spans="1:24">
      <c r="A61" s="37" t="s">
        <v>188</v>
      </c>
      <c r="B61" s="164" t="s">
        <v>189</v>
      </c>
      <c r="C61" s="164" t="s">
        <v>103</v>
      </c>
      <c r="D61" s="164" t="s">
        <v>115</v>
      </c>
      <c r="E61" s="164" t="s">
        <v>841</v>
      </c>
      <c r="F61" s="164" t="s">
        <v>15</v>
      </c>
      <c r="G61" s="161">
        <f>B8</f>
        <v>196289</v>
      </c>
      <c r="H61" s="185">
        <v>20.5</v>
      </c>
      <c r="I61" s="216">
        <v>0</v>
      </c>
      <c r="J61" s="415">
        <f t="shared" si="11"/>
        <v>20.5</v>
      </c>
      <c r="K61" s="416">
        <f t="shared" si="12"/>
        <v>4023924.5</v>
      </c>
      <c r="M61" s="170"/>
      <c r="N61" s="170"/>
      <c r="O61" s="170"/>
      <c r="P61" s="170"/>
      <c r="Q61" s="170"/>
      <c r="R61" s="170"/>
      <c r="S61" s="170"/>
      <c r="T61" s="170"/>
      <c r="U61" s="170"/>
      <c r="V61" s="170"/>
      <c r="W61" s="170"/>
      <c r="X61" s="219"/>
    </row>
    <row r="62" spans="1:24">
      <c r="A62" s="37" t="s">
        <v>190</v>
      </c>
      <c r="B62" s="164" t="s">
        <v>189</v>
      </c>
      <c r="C62" s="164" t="s">
        <v>103</v>
      </c>
      <c r="D62" s="164" t="s">
        <v>115</v>
      </c>
      <c r="E62" s="164" t="s">
        <v>118</v>
      </c>
      <c r="F62" s="164"/>
      <c r="G62" s="161"/>
      <c r="H62" s="185"/>
      <c r="I62" s="216">
        <v>0</v>
      </c>
      <c r="J62" s="415">
        <f t="shared" si="11"/>
        <v>0</v>
      </c>
      <c r="K62" s="416">
        <f t="shared" si="12"/>
        <v>0</v>
      </c>
      <c r="M62" s="170"/>
      <c r="N62" s="170"/>
      <c r="O62" s="170"/>
      <c r="P62" s="170"/>
      <c r="Q62" s="170"/>
      <c r="R62" s="170"/>
      <c r="S62" s="170"/>
      <c r="T62" s="170"/>
      <c r="U62" s="170"/>
      <c r="V62" s="170"/>
      <c r="W62" s="170"/>
      <c r="X62" s="219"/>
    </row>
    <row r="63" spans="1:24">
      <c r="A63" s="37" t="s">
        <v>191</v>
      </c>
      <c r="B63" s="164" t="s">
        <v>192</v>
      </c>
      <c r="C63" s="164" t="s">
        <v>103</v>
      </c>
      <c r="D63" s="164" t="s">
        <v>181</v>
      </c>
      <c r="E63" s="164" t="s">
        <v>118</v>
      </c>
      <c r="F63" s="164"/>
      <c r="G63" s="161"/>
      <c r="H63" s="185"/>
      <c r="I63" s="216">
        <v>0</v>
      </c>
      <c r="J63" s="415">
        <f t="shared" si="11"/>
        <v>0</v>
      </c>
      <c r="K63" s="416">
        <f t="shared" si="12"/>
        <v>0</v>
      </c>
      <c r="M63" s="170"/>
      <c r="N63" s="170"/>
      <c r="O63" s="170"/>
      <c r="P63" s="170"/>
      <c r="Q63" s="170"/>
      <c r="R63" s="170"/>
      <c r="S63" s="170"/>
      <c r="T63" s="170"/>
      <c r="U63" s="170"/>
      <c r="V63" s="170"/>
      <c r="W63" s="170"/>
      <c r="X63" s="219"/>
    </row>
    <row r="64" spans="1:24">
      <c r="A64" s="37" t="s">
        <v>193</v>
      </c>
      <c r="B64" s="164" t="s">
        <v>194</v>
      </c>
      <c r="C64" s="164" t="s">
        <v>103</v>
      </c>
      <c r="D64" s="164" t="s">
        <v>181</v>
      </c>
      <c r="E64" s="164" t="s">
        <v>110</v>
      </c>
      <c r="F64" s="164" t="s">
        <v>121</v>
      </c>
      <c r="G64" s="161">
        <v>1</v>
      </c>
      <c r="H64" s="185">
        <v>2500</v>
      </c>
      <c r="I64" s="216">
        <v>0</v>
      </c>
      <c r="J64" s="415">
        <f t="shared" si="11"/>
        <v>2500</v>
      </c>
      <c r="K64" s="416">
        <f t="shared" si="12"/>
        <v>2500</v>
      </c>
      <c r="M64" s="170"/>
      <c r="N64" s="170"/>
      <c r="O64" s="170"/>
      <c r="P64" s="170"/>
      <c r="Q64" s="170"/>
      <c r="R64" s="170"/>
      <c r="S64" s="170"/>
      <c r="T64" s="170"/>
      <c r="U64" s="170"/>
      <c r="V64" s="170"/>
      <c r="W64" s="170"/>
      <c r="X64" s="219"/>
    </row>
    <row r="65" spans="1:24">
      <c r="A65" s="37" t="s">
        <v>196</v>
      </c>
      <c r="B65" s="164" t="s">
        <v>197</v>
      </c>
      <c r="C65" s="164" t="s">
        <v>103</v>
      </c>
      <c r="D65" s="164" t="s">
        <v>181</v>
      </c>
      <c r="E65" s="164" t="s">
        <v>118</v>
      </c>
      <c r="F65" s="164"/>
      <c r="G65" s="161"/>
      <c r="H65" s="185"/>
      <c r="I65" s="216">
        <v>0</v>
      </c>
      <c r="J65" s="415">
        <f t="shared" si="11"/>
        <v>0</v>
      </c>
      <c r="K65" s="416">
        <f t="shared" si="12"/>
        <v>0</v>
      </c>
      <c r="M65" s="170"/>
      <c r="N65" s="170"/>
      <c r="O65" s="170"/>
      <c r="P65" s="170"/>
      <c r="Q65" s="170"/>
      <c r="R65" s="170"/>
      <c r="S65" s="170"/>
      <c r="T65" s="170"/>
      <c r="U65" s="170"/>
      <c r="V65" s="170"/>
      <c r="W65" s="170"/>
      <c r="X65" s="219"/>
    </row>
    <row r="66" spans="1:24">
      <c r="A66" s="37" t="s">
        <v>198</v>
      </c>
      <c r="B66" s="164" t="s">
        <v>199</v>
      </c>
      <c r="C66" s="164" t="s">
        <v>103</v>
      </c>
      <c r="D66" s="164" t="s">
        <v>115</v>
      </c>
      <c r="E66" s="164" t="s">
        <v>118</v>
      </c>
      <c r="F66" s="164"/>
      <c r="G66" s="161"/>
      <c r="H66" s="185"/>
      <c r="I66" s="216">
        <v>0</v>
      </c>
      <c r="J66" s="415">
        <f t="shared" si="11"/>
        <v>0</v>
      </c>
      <c r="K66" s="416">
        <f t="shared" si="12"/>
        <v>0</v>
      </c>
      <c r="M66" s="170"/>
      <c r="N66" s="170"/>
      <c r="O66" s="170"/>
      <c r="P66" s="170"/>
      <c r="Q66" s="170"/>
      <c r="R66" s="170"/>
      <c r="S66" s="170"/>
      <c r="T66" s="170"/>
      <c r="U66" s="170"/>
      <c r="V66" s="170"/>
      <c r="W66" s="170"/>
      <c r="X66" s="219"/>
    </row>
    <row r="67" spans="1:24">
      <c r="A67" s="37" t="s">
        <v>200</v>
      </c>
      <c r="B67" s="164" t="s">
        <v>199</v>
      </c>
      <c r="C67" s="164" t="s">
        <v>103</v>
      </c>
      <c r="D67" s="164" t="s">
        <v>135</v>
      </c>
      <c r="E67" s="164" t="s">
        <v>118</v>
      </c>
      <c r="F67" s="164"/>
      <c r="G67" s="161"/>
      <c r="H67" s="185"/>
      <c r="I67" s="216">
        <v>0</v>
      </c>
      <c r="J67" s="415">
        <f t="shared" si="11"/>
        <v>0</v>
      </c>
      <c r="K67" s="416">
        <f t="shared" si="12"/>
        <v>0</v>
      </c>
      <c r="M67" s="170"/>
      <c r="N67" s="170"/>
      <c r="O67" s="170"/>
      <c r="P67" s="170"/>
      <c r="Q67" s="170"/>
      <c r="R67" s="170"/>
      <c r="S67" s="170"/>
      <c r="T67" s="170"/>
      <c r="U67" s="170"/>
      <c r="V67" s="170"/>
      <c r="W67" s="170"/>
      <c r="X67" s="219"/>
    </row>
    <row r="68" spans="1:24">
      <c r="A68" s="206" t="s">
        <v>201</v>
      </c>
      <c r="B68" s="164" t="s">
        <v>202</v>
      </c>
      <c r="C68" s="164" t="s">
        <v>103</v>
      </c>
      <c r="D68" s="164" t="s">
        <v>115</v>
      </c>
      <c r="E68" s="164" t="s">
        <v>116</v>
      </c>
      <c r="F68" s="164" t="s">
        <v>187</v>
      </c>
      <c r="G68" s="161">
        <f>$E$8</f>
        <v>194</v>
      </c>
      <c r="H68" s="185">
        <v>3192.5</v>
      </c>
      <c r="I68" s="216">
        <v>0</v>
      </c>
      <c r="J68" s="415">
        <f t="shared" si="11"/>
        <v>3192.5</v>
      </c>
      <c r="K68" s="416">
        <f t="shared" si="12"/>
        <v>619345</v>
      </c>
      <c r="M68" s="170"/>
      <c r="N68" s="170"/>
      <c r="O68" s="170"/>
      <c r="P68" s="170"/>
      <c r="Q68" s="170"/>
      <c r="R68" s="170"/>
      <c r="S68" s="170"/>
      <c r="T68" s="170"/>
      <c r="U68" s="170"/>
      <c r="V68" s="170"/>
      <c r="W68" s="170"/>
      <c r="X68" s="219"/>
    </row>
    <row r="69" spans="1:24">
      <c r="A69" s="37" t="s">
        <v>203</v>
      </c>
      <c r="B69" s="164" t="s">
        <v>202</v>
      </c>
      <c r="C69" s="164" t="s">
        <v>103</v>
      </c>
      <c r="D69" s="164" t="s">
        <v>181</v>
      </c>
      <c r="E69" s="164" t="s">
        <v>116</v>
      </c>
      <c r="F69" s="164" t="s">
        <v>15</v>
      </c>
      <c r="G69" s="161">
        <f>B8</f>
        <v>196289</v>
      </c>
      <c r="H69" s="185">
        <v>0.8</v>
      </c>
      <c r="I69" s="216">
        <v>0</v>
      </c>
      <c r="J69" s="415">
        <f t="shared" si="11"/>
        <v>0.8</v>
      </c>
      <c r="K69" s="416">
        <f t="shared" si="12"/>
        <v>157031.20000000001</v>
      </c>
      <c r="M69" s="170"/>
      <c r="N69" s="170"/>
      <c r="O69" s="170"/>
      <c r="P69" s="170"/>
      <c r="Q69" s="170"/>
      <c r="R69" s="170"/>
      <c r="S69" s="170"/>
      <c r="T69" s="170"/>
      <c r="U69" s="170"/>
      <c r="V69" s="170"/>
      <c r="W69" s="170"/>
      <c r="X69" s="219"/>
    </row>
    <row r="70" spans="1:24">
      <c r="A70" s="37" t="s">
        <v>204</v>
      </c>
      <c r="B70" s="164" t="s">
        <v>205</v>
      </c>
      <c r="C70" s="164" t="s">
        <v>103</v>
      </c>
      <c r="D70" s="164" t="s">
        <v>181</v>
      </c>
      <c r="E70" s="164" t="s">
        <v>110</v>
      </c>
      <c r="F70" s="164" t="s">
        <v>121</v>
      </c>
      <c r="G70" s="161">
        <v>1</v>
      </c>
      <c r="H70" s="185">
        <v>1200</v>
      </c>
      <c r="I70" s="216">
        <v>0</v>
      </c>
      <c r="J70" s="415">
        <f t="shared" si="11"/>
        <v>1200</v>
      </c>
      <c r="K70" s="416">
        <f t="shared" si="12"/>
        <v>1200</v>
      </c>
      <c r="M70" s="170"/>
      <c r="N70" s="170"/>
      <c r="O70" s="170"/>
      <c r="P70" s="170"/>
      <c r="Q70" s="170"/>
      <c r="R70" s="170"/>
      <c r="S70" s="170"/>
      <c r="T70" s="170"/>
      <c r="U70" s="170"/>
      <c r="V70" s="170"/>
      <c r="W70" s="170"/>
      <c r="X70" s="219"/>
    </row>
    <row r="71" spans="1:24">
      <c r="A71" s="37" t="s">
        <v>206</v>
      </c>
      <c r="B71" s="164" t="s">
        <v>207</v>
      </c>
      <c r="C71" s="164" t="s">
        <v>103</v>
      </c>
      <c r="D71" s="164" t="s">
        <v>115</v>
      </c>
      <c r="E71" s="164" t="s">
        <v>118</v>
      </c>
      <c r="F71" s="164"/>
      <c r="G71" s="161"/>
      <c r="H71" s="185"/>
      <c r="I71" s="216">
        <v>0</v>
      </c>
      <c r="J71" s="415">
        <f t="shared" si="11"/>
        <v>0</v>
      </c>
      <c r="K71" s="416">
        <f t="shared" si="12"/>
        <v>0</v>
      </c>
      <c r="M71" s="170"/>
      <c r="N71" s="170"/>
      <c r="O71" s="170"/>
      <c r="P71" s="170"/>
      <c r="Q71" s="170"/>
      <c r="R71" s="170"/>
      <c r="S71" s="170"/>
      <c r="T71" s="170"/>
      <c r="U71" s="170"/>
      <c r="V71" s="170"/>
      <c r="W71" s="170"/>
      <c r="X71" s="219"/>
    </row>
    <row r="72" spans="1:24">
      <c r="A72" s="33" t="s">
        <v>208</v>
      </c>
      <c r="B72" s="305" t="s">
        <v>209</v>
      </c>
      <c r="C72" s="305"/>
      <c r="D72" s="305"/>
      <c r="E72" s="343"/>
      <c r="F72" s="343"/>
      <c r="G72" s="147"/>
      <c r="H72" s="344"/>
      <c r="I72" s="345"/>
      <c r="J72" s="344"/>
      <c r="K72" s="346"/>
      <c r="L72" s="230">
        <f>SUM(K73:K83)</f>
        <v>905486.76</v>
      </c>
      <c r="M72" s="170"/>
      <c r="N72" s="170"/>
      <c r="O72" s="170"/>
      <c r="P72" s="170"/>
      <c r="Q72" s="170"/>
      <c r="R72" s="170"/>
      <c r="S72" s="170"/>
      <c r="T72" s="170"/>
      <c r="U72" s="170"/>
      <c r="V72" s="170"/>
      <c r="W72" s="170"/>
      <c r="X72" s="219"/>
    </row>
    <row r="73" spans="1:24">
      <c r="A73" s="35" t="s">
        <v>210</v>
      </c>
      <c r="B73" s="176" t="s">
        <v>211</v>
      </c>
      <c r="C73" s="176" t="s">
        <v>103</v>
      </c>
      <c r="D73" s="176" t="s">
        <v>115</v>
      </c>
      <c r="E73" s="176" t="s">
        <v>116</v>
      </c>
      <c r="F73" s="176" t="s">
        <v>15</v>
      </c>
      <c r="G73" s="167">
        <f>B8</f>
        <v>196289</v>
      </c>
      <c r="H73" s="413">
        <v>2.7</v>
      </c>
      <c r="I73" s="414">
        <v>0</v>
      </c>
      <c r="J73" s="415">
        <f t="shared" ref="J73:J83" si="13">H73*(1+I73)</f>
        <v>2.7</v>
      </c>
      <c r="K73" s="416">
        <f t="shared" ref="K73:K83" si="14">J73*G73</f>
        <v>529980.30000000005</v>
      </c>
      <c r="M73" s="170" t="s">
        <v>847</v>
      </c>
      <c r="N73" s="170"/>
      <c r="O73" s="170"/>
      <c r="P73" s="170"/>
      <c r="Q73" s="170"/>
      <c r="R73" s="170"/>
      <c r="S73" s="170"/>
      <c r="T73" s="170"/>
      <c r="U73" s="170"/>
      <c r="V73" s="170"/>
      <c r="W73" s="170"/>
      <c r="X73" s="219"/>
    </row>
    <row r="74" spans="1:24">
      <c r="A74" s="37" t="s">
        <v>51</v>
      </c>
      <c r="B74" s="164" t="s">
        <v>212</v>
      </c>
      <c r="C74" s="164" t="s">
        <v>103</v>
      </c>
      <c r="D74" s="164" t="s">
        <v>115</v>
      </c>
      <c r="E74" s="164" t="s">
        <v>116</v>
      </c>
      <c r="F74" s="164" t="s">
        <v>849</v>
      </c>
      <c r="G74" s="161">
        <f>$O$10</f>
        <v>503.63</v>
      </c>
      <c r="H74" s="185">
        <v>603</v>
      </c>
      <c r="I74" s="216">
        <v>0</v>
      </c>
      <c r="J74" s="185">
        <f t="shared" si="13"/>
        <v>603</v>
      </c>
      <c r="K74" s="217">
        <f t="shared" si="14"/>
        <v>303688.89</v>
      </c>
      <c r="M74" s="170"/>
      <c r="N74" s="170"/>
      <c r="O74" s="170"/>
      <c r="P74" s="170"/>
      <c r="Q74" s="170"/>
      <c r="R74" s="170"/>
      <c r="S74" s="170"/>
      <c r="T74" s="170"/>
      <c r="U74" s="170"/>
      <c r="V74" s="170"/>
      <c r="W74" s="170"/>
      <c r="X74" s="219"/>
    </row>
    <row r="75" spans="1:24">
      <c r="A75" s="37" t="s">
        <v>214</v>
      </c>
      <c r="B75" s="164" t="s">
        <v>215</v>
      </c>
      <c r="C75" s="164" t="s">
        <v>103</v>
      </c>
      <c r="D75" s="164" t="s">
        <v>181</v>
      </c>
      <c r="E75" s="164" t="s">
        <v>118</v>
      </c>
      <c r="F75" s="164"/>
      <c r="G75" s="161"/>
      <c r="H75" s="185"/>
      <c r="I75" s="216">
        <v>0</v>
      </c>
      <c r="J75" s="185">
        <f t="shared" si="13"/>
        <v>0</v>
      </c>
      <c r="K75" s="217">
        <f t="shared" si="14"/>
        <v>0</v>
      </c>
      <c r="M75" s="170"/>
      <c r="N75" s="170"/>
      <c r="O75" s="170"/>
      <c r="P75" s="170"/>
      <c r="Q75" s="170"/>
      <c r="R75" s="170"/>
      <c r="S75" s="170"/>
      <c r="T75" s="170"/>
      <c r="U75" s="170"/>
      <c r="V75" s="170"/>
      <c r="W75" s="170"/>
      <c r="X75" s="219"/>
    </row>
    <row r="76" spans="1:24">
      <c r="A76" s="37" t="s">
        <v>216</v>
      </c>
      <c r="B76" s="164" t="s">
        <v>215</v>
      </c>
      <c r="C76" s="164" t="s">
        <v>103</v>
      </c>
      <c r="D76" s="164" t="s">
        <v>123</v>
      </c>
      <c r="E76" s="164" t="s">
        <v>110</v>
      </c>
      <c r="F76" s="164" t="s">
        <v>121</v>
      </c>
      <c r="G76" s="161">
        <v>1</v>
      </c>
      <c r="H76" s="185">
        <v>7500</v>
      </c>
      <c r="I76" s="216">
        <v>0</v>
      </c>
      <c r="J76" s="185">
        <f t="shared" si="13"/>
        <v>7500</v>
      </c>
      <c r="K76" s="217">
        <f t="shared" si="14"/>
        <v>7500</v>
      </c>
      <c r="M76" s="170"/>
      <c r="N76" s="170"/>
      <c r="O76" s="170"/>
      <c r="P76" s="170"/>
      <c r="Q76" s="170"/>
      <c r="R76" s="170"/>
      <c r="S76" s="170"/>
      <c r="T76" s="170"/>
      <c r="U76" s="170"/>
      <c r="V76" s="170"/>
      <c r="W76" s="170"/>
      <c r="X76" s="219"/>
    </row>
    <row r="77" spans="1:24">
      <c r="A77" s="37" t="s">
        <v>217</v>
      </c>
      <c r="B77" s="164" t="s">
        <v>218</v>
      </c>
      <c r="C77" s="164" t="s">
        <v>103</v>
      </c>
      <c r="D77" s="164" t="s">
        <v>135</v>
      </c>
      <c r="E77" s="164" t="s">
        <v>110</v>
      </c>
      <c r="F77" s="164" t="s">
        <v>121</v>
      </c>
      <c r="G77" s="161">
        <f>O7</f>
        <v>1</v>
      </c>
      <c r="H77" s="185">
        <v>7500</v>
      </c>
      <c r="I77" s="216">
        <v>0</v>
      </c>
      <c r="J77" s="185">
        <f t="shared" si="13"/>
        <v>7500</v>
      </c>
      <c r="K77" s="217">
        <f t="shared" si="14"/>
        <v>7500</v>
      </c>
      <c r="M77" s="170"/>
      <c r="N77" s="170"/>
      <c r="O77" s="170"/>
      <c r="P77" s="170"/>
      <c r="Q77" s="170"/>
      <c r="R77" s="170"/>
      <c r="S77" s="170"/>
      <c r="T77" s="170"/>
      <c r="U77" s="170"/>
      <c r="V77" s="170"/>
      <c r="W77" s="170"/>
      <c r="X77" s="219"/>
    </row>
    <row r="78" spans="1:24">
      <c r="A78" s="37" t="s">
        <v>219</v>
      </c>
      <c r="B78" s="164" t="s">
        <v>220</v>
      </c>
      <c r="C78" s="164" t="s">
        <v>103</v>
      </c>
      <c r="D78" s="164" t="s">
        <v>126</v>
      </c>
      <c r="E78" s="164" t="s">
        <v>246</v>
      </c>
      <c r="F78" s="164" t="s">
        <v>32</v>
      </c>
      <c r="G78" s="161">
        <f>$O$5</f>
        <v>4</v>
      </c>
      <c r="H78" s="185">
        <v>5800</v>
      </c>
      <c r="I78" s="216">
        <v>0</v>
      </c>
      <c r="J78" s="185">
        <f t="shared" si="13"/>
        <v>5800</v>
      </c>
      <c r="K78" s="217">
        <f t="shared" si="14"/>
        <v>23200</v>
      </c>
      <c r="M78" s="170"/>
      <c r="N78" s="170"/>
      <c r="O78" s="170"/>
      <c r="P78" s="170"/>
      <c r="Q78" s="170"/>
      <c r="R78" s="170"/>
      <c r="S78" s="170"/>
      <c r="T78" s="170"/>
      <c r="U78" s="170"/>
      <c r="V78" s="170"/>
      <c r="W78" s="170"/>
      <c r="X78" s="219"/>
    </row>
    <row r="79" spans="1:24">
      <c r="A79" s="37" t="s">
        <v>221</v>
      </c>
      <c r="B79" s="164" t="s">
        <v>222</v>
      </c>
      <c r="C79" s="164" t="s">
        <v>103</v>
      </c>
      <c r="D79" s="164" t="s">
        <v>115</v>
      </c>
      <c r="E79" s="164" t="s">
        <v>116</v>
      </c>
      <c r="F79" s="164" t="s">
        <v>15</v>
      </c>
      <c r="G79" s="161">
        <f>$B$8</f>
        <v>196289</v>
      </c>
      <c r="H79" s="185">
        <v>0.08</v>
      </c>
      <c r="I79" s="216">
        <v>0</v>
      </c>
      <c r="J79" s="185">
        <f t="shared" si="13"/>
        <v>0.08</v>
      </c>
      <c r="K79" s="217">
        <f t="shared" si="14"/>
        <v>15703.12</v>
      </c>
      <c r="M79" s="170"/>
      <c r="N79" s="170"/>
      <c r="O79" s="170"/>
      <c r="P79" s="170"/>
      <c r="Q79" s="170"/>
      <c r="R79" s="170"/>
      <c r="S79" s="170"/>
      <c r="T79" s="170"/>
      <c r="U79" s="170"/>
      <c r="V79" s="170"/>
      <c r="W79" s="170"/>
      <c r="X79" s="219"/>
    </row>
    <row r="80" spans="1:24">
      <c r="A80" s="37" t="s">
        <v>223</v>
      </c>
      <c r="B80" s="164" t="s">
        <v>224</v>
      </c>
      <c r="C80" s="164" t="s">
        <v>103</v>
      </c>
      <c r="D80" s="164" t="s">
        <v>115</v>
      </c>
      <c r="E80" s="164" t="s">
        <v>116</v>
      </c>
      <c r="F80" s="164" t="s">
        <v>15</v>
      </c>
      <c r="G80" s="161">
        <f>$B$8</f>
        <v>196289</v>
      </c>
      <c r="H80" s="185">
        <v>0.05</v>
      </c>
      <c r="I80" s="216">
        <v>0</v>
      </c>
      <c r="J80" s="185">
        <f t="shared" si="13"/>
        <v>0.05</v>
      </c>
      <c r="K80" s="217">
        <f t="shared" si="14"/>
        <v>9814.4500000000007</v>
      </c>
      <c r="M80" s="170"/>
      <c r="N80" s="170"/>
      <c r="O80" s="170"/>
      <c r="P80" s="170"/>
      <c r="Q80" s="170"/>
      <c r="R80" s="170"/>
      <c r="S80" s="170"/>
      <c r="T80" s="170"/>
      <c r="U80" s="170"/>
      <c r="V80" s="170"/>
      <c r="W80" s="170"/>
      <c r="X80" s="219"/>
    </row>
    <row r="81" spans="1:24">
      <c r="A81" s="37" t="s">
        <v>225</v>
      </c>
      <c r="B81" s="164" t="s">
        <v>226</v>
      </c>
      <c r="C81" s="164" t="s">
        <v>103</v>
      </c>
      <c r="D81" s="164" t="s">
        <v>115</v>
      </c>
      <c r="E81" s="164" t="s">
        <v>116</v>
      </c>
      <c r="F81" s="164" t="s">
        <v>32</v>
      </c>
      <c r="G81" s="161">
        <f>2*$B$11</f>
        <v>2</v>
      </c>
      <c r="H81" s="185">
        <v>1550</v>
      </c>
      <c r="I81" s="216">
        <v>0</v>
      </c>
      <c r="J81" s="185">
        <f t="shared" si="13"/>
        <v>1550</v>
      </c>
      <c r="K81" s="217">
        <f t="shared" si="14"/>
        <v>3100</v>
      </c>
      <c r="M81" s="170" t="s">
        <v>227</v>
      </c>
      <c r="N81" s="170"/>
      <c r="O81" s="170"/>
      <c r="P81" s="170"/>
      <c r="Q81" s="170"/>
      <c r="R81" s="170"/>
      <c r="S81" s="170"/>
      <c r="T81" s="170"/>
      <c r="U81" s="170"/>
      <c r="V81" s="170"/>
      <c r="W81" s="170"/>
      <c r="X81" s="219"/>
    </row>
    <row r="82" spans="1:24">
      <c r="A82" s="37" t="s">
        <v>228</v>
      </c>
      <c r="B82" s="164" t="s">
        <v>229</v>
      </c>
      <c r="C82" s="164" t="s">
        <v>103</v>
      </c>
      <c r="D82" s="164" t="s">
        <v>115</v>
      </c>
      <c r="E82" s="164" t="s">
        <v>116</v>
      </c>
      <c r="F82" s="164" t="s">
        <v>32</v>
      </c>
      <c r="G82" s="161">
        <f>2*$B$11</f>
        <v>2</v>
      </c>
      <c r="H82" s="185">
        <v>2500</v>
      </c>
      <c r="I82" s="216">
        <v>0</v>
      </c>
      <c r="J82" s="185">
        <f t="shared" si="13"/>
        <v>2500</v>
      </c>
      <c r="K82" s="217">
        <f t="shared" si="14"/>
        <v>5000</v>
      </c>
      <c r="M82" s="170" t="s">
        <v>227</v>
      </c>
      <c r="N82" s="170"/>
      <c r="O82" s="170"/>
      <c r="P82" s="170"/>
      <c r="Q82" s="170"/>
      <c r="R82" s="170"/>
      <c r="S82" s="170"/>
      <c r="T82" s="170"/>
      <c r="U82" s="170"/>
      <c r="V82" s="170"/>
      <c r="W82" s="170"/>
      <c r="X82" s="219"/>
    </row>
    <row r="83" spans="1:24">
      <c r="A83" s="37" t="s">
        <v>230</v>
      </c>
      <c r="B83" s="164" t="s">
        <v>231</v>
      </c>
      <c r="C83" s="164" t="s">
        <v>103</v>
      </c>
      <c r="D83" s="164" t="s">
        <v>115</v>
      </c>
      <c r="E83" s="164" t="s">
        <v>118</v>
      </c>
      <c r="F83" s="164"/>
      <c r="G83" s="161"/>
      <c r="H83" s="185"/>
      <c r="I83" s="216">
        <v>0</v>
      </c>
      <c r="J83" s="185">
        <f t="shared" si="13"/>
        <v>0</v>
      </c>
      <c r="K83" s="217">
        <f t="shared" si="14"/>
        <v>0</v>
      </c>
      <c r="L83" s="109"/>
      <c r="M83" s="170"/>
      <c r="N83" s="170"/>
      <c r="O83" s="170"/>
      <c r="P83" s="170"/>
      <c r="Q83" s="170"/>
      <c r="R83" s="170"/>
      <c r="S83" s="170"/>
      <c r="T83" s="170"/>
      <c r="U83" s="170"/>
      <c r="V83" s="170"/>
      <c r="W83" s="170"/>
      <c r="X83" s="219"/>
    </row>
    <row r="84" spans="1:24">
      <c r="A84" s="33" t="s">
        <v>232</v>
      </c>
      <c r="B84" s="305" t="s">
        <v>233</v>
      </c>
      <c r="C84" s="305"/>
      <c r="D84" s="305"/>
      <c r="E84" s="343"/>
      <c r="F84" s="343"/>
      <c r="G84" s="147"/>
      <c r="H84" s="344"/>
      <c r="I84" s="345"/>
      <c r="J84" s="344"/>
      <c r="K84" s="346"/>
      <c r="L84" s="230">
        <f>SUM(K85:K99)</f>
        <v>279109.57894736843</v>
      </c>
      <c r="M84" s="170"/>
      <c r="N84" s="170"/>
      <c r="O84" s="170"/>
      <c r="P84" s="170"/>
      <c r="Q84" s="170"/>
      <c r="R84" s="170"/>
      <c r="S84" s="170"/>
      <c r="T84" s="170"/>
      <c r="U84" s="170"/>
      <c r="V84" s="170"/>
      <c r="W84" s="170"/>
      <c r="X84" s="219"/>
    </row>
    <row r="85" spans="1:24">
      <c r="A85" s="35" t="s">
        <v>184</v>
      </c>
      <c r="B85" s="176" t="s">
        <v>234</v>
      </c>
      <c r="C85" s="176" t="s">
        <v>103</v>
      </c>
      <c r="D85" s="176" t="s">
        <v>186</v>
      </c>
      <c r="E85" s="176"/>
      <c r="F85" s="176"/>
      <c r="G85" s="167"/>
      <c r="H85" s="413"/>
      <c r="I85" s="414">
        <v>0</v>
      </c>
      <c r="J85" s="415">
        <f t="shared" ref="J85:J99" si="15">H85*(1+I85)</f>
        <v>0</v>
      </c>
      <c r="K85" s="416">
        <f t="shared" ref="K85:K99" si="16">J85*G85</f>
        <v>0</v>
      </c>
      <c r="M85" s="170" t="s">
        <v>910</v>
      </c>
      <c r="N85" s="170"/>
      <c r="O85" s="170"/>
      <c r="P85" s="170"/>
      <c r="Q85" s="170"/>
      <c r="R85" s="170"/>
      <c r="S85" s="170"/>
      <c r="T85" s="170"/>
      <c r="U85" s="170"/>
      <c r="V85" s="170"/>
      <c r="W85" s="170"/>
      <c r="X85" s="219"/>
    </row>
    <row r="86" spans="1:24">
      <c r="A86" s="37" t="s">
        <v>236</v>
      </c>
      <c r="B86" s="164" t="s">
        <v>237</v>
      </c>
      <c r="C86" s="164" t="s">
        <v>103</v>
      </c>
      <c r="D86" s="164" t="s">
        <v>181</v>
      </c>
      <c r="E86" s="164" t="s">
        <v>110</v>
      </c>
      <c r="F86" s="164" t="s">
        <v>32</v>
      </c>
      <c r="G86" s="161">
        <v>1</v>
      </c>
      <c r="H86" s="185">
        <v>8000</v>
      </c>
      <c r="I86" s="216">
        <v>0</v>
      </c>
      <c r="J86" s="185">
        <f t="shared" si="15"/>
        <v>8000</v>
      </c>
      <c r="K86" s="217">
        <f t="shared" si="16"/>
        <v>8000</v>
      </c>
      <c r="M86" s="170"/>
      <c r="N86" s="170"/>
      <c r="O86" s="170"/>
      <c r="P86" s="170"/>
      <c r="Q86" s="170"/>
      <c r="R86" s="170"/>
      <c r="S86" s="170"/>
      <c r="T86" s="170"/>
      <c r="U86" s="170"/>
      <c r="V86" s="170"/>
      <c r="W86" s="170"/>
      <c r="X86" s="219"/>
    </row>
    <row r="87" spans="1:24">
      <c r="A87" s="37" t="s">
        <v>238</v>
      </c>
      <c r="B87" s="164" t="s">
        <v>239</v>
      </c>
      <c r="C87" s="164" t="s">
        <v>103</v>
      </c>
      <c r="D87" s="164" t="s">
        <v>181</v>
      </c>
      <c r="E87" s="164" t="s">
        <v>240</v>
      </c>
      <c r="F87" s="164"/>
      <c r="G87" s="161"/>
      <c r="H87" s="185"/>
      <c r="I87" s="216">
        <v>0</v>
      </c>
      <c r="J87" s="185">
        <f t="shared" si="15"/>
        <v>0</v>
      </c>
      <c r="K87" s="217">
        <f t="shared" si="16"/>
        <v>0</v>
      </c>
      <c r="M87" s="170"/>
      <c r="N87" s="170"/>
      <c r="O87" s="170"/>
      <c r="P87" s="170"/>
      <c r="Q87" s="170"/>
      <c r="R87" s="170"/>
      <c r="S87" s="170"/>
      <c r="T87" s="170"/>
      <c r="U87" s="170"/>
      <c r="V87" s="170"/>
      <c r="W87" s="170"/>
      <c r="X87" s="219"/>
    </row>
    <row r="88" spans="1:24">
      <c r="A88" s="37" t="s">
        <v>241</v>
      </c>
      <c r="B88" s="164" t="s">
        <v>239</v>
      </c>
      <c r="C88" s="164" t="s">
        <v>103</v>
      </c>
      <c r="D88" s="164" t="s">
        <v>115</v>
      </c>
      <c r="E88" s="164" t="s">
        <v>118</v>
      </c>
      <c r="F88" s="164"/>
      <c r="G88" s="161"/>
      <c r="H88" s="185"/>
      <c r="I88" s="216">
        <v>0</v>
      </c>
      <c r="J88" s="185">
        <f t="shared" si="15"/>
        <v>0</v>
      </c>
      <c r="K88" s="217">
        <f t="shared" si="16"/>
        <v>0</v>
      </c>
      <c r="M88" s="170"/>
      <c r="N88" s="170"/>
      <c r="O88" s="170"/>
      <c r="P88" s="170"/>
      <c r="Q88" s="170"/>
      <c r="R88" s="170"/>
      <c r="S88" s="170"/>
      <c r="T88" s="170"/>
      <c r="U88" s="170"/>
      <c r="V88" s="170"/>
      <c r="W88" s="170"/>
      <c r="X88" s="219"/>
    </row>
    <row r="89" spans="1:24">
      <c r="A89" s="37" t="s">
        <v>242</v>
      </c>
      <c r="B89" s="164" t="s">
        <v>243</v>
      </c>
      <c r="C89" s="164" t="s">
        <v>103</v>
      </c>
      <c r="D89" s="164" t="s">
        <v>115</v>
      </c>
      <c r="E89" s="164" t="s">
        <v>118</v>
      </c>
      <c r="F89" s="164"/>
      <c r="G89" s="161"/>
      <c r="H89" s="185"/>
      <c r="I89" s="216">
        <v>0</v>
      </c>
      <c r="J89" s="185">
        <f t="shared" si="15"/>
        <v>0</v>
      </c>
      <c r="K89" s="217">
        <f t="shared" si="16"/>
        <v>0</v>
      </c>
      <c r="M89" s="170"/>
      <c r="N89" s="170"/>
      <c r="O89" s="170"/>
      <c r="P89" s="170"/>
      <c r="Q89" s="170"/>
      <c r="R89" s="170"/>
      <c r="S89" s="170"/>
      <c r="T89" s="170"/>
      <c r="U89" s="170"/>
      <c r="V89" s="170"/>
      <c r="W89" s="170"/>
      <c r="X89" s="219"/>
    </row>
    <row r="90" spans="1:24">
      <c r="A90" s="37" t="s">
        <v>244</v>
      </c>
      <c r="B90" s="164" t="s">
        <v>245</v>
      </c>
      <c r="C90" s="164" t="s">
        <v>103</v>
      </c>
      <c r="D90" s="164" t="s">
        <v>115</v>
      </c>
      <c r="E90" s="164" t="s">
        <v>116</v>
      </c>
      <c r="F90" s="164" t="s">
        <v>235</v>
      </c>
      <c r="G90" s="167">
        <f>$E$8</f>
        <v>194</v>
      </c>
      <c r="H90" s="185">
        <v>1157.8947368421052</v>
      </c>
      <c r="I90" s="216">
        <v>0</v>
      </c>
      <c r="J90" s="185">
        <f t="shared" si="15"/>
        <v>1157.8947368421052</v>
      </c>
      <c r="K90" s="217">
        <f t="shared" si="16"/>
        <v>224631.5789473684</v>
      </c>
      <c r="M90" s="170"/>
      <c r="N90" s="170"/>
      <c r="O90" s="170"/>
      <c r="P90" s="170"/>
      <c r="Q90" s="170"/>
      <c r="R90" s="170"/>
      <c r="S90" s="170"/>
      <c r="T90" s="170"/>
      <c r="U90" s="170"/>
      <c r="V90" s="170"/>
      <c r="W90" s="170"/>
      <c r="X90" s="219"/>
    </row>
    <row r="91" spans="1:24">
      <c r="A91" s="37" t="s">
        <v>248</v>
      </c>
      <c r="B91" s="164" t="s">
        <v>245</v>
      </c>
      <c r="C91" s="164" t="s">
        <v>120</v>
      </c>
      <c r="D91" s="164" t="s">
        <v>115</v>
      </c>
      <c r="E91" s="164" t="s">
        <v>110</v>
      </c>
      <c r="F91" s="164" t="s">
        <v>235</v>
      </c>
      <c r="G91" s="167">
        <f>$E$8</f>
        <v>194</v>
      </c>
      <c r="H91" s="185">
        <v>75</v>
      </c>
      <c r="I91" s="216">
        <v>0</v>
      </c>
      <c r="J91" s="185">
        <f t="shared" si="15"/>
        <v>75</v>
      </c>
      <c r="K91" s="217">
        <f t="shared" si="16"/>
        <v>14550</v>
      </c>
      <c r="M91" s="170"/>
      <c r="N91" s="170"/>
      <c r="O91" s="170"/>
      <c r="P91" s="170"/>
      <c r="Q91" s="170"/>
      <c r="R91" s="170"/>
      <c r="S91" s="170"/>
      <c r="T91" s="170"/>
      <c r="U91" s="170"/>
      <c r="V91" s="170"/>
      <c r="W91" s="170"/>
      <c r="X91" s="219"/>
    </row>
    <row r="92" spans="1:24">
      <c r="A92" s="37" t="s">
        <v>249</v>
      </c>
      <c r="B92" s="164" t="s">
        <v>250</v>
      </c>
      <c r="C92" s="164" t="s">
        <v>103</v>
      </c>
      <c r="D92" s="164" t="s">
        <v>135</v>
      </c>
      <c r="E92" s="164" t="s">
        <v>118</v>
      </c>
      <c r="F92" s="164"/>
      <c r="G92" s="161"/>
      <c r="H92" s="185"/>
      <c r="I92" s="216">
        <v>0</v>
      </c>
      <c r="J92" s="185">
        <f t="shared" si="15"/>
        <v>0</v>
      </c>
      <c r="K92" s="217">
        <f t="shared" si="16"/>
        <v>0</v>
      </c>
      <c r="M92" s="170"/>
      <c r="N92" s="170"/>
      <c r="O92" s="170"/>
      <c r="P92" s="170"/>
      <c r="Q92" s="170"/>
      <c r="R92" s="170"/>
      <c r="S92" s="170"/>
      <c r="T92" s="170"/>
      <c r="U92" s="170"/>
      <c r="V92" s="170"/>
      <c r="W92" s="170"/>
      <c r="X92" s="219"/>
    </row>
    <row r="93" spans="1:24">
      <c r="A93" s="37" t="s">
        <v>251</v>
      </c>
      <c r="B93" s="164" t="s">
        <v>252</v>
      </c>
      <c r="C93" s="164" t="s">
        <v>103</v>
      </c>
      <c r="D93" s="164" t="s">
        <v>130</v>
      </c>
      <c r="E93" s="164" t="s">
        <v>118</v>
      </c>
      <c r="F93" s="164"/>
      <c r="G93" s="161"/>
      <c r="H93" s="185"/>
      <c r="I93" s="216">
        <v>0</v>
      </c>
      <c r="J93" s="185">
        <f t="shared" si="15"/>
        <v>0</v>
      </c>
      <c r="K93" s="217">
        <f t="shared" si="16"/>
        <v>0</v>
      </c>
      <c r="M93" s="170"/>
      <c r="N93" s="170"/>
      <c r="O93" s="170"/>
      <c r="P93" s="170"/>
      <c r="Q93" s="170"/>
      <c r="R93" s="170"/>
      <c r="S93" s="170"/>
      <c r="T93" s="170"/>
      <c r="U93" s="170"/>
      <c r="V93" s="170"/>
      <c r="W93" s="170"/>
      <c r="X93" s="219"/>
    </row>
    <row r="94" spans="1:24">
      <c r="A94" s="37" t="s">
        <v>253</v>
      </c>
      <c r="B94" s="164" t="s">
        <v>254</v>
      </c>
      <c r="C94" s="164" t="s">
        <v>103</v>
      </c>
      <c r="D94" s="164" t="s">
        <v>115</v>
      </c>
      <c r="E94" s="164" t="s">
        <v>118</v>
      </c>
      <c r="F94" s="164"/>
      <c r="G94" s="161"/>
      <c r="H94" s="185"/>
      <c r="I94" s="216">
        <v>0</v>
      </c>
      <c r="J94" s="185">
        <f t="shared" si="15"/>
        <v>0</v>
      </c>
      <c r="K94" s="217">
        <f t="shared" si="16"/>
        <v>0</v>
      </c>
      <c r="M94" s="170"/>
      <c r="N94" s="170"/>
      <c r="O94" s="170"/>
      <c r="P94" s="170"/>
      <c r="Q94" s="170"/>
      <c r="R94" s="170"/>
      <c r="S94" s="170"/>
      <c r="T94" s="170"/>
      <c r="U94" s="170"/>
      <c r="V94" s="170"/>
      <c r="W94" s="170"/>
      <c r="X94" s="219"/>
    </row>
    <row r="95" spans="1:24">
      <c r="A95" s="37" t="s">
        <v>255</v>
      </c>
      <c r="B95" s="164" t="s">
        <v>256</v>
      </c>
      <c r="C95" s="164" t="s">
        <v>103</v>
      </c>
      <c r="D95" s="164" t="s">
        <v>115</v>
      </c>
      <c r="E95" s="164" t="s">
        <v>118</v>
      </c>
      <c r="F95" s="164"/>
      <c r="G95" s="161"/>
      <c r="H95" s="185"/>
      <c r="I95" s="216">
        <v>0</v>
      </c>
      <c r="J95" s="185">
        <f t="shared" si="15"/>
        <v>0</v>
      </c>
      <c r="K95" s="217">
        <f t="shared" si="16"/>
        <v>0</v>
      </c>
      <c r="M95" s="170"/>
      <c r="N95" s="170"/>
      <c r="O95" s="170"/>
      <c r="P95" s="170"/>
      <c r="Q95" s="170"/>
      <c r="R95" s="170"/>
      <c r="S95" s="170"/>
      <c r="T95" s="170"/>
      <c r="U95" s="170"/>
      <c r="V95" s="170"/>
      <c r="W95" s="170"/>
      <c r="X95" s="219"/>
    </row>
    <row r="96" spans="1:24">
      <c r="A96" s="37" t="s">
        <v>257</v>
      </c>
      <c r="B96" s="164" t="s">
        <v>258</v>
      </c>
      <c r="C96" s="164" t="s">
        <v>103</v>
      </c>
      <c r="D96" s="164" t="s">
        <v>115</v>
      </c>
      <c r="E96" s="164" t="s">
        <v>118</v>
      </c>
      <c r="F96" s="164"/>
      <c r="G96" s="161"/>
      <c r="H96" s="185"/>
      <c r="I96" s="216">
        <v>0</v>
      </c>
      <c r="J96" s="185">
        <f t="shared" si="15"/>
        <v>0</v>
      </c>
      <c r="K96" s="217">
        <f t="shared" si="16"/>
        <v>0</v>
      </c>
      <c r="M96" s="170"/>
      <c r="N96" s="170"/>
      <c r="O96" s="170"/>
      <c r="P96" s="170"/>
      <c r="Q96" s="170"/>
      <c r="R96" s="170"/>
      <c r="S96" s="170"/>
      <c r="T96" s="170"/>
      <c r="U96" s="170"/>
      <c r="V96" s="170"/>
      <c r="W96" s="170"/>
      <c r="X96" s="219"/>
    </row>
    <row r="97" spans="1:24">
      <c r="A97" s="37" t="s">
        <v>259</v>
      </c>
      <c r="B97" s="164" t="s">
        <v>256</v>
      </c>
      <c r="C97" s="164" t="s">
        <v>103</v>
      </c>
      <c r="D97" s="164" t="s">
        <v>115</v>
      </c>
      <c r="E97" s="164" t="s">
        <v>118</v>
      </c>
      <c r="F97" s="164"/>
      <c r="G97" s="161"/>
      <c r="H97" s="185"/>
      <c r="I97" s="216">
        <v>0</v>
      </c>
      <c r="J97" s="185">
        <f t="shared" si="15"/>
        <v>0</v>
      </c>
      <c r="K97" s="217">
        <f t="shared" si="16"/>
        <v>0</v>
      </c>
      <c r="M97" s="170"/>
      <c r="N97" s="170"/>
      <c r="O97" s="170"/>
      <c r="P97" s="170"/>
      <c r="Q97" s="170"/>
      <c r="R97" s="170"/>
      <c r="S97" s="170"/>
      <c r="T97" s="170"/>
      <c r="U97" s="170"/>
      <c r="V97" s="170"/>
      <c r="W97" s="170"/>
      <c r="X97" s="219"/>
    </row>
    <row r="98" spans="1:24">
      <c r="A98" s="37" t="s">
        <v>260</v>
      </c>
      <c r="B98" s="164" t="s">
        <v>256</v>
      </c>
      <c r="C98" s="164" t="s">
        <v>103</v>
      </c>
      <c r="D98" s="164" t="s">
        <v>115</v>
      </c>
      <c r="E98" s="164" t="s">
        <v>195</v>
      </c>
      <c r="F98" s="164" t="s">
        <v>187</v>
      </c>
      <c r="G98" s="167">
        <f>E8</f>
        <v>194</v>
      </c>
      <c r="H98" s="185">
        <v>162</v>
      </c>
      <c r="I98" s="216">
        <v>0</v>
      </c>
      <c r="J98" s="185">
        <f t="shared" si="15"/>
        <v>162</v>
      </c>
      <c r="K98" s="217">
        <f>J98*G98</f>
        <v>31428</v>
      </c>
      <c r="M98" s="170"/>
      <c r="N98" s="170"/>
      <c r="O98" s="170"/>
      <c r="P98" s="170"/>
      <c r="Q98" s="170"/>
      <c r="R98" s="170"/>
      <c r="S98" s="170"/>
      <c r="T98" s="170"/>
      <c r="U98" s="170"/>
      <c r="V98" s="170"/>
      <c r="W98" s="170"/>
      <c r="X98" s="219"/>
    </row>
    <row r="99" spans="1:24">
      <c r="A99" s="37" t="s">
        <v>261</v>
      </c>
      <c r="B99" s="164" t="s">
        <v>256</v>
      </c>
      <c r="C99" s="164" t="s">
        <v>103</v>
      </c>
      <c r="D99" s="164" t="s">
        <v>115</v>
      </c>
      <c r="E99" s="164" t="s">
        <v>110</v>
      </c>
      <c r="F99" s="164" t="s">
        <v>32</v>
      </c>
      <c r="G99" s="161">
        <v>2</v>
      </c>
      <c r="H99" s="185">
        <v>250</v>
      </c>
      <c r="I99" s="216">
        <v>0</v>
      </c>
      <c r="J99" s="185">
        <f t="shared" si="15"/>
        <v>250</v>
      </c>
      <c r="K99" s="217">
        <f t="shared" si="16"/>
        <v>500</v>
      </c>
      <c r="M99" s="170"/>
      <c r="N99" s="170"/>
      <c r="O99" s="170"/>
      <c r="P99" s="170"/>
      <c r="Q99" s="170"/>
      <c r="R99" s="170"/>
      <c r="S99" s="170"/>
      <c r="T99" s="170"/>
      <c r="U99" s="170"/>
      <c r="V99" s="170"/>
      <c r="W99" s="170"/>
      <c r="X99" s="219"/>
    </row>
    <row r="100" spans="1:24">
      <c r="A100" s="33" t="s">
        <v>262</v>
      </c>
      <c r="B100" s="305" t="s">
        <v>263</v>
      </c>
      <c r="C100" s="305"/>
      <c r="D100" s="305"/>
      <c r="E100" s="343"/>
      <c r="F100" s="343"/>
      <c r="G100" s="147"/>
      <c r="H100" s="344"/>
      <c r="I100" s="345"/>
      <c r="J100" s="344"/>
      <c r="K100" s="346"/>
      <c r="L100" s="230">
        <f>SUM(K101:K136)</f>
        <v>3261602.3529548887</v>
      </c>
      <c r="M100" s="170"/>
      <c r="N100" s="170"/>
      <c r="O100" s="170"/>
      <c r="P100" s="170"/>
      <c r="Q100" s="170"/>
      <c r="R100" s="170"/>
      <c r="S100" s="170"/>
      <c r="T100" s="170"/>
      <c r="U100" s="170"/>
      <c r="V100" s="170"/>
      <c r="W100" s="170"/>
      <c r="X100" s="219"/>
    </row>
    <row r="101" spans="1:24">
      <c r="A101" s="35" t="s">
        <v>264</v>
      </c>
      <c r="B101" s="176" t="s">
        <v>265</v>
      </c>
      <c r="C101" s="176" t="s">
        <v>103</v>
      </c>
      <c r="D101" s="176" t="s">
        <v>115</v>
      </c>
      <c r="E101" s="176" t="s">
        <v>118</v>
      </c>
      <c r="F101" s="176"/>
      <c r="G101" s="167"/>
      <c r="H101" s="413"/>
      <c r="I101" s="414">
        <v>0</v>
      </c>
      <c r="J101" s="415">
        <f t="shared" ref="J101:J136" si="17">H101*(1+I101)</f>
        <v>0</v>
      </c>
      <c r="K101" s="416">
        <f t="shared" ref="K101:K136" si="18">J101*G101</f>
        <v>0</v>
      </c>
      <c r="M101" s="170"/>
      <c r="N101" s="170"/>
      <c r="O101" s="170"/>
      <c r="P101" s="170"/>
      <c r="Q101" s="170"/>
      <c r="R101" s="170"/>
      <c r="S101" s="170"/>
      <c r="T101" s="170"/>
      <c r="U101" s="170"/>
      <c r="V101" s="170"/>
      <c r="W101" s="170"/>
      <c r="X101" s="219"/>
    </row>
    <row r="102" spans="1:24">
      <c r="A102" s="37" t="s">
        <v>850</v>
      </c>
      <c r="B102" s="164" t="s">
        <v>268</v>
      </c>
      <c r="C102" s="164" t="s">
        <v>103</v>
      </c>
      <c r="D102" s="164" t="s">
        <v>115</v>
      </c>
      <c r="E102" s="164" t="s">
        <v>110</v>
      </c>
      <c r="F102" s="164" t="s">
        <v>121</v>
      </c>
      <c r="G102" s="161">
        <v>1</v>
      </c>
      <c r="H102" s="185">
        <v>10000</v>
      </c>
      <c r="I102" s="216">
        <v>0</v>
      </c>
      <c r="J102" s="185">
        <f t="shared" si="17"/>
        <v>10000</v>
      </c>
      <c r="K102" s="217">
        <f t="shared" si="18"/>
        <v>10000</v>
      </c>
      <c r="M102" s="170"/>
      <c r="N102" s="170"/>
      <c r="O102" s="170"/>
      <c r="P102" s="170"/>
      <c r="Q102" s="170"/>
      <c r="R102" s="170"/>
      <c r="S102" s="170"/>
      <c r="T102" s="170"/>
      <c r="U102" s="170"/>
      <c r="V102" s="170"/>
      <c r="W102" s="170"/>
      <c r="X102" s="219"/>
    </row>
    <row r="103" spans="1:24">
      <c r="A103" s="37" t="s">
        <v>269</v>
      </c>
      <c r="B103" s="164" t="s">
        <v>270</v>
      </c>
      <c r="C103" s="164" t="s">
        <v>103</v>
      </c>
      <c r="D103" s="164" t="s">
        <v>115</v>
      </c>
      <c r="E103" s="164" t="s">
        <v>116</v>
      </c>
      <c r="F103" s="164" t="s">
        <v>15</v>
      </c>
      <c r="G103" s="161">
        <f t="shared" ref="G103:G130" si="19">$B$8</f>
        <v>196289</v>
      </c>
      <c r="H103" s="185">
        <v>0.85</v>
      </c>
      <c r="I103" s="216">
        <v>0</v>
      </c>
      <c r="J103" s="185">
        <f t="shared" si="17"/>
        <v>0.85</v>
      </c>
      <c r="K103" s="217">
        <f t="shared" si="18"/>
        <v>166845.65</v>
      </c>
      <c r="M103" s="170" t="s">
        <v>851</v>
      </c>
      <c r="N103" s="170"/>
      <c r="O103" s="170"/>
      <c r="P103" s="170"/>
      <c r="Q103" s="170"/>
      <c r="R103" s="170"/>
      <c r="S103" s="170"/>
      <c r="T103" s="170"/>
      <c r="U103" s="170"/>
      <c r="V103" s="170"/>
      <c r="W103" s="170"/>
      <c r="X103" s="219"/>
    </row>
    <row r="104" spans="1:24">
      <c r="A104" s="37" t="s">
        <v>852</v>
      </c>
      <c r="B104" s="164" t="s">
        <v>272</v>
      </c>
      <c r="C104" s="164" t="s">
        <v>103</v>
      </c>
      <c r="D104" s="164" t="s">
        <v>115</v>
      </c>
      <c r="E104" s="164" t="s">
        <v>110</v>
      </c>
      <c r="F104" s="164" t="s">
        <v>121</v>
      </c>
      <c r="G104" s="161">
        <v>1</v>
      </c>
      <c r="H104" s="185">
        <v>50000</v>
      </c>
      <c r="I104" s="216">
        <v>0</v>
      </c>
      <c r="J104" s="185">
        <f t="shared" si="17"/>
        <v>50000</v>
      </c>
      <c r="K104" s="217">
        <f t="shared" si="18"/>
        <v>50000</v>
      </c>
      <c r="M104" s="170"/>
      <c r="N104" s="170"/>
      <c r="O104" s="170"/>
      <c r="P104" s="170"/>
      <c r="Q104" s="170"/>
      <c r="R104" s="170"/>
      <c r="S104" s="170"/>
      <c r="T104" s="170"/>
      <c r="U104" s="170"/>
      <c r="V104" s="170"/>
      <c r="W104" s="170"/>
      <c r="X104" s="219"/>
    </row>
    <row r="105" spans="1:24">
      <c r="A105" s="37" t="s">
        <v>184</v>
      </c>
      <c r="B105" s="164" t="s">
        <v>273</v>
      </c>
      <c r="C105" s="164" t="s">
        <v>103</v>
      </c>
      <c r="D105" s="164" t="s">
        <v>186</v>
      </c>
      <c r="E105" s="164" t="s">
        <v>110</v>
      </c>
      <c r="F105" s="164" t="s">
        <v>187</v>
      </c>
      <c r="G105" s="167">
        <f>$E$8</f>
        <v>194</v>
      </c>
      <c r="H105" s="185">
        <v>79</v>
      </c>
      <c r="I105" s="216">
        <v>0</v>
      </c>
      <c r="J105" s="185">
        <f t="shared" si="17"/>
        <v>79</v>
      </c>
      <c r="K105" s="217">
        <f t="shared" si="18"/>
        <v>15326</v>
      </c>
      <c r="M105" s="170"/>
      <c r="N105" s="170"/>
      <c r="O105" s="170"/>
      <c r="P105" s="170"/>
      <c r="Q105" s="170"/>
      <c r="R105" s="170"/>
      <c r="S105" s="170"/>
      <c r="T105" s="170"/>
      <c r="U105" s="170"/>
      <c r="V105" s="170"/>
      <c r="W105" s="170"/>
      <c r="X105" s="219"/>
    </row>
    <row r="106" spans="1:24">
      <c r="A106" s="37" t="s">
        <v>275</v>
      </c>
      <c r="B106" s="164" t="s">
        <v>276</v>
      </c>
      <c r="C106" s="164" t="s">
        <v>103</v>
      </c>
      <c r="D106" s="164" t="s">
        <v>109</v>
      </c>
      <c r="E106" s="164" t="s">
        <v>110</v>
      </c>
      <c r="F106" s="164" t="s">
        <v>121</v>
      </c>
      <c r="G106" s="161">
        <v>1</v>
      </c>
      <c r="H106" s="185">
        <v>10000</v>
      </c>
      <c r="I106" s="216">
        <v>0</v>
      </c>
      <c r="J106" s="185">
        <f>H106*(1+I106)</f>
        <v>10000</v>
      </c>
      <c r="K106" s="217">
        <f t="shared" si="18"/>
        <v>10000</v>
      </c>
      <c r="M106" s="170" t="s">
        <v>853</v>
      </c>
      <c r="N106" s="170"/>
      <c r="O106" s="170"/>
      <c r="P106" s="170"/>
      <c r="Q106" s="170"/>
      <c r="R106" s="170"/>
      <c r="S106" s="170"/>
      <c r="T106" s="170"/>
      <c r="U106" s="170"/>
      <c r="V106" s="170"/>
      <c r="W106" s="170"/>
      <c r="X106" s="219"/>
    </row>
    <row r="107" spans="1:24">
      <c r="A107" s="37" t="s">
        <v>58</v>
      </c>
      <c r="B107" s="164" t="s">
        <v>277</v>
      </c>
      <c r="C107" s="164" t="s">
        <v>103</v>
      </c>
      <c r="D107" s="164" t="s">
        <v>115</v>
      </c>
      <c r="E107" s="164" t="s">
        <v>116</v>
      </c>
      <c r="F107" s="164" t="s">
        <v>278</v>
      </c>
      <c r="G107" s="161">
        <f>O11</f>
        <v>11824</v>
      </c>
      <c r="H107" s="185">
        <v>40.82</v>
      </c>
      <c r="I107" s="216">
        <v>0</v>
      </c>
      <c r="J107" s="185">
        <f t="shared" si="17"/>
        <v>40.82</v>
      </c>
      <c r="K107" s="217">
        <f t="shared" si="18"/>
        <v>482655.68</v>
      </c>
      <c r="M107" s="170" t="s">
        <v>854</v>
      </c>
      <c r="N107" s="170"/>
      <c r="O107" s="170"/>
      <c r="P107" s="170"/>
      <c r="Q107" s="170"/>
      <c r="R107" s="170"/>
      <c r="S107" s="170"/>
      <c r="T107" s="170"/>
      <c r="U107" s="170"/>
      <c r="V107" s="170"/>
      <c r="W107" s="170"/>
      <c r="X107" s="219"/>
    </row>
    <row r="108" spans="1:24">
      <c r="A108" s="37" t="s">
        <v>280</v>
      </c>
      <c r="B108" s="164" t="s">
        <v>277</v>
      </c>
      <c r="C108" s="164" t="s">
        <v>281</v>
      </c>
      <c r="D108" s="164" t="s">
        <v>123</v>
      </c>
      <c r="E108" s="164" t="s">
        <v>110</v>
      </c>
      <c r="F108" s="164" t="s">
        <v>121</v>
      </c>
      <c r="G108" s="161">
        <f>O15</f>
        <v>1</v>
      </c>
      <c r="H108" s="185">
        <v>6000</v>
      </c>
      <c r="I108" s="216">
        <v>0</v>
      </c>
      <c r="J108" s="185">
        <f t="shared" si="17"/>
        <v>6000</v>
      </c>
      <c r="K108" s="217">
        <f t="shared" si="18"/>
        <v>6000</v>
      </c>
      <c r="M108" s="170"/>
      <c r="N108" s="170"/>
      <c r="O108" s="170"/>
      <c r="P108" s="170"/>
      <c r="Q108" s="170"/>
      <c r="R108" s="170"/>
      <c r="S108" s="170"/>
      <c r="T108" s="170"/>
      <c r="U108" s="170"/>
      <c r="V108" s="170"/>
      <c r="W108" s="170"/>
      <c r="X108" s="219"/>
    </row>
    <row r="109" spans="1:24">
      <c r="A109" s="37" t="s">
        <v>282</v>
      </c>
      <c r="B109" s="164" t="s">
        <v>283</v>
      </c>
      <c r="C109" s="164" t="s">
        <v>103</v>
      </c>
      <c r="D109" s="164" t="s">
        <v>130</v>
      </c>
      <c r="E109" s="164" t="s">
        <v>118</v>
      </c>
      <c r="F109" s="164"/>
      <c r="G109" s="161"/>
      <c r="H109" s="185"/>
      <c r="I109" s="216">
        <v>0</v>
      </c>
      <c r="J109" s="185">
        <f t="shared" si="17"/>
        <v>0</v>
      </c>
      <c r="K109" s="217">
        <f t="shared" si="18"/>
        <v>0</v>
      </c>
      <c r="M109" s="170"/>
      <c r="N109" s="170"/>
      <c r="O109" s="170"/>
      <c r="P109" s="170"/>
      <c r="Q109" s="170"/>
      <c r="R109" s="170"/>
      <c r="S109" s="170"/>
      <c r="T109" s="170"/>
      <c r="U109" s="170"/>
      <c r="V109" s="170"/>
      <c r="W109" s="170"/>
      <c r="X109" s="219"/>
    </row>
    <row r="110" spans="1:24">
      <c r="A110" s="37" t="s">
        <v>284</v>
      </c>
      <c r="B110" s="164" t="s">
        <v>285</v>
      </c>
      <c r="C110" s="164" t="s">
        <v>281</v>
      </c>
      <c r="D110" s="164" t="s">
        <v>130</v>
      </c>
      <c r="E110" s="164" t="s">
        <v>110</v>
      </c>
      <c r="F110" s="164" t="s">
        <v>121</v>
      </c>
      <c r="G110" s="161">
        <f>$O$7</f>
        <v>1</v>
      </c>
      <c r="H110" s="185">
        <v>2000</v>
      </c>
      <c r="I110" s="216">
        <v>0</v>
      </c>
      <c r="J110" s="185">
        <f t="shared" si="17"/>
        <v>2000</v>
      </c>
      <c r="K110" s="217">
        <f t="shared" si="18"/>
        <v>2000</v>
      </c>
      <c r="M110" s="170"/>
      <c r="N110" s="170"/>
      <c r="O110" s="170"/>
      <c r="P110" s="170"/>
      <c r="Q110" s="170"/>
      <c r="R110" s="170"/>
      <c r="S110" s="170"/>
      <c r="T110" s="170"/>
      <c r="U110" s="170"/>
      <c r="V110" s="170"/>
      <c r="W110" s="170"/>
      <c r="X110" s="219"/>
    </row>
    <row r="111" spans="1:24">
      <c r="A111" s="37" t="s">
        <v>286</v>
      </c>
      <c r="B111" s="164" t="s">
        <v>287</v>
      </c>
      <c r="C111" s="164" t="s">
        <v>103</v>
      </c>
      <c r="D111" s="164" t="s">
        <v>130</v>
      </c>
      <c r="E111" s="164" t="s">
        <v>118</v>
      </c>
      <c r="F111" s="164"/>
      <c r="G111" s="161"/>
      <c r="H111" s="185"/>
      <c r="I111" s="216">
        <v>0</v>
      </c>
      <c r="J111" s="185">
        <f t="shared" si="17"/>
        <v>0</v>
      </c>
      <c r="K111" s="217">
        <f t="shared" si="18"/>
        <v>0</v>
      </c>
      <c r="M111" s="170"/>
      <c r="N111" s="170"/>
      <c r="O111" s="170"/>
      <c r="P111" s="170"/>
      <c r="Q111" s="170"/>
      <c r="R111" s="170"/>
      <c r="S111" s="170"/>
      <c r="T111" s="170"/>
      <c r="U111" s="170"/>
      <c r="V111" s="170"/>
      <c r="W111" s="170"/>
      <c r="X111" s="219"/>
    </row>
    <row r="112" spans="1:24">
      <c r="A112" s="37" t="s">
        <v>288</v>
      </c>
      <c r="B112" s="164" t="s">
        <v>289</v>
      </c>
      <c r="C112" s="164" t="s">
        <v>103</v>
      </c>
      <c r="D112" s="164" t="s">
        <v>135</v>
      </c>
      <c r="E112" s="164" t="s">
        <v>195</v>
      </c>
      <c r="F112" s="164" t="s">
        <v>121</v>
      </c>
      <c r="G112" s="161">
        <v>1</v>
      </c>
      <c r="H112" s="185">
        <v>5000</v>
      </c>
      <c r="I112" s="216">
        <v>0</v>
      </c>
      <c r="J112" s="185">
        <f t="shared" si="17"/>
        <v>5000</v>
      </c>
      <c r="K112" s="217">
        <f t="shared" si="18"/>
        <v>5000</v>
      </c>
      <c r="M112" s="170"/>
      <c r="N112" s="170"/>
      <c r="O112" s="170"/>
      <c r="P112" s="170"/>
      <c r="Q112" s="170"/>
      <c r="R112" s="170"/>
      <c r="S112" s="170"/>
      <c r="T112" s="170"/>
      <c r="U112" s="170"/>
      <c r="V112" s="170"/>
      <c r="W112" s="170"/>
      <c r="X112" s="219"/>
    </row>
    <row r="113" spans="1:24">
      <c r="A113" s="37" t="s">
        <v>290</v>
      </c>
      <c r="B113" s="164" t="s">
        <v>291</v>
      </c>
      <c r="C113" s="164" t="s">
        <v>120</v>
      </c>
      <c r="D113" s="164" t="s">
        <v>115</v>
      </c>
      <c r="E113" s="164" t="s">
        <v>110</v>
      </c>
      <c r="F113" s="164" t="s">
        <v>121</v>
      </c>
      <c r="G113" s="161">
        <v>1</v>
      </c>
      <c r="H113" s="185">
        <v>1500</v>
      </c>
      <c r="I113" s="216">
        <v>0</v>
      </c>
      <c r="J113" s="185">
        <f t="shared" si="17"/>
        <v>1500</v>
      </c>
      <c r="K113" s="217">
        <f t="shared" si="18"/>
        <v>1500</v>
      </c>
      <c r="M113" s="170"/>
      <c r="N113" s="170"/>
      <c r="O113" s="170"/>
      <c r="P113" s="170"/>
      <c r="Q113" s="170"/>
      <c r="R113" s="170"/>
      <c r="S113" s="170"/>
      <c r="T113" s="170"/>
      <c r="U113" s="170"/>
      <c r="V113" s="170"/>
      <c r="W113" s="170"/>
      <c r="X113" s="219"/>
    </row>
    <row r="114" spans="1:24">
      <c r="A114" s="37" t="s">
        <v>292</v>
      </c>
      <c r="B114" s="164" t="s">
        <v>293</v>
      </c>
      <c r="C114" s="164" t="s">
        <v>103</v>
      </c>
      <c r="D114" s="164" t="s">
        <v>115</v>
      </c>
      <c r="E114" s="164" t="s">
        <v>116</v>
      </c>
      <c r="F114" s="164" t="s">
        <v>15</v>
      </c>
      <c r="G114" s="161">
        <f t="shared" ref="G114" si="20">$B$8</f>
        <v>196289</v>
      </c>
      <c r="H114" s="185">
        <v>8.02</v>
      </c>
      <c r="I114" s="216">
        <v>0</v>
      </c>
      <c r="J114" s="185">
        <f t="shared" si="17"/>
        <v>8.02</v>
      </c>
      <c r="K114" s="217">
        <f t="shared" si="18"/>
        <v>1574237.78</v>
      </c>
      <c r="M114" s="170"/>
      <c r="N114" s="170"/>
      <c r="O114" s="170"/>
      <c r="P114" s="170"/>
      <c r="Q114" s="170"/>
      <c r="R114" s="170"/>
      <c r="S114" s="170"/>
      <c r="T114" s="170"/>
      <c r="U114" s="170"/>
      <c r="V114" s="170"/>
      <c r="W114" s="170"/>
      <c r="X114" s="219"/>
    </row>
    <row r="115" spans="1:24">
      <c r="A115" s="37" t="s">
        <v>294</v>
      </c>
      <c r="B115" s="164" t="s">
        <v>295</v>
      </c>
      <c r="C115" s="164" t="s">
        <v>120</v>
      </c>
      <c r="D115" s="164" t="s">
        <v>115</v>
      </c>
      <c r="E115" s="164" t="s">
        <v>110</v>
      </c>
      <c r="F115" s="164" t="s">
        <v>187</v>
      </c>
      <c r="G115" s="167">
        <f>$E$8</f>
        <v>194</v>
      </c>
      <c r="H115" s="185">
        <v>85</v>
      </c>
      <c r="I115" s="216">
        <v>0</v>
      </c>
      <c r="J115" s="185">
        <f t="shared" si="17"/>
        <v>85</v>
      </c>
      <c r="K115" s="217">
        <f t="shared" si="18"/>
        <v>16490</v>
      </c>
      <c r="M115" s="170"/>
      <c r="N115" s="170"/>
      <c r="O115" s="170"/>
      <c r="P115" s="170"/>
      <c r="Q115" s="170"/>
      <c r="R115" s="170"/>
      <c r="S115" s="170"/>
      <c r="T115" s="170"/>
      <c r="U115" s="170"/>
      <c r="V115" s="170"/>
      <c r="W115" s="170"/>
      <c r="X115" s="219"/>
    </row>
    <row r="116" spans="1:24">
      <c r="A116" s="37" t="s">
        <v>296</v>
      </c>
      <c r="B116" s="164" t="s">
        <v>297</v>
      </c>
      <c r="C116" s="164" t="s">
        <v>103</v>
      </c>
      <c r="D116" s="164" t="s">
        <v>115</v>
      </c>
      <c r="E116" s="164" t="s">
        <v>118</v>
      </c>
      <c r="F116" s="164"/>
      <c r="G116" s="161"/>
      <c r="H116" s="185"/>
      <c r="I116" s="216">
        <v>0</v>
      </c>
      <c r="J116" s="185">
        <f t="shared" si="17"/>
        <v>0</v>
      </c>
      <c r="K116" s="217">
        <f t="shared" si="18"/>
        <v>0</v>
      </c>
      <c r="M116" s="170"/>
      <c r="N116" s="170"/>
      <c r="O116" s="170"/>
      <c r="P116" s="170"/>
      <c r="Q116" s="170"/>
      <c r="R116" s="170"/>
      <c r="S116" s="170"/>
      <c r="T116" s="170"/>
      <c r="U116" s="170"/>
      <c r="V116" s="170"/>
      <c r="W116" s="170"/>
      <c r="X116" s="219"/>
    </row>
    <row r="117" spans="1:24">
      <c r="A117" s="37" t="s">
        <v>298</v>
      </c>
      <c r="B117" s="164" t="s">
        <v>299</v>
      </c>
      <c r="C117" s="164" t="s">
        <v>103</v>
      </c>
      <c r="D117" s="164" t="s">
        <v>181</v>
      </c>
      <c r="E117" s="164" t="s">
        <v>195</v>
      </c>
      <c r="F117" s="164" t="s">
        <v>121</v>
      </c>
      <c r="G117" s="161">
        <v>1</v>
      </c>
      <c r="H117" s="185">
        <v>67657</v>
      </c>
      <c r="I117" s="216">
        <v>0</v>
      </c>
      <c r="J117" s="185">
        <f t="shared" si="17"/>
        <v>67657</v>
      </c>
      <c r="K117" s="217">
        <f t="shared" si="18"/>
        <v>67657</v>
      </c>
      <c r="M117" s="170"/>
      <c r="N117" s="170"/>
      <c r="O117" s="170"/>
      <c r="P117" s="170"/>
      <c r="Q117" s="170"/>
      <c r="R117" s="170"/>
      <c r="S117" s="170"/>
      <c r="T117" s="170"/>
      <c r="U117" s="170"/>
      <c r="V117" s="170"/>
      <c r="W117" s="170"/>
      <c r="X117" s="219"/>
    </row>
    <row r="118" spans="1:24">
      <c r="A118" s="37" t="s">
        <v>300</v>
      </c>
      <c r="B118" s="164" t="s">
        <v>301</v>
      </c>
      <c r="C118" s="164" t="s">
        <v>103</v>
      </c>
      <c r="D118" s="164" t="s">
        <v>115</v>
      </c>
      <c r="E118" s="164" t="s">
        <v>118</v>
      </c>
      <c r="F118" s="164"/>
      <c r="G118" s="161"/>
      <c r="H118" s="185"/>
      <c r="I118" s="216">
        <v>0</v>
      </c>
      <c r="J118" s="185">
        <f t="shared" si="17"/>
        <v>0</v>
      </c>
      <c r="K118" s="217">
        <f t="shared" si="18"/>
        <v>0</v>
      </c>
      <c r="M118" s="170"/>
      <c r="N118" s="170"/>
      <c r="O118" s="170"/>
      <c r="P118" s="170"/>
      <c r="Q118" s="170"/>
      <c r="R118" s="170"/>
      <c r="S118" s="170"/>
      <c r="T118" s="170"/>
      <c r="U118" s="170"/>
      <c r="V118" s="170"/>
      <c r="W118" s="170"/>
      <c r="X118" s="219"/>
    </row>
    <row r="119" spans="1:24">
      <c r="A119" s="37" t="s">
        <v>302</v>
      </c>
      <c r="B119" s="164" t="s">
        <v>303</v>
      </c>
      <c r="C119" s="164" t="s">
        <v>103</v>
      </c>
      <c r="D119" s="164" t="s">
        <v>130</v>
      </c>
      <c r="E119" s="164" t="s">
        <v>118</v>
      </c>
      <c r="F119" s="164"/>
      <c r="G119" s="161"/>
      <c r="H119" s="185"/>
      <c r="I119" s="216">
        <v>0</v>
      </c>
      <c r="J119" s="185">
        <f t="shared" si="17"/>
        <v>0</v>
      </c>
      <c r="K119" s="217">
        <f t="shared" si="18"/>
        <v>0</v>
      </c>
      <c r="M119" s="170"/>
      <c r="N119" s="170"/>
      <c r="O119" s="170"/>
      <c r="P119" s="170"/>
      <c r="Q119" s="170"/>
      <c r="R119" s="170"/>
      <c r="S119" s="170"/>
      <c r="T119" s="170"/>
      <c r="U119" s="170"/>
      <c r="V119" s="170"/>
      <c r="W119" s="170"/>
      <c r="X119" s="219"/>
    </row>
    <row r="120" spans="1:24">
      <c r="A120" s="37" t="s">
        <v>304</v>
      </c>
      <c r="B120" s="164" t="s">
        <v>305</v>
      </c>
      <c r="C120" s="164" t="s">
        <v>103</v>
      </c>
      <c r="D120" s="164" t="s">
        <v>115</v>
      </c>
      <c r="E120" s="164" t="s">
        <v>859</v>
      </c>
      <c r="F120" s="164" t="s">
        <v>278</v>
      </c>
      <c r="G120" s="161">
        <v>16642</v>
      </c>
      <c r="H120" s="185">
        <f>2.04*9</f>
        <v>18.36</v>
      </c>
      <c r="I120" s="216">
        <v>0</v>
      </c>
      <c r="J120" s="185">
        <f t="shared" si="17"/>
        <v>18.36</v>
      </c>
      <c r="K120" s="217">
        <f t="shared" si="18"/>
        <v>305547.12</v>
      </c>
      <c r="M120" s="170" t="s">
        <v>911</v>
      </c>
      <c r="N120" s="170"/>
      <c r="O120" s="170"/>
      <c r="P120" s="170"/>
      <c r="Q120" s="170"/>
      <c r="R120" s="170"/>
      <c r="S120" s="170"/>
      <c r="T120" s="170"/>
      <c r="U120" s="170"/>
      <c r="V120" s="170"/>
      <c r="W120" s="170"/>
      <c r="X120" s="219"/>
    </row>
    <row r="121" spans="1:24">
      <c r="A121" s="37" t="s">
        <v>307</v>
      </c>
      <c r="B121" s="164" t="s">
        <v>308</v>
      </c>
      <c r="C121" s="164" t="s">
        <v>103</v>
      </c>
      <c r="D121" s="164" t="s">
        <v>181</v>
      </c>
      <c r="E121" s="164" t="s">
        <v>118</v>
      </c>
      <c r="F121" s="164"/>
      <c r="G121" s="161">
        <v>0</v>
      </c>
      <c r="H121" s="185">
        <v>0</v>
      </c>
      <c r="I121" s="216">
        <v>0</v>
      </c>
      <c r="J121" s="185">
        <f t="shared" si="17"/>
        <v>0</v>
      </c>
      <c r="K121" s="217">
        <f t="shared" si="18"/>
        <v>0</v>
      </c>
      <c r="M121" s="170"/>
      <c r="N121" s="170"/>
      <c r="O121" s="170"/>
      <c r="P121" s="170"/>
      <c r="Q121" s="170"/>
      <c r="R121" s="170"/>
      <c r="S121" s="170"/>
      <c r="T121" s="170"/>
      <c r="U121" s="170"/>
      <c r="V121" s="170"/>
      <c r="W121" s="170"/>
      <c r="X121" s="219"/>
    </row>
    <row r="122" spans="1:24">
      <c r="A122" s="37" t="s">
        <v>309</v>
      </c>
      <c r="B122" s="164" t="s">
        <v>310</v>
      </c>
      <c r="C122" s="164" t="s">
        <v>103</v>
      </c>
      <c r="D122" s="164" t="s">
        <v>181</v>
      </c>
      <c r="E122" s="164" t="s">
        <v>118</v>
      </c>
      <c r="F122" s="164"/>
      <c r="G122" s="161">
        <v>0</v>
      </c>
      <c r="H122" s="185">
        <v>0</v>
      </c>
      <c r="I122" s="216">
        <v>0</v>
      </c>
      <c r="J122" s="185">
        <f t="shared" si="17"/>
        <v>0</v>
      </c>
      <c r="K122" s="217">
        <f t="shared" si="18"/>
        <v>0</v>
      </c>
      <c r="M122" s="170"/>
      <c r="N122" s="170"/>
      <c r="O122" s="170"/>
      <c r="P122" s="170"/>
      <c r="Q122" s="170"/>
      <c r="R122" s="170"/>
      <c r="S122" s="170"/>
      <c r="T122" s="170"/>
      <c r="U122" s="170"/>
      <c r="V122" s="170"/>
      <c r="W122" s="170"/>
      <c r="X122" s="219"/>
    </row>
    <row r="123" spans="1:24">
      <c r="A123" s="37" t="s">
        <v>311</v>
      </c>
      <c r="B123" s="164" t="s">
        <v>312</v>
      </c>
      <c r="C123" s="164" t="s">
        <v>103</v>
      </c>
      <c r="D123" s="164" t="s">
        <v>181</v>
      </c>
      <c r="E123" s="164" t="s">
        <v>195</v>
      </c>
      <c r="F123" s="164" t="s">
        <v>15</v>
      </c>
      <c r="G123" s="161">
        <f t="shared" si="19"/>
        <v>196289</v>
      </c>
      <c r="H123" s="185">
        <v>0.37</v>
      </c>
      <c r="I123" s="216">
        <v>0</v>
      </c>
      <c r="J123" s="185">
        <f t="shared" si="17"/>
        <v>0.37</v>
      </c>
      <c r="K123" s="217">
        <f t="shared" si="18"/>
        <v>72626.929999999993</v>
      </c>
      <c r="M123" s="170"/>
      <c r="N123" s="170"/>
      <c r="O123" s="170"/>
      <c r="P123" s="170"/>
      <c r="Q123" s="170"/>
      <c r="R123" s="170"/>
      <c r="S123" s="170"/>
      <c r="T123" s="170"/>
      <c r="U123" s="170"/>
      <c r="V123" s="170"/>
      <c r="W123" s="170"/>
      <c r="X123" s="219"/>
    </row>
    <row r="124" spans="1:24">
      <c r="A124" s="37" t="s">
        <v>313</v>
      </c>
      <c r="B124" s="164" t="s">
        <v>314</v>
      </c>
      <c r="C124" s="164" t="s">
        <v>281</v>
      </c>
      <c r="D124" s="164" t="s">
        <v>181</v>
      </c>
      <c r="E124" s="164" t="s">
        <v>110</v>
      </c>
      <c r="F124" s="164" t="s">
        <v>32</v>
      </c>
      <c r="G124" s="161">
        <f>O3</f>
        <v>2</v>
      </c>
      <c r="H124" s="185">
        <v>750</v>
      </c>
      <c r="I124" s="216">
        <v>0</v>
      </c>
      <c r="J124" s="185">
        <f t="shared" si="17"/>
        <v>750</v>
      </c>
      <c r="K124" s="217">
        <f t="shared" si="18"/>
        <v>1500</v>
      </c>
      <c r="M124" s="170"/>
      <c r="N124" s="170"/>
      <c r="O124" s="170"/>
      <c r="P124" s="170"/>
      <c r="Q124" s="170"/>
      <c r="R124" s="170"/>
      <c r="S124" s="170"/>
      <c r="T124" s="170"/>
      <c r="U124" s="170"/>
      <c r="V124" s="170"/>
      <c r="W124" s="170"/>
      <c r="X124" s="219"/>
    </row>
    <row r="125" spans="1:24">
      <c r="A125" s="37" t="s">
        <v>315</v>
      </c>
      <c r="B125" s="164" t="s">
        <v>316</v>
      </c>
      <c r="C125" s="164" t="s">
        <v>103</v>
      </c>
      <c r="D125" s="164" t="s">
        <v>181</v>
      </c>
      <c r="E125" s="164" t="s">
        <v>118</v>
      </c>
      <c r="F125" s="164"/>
      <c r="G125" s="161">
        <v>0</v>
      </c>
      <c r="H125" s="185">
        <v>0</v>
      </c>
      <c r="I125" s="216">
        <v>0</v>
      </c>
      <c r="J125" s="185">
        <f t="shared" si="17"/>
        <v>0</v>
      </c>
      <c r="K125" s="217">
        <f t="shared" si="18"/>
        <v>0</v>
      </c>
      <c r="M125" s="170"/>
      <c r="N125" s="170"/>
      <c r="O125" s="170"/>
      <c r="P125" s="170"/>
      <c r="Q125" s="170"/>
      <c r="R125" s="170"/>
      <c r="S125" s="170"/>
      <c r="T125" s="170"/>
      <c r="U125" s="170"/>
      <c r="V125" s="170"/>
      <c r="W125" s="170"/>
      <c r="X125" s="219"/>
    </row>
    <row r="126" spans="1:24">
      <c r="A126" s="37" t="s">
        <v>317</v>
      </c>
      <c r="B126" s="164" t="s">
        <v>318</v>
      </c>
      <c r="C126" s="164" t="s">
        <v>103</v>
      </c>
      <c r="D126" s="164" t="s">
        <v>181</v>
      </c>
      <c r="E126" s="164" t="s">
        <v>118</v>
      </c>
      <c r="F126" s="164" t="s">
        <v>15</v>
      </c>
      <c r="G126" s="161">
        <v>0</v>
      </c>
      <c r="H126" s="185">
        <v>0</v>
      </c>
      <c r="I126" s="216">
        <v>0</v>
      </c>
      <c r="J126" s="185">
        <f t="shared" si="17"/>
        <v>0</v>
      </c>
      <c r="K126" s="217">
        <f t="shared" si="18"/>
        <v>0</v>
      </c>
      <c r="M126" s="170"/>
      <c r="N126" s="170"/>
      <c r="O126" s="170"/>
      <c r="P126" s="170"/>
      <c r="Q126" s="170"/>
      <c r="R126" s="170"/>
      <c r="S126" s="170"/>
      <c r="T126" s="170"/>
      <c r="U126" s="170"/>
      <c r="V126" s="170"/>
      <c r="W126" s="170"/>
      <c r="X126" s="219"/>
    </row>
    <row r="127" spans="1:24">
      <c r="A127" s="37" t="s">
        <v>319</v>
      </c>
      <c r="B127" s="164" t="s">
        <v>320</v>
      </c>
      <c r="C127" s="164" t="s">
        <v>103</v>
      </c>
      <c r="D127" s="164" t="s">
        <v>181</v>
      </c>
      <c r="E127" s="164" t="s">
        <v>195</v>
      </c>
      <c r="F127" s="164" t="s">
        <v>15</v>
      </c>
      <c r="G127" s="161">
        <f>U2</f>
        <v>1316</v>
      </c>
      <c r="H127" s="185">
        <v>16.53336114421931</v>
      </c>
      <c r="I127" s="216">
        <v>0</v>
      </c>
      <c r="J127" s="185">
        <f t="shared" si="17"/>
        <v>16.53336114421931</v>
      </c>
      <c r="K127" s="217">
        <f t="shared" si="18"/>
        <v>21757.903265792611</v>
      </c>
      <c r="M127" s="170"/>
      <c r="N127" s="170"/>
      <c r="O127" s="170"/>
      <c r="P127" s="170"/>
      <c r="Q127" s="170"/>
      <c r="R127" s="170"/>
      <c r="S127" s="170"/>
      <c r="T127" s="170"/>
      <c r="U127" s="170"/>
      <c r="V127" s="170"/>
      <c r="W127" s="170"/>
      <c r="X127" s="219"/>
    </row>
    <row r="128" spans="1:24">
      <c r="A128" s="37" t="s">
        <v>322</v>
      </c>
      <c r="B128" s="164" t="s">
        <v>323</v>
      </c>
      <c r="C128" s="164" t="s">
        <v>103</v>
      </c>
      <c r="D128" s="164" t="s">
        <v>181</v>
      </c>
      <c r="E128" s="164" t="s">
        <v>195</v>
      </c>
      <c r="F128" s="164" t="s">
        <v>32</v>
      </c>
      <c r="G128" s="161">
        <f>$O$6</f>
        <v>7</v>
      </c>
      <c r="H128" s="185">
        <v>1848.1428571428571</v>
      </c>
      <c r="I128" s="216">
        <v>0</v>
      </c>
      <c r="J128" s="185">
        <f t="shared" si="17"/>
        <v>1848.1428571428571</v>
      </c>
      <c r="K128" s="217">
        <f t="shared" si="18"/>
        <v>12937</v>
      </c>
      <c r="M128" s="170"/>
      <c r="N128" s="170"/>
      <c r="O128" s="170"/>
      <c r="P128" s="170"/>
      <c r="Q128" s="170"/>
      <c r="R128" s="170"/>
      <c r="S128" s="170"/>
      <c r="T128" s="170"/>
      <c r="U128" s="170"/>
      <c r="V128" s="170"/>
      <c r="W128" s="170"/>
      <c r="X128" s="219"/>
    </row>
    <row r="129" spans="1:24">
      <c r="A129" s="37" t="s">
        <v>324</v>
      </c>
      <c r="B129" s="164" t="s">
        <v>325</v>
      </c>
      <c r="C129" s="164" t="s">
        <v>103</v>
      </c>
      <c r="D129" s="164" t="s">
        <v>181</v>
      </c>
      <c r="E129" s="164" t="s">
        <v>195</v>
      </c>
      <c r="F129" s="164" t="s">
        <v>15</v>
      </c>
      <c r="G129" s="161">
        <f t="shared" si="19"/>
        <v>196289</v>
      </c>
      <c r="H129" s="185">
        <v>5.1209072935450933E-2</v>
      </c>
      <c r="I129" s="216">
        <v>0</v>
      </c>
      <c r="J129" s="185">
        <f t="shared" si="17"/>
        <v>5.1209072935450933E-2</v>
      </c>
      <c r="K129" s="217">
        <f t="shared" si="18"/>
        <v>10051.777717426728</v>
      </c>
      <c r="M129" s="170" t="s">
        <v>326</v>
      </c>
      <c r="N129" s="170"/>
      <c r="O129" s="170"/>
      <c r="P129" s="170"/>
      <c r="Q129" s="170"/>
      <c r="R129" s="170"/>
      <c r="S129" s="170"/>
      <c r="T129" s="170"/>
      <c r="U129" s="170"/>
      <c r="V129" s="170"/>
      <c r="W129" s="170"/>
      <c r="X129" s="219"/>
    </row>
    <row r="130" spans="1:24">
      <c r="A130" s="37" t="s">
        <v>327</v>
      </c>
      <c r="B130" s="164" t="s">
        <v>328</v>
      </c>
      <c r="C130" s="164" t="s">
        <v>103</v>
      </c>
      <c r="D130" s="164" t="s">
        <v>181</v>
      </c>
      <c r="E130" s="164" t="s">
        <v>195</v>
      </c>
      <c r="F130" s="164" t="s">
        <v>15</v>
      </c>
      <c r="G130" s="161">
        <f t="shared" si="19"/>
        <v>196289</v>
      </c>
      <c r="H130" s="185">
        <v>0.29699958719881808</v>
      </c>
      <c r="I130" s="216">
        <v>0</v>
      </c>
      <c r="J130" s="185">
        <f t="shared" si="17"/>
        <v>0.29699958719881808</v>
      </c>
      <c r="K130" s="217">
        <f t="shared" si="18"/>
        <v>58297.751971668804</v>
      </c>
      <c r="M130" s="170" t="s">
        <v>326</v>
      </c>
      <c r="N130" s="170"/>
      <c r="O130" s="170"/>
      <c r="P130" s="170"/>
      <c r="Q130" s="170"/>
      <c r="R130" s="170"/>
      <c r="S130" s="170"/>
      <c r="T130" s="170"/>
      <c r="U130" s="170"/>
      <c r="V130" s="170"/>
      <c r="W130" s="170"/>
      <c r="X130" s="219"/>
    </row>
    <row r="131" spans="1:24">
      <c r="A131" s="37" t="s">
        <v>329</v>
      </c>
      <c r="B131" s="164" t="s">
        <v>330</v>
      </c>
      <c r="C131" s="164" t="s">
        <v>120</v>
      </c>
      <c r="D131" s="164" t="s">
        <v>115</v>
      </c>
      <c r="E131" s="164" t="s">
        <v>110</v>
      </c>
      <c r="F131" s="164" t="s">
        <v>121</v>
      </c>
      <c r="G131" s="167">
        <v>1</v>
      </c>
      <c r="H131" s="185">
        <v>10000</v>
      </c>
      <c r="I131" s="216">
        <v>0</v>
      </c>
      <c r="J131" s="185">
        <f t="shared" si="17"/>
        <v>10000</v>
      </c>
      <c r="K131" s="217">
        <f t="shared" si="18"/>
        <v>10000</v>
      </c>
      <c r="M131" s="170"/>
      <c r="N131" s="170"/>
      <c r="O131" s="170"/>
      <c r="P131" s="170"/>
      <c r="Q131" s="170"/>
      <c r="R131" s="170"/>
      <c r="S131" s="170"/>
      <c r="T131" s="170"/>
      <c r="U131" s="170"/>
      <c r="V131" s="170"/>
      <c r="W131" s="170"/>
      <c r="X131" s="219"/>
    </row>
    <row r="132" spans="1:24">
      <c r="A132" s="37" t="s">
        <v>331</v>
      </c>
      <c r="B132" s="164" t="s">
        <v>332</v>
      </c>
      <c r="C132" s="164" t="s">
        <v>103</v>
      </c>
      <c r="D132" s="164" t="s">
        <v>115</v>
      </c>
      <c r="E132" s="164" t="s">
        <v>116</v>
      </c>
      <c r="F132" s="164" t="s">
        <v>15</v>
      </c>
      <c r="G132" s="161">
        <f t="shared" ref="G132" si="21">$B$8</f>
        <v>196289</v>
      </c>
      <c r="H132" s="185">
        <v>1.84</v>
      </c>
      <c r="I132" s="216">
        <v>0</v>
      </c>
      <c r="J132" s="185">
        <f t="shared" si="17"/>
        <v>1.84</v>
      </c>
      <c r="K132" s="217">
        <f t="shared" si="18"/>
        <v>361171.76</v>
      </c>
      <c r="M132" s="170"/>
      <c r="N132" s="170"/>
      <c r="O132" s="170"/>
      <c r="P132" s="170"/>
      <c r="Q132" s="170"/>
      <c r="R132" s="170"/>
      <c r="S132" s="170"/>
      <c r="T132" s="170"/>
      <c r="U132" s="170"/>
      <c r="V132" s="170"/>
      <c r="W132" s="170"/>
      <c r="X132" s="219"/>
    </row>
    <row r="133" spans="1:24">
      <c r="A133" s="37" t="s">
        <v>333</v>
      </c>
      <c r="B133" s="164" t="s">
        <v>334</v>
      </c>
      <c r="C133" s="164" t="s">
        <v>103</v>
      </c>
      <c r="D133" s="164" t="s">
        <v>115</v>
      </c>
      <c r="E133" s="164" t="s">
        <v>118</v>
      </c>
      <c r="F133" s="164"/>
      <c r="G133" s="161"/>
      <c r="H133" s="185"/>
      <c r="I133" s="216">
        <v>0</v>
      </c>
      <c r="J133" s="185">
        <f t="shared" si="17"/>
        <v>0</v>
      </c>
      <c r="K133" s="217">
        <f t="shared" si="18"/>
        <v>0</v>
      </c>
      <c r="M133" s="170"/>
      <c r="N133" s="170"/>
      <c r="O133" s="170"/>
      <c r="P133" s="170"/>
      <c r="Q133" s="170"/>
      <c r="R133" s="170"/>
      <c r="S133" s="170"/>
      <c r="T133" s="170"/>
      <c r="U133" s="170"/>
      <c r="V133" s="170"/>
      <c r="W133" s="170"/>
      <c r="X133" s="219"/>
    </row>
    <row r="134" spans="1:24">
      <c r="A134" s="37" t="s">
        <v>335</v>
      </c>
      <c r="B134" s="164" t="s">
        <v>336</v>
      </c>
      <c r="C134" s="164" t="s">
        <v>103</v>
      </c>
      <c r="D134" s="164" t="s">
        <v>130</v>
      </c>
      <c r="E134" s="164" t="s">
        <v>118</v>
      </c>
      <c r="F134" s="164"/>
      <c r="G134" s="161"/>
      <c r="H134" s="185"/>
      <c r="I134" s="216">
        <v>0</v>
      </c>
      <c r="J134" s="185">
        <f t="shared" si="17"/>
        <v>0</v>
      </c>
      <c r="K134" s="217">
        <f t="shared" si="18"/>
        <v>0</v>
      </c>
      <c r="M134" s="170"/>
      <c r="N134" s="170"/>
      <c r="O134" s="170"/>
      <c r="P134" s="170"/>
      <c r="Q134" s="170"/>
      <c r="R134" s="170"/>
      <c r="S134" s="170"/>
      <c r="T134" s="170"/>
      <c r="U134" s="170"/>
      <c r="V134" s="170"/>
      <c r="W134" s="170"/>
      <c r="X134" s="219"/>
    </row>
    <row r="135" spans="1:24">
      <c r="A135" s="37" t="s">
        <v>337</v>
      </c>
      <c r="B135" s="164"/>
      <c r="C135" s="164" t="s">
        <v>103</v>
      </c>
      <c r="D135" s="164" t="s">
        <v>181</v>
      </c>
      <c r="E135" s="164" t="s">
        <v>118</v>
      </c>
      <c r="F135" s="164"/>
      <c r="G135" s="161"/>
      <c r="H135" s="185"/>
      <c r="I135" s="216">
        <v>0</v>
      </c>
      <c r="J135" s="185">
        <f t="shared" si="17"/>
        <v>0</v>
      </c>
      <c r="K135" s="217">
        <f t="shared" si="18"/>
        <v>0</v>
      </c>
      <c r="M135" s="170"/>
      <c r="N135" s="170"/>
      <c r="O135" s="170"/>
      <c r="P135" s="170"/>
      <c r="Q135" s="170"/>
      <c r="R135" s="170"/>
      <c r="S135" s="170"/>
      <c r="T135" s="170"/>
      <c r="U135" s="170"/>
      <c r="V135" s="170"/>
      <c r="W135" s="170"/>
      <c r="X135" s="219"/>
    </row>
    <row r="136" spans="1:24">
      <c r="A136" s="37" t="s">
        <v>338</v>
      </c>
      <c r="B136" s="164" t="s">
        <v>339</v>
      </c>
      <c r="C136" s="164" t="s">
        <v>103</v>
      </c>
      <c r="D136" s="164" t="s">
        <v>181</v>
      </c>
      <c r="E136" s="164" t="s">
        <v>118</v>
      </c>
      <c r="F136" s="164"/>
      <c r="G136" s="161"/>
      <c r="H136" s="185"/>
      <c r="I136" s="216">
        <v>0</v>
      </c>
      <c r="J136" s="185">
        <f t="shared" si="17"/>
        <v>0</v>
      </c>
      <c r="K136" s="217">
        <f t="shared" si="18"/>
        <v>0</v>
      </c>
      <c r="M136" s="170"/>
      <c r="N136" s="170"/>
      <c r="O136" s="170"/>
      <c r="P136" s="170"/>
      <c r="Q136" s="170"/>
      <c r="R136" s="170"/>
      <c r="S136" s="170"/>
      <c r="T136" s="170"/>
      <c r="U136" s="170"/>
      <c r="V136" s="170"/>
      <c r="W136" s="170"/>
      <c r="X136" s="219"/>
    </row>
    <row r="137" spans="1:24">
      <c r="A137" s="33" t="s">
        <v>340</v>
      </c>
      <c r="B137" s="305" t="s">
        <v>341</v>
      </c>
      <c r="C137" s="305"/>
      <c r="D137" s="305"/>
      <c r="E137" s="343"/>
      <c r="F137" s="343"/>
      <c r="G137" s="147"/>
      <c r="H137" s="344"/>
      <c r="I137" s="345"/>
      <c r="J137" s="344"/>
      <c r="K137" s="346"/>
      <c r="L137" s="230">
        <f>SUM(K138:K153)</f>
        <v>233950</v>
      </c>
      <c r="M137" s="170"/>
      <c r="N137" s="170"/>
      <c r="O137" s="170"/>
      <c r="P137" s="170"/>
      <c r="Q137" s="170"/>
      <c r="R137" s="170"/>
      <c r="S137" s="170"/>
      <c r="T137" s="170"/>
      <c r="U137" s="170"/>
      <c r="V137" s="170"/>
      <c r="W137" s="170"/>
      <c r="X137" s="219"/>
    </row>
    <row r="138" spans="1:24">
      <c r="A138" s="35" t="s">
        <v>342</v>
      </c>
      <c r="B138" s="176" t="s">
        <v>343</v>
      </c>
      <c r="C138" s="176" t="s">
        <v>103</v>
      </c>
      <c r="D138" s="176" t="s">
        <v>109</v>
      </c>
      <c r="E138" s="176" t="s">
        <v>118</v>
      </c>
      <c r="F138" s="176"/>
      <c r="G138" s="167"/>
      <c r="H138" s="413">
        <v>5478</v>
      </c>
      <c r="I138" s="414">
        <v>0</v>
      </c>
      <c r="J138" s="415">
        <f t="shared" ref="J138:J153" si="22">H138*(1+I138)</f>
        <v>5478</v>
      </c>
      <c r="K138" s="416">
        <f t="shared" ref="K138:K153" si="23">J138*G138</f>
        <v>0</v>
      </c>
      <c r="M138" s="170"/>
      <c r="N138" s="170"/>
      <c r="O138" s="170"/>
      <c r="P138" s="170"/>
      <c r="Q138" s="170"/>
      <c r="R138" s="170"/>
      <c r="S138" s="170"/>
      <c r="T138" s="170"/>
      <c r="U138" s="170"/>
      <c r="V138" s="170"/>
      <c r="W138" s="170"/>
      <c r="X138" s="219"/>
    </row>
    <row r="139" spans="1:24">
      <c r="A139" s="37" t="s">
        <v>344</v>
      </c>
      <c r="B139" s="164" t="s">
        <v>345</v>
      </c>
      <c r="C139" s="164" t="s">
        <v>103</v>
      </c>
      <c r="D139" s="164" t="s">
        <v>346</v>
      </c>
      <c r="E139" s="164" t="s">
        <v>127</v>
      </c>
      <c r="F139" s="164" t="s">
        <v>10</v>
      </c>
      <c r="G139" s="167">
        <f>$E$8</f>
        <v>194</v>
      </c>
      <c r="H139" s="185">
        <v>155</v>
      </c>
      <c r="I139" s="216">
        <v>0</v>
      </c>
      <c r="J139" s="185">
        <f t="shared" si="22"/>
        <v>155</v>
      </c>
      <c r="K139" s="217">
        <f t="shared" si="23"/>
        <v>30070</v>
      </c>
      <c r="M139" s="170"/>
      <c r="N139" s="170"/>
      <c r="O139" s="170"/>
      <c r="P139" s="170"/>
      <c r="Q139" s="170"/>
      <c r="R139" s="170"/>
      <c r="S139" s="170"/>
      <c r="T139" s="170"/>
      <c r="U139" s="170"/>
      <c r="V139" s="170"/>
      <c r="W139" s="170"/>
      <c r="X139" s="219"/>
    </row>
    <row r="140" spans="1:24">
      <c r="A140" s="37" t="s">
        <v>347</v>
      </c>
      <c r="B140" s="164" t="s">
        <v>348</v>
      </c>
      <c r="C140" s="164" t="s">
        <v>103</v>
      </c>
      <c r="D140" s="164" t="s">
        <v>109</v>
      </c>
      <c r="E140" s="223" t="s">
        <v>110</v>
      </c>
      <c r="F140" s="164" t="s">
        <v>121</v>
      </c>
      <c r="G140" s="161">
        <v>1</v>
      </c>
      <c r="H140" s="185">
        <v>6000</v>
      </c>
      <c r="I140" s="216">
        <v>0</v>
      </c>
      <c r="J140" s="185">
        <f t="shared" si="22"/>
        <v>6000</v>
      </c>
      <c r="K140" s="217">
        <f t="shared" si="23"/>
        <v>6000</v>
      </c>
      <c r="M140" s="170"/>
      <c r="N140" s="170"/>
      <c r="O140" s="170"/>
      <c r="P140" s="170"/>
      <c r="Q140" s="170"/>
      <c r="R140" s="170"/>
      <c r="S140" s="170"/>
      <c r="T140" s="170"/>
      <c r="U140" s="170"/>
      <c r="V140" s="170"/>
      <c r="W140" s="170"/>
      <c r="X140" s="219"/>
    </row>
    <row r="141" spans="1:24">
      <c r="A141" s="37" t="s">
        <v>349</v>
      </c>
      <c r="B141" s="164" t="s">
        <v>350</v>
      </c>
      <c r="C141" s="164" t="s">
        <v>103</v>
      </c>
      <c r="D141" s="164" t="s">
        <v>109</v>
      </c>
      <c r="E141" s="164" t="s">
        <v>110</v>
      </c>
      <c r="F141" s="164" t="s">
        <v>121</v>
      </c>
      <c r="G141" s="161">
        <v>1</v>
      </c>
      <c r="H141" s="185">
        <v>5000</v>
      </c>
      <c r="I141" s="216">
        <v>0</v>
      </c>
      <c r="J141" s="185">
        <f t="shared" si="22"/>
        <v>5000</v>
      </c>
      <c r="K141" s="217">
        <f t="shared" si="23"/>
        <v>5000</v>
      </c>
      <c r="M141" s="170"/>
      <c r="N141" s="170"/>
      <c r="O141" s="170"/>
      <c r="P141" s="170"/>
      <c r="Q141" s="170"/>
      <c r="R141" s="170"/>
      <c r="S141" s="170"/>
      <c r="T141" s="170"/>
      <c r="U141" s="170"/>
      <c r="V141" s="170"/>
      <c r="W141" s="170"/>
      <c r="X141" s="219"/>
    </row>
    <row r="142" spans="1:24">
      <c r="A142" s="37" t="s">
        <v>351</v>
      </c>
      <c r="B142" s="164" t="s">
        <v>352</v>
      </c>
      <c r="C142" s="164" t="s">
        <v>103</v>
      </c>
      <c r="D142" s="164" t="s">
        <v>353</v>
      </c>
      <c r="E142" s="164" t="s">
        <v>110</v>
      </c>
      <c r="F142" s="164" t="s">
        <v>121</v>
      </c>
      <c r="G142" s="161">
        <v>1</v>
      </c>
      <c r="H142" s="185">
        <v>7000</v>
      </c>
      <c r="I142" s="216">
        <v>0</v>
      </c>
      <c r="J142" s="185">
        <f t="shared" si="22"/>
        <v>7000</v>
      </c>
      <c r="K142" s="217">
        <f t="shared" si="23"/>
        <v>7000</v>
      </c>
      <c r="M142" s="170"/>
      <c r="N142" s="170"/>
      <c r="O142" s="170"/>
      <c r="P142" s="170"/>
      <c r="Q142" s="170"/>
      <c r="R142" s="170"/>
      <c r="S142" s="170"/>
      <c r="T142" s="170"/>
      <c r="U142" s="170"/>
      <c r="V142" s="170"/>
      <c r="W142" s="170"/>
      <c r="X142" s="219"/>
    </row>
    <row r="143" spans="1:24">
      <c r="A143" s="37" t="s">
        <v>354</v>
      </c>
      <c r="B143" s="164" t="s">
        <v>355</v>
      </c>
      <c r="C143" s="164" t="s">
        <v>103</v>
      </c>
      <c r="D143" s="164" t="s">
        <v>115</v>
      </c>
      <c r="E143" s="164" t="s">
        <v>127</v>
      </c>
      <c r="F143" s="164" t="s">
        <v>10</v>
      </c>
      <c r="G143" s="167">
        <f>$E$8+E6+E7</f>
        <v>194</v>
      </c>
      <c r="H143" s="185">
        <v>17</v>
      </c>
      <c r="I143" s="216">
        <v>0</v>
      </c>
      <c r="J143" s="185">
        <f t="shared" si="22"/>
        <v>17</v>
      </c>
      <c r="K143" s="217">
        <f t="shared" si="23"/>
        <v>3298</v>
      </c>
      <c r="M143" s="170"/>
      <c r="N143" s="170"/>
      <c r="O143" s="170"/>
      <c r="P143" s="170"/>
      <c r="Q143" s="170"/>
      <c r="R143" s="170"/>
      <c r="S143" s="170"/>
      <c r="T143" s="170"/>
      <c r="U143" s="170"/>
      <c r="V143" s="170"/>
      <c r="W143" s="170"/>
      <c r="X143" s="219"/>
    </row>
    <row r="144" spans="1:24">
      <c r="A144" s="37" t="s">
        <v>356</v>
      </c>
      <c r="B144" s="164" t="s">
        <v>357</v>
      </c>
      <c r="C144" s="164" t="s">
        <v>103</v>
      </c>
      <c r="D144" s="164" t="s">
        <v>115</v>
      </c>
      <c r="E144" s="164" t="s">
        <v>118</v>
      </c>
      <c r="F144" s="164"/>
      <c r="G144" s="161"/>
      <c r="H144" s="185">
        <v>0</v>
      </c>
      <c r="I144" s="216">
        <v>0</v>
      </c>
      <c r="J144" s="185">
        <f t="shared" si="22"/>
        <v>0</v>
      </c>
      <c r="K144" s="217">
        <f t="shared" si="23"/>
        <v>0</v>
      </c>
      <c r="M144" s="170"/>
      <c r="N144" s="170"/>
      <c r="O144" s="170"/>
      <c r="P144" s="170"/>
      <c r="Q144" s="170"/>
      <c r="R144" s="170"/>
      <c r="S144" s="170"/>
      <c r="T144" s="170"/>
      <c r="U144" s="170"/>
      <c r="V144" s="170"/>
      <c r="W144" s="170"/>
      <c r="X144" s="219"/>
    </row>
    <row r="145" spans="1:24">
      <c r="A145" s="37" t="s">
        <v>358</v>
      </c>
      <c r="B145" s="164" t="s">
        <v>359</v>
      </c>
      <c r="C145" s="164" t="s">
        <v>103</v>
      </c>
      <c r="D145" s="164" t="s">
        <v>115</v>
      </c>
      <c r="E145" s="164" t="s">
        <v>118</v>
      </c>
      <c r="F145" s="164"/>
      <c r="G145" s="161"/>
      <c r="H145" s="185">
        <v>0</v>
      </c>
      <c r="I145" s="216">
        <v>0</v>
      </c>
      <c r="J145" s="185">
        <f t="shared" si="22"/>
        <v>0</v>
      </c>
      <c r="K145" s="217">
        <f t="shared" si="23"/>
        <v>0</v>
      </c>
      <c r="M145" s="170"/>
      <c r="N145" s="170"/>
      <c r="O145" s="170"/>
      <c r="P145" s="170"/>
      <c r="Q145" s="170"/>
      <c r="R145" s="170"/>
      <c r="S145" s="170"/>
      <c r="T145" s="170"/>
      <c r="U145" s="170"/>
      <c r="V145" s="170"/>
      <c r="W145" s="170"/>
      <c r="X145" s="219"/>
    </row>
    <row r="146" spans="1:24">
      <c r="A146" s="37" t="s">
        <v>360</v>
      </c>
      <c r="B146" s="164" t="s">
        <v>361</v>
      </c>
      <c r="C146" s="164" t="s">
        <v>103</v>
      </c>
      <c r="D146" s="164" t="s">
        <v>130</v>
      </c>
      <c r="E146" s="164" t="s">
        <v>118</v>
      </c>
      <c r="F146" s="164"/>
      <c r="G146" s="161"/>
      <c r="H146" s="185">
        <v>0</v>
      </c>
      <c r="I146" s="216">
        <v>0</v>
      </c>
      <c r="J146" s="185">
        <f t="shared" si="22"/>
        <v>0</v>
      </c>
      <c r="K146" s="217">
        <f t="shared" si="23"/>
        <v>0</v>
      </c>
      <c r="M146" s="170"/>
      <c r="N146" s="170"/>
      <c r="O146" s="170"/>
      <c r="P146" s="170"/>
      <c r="Q146" s="170"/>
      <c r="R146" s="170"/>
      <c r="S146" s="170"/>
      <c r="T146" s="170"/>
      <c r="U146" s="170"/>
      <c r="V146" s="170"/>
      <c r="W146" s="170"/>
      <c r="X146" s="219"/>
    </row>
    <row r="147" spans="1:24">
      <c r="A147" s="37" t="s">
        <v>362</v>
      </c>
      <c r="B147" s="164" t="s">
        <v>363</v>
      </c>
      <c r="C147" s="164" t="s">
        <v>103</v>
      </c>
      <c r="D147" s="164" t="s">
        <v>130</v>
      </c>
      <c r="E147" s="164" t="s">
        <v>306</v>
      </c>
      <c r="F147" s="164" t="s">
        <v>121</v>
      </c>
      <c r="G147" s="161">
        <v>2</v>
      </c>
      <c r="H147" s="185">
        <v>3360</v>
      </c>
      <c r="I147" s="216">
        <v>0</v>
      </c>
      <c r="J147" s="185">
        <f t="shared" si="22"/>
        <v>3360</v>
      </c>
      <c r="K147" s="217">
        <f t="shared" si="23"/>
        <v>6720</v>
      </c>
      <c r="M147" s="170"/>
      <c r="N147" s="170"/>
      <c r="O147" s="170"/>
      <c r="P147" s="170"/>
      <c r="Q147" s="170"/>
      <c r="R147" s="170"/>
      <c r="S147" s="170"/>
      <c r="T147" s="170"/>
      <c r="U147" s="170"/>
      <c r="V147" s="170"/>
      <c r="W147" s="170"/>
      <c r="X147" s="219"/>
    </row>
    <row r="148" spans="1:24">
      <c r="A148" s="37" t="s">
        <v>364</v>
      </c>
      <c r="B148" s="164" t="s">
        <v>365</v>
      </c>
      <c r="C148" s="164" t="s">
        <v>103</v>
      </c>
      <c r="D148" s="164" t="s">
        <v>109</v>
      </c>
      <c r="E148" s="164" t="s">
        <v>110</v>
      </c>
      <c r="F148" s="164" t="s">
        <v>121</v>
      </c>
      <c r="G148" s="161">
        <v>1</v>
      </c>
      <c r="H148" s="185">
        <v>2000</v>
      </c>
      <c r="I148" s="216">
        <v>0</v>
      </c>
      <c r="J148" s="185">
        <f t="shared" si="22"/>
        <v>2000</v>
      </c>
      <c r="K148" s="217">
        <f t="shared" si="23"/>
        <v>2000</v>
      </c>
      <c r="M148" s="170"/>
      <c r="N148" s="170"/>
      <c r="O148" s="170"/>
      <c r="P148" s="170"/>
      <c r="Q148" s="170"/>
      <c r="R148" s="170"/>
      <c r="S148" s="170"/>
      <c r="T148" s="170"/>
      <c r="U148" s="170"/>
      <c r="V148" s="170"/>
      <c r="W148" s="170"/>
      <c r="X148" s="219"/>
    </row>
    <row r="149" spans="1:24">
      <c r="A149" s="37" t="s">
        <v>366</v>
      </c>
      <c r="B149" s="164" t="s">
        <v>367</v>
      </c>
      <c r="C149" s="164" t="s">
        <v>103</v>
      </c>
      <c r="D149" s="164" t="s">
        <v>115</v>
      </c>
      <c r="E149" s="164" t="s">
        <v>110</v>
      </c>
      <c r="F149" s="164" t="s">
        <v>121</v>
      </c>
      <c r="G149" s="167">
        <v>1</v>
      </c>
      <c r="H149" s="185">
        <v>15000</v>
      </c>
      <c r="I149" s="216">
        <v>0</v>
      </c>
      <c r="J149" s="185">
        <f t="shared" si="22"/>
        <v>15000</v>
      </c>
      <c r="K149" s="217">
        <f t="shared" si="23"/>
        <v>15000</v>
      </c>
      <c r="M149" s="170" t="s">
        <v>912</v>
      </c>
      <c r="N149" s="170"/>
      <c r="O149" s="170"/>
      <c r="P149" s="170"/>
      <c r="Q149" s="170"/>
      <c r="R149" s="170"/>
      <c r="S149" s="170"/>
      <c r="T149" s="170"/>
      <c r="U149" s="170"/>
      <c r="V149" s="170"/>
      <c r="W149" s="170"/>
      <c r="X149" s="219"/>
    </row>
    <row r="150" spans="1:24">
      <c r="A150" s="37" t="s">
        <v>368</v>
      </c>
      <c r="B150" s="164" t="s">
        <v>369</v>
      </c>
      <c r="C150" s="164" t="s">
        <v>103</v>
      </c>
      <c r="D150" s="164" t="s">
        <v>115</v>
      </c>
      <c r="E150" s="164" t="s">
        <v>370</v>
      </c>
      <c r="F150" s="164" t="s">
        <v>10</v>
      </c>
      <c r="G150" s="167">
        <f>$E$8</f>
        <v>194</v>
      </c>
      <c r="H150" s="185">
        <v>153</v>
      </c>
      <c r="I150" s="216">
        <v>0</v>
      </c>
      <c r="J150" s="185">
        <f t="shared" si="22"/>
        <v>153</v>
      </c>
      <c r="K150" s="217">
        <f t="shared" si="23"/>
        <v>29682</v>
      </c>
      <c r="M150" s="170"/>
      <c r="N150" s="170"/>
      <c r="O150" s="170"/>
      <c r="P150" s="170"/>
      <c r="Q150" s="170"/>
      <c r="R150" s="170"/>
      <c r="S150" s="170"/>
      <c r="T150" s="170"/>
      <c r="U150" s="170"/>
      <c r="V150" s="170"/>
      <c r="W150" s="170"/>
      <c r="X150" s="219"/>
    </row>
    <row r="151" spans="1:24">
      <c r="A151" s="37" t="s">
        <v>371</v>
      </c>
      <c r="B151" s="164" t="s">
        <v>372</v>
      </c>
      <c r="C151" s="164" t="s">
        <v>103</v>
      </c>
      <c r="D151" s="164" t="s">
        <v>115</v>
      </c>
      <c r="E151" s="164" t="s">
        <v>116</v>
      </c>
      <c r="F151" s="164" t="s">
        <v>10</v>
      </c>
      <c r="G151" s="167">
        <f>$E$8</f>
        <v>194</v>
      </c>
      <c r="H151" s="185">
        <v>220</v>
      </c>
      <c r="I151" s="216">
        <v>0</v>
      </c>
      <c r="J151" s="185">
        <f t="shared" si="22"/>
        <v>220</v>
      </c>
      <c r="K151" s="217">
        <f t="shared" si="23"/>
        <v>42680</v>
      </c>
      <c r="M151" s="170"/>
      <c r="N151" s="170"/>
      <c r="O151" s="170"/>
      <c r="P151" s="170"/>
      <c r="Q151" s="170"/>
      <c r="R151" s="170"/>
      <c r="S151" s="170"/>
      <c r="T151" s="170"/>
      <c r="U151" s="170"/>
      <c r="V151" s="170"/>
      <c r="W151" s="170"/>
      <c r="X151" s="219"/>
    </row>
    <row r="152" spans="1:24">
      <c r="A152" s="37" t="s">
        <v>373</v>
      </c>
      <c r="B152" s="164" t="s">
        <v>374</v>
      </c>
      <c r="C152" s="164" t="s">
        <v>103</v>
      </c>
      <c r="D152" s="164" t="s">
        <v>115</v>
      </c>
      <c r="E152" s="164" t="s">
        <v>116</v>
      </c>
      <c r="F152" s="164" t="s">
        <v>32</v>
      </c>
      <c r="G152" s="161">
        <f>8+4+3+2+2+2</f>
        <v>21</v>
      </c>
      <c r="H152" s="185">
        <v>2500</v>
      </c>
      <c r="I152" s="216">
        <v>0</v>
      </c>
      <c r="J152" s="185">
        <f t="shared" si="22"/>
        <v>2500</v>
      </c>
      <c r="K152" s="217">
        <f t="shared" si="23"/>
        <v>52500</v>
      </c>
      <c r="M152" s="170"/>
      <c r="N152" s="170"/>
      <c r="O152" s="170"/>
      <c r="P152" s="170"/>
      <c r="Q152" s="170"/>
      <c r="R152" s="170"/>
      <c r="S152" s="170"/>
      <c r="T152" s="170"/>
      <c r="U152" s="170"/>
      <c r="V152" s="170"/>
      <c r="W152" s="170"/>
      <c r="X152" s="219"/>
    </row>
    <row r="153" spans="1:24">
      <c r="A153" s="37" t="s">
        <v>377</v>
      </c>
      <c r="B153" s="164" t="s">
        <v>374</v>
      </c>
      <c r="C153" s="164" t="s">
        <v>103</v>
      </c>
      <c r="D153" s="164" t="s">
        <v>115</v>
      </c>
      <c r="E153" s="164" t="s">
        <v>116</v>
      </c>
      <c r="F153" s="164" t="s">
        <v>32</v>
      </c>
      <c r="G153" s="161">
        <v>4</v>
      </c>
      <c r="H153" s="185">
        <v>8500</v>
      </c>
      <c r="I153" s="216">
        <v>0</v>
      </c>
      <c r="J153" s="185">
        <f t="shared" si="22"/>
        <v>8500</v>
      </c>
      <c r="K153" s="217">
        <f t="shared" si="23"/>
        <v>34000</v>
      </c>
      <c r="M153" s="170"/>
      <c r="N153" s="170"/>
      <c r="O153" s="170"/>
      <c r="P153" s="170"/>
      <c r="Q153" s="170"/>
      <c r="R153" s="170"/>
      <c r="S153" s="170"/>
      <c r="T153" s="170"/>
      <c r="U153" s="170"/>
      <c r="V153" s="170"/>
      <c r="W153" s="170"/>
      <c r="X153" s="219"/>
    </row>
    <row r="154" spans="1:24">
      <c r="A154" s="33" t="s">
        <v>378</v>
      </c>
      <c r="B154" s="305" t="s">
        <v>379</v>
      </c>
      <c r="C154" s="305"/>
      <c r="D154" s="305"/>
      <c r="E154" s="305"/>
      <c r="F154" s="305"/>
      <c r="G154" s="306"/>
      <c r="H154" s="307"/>
      <c r="I154" s="308"/>
      <c r="J154" s="307"/>
      <c r="K154" s="421"/>
      <c r="L154" s="230">
        <f>SUM(K155)</f>
        <v>621090.50256410253</v>
      </c>
      <c r="M154" s="170"/>
      <c r="N154" s="170"/>
      <c r="O154" s="170"/>
      <c r="P154" s="170"/>
      <c r="Q154" s="170"/>
      <c r="R154" s="170"/>
      <c r="S154" s="170"/>
      <c r="T154" s="170"/>
      <c r="U154" s="170"/>
      <c r="V154" s="170"/>
      <c r="W154" s="170"/>
      <c r="X154" s="219"/>
    </row>
    <row r="155" spans="1:24">
      <c r="A155" s="34" t="s">
        <v>380</v>
      </c>
      <c r="B155" s="226" t="s">
        <v>381</v>
      </c>
      <c r="C155" s="226" t="s">
        <v>103</v>
      </c>
      <c r="D155" s="226" t="s">
        <v>115</v>
      </c>
      <c r="E155" s="226" t="s">
        <v>195</v>
      </c>
      <c r="F155" s="226" t="s">
        <v>10</v>
      </c>
      <c r="G155" s="168">
        <f>$E$8</f>
        <v>194</v>
      </c>
      <c r="H155" s="225">
        <v>3201.4974358974359</v>
      </c>
      <c r="I155" s="311">
        <v>0</v>
      </c>
      <c r="J155" s="312">
        <f t="shared" ref="J155" si="24">H155*(1+I155)</f>
        <v>3201.4974358974359</v>
      </c>
      <c r="K155" s="313">
        <f>J155*G155</f>
        <v>621090.50256410253</v>
      </c>
      <c r="M155" s="170"/>
      <c r="N155" s="170"/>
      <c r="O155" s="170"/>
      <c r="P155" s="170"/>
      <c r="Q155" s="170"/>
      <c r="R155" s="170"/>
      <c r="S155" s="170"/>
      <c r="T155" s="170"/>
      <c r="U155" s="170"/>
      <c r="V155" s="170"/>
      <c r="W155" s="170"/>
      <c r="X155" s="219"/>
    </row>
    <row r="156" spans="1:24">
      <c r="A156" s="33" t="s">
        <v>382</v>
      </c>
      <c r="B156" s="305" t="s">
        <v>383</v>
      </c>
      <c r="C156" s="305"/>
      <c r="D156" s="305"/>
      <c r="E156" s="343"/>
      <c r="F156" s="343"/>
      <c r="G156" s="147"/>
      <c r="H156" s="344"/>
      <c r="I156" s="345"/>
      <c r="J156" s="344"/>
      <c r="K156" s="346"/>
      <c r="L156" s="328">
        <f>SUM(K157:K164)</f>
        <v>1046615.3613445379</v>
      </c>
      <c r="M156" s="170"/>
      <c r="N156" s="170"/>
      <c r="O156" s="170"/>
      <c r="P156" s="170"/>
      <c r="Q156" s="170"/>
      <c r="R156" s="170"/>
      <c r="S156" s="170"/>
      <c r="T156" s="170"/>
      <c r="U156" s="170"/>
      <c r="V156" s="170"/>
      <c r="W156" s="170"/>
      <c r="X156" s="219"/>
    </row>
    <row r="157" spans="1:24">
      <c r="A157" s="35" t="s">
        <v>184</v>
      </c>
      <c r="B157" s="176" t="s">
        <v>384</v>
      </c>
      <c r="C157" s="176" t="s">
        <v>103</v>
      </c>
      <c r="D157" s="176" t="s">
        <v>186</v>
      </c>
      <c r="E157" s="176" t="s">
        <v>118</v>
      </c>
      <c r="F157" s="176">
        <v>0</v>
      </c>
      <c r="G157" s="167">
        <v>0</v>
      </c>
      <c r="H157" s="413">
        <v>0</v>
      </c>
      <c r="I157" s="414">
        <v>0</v>
      </c>
      <c r="J157" s="415">
        <f t="shared" ref="J157:J164" si="25">H157*(1+I157)</f>
        <v>0</v>
      </c>
      <c r="K157" s="416">
        <f t="shared" ref="K157:K164" si="26">J157*G157</f>
        <v>0</v>
      </c>
      <c r="M157" s="170" t="s">
        <v>864</v>
      </c>
      <c r="N157" s="170"/>
      <c r="O157" s="170"/>
      <c r="P157" s="170"/>
      <c r="Q157" s="170"/>
      <c r="R157" s="170"/>
      <c r="S157" s="170"/>
      <c r="T157" s="170"/>
      <c r="U157" s="170"/>
      <c r="V157" s="170"/>
      <c r="W157" s="170"/>
      <c r="X157" s="219"/>
    </row>
    <row r="158" spans="1:24">
      <c r="A158" s="37" t="s">
        <v>385</v>
      </c>
      <c r="B158" s="164" t="s">
        <v>386</v>
      </c>
      <c r="C158" s="164" t="s">
        <v>103</v>
      </c>
      <c r="D158" s="164" t="s">
        <v>115</v>
      </c>
      <c r="E158" s="164" t="s">
        <v>246</v>
      </c>
      <c r="F158" s="164" t="s">
        <v>235</v>
      </c>
      <c r="G158" s="167">
        <f>$E$8</f>
        <v>194</v>
      </c>
      <c r="H158" s="185">
        <v>377.77731092436977</v>
      </c>
      <c r="I158" s="216">
        <v>0</v>
      </c>
      <c r="J158" s="185">
        <f t="shared" si="25"/>
        <v>377.77731092436977</v>
      </c>
      <c r="K158" s="217">
        <f t="shared" si="26"/>
        <v>73288.798319327732</v>
      </c>
      <c r="M158" s="357" t="s">
        <v>865</v>
      </c>
      <c r="N158" s="357"/>
      <c r="O158" s="357"/>
      <c r="P158" s="357"/>
      <c r="Q158" s="357"/>
      <c r="R158" s="357"/>
      <c r="S158" s="357"/>
      <c r="T158" s="357"/>
      <c r="U158" s="357"/>
      <c r="V158" s="357"/>
      <c r="W158" s="357"/>
      <c r="X158" s="219"/>
    </row>
    <row r="159" spans="1:24">
      <c r="A159" s="172" t="s">
        <v>387</v>
      </c>
      <c r="B159" s="164" t="s">
        <v>388</v>
      </c>
      <c r="C159" s="164" t="s">
        <v>103</v>
      </c>
      <c r="D159" s="164" t="s">
        <v>115</v>
      </c>
      <c r="E159" s="164" t="s">
        <v>246</v>
      </c>
      <c r="F159" s="164" t="s">
        <v>10</v>
      </c>
      <c r="G159" s="167">
        <f>$E$8</f>
        <v>194</v>
      </c>
      <c r="H159" s="185">
        <v>3148</v>
      </c>
      <c r="I159" s="216">
        <v>0</v>
      </c>
      <c r="J159" s="185">
        <f t="shared" si="25"/>
        <v>3148</v>
      </c>
      <c r="K159" s="217">
        <f t="shared" si="26"/>
        <v>610712</v>
      </c>
      <c r="M159" s="170" t="s">
        <v>913</v>
      </c>
      <c r="N159" s="170"/>
      <c r="O159" s="170"/>
      <c r="P159" s="170"/>
      <c r="Q159" s="170"/>
      <c r="R159" s="170"/>
      <c r="S159" s="170"/>
      <c r="T159" s="170"/>
      <c r="U159" s="170"/>
      <c r="V159" s="170"/>
      <c r="W159" s="170"/>
      <c r="X159" s="219"/>
    </row>
    <row r="160" spans="1:24">
      <c r="A160" s="37" t="s">
        <v>389</v>
      </c>
      <c r="B160" s="164" t="s">
        <v>390</v>
      </c>
      <c r="C160" s="164" t="s">
        <v>103</v>
      </c>
      <c r="D160" s="164" t="s">
        <v>115</v>
      </c>
      <c r="E160" s="164" t="s">
        <v>110</v>
      </c>
      <c r="F160" s="164" t="s">
        <v>121</v>
      </c>
      <c r="G160" s="161">
        <v>1</v>
      </c>
      <c r="H160" s="185">
        <v>17500</v>
      </c>
      <c r="I160" s="216">
        <v>0</v>
      </c>
      <c r="J160" s="185">
        <f t="shared" si="25"/>
        <v>17500</v>
      </c>
      <c r="K160" s="217">
        <f t="shared" si="26"/>
        <v>17500</v>
      </c>
      <c r="M160" s="170"/>
      <c r="N160" s="170"/>
      <c r="O160" s="170"/>
      <c r="P160" s="170"/>
      <c r="Q160" s="170"/>
      <c r="R160" s="170"/>
      <c r="S160" s="170"/>
      <c r="T160" s="170"/>
      <c r="U160" s="170"/>
      <c r="V160" s="170"/>
      <c r="W160" s="170"/>
      <c r="X160" s="219"/>
    </row>
    <row r="161" spans="1:24">
      <c r="A161" s="172" t="s">
        <v>391</v>
      </c>
      <c r="B161" s="164" t="s">
        <v>392</v>
      </c>
      <c r="C161" s="164" t="s">
        <v>103</v>
      </c>
      <c r="D161" s="164" t="s">
        <v>115</v>
      </c>
      <c r="E161" s="164" t="s">
        <v>246</v>
      </c>
      <c r="F161" s="164" t="s">
        <v>10</v>
      </c>
      <c r="G161" s="167">
        <f>$E$8</f>
        <v>194</v>
      </c>
      <c r="H161" s="185">
        <v>1567.6008403361345</v>
      </c>
      <c r="I161" s="216">
        <v>0</v>
      </c>
      <c r="J161" s="185">
        <f t="shared" si="25"/>
        <v>1567.6008403361345</v>
      </c>
      <c r="K161" s="217">
        <f t="shared" si="26"/>
        <v>304114.56302521011</v>
      </c>
      <c r="M161" s="170" t="s">
        <v>914</v>
      </c>
      <c r="N161" s="170"/>
      <c r="O161" s="170"/>
      <c r="P161" s="170"/>
      <c r="Q161" s="170"/>
      <c r="R161" s="170"/>
      <c r="S161" s="170"/>
      <c r="T161" s="170"/>
      <c r="U161" s="170"/>
      <c r="V161" s="170"/>
      <c r="W161" s="170"/>
      <c r="X161" s="219"/>
    </row>
    <row r="162" spans="1:24">
      <c r="A162" s="172" t="s">
        <v>394</v>
      </c>
      <c r="B162" s="164" t="s">
        <v>395</v>
      </c>
      <c r="C162" s="164" t="s">
        <v>281</v>
      </c>
      <c r="D162" s="164" t="s">
        <v>115</v>
      </c>
      <c r="E162" s="164" t="s">
        <v>110</v>
      </c>
      <c r="F162" s="164" t="s">
        <v>121</v>
      </c>
      <c r="G162" s="161">
        <v>1</v>
      </c>
      <c r="H162" s="185">
        <v>35000</v>
      </c>
      <c r="I162" s="216">
        <v>0</v>
      </c>
      <c r="J162" s="185">
        <f t="shared" si="25"/>
        <v>35000</v>
      </c>
      <c r="K162" s="217">
        <f t="shared" si="26"/>
        <v>35000</v>
      </c>
      <c r="M162" s="170"/>
      <c r="N162" s="170"/>
      <c r="O162" s="170"/>
      <c r="P162" s="170"/>
      <c r="Q162" s="170"/>
      <c r="R162" s="170"/>
      <c r="S162" s="170"/>
      <c r="T162" s="170"/>
      <c r="U162" s="170"/>
      <c r="V162" s="170"/>
      <c r="W162" s="170"/>
      <c r="X162" s="219"/>
    </row>
    <row r="163" spans="1:24">
      <c r="A163" s="37" t="s">
        <v>397</v>
      </c>
      <c r="B163" s="164" t="s">
        <v>398</v>
      </c>
      <c r="C163" s="164" t="s">
        <v>103</v>
      </c>
      <c r="D163" s="164" t="s">
        <v>130</v>
      </c>
      <c r="E163" s="164" t="s">
        <v>118</v>
      </c>
      <c r="F163" s="164"/>
      <c r="G163" s="161"/>
      <c r="H163" s="185"/>
      <c r="I163" s="216">
        <v>0</v>
      </c>
      <c r="J163" s="185">
        <f t="shared" si="25"/>
        <v>0</v>
      </c>
      <c r="K163" s="217">
        <f t="shared" si="26"/>
        <v>0</v>
      </c>
      <c r="M163" s="170"/>
      <c r="N163" s="170"/>
      <c r="O163" s="170"/>
      <c r="P163" s="170"/>
      <c r="Q163" s="170"/>
      <c r="R163" s="170"/>
      <c r="S163" s="170"/>
      <c r="T163" s="170"/>
      <c r="U163" s="170"/>
      <c r="V163" s="170"/>
      <c r="W163" s="170"/>
      <c r="X163" s="219"/>
    </row>
    <row r="164" spans="1:24">
      <c r="A164" s="37" t="s">
        <v>399</v>
      </c>
      <c r="B164" s="164" t="s">
        <v>400</v>
      </c>
      <c r="C164" s="164" t="s">
        <v>103</v>
      </c>
      <c r="D164" s="164" t="s">
        <v>130</v>
      </c>
      <c r="E164" s="164" t="s">
        <v>110</v>
      </c>
      <c r="F164" s="164" t="s">
        <v>121</v>
      </c>
      <c r="G164" s="161">
        <v>1</v>
      </c>
      <c r="H164" s="185">
        <v>6000</v>
      </c>
      <c r="I164" s="216">
        <v>0</v>
      </c>
      <c r="J164" s="185">
        <f t="shared" si="25"/>
        <v>6000</v>
      </c>
      <c r="K164" s="217">
        <f t="shared" si="26"/>
        <v>6000</v>
      </c>
      <c r="M164" s="170"/>
      <c r="N164" s="170"/>
      <c r="O164" s="170"/>
      <c r="P164" s="170"/>
      <c r="Q164" s="170"/>
      <c r="R164" s="170"/>
      <c r="S164" s="170"/>
      <c r="T164" s="170"/>
      <c r="U164" s="170"/>
      <c r="V164" s="170"/>
      <c r="W164" s="170"/>
      <c r="X164" s="219"/>
    </row>
    <row r="165" spans="1:24">
      <c r="A165" s="33" t="s">
        <v>402</v>
      </c>
      <c r="B165" s="305" t="s">
        <v>403</v>
      </c>
      <c r="C165" s="305"/>
      <c r="D165" s="305"/>
      <c r="E165" s="343"/>
      <c r="F165" s="343"/>
      <c r="G165" s="147"/>
      <c r="H165" s="344"/>
      <c r="I165" s="345"/>
      <c r="J165" s="344"/>
      <c r="K165" s="346"/>
      <c r="L165" s="230">
        <f>SUM(K166:K168)</f>
        <v>572485</v>
      </c>
      <c r="M165" s="170"/>
      <c r="N165" s="170"/>
      <c r="O165" s="170"/>
      <c r="P165" s="170"/>
      <c r="Q165" s="170"/>
      <c r="R165" s="170"/>
      <c r="S165" s="170"/>
      <c r="T165" s="170"/>
      <c r="U165" s="170"/>
      <c r="V165" s="170"/>
      <c r="W165" s="170"/>
      <c r="X165" s="219"/>
    </row>
    <row r="166" spans="1:24">
      <c r="A166" s="35" t="s">
        <v>404</v>
      </c>
      <c r="B166" s="176" t="s">
        <v>405</v>
      </c>
      <c r="C166" s="176" t="s">
        <v>103</v>
      </c>
      <c r="D166" s="176" t="s">
        <v>130</v>
      </c>
      <c r="E166" s="176" t="s">
        <v>116</v>
      </c>
      <c r="F166" s="176" t="s">
        <v>121</v>
      </c>
      <c r="G166" s="167">
        <f>$O$7</f>
        <v>1</v>
      </c>
      <c r="H166" s="413">
        <v>245000</v>
      </c>
      <c r="I166" s="414">
        <v>0</v>
      </c>
      <c r="J166" s="415">
        <f t="shared" ref="J166:J168" si="27">H166*(1+I166)</f>
        <v>245000</v>
      </c>
      <c r="K166" s="416">
        <f>J166*G166</f>
        <v>245000</v>
      </c>
      <c r="M166" s="170"/>
      <c r="N166" s="170"/>
      <c r="O166" s="170"/>
      <c r="P166" s="170"/>
      <c r="Q166" s="170"/>
      <c r="R166" s="170"/>
      <c r="S166" s="170"/>
      <c r="T166" s="170"/>
      <c r="U166" s="170"/>
      <c r="V166" s="170"/>
      <c r="W166" s="170"/>
      <c r="X166" s="219"/>
    </row>
    <row r="167" spans="1:24">
      <c r="A167" s="37" t="s">
        <v>68</v>
      </c>
      <c r="B167" s="164" t="s">
        <v>406</v>
      </c>
      <c r="C167" s="164" t="s">
        <v>103</v>
      </c>
      <c r="D167" s="164" t="s">
        <v>346</v>
      </c>
      <c r="E167" s="164" t="s">
        <v>195</v>
      </c>
      <c r="F167" s="164" t="s">
        <v>121</v>
      </c>
      <c r="G167" s="161">
        <v>1</v>
      </c>
      <c r="H167" s="185">
        <f>Sheet3!F13</f>
        <v>320436</v>
      </c>
      <c r="I167" s="216">
        <v>0</v>
      </c>
      <c r="J167" s="185">
        <f t="shared" si="27"/>
        <v>320436</v>
      </c>
      <c r="K167" s="217">
        <f>J167*G167</f>
        <v>320436</v>
      </c>
      <c r="M167" s="170" t="s">
        <v>867</v>
      </c>
      <c r="N167" s="170"/>
      <c r="O167" s="170"/>
      <c r="P167" s="170"/>
      <c r="Q167" s="170"/>
      <c r="R167" s="170"/>
      <c r="S167" s="170"/>
      <c r="T167" s="170"/>
      <c r="U167" s="170"/>
      <c r="V167" s="170"/>
      <c r="W167" s="170"/>
      <c r="X167" s="219"/>
    </row>
    <row r="168" spans="1:24">
      <c r="A168" s="37" t="s">
        <v>408</v>
      </c>
      <c r="B168" s="164" t="s">
        <v>409</v>
      </c>
      <c r="C168" s="164" t="s">
        <v>103</v>
      </c>
      <c r="D168" s="164" t="s">
        <v>135</v>
      </c>
      <c r="E168" s="164" t="s">
        <v>246</v>
      </c>
      <c r="F168" s="164" t="s">
        <v>32</v>
      </c>
      <c r="G168" s="161">
        <f>$O$7</f>
        <v>1</v>
      </c>
      <c r="H168" s="185">
        <v>7049</v>
      </c>
      <c r="I168" s="216">
        <v>0</v>
      </c>
      <c r="J168" s="185">
        <f t="shared" si="27"/>
        <v>7049</v>
      </c>
      <c r="K168" s="217">
        <f>J168*G168</f>
        <v>7049</v>
      </c>
      <c r="M168" s="170"/>
      <c r="N168" s="170"/>
      <c r="O168" s="170"/>
      <c r="P168" s="170"/>
      <c r="Q168" s="170"/>
      <c r="R168" s="170"/>
      <c r="S168" s="170"/>
      <c r="T168" s="170"/>
      <c r="U168" s="170"/>
      <c r="V168" s="170"/>
      <c r="W168" s="170"/>
      <c r="X168" s="219"/>
    </row>
    <row r="169" spans="1:24">
      <c r="A169" s="33" t="s">
        <v>410</v>
      </c>
      <c r="B169" s="305" t="s">
        <v>411</v>
      </c>
      <c r="C169" s="305"/>
      <c r="D169" s="305"/>
      <c r="E169" s="343"/>
      <c r="F169" s="343"/>
      <c r="G169" s="147"/>
      <c r="H169" s="344"/>
      <c r="I169" s="345"/>
      <c r="J169" s="344"/>
      <c r="K169" s="346"/>
      <c r="L169" s="230">
        <f>SUM(K170)</f>
        <v>0</v>
      </c>
      <c r="M169" s="170"/>
      <c r="N169" s="170"/>
      <c r="O169" s="170"/>
      <c r="P169" s="170"/>
      <c r="Q169" s="170"/>
      <c r="R169" s="170"/>
      <c r="S169" s="170"/>
      <c r="T169" s="170"/>
      <c r="U169" s="170"/>
      <c r="V169" s="170"/>
      <c r="W169" s="170"/>
      <c r="X169" s="219"/>
    </row>
    <row r="170" spans="1:24">
      <c r="A170" s="34" t="s">
        <v>410</v>
      </c>
      <c r="B170" s="226" t="s">
        <v>411</v>
      </c>
      <c r="C170" s="226" t="s">
        <v>103</v>
      </c>
      <c r="D170" s="226" t="s">
        <v>115</v>
      </c>
      <c r="E170" s="351" t="s">
        <v>118</v>
      </c>
      <c r="F170" s="351"/>
      <c r="G170" s="352"/>
      <c r="H170" s="353"/>
      <c r="I170" s="354">
        <v>0</v>
      </c>
      <c r="J170" s="355">
        <f t="shared" ref="J170" si="28">H170*(1+I170)</f>
        <v>0</v>
      </c>
      <c r="K170" s="356">
        <f>J170*G170</f>
        <v>0</v>
      </c>
      <c r="M170" s="170"/>
      <c r="N170" s="170"/>
      <c r="O170" s="170"/>
      <c r="P170" s="170"/>
      <c r="Q170" s="170"/>
      <c r="R170" s="170"/>
      <c r="S170" s="170"/>
      <c r="T170" s="170"/>
      <c r="U170" s="170"/>
      <c r="V170" s="170"/>
      <c r="W170" s="170"/>
      <c r="X170" s="219"/>
    </row>
    <row r="171" spans="1:24">
      <c r="A171" s="33" t="s">
        <v>412</v>
      </c>
      <c r="B171" s="305" t="s">
        <v>413</v>
      </c>
      <c r="C171" s="305"/>
      <c r="D171" s="305"/>
      <c r="E171" s="343"/>
      <c r="F171" s="343"/>
      <c r="G171" s="147"/>
      <c r="H171" s="344"/>
      <c r="I171" s="345"/>
      <c r="J171" s="344"/>
      <c r="K171" s="346"/>
      <c r="L171" s="230">
        <f>SUM(K172:K173)</f>
        <v>323200</v>
      </c>
      <c r="M171" s="170"/>
      <c r="N171" s="170"/>
      <c r="O171" s="170"/>
      <c r="P171" s="170"/>
      <c r="Q171" s="170"/>
      <c r="R171" s="170"/>
      <c r="S171" s="170"/>
      <c r="T171" s="170"/>
      <c r="U171" s="170"/>
      <c r="V171" s="170"/>
      <c r="W171" s="170"/>
      <c r="X171" s="219"/>
    </row>
    <row r="172" spans="1:24">
      <c r="A172" s="35" t="s">
        <v>414</v>
      </c>
      <c r="B172" s="176" t="s">
        <v>415</v>
      </c>
      <c r="C172" s="176" t="s">
        <v>103</v>
      </c>
      <c r="D172" s="176" t="s">
        <v>115</v>
      </c>
      <c r="E172" s="176" t="s">
        <v>116</v>
      </c>
      <c r="F172" s="176" t="s">
        <v>416</v>
      </c>
      <c r="G172" s="167">
        <f>O4</f>
        <v>8</v>
      </c>
      <c r="H172" s="413">
        <v>38775</v>
      </c>
      <c r="I172" s="414">
        <v>0</v>
      </c>
      <c r="J172" s="415">
        <f t="shared" ref="J172:J173" si="29">H172*(1+I172)</f>
        <v>38775</v>
      </c>
      <c r="K172" s="416">
        <f>J172*G172</f>
        <v>310200</v>
      </c>
      <c r="M172" s="170"/>
      <c r="N172" s="170"/>
      <c r="O172" s="170"/>
      <c r="P172" s="170"/>
      <c r="Q172" s="170"/>
      <c r="R172" s="170"/>
      <c r="S172" s="170"/>
      <c r="T172" s="170"/>
      <c r="U172" s="170"/>
      <c r="V172" s="170"/>
      <c r="W172" s="170"/>
      <c r="X172" s="219"/>
    </row>
    <row r="173" spans="1:24">
      <c r="A173" s="37" t="s">
        <v>417</v>
      </c>
      <c r="B173" s="164" t="s">
        <v>418</v>
      </c>
      <c r="C173" s="164" t="s">
        <v>103</v>
      </c>
      <c r="D173" s="164" t="s">
        <v>130</v>
      </c>
      <c r="E173" s="164" t="s">
        <v>110</v>
      </c>
      <c r="F173" s="164" t="s">
        <v>32</v>
      </c>
      <c r="G173" s="161">
        <f>$O$7*2</f>
        <v>2</v>
      </c>
      <c r="H173" s="185">
        <v>6500</v>
      </c>
      <c r="I173" s="216">
        <v>0</v>
      </c>
      <c r="J173" s="185">
        <f t="shared" si="29"/>
        <v>6500</v>
      </c>
      <c r="K173" s="217">
        <f>J173*G173</f>
        <v>13000</v>
      </c>
      <c r="M173" s="170"/>
      <c r="N173" s="170"/>
      <c r="O173" s="170"/>
      <c r="P173" s="170"/>
      <c r="Q173" s="170"/>
      <c r="R173" s="170"/>
      <c r="S173" s="170"/>
      <c r="T173" s="170"/>
      <c r="U173" s="170"/>
      <c r="V173" s="170"/>
      <c r="W173" s="170"/>
      <c r="X173" s="219"/>
    </row>
    <row r="174" spans="1:24">
      <c r="A174" s="33" t="s">
        <v>419</v>
      </c>
      <c r="B174" s="305" t="s">
        <v>420</v>
      </c>
      <c r="C174" s="305"/>
      <c r="D174" s="305"/>
      <c r="E174" s="305"/>
      <c r="F174" s="305"/>
      <c r="G174" s="306"/>
      <c r="H174" s="307"/>
      <c r="I174" s="308"/>
      <c r="J174" s="307"/>
      <c r="K174" s="421"/>
      <c r="L174" s="230">
        <f>SUM(K175:K177)</f>
        <v>623908.05000000005</v>
      </c>
      <c r="M174" s="170"/>
      <c r="N174" s="170"/>
      <c r="O174" s="170"/>
      <c r="P174" s="170"/>
      <c r="Q174" s="170"/>
      <c r="R174" s="170"/>
      <c r="S174" s="170"/>
      <c r="T174" s="170"/>
      <c r="U174" s="170"/>
      <c r="V174" s="170"/>
      <c r="W174" s="170"/>
      <c r="X174" s="219"/>
    </row>
    <row r="175" spans="1:24">
      <c r="A175" s="35" t="s">
        <v>421</v>
      </c>
      <c r="B175" s="176" t="s">
        <v>422</v>
      </c>
      <c r="C175" s="176" t="s">
        <v>103</v>
      </c>
      <c r="D175" s="176" t="s">
        <v>115</v>
      </c>
      <c r="E175" s="176" t="s">
        <v>110</v>
      </c>
      <c r="F175" s="176" t="s">
        <v>121</v>
      </c>
      <c r="G175" s="167">
        <v>1</v>
      </c>
      <c r="H175" s="413">
        <v>10000</v>
      </c>
      <c r="I175" s="414">
        <v>0</v>
      </c>
      <c r="J175" s="415">
        <f t="shared" ref="J175:J177" si="30">H175*(1+I175)</f>
        <v>10000</v>
      </c>
      <c r="K175" s="416">
        <f>J175*G175</f>
        <v>10000</v>
      </c>
      <c r="M175" s="170"/>
      <c r="N175" s="170"/>
      <c r="O175" s="170"/>
      <c r="P175" s="170"/>
      <c r="Q175" s="170"/>
      <c r="R175" s="170"/>
      <c r="S175" s="170"/>
      <c r="T175" s="170"/>
      <c r="U175" s="170"/>
      <c r="V175" s="170"/>
      <c r="W175" s="170"/>
      <c r="X175" s="219"/>
    </row>
    <row r="176" spans="1:24">
      <c r="A176" s="37" t="s">
        <v>423</v>
      </c>
      <c r="B176" s="164" t="s">
        <v>424</v>
      </c>
      <c r="C176" s="164" t="s">
        <v>103</v>
      </c>
      <c r="D176" s="164" t="s">
        <v>115</v>
      </c>
      <c r="E176" s="164" t="s">
        <v>116</v>
      </c>
      <c r="F176" s="164" t="s">
        <v>15</v>
      </c>
      <c r="G176" s="161">
        <f t="shared" ref="G176:G187" si="31">$B$8</f>
        <v>196289</v>
      </c>
      <c r="H176" s="185">
        <v>2.4500000000000002</v>
      </c>
      <c r="I176" s="216">
        <v>0</v>
      </c>
      <c r="J176" s="185">
        <f t="shared" si="30"/>
        <v>2.4500000000000002</v>
      </c>
      <c r="K176" s="217">
        <f>J176*G176</f>
        <v>480908.05000000005</v>
      </c>
      <c r="M176" s="170"/>
      <c r="N176" s="170"/>
      <c r="O176" s="170"/>
      <c r="P176" s="170"/>
      <c r="Q176" s="170"/>
      <c r="R176" s="170"/>
      <c r="S176" s="170"/>
      <c r="T176" s="170"/>
      <c r="U176" s="170"/>
      <c r="V176" s="170"/>
      <c r="W176" s="170"/>
      <c r="X176" s="219"/>
    </row>
    <row r="177" spans="1:24">
      <c r="A177" s="37" t="s">
        <v>425</v>
      </c>
      <c r="B177" s="164" t="s">
        <v>426</v>
      </c>
      <c r="C177" s="164" t="s">
        <v>103</v>
      </c>
      <c r="D177" s="164" t="s">
        <v>123</v>
      </c>
      <c r="E177" s="164" t="s">
        <v>116</v>
      </c>
      <c r="F177" s="164" t="s">
        <v>32</v>
      </c>
      <c r="G177" s="161">
        <v>1</v>
      </c>
      <c r="H177" s="185">
        <v>133000</v>
      </c>
      <c r="I177" s="216">
        <v>0</v>
      </c>
      <c r="J177" s="185">
        <f t="shared" si="30"/>
        <v>133000</v>
      </c>
      <c r="K177" s="217">
        <f>J177*G177</f>
        <v>133000</v>
      </c>
      <c r="M177" s="170"/>
      <c r="N177" s="170"/>
      <c r="O177" s="170"/>
      <c r="P177" s="170"/>
      <c r="Q177" s="170"/>
      <c r="R177" s="170"/>
      <c r="S177" s="170"/>
      <c r="T177" s="170"/>
      <c r="U177" s="170"/>
      <c r="V177" s="170"/>
      <c r="W177" s="170"/>
      <c r="X177" s="219"/>
    </row>
    <row r="178" spans="1:24">
      <c r="A178" s="33" t="s">
        <v>427</v>
      </c>
      <c r="B178" s="305" t="s">
        <v>428</v>
      </c>
      <c r="C178" s="305"/>
      <c r="D178" s="305"/>
      <c r="E178" s="343"/>
      <c r="F178" s="343"/>
      <c r="G178" s="147"/>
      <c r="H178" s="344"/>
      <c r="I178" s="345"/>
      <c r="J178" s="344"/>
      <c r="K178" s="346"/>
      <c r="L178" s="230">
        <f>SUM(K179:K183)</f>
        <v>2072717.2631578948</v>
      </c>
      <c r="M178" s="522"/>
      <c r="N178" s="170"/>
      <c r="O178" s="170"/>
      <c r="P178" s="170"/>
      <c r="Q178" s="170"/>
      <c r="R178" s="170"/>
      <c r="S178" s="170"/>
      <c r="T178" s="170"/>
      <c r="U178" s="170"/>
      <c r="V178" s="170"/>
      <c r="W178" s="170"/>
      <c r="X178" s="219"/>
    </row>
    <row r="179" spans="1:24">
      <c r="A179" s="35" t="s">
        <v>429</v>
      </c>
      <c r="B179" s="176" t="s">
        <v>430</v>
      </c>
      <c r="C179" s="176" t="s">
        <v>103</v>
      </c>
      <c r="D179" s="176" t="s">
        <v>115</v>
      </c>
      <c r="E179" s="176" t="s">
        <v>116</v>
      </c>
      <c r="F179" s="176" t="s">
        <v>32</v>
      </c>
      <c r="G179" s="167">
        <f>E3+E4+E5</f>
        <v>194</v>
      </c>
      <c r="H179" s="520">
        <f>2000000/190</f>
        <v>10526.315789473685</v>
      </c>
      <c r="I179" s="414">
        <v>0</v>
      </c>
      <c r="J179" s="416">
        <f t="shared" ref="J179:J183" si="32">H179*(1+I179)</f>
        <v>10526.315789473685</v>
      </c>
      <c r="K179" s="416">
        <f>J179*G179</f>
        <v>2042105.2631578948</v>
      </c>
      <c r="M179" s="170" t="s">
        <v>915</v>
      </c>
      <c r="N179" s="170"/>
      <c r="O179" s="170"/>
      <c r="P179" s="170"/>
      <c r="Q179" s="170"/>
      <c r="R179" s="170"/>
      <c r="S179" s="170"/>
      <c r="T179" s="170"/>
      <c r="U179" s="170"/>
      <c r="V179" s="170"/>
      <c r="W179" s="170"/>
      <c r="X179" s="219"/>
    </row>
    <row r="180" spans="1:24">
      <c r="A180" s="37" t="s">
        <v>431</v>
      </c>
      <c r="B180" s="164" t="s">
        <v>430</v>
      </c>
      <c r="C180" s="164" t="s">
        <v>103</v>
      </c>
      <c r="D180" s="164" t="s">
        <v>115</v>
      </c>
      <c r="E180" s="176" t="s">
        <v>118</v>
      </c>
      <c r="F180" s="164">
        <v>0</v>
      </c>
      <c r="G180" s="161">
        <f>SUM(E6:E7)</f>
        <v>0</v>
      </c>
      <c r="H180" s="185">
        <v>0</v>
      </c>
      <c r="I180" s="216">
        <v>0</v>
      </c>
      <c r="J180" s="185">
        <f t="shared" si="32"/>
        <v>0</v>
      </c>
      <c r="K180" s="217">
        <f>J180*G180</f>
        <v>0</v>
      </c>
      <c r="M180" s="170"/>
      <c r="N180" s="170"/>
      <c r="O180" s="170"/>
      <c r="P180" s="170"/>
      <c r="Q180" s="170"/>
      <c r="R180" s="170"/>
      <c r="S180" s="170"/>
      <c r="T180" s="170"/>
      <c r="U180" s="170"/>
      <c r="V180" s="170"/>
      <c r="W180" s="170"/>
      <c r="X180" s="219"/>
    </row>
    <row r="181" spans="1:24">
      <c r="A181" s="37" t="s">
        <v>432</v>
      </c>
      <c r="B181" s="164"/>
      <c r="C181" s="164" t="s">
        <v>103</v>
      </c>
      <c r="D181" s="164" t="s">
        <v>115</v>
      </c>
      <c r="E181" s="164" t="s">
        <v>118</v>
      </c>
      <c r="F181" s="164">
        <v>0</v>
      </c>
      <c r="G181" s="161">
        <v>0</v>
      </c>
      <c r="H181" s="185">
        <v>0</v>
      </c>
      <c r="I181" s="216">
        <v>0</v>
      </c>
      <c r="J181" s="185">
        <f t="shared" si="32"/>
        <v>0</v>
      </c>
      <c r="K181" s="217">
        <f>J181*G181</f>
        <v>0</v>
      </c>
      <c r="M181" s="170"/>
      <c r="N181" s="170"/>
      <c r="O181" s="170"/>
      <c r="P181" s="170"/>
      <c r="Q181" s="170"/>
      <c r="R181" s="170"/>
      <c r="S181" s="170"/>
      <c r="T181" s="170"/>
      <c r="U181" s="170"/>
      <c r="V181" s="170"/>
      <c r="W181" s="170"/>
      <c r="X181" s="219"/>
    </row>
    <row r="182" spans="1:24">
      <c r="A182" s="37" t="s">
        <v>433</v>
      </c>
      <c r="B182" s="164" t="s">
        <v>434</v>
      </c>
      <c r="C182" s="164" t="s">
        <v>103</v>
      </c>
      <c r="D182" s="164" t="s">
        <v>130</v>
      </c>
      <c r="E182" s="164" t="s">
        <v>116</v>
      </c>
      <c r="F182" s="164" t="s">
        <v>121</v>
      </c>
      <c r="G182" s="161">
        <f>$O$7</f>
        <v>1</v>
      </c>
      <c r="H182" s="185">
        <v>24612</v>
      </c>
      <c r="I182" s="216">
        <v>0</v>
      </c>
      <c r="J182" s="185">
        <f t="shared" si="32"/>
        <v>24612</v>
      </c>
      <c r="K182" s="217">
        <f>J182*G182</f>
        <v>24612</v>
      </c>
      <c r="M182" s="170" t="s">
        <v>871</v>
      </c>
      <c r="N182" s="170"/>
      <c r="O182" s="170"/>
      <c r="P182" s="170"/>
      <c r="Q182" s="170"/>
      <c r="R182" s="170"/>
      <c r="S182" s="170"/>
      <c r="T182" s="170"/>
      <c r="U182" s="170"/>
      <c r="V182" s="170"/>
      <c r="W182" s="170"/>
      <c r="X182" s="219"/>
    </row>
    <row r="183" spans="1:24">
      <c r="A183" s="37" t="s">
        <v>435</v>
      </c>
      <c r="B183" s="164" t="s">
        <v>436</v>
      </c>
      <c r="C183" s="164" t="s">
        <v>103</v>
      </c>
      <c r="D183" s="164" t="s">
        <v>135</v>
      </c>
      <c r="E183" s="164" t="s">
        <v>110</v>
      </c>
      <c r="F183" s="164" t="s">
        <v>121</v>
      </c>
      <c r="G183" s="161">
        <f>$O$7</f>
        <v>1</v>
      </c>
      <c r="H183" s="185">
        <v>6000</v>
      </c>
      <c r="I183" s="216">
        <v>0</v>
      </c>
      <c r="J183" s="185">
        <f t="shared" si="32"/>
        <v>6000</v>
      </c>
      <c r="K183" s="217">
        <f>J183*G183</f>
        <v>6000</v>
      </c>
      <c r="M183" s="170" t="s">
        <v>871</v>
      </c>
      <c r="N183" s="170"/>
      <c r="O183" s="170"/>
      <c r="P183" s="170"/>
      <c r="Q183" s="170"/>
      <c r="R183" s="170"/>
      <c r="S183" s="170"/>
      <c r="T183" s="170"/>
      <c r="U183" s="170"/>
      <c r="V183" s="170"/>
      <c r="W183" s="170"/>
      <c r="X183" s="219"/>
    </row>
    <row r="184" spans="1:24">
      <c r="A184" s="33" t="s">
        <v>437</v>
      </c>
      <c r="B184" s="305" t="s">
        <v>438</v>
      </c>
      <c r="C184" s="305"/>
      <c r="D184" s="305"/>
      <c r="E184" s="305"/>
      <c r="F184" s="305"/>
      <c r="G184" s="306"/>
      <c r="H184" s="307"/>
      <c r="I184" s="308"/>
      <c r="J184" s="307"/>
      <c r="K184" s="421"/>
      <c r="L184" s="230">
        <f>SUM(K185)</f>
        <v>2078302.6000000003</v>
      </c>
      <c r="M184" s="170"/>
      <c r="N184" s="170"/>
      <c r="O184" s="170"/>
      <c r="P184" s="170"/>
      <c r="Q184" s="170"/>
      <c r="R184" s="170"/>
      <c r="S184" s="170"/>
      <c r="T184" s="170"/>
      <c r="U184" s="170"/>
      <c r="V184" s="170"/>
      <c r="W184" s="170"/>
      <c r="X184" s="219"/>
    </row>
    <row r="185" spans="1:24">
      <c r="A185" s="34" t="s">
        <v>439</v>
      </c>
      <c r="B185" s="226" t="s">
        <v>440</v>
      </c>
      <c r="C185" s="226" t="s">
        <v>103</v>
      </c>
      <c r="D185" s="226" t="s">
        <v>115</v>
      </c>
      <c r="E185" s="226" t="s">
        <v>116</v>
      </c>
      <c r="F185" s="226" t="s">
        <v>10</v>
      </c>
      <c r="G185" s="168">
        <f>$E$8</f>
        <v>194</v>
      </c>
      <c r="H185" s="225">
        <v>9739</v>
      </c>
      <c r="I185" s="311">
        <v>0.1</v>
      </c>
      <c r="J185" s="312">
        <f t="shared" ref="J185" si="33">H185*(1+I185)</f>
        <v>10712.900000000001</v>
      </c>
      <c r="K185" s="313">
        <f>J185*G185</f>
        <v>2078302.6000000003</v>
      </c>
      <c r="M185" s="170" t="s">
        <v>916</v>
      </c>
      <c r="N185" s="170"/>
      <c r="O185" s="170"/>
      <c r="P185" s="170"/>
      <c r="Q185" s="170"/>
      <c r="R185" s="170"/>
      <c r="S185" s="170"/>
      <c r="T185" s="170"/>
      <c r="U185" s="170"/>
      <c r="V185" s="170"/>
      <c r="W185" s="170"/>
      <c r="X185" s="219"/>
    </row>
    <row r="186" spans="1:24">
      <c r="A186" s="33" t="s">
        <v>442</v>
      </c>
      <c r="B186" s="305" t="s">
        <v>443</v>
      </c>
      <c r="C186" s="305"/>
      <c r="D186" s="305"/>
      <c r="E186" s="343"/>
      <c r="F186" s="343"/>
      <c r="G186" s="147"/>
      <c r="H186" s="344"/>
      <c r="I186" s="345"/>
      <c r="J186" s="344"/>
      <c r="K186" s="346"/>
      <c r="L186" s="230">
        <f>SUM(K187:K202)</f>
        <v>2246065.4308303986</v>
      </c>
      <c r="M186" s="170"/>
      <c r="N186" s="170"/>
      <c r="O186" s="170"/>
      <c r="P186" s="170"/>
      <c r="Q186" s="170"/>
      <c r="R186" s="170"/>
      <c r="S186" s="170"/>
      <c r="T186" s="170"/>
      <c r="U186" s="170"/>
      <c r="V186" s="170"/>
      <c r="W186" s="170"/>
      <c r="X186" s="219"/>
    </row>
    <row r="187" spans="1:24">
      <c r="A187" s="35" t="s">
        <v>444</v>
      </c>
      <c r="B187" s="176" t="s">
        <v>445</v>
      </c>
      <c r="C187" s="176" t="s">
        <v>103</v>
      </c>
      <c r="D187" s="176" t="s">
        <v>115</v>
      </c>
      <c r="E187" s="176" t="s">
        <v>116</v>
      </c>
      <c r="F187" s="176" t="s">
        <v>446</v>
      </c>
      <c r="G187" s="167">
        <f t="shared" si="31"/>
        <v>196289</v>
      </c>
      <c r="H187" s="413">
        <v>9.2699536607970341</v>
      </c>
      <c r="I187" s="414">
        <v>0.05</v>
      </c>
      <c r="J187" s="415">
        <f t="shared" ref="J187:J202" si="34">H187*(1+I187)</f>
        <v>9.7334513438368866</v>
      </c>
      <c r="K187" s="416">
        <f t="shared" ref="K187:K202" si="35">J187*G187</f>
        <v>1910569.4308303986</v>
      </c>
      <c r="M187" s="325" t="s">
        <v>873</v>
      </c>
      <c r="N187" s="170"/>
      <c r="O187" s="170"/>
      <c r="P187" s="170"/>
      <c r="Q187" s="170"/>
      <c r="R187" s="170"/>
      <c r="S187" s="170"/>
      <c r="T187" s="170"/>
      <c r="U187" s="170"/>
      <c r="V187" s="170"/>
      <c r="W187" s="170"/>
      <c r="X187" s="219"/>
    </row>
    <row r="188" spans="1:24">
      <c r="A188" s="37" t="s">
        <v>447</v>
      </c>
      <c r="B188" s="164" t="s">
        <v>448</v>
      </c>
      <c r="C188" s="164" t="s">
        <v>103</v>
      </c>
      <c r="D188" s="164" t="s">
        <v>115</v>
      </c>
      <c r="E188" s="164" t="s">
        <v>195</v>
      </c>
      <c r="F188" s="164" t="s">
        <v>10</v>
      </c>
      <c r="G188" s="161">
        <f>$E$8</f>
        <v>194</v>
      </c>
      <c r="H188" s="185">
        <v>594</v>
      </c>
      <c r="I188" s="216">
        <v>0</v>
      </c>
      <c r="J188" s="185">
        <f t="shared" si="34"/>
        <v>594</v>
      </c>
      <c r="K188" s="217">
        <f t="shared" si="35"/>
        <v>115236</v>
      </c>
      <c r="M188" s="170"/>
      <c r="N188" s="170"/>
      <c r="O188" s="170"/>
      <c r="P188" s="170"/>
      <c r="Q188" s="170"/>
      <c r="R188" s="170"/>
      <c r="S188" s="170"/>
      <c r="T188" s="170"/>
      <c r="U188" s="170"/>
      <c r="V188" s="170"/>
      <c r="W188" s="170"/>
      <c r="X188" s="219"/>
    </row>
    <row r="189" spans="1:24">
      <c r="A189" s="37" t="s">
        <v>449</v>
      </c>
      <c r="B189" s="164" t="s">
        <v>450</v>
      </c>
      <c r="C189" s="164" t="s">
        <v>103</v>
      </c>
      <c r="D189" s="164" t="s">
        <v>115</v>
      </c>
      <c r="E189" s="164" t="s">
        <v>127</v>
      </c>
      <c r="F189" s="164" t="s">
        <v>10</v>
      </c>
      <c r="G189" s="161">
        <f>$E$8</f>
        <v>194</v>
      </c>
      <c r="H189" s="185">
        <v>119</v>
      </c>
      <c r="I189" s="216">
        <v>0</v>
      </c>
      <c r="J189" s="185">
        <f t="shared" si="34"/>
        <v>119</v>
      </c>
      <c r="K189" s="217">
        <f t="shared" si="35"/>
        <v>23086</v>
      </c>
      <c r="M189" s="170"/>
      <c r="N189" s="170"/>
      <c r="O189" s="170"/>
      <c r="P189" s="170"/>
      <c r="Q189" s="170"/>
      <c r="R189" s="170"/>
      <c r="S189" s="170"/>
      <c r="T189" s="170"/>
      <c r="U189" s="170"/>
      <c r="V189" s="170"/>
      <c r="W189" s="170"/>
      <c r="X189" s="219"/>
    </row>
    <row r="190" spans="1:24">
      <c r="A190" s="37" t="s">
        <v>451</v>
      </c>
      <c r="B190" s="164" t="s">
        <v>452</v>
      </c>
      <c r="C190" s="164" t="s">
        <v>103</v>
      </c>
      <c r="D190" s="164" t="s">
        <v>115</v>
      </c>
      <c r="E190" s="164" t="s">
        <v>127</v>
      </c>
      <c r="F190" s="164" t="s">
        <v>10</v>
      </c>
      <c r="G190" s="161">
        <f>$E$8</f>
        <v>194</v>
      </c>
      <c r="H190" s="185">
        <v>112</v>
      </c>
      <c r="I190" s="216">
        <v>0</v>
      </c>
      <c r="J190" s="185">
        <f t="shared" si="34"/>
        <v>112</v>
      </c>
      <c r="K190" s="217">
        <f t="shared" si="35"/>
        <v>21728</v>
      </c>
      <c r="M190" s="170"/>
      <c r="N190" s="170"/>
      <c r="O190" s="170"/>
      <c r="P190" s="170"/>
      <c r="Q190" s="170"/>
      <c r="R190" s="170"/>
      <c r="S190" s="170"/>
      <c r="T190" s="170"/>
      <c r="U190" s="170"/>
      <c r="V190" s="170"/>
      <c r="W190" s="170"/>
      <c r="X190" s="219"/>
    </row>
    <row r="191" spans="1:24">
      <c r="A191" s="37" t="s">
        <v>453</v>
      </c>
      <c r="B191" s="164" t="s">
        <v>445</v>
      </c>
      <c r="C191" s="164" t="s">
        <v>103</v>
      </c>
      <c r="D191" s="164" t="s">
        <v>346</v>
      </c>
      <c r="E191" s="164" t="s">
        <v>127</v>
      </c>
      <c r="F191" s="164" t="s">
        <v>454</v>
      </c>
      <c r="G191" s="161">
        <f>F10</f>
        <v>127</v>
      </c>
      <c r="H191" s="185">
        <v>138</v>
      </c>
      <c r="I191" s="216">
        <v>0</v>
      </c>
      <c r="J191" s="185">
        <f t="shared" si="34"/>
        <v>138</v>
      </c>
      <c r="K191" s="217">
        <f t="shared" si="35"/>
        <v>17526</v>
      </c>
      <c r="M191" s="170"/>
      <c r="N191" s="170"/>
      <c r="O191" s="170"/>
      <c r="P191" s="170"/>
      <c r="Q191" s="170"/>
      <c r="R191" s="170"/>
      <c r="S191" s="170"/>
      <c r="T191" s="170"/>
      <c r="U191" s="170"/>
      <c r="V191" s="170"/>
      <c r="W191" s="170"/>
      <c r="X191" s="219"/>
    </row>
    <row r="192" spans="1:24">
      <c r="A192" s="37" t="s">
        <v>455</v>
      </c>
      <c r="B192" s="164" t="s">
        <v>448</v>
      </c>
      <c r="C192" s="164" t="s">
        <v>103</v>
      </c>
      <c r="D192" s="164" t="s">
        <v>346</v>
      </c>
      <c r="E192" s="164" t="s">
        <v>127</v>
      </c>
      <c r="F192" s="164" t="s">
        <v>454</v>
      </c>
      <c r="G192" s="161">
        <f>$O$13</f>
        <v>130</v>
      </c>
      <c r="H192" s="185">
        <v>24</v>
      </c>
      <c r="I192" s="216">
        <v>0</v>
      </c>
      <c r="J192" s="185">
        <f t="shared" si="34"/>
        <v>24</v>
      </c>
      <c r="K192" s="217">
        <f t="shared" si="35"/>
        <v>3120</v>
      </c>
      <c r="M192" s="170"/>
      <c r="N192" s="170"/>
      <c r="O192" s="170"/>
      <c r="P192" s="170"/>
      <c r="Q192" s="170"/>
      <c r="R192" s="170"/>
      <c r="S192" s="170"/>
      <c r="T192" s="170"/>
      <c r="U192" s="170"/>
      <c r="V192" s="170"/>
      <c r="W192" s="170"/>
      <c r="X192" s="219"/>
    </row>
    <row r="193" spans="1:24">
      <c r="A193" s="37" t="s">
        <v>456</v>
      </c>
      <c r="B193" s="164" t="s">
        <v>445</v>
      </c>
      <c r="C193" s="164" t="s">
        <v>103</v>
      </c>
      <c r="D193" s="164" t="s">
        <v>130</v>
      </c>
      <c r="E193" s="164" t="s">
        <v>118</v>
      </c>
      <c r="F193" s="164"/>
      <c r="G193" s="161"/>
      <c r="H193" s="185"/>
      <c r="I193" s="216">
        <v>0</v>
      </c>
      <c r="J193" s="185">
        <f t="shared" si="34"/>
        <v>0</v>
      </c>
      <c r="K193" s="217">
        <f t="shared" si="35"/>
        <v>0</v>
      </c>
      <c r="M193" s="170"/>
      <c r="N193" s="170"/>
      <c r="O193" s="170"/>
      <c r="P193" s="170"/>
      <c r="Q193" s="170"/>
      <c r="R193" s="170"/>
      <c r="S193" s="170"/>
      <c r="T193" s="170"/>
      <c r="U193" s="170"/>
      <c r="V193" s="170"/>
      <c r="W193" s="170"/>
      <c r="X193" s="219"/>
    </row>
    <row r="194" spans="1:24">
      <c r="A194" s="37" t="s">
        <v>457</v>
      </c>
      <c r="B194" s="164" t="s">
        <v>458</v>
      </c>
      <c r="C194" s="164" t="s">
        <v>103</v>
      </c>
      <c r="D194" s="164" t="s">
        <v>130</v>
      </c>
      <c r="E194" s="164" t="s">
        <v>118</v>
      </c>
      <c r="F194" s="164"/>
      <c r="G194" s="161"/>
      <c r="H194" s="185"/>
      <c r="I194" s="216">
        <v>0</v>
      </c>
      <c r="J194" s="185">
        <f t="shared" si="34"/>
        <v>0</v>
      </c>
      <c r="K194" s="217">
        <f t="shared" si="35"/>
        <v>0</v>
      </c>
      <c r="M194" s="170"/>
      <c r="N194" s="170"/>
      <c r="O194" s="170"/>
      <c r="P194" s="170"/>
      <c r="Q194" s="170"/>
      <c r="R194" s="170"/>
      <c r="S194" s="170"/>
      <c r="T194" s="170"/>
      <c r="U194" s="170"/>
      <c r="V194" s="170"/>
      <c r="W194" s="170"/>
      <c r="X194" s="219"/>
    </row>
    <row r="195" spans="1:24">
      <c r="A195" s="37" t="s">
        <v>459</v>
      </c>
      <c r="B195" s="164" t="s">
        <v>460</v>
      </c>
      <c r="C195" s="164" t="s">
        <v>103</v>
      </c>
      <c r="D195" s="164" t="s">
        <v>353</v>
      </c>
      <c r="E195" s="164" t="s">
        <v>461</v>
      </c>
      <c r="F195" s="164" t="s">
        <v>32</v>
      </c>
      <c r="G195" s="161">
        <v>4</v>
      </c>
      <c r="H195" s="185">
        <v>25000</v>
      </c>
      <c r="I195" s="216">
        <v>0</v>
      </c>
      <c r="J195" s="185">
        <f t="shared" si="34"/>
        <v>25000</v>
      </c>
      <c r="K195" s="217">
        <f t="shared" si="35"/>
        <v>100000</v>
      </c>
      <c r="M195" s="170"/>
      <c r="N195" s="170"/>
      <c r="O195" s="170"/>
      <c r="P195" s="170"/>
      <c r="Q195" s="170"/>
      <c r="R195" s="170"/>
      <c r="S195" s="170"/>
      <c r="T195" s="170"/>
      <c r="U195" s="170"/>
      <c r="V195" s="170"/>
      <c r="W195" s="170"/>
      <c r="X195" s="219"/>
    </row>
    <row r="196" spans="1:24">
      <c r="A196" s="37" t="s">
        <v>462</v>
      </c>
      <c r="B196" s="164" t="s">
        <v>463</v>
      </c>
      <c r="C196" s="164" t="s">
        <v>103</v>
      </c>
      <c r="D196" s="164" t="s">
        <v>109</v>
      </c>
      <c r="E196" s="326" t="s">
        <v>127</v>
      </c>
      <c r="F196" s="326" t="s">
        <v>464</v>
      </c>
      <c r="G196" s="347">
        <f>$B$9</f>
        <v>4.9000000000000004</v>
      </c>
      <c r="H196" s="327">
        <v>1000</v>
      </c>
      <c r="I196" s="341">
        <v>0</v>
      </c>
      <c r="J196" s="327">
        <f t="shared" si="34"/>
        <v>1000</v>
      </c>
      <c r="K196" s="342">
        <f t="shared" si="35"/>
        <v>4900</v>
      </c>
      <c r="M196" s="163"/>
      <c r="N196" s="170"/>
      <c r="O196" s="170"/>
      <c r="P196" s="170"/>
      <c r="Q196" s="170"/>
      <c r="R196" s="170"/>
      <c r="S196" s="170"/>
      <c r="T196" s="170"/>
      <c r="U196" s="170"/>
      <c r="V196" s="170"/>
      <c r="W196" s="170"/>
      <c r="X196" s="219"/>
    </row>
    <row r="197" spans="1:24">
      <c r="A197" s="37" t="s">
        <v>465</v>
      </c>
      <c r="B197" s="164" t="s">
        <v>466</v>
      </c>
      <c r="C197" s="164" t="s">
        <v>103</v>
      </c>
      <c r="D197" s="164" t="s">
        <v>109</v>
      </c>
      <c r="E197" s="164" t="s">
        <v>127</v>
      </c>
      <c r="F197" s="164" t="s">
        <v>464</v>
      </c>
      <c r="G197" s="422">
        <f>$B$9</f>
        <v>4.9000000000000004</v>
      </c>
      <c r="H197" s="185">
        <v>1000</v>
      </c>
      <c r="I197" s="216">
        <v>0</v>
      </c>
      <c r="J197" s="185">
        <f t="shared" si="34"/>
        <v>1000</v>
      </c>
      <c r="K197" s="217">
        <f t="shared" si="35"/>
        <v>4900</v>
      </c>
      <c r="M197" s="170"/>
      <c r="N197" s="170"/>
      <c r="O197" s="170"/>
      <c r="P197" s="170"/>
      <c r="Q197" s="170"/>
      <c r="R197" s="170"/>
      <c r="S197" s="170"/>
      <c r="T197" s="170"/>
      <c r="U197" s="170"/>
      <c r="V197" s="170"/>
      <c r="W197" s="170"/>
      <c r="X197" s="219"/>
    </row>
    <row r="198" spans="1:24">
      <c r="A198" s="37" t="s">
        <v>467</v>
      </c>
      <c r="B198" s="164" t="s">
        <v>468</v>
      </c>
      <c r="C198" s="164" t="s">
        <v>103</v>
      </c>
      <c r="D198" s="164" t="s">
        <v>130</v>
      </c>
      <c r="E198" s="326" t="s">
        <v>127</v>
      </c>
      <c r="F198" s="326" t="s">
        <v>121</v>
      </c>
      <c r="G198" s="146">
        <f>$O$7</f>
        <v>1</v>
      </c>
      <c r="H198" s="327">
        <v>17000</v>
      </c>
      <c r="I198" s="341">
        <v>0</v>
      </c>
      <c r="J198" s="327">
        <f t="shared" si="34"/>
        <v>17000</v>
      </c>
      <c r="K198" s="342">
        <f t="shared" si="35"/>
        <v>17000</v>
      </c>
      <c r="M198" s="163"/>
      <c r="N198" s="170"/>
      <c r="O198" s="170"/>
      <c r="P198" s="170"/>
      <c r="Q198" s="170"/>
      <c r="R198" s="170"/>
      <c r="S198" s="170"/>
      <c r="T198" s="170"/>
      <c r="U198" s="170"/>
      <c r="V198" s="170"/>
      <c r="W198" s="170"/>
      <c r="X198" s="219"/>
    </row>
    <row r="199" spans="1:24">
      <c r="A199" s="37" t="s">
        <v>469</v>
      </c>
      <c r="B199" s="164" t="s">
        <v>470</v>
      </c>
      <c r="C199" s="164" t="s">
        <v>103</v>
      </c>
      <c r="D199" s="164" t="s">
        <v>130</v>
      </c>
      <c r="E199" s="164" t="s">
        <v>127</v>
      </c>
      <c r="F199" s="164" t="s">
        <v>121</v>
      </c>
      <c r="G199" s="161">
        <f>$O$7</f>
        <v>1</v>
      </c>
      <c r="H199" s="185">
        <v>11000</v>
      </c>
      <c r="I199" s="216">
        <v>0</v>
      </c>
      <c r="J199" s="185">
        <f t="shared" si="34"/>
        <v>11000</v>
      </c>
      <c r="K199" s="217">
        <f t="shared" si="35"/>
        <v>11000</v>
      </c>
      <c r="M199" s="170"/>
      <c r="N199" s="170"/>
      <c r="O199" s="170"/>
      <c r="P199" s="170"/>
      <c r="Q199" s="170"/>
      <c r="R199" s="170"/>
      <c r="S199" s="170"/>
      <c r="T199" s="170"/>
      <c r="U199" s="170"/>
      <c r="V199" s="170"/>
      <c r="W199" s="170"/>
      <c r="X199" s="219"/>
    </row>
    <row r="200" spans="1:24">
      <c r="A200" s="37" t="s">
        <v>471</v>
      </c>
      <c r="B200" s="164" t="s">
        <v>472</v>
      </c>
      <c r="C200" s="164" t="s">
        <v>103</v>
      </c>
      <c r="D200" s="164" t="s">
        <v>135</v>
      </c>
      <c r="E200" s="326" t="s">
        <v>127</v>
      </c>
      <c r="F200" s="326" t="s">
        <v>121</v>
      </c>
      <c r="G200" s="146">
        <f>$O$7</f>
        <v>1</v>
      </c>
      <c r="H200" s="327">
        <v>2000</v>
      </c>
      <c r="I200" s="341">
        <v>0</v>
      </c>
      <c r="J200" s="327">
        <f t="shared" si="34"/>
        <v>2000</v>
      </c>
      <c r="K200" s="342">
        <f t="shared" si="35"/>
        <v>2000</v>
      </c>
      <c r="M200" s="170"/>
      <c r="N200" s="170"/>
      <c r="O200" s="170"/>
      <c r="P200" s="170"/>
      <c r="Q200" s="170"/>
      <c r="R200" s="170"/>
      <c r="S200" s="170"/>
      <c r="T200" s="170"/>
      <c r="U200" s="170"/>
      <c r="V200" s="170"/>
      <c r="W200" s="170"/>
      <c r="X200" s="219"/>
    </row>
    <row r="201" spans="1:24">
      <c r="A201" s="37" t="s">
        <v>473</v>
      </c>
      <c r="B201" s="164" t="s">
        <v>445</v>
      </c>
      <c r="C201" s="164" t="s">
        <v>103</v>
      </c>
      <c r="D201" s="164" t="s">
        <v>123</v>
      </c>
      <c r="E201" s="326" t="s">
        <v>127</v>
      </c>
      <c r="F201" s="326" t="s">
        <v>121</v>
      </c>
      <c r="G201" s="146">
        <v>1</v>
      </c>
      <c r="H201" s="327">
        <v>14250</v>
      </c>
      <c r="I201" s="341">
        <v>0</v>
      </c>
      <c r="J201" s="327">
        <f t="shared" si="34"/>
        <v>14250</v>
      </c>
      <c r="K201" s="342">
        <f t="shared" si="35"/>
        <v>14250</v>
      </c>
      <c r="M201" s="163"/>
      <c r="N201" s="170"/>
      <c r="O201" s="170"/>
      <c r="P201" s="170"/>
      <c r="Q201" s="170"/>
      <c r="R201" s="170"/>
      <c r="S201" s="170"/>
      <c r="T201" s="170"/>
      <c r="U201" s="170"/>
      <c r="V201" s="170"/>
      <c r="W201" s="170"/>
      <c r="X201" s="219"/>
    </row>
    <row r="202" spans="1:24">
      <c r="A202" s="37" t="s">
        <v>474</v>
      </c>
      <c r="B202" s="164" t="s">
        <v>448</v>
      </c>
      <c r="C202" s="164" t="s">
        <v>103</v>
      </c>
      <c r="D202" s="164" t="s">
        <v>123</v>
      </c>
      <c r="E202" s="164" t="s">
        <v>110</v>
      </c>
      <c r="F202" s="164" t="s">
        <v>121</v>
      </c>
      <c r="G202" s="161">
        <v>1</v>
      </c>
      <c r="H202" s="185">
        <v>750</v>
      </c>
      <c r="I202" s="216">
        <v>0</v>
      </c>
      <c r="J202" s="185">
        <f t="shared" si="34"/>
        <v>750</v>
      </c>
      <c r="K202" s="217">
        <f t="shared" si="35"/>
        <v>750</v>
      </c>
      <c r="M202" s="170"/>
      <c r="N202" s="170"/>
      <c r="O202" s="170"/>
      <c r="P202" s="170"/>
      <c r="Q202" s="170"/>
      <c r="R202" s="170"/>
      <c r="S202" s="170"/>
      <c r="T202" s="170"/>
      <c r="U202" s="170"/>
      <c r="V202" s="170"/>
      <c r="W202" s="170"/>
      <c r="X202" s="219"/>
    </row>
    <row r="203" spans="1:24">
      <c r="A203" s="33" t="s">
        <v>475</v>
      </c>
      <c r="B203" s="305" t="s">
        <v>476</v>
      </c>
      <c r="C203" s="305"/>
      <c r="D203" s="305"/>
      <c r="E203" s="343"/>
      <c r="F203" s="343"/>
      <c r="G203" s="147"/>
      <c r="H203" s="344"/>
      <c r="I203" s="345"/>
      <c r="J203" s="344"/>
      <c r="K203" s="346"/>
      <c r="L203" s="230">
        <f>SUM(K204:K206)</f>
        <v>117610.51</v>
      </c>
      <c r="M203" s="170"/>
      <c r="N203" s="170"/>
      <c r="O203" s="170"/>
      <c r="P203" s="170"/>
      <c r="Q203" s="170"/>
      <c r="R203" s="170"/>
      <c r="S203" s="170"/>
      <c r="T203" s="170"/>
      <c r="U203" s="170"/>
      <c r="V203" s="170"/>
      <c r="W203" s="170"/>
      <c r="X203" s="219"/>
    </row>
    <row r="204" spans="1:24">
      <c r="A204" s="35" t="s">
        <v>477</v>
      </c>
      <c r="B204" s="176" t="s">
        <v>478</v>
      </c>
      <c r="C204" s="176" t="s">
        <v>281</v>
      </c>
      <c r="D204" s="176" t="s">
        <v>115</v>
      </c>
      <c r="E204" s="176" t="s">
        <v>110</v>
      </c>
      <c r="F204" s="176" t="s">
        <v>121</v>
      </c>
      <c r="G204" s="167">
        <f>$B$11</f>
        <v>1</v>
      </c>
      <c r="H204" s="413">
        <v>1000</v>
      </c>
      <c r="I204" s="414">
        <v>0</v>
      </c>
      <c r="J204" s="415">
        <f t="shared" ref="J204:J206" si="36">H204*(1+I204)</f>
        <v>1000</v>
      </c>
      <c r="K204" s="416">
        <f>J204*G204</f>
        <v>1000</v>
      </c>
      <c r="M204" s="170" t="s">
        <v>479</v>
      </c>
      <c r="N204" s="170"/>
      <c r="O204" s="170"/>
      <c r="P204" s="170"/>
      <c r="Q204" s="170"/>
      <c r="R204" s="170"/>
      <c r="S204" s="170"/>
      <c r="T204" s="170"/>
      <c r="U204" s="170"/>
      <c r="V204" s="170"/>
      <c r="W204" s="170"/>
      <c r="X204" s="219"/>
    </row>
    <row r="205" spans="1:24">
      <c r="A205" s="37" t="s">
        <v>480</v>
      </c>
      <c r="B205" s="164" t="s">
        <v>481</v>
      </c>
      <c r="C205" s="164" t="s">
        <v>103</v>
      </c>
      <c r="D205" s="164" t="s">
        <v>115</v>
      </c>
      <c r="E205" s="164" t="s">
        <v>195</v>
      </c>
      <c r="F205" s="164" t="s">
        <v>15</v>
      </c>
      <c r="G205" s="161">
        <f>B8</f>
        <v>196289</v>
      </c>
      <c r="H205" s="185">
        <v>0.59</v>
      </c>
      <c r="I205" s="216">
        <v>0</v>
      </c>
      <c r="J205" s="185">
        <f t="shared" si="36"/>
        <v>0.59</v>
      </c>
      <c r="K205" s="217">
        <f>J205*G205</f>
        <v>115810.51</v>
      </c>
      <c r="M205" s="170"/>
      <c r="N205" s="170"/>
      <c r="O205" s="170"/>
      <c r="P205" s="170"/>
      <c r="Q205" s="170"/>
      <c r="R205" s="170"/>
      <c r="S205" s="170"/>
      <c r="T205" s="170"/>
      <c r="U205" s="170"/>
      <c r="V205" s="170"/>
      <c r="W205" s="170"/>
      <c r="X205" s="219"/>
    </row>
    <row r="206" spans="1:24">
      <c r="A206" s="37" t="s">
        <v>482</v>
      </c>
      <c r="B206" s="164" t="s">
        <v>483</v>
      </c>
      <c r="C206" s="164" t="s">
        <v>103</v>
      </c>
      <c r="D206" s="164" t="s">
        <v>130</v>
      </c>
      <c r="E206" s="164" t="s">
        <v>110</v>
      </c>
      <c r="F206" s="164" t="s">
        <v>121</v>
      </c>
      <c r="G206" s="161">
        <f>$O$7</f>
        <v>1</v>
      </c>
      <c r="H206" s="185">
        <v>800</v>
      </c>
      <c r="I206" s="216">
        <v>0</v>
      </c>
      <c r="J206" s="185">
        <f t="shared" si="36"/>
        <v>800</v>
      </c>
      <c r="K206" s="217">
        <f>J206*G206</f>
        <v>800</v>
      </c>
      <c r="M206" s="170" t="s">
        <v>484</v>
      </c>
      <c r="N206" s="170"/>
      <c r="O206" s="170"/>
      <c r="P206" s="170"/>
      <c r="Q206" s="170"/>
      <c r="R206" s="170"/>
      <c r="S206" s="170"/>
      <c r="T206" s="170"/>
      <c r="U206" s="170"/>
      <c r="V206" s="170"/>
      <c r="W206" s="170"/>
      <c r="X206" s="219"/>
    </row>
    <row r="207" spans="1:24">
      <c r="A207" s="33" t="s">
        <v>485</v>
      </c>
      <c r="B207" s="305" t="s">
        <v>486</v>
      </c>
      <c r="C207" s="305"/>
      <c r="D207" s="305"/>
      <c r="E207" s="343"/>
      <c r="F207" s="343"/>
      <c r="G207" s="147"/>
      <c r="H207" s="344"/>
      <c r="I207" s="345"/>
      <c r="J207" s="344"/>
      <c r="K207" s="346"/>
      <c r="L207" s="230">
        <f>SUM(K208:K210)</f>
        <v>521084</v>
      </c>
      <c r="M207" s="170"/>
      <c r="N207" s="170"/>
      <c r="O207" s="170"/>
      <c r="P207" s="170"/>
      <c r="Q207" s="170"/>
      <c r="R207" s="170"/>
      <c r="S207" s="170"/>
      <c r="T207" s="170"/>
      <c r="U207" s="170"/>
      <c r="V207" s="170"/>
      <c r="W207" s="170"/>
      <c r="X207" s="219"/>
    </row>
    <row r="208" spans="1:24">
      <c r="A208" s="166" t="s">
        <v>487</v>
      </c>
      <c r="B208" s="176" t="s">
        <v>488</v>
      </c>
      <c r="C208" s="176" t="s">
        <v>103</v>
      </c>
      <c r="D208" s="176" t="s">
        <v>115</v>
      </c>
      <c r="E208" s="176" t="s">
        <v>246</v>
      </c>
      <c r="F208" s="176" t="s">
        <v>10</v>
      </c>
      <c r="G208" s="167">
        <f>$E$8</f>
        <v>194</v>
      </c>
      <c r="H208" s="413">
        <v>581</v>
      </c>
      <c r="I208" s="414">
        <v>0</v>
      </c>
      <c r="J208" s="415">
        <f t="shared" ref="J208:J210" si="37">H208*(1+I208)</f>
        <v>581</v>
      </c>
      <c r="K208" s="416">
        <f>J208*G208</f>
        <v>112714</v>
      </c>
      <c r="M208" s="170"/>
      <c r="N208" s="170"/>
      <c r="O208" s="170"/>
      <c r="P208" s="170"/>
      <c r="Q208" s="170"/>
      <c r="R208" s="170"/>
      <c r="S208" s="170"/>
      <c r="T208" s="170"/>
      <c r="U208" s="170"/>
      <c r="V208" s="170"/>
      <c r="W208" s="170"/>
      <c r="X208" s="219"/>
    </row>
    <row r="209" spans="1:24">
      <c r="A209" s="228" t="s">
        <v>489</v>
      </c>
      <c r="B209" s="164" t="s">
        <v>490</v>
      </c>
      <c r="C209" s="164" t="s">
        <v>103</v>
      </c>
      <c r="D209" s="164" t="s">
        <v>109</v>
      </c>
      <c r="E209" s="164" t="s">
        <v>195</v>
      </c>
      <c r="F209" s="164" t="s">
        <v>10</v>
      </c>
      <c r="G209" s="161">
        <f>$E$8</f>
        <v>194</v>
      </c>
      <c r="H209" s="185">
        <v>442</v>
      </c>
      <c r="I209" s="216">
        <v>0</v>
      </c>
      <c r="J209" s="185">
        <f t="shared" si="37"/>
        <v>442</v>
      </c>
      <c r="K209" s="217">
        <f>J209*G209</f>
        <v>85748</v>
      </c>
      <c r="M209" s="170" t="s">
        <v>876</v>
      </c>
      <c r="N209" s="170"/>
      <c r="O209" s="170"/>
      <c r="P209" s="170"/>
      <c r="Q209" s="170"/>
      <c r="R209" s="170"/>
      <c r="S209" s="170"/>
      <c r="T209" s="170"/>
      <c r="U209" s="170"/>
      <c r="V209" s="170"/>
      <c r="W209" s="170"/>
      <c r="X209" s="219"/>
    </row>
    <row r="210" spans="1:24">
      <c r="A210" s="37" t="s">
        <v>491</v>
      </c>
      <c r="B210" s="164" t="s">
        <v>492</v>
      </c>
      <c r="C210" s="164" t="s">
        <v>103</v>
      </c>
      <c r="D210" s="164" t="s">
        <v>115</v>
      </c>
      <c r="E210" s="164" t="s">
        <v>116</v>
      </c>
      <c r="F210" s="164" t="s">
        <v>10</v>
      </c>
      <c r="G210" s="161">
        <f>$E$8</f>
        <v>194</v>
      </c>
      <c r="H210" s="185">
        <v>1663</v>
      </c>
      <c r="I210" s="216">
        <v>0</v>
      </c>
      <c r="J210" s="185">
        <f t="shared" si="37"/>
        <v>1663</v>
      </c>
      <c r="K210" s="217">
        <f>J210*G210</f>
        <v>322622</v>
      </c>
      <c r="M210" s="170"/>
      <c r="N210" s="170"/>
      <c r="O210" s="170"/>
      <c r="P210" s="170"/>
      <c r="Q210" s="170"/>
      <c r="R210" s="170"/>
      <c r="S210" s="170"/>
      <c r="T210" s="170"/>
      <c r="U210" s="170"/>
      <c r="V210" s="170"/>
      <c r="W210" s="170"/>
      <c r="X210" s="219"/>
    </row>
    <row r="211" spans="1:24">
      <c r="A211" s="33" t="s">
        <v>493</v>
      </c>
      <c r="B211" s="305" t="s">
        <v>494</v>
      </c>
      <c r="C211" s="305"/>
      <c r="D211" s="305"/>
      <c r="E211" s="343"/>
      <c r="F211" s="343"/>
      <c r="G211" s="147"/>
      <c r="H211" s="344"/>
      <c r="I211" s="345"/>
      <c r="J211" s="344"/>
      <c r="K211" s="346"/>
      <c r="L211" s="230">
        <f>SUM(K212:K220)</f>
        <v>347262</v>
      </c>
      <c r="M211" s="170"/>
      <c r="N211" s="170"/>
      <c r="O211" s="170"/>
      <c r="P211" s="170"/>
      <c r="Q211" s="170"/>
      <c r="R211" s="170"/>
      <c r="S211" s="170"/>
      <c r="T211" s="170"/>
      <c r="U211" s="170"/>
      <c r="V211" s="170"/>
      <c r="W211" s="170"/>
      <c r="X211" s="219"/>
    </row>
    <row r="212" spans="1:24">
      <c r="A212" s="35" t="s">
        <v>495</v>
      </c>
      <c r="B212" s="176" t="s">
        <v>496</v>
      </c>
      <c r="C212" s="176" t="s">
        <v>103</v>
      </c>
      <c r="D212" s="176" t="s">
        <v>109</v>
      </c>
      <c r="E212" s="176" t="s">
        <v>110</v>
      </c>
      <c r="F212" s="176" t="s">
        <v>464</v>
      </c>
      <c r="G212" s="423">
        <f>$B$9</f>
        <v>4.9000000000000004</v>
      </c>
      <c r="H212" s="413">
        <v>6500</v>
      </c>
      <c r="I212" s="414">
        <v>0</v>
      </c>
      <c r="J212" s="415">
        <f t="shared" ref="J212:J220" si="38">H212*(1+I212)</f>
        <v>6500</v>
      </c>
      <c r="K212" s="217">
        <f>J212*G212</f>
        <v>31850.000000000004</v>
      </c>
      <c r="M212" s="170"/>
      <c r="N212" s="170"/>
      <c r="O212" s="170"/>
      <c r="P212" s="170"/>
      <c r="Q212" s="170"/>
      <c r="R212" s="170"/>
      <c r="S212" s="170"/>
      <c r="T212" s="170"/>
      <c r="U212" s="170"/>
      <c r="V212" s="170"/>
      <c r="W212" s="170"/>
      <c r="X212" s="219"/>
    </row>
    <row r="213" spans="1:24">
      <c r="A213" s="37" t="s">
        <v>497</v>
      </c>
      <c r="B213" s="164" t="s">
        <v>498</v>
      </c>
      <c r="C213" s="164" t="s">
        <v>103</v>
      </c>
      <c r="D213" s="164" t="s">
        <v>109</v>
      </c>
      <c r="E213" s="164" t="s">
        <v>110</v>
      </c>
      <c r="F213" s="164" t="s">
        <v>464</v>
      </c>
      <c r="G213" s="422">
        <f>$B$9</f>
        <v>4.9000000000000004</v>
      </c>
      <c r="H213" s="185">
        <v>3500</v>
      </c>
      <c r="I213" s="216">
        <v>0</v>
      </c>
      <c r="J213" s="185">
        <f t="shared" si="38"/>
        <v>3500</v>
      </c>
      <c r="K213" s="217">
        <f t="shared" ref="K213:K220" si="39">J213*G213</f>
        <v>17150</v>
      </c>
      <c r="M213" s="170"/>
      <c r="N213" s="170"/>
      <c r="O213" s="170"/>
      <c r="P213" s="170"/>
      <c r="Q213" s="170"/>
      <c r="R213" s="170"/>
      <c r="S213" s="170"/>
      <c r="T213" s="170"/>
      <c r="U213" s="170"/>
      <c r="V213" s="170"/>
      <c r="W213" s="170"/>
      <c r="X213" s="219"/>
    </row>
    <row r="214" spans="1:24">
      <c r="A214" s="37" t="s">
        <v>499</v>
      </c>
      <c r="B214" s="164" t="s">
        <v>500</v>
      </c>
      <c r="C214" s="164" t="s">
        <v>103</v>
      </c>
      <c r="D214" s="164" t="s">
        <v>109</v>
      </c>
      <c r="E214" s="164" t="s">
        <v>110</v>
      </c>
      <c r="F214" s="164" t="s">
        <v>121</v>
      </c>
      <c r="G214" s="161">
        <v>0</v>
      </c>
      <c r="H214" s="185">
        <v>10000</v>
      </c>
      <c r="I214" s="216">
        <v>0</v>
      </c>
      <c r="J214" s="185">
        <f t="shared" si="38"/>
        <v>10000</v>
      </c>
      <c r="K214" s="217">
        <f t="shared" si="39"/>
        <v>0</v>
      </c>
      <c r="M214" s="170"/>
      <c r="N214" s="170"/>
      <c r="O214" s="170"/>
      <c r="P214" s="170"/>
      <c r="Q214" s="170"/>
      <c r="R214" s="170"/>
      <c r="S214" s="170"/>
      <c r="T214" s="170"/>
      <c r="U214" s="170"/>
      <c r="V214" s="170"/>
      <c r="W214" s="170"/>
      <c r="X214" s="219"/>
    </row>
    <row r="215" spans="1:24">
      <c r="A215" s="37" t="s">
        <v>501</v>
      </c>
      <c r="B215" s="164" t="s">
        <v>502</v>
      </c>
      <c r="C215" s="164" t="s">
        <v>103</v>
      </c>
      <c r="D215" s="164" t="s">
        <v>109</v>
      </c>
      <c r="E215" s="164" t="s">
        <v>110</v>
      </c>
      <c r="F215" s="164" t="s">
        <v>121</v>
      </c>
      <c r="G215" s="161">
        <v>1</v>
      </c>
      <c r="H215" s="185">
        <v>25000</v>
      </c>
      <c r="I215" s="216">
        <v>0</v>
      </c>
      <c r="J215" s="185">
        <f t="shared" si="38"/>
        <v>25000</v>
      </c>
      <c r="K215" s="217">
        <f t="shared" si="39"/>
        <v>25000</v>
      </c>
      <c r="M215" s="170" t="s">
        <v>503</v>
      </c>
      <c r="N215" s="170"/>
      <c r="O215" s="170"/>
      <c r="P215" s="170"/>
      <c r="Q215" s="170"/>
      <c r="R215" s="170"/>
      <c r="S215" s="170"/>
      <c r="T215" s="170"/>
      <c r="U215" s="170"/>
      <c r="V215" s="170"/>
      <c r="W215" s="170"/>
      <c r="X215" s="219"/>
    </row>
    <row r="216" spans="1:24">
      <c r="A216" s="37" t="s">
        <v>504</v>
      </c>
      <c r="B216" s="164" t="s">
        <v>505</v>
      </c>
      <c r="C216" s="164" t="s">
        <v>103</v>
      </c>
      <c r="D216" s="164" t="s">
        <v>109</v>
      </c>
      <c r="E216" s="164" t="s">
        <v>116</v>
      </c>
      <c r="F216" s="164" t="s">
        <v>121</v>
      </c>
      <c r="G216" s="161">
        <v>1</v>
      </c>
      <c r="H216" s="185">
        <v>156000</v>
      </c>
      <c r="I216" s="216">
        <v>0</v>
      </c>
      <c r="J216" s="185">
        <f t="shared" si="38"/>
        <v>156000</v>
      </c>
      <c r="K216" s="217">
        <f t="shared" si="39"/>
        <v>156000</v>
      </c>
      <c r="M216" s="170" t="s">
        <v>503</v>
      </c>
      <c r="N216" s="170"/>
      <c r="O216" s="170"/>
      <c r="P216" s="170"/>
      <c r="Q216" s="170"/>
      <c r="R216" s="170"/>
      <c r="S216" s="170"/>
      <c r="T216" s="170"/>
      <c r="U216" s="170"/>
      <c r="V216" s="170"/>
      <c r="W216" s="170"/>
      <c r="X216" s="219"/>
    </row>
    <row r="217" spans="1:24">
      <c r="A217" s="37" t="s">
        <v>506</v>
      </c>
      <c r="B217" s="164" t="s">
        <v>507</v>
      </c>
      <c r="C217" s="164" t="s">
        <v>103</v>
      </c>
      <c r="D217" s="164" t="s">
        <v>109</v>
      </c>
      <c r="E217" s="164" t="s">
        <v>116</v>
      </c>
      <c r="F217" s="164" t="s">
        <v>121</v>
      </c>
      <c r="G217" s="161">
        <v>1</v>
      </c>
      <c r="H217" s="185">
        <v>5012</v>
      </c>
      <c r="I217" s="216">
        <v>0</v>
      </c>
      <c r="J217" s="185">
        <f t="shared" si="38"/>
        <v>5012</v>
      </c>
      <c r="K217" s="217">
        <f t="shared" si="39"/>
        <v>5012</v>
      </c>
      <c r="M217" s="170" t="s">
        <v>503</v>
      </c>
      <c r="N217" s="170"/>
      <c r="O217" s="170"/>
      <c r="P217" s="170"/>
      <c r="Q217" s="170"/>
      <c r="R217" s="170"/>
      <c r="S217" s="170"/>
      <c r="T217" s="170"/>
      <c r="U217" s="170"/>
      <c r="V217" s="170"/>
      <c r="W217" s="170"/>
      <c r="X217" s="219"/>
    </row>
    <row r="218" spans="1:24">
      <c r="A218" s="37" t="s">
        <v>508</v>
      </c>
      <c r="B218" s="164" t="s">
        <v>509</v>
      </c>
      <c r="C218" s="164" t="s">
        <v>103</v>
      </c>
      <c r="D218" s="164" t="s">
        <v>109</v>
      </c>
      <c r="E218" s="164" t="s">
        <v>110</v>
      </c>
      <c r="F218" s="164" t="s">
        <v>121</v>
      </c>
      <c r="G218" s="161">
        <v>1</v>
      </c>
      <c r="H218" s="185">
        <v>100000</v>
      </c>
      <c r="I218" s="216">
        <v>0</v>
      </c>
      <c r="J218" s="185">
        <f t="shared" si="38"/>
        <v>100000</v>
      </c>
      <c r="K218" s="217">
        <f t="shared" si="39"/>
        <v>100000</v>
      </c>
      <c r="M218" s="170" t="s">
        <v>503</v>
      </c>
      <c r="N218" s="170"/>
      <c r="O218" s="170"/>
      <c r="P218" s="170"/>
      <c r="Q218" s="170"/>
      <c r="R218" s="170"/>
      <c r="S218" s="170"/>
      <c r="T218" s="170"/>
      <c r="U218" s="170"/>
      <c r="V218" s="170"/>
      <c r="W218" s="170"/>
      <c r="X218" s="219"/>
    </row>
    <row r="219" spans="1:24">
      <c r="A219" s="37" t="s">
        <v>510</v>
      </c>
      <c r="B219" s="164" t="s">
        <v>511</v>
      </c>
      <c r="C219" s="164" t="s">
        <v>103</v>
      </c>
      <c r="D219" s="164" t="s">
        <v>109</v>
      </c>
      <c r="E219" s="164" t="s">
        <v>118</v>
      </c>
      <c r="F219" s="164"/>
      <c r="G219" s="161"/>
      <c r="H219" s="185"/>
      <c r="I219" s="216">
        <v>0</v>
      </c>
      <c r="J219" s="185">
        <f t="shared" si="38"/>
        <v>0</v>
      </c>
      <c r="K219" s="217">
        <f t="shared" si="39"/>
        <v>0</v>
      </c>
      <c r="M219" s="170"/>
      <c r="N219" s="170"/>
      <c r="O219" s="170"/>
      <c r="P219" s="170"/>
      <c r="Q219" s="170"/>
      <c r="R219" s="170"/>
      <c r="S219" s="170"/>
      <c r="T219" s="170"/>
      <c r="U219" s="170"/>
      <c r="V219" s="170"/>
      <c r="W219" s="170"/>
      <c r="X219" s="219"/>
    </row>
    <row r="220" spans="1:24">
      <c r="A220" s="37" t="s">
        <v>512</v>
      </c>
      <c r="B220" s="164" t="s">
        <v>513</v>
      </c>
      <c r="C220" s="164" t="s">
        <v>103</v>
      </c>
      <c r="D220" s="164" t="s">
        <v>109</v>
      </c>
      <c r="E220" s="164" t="s">
        <v>110</v>
      </c>
      <c r="F220" s="164" t="s">
        <v>464</v>
      </c>
      <c r="G220" s="422">
        <f>$B$9</f>
        <v>4.9000000000000004</v>
      </c>
      <c r="H220" s="185">
        <v>2500</v>
      </c>
      <c r="I220" s="216">
        <v>0</v>
      </c>
      <c r="J220" s="185">
        <f t="shared" si="38"/>
        <v>2500</v>
      </c>
      <c r="K220" s="217">
        <f t="shared" si="39"/>
        <v>12250</v>
      </c>
      <c r="M220" s="170"/>
      <c r="N220" s="170"/>
      <c r="O220" s="170"/>
      <c r="P220" s="170"/>
      <c r="Q220" s="170"/>
      <c r="R220" s="170"/>
      <c r="S220" s="170"/>
      <c r="T220" s="170"/>
      <c r="U220" s="170"/>
      <c r="V220" s="170"/>
      <c r="W220" s="170"/>
      <c r="X220" s="219"/>
    </row>
    <row r="221" spans="1:24">
      <c r="A221" s="33" t="s">
        <v>514</v>
      </c>
      <c r="B221" s="305" t="s">
        <v>515</v>
      </c>
      <c r="C221" s="305"/>
      <c r="D221" s="305"/>
      <c r="E221" s="343"/>
      <c r="F221" s="343"/>
      <c r="G221" s="147"/>
      <c r="H221" s="344"/>
      <c r="I221" s="345"/>
      <c r="J221" s="344"/>
      <c r="K221" s="346"/>
      <c r="L221" s="230">
        <f>SUM(K222:K258)</f>
        <v>2302071.9073471352</v>
      </c>
      <c r="M221" s="170"/>
      <c r="N221" s="170"/>
      <c r="O221" s="170"/>
      <c r="P221" s="170"/>
      <c r="Q221" s="170"/>
      <c r="R221" s="170"/>
      <c r="S221" s="170"/>
      <c r="T221" s="170"/>
      <c r="U221" s="170"/>
      <c r="V221" s="170"/>
      <c r="W221" s="170"/>
      <c r="X221" s="219"/>
    </row>
    <row r="222" spans="1:24">
      <c r="A222" s="35" t="s">
        <v>516</v>
      </c>
      <c r="B222" s="176" t="s">
        <v>517</v>
      </c>
      <c r="C222" s="176" t="s">
        <v>120</v>
      </c>
      <c r="D222" s="176" t="s">
        <v>109</v>
      </c>
      <c r="E222" s="176" t="s">
        <v>110</v>
      </c>
      <c r="F222" s="176" t="s">
        <v>121</v>
      </c>
      <c r="G222" s="167">
        <v>1</v>
      </c>
      <c r="H222" s="413">
        <v>5000</v>
      </c>
      <c r="I222" s="414">
        <v>0</v>
      </c>
      <c r="J222" s="415">
        <f t="shared" ref="J222:J258" si="40">H222*(1+I222)</f>
        <v>5000</v>
      </c>
      <c r="K222" s="416">
        <f t="shared" ref="K222:K258" si="41">J222*G222</f>
        <v>5000</v>
      </c>
      <c r="M222" s="170"/>
      <c r="N222" s="170"/>
      <c r="O222" s="170"/>
      <c r="P222" s="170"/>
      <c r="Q222" s="170"/>
      <c r="R222" s="170"/>
      <c r="S222" s="170"/>
      <c r="T222" s="170"/>
      <c r="U222" s="170"/>
      <c r="V222" s="170"/>
      <c r="W222" s="170"/>
      <c r="X222" s="219"/>
    </row>
    <row r="223" spans="1:24">
      <c r="A223" s="37" t="s">
        <v>518</v>
      </c>
      <c r="B223" s="164" t="s">
        <v>519</v>
      </c>
      <c r="C223" s="164" t="s">
        <v>103</v>
      </c>
      <c r="D223" s="164" t="s">
        <v>126</v>
      </c>
      <c r="E223" s="164" t="s">
        <v>110</v>
      </c>
      <c r="F223" s="164" t="s">
        <v>121</v>
      </c>
      <c r="G223" s="161">
        <v>1</v>
      </c>
      <c r="H223" s="185">
        <v>2500</v>
      </c>
      <c r="I223" s="216">
        <v>0</v>
      </c>
      <c r="J223" s="185">
        <f t="shared" si="40"/>
        <v>2500</v>
      </c>
      <c r="K223" s="217">
        <f t="shared" si="41"/>
        <v>2500</v>
      </c>
      <c r="M223" s="170"/>
      <c r="N223" s="170"/>
      <c r="O223" s="170"/>
      <c r="P223" s="170"/>
      <c r="Q223" s="170"/>
      <c r="R223" s="170"/>
      <c r="S223" s="170"/>
      <c r="T223" s="170"/>
      <c r="U223" s="170"/>
      <c r="V223" s="170"/>
      <c r="W223" s="170"/>
      <c r="X223" s="219"/>
    </row>
    <row r="224" spans="1:24">
      <c r="A224" s="37" t="s">
        <v>520</v>
      </c>
      <c r="B224" s="164" t="s">
        <v>521</v>
      </c>
      <c r="C224" s="164" t="s">
        <v>103</v>
      </c>
      <c r="D224" s="164" t="s">
        <v>109</v>
      </c>
      <c r="E224" s="164" t="s">
        <v>110</v>
      </c>
      <c r="F224" s="164" t="s">
        <v>121</v>
      </c>
      <c r="G224" s="161">
        <v>1</v>
      </c>
      <c r="H224" s="185">
        <v>20000</v>
      </c>
      <c r="I224" s="216">
        <v>0</v>
      </c>
      <c r="J224" s="185">
        <f t="shared" si="40"/>
        <v>20000</v>
      </c>
      <c r="K224" s="217">
        <f t="shared" si="41"/>
        <v>20000</v>
      </c>
      <c r="M224" s="170" t="s">
        <v>503</v>
      </c>
      <c r="N224" s="170"/>
      <c r="O224" s="170"/>
      <c r="P224" s="170"/>
      <c r="Q224" s="170"/>
      <c r="R224" s="170"/>
      <c r="S224" s="170"/>
      <c r="T224" s="170"/>
      <c r="U224" s="170"/>
      <c r="V224" s="170"/>
      <c r="W224" s="170"/>
      <c r="X224" s="219"/>
    </row>
    <row r="225" spans="1:24">
      <c r="A225" s="37" t="s">
        <v>522</v>
      </c>
      <c r="B225" s="164" t="s">
        <v>523</v>
      </c>
      <c r="C225" s="164" t="s">
        <v>103</v>
      </c>
      <c r="D225" s="164" t="s">
        <v>109</v>
      </c>
      <c r="E225" s="164" t="s">
        <v>116</v>
      </c>
      <c r="F225" s="164" t="s">
        <v>121</v>
      </c>
      <c r="G225" s="161">
        <v>1</v>
      </c>
      <c r="H225" s="185">
        <v>225069</v>
      </c>
      <c r="I225" s="216">
        <v>0</v>
      </c>
      <c r="J225" s="185">
        <f t="shared" si="40"/>
        <v>225069</v>
      </c>
      <c r="K225" s="217">
        <f t="shared" si="41"/>
        <v>225069</v>
      </c>
      <c r="M225" s="170" t="s">
        <v>503</v>
      </c>
      <c r="N225" s="170"/>
      <c r="O225" s="170"/>
      <c r="P225" s="170"/>
      <c r="Q225" s="170"/>
      <c r="R225" s="170"/>
      <c r="S225" s="170"/>
      <c r="T225" s="170"/>
      <c r="U225" s="170"/>
      <c r="V225" s="170"/>
      <c r="W225" s="170"/>
      <c r="X225" s="219"/>
    </row>
    <row r="226" spans="1:24">
      <c r="A226" s="37" t="s">
        <v>73</v>
      </c>
      <c r="B226" s="164" t="s">
        <v>524</v>
      </c>
      <c r="C226" s="164" t="s">
        <v>103</v>
      </c>
      <c r="D226" s="164" t="s">
        <v>109</v>
      </c>
      <c r="E226" s="164" t="s">
        <v>110</v>
      </c>
      <c r="F226" s="164" t="s">
        <v>15</v>
      </c>
      <c r="G226" s="161">
        <f>R14</f>
        <v>75608</v>
      </c>
      <c r="H226" s="185">
        <v>0.2</v>
      </c>
      <c r="I226" s="216">
        <v>0</v>
      </c>
      <c r="J226" s="185">
        <f t="shared" si="40"/>
        <v>0.2</v>
      </c>
      <c r="K226" s="217">
        <f t="shared" si="41"/>
        <v>15121.6</v>
      </c>
      <c r="M226" s="170"/>
      <c r="N226" s="170"/>
      <c r="O226" s="170"/>
      <c r="P226" s="170"/>
      <c r="Q226" s="170"/>
      <c r="R226" s="170"/>
      <c r="S226" s="170"/>
      <c r="T226" s="170"/>
      <c r="U226" s="170"/>
      <c r="V226" s="170"/>
      <c r="W226" s="170"/>
      <c r="X226" s="219"/>
    </row>
    <row r="227" spans="1:24">
      <c r="A227" s="37" t="s">
        <v>47</v>
      </c>
      <c r="B227" s="164" t="s">
        <v>525</v>
      </c>
      <c r="C227" s="164" t="s">
        <v>103</v>
      </c>
      <c r="D227" s="164" t="s">
        <v>126</v>
      </c>
      <c r="E227" s="164" t="s">
        <v>195</v>
      </c>
      <c r="F227" s="164" t="s">
        <v>15</v>
      </c>
      <c r="G227" s="161">
        <f>$R$15</f>
        <v>350</v>
      </c>
      <c r="H227" s="185">
        <v>8.5</v>
      </c>
      <c r="I227" s="216">
        <v>0</v>
      </c>
      <c r="J227" s="185">
        <f t="shared" si="40"/>
        <v>8.5</v>
      </c>
      <c r="K227" s="217">
        <f t="shared" si="41"/>
        <v>2975</v>
      </c>
      <c r="M227" s="170"/>
      <c r="N227" s="170"/>
      <c r="O227" s="170"/>
      <c r="P227" s="170"/>
      <c r="Q227" s="170"/>
      <c r="R227" s="170"/>
      <c r="S227" s="170"/>
      <c r="T227" s="170"/>
      <c r="U227" s="170"/>
      <c r="V227" s="170"/>
      <c r="W227" s="170"/>
      <c r="X227" s="219"/>
    </row>
    <row r="228" spans="1:24">
      <c r="A228" s="37" t="s">
        <v>526</v>
      </c>
      <c r="B228" s="164" t="s">
        <v>527</v>
      </c>
      <c r="C228" s="164" t="s">
        <v>103</v>
      </c>
      <c r="D228" s="164" t="s">
        <v>130</v>
      </c>
      <c r="E228" s="164" t="s">
        <v>195</v>
      </c>
      <c r="F228" s="164" t="s">
        <v>15</v>
      </c>
      <c r="G228" s="161">
        <f>$R$16</f>
        <v>4500</v>
      </c>
      <c r="H228" s="185">
        <v>8.5</v>
      </c>
      <c r="I228" s="216">
        <v>0</v>
      </c>
      <c r="J228" s="185">
        <f t="shared" si="40"/>
        <v>8.5</v>
      </c>
      <c r="K228" s="217">
        <f t="shared" si="41"/>
        <v>38250</v>
      </c>
      <c r="M228" s="170"/>
      <c r="N228" s="170"/>
      <c r="O228" s="170"/>
      <c r="P228" s="170"/>
      <c r="Q228" s="170"/>
      <c r="R228" s="170"/>
      <c r="S228" s="170"/>
      <c r="T228" s="170"/>
      <c r="U228" s="170"/>
      <c r="V228" s="170"/>
      <c r="W228" s="170"/>
      <c r="X228" s="219"/>
    </row>
    <row r="229" spans="1:24">
      <c r="A229" s="37" t="s">
        <v>528</v>
      </c>
      <c r="B229" s="164" t="s">
        <v>529</v>
      </c>
      <c r="C229" s="164" t="s">
        <v>103</v>
      </c>
      <c r="D229" s="164" t="s">
        <v>109</v>
      </c>
      <c r="E229" s="164" t="s">
        <v>116</v>
      </c>
      <c r="F229" s="164" t="s">
        <v>121</v>
      </c>
      <c r="G229" s="161">
        <v>1</v>
      </c>
      <c r="H229" s="185">
        <v>66295</v>
      </c>
      <c r="I229" s="216">
        <v>0</v>
      </c>
      <c r="J229" s="185">
        <f t="shared" si="40"/>
        <v>66295</v>
      </c>
      <c r="K229" s="217">
        <f t="shared" si="41"/>
        <v>66295</v>
      </c>
      <c r="M229" s="170" t="s">
        <v>503</v>
      </c>
      <c r="N229" s="170"/>
      <c r="O229" s="170"/>
      <c r="P229" s="170"/>
      <c r="Q229" s="170"/>
      <c r="R229" s="170"/>
      <c r="S229" s="170"/>
      <c r="T229" s="170"/>
      <c r="U229" s="170"/>
      <c r="V229" s="170"/>
      <c r="W229" s="170"/>
      <c r="X229" s="219"/>
    </row>
    <row r="230" spans="1:24">
      <c r="A230" s="37" t="s">
        <v>530</v>
      </c>
      <c r="B230" s="164" t="s">
        <v>531</v>
      </c>
      <c r="C230" s="164" t="s">
        <v>103</v>
      </c>
      <c r="D230" s="164" t="s">
        <v>109</v>
      </c>
      <c r="E230" s="164" t="s">
        <v>116</v>
      </c>
      <c r="F230" s="164" t="s">
        <v>121</v>
      </c>
      <c r="G230" s="161">
        <v>1</v>
      </c>
      <c r="H230" s="185">
        <v>42120</v>
      </c>
      <c r="I230" s="216">
        <v>0</v>
      </c>
      <c r="J230" s="185">
        <f t="shared" si="40"/>
        <v>42120</v>
      </c>
      <c r="K230" s="217">
        <f t="shared" si="41"/>
        <v>42120</v>
      </c>
      <c r="M230" s="170" t="s">
        <v>503</v>
      </c>
      <c r="N230" s="170"/>
      <c r="O230" s="170"/>
      <c r="P230" s="170"/>
      <c r="Q230" s="170"/>
      <c r="R230" s="170"/>
      <c r="S230" s="170"/>
      <c r="T230" s="170"/>
      <c r="U230" s="170"/>
      <c r="V230" s="170"/>
      <c r="W230" s="170"/>
      <c r="X230" s="219"/>
    </row>
    <row r="231" spans="1:24">
      <c r="A231" s="206" t="s">
        <v>532</v>
      </c>
      <c r="B231" s="164" t="s">
        <v>533</v>
      </c>
      <c r="C231" s="164" t="s">
        <v>103</v>
      </c>
      <c r="D231" s="164" t="s">
        <v>109</v>
      </c>
      <c r="E231" s="164" t="s">
        <v>116</v>
      </c>
      <c r="F231" s="164" t="s">
        <v>121</v>
      </c>
      <c r="G231" s="161">
        <v>1</v>
      </c>
      <c r="H231" s="185">
        <v>89086</v>
      </c>
      <c r="I231" s="216">
        <v>0</v>
      </c>
      <c r="J231" s="185">
        <f t="shared" si="40"/>
        <v>89086</v>
      </c>
      <c r="K231" s="217">
        <f t="shared" si="41"/>
        <v>89086</v>
      </c>
      <c r="M231" s="170" t="s">
        <v>503</v>
      </c>
      <c r="N231" s="170"/>
      <c r="O231" s="170"/>
      <c r="P231" s="170"/>
      <c r="Q231" s="170"/>
      <c r="R231" s="170"/>
      <c r="S231" s="170"/>
      <c r="T231" s="170"/>
      <c r="U231" s="170"/>
      <c r="V231" s="170"/>
      <c r="W231" s="170"/>
      <c r="X231" s="219"/>
    </row>
    <row r="232" spans="1:24">
      <c r="A232" s="37" t="s">
        <v>534</v>
      </c>
      <c r="B232" s="164" t="s">
        <v>535</v>
      </c>
      <c r="C232" s="164" t="s">
        <v>103</v>
      </c>
      <c r="D232" s="164" t="s">
        <v>126</v>
      </c>
      <c r="E232" s="164" t="s">
        <v>118</v>
      </c>
      <c r="F232" s="164"/>
      <c r="G232" s="161"/>
      <c r="H232" s="185"/>
      <c r="I232" s="216">
        <v>0</v>
      </c>
      <c r="J232" s="185">
        <f t="shared" si="40"/>
        <v>0</v>
      </c>
      <c r="K232" s="217">
        <f t="shared" si="41"/>
        <v>0</v>
      </c>
      <c r="M232" s="170"/>
      <c r="N232" s="170"/>
      <c r="O232" s="170"/>
      <c r="P232" s="170"/>
      <c r="Q232" s="170"/>
      <c r="R232" s="170"/>
      <c r="S232" s="170"/>
      <c r="T232" s="170"/>
      <c r="U232" s="170"/>
      <c r="V232" s="170"/>
      <c r="W232" s="170"/>
      <c r="X232" s="219"/>
    </row>
    <row r="233" spans="1:24">
      <c r="A233" s="37" t="s">
        <v>536</v>
      </c>
      <c r="B233" s="164" t="s">
        <v>537</v>
      </c>
      <c r="C233" s="164" t="s">
        <v>103</v>
      </c>
      <c r="D233" s="164" t="s">
        <v>130</v>
      </c>
      <c r="E233" s="164" t="s">
        <v>110</v>
      </c>
      <c r="F233" s="164" t="s">
        <v>121</v>
      </c>
      <c r="G233" s="161">
        <f>$O$7</f>
        <v>1</v>
      </c>
      <c r="H233" s="185">
        <v>10000</v>
      </c>
      <c r="I233" s="216">
        <v>0</v>
      </c>
      <c r="J233" s="185">
        <f t="shared" si="40"/>
        <v>10000</v>
      </c>
      <c r="K233" s="217">
        <f t="shared" si="41"/>
        <v>10000</v>
      </c>
      <c r="M233" s="170"/>
      <c r="N233" s="170"/>
      <c r="O233" s="170"/>
      <c r="P233" s="170"/>
      <c r="Q233" s="170"/>
      <c r="R233" s="170"/>
      <c r="S233" s="170"/>
      <c r="T233" s="170"/>
      <c r="U233" s="170"/>
      <c r="V233" s="170"/>
      <c r="W233" s="170"/>
      <c r="X233" s="219"/>
    </row>
    <row r="234" spans="1:24">
      <c r="A234" s="37" t="s">
        <v>538</v>
      </c>
      <c r="B234" s="164" t="s">
        <v>539</v>
      </c>
      <c r="C234" s="164" t="s">
        <v>103</v>
      </c>
      <c r="D234" s="164" t="s">
        <v>109</v>
      </c>
      <c r="E234" s="164" t="s">
        <v>110</v>
      </c>
      <c r="F234" s="164" t="s">
        <v>464</v>
      </c>
      <c r="G234" s="422">
        <f>$B$9</f>
        <v>4.9000000000000004</v>
      </c>
      <c r="H234" s="185">
        <v>2500</v>
      </c>
      <c r="I234" s="216">
        <v>0</v>
      </c>
      <c r="J234" s="185">
        <f t="shared" si="40"/>
        <v>2500</v>
      </c>
      <c r="K234" s="217">
        <f t="shared" si="41"/>
        <v>12250</v>
      </c>
      <c r="M234" s="170"/>
      <c r="N234" s="170"/>
      <c r="O234" s="170"/>
      <c r="P234" s="170"/>
      <c r="Q234" s="170"/>
      <c r="R234" s="170"/>
      <c r="S234" s="170"/>
      <c r="T234" s="170"/>
      <c r="U234" s="170"/>
      <c r="V234" s="170"/>
      <c r="W234" s="170"/>
      <c r="X234" s="219"/>
    </row>
    <row r="235" spans="1:24">
      <c r="A235" s="37" t="s">
        <v>540</v>
      </c>
      <c r="B235" s="164" t="s">
        <v>541</v>
      </c>
      <c r="C235" s="164" t="s">
        <v>103</v>
      </c>
      <c r="D235" s="164" t="s">
        <v>109</v>
      </c>
      <c r="E235" s="164" t="s">
        <v>116</v>
      </c>
      <c r="F235" s="164" t="s">
        <v>121</v>
      </c>
      <c r="G235" s="161">
        <v>1</v>
      </c>
      <c r="H235" s="185">
        <v>92505</v>
      </c>
      <c r="I235" s="216">
        <v>0</v>
      </c>
      <c r="J235" s="185">
        <f t="shared" si="40"/>
        <v>92505</v>
      </c>
      <c r="K235" s="217">
        <f t="shared" si="41"/>
        <v>92505</v>
      </c>
      <c r="M235" s="170" t="s">
        <v>542</v>
      </c>
      <c r="N235" s="170"/>
      <c r="O235" s="170"/>
      <c r="P235" s="170"/>
      <c r="Q235" s="170"/>
      <c r="R235" s="170"/>
      <c r="S235" s="170"/>
      <c r="T235" s="170"/>
      <c r="U235" s="170"/>
      <c r="V235" s="170"/>
      <c r="W235" s="170"/>
      <c r="X235" s="219"/>
    </row>
    <row r="236" spans="1:24">
      <c r="A236" s="37" t="s">
        <v>543</v>
      </c>
      <c r="B236" s="164" t="s">
        <v>544</v>
      </c>
      <c r="C236" s="164" t="s">
        <v>103</v>
      </c>
      <c r="D236" s="164" t="s">
        <v>126</v>
      </c>
      <c r="E236" s="164" t="s">
        <v>116</v>
      </c>
      <c r="F236" s="164" t="s">
        <v>32</v>
      </c>
      <c r="G236" s="161">
        <f>$O$5</f>
        <v>4</v>
      </c>
      <c r="H236" s="185">
        <v>2485</v>
      </c>
      <c r="I236" s="216">
        <v>0</v>
      </c>
      <c r="J236" s="185">
        <f t="shared" si="40"/>
        <v>2485</v>
      </c>
      <c r="K236" s="217">
        <f t="shared" si="41"/>
        <v>9940</v>
      </c>
      <c r="M236" s="170"/>
      <c r="N236" s="170"/>
      <c r="O236" s="170"/>
      <c r="P236" s="170"/>
      <c r="Q236" s="170"/>
      <c r="R236" s="170"/>
      <c r="S236" s="170"/>
      <c r="T236" s="170"/>
      <c r="U236" s="170"/>
      <c r="V236" s="170"/>
      <c r="W236" s="170"/>
      <c r="X236" s="219"/>
    </row>
    <row r="237" spans="1:24">
      <c r="A237" s="37" t="s">
        <v>545</v>
      </c>
      <c r="B237" s="164" t="s">
        <v>546</v>
      </c>
      <c r="C237" s="164" t="s">
        <v>281</v>
      </c>
      <c r="D237" s="164" t="s">
        <v>126</v>
      </c>
      <c r="E237" s="164" t="s">
        <v>110</v>
      </c>
      <c r="F237" s="164" t="s">
        <v>121</v>
      </c>
      <c r="G237" s="161">
        <v>1</v>
      </c>
      <c r="H237" s="185">
        <v>10000</v>
      </c>
      <c r="I237" s="216">
        <v>0</v>
      </c>
      <c r="J237" s="185">
        <f t="shared" si="40"/>
        <v>10000</v>
      </c>
      <c r="K237" s="217">
        <f t="shared" si="41"/>
        <v>10000</v>
      </c>
      <c r="M237" s="170"/>
      <c r="N237" s="170"/>
      <c r="O237" s="170"/>
      <c r="P237" s="170"/>
      <c r="Q237" s="170"/>
      <c r="R237" s="170"/>
      <c r="S237" s="170"/>
      <c r="T237" s="170"/>
      <c r="U237" s="170"/>
      <c r="V237" s="170"/>
      <c r="W237" s="170"/>
      <c r="X237" s="219"/>
    </row>
    <row r="238" spans="1:24">
      <c r="A238" s="37" t="s">
        <v>547</v>
      </c>
      <c r="B238" s="164" t="s">
        <v>548</v>
      </c>
      <c r="C238" s="164" t="s">
        <v>103</v>
      </c>
      <c r="D238" s="164" t="s">
        <v>109</v>
      </c>
      <c r="E238" s="164" t="s">
        <v>110</v>
      </c>
      <c r="F238" s="164" t="s">
        <v>549</v>
      </c>
      <c r="G238" s="161">
        <v>150</v>
      </c>
      <c r="H238" s="185">
        <v>70</v>
      </c>
      <c r="I238" s="216">
        <v>0</v>
      </c>
      <c r="J238" s="185">
        <f t="shared" si="40"/>
        <v>70</v>
      </c>
      <c r="K238" s="217">
        <f t="shared" si="41"/>
        <v>10500</v>
      </c>
      <c r="M238" s="170"/>
      <c r="N238" s="170"/>
      <c r="O238" s="170"/>
      <c r="P238" s="170"/>
      <c r="Q238" s="170"/>
      <c r="R238" s="170"/>
      <c r="S238" s="170"/>
      <c r="T238" s="170"/>
      <c r="U238" s="170"/>
      <c r="V238" s="170"/>
      <c r="W238" s="170"/>
      <c r="X238" s="219"/>
    </row>
    <row r="239" spans="1:24">
      <c r="A239" s="37" t="s">
        <v>70</v>
      </c>
      <c r="B239" s="164" t="s">
        <v>551</v>
      </c>
      <c r="C239" s="164" t="s">
        <v>103</v>
      </c>
      <c r="D239" s="164" t="s">
        <v>130</v>
      </c>
      <c r="E239" s="164" t="s">
        <v>116</v>
      </c>
      <c r="F239" s="164" t="s">
        <v>549</v>
      </c>
      <c r="G239" s="161">
        <v>300</v>
      </c>
      <c r="H239" s="185">
        <v>70</v>
      </c>
      <c r="I239" s="216">
        <v>0</v>
      </c>
      <c r="J239" s="185">
        <f t="shared" si="40"/>
        <v>70</v>
      </c>
      <c r="K239" s="217">
        <f t="shared" si="41"/>
        <v>21000</v>
      </c>
      <c r="M239" s="170"/>
      <c r="N239" s="170"/>
      <c r="O239" s="170"/>
      <c r="P239" s="170"/>
      <c r="Q239" s="170"/>
      <c r="R239" s="170"/>
      <c r="S239" s="170"/>
      <c r="T239" s="170"/>
      <c r="U239" s="170"/>
      <c r="V239" s="170"/>
      <c r="W239" s="170"/>
      <c r="X239" s="219"/>
    </row>
    <row r="240" spans="1:24">
      <c r="A240" s="37" t="s">
        <v>553</v>
      </c>
      <c r="B240" s="164" t="s">
        <v>551</v>
      </c>
      <c r="C240" s="164" t="s">
        <v>103</v>
      </c>
      <c r="D240" s="164" t="s">
        <v>130</v>
      </c>
      <c r="E240" s="164" t="s">
        <v>116</v>
      </c>
      <c r="F240" s="164" t="s">
        <v>32</v>
      </c>
      <c r="G240" s="161">
        <f>$O$7*2</f>
        <v>2</v>
      </c>
      <c r="H240" s="185">
        <v>1950</v>
      </c>
      <c r="I240" s="216">
        <v>0</v>
      </c>
      <c r="J240" s="185">
        <f t="shared" si="40"/>
        <v>1950</v>
      </c>
      <c r="K240" s="217">
        <f t="shared" si="41"/>
        <v>3900</v>
      </c>
      <c r="M240" s="170"/>
      <c r="N240" s="170"/>
      <c r="O240" s="170"/>
      <c r="P240" s="170"/>
      <c r="Q240" s="170"/>
      <c r="R240" s="170"/>
      <c r="S240" s="170"/>
      <c r="T240" s="170"/>
      <c r="U240" s="170"/>
      <c r="V240" s="170"/>
      <c r="W240" s="170"/>
      <c r="X240" s="219"/>
    </row>
    <row r="241" spans="1:24">
      <c r="A241" s="37" t="s">
        <v>554</v>
      </c>
      <c r="B241" s="164" t="s">
        <v>555</v>
      </c>
      <c r="C241" s="164" t="s">
        <v>103</v>
      </c>
      <c r="D241" s="164" t="s">
        <v>109</v>
      </c>
      <c r="E241" s="164" t="s">
        <v>116</v>
      </c>
      <c r="F241" s="164" t="s">
        <v>121</v>
      </c>
      <c r="G241" s="161">
        <v>1</v>
      </c>
      <c r="H241" s="185">
        <v>6000</v>
      </c>
      <c r="I241" s="216">
        <v>0</v>
      </c>
      <c r="J241" s="185">
        <f t="shared" si="40"/>
        <v>6000</v>
      </c>
      <c r="K241" s="217">
        <f t="shared" si="41"/>
        <v>6000</v>
      </c>
      <c r="M241" s="170" t="s">
        <v>879</v>
      </c>
      <c r="N241" s="170"/>
      <c r="O241" s="170"/>
      <c r="P241" s="170"/>
      <c r="Q241" s="170"/>
      <c r="R241" s="170"/>
      <c r="S241" s="170"/>
      <c r="T241" s="170"/>
      <c r="U241" s="170"/>
      <c r="V241" s="170"/>
      <c r="W241" s="170"/>
      <c r="X241" s="219"/>
    </row>
    <row r="242" spans="1:24">
      <c r="A242" s="37" t="s">
        <v>556</v>
      </c>
      <c r="B242" s="164" t="s">
        <v>557</v>
      </c>
      <c r="C242" s="164" t="s">
        <v>103</v>
      </c>
      <c r="D242" s="164" t="s">
        <v>109</v>
      </c>
      <c r="E242" s="164" t="s">
        <v>118</v>
      </c>
      <c r="F242" s="164"/>
      <c r="G242" s="161"/>
      <c r="H242" s="185">
        <v>3555</v>
      </c>
      <c r="I242" s="216">
        <v>0</v>
      </c>
      <c r="J242" s="185">
        <f t="shared" si="40"/>
        <v>3555</v>
      </c>
      <c r="K242" s="217">
        <f t="shared" si="41"/>
        <v>0</v>
      </c>
      <c r="M242" s="170"/>
      <c r="N242" s="170"/>
      <c r="O242" s="170"/>
      <c r="P242" s="170"/>
      <c r="Q242" s="170"/>
      <c r="R242" s="170"/>
      <c r="S242" s="170"/>
      <c r="T242" s="170"/>
      <c r="U242" s="170"/>
      <c r="V242" s="170"/>
      <c r="W242" s="170"/>
      <c r="X242" s="219"/>
    </row>
    <row r="243" spans="1:24">
      <c r="A243" s="37" t="s">
        <v>558</v>
      </c>
      <c r="B243" s="164" t="s">
        <v>559</v>
      </c>
      <c r="C243" s="164" t="s">
        <v>103</v>
      </c>
      <c r="D243" s="164" t="s">
        <v>109</v>
      </c>
      <c r="E243" s="164" t="s">
        <v>118</v>
      </c>
      <c r="F243" s="164"/>
      <c r="G243" s="161"/>
      <c r="H243" s="185">
        <v>44</v>
      </c>
      <c r="I243" s="216">
        <v>0</v>
      </c>
      <c r="J243" s="185">
        <f t="shared" si="40"/>
        <v>44</v>
      </c>
      <c r="K243" s="217">
        <f t="shared" si="41"/>
        <v>0</v>
      </c>
      <c r="M243" s="170"/>
      <c r="N243" s="170"/>
      <c r="O243" s="170"/>
      <c r="P243" s="170"/>
      <c r="Q243" s="170"/>
      <c r="R243" s="170"/>
      <c r="S243" s="170"/>
      <c r="T243" s="170"/>
      <c r="U243" s="170"/>
      <c r="V243" s="170"/>
      <c r="W243" s="170"/>
      <c r="X243" s="219"/>
    </row>
    <row r="244" spans="1:24">
      <c r="A244" s="37" t="s">
        <v>560</v>
      </c>
      <c r="B244" s="164" t="s">
        <v>561</v>
      </c>
      <c r="C244" s="164" t="s">
        <v>103</v>
      </c>
      <c r="D244" s="164" t="s">
        <v>109</v>
      </c>
      <c r="E244" s="164" t="s">
        <v>461</v>
      </c>
      <c r="F244" s="164" t="s">
        <v>121</v>
      </c>
      <c r="G244" s="161">
        <v>2</v>
      </c>
      <c r="H244" s="185">
        <v>1950</v>
      </c>
      <c r="I244" s="216">
        <v>0</v>
      </c>
      <c r="J244" s="185">
        <f t="shared" si="40"/>
        <v>1950</v>
      </c>
      <c r="K244" s="217">
        <f t="shared" si="41"/>
        <v>3900</v>
      </c>
      <c r="M244" s="170"/>
      <c r="N244" s="170"/>
      <c r="O244" s="170"/>
      <c r="P244" s="170"/>
      <c r="Q244" s="170"/>
      <c r="R244" s="170"/>
      <c r="S244" s="170"/>
      <c r="T244" s="170"/>
      <c r="U244" s="170"/>
      <c r="V244" s="170"/>
      <c r="W244" s="170"/>
      <c r="X244" s="219"/>
    </row>
    <row r="245" spans="1:24">
      <c r="A245" s="37" t="s">
        <v>562</v>
      </c>
      <c r="B245" s="164" t="s">
        <v>563</v>
      </c>
      <c r="C245" s="164" t="s">
        <v>103</v>
      </c>
      <c r="D245" s="164" t="s">
        <v>109</v>
      </c>
      <c r="E245" s="164" t="s">
        <v>110</v>
      </c>
      <c r="F245" s="164" t="s">
        <v>121</v>
      </c>
      <c r="G245" s="422">
        <v>1</v>
      </c>
      <c r="H245" s="185">
        <v>15000</v>
      </c>
      <c r="I245" s="216">
        <v>0</v>
      </c>
      <c r="J245" s="185">
        <f t="shared" si="40"/>
        <v>15000</v>
      </c>
      <c r="K245" s="217">
        <f t="shared" si="41"/>
        <v>15000</v>
      </c>
      <c r="M245" s="170"/>
      <c r="N245" s="170"/>
      <c r="O245" s="170"/>
      <c r="P245" s="170"/>
      <c r="Q245" s="170"/>
      <c r="R245" s="170"/>
      <c r="S245" s="170"/>
      <c r="T245" s="170"/>
      <c r="U245" s="170"/>
      <c r="V245" s="170"/>
      <c r="W245" s="170"/>
      <c r="X245" s="219"/>
    </row>
    <row r="246" spans="1:24">
      <c r="A246" s="37" t="s">
        <v>564</v>
      </c>
      <c r="B246" s="164" t="s">
        <v>565</v>
      </c>
      <c r="C246" s="164" t="s">
        <v>103</v>
      </c>
      <c r="D246" s="164" t="s">
        <v>109</v>
      </c>
      <c r="E246" s="164" t="s">
        <v>461</v>
      </c>
      <c r="F246" s="164" t="s">
        <v>121</v>
      </c>
      <c r="G246" s="161">
        <v>1</v>
      </c>
      <c r="H246" s="185">
        <v>98343</v>
      </c>
      <c r="I246" s="216">
        <v>0</v>
      </c>
      <c r="J246" s="185">
        <f t="shared" si="40"/>
        <v>98343</v>
      </c>
      <c r="K246" s="217">
        <f t="shared" si="41"/>
        <v>98343</v>
      </c>
      <c r="M246" s="170" t="s">
        <v>503</v>
      </c>
      <c r="N246" s="170"/>
      <c r="O246" s="170"/>
      <c r="P246" s="170"/>
      <c r="Q246" s="170"/>
      <c r="R246" s="170"/>
      <c r="S246" s="170"/>
      <c r="T246" s="170"/>
      <c r="U246" s="170"/>
      <c r="V246" s="170"/>
      <c r="W246" s="170"/>
      <c r="X246" s="219"/>
    </row>
    <row r="247" spans="1:24">
      <c r="A247" s="37" t="s">
        <v>566</v>
      </c>
      <c r="B247" s="164" t="s">
        <v>567</v>
      </c>
      <c r="C247" s="164" t="s">
        <v>103</v>
      </c>
      <c r="D247" s="164" t="s">
        <v>109</v>
      </c>
      <c r="E247" s="164" t="s">
        <v>240</v>
      </c>
      <c r="F247" s="164" t="s">
        <v>121</v>
      </c>
      <c r="G247" s="161">
        <v>1</v>
      </c>
      <c r="H247" s="185">
        <v>0</v>
      </c>
      <c r="I247" s="216">
        <v>0</v>
      </c>
      <c r="J247" s="185">
        <f t="shared" si="40"/>
        <v>0</v>
      </c>
      <c r="K247" s="217">
        <f t="shared" si="41"/>
        <v>0</v>
      </c>
      <c r="M247" s="170" t="s">
        <v>503</v>
      </c>
      <c r="N247" s="170"/>
      <c r="O247" s="170"/>
      <c r="P247" s="170"/>
      <c r="Q247" s="170"/>
      <c r="R247" s="170"/>
      <c r="S247" s="170"/>
      <c r="T247" s="170"/>
      <c r="U247" s="170"/>
      <c r="V247" s="170"/>
      <c r="W247" s="170"/>
      <c r="X247" s="219"/>
    </row>
    <row r="248" spans="1:24">
      <c r="A248" s="37" t="s">
        <v>568</v>
      </c>
      <c r="B248" s="164" t="s">
        <v>569</v>
      </c>
      <c r="C248" s="164" t="s">
        <v>103</v>
      </c>
      <c r="D248" s="164" t="s">
        <v>109</v>
      </c>
      <c r="E248" s="164" t="s">
        <v>110</v>
      </c>
      <c r="F248" s="164" t="s">
        <v>121</v>
      </c>
      <c r="G248" s="161">
        <v>1</v>
      </c>
      <c r="H248" s="185">
        <v>15000</v>
      </c>
      <c r="I248" s="216">
        <v>0</v>
      </c>
      <c r="J248" s="185">
        <f t="shared" si="40"/>
        <v>15000</v>
      </c>
      <c r="K248" s="217">
        <f t="shared" si="41"/>
        <v>15000</v>
      </c>
      <c r="M248" s="170"/>
      <c r="N248" s="170"/>
      <c r="O248" s="170"/>
      <c r="P248" s="170"/>
      <c r="Q248" s="170"/>
      <c r="R248" s="170"/>
      <c r="S248" s="170"/>
      <c r="T248" s="170"/>
      <c r="U248" s="170"/>
      <c r="V248" s="170"/>
      <c r="W248" s="170"/>
      <c r="X248" s="219"/>
    </row>
    <row r="249" spans="1:24">
      <c r="A249" s="37" t="s">
        <v>570</v>
      </c>
      <c r="B249" s="164" t="s">
        <v>571</v>
      </c>
      <c r="C249" s="164" t="s">
        <v>281</v>
      </c>
      <c r="D249" s="164" t="s">
        <v>130</v>
      </c>
      <c r="E249" s="164" t="s">
        <v>110</v>
      </c>
      <c r="F249" s="164" t="s">
        <v>121</v>
      </c>
      <c r="G249" s="161">
        <v>1</v>
      </c>
      <c r="H249" s="185">
        <v>11000</v>
      </c>
      <c r="I249" s="216">
        <v>0</v>
      </c>
      <c r="J249" s="185">
        <f t="shared" si="40"/>
        <v>11000</v>
      </c>
      <c r="K249" s="217">
        <f t="shared" si="41"/>
        <v>11000</v>
      </c>
      <c r="M249" s="170"/>
      <c r="N249" s="170"/>
      <c r="O249" s="170"/>
      <c r="P249" s="170"/>
      <c r="Q249" s="170"/>
      <c r="R249" s="170"/>
      <c r="S249" s="170"/>
      <c r="T249" s="170"/>
      <c r="U249" s="170"/>
      <c r="V249" s="170"/>
      <c r="W249" s="170"/>
      <c r="X249" s="219"/>
    </row>
    <row r="250" spans="1:24">
      <c r="A250" s="37" t="s">
        <v>572</v>
      </c>
      <c r="B250" s="164" t="s">
        <v>573</v>
      </c>
      <c r="C250" s="164" t="s">
        <v>281</v>
      </c>
      <c r="D250" s="164" t="s">
        <v>115</v>
      </c>
      <c r="E250" s="164" t="s">
        <v>110</v>
      </c>
      <c r="F250" s="164" t="s">
        <v>121</v>
      </c>
      <c r="G250" s="161">
        <v>1</v>
      </c>
      <c r="H250" s="185">
        <v>7000</v>
      </c>
      <c r="I250" s="216">
        <v>0</v>
      </c>
      <c r="J250" s="185">
        <f t="shared" si="40"/>
        <v>7000</v>
      </c>
      <c r="K250" s="217">
        <f t="shared" si="41"/>
        <v>7000</v>
      </c>
      <c r="M250" s="170"/>
      <c r="N250" s="170"/>
      <c r="O250" s="170"/>
      <c r="P250" s="170"/>
      <c r="Q250" s="170"/>
      <c r="R250" s="170"/>
      <c r="S250" s="170"/>
      <c r="T250" s="170"/>
      <c r="U250" s="170"/>
      <c r="V250" s="170"/>
      <c r="W250" s="170"/>
      <c r="X250" s="219"/>
    </row>
    <row r="251" spans="1:24">
      <c r="A251" s="37" t="s">
        <v>53</v>
      </c>
      <c r="B251" s="164" t="s">
        <v>574</v>
      </c>
      <c r="C251" s="164" t="s">
        <v>103</v>
      </c>
      <c r="D251" s="164" t="s">
        <v>109</v>
      </c>
      <c r="E251" s="164" t="s">
        <v>116</v>
      </c>
      <c r="F251" s="164" t="s">
        <v>15</v>
      </c>
      <c r="G251" s="167">
        <f>R4</f>
        <v>39274</v>
      </c>
      <c r="H251" s="185">
        <v>17.056708470190106</v>
      </c>
      <c r="I251" s="216">
        <v>0</v>
      </c>
      <c r="J251" s="185">
        <f t="shared" si="40"/>
        <v>17.056708470190106</v>
      </c>
      <c r="K251" s="217">
        <f t="shared" si="41"/>
        <v>669885.16845824628</v>
      </c>
      <c r="M251" s="170" t="s">
        <v>917</v>
      </c>
      <c r="N251" s="170"/>
      <c r="O251" s="170"/>
      <c r="P251" s="170"/>
      <c r="Q251" s="170"/>
      <c r="R251" s="170"/>
      <c r="S251" s="170"/>
      <c r="T251" s="170"/>
      <c r="U251" s="170"/>
      <c r="V251" s="170"/>
      <c r="W251" s="170"/>
      <c r="X251" s="219"/>
    </row>
    <row r="252" spans="1:24">
      <c r="A252" s="37" t="s">
        <v>575</v>
      </c>
      <c r="B252" s="164" t="s">
        <v>574</v>
      </c>
      <c r="C252" s="164" t="s">
        <v>103</v>
      </c>
      <c r="D252" s="164" t="s">
        <v>109</v>
      </c>
      <c r="E252" s="164" t="s">
        <v>118</v>
      </c>
      <c r="F252" s="164"/>
      <c r="G252" s="161"/>
      <c r="H252" s="185"/>
      <c r="I252" s="216">
        <v>0</v>
      </c>
      <c r="J252" s="185">
        <f t="shared" si="40"/>
        <v>0</v>
      </c>
      <c r="K252" s="217">
        <f t="shared" si="41"/>
        <v>0</v>
      </c>
      <c r="M252" s="170"/>
      <c r="N252" s="170"/>
      <c r="O252" s="170"/>
      <c r="P252" s="170"/>
      <c r="Q252" s="170"/>
      <c r="R252" s="170"/>
      <c r="S252" s="170"/>
      <c r="T252" s="170"/>
      <c r="U252" s="170"/>
      <c r="V252" s="170"/>
      <c r="W252" s="170"/>
      <c r="X252" s="219"/>
    </row>
    <row r="253" spans="1:24">
      <c r="A253" s="37" t="s">
        <v>576</v>
      </c>
      <c r="B253" s="164" t="s">
        <v>577</v>
      </c>
      <c r="C253" s="164" t="s">
        <v>103</v>
      </c>
      <c r="D253" s="164" t="s">
        <v>109</v>
      </c>
      <c r="E253" s="164" t="s">
        <v>118</v>
      </c>
      <c r="F253" s="164"/>
      <c r="G253" s="161"/>
      <c r="H253" s="185"/>
      <c r="I253" s="216">
        <v>0</v>
      </c>
      <c r="J253" s="185">
        <f t="shared" si="40"/>
        <v>0</v>
      </c>
      <c r="K253" s="217">
        <f t="shared" si="41"/>
        <v>0</v>
      </c>
      <c r="M253" s="170"/>
      <c r="N253" s="170"/>
      <c r="O253" s="170"/>
      <c r="P253" s="170"/>
      <c r="Q253" s="170"/>
      <c r="R253" s="170"/>
      <c r="S253" s="170"/>
      <c r="T253" s="170"/>
      <c r="U253" s="170"/>
      <c r="V253" s="170"/>
      <c r="W253" s="170"/>
      <c r="X253" s="219"/>
    </row>
    <row r="254" spans="1:24">
      <c r="A254" s="37" t="s">
        <v>578</v>
      </c>
      <c r="B254" s="164" t="s">
        <v>521</v>
      </c>
      <c r="C254" s="164" t="s">
        <v>103</v>
      </c>
      <c r="D254" s="164" t="s">
        <v>353</v>
      </c>
      <c r="E254" s="164" t="s">
        <v>880</v>
      </c>
      <c r="F254" s="164" t="s">
        <v>121</v>
      </c>
      <c r="G254" s="161">
        <v>1</v>
      </c>
      <c r="H254" s="185">
        <v>5000</v>
      </c>
      <c r="I254" s="216">
        <v>0</v>
      </c>
      <c r="J254" s="185">
        <f t="shared" si="40"/>
        <v>5000</v>
      </c>
      <c r="K254" s="217">
        <f t="shared" si="41"/>
        <v>5000</v>
      </c>
      <c r="M254" s="170"/>
      <c r="N254" s="170"/>
      <c r="O254" s="170"/>
      <c r="P254" s="170"/>
      <c r="Q254" s="170"/>
      <c r="R254" s="170"/>
      <c r="S254" s="170"/>
      <c r="T254" s="170"/>
      <c r="U254" s="170"/>
      <c r="V254" s="170"/>
      <c r="W254" s="170"/>
      <c r="X254" s="219"/>
    </row>
    <row r="255" spans="1:24">
      <c r="A255" s="37" t="s">
        <v>579</v>
      </c>
      <c r="B255" s="164" t="s">
        <v>523</v>
      </c>
      <c r="C255" s="164" t="s">
        <v>103</v>
      </c>
      <c r="D255" s="164" t="s">
        <v>353</v>
      </c>
      <c r="E255" s="164" t="s">
        <v>116</v>
      </c>
      <c r="F255" s="164" t="s">
        <v>121</v>
      </c>
      <c r="G255" s="161">
        <v>1</v>
      </c>
      <c r="H255" s="185">
        <v>414871.13888888888</v>
      </c>
      <c r="I255" s="216">
        <v>0</v>
      </c>
      <c r="J255" s="185">
        <f t="shared" si="40"/>
        <v>414871.13888888888</v>
      </c>
      <c r="K255" s="217">
        <f t="shared" si="41"/>
        <v>414871.13888888888</v>
      </c>
      <c r="M255" s="170" t="s">
        <v>881</v>
      </c>
      <c r="N255" s="170"/>
      <c r="O255" s="170"/>
      <c r="P255" s="170"/>
      <c r="Q255" s="170"/>
      <c r="R255" s="170"/>
      <c r="S255" s="170"/>
      <c r="T255" s="170"/>
      <c r="U255" s="170"/>
      <c r="V255" s="170"/>
      <c r="W255" s="170"/>
      <c r="X255" s="219"/>
    </row>
    <row r="256" spans="1:24">
      <c r="A256" s="37" t="s">
        <v>580</v>
      </c>
      <c r="B256" s="164" t="s">
        <v>529</v>
      </c>
      <c r="C256" s="164" t="s">
        <v>103</v>
      </c>
      <c r="D256" s="164" t="s">
        <v>353</v>
      </c>
      <c r="E256" s="164" t="s">
        <v>116</v>
      </c>
      <c r="F256" s="164" t="s">
        <v>121</v>
      </c>
      <c r="G256" s="161">
        <v>1</v>
      </c>
      <c r="H256" s="185">
        <v>50205</v>
      </c>
      <c r="I256" s="216">
        <v>0</v>
      </c>
      <c r="J256" s="185">
        <f t="shared" si="40"/>
        <v>50205</v>
      </c>
      <c r="K256" s="217">
        <f t="shared" si="41"/>
        <v>50205</v>
      </c>
      <c r="M256" s="170" t="s">
        <v>503</v>
      </c>
      <c r="N256" s="170"/>
      <c r="O256" s="170"/>
      <c r="P256" s="170"/>
      <c r="Q256" s="170"/>
      <c r="R256" s="170"/>
      <c r="S256" s="170"/>
      <c r="T256" s="170"/>
      <c r="U256" s="170"/>
      <c r="V256" s="170"/>
      <c r="W256" s="170"/>
      <c r="X256" s="219"/>
    </row>
    <row r="257" spans="1:24">
      <c r="A257" s="37" t="s">
        <v>581</v>
      </c>
      <c r="B257" s="164" t="s">
        <v>533</v>
      </c>
      <c r="C257" s="164" t="s">
        <v>103</v>
      </c>
      <c r="D257" s="164" t="s">
        <v>353</v>
      </c>
      <c r="E257" s="164" t="s">
        <v>116</v>
      </c>
      <c r="F257" s="164" t="s">
        <v>121</v>
      </c>
      <c r="G257" s="161">
        <v>1</v>
      </c>
      <c r="H257" s="185">
        <v>32531</v>
      </c>
      <c r="I257" s="216">
        <v>0</v>
      </c>
      <c r="J257" s="185">
        <f t="shared" si="40"/>
        <v>32531</v>
      </c>
      <c r="K257" s="217">
        <f t="shared" si="41"/>
        <v>32531</v>
      </c>
      <c r="M257" s="170" t="s">
        <v>503</v>
      </c>
      <c r="N257" s="170"/>
      <c r="O257" s="170"/>
      <c r="P257" s="170"/>
      <c r="Q257" s="170"/>
      <c r="R257" s="170"/>
      <c r="S257" s="170"/>
      <c r="T257" s="170"/>
      <c r="U257" s="170"/>
      <c r="V257" s="170"/>
      <c r="W257" s="170"/>
      <c r="X257" s="219"/>
    </row>
    <row r="258" spans="1:24" s="329" customFormat="1">
      <c r="A258" s="37" t="s">
        <v>882</v>
      </c>
      <c r="B258" s="164" t="s">
        <v>883</v>
      </c>
      <c r="C258" s="164" t="s">
        <v>103</v>
      </c>
      <c r="D258" s="164" t="s">
        <v>353</v>
      </c>
      <c r="E258" s="164" t="s">
        <v>461</v>
      </c>
      <c r="F258" s="164" t="s">
        <v>121</v>
      </c>
      <c r="G258" s="161">
        <v>1</v>
      </c>
      <c r="H258" s="185">
        <v>296825</v>
      </c>
      <c r="I258" s="216">
        <v>0</v>
      </c>
      <c r="J258" s="185">
        <f t="shared" si="40"/>
        <v>296825</v>
      </c>
      <c r="K258" s="217">
        <f t="shared" si="41"/>
        <v>296825</v>
      </c>
      <c r="L258" s="218"/>
      <c r="M258" s="170" t="s">
        <v>918</v>
      </c>
      <c r="N258" s="170"/>
      <c r="O258" s="163"/>
      <c r="P258" s="163"/>
      <c r="Q258" s="163"/>
      <c r="R258" s="163"/>
      <c r="S258" s="163"/>
      <c r="T258" s="163"/>
      <c r="U258" s="163"/>
      <c r="V258" s="163"/>
      <c r="W258" s="163"/>
      <c r="X258" s="330"/>
    </row>
    <row r="259" spans="1:24">
      <c r="A259" s="33" t="s">
        <v>582</v>
      </c>
      <c r="B259" s="305" t="s">
        <v>583</v>
      </c>
      <c r="C259" s="305"/>
      <c r="D259" s="305"/>
      <c r="E259" s="343"/>
      <c r="F259" s="343"/>
      <c r="G259" s="147"/>
      <c r="H259" s="344"/>
      <c r="I259" s="345"/>
      <c r="J259" s="344"/>
      <c r="K259" s="346"/>
      <c r="L259" s="328">
        <f>SUM(K260:K275)</f>
        <v>1619983</v>
      </c>
      <c r="M259" s="170"/>
      <c r="N259" s="170"/>
      <c r="O259" s="170"/>
      <c r="P259" s="170"/>
      <c r="Q259" s="170"/>
      <c r="R259" s="170"/>
      <c r="S259" s="170"/>
      <c r="T259" s="170"/>
      <c r="U259" s="170"/>
      <c r="V259" s="170"/>
      <c r="W259" s="170"/>
      <c r="X259" s="219"/>
    </row>
    <row r="260" spans="1:24">
      <c r="A260" s="166" t="s">
        <v>584</v>
      </c>
      <c r="B260" s="176" t="s">
        <v>585</v>
      </c>
      <c r="C260" s="176" t="s">
        <v>281</v>
      </c>
      <c r="D260" s="176"/>
      <c r="E260" s="176" t="s">
        <v>110</v>
      </c>
      <c r="F260" s="176" t="s">
        <v>10</v>
      </c>
      <c r="G260" s="167">
        <f>$E$8</f>
        <v>194</v>
      </c>
      <c r="H260" s="413">
        <v>375</v>
      </c>
      <c r="I260" s="414">
        <v>0</v>
      </c>
      <c r="J260" s="415">
        <f t="shared" ref="J260:J275" si="42">H260*(1+I260)</f>
        <v>375</v>
      </c>
      <c r="K260" s="416">
        <f t="shared" ref="K260:K275" si="43">J260*G260</f>
        <v>72750</v>
      </c>
      <c r="M260" s="170"/>
      <c r="N260" s="170"/>
      <c r="O260" s="170"/>
      <c r="P260" s="170"/>
      <c r="Q260" s="170"/>
      <c r="R260" s="170"/>
      <c r="S260" s="170"/>
      <c r="T260" s="170"/>
      <c r="U260" s="170"/>
      <c r="V260" s="170"/>
      <c r="W260" s="170"/>
      <c r="X260" s="219"/>
    </row>
    <row r="261" spans="1:24">
      <c r="A261" s="206" t="s">
        <v>587</v>
      </c>
      <c r="B261" s="164" t="s">
        <v>588</v>
      </c>
      <c r="C261" s="164" t="s">
        <v>281</v>
      </c>
      <c r="D261" s="164" t="s">
        <v>353</v>
      </c>
      <c r="E261" s="164" t="s">
        <v>110</v>
      </c>
      <c r="F261" s="164" t="s">
        <v>121</v>
      </c>
      <c r="G261" s="161">
        <v>1</v>
      </c>
      <c r="H261" s="185">
        <v>10000</v>
      </c>
      <c r="I261" s="216">
        <v>0</v>
      </c>
      <c r="J261" s="185">
        <f t="shared" si="42"/>
        <v>10000</v>
      </c>
      <c r="K261" s="217">
        <f t="shared" si="43"/>
        <v>10000</v>
      </c>
      <c r="M261" s="170"/>
      <c r="N261" s="170"/>
      <c r="O261" s="170"/>
      <c r="P261" s="170"/>
      <c r="Q261" s="170"/>
      <c r="R261" s="170"/>
      <c r="S261" s="170"/>
      <c r="T261" s="170"/>
      <c r="U261" s="170"/>
      <c r="V261" s="170"/>
      <c r="W261" s="170"/>
      <c r="X261" s="219"/>
    </row>
    <row r="262" spans="1:24">
      <c r="A262" s="174" t="s">
        <v>589</v>
      </c>
      <c r="B262" s="164" t="s">
        <v>588</v>
      </c>
      <c r="C262" s="164" t="s">
        <v>103</v>
      </c>
      <c r="D262" s="164" t="s">
        <v>109</v>
      </c>
      <c r="E262" s="164" t="s">
        <v>116</v>
      </c>
      <c r="F262" s="164" t="s">
        <v>121</v>
      </c>
      <c r="G262" s="161">
        <v>1</v>
      </c>
      <c r="H262" s="185">
        <v>424224</v>
      </c>
      <c r="I262" s="216">
        <v>0</v>
      </c>
      <c r="J262" s="185">
        <f t="shared" si="42"/>
        <v>424224</v>
      </c>
      <c r="K262" s="217">
        <f t="shared" si="43"/>
        <v>424224</v>
      </c>
      <c r="M262" s="170" t="s">
        <v>919</v>
      </c>
      <c r="N262" s="170"/>
      <c r="O262" s="170"/>
      <c r="P262" s="170"/>
      <c r="Q262" s="170"/>
      <c r="R262" s="170"/>
      <c r="S262" s="170"/>
      <c r="T262" s="170"/>
      <c r="U262" s="170"/>
      <c r="V262" s="170"/>
      <c r="W262" s="170"/>
      <c r="X262" s="219"/>
    </row>
    <row r="263" spans="1:24">
      <c r="A263" s="174" t="s">
        <v>590</v>
      </c>
      <c r="B263" s="164" t="s">
        <v>591</v>
      </c>
      <c r="C263" s="164" t="s">
        <v>103</v>
      </c>
      <c r="D263" s="164" t="s">
        <v>109</v>
      </c>
      <c r="E263" s="164" t="s">
        <v>116</v>
      </c>
      <c r="F263" s="164" t="s">
        <v>121</v>
      </c>
      <c r="G263" s="161">
        <v>1</v>
      </c>
      <c r="H263" s="185">
        <v>68283</v>
      </c>
      <c r="I263" s="216">
        <v>0</v>
      </c>
      <c r="J263" s="185">
        <f t="shared" si="42"/>
        <v>68283</v>
      </c>
      <c r="K263" s="217">
        <f t="shared" si="43"/>
        <v>68283</v>
      </c>
      <c r="M263" s="170" t="s">
        <v>503</v>
      </c>
      <c r="N263" s="170"/>
      <c r="O263" s="170"/>
      <c r="P263" s="170"/>
      <c r="Q263" s="170"/>
      <c r="R263" s="170"/>
      <c r="S263" s="170"/>
      <c r="T263" s="170"/>
      <c r="U263" s="170"/>
      <c r="V263" s="170"/>
      <c r="W263" s="170"/>
      <c r="X263" s="219"/>
    </row>
    <row r="264" spans="1:24">
      <c r="A264" s="206" t="s">
        <v>592</v>
      </c>
      <c r="B264" s="164" t="s">
        <v>593</v>
      </c>
      <c r="C264" s="164" t="s">
        <v>103</v>
      </c>
      <c r="D264" s="164"/>
      <c r="E264" s="164" t="s">
        <v>118</v>
      </c>
      <c r="F264" s="164"/>
      <c r="G264" s="161"/>
      <c r="H264" s="185"/>
      <c r="I264" s="216">
        <v>0</v>
      </c>
      <c r="J264" s="185">
        <f t="shared" si="42"/>
        <v>0</v>
      </c>
      <c r="K264" s="217">
        <f t="shared" si="43"/>
        <v>0</v>
      </c>
      <c r="M264" s="170"/>
      <c r="N264" s="170"/>
      <c r="O264" s="170"/>
      <c r="P264" s="170"/>
      <c r="Q264" s="170"/>
      <c r="R264" s="170"/>
      <c r="S264" s="170"/>
      <c r="T264" s="170"/>
      <c r="U264" s="170"/>
      <c r="V264" s="170"/>
      <c r="W264" s="170"/>
      <c r="X264" s="219"/>
    </row>
    <row r="265" spans="1:24">
      <c r="A265" s="206" t="s">
        <v>594</v>
      </c>
      <c r="B265" s="164" t="s">
        <v>595</v>
      </c>
      <c r="C265" s="164" t="s">
        <v>281</v>
      </c>
      <c r="D265" s="164"/>
      <c r="E265" s="164" t="s">
        <v>110</v>
      </c>
      <c r="F265" s="164" t="s">
        <v>121</v>
      </c>
      <c r="G265" s="161">
        <v>1</v>
      </c>
      <c r="H265" s="185">
        <v>5000</v>
      </c>
      <c r="I265" s="216">
        <v>0</v>
      </c>
      <c r="J265" s="185">
        <f t="shared" si="42"/>
        <v>5000</v>
      </c>
      <c r="K265" s="217">
        <f t="shared" si="43"/>
        <v>5000</v>
      </c>
      <c r="M265" s="170"/>
      <c r="N265" s="170"/>
      <c r="O265" s="170"/>
      <c r="P265" s="170"/>
      <c r="Q265" s="170"/>
      <c r="R265" s="170"/>
      <c r="S265" s="170"/>
      <c r="T265" s="170"/>
      <c r="U265" s="170"/>
      <c r="V265" s="170"/>
      <c r="W265" s="170"/>
      <c r="X265" s="219"/>
    </row>
    <row r="266" spans="1:24" s="329" customFormat="1">
      <c r="A266" s="206" t="s">
        <v>886</v>
      </c>
      <c r="B266" s="164" t="s">
        <v>887</v>
      </c>
      <c r="C266" s="164" t="s">
        <v>103</v>
      </c>
      <c r="D266" s="164" t="s">
        <v>353</v>
      </c>
      <c r="E266" s="164" t="s">
        <v>461</v>
      </c>
      <c r="F266" s="164" t="s">
        <v>121</v>
      </c>
      <c r="G266" s="161">
        <v>1</v>
      </c>
      <c r="H266" s="185">
        <v>350000</v>
      </c>
      <c r="I266" s="216">
        <v>0.15</v>
      </c>
      <c r="J266" s="185">
        <f t="shared" si="42"/>
        <v>402499.99999999994</v>
      </c>
      <c r="K266" s="217">
        <f t="shared" si="43"/>
        <v>402499.99999999994</v>
      </c>
      <c r="L266" s="218"/>
      <c r="M266" s="170" t="s">
        <v>888</v>
      </c>
      <c r="N266" s="163"/>
      <c r="O266" s="163"/>
      <c r="P266" s="163"/>
      <c r="Q266" s="163"/>
      <c r="R266" s="163"/>
      <c r="S266" s="163"/>
      <c r="T266" s="163"/>
      <c r="U266" s="163"/>
      <c r="V266" s="163"/>
      <c r="W266" s="163"/>
      <c r="X266" s="330"/>
    </row>
    <row r="267" spans="1:24">
      <c r="A267" s="37" t="s">
        <v>596</v>
      </c>
      <c r="B267" s="164" t="s">
        <v>597</v>
      </c>
      <c r="C267" s="164" t="s">
        <v>103</v>
      </c>
      <c r="D267" s="164"/>
      <c r="E267" s="164" t="s">
        <v>116</v>
      </c>
      <c r="F267" s="164" t="s">
        <v>121</v>
      </c>
      <c r="G267" s="161">
        <v>1</v>
      </c>
      <c r="H267" s="185">
        <v>136424</v>
      </c>
      <c r="I267" s="216">
        <v>0</v>
      </c>
      <c r="J267" s="185">
        <f t="shared" si="42"/>
        <v>136424</v>
      </c>
      <c r="K267" s="217">
        <f t="shared" si="43"/>
        <v>136424</v>
      </c>
      <c r="M267" s="170" t="s">
        <v>889</v>
      </c>
      <c r="N267" s="170"/>
      <c r="O267" s="170"/>
      <c r="P267" s="170"/>
      <c r="Q267" s="170"/>
      <c r="R267" s="170"/>
      <c r="S267" s="170"/>
      <c r="T267" s="170"/>
      <c r="U267" s="170"/>
      <c r="V267" s="170"/>
      <c r="W267" s="170"/>
      <c r="X267" s="219"/>
    </row>
    <row r="268" spans="1:24">
      <c r="A268" s="37" t="s">
        <v>598</v>
      </c>
      <c r="B268" s="164" t="s">
        <v>599</v>
      </c>
      <c r="C268" s="164" t="s">
        <v>281</v>
      </c>
      <c r="D268" s="164"/>
      <c r="E268" s="164" t="s">
        <v>110</v>
      </c>
      <c r="F268" s="164" t="s">
        <v>121</v>
      </c>
      <c r="G268" s="161">
        <v>0</v>
      </c>
      <c r="H268" s="185">
        <v>10000</v>
      </c>
      <c r="I268" s="216">
        <v>0</v>
      </c>
      <c r="J268" s="185">
        <f t="shared" si="42"/>
        <v>10000</v>
      </c>
      <c r="K268" s="217">
        <f t="shared" si="43"/>
        <v>0</v>
      </c>
      <c r="M268" s="170" t="s">
        <v>890</v>
      </c>
      <c r="N268" s="170"/>
      <c r="O268" s="170"/>
      <c r="P268" s="170"/>
      <c r="Q268" s="170"/>
      <c r="R268" s="170"/>
      <c r="S268" s="170"/>
      <c r="T268" s="170"/>
      <c r="U268" s="170"/>
      <c r="V268" s="170"/>
      <c r="W268" s="170"/>
      <c r="X268" s="219"/>
    </row>
    <row r="269" spans="1:24">
      <c r="A269" s="37" t="s">
        <v>600</v>
      </c>
      <c r="B269" s="164" t="s">
        <v>601</v>
      </c>
      <c r="C269" s="164" t="s">
        <v>103</v>
      </c>
      <c r="D269" s="164"/>
      <c r="E269" s="164" t="s">
        <v>118</v>
      </c>
      <c r="F269" s="164"/>
      <c r="G269" s="161"/>
      <c r="H269" s="185"/>
      <c r="I269" s="216">
        <v>0</v>
      </c>
      <c r="J269" s="185">
        <f t="shared" si="42"/>
        <v>0</v>
      </c>
      <c r="K269" s="217">
        <f t="shared" si="43"/>
        <v>0</v>
      </c>
      <c r="M269" s="170"/>
      <c r="N269" s="170"/>
      <c r="O269" s="170"/>
      <c r="P269" s="170"/>
      <c r="Q269" s="170"/>
      <c r="R269" s="170"/>
      <c r="S269" s="170"/>
      <c r="T269" s="170"/>
      <c r="U269" s="170"/>
      <c r="V269" s="170"/>
      <c r="W269" s="170"/>
      <c r="X269" s="219"/>
    </row>
    <row r="270" spans="1:24">
      <c r="A270" s="37" t="s">
        <v>602</v>
      </c>
      <c r="B270" s="164" t="s">
        <v>603</v>
      </c>
      <c r="C270" s="164" t="s">
        <v>103</v>
      </c>
      <c r="D270" s="164"/>
      <c r="E270" s="164" t="s">
        <v>118</v>
      </c>
      <c r="F270" s="164"/>
      <c r="G270" s="161"/>
      <c r="H270" s="185"/>
      <c r="I270" s="216">
        <v>0</v>
      </c>
      <c r="J270" s="185">
        <f t="shared" si="42"/>
        <v>0</v>
      </c>
      <c r="K270" s="217">
        <f t="shared" si="43"/>
        <v>0</v>
      </c>
      <c r="M270" s="170"/>
      <c r="N270" s="170"/>
      <c r="O270" s="170"/>
      <c r="P270" s="170"/>
      <c r="Q270" s="170"/>
      <c r="R270" s="170"/>
      <c r="S270" s="170"/>
      <c r="T270" s="170"/>
      <c r="U270" s="170"/>
      <c r="V270" s="170"/>
      <c r="W270" s="170"/>
      <c r="X270" s="219"/>
    </row>
    <row r="271" spans="1:24">
      <c r="A271" s="37" t="s">
        <v>604</v>
      </c>
      <c r="B271" s="164" t="s">
        <v>605</v>
      </c>
      <c r="C271" s="164" t="s">
        <v>103</v>
      </c>
      <c r="D271" s="164"/>
      <c r="E271" s="164" t="s">
        <v>118</v>
      </c>
      <c r="F271" s="164"/>
      <c r="G271" s="161"/>
      <c r="H271" s="185"/>
      <c r="I271" s="216">
        <v>0</v>
      </c>
      <c r="J271" s="185">
        <f t="shared" si="42"/>
        <v>0</v>
      </c>
      <c r="K271" s="217">
        <f t="shared" si="43"/>
        <v>0</v>
      </c>
      <c r="M271" s="170"/>
      <c r="N271" s="170"/>
      <c r="O271" s="170"/>
      <c r="P271" s="170"/>
      <c r="Q271" s="170"/>
      <c r="R271" s="170"/>
      <c r="S271" s="170"/>
      <c r="T271" s="170"/>
      <c r="U271" s="170"/>
      <c r="V271" s="170"/>
      <c r="W271" s="170"/>
      <c r="X271" s="219"/>
    </row>
    <row r="272" spans="1:24">
      <c r="A272" s="172" t="s">
        <v>606</v>
      </c>
      <c r="B272" s="164" t="s">
        <v>588</v>
      </c>
      <c r="C272" s="164" t="s">
        <v>103</v>
      </c>
      <c r="D272" s="164" t="s">
        <v>353</v>
      </c>
      <c r="E272" s="164" t="s">
        <v>116</v>
      </c>
      <c r="F272" s="164" t="s">
        <v>121</v>
      </c>
      <c r="G272" s="161">
        <v>1</v>
      </c>
      <c r="H272" s="327">
        <v>299756</v>
      </c>
      <c r="I272" s="216">
        <v>0</v>
      </c>
      <c r="J272" s="327">
        <f t="shared" si="42"/>
        <v>299756</v>
      </c>
      <c r="K272" s="217">
        <f t="shared" si="43"/>
        <v>299756</v>
      </c>
      <c r="M272" s="170" t="s">
        <v>503</v>
      </c>
      <c r="N272" s="170"/>
      <c r="O272" s="170"/>
      <c r="P272" s="170"/>
      <c r="Q272" s="170"/>
      <c r="R272" s="170"/>
      <c r="S272" s="170"/>
      <c r="T272" s="170"/>
      <c r="U272" s="170"/>
      <c r="V272" s="170"/>
      <c r="W272" s="170"/>
      <c r="X272" s="219"/>
    </row>
    <row r="273" spans="1:24">
      <c r="A273" s="172" t="s">
        <v>607</v>
      </c>
      <c r="B273" s="164" t="s">
        <v>591</v>
      </c>
      <c r="C273" s="164" t="s">
        <v>103</v>
      </c>
      <c r="D273" s="164" t="s">
        <v>353</v>
      </c>
      <c r="E273" s="164" t="s">
        <v>116</v>
      </c>
      <c r="F273" s="164" t="s">
        <v>121</v>
      </c>
      <c r="G273" s="161">
        <v>1</v>
      </c>
      <c r="H273" s="185">
        <v>51885</v>
      </c>
      <c r="I273" s="216">
        <v>0</v>
      </c>
      <c r="J273" s="185">
        <f t="shared" si="42"/>
        <v>51885</v>
      </c>
      <c r="K273" s="217">
        <f t="shared" si="43"/>
        <v>51885</v>
      </c>
      <c r="M273" s="170" t="s">
        <v>503</v>
      </c>
      <c r="N273" s="170"/>
      <c r="O273" s="170"/>
      <c r="P273" s="170"/>
      <c r="Q273" s="170"/>
      <c r="R273" s="170"/>
      <c r="S273" s="170"/>
      <c r="T273" s="170"/>
      <c r="U273" s="170"/>
      <c r="V273" s="170"/>
      <c r="W273" s="170"/>
      <c r="X273" s="219"/>
    </row>
    <row r="274" spans="1:24">
      <c r="A274" s="37" t="s">
        <v>891</v>
      </c>
      <c r="B274" s="164" t="s">
        <v>593</v>
      </c>
      <c r="C274" s="164" t="s">
        <v>103</v>
      </c>
      <c r="D274" s="164" t="s">
        <v>353</v>
      </c>
      <c r="E274" s="164" t="s">
        <v>118</v>
      </c>
      <c r="F274" s="164"/>
      <c r="G274" s="161"/>
      <c r="H274" s="185"/>
      <c r="I274" s="216">
        <v>0</v>
      </c>
      <c r="J274" s="185">
        <f t="shared" si="42"/>
        <v>0</v>
      </c>
      <c r="K274" s="217">
        <f t="shared" si="43"/>
        <v>0</v>
      </c>
      <c r="M274" s="170"/>
      <c r="N274" s="170"/>
      <c r="O274" s="170"/>
      <c r="P274" s="170"/>
      <c r="Q274" s="170"/>
      <c r="R274" s="170"/>
      <c r="S274" s="170"/>
      <c r="T274" s="170"/>
      <c r="U274" s="170"/>
      <c r="V274" s="170"/>
      <c r="W274" s="170"/>
      <c r="X274" s="219"/>
    </row>
    <row r="275" spans="1:24">
      <c r="A275" s="172" t="s">
        <v>608</v>
      </c>
      <c r="B275" s="164" t="s">
        <v>597</v>
      </c>
      <c r="C275" s="164" t="s">
        <v>103</v>
      </c>
      <c r="D275" s="164" t="s">
        <v>353</v>
      </c>
      <c r="E275" s="164" t="s">
        <v>116</v>
      </c>
      <c r="F275" s="164" t="s">
        <v>121</v>
      </c>
      <c r="G275" s="161">
        <v>1</v>
      </c>
      <c r="H275" s="185">
        <v>149161</v>
      </c>
      <c r="I275" s="216">
        <v>0</v>
      </c>
      <c r="J275" s="185">
        <f t="shared" si="42"/>
        <v>149161</v>
      </c>
      <c r="K275" s="217">
        <f t="shared" si="43"/>
        <v>149161</v>
      </c>
      <c r="M275" s="170" t="s">
        <v>920</v>
      </c>
      <c r="N275" s="170"/>
      <c r="O275" s="170"/>
      <c r="P275" s="170"/>
      <c r="Q275" s="170"/>
      <c r="R275" s="170"/>
      <c r="S275" s="170"/>
      <c r="T275" s="170"/>
      <c r="U275" s="170"/>
      <c r="V275" s="170"/>
      <c r="W275" s="170"/>
      <c r="X275" s="219"/>
    </row>
    <row r="276" spans="1:24">
      <c r="A276" s="33" t="s">
        <v>609</v>
      </c>
      <c r="B276" s="305" t="s">
        <v>610</v>
      </c>
      <c r="C276" s="305"/>
      <c r="D276" s="305"/>
      <c r="E276" s="305"/>
      <c r="F276" s="305"/>
      <c r="G276" s="306"/>
      <c r="H276" s="307"/>
      <c r="I276" s="308"/>
      <c r="J276" s="307"/>
      <c r="K276" s="421"/>
      <c r="L276" s="230">
        <f>SUM(K277)</f>
        <v>7500</v>
      </c>
      <c r="M276" s="170"/>
      <c r="N276" s="170"/>
      <c r="O276" s="170"/>
      <c r="P276" s="170"/>
      <c r="Q276" s="170"/>
      <c r="R276" s="170"/>
      <c r="S276" s="170"/>
      <c r="T276" s="170"/>
      <c r="U276" s="170"/>
      <c r="V276" s="170"/>
      <c r="W276" s="170"/>
      <c r="X276" s="219"/>
    </row>
    <row r="277" spans="1:24">
      <c r="A277" s="34" t="s">
        <v>611</v>
      </c>
      <c r="B277" s="226" t="s">
        <v>612</v>
      </c>
      <c r="C277" s="226" t="s">
        <v>281</v>
      </c>
      <c r="D277" s="226" t="s">
        <v>353</v>
      </c>
      <c r="E277" s="226" t="s">
        <v>110</v>
      </c>
      <c r="F277" s="226" t="s">
        <v>121</v>
      </c>
      <c r="G277" s="168">
        <v>1</v>
      </c>
      <c r="H277" s="225">
        <v>7500</v>
      </c>
      <c r="I277" s="311">
        <v>0</v>
      </c>
      <c r="J277" s="312">
        <f t="shared" ref="J277" si="44">H277*(1+I277)</f>
        <v>7500</v>
      </c>
      <c r="K277" s="313">
        <f>J277*G277</f>
        <v>7500</v>
      </c>
      <c r="M277" s="170"/>
      <c r="N277" s="170"/>
      <c r="O277" s="170"/>
      <c r="P277" s="170"/>
      <c r="Q277" s="170"/>
      <c r="R277" s="170"/>
      <c r="S277" s="170"/>
      <c r="T277" s="170"/>
      <c r="U277" s="170"/>
      <c r="V277" s="170"/>
      <c r="W277" s="170"/>
      <c r="X277" s="219"/>
    </row>
    <row r="278" spans="1:24">
      <c r="A278" s="33" t="s">
        <v>613</v>
      </c>
      <c r="B278" s="305" t="s">
        <v>614</v>
      </c>
      <c r="C278" s="305"/>
      <c r="D278" s="305"/>
      <c r="E278" s="305"/>
      <c r="F278" s="305"/>
      <c r="G278" s="306"/>
      <c r="H278" s="307"/>
      <c r="I278" s="308"/>
      <c r="J278" s="307"/>
      <c r="K278" s="421"/>
      <c r="L278" s="523">
        <f>SUM(K279:K281)</f>
        <v>392850</v>
      </c>
      <c r="M278" s="524" t="s">
        <v>921</v>
      </c>
      <c r="N278" s="524"/>
      <c r="O278" s="525">
        <f>L278-266000</f>
        <v>126850</v>
      </c>
      <c r="P278" s="524"/>
      <c r="Q278" s="524"/>
      <c r="R278" s="170"/>
      <c r="S278" s="170"/>
      <c r="T278" s="170"/>
      <c r="U278" s="170"/>
      <c r="V278" s="170"/>
      <c r="W278" s="170"/>
      <c r="X278" s="219"/>
    </row>
    <row r="279" spans="1:24">
      <c r="A279" s="521" t="s">
        <v>615</v>
      </c>
      <c r="B279" s="176" t="s">
        <v>616</v>
      </c>
      <c r="C279" s="176" t="s">
        <v>103</v>
      </c>
      <c r="D279" s="176"/>
      <c r="E279" s="176" t="s">
        <v>110</v>
      </c>
      <c r="F279" s="176" t="s">
        <v>121</v>
      </c>
      <c r="G279" s="167">
        <v>1</v>
      </c>
      <c r="H279" s="413">
        <v>200000</v>
      </c>
      <c r="I279" s="414">
        <v>0</v>
      </c>
      <c r="J279" s="415">
        <f t="shared" ref="J279:J281" si="45">H279*(1+I279)</f>
        <v>200000</v>
      </c>
      <c r="K279" s="416">
        <v>326850</v>
      </c>
      <c r="M279" s="170"/>
      <c r="N279" s="170"/>
      <c r="O279" s="170"/>
      <c r="P279" s="170"/>
      <c r="Q279" s="170"/>
      <c r="R279" s="170"/>
      <c r="S279" s="170"/>
      <c r="T279" s="170"/>
      <c r="U279" s="170"/>
      <c r="V279" s="170"/>
      <c r="W279" s="170"/>
      <c r="X279" s="219"/>
    </row>
    <row r="280" spans="1:24">
      <c r="A280" s="37" t="s">
        <v>617</v>
      </c>
      <c r="B280" s="164" t="s">
        <v>618</v>
      </c>
      <c r="C280" s="164" t="s">
        <v>281</v>
      </c>
      <c r="D280" s="164"/>
      <c r="E280" s="164" t="s">
        <v>110</v>
      </c>
      <c r="F280" s="164" t="s">
        <v>121</v>
      </c>
      <c r="G280" s="161">
        <v>1</v>
      </c>
      <c r="H280" s="185">
        <v>31000</v>
      </c>
      <c r="I280" s="216">
        <v>0</v>
      </c>
      <c r="J280" s="185">
        <f t="shared" si="45"/>
        <v>31000</v>
      </c>
      <c r="K280" s="217">
        <f>J280*G280</f>
        <v>31000</v>
      </c>
      <c r="M280" s="170" t="s">
        <v>893</v>
      </c>
      <c r="N280" s="170"/>
      <c r="O280" s="170"/>
      <c r="P280" s="170"/>
      <c r="Q280" s="170"/>
      <c r="R280" s="170"/>
      <c r="S280" s="170"/>
      <c r="T280" s="170"/>
      <c r="U280" s="170"/>
      <c r="V280" s="170"/>
      <c r="W280" s="170"/>
      <c r="X280" s="219"/>
    </row>
    <row r="281" spans="1:24">
      <c r="A281" s="37" t="s">
        <v>619</v>
      </c>
      <c r="B281" s="164" t="s">
        <v>620</v>
      </c>
      <c r="C281" s="164" t="s">
        <v>281</v>
      </c>
      <c r="D281" s="164"/>
      <c r="E281" s="164" t="s">
        <v>110</v>
      </c>
      <c r="F281" s="164" t="s">
        <v>121</v>
      </c>
      <c r="G281" s="161">
        <v>1</v>
      </c>
      <c r="H281" s="185">
        <v>35000</v>
      </c>
      <c r="I281" s="216">
        <v>0</v>
      </c>
      <c r="J281" s="185">
        <f t="shared" si="45"/>
        <v>35000</v>
      </c>
      <c r="K281" s="217">
        <f>J281*G281</f>
        <v>35000</v>
      </c>
      <c r="M281" s="170"/>
      <c r="N281" s="170"/>
      <c r="O281" s="170"/>
      <c r="P281" s="170"/>
      <c r="Q281" s="170"/>
      <c r="R281" s="170"/>
      <c r="S281" s="170"/>
      <c r="T281" s="170"/>
      <c r="U281" s="170"/>
      <c r="V281" s="170"/>
      <c r="W281" s="170"/>
      <c r="X281" s="219"/>
    </row>
    <row r="282" spans="1:24">
      <c r="A282" s="33" t="s">
        <v>621</v>
      </c>
      <c r="B282" s="305" t="s">
        <v>622</v>
      </c>
      <c r="C282" s="305"/>
      <c r="D282" s="305"/>
      <c r="E282" s="305"/>
      <c r="F282" s="305"/>
      <c r="G282" s="306"/>
      <c r="H282" s="307"/>
      <c r="I282" s="308"/>
      <c r="J282" s="307"/>
      <c r="K282" s="421"/>
      <c r="L282" s="230">
        <f>SUM(K283:K291)</f>
        <v>234787.5</v>
      </c>
      <c r="M282" s="170"/>
      <c r="N282" s="170"/>
      <c r="O282" s="170"/>
      <c r="P282" s="170"/>
      <c r="Q282" s="170"/>
      <c r="R282" s="170"/>
      <c r="S282" s="170"/>
      <c r="T282" s="170"/>
      <c r="U282" s="170"/>
      <c r="V282" s="170"/>
      <c r="W282" s="170"/>
      <c r="X282" s="219"/>
    </row>
    <row r="283" spans="1:24">
      <c r="A283" s="35" t="s">
        <v>623</v>
      </c>
      <c r="B283" s="176" t="s">
        <v>624</v>
      </c>
      <c r="C283" s="176" t="s">
        <v>103</v>
      </c>
      <c r="D283" s="176"/>
      <c r="E283" s="176" t="s">
        <v>195</v>
      </c>
      <c r="F283" s="176" t="s">
        <v>121</v>
      </c>
      <c r="G283" s="423">
        <f>$B$9</f>
        <v>4.9000000000000004</v>
      </c>
      <c r="H283" s="413">
        <v>10000</v>
      </c>
      <c r="I283" s="414">
        <v>0</v>
      </c>
      <c r="J283" s="415">
        <f t="shared" ref="J283:J291" si="46">H283*(1+I283)</f>
        <v>10000</v>
      </c>
      <c r="K283" s="416">
        <f t="shared" ref="K283:K291" si="47">J283*G283</f>
        <v>49000</v>
      </c>
      <c r="M283" s="170" t="s">
        <v>922</v>
      </c>
      <c r="N283" s="170"/>
      <c r="O283" s="170"/>
      <c r="P283" s="170"/>
      <c r="Q283" s="170"/>
      <c r="R283" s="170"/>
      <c r="S283" s="170"/>
      <c r="T283" s="170"/>
      <c r="U283" s="170"/>
      <c r="V283" s="170"/>
      <c r="W283" s="170"/>
      <c r="X283" s="219"/>
    </row>
    <row r="284" spans="1:24">
      <c r="A284" s="37" t="s">
        <v>625</v>
      </c>
      <c r="B284" s="164" t="s">
        <v>626</v>
      </c>
      <c r="C284" s="164" t="s">
        <v>103</v>
      </c>
      <c r="D284" s="164"/>
      <c r="E284" s="164" t="s">
        <v>110</v>
      </c>
      <c r="F284" s="164" t="s">
        <v>121</v>
      </c>
      <c r="G284" s="422">
        <v>1</v>
      </c>
      <c r="H284" s="185">
        <v>5000</v>
      </c>
      <c r="I284" s="216">
        <v>0</v>
      </c>
      <c r="J284" s="185">
        <f t="shared" si="46"/>
        <v>5000</v>
      </c>
      <c r="K284" s="217">
        <f t="shared" si="47"/>
        <v>5000</v>
      </c>
      <c r="M284" s="170" t="s">
        <v>922</v>
      </c>
      <c r="N284" s="170"/>
      <c r="O284" s="170"/>
      <c r="P284" s="170"/>
      <c r="Q284" s="170"/>
      <c r="R284" s="170"/>
      <c r="S284" s="170"/>
      <c r="T284" s="170"/>
      <c r="U284" s="170"/>
      <c r="V284" s="170"/>
      <c r="W284" s="170"/>
      <c r="X284" s="219"/>
    </row>
    <row r="285" spans="1:24">
      <c r="A285" s="37" t="s">
        <v>627</v>
      </c>
      <c r="B285" s="164" t="s">
        <v>628</v>
      </c>
      <c r="C285" s="164" t="s">
        <v>103</v>
      </c>
      <c r="D285" s="164"/>
      <c r="E285" s="164" t="s">
        <v>110</v>
      </c>
      <c r="F285" s="164" t="s">
        <v>121</v>
      </c>
      <c r="G285" s="422">
        <v>1</v>
      </c>
      <c r="H285" s="185">
        <v>5000</v>
      </c>
      <c r="I285" s="216">
        <v>0</v>
      </c>
      <c r="J285" s="185">
        <f t="shared" si="46"/>
        <v>5000</v>
      </c>
      <c r="K285" s="217">
        <f t="shared" si="47"/>
        <v>5000</v>
      </c>
      <c r="M285" s="170" t="s">
        <v>922</v>
      </c>
      <c r="N285" s="170"/>
      <c r="O285" s="170"/>
      <c r="P285" s="170"/>
      <c r="Q285" s="170"/>
      <c r="R285" s="170"/>
      <c r="S285" s="170"/>
      <c r="T285" s="170"/>
      <c r="U285" s="170"/>
      <c r="V285" s="170"/>
      <c r="W285" s="170"/>
      <c r="X285" s="219"/>
    </row>
    <row r="286" spans="1:24">
      <c r="A286" s="37" t="s">
        <v>629</v>
      </c>
      <c r="B286" s="164" t="s">
        <v>630</v>
      </c>
      <c r="C286" s="164" t="s">
        <v>103</v>
      </c>
      <c r="D286" s="164"/>
      <c r="E286" s="164" t="s">
        <v>195</v>
      </c>
      <c r="F286" s="164" t="s">
        <v>121</v>
      </c>
      <c r="G286" s="422">
        <f t="shared" ref="G286:G291" si="48">$B$9</f>
        <v>4.9000000000000004</v>
      </c>
      <c r="H286" s="185">
        <v>5775</v>
      </c>
      <c r="I286" s="216">
        <v>0</v>
      </c>
      <c r="J286" s="185">
        <f t="shared" si="46"/>
        <v>5775</v>
      </c>
      <c r="K286" s="217">
        <f t="shared" si="47"/>
        <v>28297.500000000004</v>
      </c>
      <c r="M286" s="170" t="s">
        <v>922</v>
      </c>
      <c r="N286" s="170"/>
      <c r="O286" s="170"/>
      <c r="P286" s="170"/>
      <c r="Q286" s="170"/>
      <c r="R286" s="170"/>
      <c r="S286" s="170"/>
      <c r="T286" s="170"/>
      <c r="U286" s="170"/>
      <c r="V286" s="170"/>
      <c r="W286" s="170"/>
      <c r="X286" s="219"/>
    </row>
    <row r="287" spans="1:24">
      <c r="A287" s="37" t="s">
        <v>631</v>
      </c>
      <c r="B287" s="164" t="s">
        <v>632</v>
      </c>
      <c r="C287" s="164" t="s">
        <v>103</v>
      </c>
      <c r="D287" s="164"/>
      <c r="E287" s="164" t="s">
        <v>195</v>
      </c>
      <c r="F287" s="164" t="s">
        <v>121</v>
      </c>
      <c r="G287" s="422">
        <f t="shared" si="48"/>
        <v>4.9000000000000004</v>
      </c>
      <c r="H287" s="185">
        <v>7600</v>
      </c>
      <c r="I287" s="216">
        <v>0</v>
      </c>
      <c r="J287" s="185">
        <f t="shared" si="46"/>
        <v>7600</v>
      </c>
      <c r="K287" s="217">
        <f t="shared" si="47"/>
        <v>37240</v>
      </c>
      <c r="M287" s="170" t="s">
        <v>922</v>
      </c>
      <c r="N287" s="170"/>
      <c r="O287" s="170"/>
      <c r="P287" s="170"/>
      <c r="Q287" s="170"/>
      <c r="R287" s="170"/>
      <c r="S287" s="170"/>
      <c r="T287" s="170"/>
      <c r="U287" s="170"/>
      <c r="V287" s="170"/>
      <c r="W287" s="170"/>
      <c r="X287" s="219"/>
    </row>
    <row r="288" spans="1:24">
      <c r="A288" s="37" t="s">
        <v>633</v>
      </c>
      <c r="B288" s="164" t="s">
        <v>634</v>
      </c>
      <c r="C288" s="164" t="s">
        <v>103</v>
      </c>
      <c r="D288" s="164"/>
      <c r="E288" s="164" t="s">
        <v>195</v>
      </c>
      <c r="F288" s="164" t="s">
        <v>121</v>
      </c>
      <c r="G288" s="422">
        <f t="shared" si="48"/>
        <v>4.9000000000000004</v>
      </c>
      <c r="H288" s="185">
        <v>11500</v>
      </c>
      <c r="I288" s="216">
        <v>0</v>
      </c>
      <c r="J288" s="185">
        <f t="shared" si="46"/>
        <v>11500</v>
      </c>
      <c r="K288" s="217">
        <f t="shared" si="47"/>
        <v>56350.000000000007</v>
      </c>
      <c r="M288" s="170" t="s">
        <v>922</v>
      </c>
      <c r="N288" s="170"/>
      <c r="O288" s="170"/>
      <c r="P288" s="170"/>
      <c r="Q288" s="170"/>
      <c r="R288" s="170"/>
      <c r="S288" s="170"/>
      <c r="T288" s="170"/>
      <c r="U288" s="170"/>
      <c r="V288" s="170"/>
      <c r="W288" s="170"/>
      <c r="X288" s="219"/>
    </row>
    <row r="289" spans="1:24">
      <c r="A289" s="37" t="s">
        <v>635</v>
      </c>
      <c r="B289" s="164" t="s">
        <v>636</v>
      </c>
      <c r="C289" s="164" t="s">
        <v>103</v>
      </c>
      <c r="D289" s="164"/>
      <c r="E289" s="164" t="s">
        <v>110</v>
      </c>
      <c r="F289" s="164" t="s">
        <v>121</v>
      </c>
      <c r="G289" s="422">
        <f t="shared" si="48"/>
        <v>4.9000000000000004</v>
      </c>
      <c r="H289" s="185">
        <v>4000</v>
      </c>
      <c r="I289" s="216">
        <v>0</v>
      </c>
      <c r="J289" s="185">
        <f t="shared" si="46"/>
        <v>4000</v>
      </c>
      <c r="K289" s="217">
        <f t="shared" si="47"/>
        <v>19600</v>
      </c>
      <c r="M289" s="170" t="s">
        <v>922</v>
      </c>
      <c r="N289" s="170"/>
      <c r="O289" s="170"/>
      <c r="P289" s="170"/>
      <c r="Q289" s="170"/>
      <c r="R289" s="170"/>
      <c r="S289" s="170"/>
      <c r="T289" s="170"/>
      <c r="U289" s="170"/>
      <c r="V289" s="170"/>
      <c r="W289" s="170"/>
      <c r="X289" s="219"/>
    </row>
    <row r="290" spans="1:24">
      <c r="A290" s="37" t="s">
        <v>637</v>
      </c>
      <c r="B290" s="164" t="s">
        <v>638</v>
      </c>
      <c r="C290" s="164" t="s">
        <v>103</v>
      </c>
      <c r="D290" s="164"/>
      <c r="E290" s="164" t="s">
        <v>110</v>
      </c>
      <c r="F290" s="164" t="s">
        <v>121</v>
      </c>
      <c r="G290" s="422">
        <f t="shared" si="48"/>
        <v>4.9000000000000004</v>
      </c>
      <c r="H290" s="185">
        <v>3000</v>
      </c>
      <c r="I290" s="216">
        <v>0</v>
      </c>
      <c r="J290" s="185">
        <f t="shared" si="46"/>
        <v>3000</v>
      </c>
      <c r="K290" s="217">
        <f t="shared" si="47"/>
        <v>14700.000000000002</v>
      </c>
      <c r="M290" s="170" t="s">
        <v>922</v>
      </c>
      <c r="N290" s="170"/>
      <c r="O290" s="170"/>
      <c r="P290" s="170"/>
      <c r="Q290" s="170"/>
      <c r="R290" s="170"/>
      <c r="S290" s="170"/>
      <c r="T290" s="170"/>
      <c r="U290" s="170"/>
      <c r="V290" s="170"/>
      <c r="W290" s="170"/>
      <c r="X290" s="219"/>
    </row>
    <row r="291" spans="1:24">
      <c r="A291" s="37" t="s">
        <v>639</v>
      </c>
      <c r="B291" s="164" t="s">
        <v>640</v>
      </c>
      <c r="C291" s="164" t="s">
        <v>103</v>
      </c>
      <c r="D291" s="164"/>
      <c r="E291" s="164" t="s">
        <v>195</v>
      </c>
      <c r="F291" s="164" t="s">
        <v>121</v>
      </c>
      <c r="G291" s="422">
        <f t="shared" si="48"/>
        <v>4.9000000000000004</v>
      </c>
      <c r="H291" s="185">
        <v>4000</v>
      </c>
      <c r="I291" s="216">
        <v>0</v>
      </c>
      <c r="J291" s="185">
        <f t="shared" si="46"/>
        <v>4000</v>
      </c>
      <c r="K291" s="217">
        <f t="shared" si="47"/>
        <v>19600</v>
      </c>
      <c r="M291" s="170" t="s">
        <v>922</v>
      </c>
      <c r="N291" s="170"/>
      <c r="O291" s="170"/>
      <c r="P291" s="170"/>
      <c r="Q291" s="170"/>
      <c r="R291" s="170"/>
      <c r="S291" s="170"/>
      <c r="T291" s="170"/>
      <c r="U291" s="170"/>
      <c r="V291" s="170"/>
      <c r="W291" s="170"/>
      <c r="X291" s="219"/>
    </row>
    <row r="292" spans="1:24">
      <c r="A292" s="33" t="s">
        <v>696</v>
      </c>
      <c r="B292" s="305"/>
      <c r="C292" s="305"/>
      <c r="D292" s="305"/>
      <c r="E292" s="305"/>
      <c r="F292" s="305"/>
      <c r="G292" s="306"/>
      <c r="H292" s="307"/>
      <c r="I292" s="308"/>
      <c r="J292" s="307"/>
      <c r="K292" s="421"/>
      <c r="L292" s="230">
        <f>SUM(K293:K300)</f>
        <v>0</v>
      </c>
      <c r="M292" s="170"/>
      <c r="N292" s="170"/>
      <c r="O292" s="170"/>
      <c r="P292" s="170"/>
      <c r="Q292" s="170"/>
      <c r="R292" s="170"/>
      <c r="S292" s="170"/>
      <c r="T292" s="170"/>
      <c r="U292" s="170"/>
      <c r="V292" s="170"/>
      <c r="W292" s="170"/>
      <c r="X292" s="219"/>
    </row>
    <row r="293" spans="1:24">
      <c r="A293" s="35" t="s">
        <v>696</v>
      </c>
      <c r="B293" s="176"/>
      <c r="C293" s="176"/>
      <c r="D293" s="176"/>
      <c r="E293" s="176" t="s">
        <v>118</v>
      </c>
      <c r="F293" s="176"/>
      <c r="G293" s="167"/>
      <c r="H293" s="413"/>
      <c r="I293" s="414">
        <v>0</v>
      </c>
      <c r="J293" s="415">
        <f t="shared" ref="J293:J300" si="49">H293*(1+I293)</f>
        <v>0</v>
      </c>
      <c r="K293" s="416">
        <f t="shared" ref="K293:K300" si="50">J293*G293</f>
        <v>0</v>
      </c>
      <c r="M293" s="170"/>
      <c r="N293" s="170"/>
      <c r="O293" s="170"/>
      <c r="P293" s="170"/>
      <c r="Q293" s="170"/>
      <c r="R293" s="170"/>
      <c r="S293" s="170"/>
      <c r="T293" s="170"/>
      <c r="U293" s="170"/>
      <c r="V293" s="170"/>
      <c r="W293" s="170"/>
      <c r="X293" s="219"/>
    </row>
    <row r="294" spans="1:24">
      <c r="A294" s="37" t="s">
        <v>895</v>
      </c>
      <c r="B294" s="164"/>
      <c r="C294" s="164"/>
      <c r="D294" s="164"/>
      <c r="E294" s="164" t="s">
        <v>118</v>
      </c>
      <c r="F294" s="164"/>
      <c r="G294" s="161"/>
      <c r="H294" s="185"/>
      <c r="I294" s="216">
        <v>0</v>
      </c>
      <c r="J294" s="185">
        <f t="shared" si="49"/>
        <v>0</v>
      </c>
      <c r="K294" s="217">
        <f t="shared" si="50"/>
        <v>0</v>
      </c>
      <c r="M294" s="170"/>
      <c r="N294" s="170"/>
      <c r="O294" s="170"/>
      <c r="P294" s="170"/>
      <c r="Q294" s="170"/>
      <c r="R294" s="170"/>
      <c r="S294" s="170"/>
      <c r="T294" s="170"/>
      <c r="U294" s="170"/>
      <c r="V294" s="170"/>
      <c r="W294" s="170"/>
      <c r="X294" s="219"/>
    </row>
    <row r="295" spans="1:24">
      <c r="A295" s="37" t="s">
        <v>896</v>
      </c>
      <c r="B295" s="164"/>
      <c r="C295" s="164"/>
      <c r="D295" s="164"/>
      <c r="E295" s="164" t="s">
        <v>118</v>
      </c>
      <c r="F295" s="164"/>
      <c r="G295" s="161"/>
      <c r="H295" s="185"/>
      <c r="I295" s="216">
        <v>0</v>
      </c>
      <c r="J295" s="185">
        <f t="shared" si="49"/>
        <v>0</v>
      </c>
      <c r="K295" s="217">
        <f t="shared" si="50"/>
        <v>0</v>
      </c>
      <c r="M295" s="170"/>
      <c r="N295" s="170"/>
      <c r="O295" s="170"/>
      <c r="P295" s="170"/>
      <c r="Q295" s="170"/>
      <c r="R295" s="170"/>
      <c r="S295" s="170"/>
      <c r="T295" s="170"/>
      <c r="U295" s="170"/>
      <c r="V295" s="170"/>
      <c r="W295" s="170"/>
      <c r="X295" s="219"/>
    </row>
    <row r="296" spans="1:24">
      <c r="A296" s="37" t="s">
        <v>897</v>
      </c>
      <c r="B296" s="164"/>
      <c r="C296" s="164"/>
      <c r="D296" s="164"/>
      <c r="E296" s="164" t="s">
        <v>118</v>
      </c>
      <c r="F296" s="164"/>
      <c r="G296" s="161"/>
      <c r="H296" s="185"/>
      <c r="I296" s="216">
        <v>0</v>
      </c>
      <c r="J296" s="185">
        <f t="shared" si="49"/>
        <v>0</v>
      </c>
      <c r="K296" s="217">
        <f t="shared" si="50"/>
        <v>0</v>
      </c>
      <c r="M296" s="170"/>
      <c r="N296" s="170"/>
      <c r="O296" s="170"/>
      <c r="P296" s="170"/>
      <c r="Q296" s="170"/>
      <c r="R296" s="170"/>
      <c r="S296" s="170"/>
      <c r="T296" s="170"/>
      <c r="U296" s="170"/>
      <c r="V296" s="170"/>
      <c r="W296" s="170"/>
      <c r="X296" s="219"/>
    </row>
    <row r="297" spans="1:24">
      <c r="A297" s="37" t="s">
        <v>898</v>
      </c>
      <c r="B297" s="164"/>
      <c r="C297" s="164"/>
      <c r="D297" s="164"/>
      <c r="E297" s="164" t="s">
        <v>118</v>
      </c>
      <c r="F297" s="164"/>
      <c r="G297" s="161"/>
      <c r="H297" s="185"/>
      <c r="I297" s="216">
        <v>0</v>
      </c>
      <c r="J297" s="185">
        <f t="shared" si="49"/>
        <v>0</v>
      </c>
      <c r="K297" s="217">
        <f t="shared" si="50"/>
        <v>0</v>
      </c>
      <c r="M297" s="170"/>
      <c r="N297" s="170"/>
      <c r="O297" s="170"/>
      <c r="P297" s="170"/>
      <c r="Q297" s="170"/>
      <c r="R297" s="170"/>
      <c r="S297" s="170"/>
      <c r="T297" s="170"/>
      <c r="U297" s="170"/>
      <c r="V297" s="170"/>
      <c r="W297" s="170"/>
      <c r="X297" s="219"/>
    </row>
    <row r="298" spans="1:24">
      <c r="A298" s="37" t="s">
        <v>899</v>
      </c>
      <c r="B298" s="164"/>
      <c r="C298" s="164"/>
      <c r="D298" s="164"/>
      <c r="E298" s="164" t="s">
        <v>118</v>
      </c>
      <c r="F298" s="164"/>
      <c r="G298" s="161"/>
      <c r="H298" s="185"/>
      <c r="I298" s="216">
        <v>0</v>
      </c>
      <c r="J298" s="185">
        <f t="shared" si="49"/>
        <v>0</v>
      </c>
      <c r="K298" s="217">
        <f t="shared" si="50"/>
        <v>0</v>
      </c>
      <c r="M298" s="170"/>
      <c r="N298" s="170"/>
      <c r="O298" s="170"/>
      <c r="P298" s="170"/>
      <c r="Q298" s="170"/>
      <c r="R298" s="170"/>
      <c r="S298" s="170"/>
      <c r="T298" s="170"/>
      <c r="U298" s="170"/>
      <c r="V298" s="170"/>
      <c r="W298" s="170"/>
      <c r="X298" s="219"/>
    </row>
    <row r="299" spans="1:24">
      <c r="A299" s="37" t="s">
        <v>900</v>
      </c>
      <c r="B299" s="164"/>
      <c r="C299" s="164"/>
      <c r="D299" s="164"/>
      <c r="E299" s="164" t="s">
        <v>118</v>
      </c>
      <c r="F299" s="164"/>
      <c r="G299" s="161"/>
      <c r="H299" s="185"/>
      <c r="I299" s="216">
        <v>0</v>
      </c>
      <c r="J299" s="185">
        <f t="shared" si="49"/>
        <v>0</v>
      </c>
      <c r="K299" s="217">
        <f t="shared" si="50"/>
        <v>0</v>
      </c>
      <c r="M299" s="170"/>
      <c r="N299" s="170"/>
      <c r="O299" s="170"/>
      <c r="P299" s="170"/>
      <c r="Q299" s="170"/>
      <c r="R299" s="170"/>
      <c r="S299" s="170"/>
      <c r="T299" s="170"/>
      <c r="U299" s="170"/>
      <c r="V299" s="170"/>
      <c r="W299" s="170"/>
      <c r="X299" s="219"/>
    </row>
    <row r="300" spans="1:24">
      <c r="A300" s="37" t="s">
        <v>901</v>
      </c>
      <c r="B300" s="164"/>
      <c r="C300" s="164"/>
      <c r="D300" s="164"/>
      <c r="E300" s="164" t="s">
        <v>118</v>
      </c>
      <c r="F300" s="164"/>
      <c r="G300" s="161"/>
      <c r="H300" s="185"/>
      <c r="I300" s="216">
        <v>0</v>
      </c>
      <c r="J300" s="185">
        <f t="shared" si="49"/>
        <v>0</v>
      </c>
      <c r="K300" s="217">
        <f t="shared" si="50"/>
        <v>0</v>
      </c>
      <c r="M300" s="170"/>
      <c r="N300" s="170"/>
      <c r="O300" s="170"/>
      <c r="P300" s="170"/>
      <c r="Q300" s="170"/>
      <c r="R300" s="170"/>
      <c r="S300" s="170"/>
      <c r="T300" s="170"/>
      <c r="U300" s="170"/>
      <c r="V300" s="170"/>
      <c r="W300" s="170"/>
      <c r="X300" s="219"/>
    </row>
    <row r="301" spans="1:24">
      <c r="A301" s="33" t="s">
        <v>902</v>
      </c>
      <c r="B301" s="305" t="s">
        <v>644</v>
      </c>
      <c r="C301" s="305"/>
      <c r="D301" s="305"/>
      <c r="E301" s="305"/>
      <c r="F301" s="305"/>
      <c r="G301" s="306"/>
      <c r="H301" s="307"/>
      <c r="I301" s="308"/>
      <c r="J301" s="307"/>
      <c r="K301" s="421"/>
      <c r="L301" s="230">
        <f>SUM(K302:K303)</f>
        <v>522853.48930080794</v>
      </c>
      <c r="M301" s="524"/>
      <c r="N301" s="524"/>
      <c r="O301" s="170"/>
      <c r="P301" s="170"/>
      <c r="Q301" s="170"/>
      <c r="R301" s="170"/>
      <c r="S301" s="170"/>
      <c r="T301" s="170"/>
      <c r="U301" s="170"/>
      <c r="V301" s="170"/>
      <c r="W301" s="170"/>
      <c r="X301" s="219"/>
    </row>
    <row r="302" spans="1:24">
      <c r="A302" s="35" t="s">
        <v>903</v>
      </c>
      <c r="B302" s="176"/>
      <c r="C302" s="176"/>
      <c r="D302" s="176"/>
      <c r="E302" s="176"/>
      <c r="F302" s="176"/>
      <c r="G302" s="424">
        <v>0</v>
      </c>
      <c r="H302" s="413"/>
      <c r="I302" s="414"/>
      <c r="J302" s="415"/>
      <c r="K302" s="416">
        <f>G302*SUM(K22:K300)</f>
        <v>0</v>
      </c>
      <c r="M302" s="170"/>
      <c r="N302" s="170"/>
      <c r="O302" s="170"/>
      <c r="P302" s="170"/>
      <c r="Q302" s="170"/>
      <c r="R302" s="170"/>
      <c r="S302" s="170"/>
      <c r="T302" s="170"/>
      <c r="U302" s="170"/>
      <c r="V302" s="170"/>
      <c r="W302" s="170"/>
      <c r="X302" s="219"/>
    </row>
    <row r="303" spans="1:24">
      <c r="A303" s="34" t="s">
        <v>644</v>
      </c>
      <c r="B303" s="226"/>
      <c r="C303" s="226"/>
      <c r="D303" s="226"/>
      <c r="E303" s="226"/>
      <c r="F303" s="226"/>
      <c r="G303" s="425">
        <v>0.02</v>
      </c>
      <c r="H303" s="225"/>
      <c r="I303" s="311"/>
      <c r="J303" s="312"/>
      <c r="K303" s="313">
        <f>G303*SUM(K23:K301)</f>
        <v>522853.48930080794</v>
      </c>
      <c r="M303" s="170"/>
      <c r="N303" s="170"/>
      <c r="O303" s="170"/>
      <c r="P303" s="170"/>
      <c r="Q303" s="170"/>
      <c r="R303" s="170"/>
      <c r="S303" s="170"/>
      <c r="T303" s="170"/>
      <c r="U303" s="170"/>
      <c r="V303" s="170"/>
      <c r="W303" s="170"/>
      <c r="X303" s="219"/>
    </row>
    <row r="304" spans="1:24">
      <c r="A304" s="33" t="s">
        <v>645</v>
      </c>
      <c r="B304" s="305" t="s">
        <v>646</v>
      </c>
      <c r="C304" s="305"/>
      <c r="D304" s="305"/>
      <c r="E304" s="305"/>
      <c r="F304" s="305"/>
      <c r="G304" s="306"/>
      <c r="H304" s="307"/>
      <c r="I304" s="308"/>
      <c r="J304" s="307"/>
      <c r="K304" s="421"/>
      <c r="L304" s="230">
        <f>SUM(K305:K318)</f>
        <v>691024.09</v>
      </c>
      <c r="M304" s="170"/>
      <c r="N304" s="170"/>
      <c r="O304" s="170"/>
      <c r="P304" s="170"/>
      <c r="Q304" s="170"/>
      <c r="R304" s="170"/>
      <c r="S304" s="170"/>
      <c r="T304" s="170"/>
      <c r="U304" s="170"/>
      <c r="V304" s="170"/>
      <c r="W304" s="170"/>
      <c r="X304" s="219"/>
    </row>
    <row r="305" spans="1:24">
      <c r="A305" s="35" t="s">
        <v>647</v>
      </c>
      <c r="B305" s="176" t="s">
        <v>648</v>
      </c>
      <c r="C305" s="176" t="s">
        <v>103</v>
      </c>
      <c r="D305" s="176"/>
      <c r="E305" s="176" t="s">
        <v>110</v>
      </c>
      <c r="F305" s="176" t="s">
        <v>121</v>
      </c>
      <c r="G305" s="167">
        <v>1</v>
      </c>
      <c r="H305" s="413">
        <v>10000</v>
      </c>
      <c r="I305" s="414">
        <v>0</v>
      </c>
      <c r="J305" s="415">
        <f t="shared" ref="J305:J318" si="51">H305*(1+I305)</f>
        <v>10000</v>
      </c>
      <c r="K305" s="416">
        <f t="shared" ref="K305:K318" si="52">J305*G305</f>
        <v>10000</v>
      </c>
      <c r="M305" s="170"/>
      <c r="N305" s="170"/>
      <c r="O305" s="170"/>
      <c r="P305" s="170"/>
      <c r="Q305" s="170"/>
      <c r="R305" s="170"/>
      <c r="S305" s="170"/>
      <c r="T305" s="170"/>
      <c r="U305" s="170"/>
      <c r="V305" s="170"/>
      <c r="W305" s="170"/>
      <c r="X305" s="219"/>
    </row>
    <row r="306" spans="1:24">
      <c r="A306" s="37" t="s">
        <v>650</v>
      </c>
      <c r="B306" s="164" t="s">
        <v>651</v>
      </c>
      <c r="C306" s="164" t="s">
        <v>103</v>
      </c>
      <c r="D306" s="164"/>
      <c r="E306" s="164" t="s">
        <v>118</v>
      </c>
      <c r="F306" s="164"/>
      <c r="G306" s="161"/>
      <c r="H306" s="185"/>
      <c r="I306" s="216">
        <v>0</v>
      </c>
      <c r="J306" s="185">
        <f t="shared" si="51"/>
        <v>0</v>
      </c>
      <c r="K306" s="217">
        <f t="shared" si="52"/>
        <v>0</v>
      </c>
      <c r="M306" s="170"/>
      <c r="N306" s="170"/>
      <c r="O306" s="170"/>
      <c r="P306" s="170"/>
      <c r="Q306" s="170"/>
      <c r="R306" s="170"/>
      <c r="S306" s="170"/>
      <c r="T306" s="170"/>
      <c r="U306" s="170"/>
      <c r="V306" s="170"/>
      <c r="W306" s="170"/>
      <c r="X306" s="219"/>
    </row>
    <row r="307" spans="1:24">
      <c r="A307" s="37" t="s">
        <v>652</v>
      </c>
      <c r="B307" s="164" t="s">
        <v>653</v>
      </c>
      <c r="C307" s="164" t="s">
        <v>103</v>
      </c>
      <c r="D307" s="164"/>
      <c r="E307" s="164" t="s">
        <v>118</v>
      </c>
      <c r="F307" s="164" t="s">
        <v>121</v>
      </c>
      <c r="G307" s="161">
        <v>0</v>
      </c>
      <c r="H307" s="185">
        <v>21000</v>
      </c>
      <c r="I307" s="216">
        <v>0</v>
      </c>
      <c r="J307" s="185">
        <f t="shared" si="51"/>
        <v>21000</v>
      </c>
      <c r="K307" s="217">
        <f t="shared" si="52"/>
        <v>0</v>
      </c>
      <c r="M307" s="170"/>
      <c r="N307" s="170"/>
      <c r="O307" s="170"/>
      <c r="P307" s="170"/>
      <c r="Q307" s="170"/>
      <c r="R307" s="170"/>
      <c r="S307" s="170"/>
      <c r="T307" s="170"/>
      <c r="U307" s="170"/>
      <c r="V307" s="170"/>
      <c r="W307" s="170"/>
      <c r="X307" s="219"/>
    </row>
    <row r="308" spans="1:24">
      <c r="A308" s="37" t="s">
        <v>654</v>
      </c>
      <c r="B308" s="164" t="s">
        <v>655</v>
      </c>
      <c r="C308" s="164" t="s">
        <v>103</v>
      </c>
      <c r="D308" s="164"/>
      <c r="E308" s="164" t="s">
        <v>110</v>
      </c>
      <c r="F308" s="164" t="s">
        <v>121</v>
      </c>
      <c r="G308" s="161">
        <v>1</v>
      </c>
      <c r="H308" s="185">
        <v>22000</v>
      </c>
      <c r="I308" s="216">
        <v>0</v>
      </c>
      <c r="J308" s="185">
        <f t="shared" si="51"/>
        <v>22000</v>
      </c>
      <c r="K308" s="217">
        <f t="shared" si="52"/>
        <v>22000</v>
      </c>
      <c r="M308" s="170"/>
      <c r="N308" s="170"/>
      <c r="O308" s="170"/>
      <c r="P308" s="170"/>
      <c r="Q308" s="170"/>
      <c r="R308" s="170"/>
      <c r="S308" s="170"/>
      <c r="T308" s="170"/>
      <c r="U308" s="170"/>
      <c r="V308" s="170"/>
      <c r="W308" s="170"/>
      <c r="X308" s="219"/>
    </row>
    <row r="309" spans="1:24">
      <c r="A309" s="39" t="s">
        <v>656</v>
      </c>
      <c r="B309" s="164" t="s">
        <v>657</v>
      </c>
      <c r="C309" s="164" t="s">
        <v>103</v>
      </c>
      <c r="D309" s="164"/>
      <c r="E309" s="164" t="s">
        <v>195</v>
      </c>
      <c r="F309" s="164" t="s">
        <v>121</v>
      </c>
      <c r="G309" s="161">
        <v>1</v>
      </c>
      <c r="H309" s="184">
        <v>43676.49</v>
      </c>
      <c r="I309" s="216">
        <v>0</v>
      </c>
      <c r="J309" s="185">
        <f t="shared" si="51"/>
        <v>43676.49</v>
      </c>
      <c r="K309" s="217">
        <f t="shared" si="52"/>
        <v>43676.49</v>
      </c>
      <c r="M309" s="170"/>
      <c r="N309" s="170"/>
      <c r="O309" s="170"/>
      <c r="P309" s="170"/>
      <c r="Q309" s="170"/>
      <c r="R309" s="170"/>
      <c r="S309" s="170"/>
      <c r="T309" s="170"/>
      <c r="U309" s="170"/>
      <c r="V309" s="170"/>
      <c r="W309" s="170"/>
      <c r="X309" s="219"/>
    </row>
    <row r="310" spans="1:24">
      <c r="A310" s="39" t="s">
        <v>659</v>
      </c>
      <c r="B310" s="164" t="s">
        <v>660</v>
      </c>
      <c r="C310" s="164" t="s">
        <v>103</v>
      </c>
      <c r="D310" s="164"/>
      <c r="E310" s="164" t="s">
        <v>118</v>
      </c>
      <c r="F310" s="164"/>
      <c r="G310" s="161"/>
      <c r="H310" s="185"/>
      <c r="I310" s="216">
        <v>0</v>
      </c>
      <c r="J310" s="185">
        <f t="shared" si="51"/>
        <v>0</v>
      </c>
      <c r="K310" s="217">
        <f t="shared" si="52"/>
        <v>0</v>
      </c>
      <c r="M310" s="170"/>
      <c r="N310" s="170"/>
      <c r="O310" s="170"/>
      <c r="P310" s="170"/>
      <c r="Q310" s="170"/>
      <c r="R310" s="170"/>
      <c r="S310" s="170"/>
      <c r="T310" s="170"/>
      <c r="U310" s="170"/>
      <c r="V310" s="170"/>
      <c r="W310" s="170"/>
      <c r="X310" s="219"/>
    </row>
    <row r="311" spans="1:24">
      <c r="A311" s="39" t="s">
        <v>661</v>
      </c>
      <c r="B311" s="164" t="s">
        <v>662</v>
      </c>
      <c r="C311" s="164" t="s">
        <v>103</v>
      </c>
      <c r="D311" s="164"/>
      <c r="E311" s="164" t="s">
        <v>110</v>
      </c>
      <c r="F311" s="164" t="s">
        <v>121</v>
      </c>
      <c r="G311" s="161">
        <v>1</v>
      </c>
      <c r="H311" s="185">
        <v>15000</v>
      </c>
      <c r="I311" s="216">
        <v>0</v>
      </c>
      <c r="J311" s="185">
        <f t="shared" si="51"/>
        <v>15000</v>
      </c>
      <c r="K311" s="217">
        <f t="shared" si="52"/>
        <v>15000</v>
      </c>
      <c r="M311" s="170"/>
      <c r="N311" s="170"/>
      <c r="O311" s="170"/>
      <c r="P311" s="170"/>
      <c r="Q311" s="170"/>
      <c r="R311" s="170"/>
      <c r="S311" s="170"/>
      <c r="T311" s="170"/>
      <c r="U311" s="170"/>
      <c r="V311" s="170"/>
      <c r="W311" s="170"/>
      <c r="X311" s="219"/>
    </row>
    <row r="312" spans="1:24">
      <c r="A312" s="39" t="s">
        <v>663</v>
      </c>
      <c r="B312" s="164" t="s">
        <v>664</v>
      </c>
      <c r="C312" s="164" t="s">
        <v>103</v>
      </c>
      <c r="D312" s="164"/>
      <c r="E312" s="164" t="s">
        <v>904</v>
      </c>
      <c r="F312" s="164" t="s">
        <v>121</v>
      </c>
      <c r="G312" s="161">
        <v>1</v>
      </c>
      <c r="H312" s="185">
        <v>5000</v>
      </c>
      <c r="I312" s="216">
        <v>0</v>
      </c>
      <c r="J312" s="185">
        <f t="shared" si="51"/>
        <v>5000</v>
      </c>
      <c r="K312" s="217">
        <f t="shared" si="52"/>
        <v>5000</v>
      </c>
      <c r="M312" s="170"/>
      <c r="N312" s="170"/>
      <c r="O312" s="170"/>
      <c r="P312" s="170"/>
      <c r="Q312" s="170"/>
      <c r="R312" s="170"/>
      <c r="S312" s="170"/>
      <c r="T312" s="170"/>
      <c r="U312" s="170"/>
      <c r="V312" s="170"/>
      <c r="W312" s="170"/>
      <c r="X312" s="219"/>
    </row>
    <row r="313" spans="1:24">
      <c r="A313" s="39" t="s">
        <v>665</v>
      </c>
      <c r="B313" s="164" t="s">
        <v>666</v>
      </c>
      <c r="C313" s="164" t="s">
        <v>103</v>
      </c>
      <c r="D313" s="164"/>
      <c r="E313" s="164" t="s">
        <v>118</v>
      </c>
      <c r="F313" s="164"/>
      <c r="G313" s="161"/>
      <c r="H313" s="185"/>
      <c r="I313" s="216">
        <v>0</v>
      </c>
      <c r="J313" s="185">
        <f t="shared" si="51"/>
        <v>0</v>
      </c>
      <c r="K313" s="217">
        <f t="shared" si="52"/>
        <v>0</v>
      </c>
      <c r="M313" s="170"/>
      <c r="N313" s="170"/>
      <c r="O313" s="170"/>
      <c r="P313" s="170"/>
      <c r="Q313" s="170"/>
      <c r="R313" s="170"/>
      <c r="S313" s="170"/>
      <c r="T313" s="170"/>
      <c r="U313" s="170"/>
      <c r="V313" s="170"/>
      <c r="W313" s="170"/>
      <c r="X313" s="219"/>
    </row>
    <row r="314" spans="1:24">
      <c r="A314" s="37" t="s">
        <v>667</v>
      </c>
      <c r="B314" s="164" t="s">
        <v>668</v>
      </c>
      <c r="C314" s="164" t="s">
        <v>103</v>
      </c>
      <c r="D314" s="164"/>
      <c r="E314" s="164" t="s">
        <v>110</v>
      </c>
      <c r="F314" s="164" t="s">
        <v>121</v>
      </c>
      <c r="G314" s="161">
        <v>1</v>
      </c>
      <c r="H314" s="185">
        <v>500000</v>
      </c>
      <c r="I314" s="216">
        <v>0</v>
      </c>
      <c r="J314" s="185">
        <f t="shared" si="51"/>
        <v>500000</v>
      </c>
      <c r="K314" s="217">
        <f t="shared" si="52"/>
        <v>500000</v>
      </c>
      <c r="M314" s="170"/>
      <c r="N314" s="170"/>
      <c r="O314" s="170"/>
      <c r="P314" s="170"/>
      <c r="Q314" s="170"/>
      <c r="R314" s="170"/>
      <c r="S314" s="170"/>
      <c r="T314" s="170"/>
      <c r="U314" s="170"/>
      <c r="V314" s="170"/>
      <c r="W314" s="170"/>
      <c r="X314" s="219"/>
    </row>
    <row r="315" spans="1:24">
      <c r="A315" s="37" t="s">
        <v>670</v>
      </c>
      <c r="B315" s="164" t="s">
        <v>671</v>
      </c>
      <c r="C315" s="164" t="s">
        <v>103</v>
      </c>
      <c r="D315" s="164"/>
      <c r="E315" s="164" t="s">
        <v>880</v>
      </c>
      <c r="F315" s="164" t="s">
        <v>121</v>
      </c>
      <c r="G315" s="161">
        <v>1</v>
      </c>
      <c r="H315" s="185">
        <v>72147.600000000006</v>
      </c>
      <c r="I315" s="216">
        <v>0</v>
      </c>
      <c r="J315" s="185">
        <f t="shared" si="51"/>
        <v>72147.600000000006</v>
      </c>
      <c r="K315" s="217">
        <f t="shared" si="52"/>
        <v>72147.600000000006</v>
      </c>
      <c r="M315" s="170" t="s">
        <v>905</v>
      </c>
      <c r="N315" s="170"/>
      <c r="O315" s="170"/>
      <c r="P315" s="170"/>
      <c r="Q315" s="170"/>
      <c r="R315" s="170"/>
      <c r="S315" s="170"/>
      <c r="T315" s="170"/>
      <c r="U315" s="170"/>
      <c r="V315" s="170"/>
      <c r="W315" s="170"/>
      <c r="X315" s="219"/>
    </row>
    <row r="316" spans="1:24">
      <c r="A316" s="39" t="s">
        <v>672</v>
      </c>
      <c r="B316" s="164" t="s">
        <v>478</v>
      </c>
      <c r="C316" s="164" t="s">
        <v>103</v>
      </c>
      <c r="D316" s="164"/>
      <c r="E316" s="164" t="s">
        <v>110</v>
      </c>
      <c r="F316" s="164" t="s">
        <v>121</v>
      </c>
      <c r="G316" s="161">
        <v>1</v>
      </c>
      <c r="H316" s="185">
        <v>20000</v>
      </c>
      <c r="I316" s="216">
        <v>0</v>
      </c>
      <c r="J316" s="185">
        <f t="shared" si="51"/>
        <v>20000</v>
      </c>
      <c r="K316" s="217">
        <f t="shared" si="52"/>
        <v>20000</v>
      </c>
      <c r="M316" s="170"/>
      <c r="N316" s="170"/>
      <c r="O316" s="170"/>
      <c r="P316" s="170"/>
      <c r="Q316" s="170"/>
      <c r="R316" s="170"/>
      <c r="S316" s="170"/>
      <c r="T316" s="170"/>
      <c r="U316" s="170"/>
      <c r="V316" s="170"/>
      <c r="W316" s="170"/>
      <c r="X316" s="219"/>
    </row>
    <row r="317" spans="1:24">
      <c r="A317" s="39" t="s">
        <v>673</v>
      </c>
      <c r="B317" s="164" t="s">
        <v>674</v>
      </c>
      <c r="C317" s="164" t="s">
        <v>103</v>
      </c>
      <c r="D317" s="164"/>
      <c r="E317" s="164" t="s">
        <v>110</v>
      </c>
      <c r="F317" s="164" t="s">
        <v>121</v>
      </c>
      <c r="G317" s="161">
        <v>1</v>
      </c>
      <c r="H317" s="185">
        <v>2000</v>
      </c>
      <c r="I317" s="216">
        <v>0</v>
      </c>
      <c r="J317" s="185">
        <f t="shared" si="51"/>
        <v>2000</v>
      </c>
      <c r="K317" s="217">
        <f t="shared" si="52"/>
        <v>2000</v>
      </c>
      <c r="M317" s="170"/>
      <c r="N317" s="170"/>
      <c r="O317" s="170"/>
      <c r="P317" s="170"/>
      <c r="Q317" s="170"/>
      <c r="R317" s="170"/>
      <c r="S317" s="170"/>
      <c r="T317" s="170"/>
      <c r="U317" s="170"/>
      <c r="V317" s="170"/>
      <c r="W317" s="170"/>
      <c r="X317" s="219"/>
    </row>
    <row r="318" spans="1:24">
      <c r="A318" s="39" t="s">
        <v>675</v>
      </c>
      <c r="B318" s="164" t="s">
        <v>676</v>
      </c>
      <c r="C318" s="164" t="s">
        <v>103</v>
      </c>
      <c r="D318" s="164"/>
      <c r="E318" s="164" t="s">
        <v>110</v>
      </c>
      <c r="F318" s="164" t="s">
        <v>121</v>
      </c>
      <c r="G318" s="161">
        <v>1</v>
      </c>
      <c r="H318" s="185">
        <v>1200</v>
      </c>
      <c r="I318" s="216">
        <v>0</v>
      </c>
      <c r="J318" s="185">
        <f t="shared" si="51"/>
        <v>1200</v>
      </c>
      <c r="K318" s="217">
        <f t="shared" si="52"/>
        <v>1200</v>
      </c>
      <c r="M318" s="170"/>
      <c r="N318" s="170"/>
      <c r="O318" s="170"/>
      <c r="P318" s="170"/>
      <c r="Q318" s="170"/>
      <c r="R318" s="170"/>
      <c r="S318" s="170"/>
      <c r="T318" s="170"/>
      <c r="U318" s="170"/>
      <c r="V318" s="170"/>
      <c r="W318" s="170"/>
      <c r="X318" s="219"/>
    </row>
    <row r="319" spans="1:24">
      <c r="A319" s="33" t="s">
        <v>677</v>
      </c>
      <c r="B319" s="305" t="s">
        <v>678</v>
      </c>
      <c r="C319" s="305"/>
      <c r="D319" s="305"/>
      <c r="E319" s="305"/>
      <c r="F319" s="305"/>
      <c r="G319" s="306"/>
      <c r="H319" s="307"/>
      <c r="I319" s="308"/>
      <c r="J319" s="307"/>
      <c r="K319" s="421"/>
      <c r="L319" s="230">
        <f>K320</f>
        <v>1607491</v>
      </c>
      <c r="M319" s="524"/>
      <c r="N319" s="524"/>
      <c r="O319" s="170"/>
      <c r="P319" s="170"/>
      <c r="Q319" s="170"/>
      <c r="R319" s="170"/>
      <c r="S319" s="170"/>
      <c r="T319" s="170"/>
      <c r="U319" s="170"/>
      <c r="V319" s="170"/>
      <c r="W319" s="170"/>
      <c r="X319" s="219"/>
    </row>
    <row r="320" spans="1:24">
      <c r="A320" s="34" t="s">
        <v>677</v>
      </c>
      <c r="B320" s="226" t="s">
        <v>679</v>
      </c>
      <c r="C320" s="226"/>
      <c r="D320" s="226"/>
      <c r="E320" s="226"/>
      <c r="F320" s="226"/>
      <c r="G320" s="425">
        <v>0.05</v>
      </c>
      <c r="H320" s="225"/>
      <c r="I320" s="311"/>
      <c r="J320" s="312"/>
      <c r="K320" s="313">
        <v>1607491</v>
      </c>
      <c r="M320" s="170"/>
      <c r="N320" s="170"/>
      <c r="O320" s="170"/>
      <c r="P320" s="170"/>
      <c r="Q320" s="170"/>
      <c r="R320" s="170"/>
      <c r="S320" s="170"/>
      <c r="T320" s="170"/>
      <c r="U320" s="170"/>
      <c r="V320" s="170"/>
      <c r="W320" s="170"/>
      <c r="X320" s="219"/>
    </row>
    <row r="321" spans="1:24">
      <c r="A321" s="33" t="s">
        <v>680</v>
      </c>
      <c r="B321" s="305" t="s">
        <v>681</v>
      </c>
      <c r="C321" s="305"/>
      <c r="D321" s="305"/>
      <c r="E321" s="305"/>
      <c r="F321" s="305"/>
      <c r="G321" s="306"/>
      <c r="H321" s="307"/>
      <c r="I321" s="308"/>
      <c r="J321" s="307"/>
      <c r="K321" s="421"/>
      <c r="L321" s="230">
        <f>SUM(K322)</f>
        <v>339854.76804552512</v>
      </c>
      <c r="M321" s="170"/>
      <c r="N321" s="170"/>
      <c r="O321" s="170"/>
      <c r="P321" s="170"/>
      <c r="Q321" s="170"/>
      <c r="R321" s="170"/>
      <c r="S321" s="170"/>
      <c r="T321" s="170"/>
      <c r="U321" s="170"/>
      <c r="V321" s="170"/>
      <c r="W321" s="170"/>
      <c r="X321" s="219"/>
    </row>
    <row r="322" spans="1:24">
      <c r="A322" s="34" t="s">
        <v>680</v>
      </c>
      <c r="B322" s="226" t="s">
        <v>682</v>
      </c>
      <c r="C322" s="226" t="s">
        <v>683</v>
      </c>
      <c r="D322" s="226"/>
      <c r="E322" s="226"/>
      <c r="F322" s="226"/>
      <c r="G322" s="425">
        <v>1.2999999999999999E-2</v>
      </c>
      <c r="H322" s="225"/>
      <c r="I322" s="311"/>
      <c r="J322" s="312"/>
      <c r="K322" s="313">
        <f>G322*SUM(K22:K300)</f>
        <v>339854.76804552512</v>
      </c>
      <c r="M322" s="170"/>
      <c r="N322" s="170"/>
      <c r="O322" s="170"/>
      <c r="P322" s="170"/>
      <c r="Q322" s="170"/>
      <c r="R322" s="170"/>
      <c r="S322" s="170"/>
      <c r="T322" s="170"/>
      <c r="U322" s="170"/>
      <c r="V322" s="170"/>
      <c r="W322" s="170"/>
      <c r="X322" s="219"/>
    </row>
    <row r="323" spans="1:24">
      <c r="A323" s="33" t="s">
        <v>684</v>
      </c>
      <c r="B323" s="305" t="s">
        <v>681</v>
      </c>
      <c r="C323" s="305"/>
      <c r="D323" s="305"/>
      <c r="E323" s="305"/>
      <c r="F323" s="305"/>
      <c r="G323" s="306"/>
      <c r="H323" s="307"/>
      <c r="I323" s="308"/>
      <c r="J323" s="307"/>
      <c r="K323" s="421"/>
      <c r="L323" s="230">
        <f>SUM(K324:K326)</f>
        <v>505187.23195447482</v>
      </c>
      <c r="M323" s="170" t="s">
        <v>923</v>
      </c>
      <c r="N323" s="170"/>
      <c r="O323" s="170"/>
      <c r="P323" s="170"/>
      <c r="Q323" s="170"/>
      <c r="R323" s="170"/>
      <c r="S323" s="170"/>
      <c r="T323" s="170"/>
      <c r="U323" s="170"/>
      <c r="V323" s="170"/>
      <c r="W323" s="170"/>
      <c r="X323" s="219"/>
    </row>
    <row r="324" spans="1:24">
      <c r="A324" s="35" t="s">
        <v>685</v>
      </c>
      <c r="B324" s="176" t="s">
        <v>686</v>
      </c>
      <c r="C324" s="176"/>
      <c r="D324" s="176"/>
      <c r="E324" s="176"/>
      <c r="F324" s="176" t="s">
        <v>687</v>
      </c>
      <c r="G324" s="426">
        <v>3.03</v>
      </c>
      <c r="H324" s="413"/>
      <c r="I324" s="414"/>
      <c r="J324" s="415"/>
      <c r="K324" s="416">
        <v>413617.79833971814</v>
      </c>
      <c r="M324" s="170"/>
      <c r="N324" s="170"/>
      <c r="O324" s="170"/>
      <c r="P324" s="170"/>
      <c r="Q324" s="170"/>
      <c r="R324" s="170"/>
      <c r="S324" s="170"/>
      <c r="T324" s="170"/>
      <c r="U324" s="170"/>
      <c r="V324" s="170"/>
      <c r="W324" s="170"/>
      <c r="X324" s="219"/>
    </row>
    <row r="325" spans="1:24">
      <c r="A325" s="39" t="s">
        <v>688</v>
      </c>
      <c r="B325" s="164" t="s">
        <v>686</v>
      </c>
      <c r="C325" s="164"/>
      <c r="D325" s="164"/>
      <c r="E325" s="164"/>
      <c r="F325" s="164" t="s">
        <v>689</v>
      </c>
      <c r="G325" s="216">
        <v>0.05</v>
      </c>
      <c r="H325" s="185"/>
      <c r="I325" s="216"/>
      <c r="J325" s="185"/>
      <c r="K325" s="217">
        <v>4578.4716807378345</v>
      </c>
      <c r="M325" s="170"/>
      <c r="N325" s="170"/>
      <c r="O325" s="170"/>
      <c r="P325" s="170"/>
      <c r="Q325" s="170"/>
      <c r="R325" s="170"/>
      <c r="S325" s="170"/>
      <c r="T325" s="170"/>
      <c r="U325" s="170"/>
      <c r="V325" s="170"/>
      <c r="W325" s="170"/>
      <c r="X325" s="219"/>
    </row>
    <row r="326" spans="1:24">
      <c r="A326" s="39" t="s">
        <v>690</v>
      </c>
      <c r="B326" s="164" t="s">
        <v>686</v>
      </c>
      <c r="C326" s="164"/>
      <c r="D326" s="164"/>
      <c r="E326" s="164"/>
      <c r="F326" s="164" t="s">
        <v>691</v>
      </c>
      <c r="G326" s="216">
        <v>0.95</v>
      </c>
      <c r="H326" s="185"/>
      <c r="I326" s="216"/>
      <c r="J326" s="185"/>
      <c r="K326" s="217">
        <v>86990.961934018851</v>
      </c>
      <c r="M326" s="170"/>
      <c r="N326" s="170"/>
      <c r="O326" s="170"/>
      <c r="P326" s="170"/>
      <c r="Q326" s="170"/>
      <c r="R326" s="170"/>
      <c r="S326" s="170"/>
      <c r="T326" s="170"/>
      <c r="U326" s="170"/>
      <c r="V326" s="170"/>
      <c r="W326" s="170"/>
      <c r="X326" s="219"/>
    </row>
    <row r="327" spans="1:24">
      <c r="A327" s="33" t="s">
        <v>692</v>
      </c>
      <c r="B327" s="305" t="s">
        <v>693</v>
      </c>
      <c r="C327" s="305"/>
      <c r="D327" s="305"/>
      <c r="E327" s="305"/>
      <c r="F327" s="305"/>
      <c r="G327" s="306"/>
      <c r="H327" s="307"/>
      <c r="I327" s="308"/>
      <c r="J327" s="307"/>
      <c r="K327" s="421"/>
      <c r="L327" s="230">
        <f>SUM(K328:K329)</f>
        <v>2256128</v>
      </c>
      <c r="M327" s="170"/>
      <c r="N327" s="170"/>
      <c r="O327" s="170"/>
      <c r="P327" s="170"/>
      <c r="Q327" s="170"/>
      <c r="R327" s="170"/>
      <c r="S327" s="170"/>
      <c r="T327" s="170"/>
      <c r="U327" s="170"/>
      <c r="V327" s="170"/>
      <c r="W327" s="170"/>
      <c r="X327" s="219"/>
    </row>
    <row r="328" spans="1:24">
      <c r="A328" s="32" t="s">
        <v>906</v>
      </c>
      <c r="B328" s="223" t="s">
        <v>693</v>
      </c>
      <c r="C328" s="223"/>
      <c r="D328" s="223"/>
      <c r="E328" s="223"/>
      <c r="F328" s="223"/>
      <c r="G328" s="427">
        <v>0.02</v>
      </c>
      <c r="H328" s="428"/>
      <c r="I328" s="302"/>
      <c r="J328" s="303"/>
      <c r="K328" s="304">
        <v>564032</v>
      </c>
      <c r="L328" s="528"/>
      <c r="M328" s="524"/>
      <c r="N328" s="527">
        <v>604902.19008907804</v>
      </c>
      <c r="O328" s="170"/>
      <c r="P328" s="170"/>
      <c r="Q328" s="170"/>
      <c r="R328" s="170"/>
      <c r="S328" s="170"/>
      <c r="T328" s="170"/>
      <c r="U328" s="170"/>
      <c r="V328" s="170"/>
      <c r="W328" s="170"/>
      <c r="X328" s="219"/>
    </row>
    <row r="329" spans="1:24">
      <c r="A329" s="32" t="s">
        <v>692</v>
      </c>
      <c r="B329" s="223" t="s">
        <v>693</v>
      </c>
      <c r="C329" s="223"/>
      <c r="D329" s="223"/>
      <c r="E329" s="223"/>
      <c r="F329" s="223"/>
      <c r="G329" s="427">
        <v>0.06</v>
      </c>
      <c r="H329" s="428"/>
      <c r="I329" s="302"/>
      <c r="J329" s="303"/>
      <c r="K329" s="304">
        <v>1692096</v>
      </c>
      <c r="L329" s="528"/>
      <c r="M329" s="524"/>
      <c r="N329" s="527">
        <v>1814706.5702672347</v>
      </c>
      <c r="O329" s="170"/>
      <c r="P329" s="170"/>
      <c r="Q329" s="170"/>
      <c r="R329" s="170"/>
      <c r="S329" s="170"/>
      <c r="T329" s="170"/>
      <c r="U329" s="170"/>
      <c r="V329" s="170"/>
      <c r="W329" s="170"/>
      <c r="X329" s="219"/>
    </row>
    <row r="330" spans="1:24" ht="15.75" thickBot="1">
      <c r="A330" s="118" t="s">
        <v>695</v>
      </c>
      <c r="B330" s="119"/>
      <c r="C330" s="119"/>
      <c r="D330" s="119"/>
      <c r="E330" s="119"/>
      <c r="F330" s="119"/>
      <c r="G330" s="119"/>
      <c r="H330" s="120"/>
      <c r="I330" s="121"/>
      <c r="J330" s="122"/>
      <c r="K330" s="122"/>
      <c r="L330" s="123">
        <f>SUM(L20:L329)</f>
        <v>33757309.044341207</v>
      </c>
      <c r="M330" s="117"/>
      <c r="N330" s="117"/>
      <c r="O330" s="117"/>
      <c r="P330" s="117"/>
      <c r="Q330" s="117"/>
      <c r="R330" s="117"/>
      <c r="S330" s="117"/>
      <c r="T330" s="117"/>
      <c r="U330" s="117"/>
      <c r="V330" s="117"/>
      <c r="W330" s="117"/>
      <c r="X330" s="219"/>
    </row>
    <row r="331" spans="1:24" ht="15.75" thickBot="1">
      <c r="G331" s="219"/>
      <c r="H331" s="219"/>
      <c r="I331" s="316"/>
      <c r="L331" s="317">
        <f>SUM(K20:K330)-L330</f>
        <v>0</v>
      </c>
      <c r="M331" s="317"/>
    </row>
    <row r="332" spans="1:24">
      <c r="A332" s="92" t="s">
        <v>101</v>
      </c>
      <c r="B332" s="251" t="s">
        <v>102</v>
      </c>
      <c r="C332" s="251"/>
      <c r="D332" s="251"/>
      <c r="E332" s="318">
        <f>_xlfn.XLOOKUP(A332,$A$20:$A$330,$L$20:$L$330)</f>
        <v>1692096</v>
      </c>
      <c r="N332" s="314" t="s">
        <v>907</v>
      </c>
      <c r="O332" s="255"/>
    </row>
    <row r="333" spans="1:24">
      <c r="A333" s="93" t="s">
        <v>105</v>
      </c>
      <c r="B333" s="249" t="s">
        <v>106</v>
      </c>
      <c r="C333" s="249"/>
      <c r="D333" s="249"/>
      <c r="E333" s="319">
        <f t="shared" ref="E333:E343" si="53">_xlfn.XLOOKUP(A333,$A$20:$A$330,$L$20:$L$330)</f>
        <v>3500</v>
      </c>
      <c r="N333" s="323">
        <f>SUM(K304:K318,K23:K300)</f>
        <v>26833698.5550404</v>
      </c>
      <c r="O333" s="259"/>
    </row>
    <row r="334" spans="1:24">
      <c r="A334" s="93" t="s">
        <v>111</v>
      </c>
      <c r="B334" s="249" t="s">
        <v>112</v>
      </c>
      <c r="C334" s="249"/>
      <c r="D334" s="249"/>
      <c r="E334" s="319">
        <f t="shared" si="53"/>
        <v>1089279.82</v>
      </c>
      <c r="N334" s="323">
        <f>N333*0.06</f>
        <v>1610021.9133024239</v>
      </c>
      <c r="O334" s="259"/>
    </row>
    <row r="335" spans="1:24" ht="15.75" thickBot="1">
      <c r="A335" s="93" t="s">
        <v>140</v>
      </c>
      <c r="B335" s="249" t="s">
        <v>141</v>
      </c>
      <c r="C335" s="249"/>
      <c r="D335" s="249"/>
      <c r="E335" s="319">
        <f t="shared" si="53"/>
        <v>0</v>
      </c>
      <c r="N335" s="324">
        <f>N334/B6</f>
        <v>80501.095665121189</v>
      </c>
      <c r="O335" s="294"/>
    </row>
    <row r="336" spans="1:24">
      <c r="A336" s="93" t="s">
        <v>150</v>
      </c>
      <c r="B336" s="249" t="s">
        <v>151</v>
      </c>
      <c r="C336" s="249"/>
      <c r="D336" s="249"/>
      <c r="E336" s="319">
        <f t="shared" si="53"/>
        <v>112800</v>
      </c>
    </row>
    <row r="337" spans="1:5">
      <c r="A337" s="93" t="s">
        <v>162</v>
      </c>
      <c r="B337" s="249" t="s">
        <v>163</v>
      </c>
      <c r="C337" s="249"/>
      <c r="D337" s="249"/>
      <c r="E337" s="319">
        <f t="shared" si="53"/>
        <v>325412.12789407256</v>
      </c>
    </row>
    <row r="338" spans="1:5">
      <c r="A338" s="93" t="s">
        <v>182</v>
      </c>
      <c r="B338" s="249" t="s">
        <v>183</v>
      </c>
      <c r="C338" s="249"/>
      <c r="D338" s="249"/>
      <c r="E338" s="319">
        <f t="shared" si="53"/>
        <v>4804000.7</v>
      </c>
    </row>
    <row r="339" spans="1:5">
      <c r="A339" s="93" t="s">
        <v>208</v>
      </c>
      <c r="B339" s="249" t="s">
        <v>209</v>
      </c>
      <c r="C339" s="249"/>
      <c r="D339" s="249"/>
      <c r="E339" s="319">
        <f t="shared" si="53"/>
        <v>905486.76</v>
      </c>
    </row>
    <row r="340" spans="1:5">
      <c r="A340" s="93" t="s">
        <v>232</v>
      </c>
      <c r="B340" s="249" t="s">
        <v>233</v>
      </c>
      <c r="C340" s="249"/>
      <c r="D340" s="249"/>
      <c r="E340" s="319">
        <f t="shared" si="53"/>
        <v>279109.57894736843</v>
      </c>
    </row>
    <row r="341" spans="1:5">
      <c r="A341" s="93" t="s">
        <v>262</v>
      </c>
      <c r="B341" s="249" t="s">
        <v>263</v>
      </c>
      <c r="C341" s="249"/>
      <c r="D341" s="249"/>
      <c r="E341" s="319">
        <f t="shared" si="53"/>
        <v>3261602.3529548887</v>
      </c>
    </row>
    <row r="342" spans="1:5">
      <c r="A342" s="93" t="s">
        <v>340</v>
      </c>
      <c r="B342" s="249" t="s">
        <v>341</v>
      </c>
      <c r="C342" s="249"/>
      <c r="D342" s="249"/>
      <c r="E342" s="319">
        <f t="shared" si="53"/>
        <v>233950</v>
      </c>
    </row>
    <row r="343" spans="1:5">
      <c r="A343" s="95" t="s">
        <v>378</v>
      </c>
      <c r="B343" s="263" t="s">
        <v>379</v>
      </c>
      <c r="C343" s="263"/>
      <c r="D343" s="263"/>
      <c r="E343" s="320">
        <f t="shared" si="53"/>
        <v>621090.50256410253</v>
      </c>
    </row>
    <row r="344" spans="1:5">
      <c r="A344" s="92" t="s">
        <v>382</v>
      </c>
      <c r="B344" s="251" t="s">
        <v>383</v>
      </c>
      <c r="C344" s="251"/>
      <c r="D344" s="251"/>
      <c r="E344" s="318">
        <f>_xlfn.XLOOKUP(A344,$A$20:$A$330,$L$20:$L$330)</f>
        <v>1046615.3613445379</v>
      </c>
    </row>
    <row r="345" spans="1:5">
      <c r="A345" s="93" t="s">
        <v>402</v>
      </c>
      <c r="B345" s="249" t="s">
        <v>403</v>
      </c>
      <c r="C345" s="249"/>
      <c r="D345" s="249"/>
      <c r="E345" s="319">
        <f t="shared" ref="E345:E355" si="54">_xlfn.XLOOKUP(A345,$A$20:$A$330,$L$20:$L$330)</f>
        <v>572485</v>
      </c>
    </row>
    <row r="346" spans="1:5">
      <c r="A346" s="93" t="s">
        <v>410</v>
      </c>
      <c r="B346" s="249" t="s">
        <v>411</v>
      </c>
      <c r="C346" s="249"/>
      <c r="D346" s="249"/>
      <c r="E346" s="319">
        <f t="shared" si="54"/>
        <v>0</v>
      </c>
    </row>
    <row r="347" spans="1:5">
      <c r="A347" s="93" t="s">
        <v>412</v>
      </c>
      <c r="B347" s="249" t="s">
        <v>413</v>
      </c>
      <c r="C347" s="249"/>
      <c r="D347" s="249"/>
      <c r="E347" s="319">
        <f t="shared" si="54"/>
        <v>323200</v>
      </c>
    </row>
    <row r="348" spans="1:5">
      <c r="A348" s="93" t="s">
        <v>419</v>
      </c>
      <c r="B348" s="249" t="s">
        <v>420</v>
      </c>
      <c r="C348" s="249"/>
      <c r="D348" s="249"/>
      <c r="E348" s="319">
        <f t="shared" si="54"/>
        <v>623908.05000000005</v>
      </c>
    </row>
    <row r="349" spans="1:5">
      <c r="A349" s="93" t="s">
        <v>427</v>
      </c>
      <c r="B349" s="249" t="s">
        <v>428</v>
      </c>
      <c r="C349" s="249"/>
      <c r="D349" s="249"/>
      <c r="E349" s="319">
        <f t="shared" si="54"/>
        <v>2072717.2631578948</v>
      </c>
    </row>
    <row r="350" spans="1:5">
      <c r="A350" s="93" t="s">
        <v>437</v>
      </c>
      <c r="B350" s="249" t="s">
        <v>438</v>
      </c>
      <c r="C350" s="249"/>
      <c r="D350" s="249"/>
      <c r="E350" s="319">
        <f t="shared" si="54"/>
        <v>2078302.6000000003</v>
      </c>
    </row>
    <row r="351" spans="1:5">
      <c r="A351" s="93" t="s">
        <v>442</v>
      </c>
      <c r="B351" s="249" t="s">
        <v>443</v>
      </c>
      <c r="C351" s="249"/>
      <c r="D351" s="249"/>
      <c r="E351" s="319">
        <f t="shared" si="54"/>
        <v>2246065.4308303986</v>
      </c>
    </row>
    <row r="352" spans="1:5">
      <c r="A352" s="93" t="s">
        <v>475</v>
      </c>
      <c r="B352" s="249" t="s">
        <v>476</v>
      </c>
      <c r="C352" s="249"/>
      <c r="D352" s="249"/>
      <c r="E352" s="319">
        <f t="shared" si="54"/>
        <v>117610.51</v>
      </c>
    </row>
    <row r="353" spans="1:5">
      <c r="A353" s="93" t="s">
        <v>485</v>
      </c>
      <c r="B353" s="249" t="s">
        <v>486</v>
      </c>
      <c r="C353" s="249"/>
      <c r="D353" s="249"/>
      <c r="E353" s="319">
        <f t="shared" si="54"/>
        <v>521084</v>
      </c>
    </row>
    <row r="354" spans="1:5">
      <c r="A354" s="93" t="s">
        <v>493</v>
      </c>
      <c r="B354" s="249" t="s">
        <v>494</v>
      </c>
      <c r="C354" s="249"/>
      <c r="D354" s="249"/>
      <c r="E354" s="319">
        <f t="shared" si="54"/>
        <v>347262</v>
      </c>
    </row>
    <row r="355" spans="1:5">
      <c r="A355" s="95" t="s">
        <v>514</v>
      </c>
      <c r="B355" s="263" t="s">
        <v>515</v>
      </c>
      <c r="C355" s="263"/>
      <c r="D355" s="263"/>
      <c r="E355" s="320">
        <f t="shared" si="54"/>
        <v>2302071.9073471352</v>
      </c>
    </row>
    <row r="356" spans="1:5">
      <c r="A356" s="92" t="s">
        <v>582</v>
      </c>
      <c r="B356" s="251" t="s">
        <v>583</v>
      </c>
      <c r="C356" s="251"/>
      <c r="D356" s="251"/>
      <c r="E356" s="318">
        <f>_xlfn.XLOOKUP(A356,$A$20:$A$330,$L$20:$L$330)</f>
        <v>1619983</v>
      </c>
    </row>
    <row r="357" spans="1:5">
      <c r="A357" s="93" t="s">
        <v>609</v>
      </c>
      <c r="B357" s="249" t="s">
        <v>610</v>
      </c>
      <c r="C357" s="249"/>
      <c r="D357" s="249"/>
      <c r="E357" s="319">
        <f t="shared" ref="E357:E367" si="55">_xlfn.XLOOKUP(A357,$A$20:$A$330,$L$20:$L$330)</f>
        <v>7500</v>
      </c>
    </row>
    <row r="358" spans="1:5">
      <c r="A358" s="93" t="s">
        <v>613</v>
      </c>
      <c r="B358" s="249" t="s">
        <v>614</v>
      </c>
      <c r="C358" s="249"/>
      <c r="D358" s="249"/>
      <c r="E358" s="319">
        <f t="shared" si="55"/>
        <v>392850</v>
      </c>
    </row>
    <row r="359" spans="1:5">
      <c r="A359" s="93" t="s">
        <v>621</v>
      </c>
      <c r="B359" s="249" t="s">
        <v>622</v>
      </c>
      <c r="C359" s="249"/>
      <c r="D359" s="249"/>
      <c r="E359" s="319">
        <f t="shared" si="55"/>
        <v>234787.5</v>
      </c>
    </row>
    <row r="360" spans="1:5">
      <c r="A360" s="93" t="s">
        <v>696</v>
      </c>
      <c r="B360" s="249"/>
      <c r="C360" s="249"/>
      <c r="D360" s="249"/>
      <c r="E360" s="319">
        <f t="shared" si="55"/>
        <v>0</v>
      </c>
    </row>
    <row r="361" spans="1:5">
      <c r="A361" s="93" t="s">
        <v>644</v>
      </c>
      <c r="B361" s="249"/>
      <c r="C361" s="249"/>
      <c r="D361" s="249"/>
      <c r="E361" s="319">
        <f t="shared" si="55"/>
        <v>0</v>
      </c>
    </row>
    <row r="362" spans="1:5">
      <c r="A362" s="93" t="s">
        <v>645</v>
      </c>
      <c r="B362" s="249"/>
      <c r="C362" s="249"/>
      <c r="D362" s="249"/>
      <c r="E362" s="319">
        <f t="shared" si="55"/>
        <v>691024.09</v>
      </c>
    </row>
    <row r="363" spans="1:5">
      <c r="A363" s="93" t="s">
        <v>677</v>
      </c>
      <c r="B363" s="249" t="s">
        <v>678</v>
      </c>
      <c r="C363" s="249"/>
      <c r="D363" s="249"/>
      <c r="E363" s="319">
        <f t="shared" si="55"/>
        <v>1607491</v>
      </c>
    </row>
    <row r="364" spans="1:5">
      <c r="A364" s="93" t="s">
        <v>680</v>
      </c>
      <c r="B364" s="249" t="s">
        <v>681</v>
      </c>
      <c r="C364" s="249"/>
      <c r="D364" s="249"/>
      <c r="E364" s="319">
        <f t="shared" si="55"/>
        <v>339854.76804552512</v>
      </c>
    </row>
    <row r="365" spans="1:5">
      <c r="A365" s="93" t="s">
        <v>684</v>
      </c>
      <c r="B365" s="249" t="s">
        <v>681</v>
      </c>
      <c r="C365" s="249"/>
      <c r="D365" s="249"/>
      <c r="E365" s="319">
        <f t="shared" si="55"/>
        <v>505187.23195447482</v>
      </c>
    </row>
    <row r="366" spans="1:5">
      <c r="A366" s="93" t="s">
        <v>692</v>
      </c>
      <c r="B366" s="249" t="s">
        <v>693</v>
      </c>
      <c r="C366" s="249"/>
      <c r="D366" s="249"/>
      <c r="E366" s="319">
        <f t="shared" si="55"/>
        <v>2256128</v>
      </c>
    </row>
    <row r="367" spans="1:5">
      <c r="A367" s="94" t="s">
        <v>695</v>
      </c>
      <c r="B367" s="263"/>
      <c r="C367" s="263"/>
      <c r="D367" s="263"/>
      <c r="E367" s="320">
        <f t="shared" si="55"/>
        <v>33757309.044341207</v>
      </c>
    </row>
    <row r="368" spans="1:5">
      <c r="B368" s="218"/>
      <c r="C368" s="218"/>
      <c r="D368" s="218"/>
      <c r="E368" s="321">
        <f>SUM(E332:E343,E344:E355,E356:E366)-E367</f>
        <v>-522853.48930080235</v>
      </c>
    </row>
    <row r="372" spans="1:6">
      <c r="F372" s="125" t="s">
        <v>89</v>
      </c>
    </row>
    <row r="373" spans="1:6">
      <c r="A373" s="109"/>
      <c r="B373" s="124"/>
      <c r="C373" s="124"/>
      <c r="D373" s="124"/>
      <c r="E373" s="124"/>
      <c r="F373" s="125" t="s">
        <v>99</v>
      </c>
    </row>
    <row r="374" spans="1:6">
      <c r="A374" s="109" t="s">
        <v>697</v>
      </c>
      <c r="B374" s="124" t="s">
        <v>102</v>
      </c>
      <c r="C374" s="124"/>
      <c r="D374" s="124"/>
      <c r="E374" s="124"/>
      <c r="F374" s="126">
        <f>SUMIF($B$20:$B$330,B374,$L$20:$L$330)</f>
        <v>1692096</v>
      </c>
    </row>
    <row r="375" spans="1:6">
      <c r="A375" s="109" t="s">
        <v>698</v>
      </c>
      <c r="B375" s="124" t="s">
        <v>106</v>
      </c>
      <c r="C375" s="124"/>
      <c r="D375" s="124"/>
      <c r="E375" s="124"/>
      <c r="F375" s="126">
        <f t="shared" ref="F375:F404" si="56">SUMIF($B$20:$B$330,B375,$L$20:$L$330)</f>
        <v>3500</v>
      </c>
    </row>
    <row r="376" spans="1:6">
      <c r="A376" s="109" t="s">
        <v>699</v>
      </c>
      <c r="B376" s="124" t="s">
        <v>112</v>
      </c>
      <c r="C376" s="124"/>
      <c r="D376" s="124"/>
      <c r="E376" s="124"/>
      <c r="F376" s="126">
        <f t="shared" si="56"/>
        <v>1089279.82</v>
      </c>
    </row>
    <row r="377" spans="1:6">
      <c r="A377" s="109" t="s">
        <v>700</v>
      </c>
      <c r="B377" s="124" t="s">
        <v>151</v>
      </c>
      <c r="C377" s="124"/>
      <c r="D377" s="124"/>
      <c r="E377" s="124"/>
      <c r="F377" s="126">
        <f t="shared" si="56"/>
        <v>112800</v>
      </c>
    </row>
    <row r="378" spans="1:6">
      <c r="A378" s="109" t="s">
        <v>701</v>
      </c>
      <c r="B378" s="124" t="s">
        <v>163</v>
      </c>
      <c r="C378" s="124"/>
      <c r="D378" s="124"/>
      <c r="E378" s="124"/>
      <c r="F378" s="126">
        <f t="shared" si="56"/>
        <v>325412.12789407256</v>
      </c>
    </row>
    <row r="379" spans="1:6">
      <c r="A379" s="109" t="s">
        <v>702</v>
      </c>
      <c r="B379" s="124" t="s">
        <v>183</v>
      </c>
      <c r="C379" s="124"/>
      <c r="D379" s="124"/>
      <c r="E379" s="124"/>
      <c r="F379" s="126">
        <f t="shared" si="56"/>
        <v>4804000.7</v>
      </c>
    </row>
    <row r="380" spans="1:6">
      <c r="A380" s="109" t="s">
        <v>703</v>
      </c>
      <c r="B380" s="124" t="s">
        <v>209</v>
      </c>
      <c r="C380" s="124"/>
      <c r="D380" s="124"/>
      <c r="E380" s="124"/>
      <c r="F380" s="126">
        <f t="shared" si="56"/>
        <v>905486.76</v>
      </c>
    </row>
    <row r="381" spans="1:6">
      <c r="A381" s="109" t="s">
        <v>704</v>
      </c>
      <c r="B381" s="124" t="s">
        <v>233</v>
      </c>
      <c r="C381" s="124"/>
      <c r="D381" s="124"/>
      <c r="E381" s="124"/>
      <c r="F381" s="126">
        <f t="shared" si="56"/>
        <v>279109.57894736843</v>
      </c>
    </row>
    <row r="382" spans="1:6">
      <c r="A382" s="109" t="s">
        <v>705</v>
      </c>
      <c r="B382" s="124" t="s">
        <v>263</v>
      </c>
      <c r="C382" s="124"/>
      <c r="D382" s="124"/>
      <c r="E382" s="124"/>
      <c r="F382" s="126">
        <f t="shared" si="56"/>
        <v>3261602.3529548887</v>
      </c>
    </row>
    <row r="383" spans="1:6">
      <c r="A383" s="109" t="s">
        <v>706</v>
      </c>
      <c r="B383" s="124" t="s">
        <v>341</v>
      </c>
      <c r="C383" s="124"/>
      <c r="D383" s="124"/>
      <c r="E383" s="124"/>
      <c r="F383" s="126">
        <f t="shared" si="56"/>
        <v>233950</v>
      </c>
    </row>
    <row r="384" spans="1:6">
      <c r="A384" s="109" t="s">
        <v>707</v>
      </c>
      <c r="B384" s="124" t="s">
        <v>379</v>
      </c>
      <c r="C384" s="124"/>
      <c r="D384" s="124"/>
      <c r="E384" s="124"/>
      <c r="F384" s="126">
        <f t="shared" si="56"/>
        <v>621090.50256410253</v>
      </c>
    </row>
    <row r="385" spans="1:6">
      <c r="A385" s="109" t="s">
        <v>708</v>
      </c>
      <c r="B385" s="124" t="s">
        <v>383</v>
      </c>
      <c r="C385" s="124"/>
      <c r="D385" s="124"/>
      <c r="E385" s="124"/>
      <c r="F385" s="126">
        <f t="shared" si="56"/>
        <v>1046615.3613445379</v>
      </c>
    </row>
    <row r="386" spans="1:6">
      <c r="A386" s="109" t="s">
        <v>709</v>
      </c>
      <c r="B386" s="124" t="s">
        <v>403</v>
      </c>
      <c r="C386" s="124"/>
      <c r="D386" s="124"/>
      <c r="E386" s="124"/>
      <c r="F386" s="126">
        <f t="shared" si="56"/>
        <v>572485</v>
      </c>
    </row>
    <row r="387" spans="1:6">
      <c r="A387" s="109" t="s">
        <v>710</v>
      </c>
      <c r="B387" s="124" t="s">
        <v>413</v>
      </c>
      <c r="C387" s="124"/>
      <c r="D387" s="124"/>
      <c r="E387" s="124"/>
      <c r="F387" s="126">
        <f t="shared" si="56"/>
        <v>323200</v>
      </c>
    </row>
    <row r="388" spans="1:6">
      <c r="A388" s="109" t="s">
        <v>711</v>
      </c>
      <c r="B388" s="124" t="s">
        <v>420</v>
      </c>
      <c r="C388" s="124"/>
      <c r="D388" s="124"/>
      <c r="E388" s="124"/>
      <c r="F388" s="126">
        <f t="shared" si="56"/>
        <v>623908.05000000005</v>
      </c>
    </row>
    <row r="389" spans="1:6">
      <c r="A389" s="109" t="s">
        <v>712</v>
      </c>
      <c r="B389" s="124" t="s">
        <v>428</v>
      </c>
      <c r="C389" s="124"/>
      <c r="D389" s="124"/>
      <c r="E389" s="124"/>
      <c r="F389" s="126">
        <f t="shared" si="56"/>
        <v>2072717.2631578948</v>
      </c>
    </row>
    <row r="390" spans="1:6">
      <c r="A390" s="109" t="s">
        <v>713</v>
      </c>
      <c r="B390" s="124" t="s">
        <v>438</v>
      </c>
      <c r="C390" s="124"/>
      <c r="D390" s="124"/>
      <c r="E390" s="124"/>
      <c r="F390" s="126">
        <f t="shared" si="56"/>
        <v>2078302.6000000003</v>
      </c>
    </row>
    <row r="391" spans="1:6">
      <c r="A391" s="109" t="s">
        <v>714</v>
      </c>
      <c r="B391" s="124" t="s">
        <v>443</v>
      </c>
      <c r="C391" s="124"/>
      <c r="D391" s="124"/>
      <c r="E391" s="124"/>
      <c r="F391" s="126">
        <f t="shared" si="56"/>
        <v>2246065.4308303986</v>
      </c>
    </row>
    <row r="392" spans="1:6">
      <c r="A392" s="109" t="s">
        <v>715</v>
      </c>
      <c r="B392" s="124" t="s">
        <v>476</v>
      </c>
      <c r="C392" s="124"/>
      <c r="D392" s="124"/>
      <c r="E392" s="124"/>
      <c r="F392" s="126">
        <f t="shared" si="56"/>
        <v>117610.51</v>
      </c>
    </row>
    <row r="393" spans="1:6">
      <c r="A393" s="109" t="s">
        <v>716</v>
      </c>
      <c r="B393" s="124" t="s">
        <v>486</v>
      </c>
      <c r="C393" s="124"/>
      <c r="D393" s="124"/>
      <c r="E393" s="124"/>
      <c r="F393" s="126">
        <f t="shared" si="56"/>
        <v>521084</v>
      </c>
    </row>
    <row r="394" spans="1:6">
      <c r="A394" s="109" t="s">
        <v>717</v>
      </c>
      <c r="B394" s="124" t="s">
        <v>494</v>
      </c>
      <c r="C394" s="124"/>
      <c r="D394" s="124"/>
      <c r="E394" s="124"/>
      <c r="F394" s="126">
        <f t="shared" si="56"/>
        <v>347262</v>
      </c>
    </row>
    <row r="395" spans="1:6">
      <c r="A395" s="109" t="s">
        <v>718</v>
      </c>
      <c r="B395" s="124" t="s">
        <v>515</v>
      </c>
      <c r="C395" s="124"/>
      <c r="D395" s="124"/>
      <c r="E395" s="124"/>
      <c r="F395" s="126">
        <f t="shared" si="56"/>
        <v>2302071.9073471352</v>
      </c>
    </row>
    <row r="396" spans="1:6">
      <c r="A396" s="109" t="s">
        <v>719</v>
      </c>
      <c r="B396" s="124" t="s">
        <v>583</v>
      </c>
      <c r="C396" s="124"/>
      <c r="D396" s="124"/>
      <c r="E396" s="124"/>
      <c r="F396" s="126">
        <f t="shared" si="56"/>
        <v>1619983</v>
      </c>
    </row>
    <row r="397" spans="1:6">
      <c r="A397" s="109" t="s">
        <v>720</v>
      </c>
      <c r="B397" s="124" t="s">
        <v>610</v>
      </c>
      <c r="C397" s="124"/>
      <c r="D397" s="124"/>
      <c r="E397" s="124"/>
      <c r="F397" s="126">
        <f t="shared" si="56"/>
        <v>7500</v>
      </c>
    </row>
    <row r="398" spans="1:6">
      <c r="A398" s="109" t="s">
        <v>721</v>
      </c>
      <c r="B398" s="124" t="s">
        <v>614</v>
      </c>
      <c r="C398" s="124"/>
      <c r="D398" s="124"/>
      <c r="E398" s="124"/>
      <c r="F398" s="126">
        <f t="shared" si="56"/>
        <v>392850</v>
      </c>
    </row>
    <row r="399" spans="1:6">
      <c r="A399" s="109" t="s">
        <v>722</v>
      </c>
      <c r="B399" s="124" t="s">
        <v>622</v>
      </c>
      <c r="C399" s="124"/>
      <c r="D399" s="124"/>
      <c r="E399" s="124"/>
      <c r="F399" s="126">
        <f t="shared" si="56"/>
        <v>234787.5</v>
      </c>
    </row>
    <row r="400" spans="1:6">
      <c r="A400" s="109" t="s">
        <v>644</v>
      </c>
      <c r="B400" s="124" t="s">
        <v>644</v>
      </c>
      <c r="C400" s="124"/>
      <c r="D400" s="124"/>
      <c r="E400" s="124"/>
      <c r="F400" s="126">
        <f t="shared" si="56"/>
        <v>522853.48930080794</v>
      </c>
    </row>
    <row r="401" spans="1:7">
      <c r="A401" s="109" t="s">
        <v>646</v>
      </c>
      <c r="B401" s="124" t="s">
        <v>646</v>
      </c>
      <c r="C401" s="124"/>
      <c r="D401" s="124"/>
      <c r="E401" s="124"/>
      <c r="F401" s="126">
        <f t="shared" si="56"/>
        <v>691024.09</v>
      </c>
    </row>
    <row r="402" spans="1:7">
      <c r="A402" s="109" t="s">
        <v>723</v>
      </c>
      <c r="B402" s="124" t="s">
        <v>681</v>
      </c>
      <c r="C402" s="124"/>
      <c r="D402" s="124"/>
      <c r="E402" s="124"/>
      <c r="F402" s="126">
        <f t="shared" si="56"/>
        <v>845042</v>
      </c>
    </row>
    <row r="403" spans="1:7">
      <c r="A403" s="109" t="s">
        <v>724</v>
      </c>
      <c r="B403" s="124" t="s">
        <v>678</v>
      </c>
      <c r="C403" s="124"/>
      <c r="D403" s="124"/>
      <c r="E403" s="124"/>
      <c r="F403" s="126">
        <f t="shared" si="56"/>
        <v>1607491</v>
      </c>
    </row>
    <row r="404" spans="1:7">
      <c r="A404" s="109" t="s">
        <v>725</v>
      </c>
      <c r="B404" s="124" t="s">
        <v>693</v>
      </c>
      <c r="C404" s="124"/>
      <c r="D404" s="124"/>
      <c r="E404" s="124"/>
      <c r="F404" s="126">
        <f t="shared" si="56"/>
        <v>2256128</v>
      </c>
    </row>
    <row r="405" spans="1:7">
      <c r="A405" s="109" t="s">
        <v>99</v>
      </c>
      <c r="B405" s="124"/>
      <c r="C405" s="124"/>
      <c r="D405" s="124"/>
      <c r="E405" s="124"/>
      <c r="F405" s="127">
        <f>SUM(F374:F404)</f>
        <v>33757309.044341207</v>
      </c>
    </row>
    <row r="406" spans="1:7">
      <c r="A406" s="128" t="s">
        <v>726</v>
      </c>
      <c r="B406" s="129"/>
      <c r="C406" s="129"/>
      <c r="D406" s="129"/>
      <c r="E406" s="129"/>
      <c r="F406" s="130">
        <f>$L$330-F405</f>
        <v>0</v>
      </c>
    </row>
    <row r="408" spans="1:7">
      <c r="A408" s="131" t="s">
        <v>727</v>
      </c>
      <c r="B408" s="124"/>
      <c r="C408" s="124"/>
      <c r="D408" s="124"/>
      <c r="E408" s="124"/>
      <c r="F408" s="124"/>
      <c r="G408" s="109"/>
    </row>
    <row r="409" spans="1:7">
      <c r="A409" s="131" t="s">
        <v>728</v>
      </c>
      <c r="B409" s="124"/>
      <c r="C409" s="124"/>
      <c r="D409" s="124"/>
      <c r="E409" s="124"/>
      <c r="F409" s="124"/>
      <c r="G409" s="109"/>
    </row>
    <row r="410" spans="1:7">
      <c r="A410" s="109" t="s">
        <v>304</v>
      </c>
      <c r="B410" s="124" t="s">
        <v>305</v>
      </c>
      <c r="C410" s="124"/>
      <c r="D410" s="124"/>
      <c r="E410" s="124"/>
      <c r="F410" s="126">
        <f t="shared" ref="F410:F420" si="57">SUMIF($B$20:$B$330,B410,$K$20:$K$330)</f>
        <v>305547.12</v>
      </c>
      <c r="G410" s="124" t="s">
        <v>263</v>
      </c>
    </row>
    <row r="411" spans="1:7">
      <c r="A411" s="109" t="s">
        <v>307</v>
      </c>
      <c r="B411" s="124" t="s">
        <v>308</v>
      </c>
      <c r="C411" s="124"/>
      <c r="D411" s="124"/>
      <c r="E411" s="124"/>
      <c r="F411" s="126">
        <f t="shared" si="57"/>
        <v>0</v>
      </c>
      <c r="G411" s="124" t="s">
        <v>263</v>
      </c>
    </row>
    <row r="412" spans="1:7">
      <c r="A412" s="109" t="s">
        <v>309</v>
      </c>
      <c r="B412" s="124" t="s">
        <v>310</v>
      </c>
      <c r="C412" s="124"/>
      <c r="D412" s="124"/>
      <c r="E412" s="124"/>
      <c r="F412" s="126">
        <f t="shared" si="57"/>
        <v>0</v>
      </c>
      <c r="G412" s="124" t="s">
        <v>263</v>
      </c>
    </row>
    <row r="413" spans="1:7">
      <c r="A413" s="109" t="s">
        <v>311</v>
      </c>
      <c r="B413" s="124" t="s">
        <v>312</v>
      </c>
      <c r="C413" s="124"/>
      <c r="D413" s="124"/>
      <c r="E413" s="124"/>
      <c r="F413" s="126">
        <f t="shared" si="57"/>
        <v>72626.929999999993</v>
      </c>
      <c r="G413" s="124" t="s">
        <v>263</v>
      </c>
    </row>
    <row r="414" spans="1:7">
      <c r="A414" s="109" t="s">
        <v>313</v>
      </c>
      <c r="B414" s="124" t="s">
        <v>314</v>
      </c>
      <c r="C414" s="124"/>
      <c r="D414" s="124"/>
      <c r="E414" s="124"/>
      <c r="F414" s="126">
        <f t="shared" si="57"/>
        <v>1500</v>
      </c>
      <c r="G414" s="124" t="s">
        <v>263</v>
      </c>
    </row>
    <row r="415" spans="1:7">
      <c r="A415" s="109" t="s">
        <v>315</v>
      </c>
      <c r="B415" s="124" t="s">
        <v>316</v>
      </c>
      <c r="C415" s="124"/>
      <c r="D415" s="124"/>
      <c r="E415" s="124"/>
      <c r="F415" s="126">
        <f t="shared" si="57"/>
        <v>0</v>
      </c>
      <c r="G415" s="124" t="s">
        <v>263</v>
      </c>
    </row>
    <row r="416" spans="1:7">
      <c r="A416" s="109" t="s">
        <v>317</v>
      </c>
      <c r="B416" s="124" t="s">
        <v>318</v>
      </c>
      <c r="C416" s="124"/>
      <c r="D416" s="124"/>
      <c r="E416" s="124"/>
      <c r="F416" s="126">
        <f t="shared" si="57"/>
        <v>0</v>
      </c>
      <c r="G416" s="124" t="s">
        <v>263</v>
      </c>
    </row>
    <row r="417" spans="1:7">
      <c r="A417" s="109" t="s">
        <v>729</v>
      </c>
      <c r="B417" s="124" t="s">
        <v>320</v>
      </c>
      <c r="C417" s="124"/>
      <c r="D417" s="124"/>
      <c r="E417" s="124"/>
      <c r="F417" s="126">
        <f t="shared" si="57"/>
        <v>21757.903265792611</v>
      </c>
      <c r="G417" s="124" t="s">
        <v>263</v>
      </c>
    </row>
    <row r="418" spans="1:7">
      <c r="A418" s="109" t="s">
        <v>730</v>
      </c>
      <c r="B418" s="124" t="s">
        <v>323</v>
      </c>
      <c r="C418" s="124"/>
      <c r="D418" s="124"/>
      <c r="E418" s="124"/>
      <c r="F418" s="126">
        <f t="shared" si="57"/>
        <v>12937</v>
      </c>
      <c r="G418" s="124" t="s">
        <v>263</v>
      </c>
    </row>
    <row r="419" spans="1:7">
      <c r="A419" s="109" t="s">
        <v>380</v>
      </c>
      <c r="B419" s="124" t="s">
        <v>381</v>
      </c>
      <c r="C419" s="124"/>
      <c r="D419" s="124"/>
      <c r="E419" s="124"/>
      <c r="F419" s="126">
        <f t="shared" si="57"/>
        <v>621090.50256410253</v>
      </c>
      <c r="G419" s="124" t="s">
        <v>379</v>
      </c>
    </row>
    <row r="420" spans="1:7" ht="17.25">
      <c r="A420" s="109" t="s">
        <v>385</v>
      </c>
      <c r="B420" s="124" t="s">
        <v>386</v>
      </c>
      <c r="C420" s="124"/>
      <c r="D420" s="124"/>
      <c r="E420" s="124"/>
      <c r="F420" s="132">
        <f t="shared" si="57"/>
        <v>73288.798319327732</v>
      </c>
      <c r="G420" s="124" t="s">
        <v>383</v>
      </c>
    </row>
    <row r="421" spans="1:7">
      <c r="A421" s="109" t="s">
        <v>731</v>
      </c>
      <c r="B421" s="124"/>
      <c r="C421" s="124"/>
      <c r="D421" s="124"/>
      <c r="E421" s="124"/>
      <c r="F421" s="127">
        <f>SUM(F410:F420)</f>
        <v>1108748.2541492227</v>
      </c>
      <c r="G421" s="109"/>
    </row>
    <row r="422" spans="1:7">
      <c r="A422" s="109"/>
      <c r="B422" s="124"/>
      <c r="C422" s="124"/>
      <c r="D422" s="124"/>
      <c r="E422" s="124"/>
      <c r="F422" s="124"/>
      <c r="G422" s="109"/>
    </row>
    <row r="423" spans="1:7">
      <c r="A423" s="109"/>
      <c r="B423" s="124"/>
      <c r="C423" s="124"/>
      <c r="D423" s="124"/>
      <c r="E423" s="124"/>
      <c r="F423" s="109"/>
      <c r="G423" s="109"/>
    </row>
    <row r="424" spans="1:7">
      <c r="A424" s="131" t="s">
        <v>732</v>
      </c>
      <c r="B424" s="124"/>
      <c r="C424" s="124"/>
      <c r="D424" s="124"/>
      <c r="E424" s="124"/>
      <c r="F424" s="124"/>
      <c r="G424" s="109"/>
    </row>
    <row r="425" spans="1:7">
      <c r="A425" s="128" t="s">
        <v>733</v>
      </c>
      <c r="B425" s="124"/>
      <c r="C425" s="124"/>
      <c r="D425" s="124"/>
      <c r="E425" s="124"/>
      <c r="F425" s="124"/>
      <c r="G425" s="109"/>
    </row>
    <row r="426" spans="1:7">
      <c r="A426" s="109" t="s">
        <v>734</v>
      </c>
      <c r="B426" s="124">
        <v>2</v>
      </c>
      <c r="C426" s="124"/>
      <c r="D426" s="124"/>
      <c r="E426" s="124"/>
      <c r="F426" s="126">
        <f t="shared" ref="F426:F431" si="58">SUMIF($B$20:$B$330,B426,$L$20:$L$330)</f>
        <v>3500</v>
      </c>
      <c r="G426" s="109"/>
    </row>
    <row r="427" spans="1:7">
      <c r="A427" s="109" t="s">
        <v>735</v>
      </c>
      <c r="B427" s="124">
        <v>31</v>
      </c>
      <c r="C427" s="124"/>
      <c r="D427" s="124"/>
      <c r="E427" s="124"/>
      <c r="F427" s="126">
        <f t="shared" si="58"/>
        <v>347262</v>
      </c>
      <c r="G427" s="109"/>
    </row>
    <row r="428" spans="1:7">
      <c r="A428" s="109" t="s">
        <v>736</v>
      </c>
      <c r="B428" s="124">
        <v>32</v>
      </c>
      <c r="C428" s="124"/>
      <c r="D428" s="124"/>
      <c r="E428" s="124"/>
      <c r="F428" s="126">
        <f t="shared" si="58"/>
        <v>2302071.9073471352</v>
      </c>
      <c r="G428" s="109"/>
    </row>
    <row r="429" spans="1:7">
      <c r="A429" s="109" t="s">
        <v>737</v>
      </c>
      <c r="B429" s="124">
        <v>33</v>
      </c>
      <c r="C429" s="124"/>
      <c r="D429" s="124"/>
      <c r="E429" s="124"/>
      <c r="F429" s="126">
        <f t="shared" si="58"/>
        <v>1619983</v>
      </c>
      <c r="G429" s="109"/>
    </row>
    <row r="430" spans="1:7">
      <c r="A430" s="109" t="s">
        <v>738</v>
      </c>
      <c r="B430" s="124">
        <v>34</v>
      </c>
      <c r="C430" s="124"/>
      <c r="D430" s="124"/>
      <c r="E430" s="124"/>
      <c r="F430" s="126">
        <f t="shared" si="58"/>
        <v>7500</v>
      </c>
      <c r="G430" s="109"/>
    </row>
    <row r="431" spans="1:7">
      <c r="A431" s="109" t="s">
        <v>739</v>
      </c>
      <c r="B431" s="124">
        <v>48</v>
      </c>
      <c r="C431" s="124"/>
      <c r="D431" s="124"/>
      <c r="E431" s="124"/>
      <c r="F431" s="126">
        <f t="shared" si="58"/>
        <v>392850</v>
      </c>
      <c r="G431" s="109"/>
    </row>
    <row r="432" spans="1:7">
      <c r="A432" s="109"/>
      <c r="B432" s="124"/>
      <c r="C432" s="124"/>
      <c r="D432" s="124"/>
      <c r="E432" s="124"/>
      <c r="F432" s="126"/>
      <c r="G432" s="109"/>
    </row>
    <row r="433" spans="1:7">
      <c r="A433" s="128" t="s">
        <v>740</v>
      </c>
      <c r="B433" s="124"/>
      <c r="C433" s="124"/>
      <c r="D433" s="124"/>
      <c r="E433" s="124"/>
      <c r="F433" s="126"/>
      <c r="G433" s="109"/>
    </row>
    <row r="434" spans="1:7">
      <c r="A434" s="109" t="s">
        <v>68</v>
      </c>
      <c r="B434" s="124" t="s">
        <v>406</v>
      </c>
      <c r="C434" s="124"/>
      <c r="D434" s="124"/>
      <c r="E434" s="124"/>
      <c r="F434" s="126">
        <f t="shared" ref="F434:F441" si="59">SUMIF($B$20:$B$330,B434,$K$20:$K$330)</f>
        <v>320436</v>
      </c>
      <c r="G434" s="109"/>
    </row>
    <row r="435" spans="1:7">
      <c r="A435" s="109" t="s">
        <v>184</v>
      </c>
      <c r="B435" s="124" t="s">
        <v>185</v>
      </c>
      <c r="C435" s="124"/>
      <c r="D435" s="124"/>
      <c r="E435" s="124"/>
      <c r="F435" s="126">
        <f t="shared" si="59"/>
        <v>0</v>
      </c>
      <c r="G435" s="109"/>
    </row>
    <row r="436" spans="1:7">
      <c r="A436" s="109" t="s">
        <v>741</v>
      </c>
      <c r="B436" s="124"/>
      <c r="C436" s="124"/>
      <c r="D436" s="124"/>
      <c r="E436" s="124"/>
      <c r="F436" s="126">
        <f t="shared" si="59"/>
        <v>0</v>
      </c>
      <c r="G436" s="109"/>
    </row>
    <row r="437" spans="1:7">
      <c r="A437" s="109" t="s">
        <v>742</v>
      </c>
      <c r="B437" s="124"/>
      <c r="C437" s="124"/>
      <c r="D437" s="124"/>
      <c r="E437" s="124"/>
      <c r="F437" s="126">
        <f t="shared" si="59"/>
        <v>0</v>
      </c>
      <c r="G437" s="109"/>
    </row>
    <row r="438" spans="1:7">
      <c r="A438" s="109" t="s">
        <v>404</v>
      </c>
      <c r="B438" s="124" t="s">
        <v>405</v>
      </c>
      <c r="C438" s="124"/>
      <c r="D438" s="124"/>
      <c r="E438" s="124"/>
      <c r="F438" s="126">
        <f t="shared" si="59"/>
        <v>245000</v>
      </c>
      <c r="G438" s="109"/>
    </row>
    <row r="439" spans="1:7">
      <c r="A439" s="109" t="s">
        <v>351</v>
      </c>
      <c r="B439" s="124" t="s">
        <v>743</v>
      </c>
      <c r="C439" s="124"/>
      <c r="D439" s="124"/>
      <c r="E439" s="124"/>
      <c r="F439" s="126">
        <f t="shared" si="59"/>
        <v>0</v>
      </c>
      <c r="G439" s="109"/>
    </row>
    <row r="440" spans="1:7">
      <c r="A440" s="109" t="s">
        <v>459</v>
      </c>
      <c r="B440" s="124" t="s">
        <v>744</v>
      </c>
      <c r="C440" s="124"/>
      <c r="D440" s="124"/>
      <c r="E440" s="124"/>
      <c r="F440" s="126">
        <f t="shared" si="59"/>
        <v>0</v>
      </c>
      <c r="G440" s="109"/>
    </row>
    <row r="441" spans="1:7">
      <c r="A441" s="109" t="s">
        <v>122</v>
      </c>
      <c r="B441" s="124" t="s">
        <v>114</v>
      </c>
      <c r="C441" s="124"/>
      <c r="D441" s="124"/>
      <c r="E441" s="109"/>
      <c r="F441" s="126">
        <f t="shared" si="59"/>
        <v>583079.78</v>
      </c>
      <c r="G441" s="109"/>
    </row>
    <row r="442" spans="1:7">
      <c r="A442" s="131" t="s">
        <v>745</v>
      </c>
      <c r="B442" s="125"/>
      <c r="C442" s="125"/>
      <c r="D442" s="125"/>
      <c r="E442" s="131"/>
      <c r="F442" s="133">
        <f>SUM(F426:F441)</f>
        <v>5821682.6873471355</v>
      </c>
      <c r="G442" s="109"/>
    </row>
    <row r="443" spans="1:7">
      <c r="A443" s="109"/>
      <c r="B443" s="124"/>
      <c r="C443" s="124"/>
      <c r="D443" s="124"/>
      <c r="E443" s="109"/>
      <c r="F443" s="109"/>
      <c r="G443" s="109"/>
    </row>
    <row r="444" spans="1:7">
      <c r="A444" s="109"/>
      <c r="B444" s="109"/>
      <c r="C444" s="109"/>
      <c r="D444" s="109"/>
      <c r="E444" s="109"/>
      <c r="F444" s="109"/>
      <c r="G444" s="109"/>
    </row>
    <row r="445" spans="1:7">
      <c r="A445" s="109" t="s">
        <v>578</v>
      </c>
      <c r="B445" s="124" t="s">
        <v>746</v>
      </c>
      <c r="C445" s="124"/>
      <c r="D445" s="124"/>
      <c r="E445" s="134" t="s">
        <v>747</v>
      </c>
      <c r="F445" s="124"/>
      <c r="G445" s="109"/>
    </row>
    <row r="446" spans="1:7">
      <c r="A446" s="109" t="s">
        <v>579</v>
      </c>
      <c r="B446" s="124" t="s">
        <v>748</v>
      </c>
      <c r="C446" s="124"/>
      <c r="D446" s="124"/>
      <c r="E446" s="134" t="s">
        <v>747</v>
      </c>
      <c r="F446" s="124"/>
      <c r="G446" s="109"/>
    </row>
    <row r="447" spans="1:7">
      <c r="A447" s="109" t="s">
        <v>580</v>
      </c>
      <c r="B447" s="124" t="s">
        <v>749</v>
      </c>
      <c r="C447" s="124"/>
      <c r="D447" s="124"/>
      <c r="E447" s="134" t="s">
        <v>747</v>
      </c>
      <c r="F447" s="124"/>
      <c r="G447" s="109"/>
    </row>
    <row r="448" spans="1:7">
      <c r="A448" s="109" t="s">
        <v>581</v>
      </c>
      <c r="B448" s="124" t="s">
        <v>750</v>
      </c>
      <c r="C448" s="124"/>
      <c r="D448" s="124"/>
      <c r="E448" s="134" t="s">
        <v>747</v>
      </c>
      <c r="F448" s="124"/>
      <c r="G448" s="109"/>
    </row>
    <row r="449" spans="1:7">
      <c r="A449" s="109" t="s">
        <v>592</v>
      </c>
      <c r="B449" s="124" t="s">
        <v>751</v>
      </c>
      <c r="C449" s="124"/>
      <c r="D449" s="124"/>
      <c r="E449" s="134" t="s">
        <v>752</v>
      </c>
      <c r="F449" s="124"/>
      <c r="G449" s="109"/>
    </row>
    <row r="450" spans="1:7">
      <c r="A450" s="109" t="s">
        <v>606</v>
      </c>
      <c r="B450" s="124" t="s">
        <v>753</v>
      </c>
      <c r="C450" s="124"/>
      <c r="D450" s="124"/>
      <c r="E450" s="134" t="s">
        <v>752</v>
      </c>
      <c r="F450" s="124"/>
      <c r="G450" s="109"/>
    </row>
    <row r="451" spans="1:7">
      <c r="A451" s="109" t="s">
        <v>607</v>
      </c>
      <c r="B451" s="124" t="s">
        <v>754</v>
      </c>
      <c r="C451" s="124"/>
      <c r="D451" s="124"/>
      <c r="E451" s="134" t="s">
        <v>752</v>
      </c>
      <c r="F451" s="124"/>
      <c r="G451" s="109"/>
    </row>
    <row r="452" spans="1:7">
      <c r="A452" s="109" t="s">
        <v>608</v>
      </c>
      <c r="B452" s="124" t="s">
        <v>755</v>
      </c>
      <c r="C452" s="124"/>
      <c r="D452" s="124"/>
      <c r="E452" s="134" t="s">
        <v>752</v>
      </c>
      <c r="F452" s="109"/>
      <c r="G452" s="109"/>
    </row>
    <row r="453" spans="1:7">
      <c r="A453" s="109" t="s">
        <v>611</v>
      </c>
      <c r="B453" s="124" t="s">
        <v>756</v>
      </c>
      <c r="C453" s="124"/>
      <c r="D453" s="124"/>
      <c r="E453" s="134" t="s">
        <v>757</v>
      </c>
      <c r="F453" s="109"/>
      <c r="G453" s="109"/>
    </row>
    <row r="454" spans="1:7">
      <c r="A454" s="109" t="s">
        <v>122</v>
      </c>
      <c r="B454" s="124" t="s">
        <v>114</v>
      </c>
      <c r="C454" s="124"/>
      <c r="D454" s="124"/>
      <c r="E454" s="124"/>
      <c r="F454" s="109"/>
      <c r="G454" s="109"/>
    </row>
    <row r="455" spans="1:7">
      <c r="A455" s="109"/>
      <c r="B455" s="124"/>
      <c r="C455" s="124"/>
      <c r="D455" s="124"/>
      <c r="E455" s="124"/>
      <c r="F455" s="109"/>
      <c r="G455" s="109"/>
    </row>
    <row r="456" spans="1:7">
      <c r="A456" s="131" t="s">
        <v>758</v>
      </c>
      <c r="B456" s="124"/>
      <c r="C456" s="124"/>
      <c r="D456" s="124"/>
      <c r="E456" s="124"/>
      <c r="F456" s="109"/>
      <c r="G456" s="109"/>
    </row>
    <row r="457" spans="1:7">
      <c r="A457" s="131" t="s">
        <v>759</v>
      </c>
      <c r="B457" s="124"/>
      <c r="C457" s="124"/>
      <c r="D457" s="124"/>
      <c r="E457" s="124"/>
      <c r="F457" s="109"/>
      <c r="G457" s="109"/>
    </row>
    <row r="458" spans="1:7">
      <c r="A458" s="109" t="s">
        <v>351</v>
      </c>
      <c r="B458" s="124" t="s">
        <v>743</v>
      </c>
      <c r="C458" s="124"/>
      <c r="D458" s="124"/>
      <c r="E458" s="124"/>
      <c r="F458" s="126">
        <f t="shared" ref="F458:F468" si="60">SUMIF($B$20:$B$330,B458,$K$20:$K$330)</f>
        <v>0</v>
      </c>
      <c r="G458" s="109"/>
    </row>
    <row r="459" spans="1:7">
      <c r="A459" s="109" t="s">
        <v>459</v>
      </c>
      <c r="B459" s="124" t="s">
        <v>744</v>
      </c>
      <c r="C459" s="124"/>
      <c r="D459" s="124"/>
      <c r="E459" s="124"/>
      <c r="F459" s="126">
        <f t="shared" si="60"/>
        <v>0</v>
      </c>
      <c r="G459" s="109"/>
    </row>
    <row r="460" spans="1:7">
      <c r="A460" s="109" t="s">
        <v>578</v>
      </c>
      <c r="B460" s="124" t="s">
        <v>746</v>
      </c>
      <c r="C460" s="124"/>
      <c r="D460" s="124"/>
      <c r="E460" s="124"/>
      <c r="F460" s="126">
        <f t="shared" si="60"/>
        <v>0</v>
      </c>
      <c r="G460" s="109"/>
    </row>
    <row r="461" spans="1:7">
      <c r="A461" s="109" t="s">
        <v>579</v>
      </c>
      <c r="B461" s="124" t="s">
        <v>748</v>
      </c>
      <c r="C461" s="124"/>
      <c r="D461" s="124"/>
      <c r="E461" s="124"/>
      <c r="F461" s="126">
        <f t="shared" si="60"/>
        <v>0</v>
      </c>
      <c r="G461" s="109"/>
    </row>
    <row r="462" spans="1:7">
      <c r="A462" s="109" t="s">
        <v>580</v>
      </c>
      <c r="B462" s="124" t="s">
        <v>749</v>
      </c>
      <c r="C462" s="124"/>
      <c r="D462" s="124"/>
      <c r="E462" s="124"/>
      <c r="F462" s="126">
        <f t="shared" si="60"/>
        <v>0</v>
      </c>
      <c r="G462" s="109"/>
    </row>
    <row r="463" spans="1:7">
      <c r="A463" s="109" t="s">
        <v>581</v>
      </c>
      <c r="B463" s="124" t="s">
        <v>750</v>
      </c>
      <c r="C463" s="124"/>
      <c r="D463" s="124"/>
      <c r="E463" s="124"/>
      <c r="F463" s="126">
        <f t="shared" si="60"/>
        <v>0</v>
      </c>
      <c r="G463" s="109"/>
    </row>
    <row r="464" spans="1:7">
      <c r="A464" s="109" t="s">
        <v>606</v>
      </c>
      <c r="B464" s="124" t="s">
        <v>753</v>
      </c>
      <c r="C464" s="124"/>
      <c r="D464" s="124"/>
      <c r="E464" s="124"/>
      <c r="F464" s="126">
        <f t="shared" si="60"/>
        <v>0</v>
      </c>
      <c r="G464" s="109"/>
    </row>
    <row r="465" spans="1:7">
      <c r="A465" s="109" t="s">
        <v>607</v>
      </c>
      <c r="B465" s="124" t="s">
        <v>754</v>
      </c>
      <c r="C465" s="124"/>
      <c r="D465" s="124"/>
      <c r="E465" s="124"/>
      <c r="F465" s="126">
        <f t="shared" si="60"/>
        <v>0</v>
      </c>
      <c r="G465" s="109"/>
    </row>
    <row r="466" spans="1:7">
      <c r="A466" s="109" t="s">
        <v>592</v>
      </c>
      <c r="B466" s="124" t="s">
        <v>751</v>
      </c>
      <c r="C466" s="124"/>
      <c r="D466" s="124"/>
      <c r="E466" s="124"/>
      <c r="F466" s="126">
        <f t="shared" si="60"/>
        <v>0</v>
      </c>
      <c r="G466" s="109"/>
    </row>
    <row r="467" spans="1:7">
      <c r="A467" s="109" t="s">
        <v>608</v>
      </c>
      <c r="B467" s="124" t="s">
        <v>755</v>
      </c>
      <c r="C467" s="124"/>
      <c r="D467" s="124"/>
      <c r="E467" s="124"/>
      <c r="F467" s="126">
        <f t="shared" si="60"/>
        <v>0</v>
      </c>
      <c r="G467" s="109"/>
    </row>
    <row r="468" spans="1:7">
      <c r="A468" s="109" t="s">
        <v>611</v>
      </c>
      <c r="B468" s="124" t="s">
        <v>756</v>
      </c>
      <c r="C468" s="124"/>
      <c r="D468" s="124"/>
      <c r="E468" s="124"/>
      <c r="F468" s="126">
        <f t="shared" si="60"/>
        <v>0</v>
      </c>
      <c r="G468" s="109"/>
    </row>
    <row r="469" spans="1:7">
      <c r="A469" s="109"/>
      <c r="B469" s="124"/>
      <c r="C469" s="124"/>
      <c r="D469" s="124"/>
      <c r="E469" s="124"/>
      <c r="F469" s="109"/>
      <c r="G469" s="109"/>
    </row>
    <row r="470" spans="1:7">
      <c r="A470" s="131" t="s">
        <v>760</v>
      </c>
      <c r="B470" s="124"/>
      <c r="C470" s="124"/>
      <c r="D470" s="124"/>
      <c r="E470" s="124"/>
      <c r="F470" s="109"/>
      <c r="G470" s="109"/>
    </row>
    <row r="471" spans="1:7">
      <c r="A471" s="128" t="s">
        <v>733</v>
      </c>
      <c r="B471" s="124"/>
      <c r="C471" s="124"/>
      <c r="D471" s="124"/>
      <c r="E471" s="124"/>
      <c r="F471" s="109"/>
      <c r="G471" s="109"/>
    </row>
    <row r="472" spans="1:7">
      <c r="A472" s="109" t="s">
        <v>140</v>
      </c>
      <c r="B472" s="124" t="s">
        <v>141</v>
      </c>
      <c r="C472" s="124"/>
      <c r="D472" s="124"/>
      <c r="E472" s="124"/>
      <c r="F472" s="126">
        <f>SUMIF($B$20:$B$330,B472,$K$20:$K$330)</f>
        <v>0</v>
      </c>
      <c r="G472" s="109"/>
    </row>
    <row r="473" spans="1:7">
      <c r="A473" s="109"/>
      <c r="B473" s="124"/>
      <c r="C473" s="124"/>
      <c r="D473" s="124"/>
      <c r="E473" s="124"/>
      <c r="F473" s="109"/>
      <c r="G473" s="109"/>
    </row>
    <row r="474" spans="1:7">
      <c r="A474" s="128" t="s">
        <v>740</v>
      </c>
      <c r="B474" s="124"/>
      <c r="C474" s="124"/>
      <c r="D474" s="124"/>
      <c r="E474" s="124"/>
      <c r="F474" s="109"/>
      <c r="G474" s="109"/>
    </row>
    <row r="475" spans="1:7">
      <c r="A475" s="109" t="s">
        <v>122</v>
      </c>
      <c r="B475" s="124" t="s">
        <v>114</v>
      </c>
      <c r="C475" s="124"/>
      <c r="D475" s="124"/>
      <c r="E475" s="124"/>
      <c r="F475" s="126">
        <f t="shared" ref="F475:F506" si="61">SUMIF($B$20:$B$330,B475,$K$20:$K$330)</f>
        <v>583079.78</v>
      </c>
      <c r="G475" s="109"/>
    </row>
    <row r="476" spans="1:7">
      <c r="A476" s="109" t="s">
        <v>128</v>
      </c>
      <c r="B476" s="124" t="s">
        <v>129</v>
      </c>
      <c r="C476" s="124"/>
      <c r="D476" s="124"/>
      <c r="E476" s="124"/>
      <c r="F476" s="126">
        <f t="shared" si="61"/>
        <v>2500</v>
      </c>
      <c r="G476" s="109"/>
    </row>
    <row r="477" spans="1:7">
      <c r="A477" s="109" t="s">
        <v>131</v>
      </c>
      <c r="B477" s="124" t="s">
        <v>132</v>
      </c>
      <c r="C477" s="124"/>
      <c r="D477" s="124"/>
      <c r="E477" s="124"/>
      <c r="F477" s="126">
        <f t="shared" si="61"/>
        <v>0</v>
      </c>
      <c r="G477" s="109"/>
    </row>
    <row r="478" spans="1:7">
      <c r="A478" s="109" t="s">
        <v>133</v>
      </c>
      <c r="B478" s="124" t="s">
        <v>134</v>
      </c>
      <c r="C478" s="124"/>
      <c r="D478" s="124"/>
      <c r="E478" s="124"/>
      <c r="F478" s="126">
        <f t="shared" si="61"/>
        <v>0</v>
      </c>
      <c r="G478" s="109"/>
    </row>
    <row r="479" spans="1:7">
      <c r="A479" s="109" t="s">
        <v>138</v>
      </c>
      <c r="B479" s="124" t="s">
        <v>139</v>
      </c>
      <c r="C479" s="124"/>
      <c r="D479" s="124"/>
      <c r="E479" s="124"/>
      <c r="F479" s="126">
        <f t="shared" si="61"/>
        <v>59754.240000000005</v>
      </c>
      <c r="G479" s="109"/>
    </row>
    <row r="480" spans="1:7">
      <c r="A480" s="109" t="s">
        <v>158</v>
      </c>
      <c r="B480" s="124" t="s">
        <v>159</v>
      </c>
      <c r="C480" s="124"/>
      <c r="D480" s="124"/>
      <c r="E480" s="124"/>
      <c r="F480" s="126">
        <f t="shared" si="61"/>
        <v>5000</v>
      </c>
      <c r="G480" s="109"/>
    </row>
    <row r="481" spans="1:7">
      <c r="A481" s="109" t="s">
        <v>761</v>
      </c>
      <c r="B481" s="124" t="s">
        <v>161</v>
      </c>
      <c r="C481" s="124"/>
      <c r="D481" s="124"/>
      <c r="E481" s="124"/>
      <c r="F481" s="126">
        <f t="shared" si="61"/>
        <v>9000</v>
      </c>
      <c r="G481" s="109"/>
    </row>
    <row r="482" spans="1:7">
      <c r="A482" s="109" t="s">
        <v>172</v>
      </c>
      <c r="B482" s="124" t="s">
        <v>173</v>
      </c>
      <c r="C482" s="124"/>
      <c r="D482" s="124"/>
      <c r="E482" s="124"/>
      <c r="F482" s="126">
        <f t="shared" si="61"/>
        <v>0</v>
      </c>
      <c r="G482" s="109"/>
    </row>
    <row r="483" spans="1:7">
      <c r="A483" s="109" t="s">
        <v>174</v>
      </c>
      <c r="B483" s="124" t="s">
        <v>175</v>
      </c>
      <c r="C483" s="124"/>
      <c r="D483" s="124"/>
      <c r="E483" s="124"/>
      <c r="F483" s="126">
        <f t="shared" si="61"/>
        <v>1950</v>
      </c>
      <c r="G483" s="109"/>
    </row>
    <row r="484" spans="1:7">
      <c r="A484" s="109" t="s">
        <v>191</v>
      </c>
      <c r="B484" s="124" t="s">
        <v>192</v>
      </c>
      <c r="C484" s="124"/>
      <c r="D484" s="124"/>
      <c r="E484" s="124"/>
      <c r="F484" s="126">
        <f t="shared" si="61"/>
        <v>0</v>
      </c>
      <c r="G484" s="109"/>
    </row>
    <row r="485" spans="1:7">
      <c r="A485" s="109" t="s">
        <v>193</v>
      </c>
      <c r="B485" s="124" t="s">
        <v>194</v>
      </c>
      <c r="C485" s="124"/>
      <c r="D485" s="124"/>
      <c r="E485" s="124"/>
      <c r="F485" s="126">
        <f t="shared" si="61"/>
        <v>2500</v>
      </c>
      <c r="G485" s="109"/>
    </row>
    <row r="486" spans="1:7">
      <c r="A486" s="109" t="s">
        <v>196</v>
      </c>
      <c r="B486" s="124" t="s">
        <v>197</v>
      </c>
      <c r="C486" s="124"/>
      <c r="D486" s="124"/>
      <c r="E486" s="124"/>
      <c r="F486" s="126">
        <f t="shared" si="61"/>
        <v>0</v>
      </c>
      <c r="G486" s="109"/>
    </row>
    <row r="487" spans="1:7">
      <c r="A487" s="109" t="s">
        <v>198</v>
      </c>
      <c r="B487" s="124" t="s">
        <v>199</v>
      </c>
      <c r="C487" s="124"/>
      <c r="D487" s="124"/>
      <c r="E487" s="124"/>
      <c r="F487" s="126">
        <f t="shared" si="61"/>
        <v>0</v>
      </c>
      <c r="G487" s="109"/>
    </row>
    <row r="488" spans="1:7">
      <c r="A488" s="109" t="s">
        <v>204</v>
      </c>
      <c r="B488" s="124" t="s">
        <v>205</v>
      </c>
      <c r="C488" s="124"/>
      <c r="D488" s="124"/>
      <c r="E488" s="124"/>
      <c r="F488" s="126">
        <f t="shared" si="61"/>
        <v>1200</v>
      </c>
      <c r="G488" s="109"/>
    </row>
    <row r="489" spans="1:7">
      <c r="A489" s="109" t="s">
        <v>214</v>
      </c>
      <c r="B489" s="124" t="s">
        <v>215</v>
      </c>
      <c r="C489" s="124"/>
      <c r="D489" s="124"/>
      <c r="E489" s="124"/>
      <c r="F489" s="126">
        <f t="shared" si="61"/>
        <v>7500</v>
      </c>
      <c r="G489" s="109"/>
    </row>
    <row r="490" spans="1:7">
      <c r="A490" s="109" t="s">
        <v>216</v>
      </c>
      <c r="B490" s="124" t="s">
        <v>215</v>
      </c>
      <c r="C490" s="124"/>
      <c r="D490" s="124"/>
      <c r="E490" s="124"/>
      <c r="F490" s="126">
        <f t="shared" si="61"/>
        <v>7500</v>
      </c>
      <c r="G490" s="109"/>
    </row>
    <row r="491" spans="1:7">
      <c r="A491" s="109" t="s">
        <v>249</v>
      </c>
      <c r="B491" s="124" t="s">
        <v>250</v>
      </c>
      <c r="C491" s="124"/>
      <c r="D491" s="124"/>
      <c r="E491" s="124"/>
      <c r="F491" s="126">
        <f t="shared" si="61"/>
        <v>0</v>
      </c>
      <c r="G491" s="109"/>
    </row>
    <row r="492" spans="1:7">
      <c r="A492" s="109" t="s">
        <v>251</v>
      </c>
      <c r="B492" s="124" t="s">
        <v>252</v>
      </c>
      <c r="C492" s="124"/>
      <c r="D492" s="124"/>
      <c r="E492" s="124"/>
      <c r="F492" s="126">
        <f t="shared" si="61"/>
        <v>0</v>
      </c>
      <c r="G492" s="109"/>
    </row>
    <row r="493" spans="1:7">
      <c r="A493" s="109" t="s">
        <v>280</v>
      </c>
      <c r="B493" s="124" t="s">
        <v>277</v>
      </c>
      <c r="C493" s="124"/>
      <c r="D493" s="124"/>
      <c r="E493" s="124"/>
      <c r="F493" s="126">
        <f t="shared" si="61"/>
        <v>488655.68</v>
      </c>
      <c r="G493" s="109"/>
    </row>
    <row r="494" spans="1:7">
      <c r="A494" s="109" t="s">
        <v>286</v>
      </c>
      <c r="B494" s="124" t="s">
        <v>277</v>
      </c>
      <c r="C494" s="124"/>
      <c r="D494" s="124"/>
      <c r="E494" s="124"/>
      <c r="F494" s="126">
        <f t="shared" si="61"/>
        <v>488655.68</v>
      </c>
      <c r="G494" s="109"/>
    </row>
    <row r="495" spans="1:7">
      <c r="A495" s="109" t="s">
        <v>762</v>
      </c>
      <c r="B495" s="124" t="s">
        <v>277</v>
      </c>
      <c r="C495" s="124"/>
      <c r="D495" s="124"/>
      <c r="E495" s="124"/>
      <c r="F495" s="126">
        <f t="shared" si="61"/>
        <v>488655.68</v>
      </c>
      <c r="G495" s="109"/>
    </row>
    <row r="496" spans="1:7">
      <c r="A496" s="109" t="s">
        <v>344</v>
      </c>
      <c r="B496" s="124" t="s">
        <v>345</v>
      </c>
      <c r="C496" s="124"/>
      <c r="D496" s="124"/>
      <c r="E496" s="124"/>
      <c r="F496" s="126">
        <f t="shared" si="61"/>
        <v>30070</v>
      </c>
      <c r="G496" s="109"/>
    </row>
    <row r="497" spans="1:7">
      <c r="A497" s="109" t="s">
        <v>360</v>
      </c>
      <c r="B497" s="124" t="s">
        <v>361</v>
      </c>
      <c r="C497" s="124"/>
      <c r="D497" s="124"/>
      <c r="E497" s="124"/>
      <c r="F497" s="126">
        <f t="shared" si="61"/>
        <v>0</v>
      </c>
      <c r="G497" s="109"/>
    </row>
    <row r="498" spans="1:7">
      <c r="A498" s="109" t="s">
        <v>362</v>
      </c>
      <c r="B498" s="124" t="s">
        <v>363</v>
      </c>
      <c r="C498" s="124"/>
      <c r="D498" s="124"/>
      <c r="E498" s="124"/>
      <c r="F498" s="126">
        <f t="shared" si="61"/>
        <v>6720</v>
      </c>
      <c r="G498" s="109"/>
    </row>
    <row r="499" spans="1:7">
      <c r="A499" s="109" t="s">
        <v>399</v>
      </c>
      <c r="B499" s="124" t="s">
        <v>400</v>
      </c>
      <c r="C499" s="124"/>
      <c r="D499" s="124"/>
      <c r="E499" s="124"/>
      <c r="F499" s="126">
        <f t="shared" si="61"/>
        <v>6000</v>
      </c>
      <c r="G499" s="109"/>
    </row>
    <row r="500" spans="1:7">
      <c r="A500" s="109" t="s">
        <v>404</v>
      </c>
      <c r="B500" s="124" t="s">
        <v>405</v>
      </c>
      <c r="C500" s="124"/>
      <c r="D500" s="124"/>
      <c r="E500" s="124"/>
      <c r="F500" s="126">
        <f t="shared" si="61"/>
        <v>245000</v>
      </c>
      <c r="G500" s="109"/>
    </row>
    <row r="501" spans="1:7">
      <c r="A501" s="109" t="s">
        <v>68</v>
      </c>
      <c r="B501" s="124" t="s">
        <v>406</v>
      </c>
      <c r="C501" s="124"/>
      <c r="D501" s="124"/>
      <c r="E501" s="124"/>
      <c r="F501" s="126">
        <f t="shared" si="61"/>
        <v>320436</v>
      </c>
      <c r="G501" s="109"/>
    </row>
    <row r="502" spans="1:7">
      <c r="A502" s="109" t="s">
        <v>408</v>
      </c>
      <c r="B502" s="124" t="s">
        <v>409</v>
      </c>
      <c r="C502" s="124"/>
      <c r="D502" s="124"/>
      <c r="E502" s="124"/>
      <c r="F502" s="126">
        <f t="shared" si="61"/>
        <v>7049</v>
      </c>
      <c r="G502" s="109"/>
    </row>
    <row r="503" spans="1:7">
      <c r="A503" s="109" t="s">
        <v>417</v>
      </c>
      <c r="B503" s="124" t="s">
        <v>418</v>
      </c>
      <c r="C503" s="124"/>
      <c r="D503" s="124"/>
      <c r="E503" s="124"/>
      <c r="F503" s="126">
        <f t="shared" si="61"/>
        <v>13000</v>
      </c>
      <c r="G503" s="109"/>
    </row>
    <row r="504" spans="1:7">
      <c r="A504" s="109" t="s">
        <v>433</v>
      </c>
      <c r="B504" s="124" t="s">
        <v>434</v>
      </c>
      <c r="C504" s="124"/>
      <c r="D504" s="124"/>
      <c r="E504" s="124"/>
      <c r="F504" s="126">
        <f t="shared" si="61"/>
        <v>24612</v>
      </c>
      <c r="G504" s="109"/>
    </row>
    <row r="505" spans="1:7">
      <c r="A505" s="109" t="s">
        <v>435</v>
      </c>
      <c r="B505" s="124" t="s">
        <v>436</v>
      </c>
      <c r="C505" s="124"/>
      <c r="D505" s="124"/>
      <c r="E505" s="124"/>
      <c r="F505" s="126">
        <f t="shared" si="61"/>
        <v>6000</v>
      </c>
      <c r="G505" s="109"/>
    </row>
    <row r="506" spans="1:7">
      <c r="A506" s="109" t="s">
        <v>453</v>
      </c>
      <c r="B506" s="124" t="s">
        <v>445</v>
      </c>
      <c r="C506" s="124"/>
      <c r="D506" s="124"/>
      <c r="E506" s="124"/>
      <c r="F506" s="126">
        <f t="shared" si="61"/>
        <v>1942345.4308303986</v>
      </c>
      <c r="G506" s="109"/>
    </row>
    <row r="507" spans="1:7">
      <c r="A507" s="109" t="s">
        <v>455</v>
      </c>
      <c r="B507" s="124" t="s">
        <v>448</v>
      </c>
      <c r="C507" s="124"/>
      <c r="D507" s="124"/>
      <c r="E507" s="124"/>
      <c r="F507" s="126">
        <f t="shared" ref="F507:F524" si="62">SUMIF($B$20:$B$330,B507,$K$20:$K$330)</f>
        <v>119106</v>
      </c>
      <c r="G507" s="109"/>
    </row>
    <row r="508" spans="1:7">
      <c r="A508" s="109" t="s">
        <v>456</v>
      </c>
      <c r="B508" s="124" t="s">
        <v>445</v>
      </c>
      <c r="C508" s="124"/>
      <c r="D508" s="124"/>
      <c r="E508" s="124"/>
      <c r="F508" s="126">
        <f t="shared" si="62"/>
        <v>1942345.4308303986</v>
      </c>
      <c r="G508" s="109"/>
    </row>
    <row r="509" spans="1:7">
      <c r="A509" s="109" t="s">
        <v>457</v>
      </c>
      <c r="B509" s="124" t="s">
        <v>458</v>
      </c>
      <c r="C509" s="124"/>
      <c r="D509" s="124"/>
      <c r="E509" s="124"/>
      <c r="F509" s="126">
        <f t="shared" si="62"/>
        <v>0</v>
      </c>
      <c r="G509" s="109"/>
    </row>
    <row r="510" spans="1:7">
      <c r="A510" s="109" t="s">
        <v>467</v>
      </c>
      <c r="B510" s="124" t="s">
        <v>468</v>
      </c>
      <c r="C510" s="124"/>
      <c r="D510" s="124"/>
      <c r="E510" s="124"/>
      <c r="F510" s="126">
        <f t="shared" si="62"/>
        <v>17000</v>
      </c>
      <c r="G510" s="109"/>
    </row>
    <row r="511" spans="1:7">
      <c r="A511" s="109" t="s">
        <v>469</v>
      </c>
      <c r="B511" s="124" t="s">
        <v>470</v>
      </c>
      <c r="C511" s="124"/>
      <c r="D511" s="124"/>
      <c r="E511" s="124"/>
      <c r="F511" s="126">
        <f t="shared" si="62"/>
        <v>11000</v>
      </c>
      <c r="G511" s="109"/>
    </row>
    <row r="512" spans="1:7">
      <c r="A512" s="109" t="s">
        <v>471</v>
      </c>
      <c r="B512" s="124" t="s">
        <v>472</v>
      </c>
      <c r="C512" s="124"/>
      <c r="D512" s="124"/>
      <c r="E512" s="124"/>
      <c r="F512" s="126">
        <f t="shared" si="62"/>
        <v>2000</v>
      </c>
      <c r="G512" s="109"/>
    </row>
    <row r="513" spans="1:7">
      <c r="A513" s="109" t="s">
        <v>473</v>
      </c>
      <c r="B513" s="124" t="s">
        <v>445</v>
      </c>
      <c r="C513" s="124"/>
      <c r="D513" s="124"/>
      <c r="E513" s="124"/>
      <c r="F513" s="126">
        <f t="shared" si="62"/>
        <v>1942345.4308303986</v>
      </c>
      <c r="G513" s="109"/>
    </row>
    <row r="514" spans="1:7">
      <c r="A514" s="109" t="s">
        <v>474</v>
      </c>
      <c r="B514" s="124" t="s">
        <v>448</v>
      </c>
      <c r="C514" s="124"/>
      <c r="D514" s="124"/>
      <c r="E514" s="124"/>
      <c r="F514" s="126">
        <f t="shared" si="62"/>
        <v>119106</v>
      </c>
      <c r="G514" s="109"/>
    </row>
    <row r="515" spans="1:7">
      <c r="A515" s="109" t="s">
        <v>526</v>
      </c>
      <c r="B515" s="124" t="s">
        <v>527</v>
      </c>
      <c r="C515" s="124"/>
      <c r="D515" s="124"/>
      <c r="E515" s="124"/>
      <c r="F515" s="126">
        <f t="shared" si="62"/>
        <v>38250</v>
      </c>
      <c r="G515" s="109"/>
    </row>
    <row r="516" spans="1:7">
      <c r="A516" s="109" t="s">
        <v>536</v>
      </c>
      <c r="B516" s="124" t="s">
        <v>537</v>
      </c>
      <c r="C516" s="124"/>
      <c r="D516" s="124"/>
      <c r="E516" s="124"/>
      <c r="F516" s="126">
        <f t="shared" si="62"/>
        <v>10000</v>
      </c>
      <c r="G516" s="109"/>
    </row>
    <row r="517" spans="1:7">
      <c r="A517" s="109" t="s">
        <v>70</v>
      </c>
      <c r="B517" s="124" t="s">
        <v>551</v>
      </c>
      <c r="C517" s="124"/>
      <c r="D517" s="124"/>
      <c r="E517" s="124"/>
      <c r="F517" s="126">
        <f t="shared" si="62"/>
        <v>24900</v>
      </c>
      <c r="G517" s="109"/>
    </row>
    <row r="518" spans="1:7">
      <c r="A518" s="109" t="s">
        <v>570</v>
      </c>
      <c r="B518" s="124" t="s">
        <v>571</v>
      </c>
      <c r="C518" s="124"/>
      <c r="D518" s="124"/>
      <c r="E518" s="124"/>
      <c r="F518" s="126">
        <f t="shared" si="62"/>
        <v>11000</v>
      </c>
      <c r="G518" s="109"/>
    </row>
    <row r="519" spans="1:7">
      <c r="A519" s="109" t="s">
        <v>652</v>
      </c>
      <c r="B519" s="124" t="s">
        <v>653</v>
      </c>
      <c r="C519" s="124"/>
      <c r="D519" s="124"/>
      <c r="E519" s="124"/>
      <c r="F519" s="126">
        <f t="shared" si="62"/>
        <v>0</v>
      </c>
      <c r="G519" s="109"/>
    </row>
    <row r="520" spans="1:7">
      <c r="A520" s="109" t="s">
        <v>654</v>
      </c>
      <c r="B520" s="124" t="s">
        <v>655</v>
      </c>
      <c r="C520" s="124"/>
      <c r="D520" s="124"/>
      <c r="E520" s="124"/>
      <c r="F520" s="126">
        <f t="shared" si="62"/>
        <v>22000</v>
      </c>
      <c r="G520" s="109"/>
    </row>
    <row r="521" spans="1:7">
      <c r="A521" s="109" t="s">
        <v>656</v>
      </c>
      <c r="B521" s="124" t="s">
        <v>657</v>
      </c>
      <c r="C521" s="124"/>
      <c r="D521" s="124"/>
      <c r="E521" s="124"/>
      <c r="F521" s="126">
        <f t="shared" si="62"/>
        <v>43676.49</v>
      </c>
      <c r="G521" s="109"/>
    </row>
    <row r="522" spans="1:7">
      <c r="A522" s="109" t="s">
        <v>659</v>
      </c>
      <c r="B522" s="124" t="s">
        <v>660</v>
      </c>
      <c r="C522" s="124"/>
      <c r="D522" s="124"/>
      <c r="E522" s="124"/>
      <c r="F522" s="126">
        <f t="shared" si="62"/>
        <v>0</v>
      </c>
      <c r="G522" s="109"/>
    </row>
    <row r="523" spans="1:7">
      <c r="A523" s="109" t="s">
        <v>672</v>
      </c>
      <c r="B523" s="124" t="s">
        <v>478</v>
      </c>
      <c r="C523" s="124"/>
      <c r="D523" s="124"/>
      <c r="E523" s="124"/>
      <c r="F523" s="126">
        <f t="shared" si="62"/>
        <v>21000</v>
      </c>
      <c r="G523" s="109"/>
    </row>
    <row r="524" spans="1:7">
      <c r="A524" s="109" t="s">
        <v>673</v>
      </c>
      <c r="B524" s="124" t="s">
        <v>674</v>
      </c>
      <c r="C524" s="124"/>
      <c r="D524" s="124"/>
      <c r="E524" s="124"/>
      <c r="F524" s="126">
        <f t="shared" si="62"/>
        <v>2000</v>
      </c>
      <c r="G524" s="109"/>
    </row>
  </sheetData>
  <conditionalFormatting sqref="A13:B16">
    <cfRule type="expression" dxfId="116" priority="17">
      <formula>MOD(ROW(),2)=0</formula>
    </cfRule>
  </conditionalFormatting>
  <conditionalFormatting sqref="D3:F7">
    <cfRule type="expression" dxfId="115" priority="18">
      <formula>MOD(ROW(),2)=0</formula>
    </cfRule>
  </conditionalFormatting>
  <conditionalFormatting sqref="D10:F16 M20:W89 M91:W157 M160:W166 M168:W184 M186:W194 M196:W257 M259:W265 M267:W329">
    <cfRule type="expression" dxfId="114" priority="9">
      <formula>MOD(ROW(),2)</formula>
    </cfRule>
  </conditionalFormatting>
  <conditionalFormatting sqref="D15:F15">
    <cfRule type="expression" dxfId="113" priority="16">
      <formula>MOD(ROW(),2)=0</formula>
    </cfRule>
  </conditionalFormatting>
  <conditionalFormatting sqref="E368">
    <cfRule type="cellIs" dxfId="112" priority="11" operator="lessThan">
      <formula>0</formula>
    </cfRule>
    <cfRule type="cellIs" dxfId="111" priority="12" operator="greaterThan">
      <formula>0</formula>
    </cfRule>
  </conditionalFormatting>
  <conditionalFormatting sqref="E45:K49">
    <cfRule type="expression" dxfId="110" priority="8">
      <formula>MOD(ROW(),2)</formula>
    </cfRule>
  </conditionalFormatting>
  <conditionalFormatting sqref="E51:K58">
    <cfRule type="expression" dxfId="109" priority="7">
      <formula>MOD(ROW(),2)</formula>
    </cfRule>
  </conditionalFormatting>
  <conditionalFormatting sqref="E85:K99">
    <cfRule type="expression" dxfId="108" priority="6">
      <formula>MOD(ROW(),2)</formula>
    </cfRule>
  </conditionalFormatting>
  <conditionalFormatting sqref="E185:K185">
    <cfRule type="expression" dxfId="107" priority="5">
      <formula>MOD(ROW(),2)</formula>
    </cfRule>
  </conditionalFormatting>
  <conditionalFormatting sqref="E20:L20 A20:D257 E21:K21 E22:L22 E23:K23 E24:L24 E25:K33 E34:L35 E36:K43 E44:L44 E50:L50 E59:L59 E60:K71 E72:L72 E73:K83 E84:L84 E100:L100 E101:K136 E137:L137 E138:K153 E154:L154 E155:K155 E156:L156 E157:K164 E165:L165 E166:K168 E169:L169 E170:K170 E171:L171 E172:K173 E174:L174 E175:K177 E178:L178 E179:K183 E184:L184 E186:L186 E187:K202 E203:L203 E204:K206 E207:L207 E208:K210 E211:L211 E212:K220 E221:L221 E222:K257 A258:K258 E259:L259 A259:D301 E260:K275 E276:L276 E277:K277 E278:L278 E279:K281 E282:L282 E283:K291 E292:L292 E293:K300 E301:L301 A302:K302 E303:K303 A303:D327 E304:L304 E305:K318 E319:L319 E320:K320 E321:L321 E322:K322 E323:L323 E324:K326 E327:L327 A328:K329 A330:L330">
    <cfRule type="expression" dxfId="106" priority="13">
      <formula>MOD(ROW(),2)</formula>
    </cfRule>
  </conditionalFormatting>
  <conditionalFormatting sqref="H3:K8">
    <cfRule type="expression" dxfId="105" priority="1">
      <formula>MOD(ROW(),2)=0</formula>
    </cfRule>
  </conditionalFormatting>
  <conditionalFormatting sqref="L331:M331">
    <cfRule type="cellIs" dxfId="104" priority="10" operator="lessThan">
      <formula>0</formula>
    </cfRule>
    <cfRule type="cellIs" dxfId="103" priority="14" operator="greaterThan">
      <formula>0</formula>
    </cfRule>
  </conditionalFormatting>
  <conditionalFormatting sqref="M90 M158:M159 M167 M185 M195 M258 M266">
    <cfRule type="expression" dxfId="102" priority="4">
      <formula>MOD(ROW(),2)</formula>
    </cfRule>
  </conditionalFormatting>
  <conditionalFormatting sqref="N5:P18">
    <cfRule type="expression" dxfId="101" priority="3">
      <formula>MOD(ROW(),2)</formula>
    </cfRule>
  </conditionalFormatting>
  <conditionalFormatting sqref="N1:V3 A2:B11">
    <cfRule type="expression" dxfId="100" priority="15">
      <formula>MOD(ROW(),2)</formula>
    </cfRule>
  </conditionalFormatting>
  <conditionalFormatting sqref="Q4:V18">
    <cfRule type="expression" dxfId="99" priority="2">
      <formula>MOD(ROW(),2)</formula>
    </cfRule>
  </conditionalFormatting>
  <dataValidations count="2">
    <dataValidation type="list" allowBlank="1" showInputMessage="1" showErrorMessage="1" sqref="B4" xr:uid="{0B102C8B-9B40-40B3-9D43-39FB59A4192B}">
      <formula1>"Urban, Market, Senior, Afforable"</formula1>
    </dataValidation>
    <dataValidation type="list" allowBlank="1" showInputMessage="1" showErrorMessage="1" sqref="B3" xr:uid="{D2EC2E2E-F3A5-4792-989E-48BBFC288BAB}">
      <formula1>"Level 1, Level 2, Level 3"</formula1>
    </dataValidation>
  </dataValidations>
  <printOptions horizontalCentered="1"/>
  <pageMargins left="0.25" right="0.25" top="0.7" bottom="0.5" header="0.35" footer="0.05"/>
  <pageSetup paperSize="3" scale="51" fitToHeight="0" orientation="landscape" r:id="rId1"/>
  <headerFooter>
    <oddHeader>&amp;R&amp;G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23A6-C21A-4514-8978-C6152C3C948F}">
  <dimension ref="A1:AB320"/>
  <sheetViews>
    <sheetView zoomScale="85" zoomScaleNormal="85" workbookViewId="0">
      <pane xSplit="1" ySplit="19" topLeftCell="B20" activePane="bottomRight" state="frozen"/>
      <selection pane="bottomRight" activeCell="I12" sqref="I12"/>
      <selection pane="bottomLeft" activeCell="A20" sqref="A20"/>
      <selection pane="topRight" activeCell="B1" sqref="B1"/>
    </sheetView>
  </sheetViews>
  <sheetFormatPr defaultColWidth="9.140625" defaultRowHeight="15" outlineLevelRow="1" outlineLevelCol="1"/>
  <cols>
    <col min="1" max="1" width="38.85546875" style="218" bestFit="1" customWidth="1"/>
    <col min="2" max="2" width="0.7109375" style="218" customWidth="1"/>
    <col min="3" max="4" width="18.140625" style="218" hidden="1" customWidth="1" outlineLevel="1"/>
    <col min="5" max="5" width="3" style="218" customWidth="1" collapsed="1"/>
    <col min="6" max="6" width="13.140625" style="218" bestFit="1" customWidth="1"/>
    <col min="7" max="7" width="14" style="218" bestFit="1" customWidth="1"/>
    <col min="8" max="8" width="10.28515625" style="218" customWidth="1"/>
    <col min="9" max="9" width="14" style="218" customWidth="1"/>
    <col min="10" max="10" width="4.7109375" style="218" bestFit="1" customWidth="1"/>
    <col min="11" max="11" width="18.85546875" style="218" bestFit="1" customWidth="1"/>
    <col min="12" max="12" width="9.7109375" style="218" bestFit="1" customWidth="1"/>
    <col min="13" max="13" width="20.42578125" style="218" customWidth="1"/>
    <col min="14" max="14" width="0.7109375" style="218" customWidth="1"/>
    <col min="15" max="15" width="15.42578125" style="219" customWidth="1"/>
    <col min="16" max="16" width="17.42578125" style="219" customWidth="1"/>
    <col min="17" max="17" width="14.7109375" style="218" customWidth="1"/>
    <col min="18" max="18" width="13.85546875" style="218" bestFit="1" customWidth="1"/>
    <col min="19" max="19" width="4.5703125" style="218" bestFit="1" customWidth="1"/>
    <col min="20" max="20" width="13.85546875" style="218" customWidth="1"/>
    <col min="21" max="21" width="15.5703125" style="218" customWidth="1"/>
    <col min="22" max="22" width="19.7109375" style="218" customWidth="1"/>
    <col min="23" max="23" width="0.7109375" style="218" customWidth="1"/>
    <col min="24" max="24" width="17.28515625" style="317" customWidth="1"/>
    <col min="25" max="25" width="0.7109375" style="218" customWidth="1"/>
    <col min="26" max="26" width="11.140625" style="317" bestFit="1" customWidth="1"/>
    <col min="27" max="27" width="0.7109375" style="218" customWidth="1"/>
    <col min="28" max="28" width="68.85546875" style="218" customWidth="1"/>
    <col min="29" max="16384" width="9.140625" style="218"/>
  </cols>
  <sheetData>
    <row r="1" spans="1:26" s="615" customFormat="1" ht="19.5" thickBot="1">
      <c r="A1" s="636" t="s">
        <v>924</v>
      </c>
      <c r="C1" s="638" t="s">
        <v>925</v>
      </c>
      <c r="D1" s="639"/>
      <c r="E1" s="612"/>
      <c r="F1" s="610" t="s">
        <v>926</v>
      </c>
      <c r="G1" s="613"/>
      <c r="H1" s="613"/>
      <c r="I1" s="613"/>
      <c r="J1" s="613"/>
      <c r="K1" s="614"/>
      <c r="L1" s="614"/>
      <c r="M1" s="611"/>
      <c r="O1" s="610" t="s">
        <v>927</v>
      </c>
      <c r="P1" s="613"/>
      <c r="Q1" s="613"/>
      <c r="R1" s="613"/>
      <c r="S1" s="613"/>
      <c r="T1" s="614"/>
      <c r="U1" s="614"/>
      <c r="V1" s="611"/>
      <c r="X1" s="616"/>
      <c r="Z1" s="616"/>
    </row>
    <row r="2" spans="1:26" s="545" customFormat="1" ht="14.25" thickBot="1">
      <c r="A2" s="637"/>
      <c r="C2" s="617"/>
      <c r="D2" s="618"/>
      <c r="E2" s="544"/>
      <c r="F2" s="547" t="s">
        <v>0</v>
      </c>
      <c r="G2" s="548"/>
      <c r="K2" s="548" t="s">
        <v>1</v>
      </c>
      <c r="L2" s="548"/>
      <c r="M2" s="549"/>
      <c r="O2" s="547" t="s">
        <v>0</v>
      </c>
      <c r="P2" s="548"/>
      <c r="T2" s="548" t="s">
        <v>1</v>
      </c>
      <c r="U2" s="548"/>
      <c r="V2" s="549"/>
      <c r="X2" s="546"/>
      <c r="Z2" s="546"/>
    </row>
    <row r="3" spans="1:26" s="545" customFormat="1" ht="13.5">
      <c r="A3" s="637"/>
      <c r="C3" s="619"/>
      <c r="D3" s="620"/>
      <c r="E3" s="544"/>
      <c r="F3" s="550" t="s">
        <v>4</v>
      </c>
      <c r="G3" s="551" t="s">
        <v>772</v>
      </c>
      <c r="K3" s="552" t="s">
        <v>6</v>
      </c>
      <c r="L3" s="553" t="s">
        <v>7</v>
      </c>
      <c r="M3" s="554" t="s">
        <v>8</v>
      </c>
      <c r="O3" s="550" t="s">
        <v>4</v>
      </c>
      <c r="P3" s="551" t="s">
        <v>772</v>
      </c>
      <c r="T3" s="552" t="s">
        <v>6</v>
      </c>
      <c r="U3" s="553" t="s">
        <v>7</v>
      </c>
      <c r="V3" s="554" t="s">
        <v>8</v>
      </c>
      <c r="X3" s="546"/>
      <c r="Z3" s="546"/>
    </row>
    <row r="4" spans="1:26" s="545" customFormat="1" ht="13.5">
      <c r="A4" s="637"/>
      <c r="C4" s="621"/>
      <c r="D4" s="622"/>
      <c r="E4" s="544"/>
      <c r="F4" s="555" t="s">
        <v>16</v>
      </c>
      <c r="G4" s="556" t="s">
        <v>908</v>
      </c>
      <c r="K4" s="557" t="s">
        <v>18</v>
      </c>
      <c r="L4" s="558">
        <v>0</v>
      </c>
      <c r="M4" s="559">
        <v>0</v>
      </c>
      <c r="O4" s="555" t="s">
        <v>16</v>
      </c>
      <c r="P4" s="556" t="s">
        <v>908</v>
      </c>
      <c r="T4" s="557" t="s">
        <v>18</v>
      </c>
      <c r="U4" s="558">
        <v>0</v>
      </c>
      <c r="V4" s="559">
        <f t="shared" ref="V4:V9" si="0">U4/$U$9</f>
        <v>0</v>
      </c>
      <c r="X4" s="546"/>
      <c r="Z4" s="546"/>
    </row>
    <row r="5" spans="1:26" s="545" customFormat="1" ht="13.5">
      <c r="A5" s="637"/>
      <c r="C5" s="621"/>
      <c r="D5" s="622"/>
      <c r="E5" s="544"/>
      <c r="F5" s="555" t="s">
        <v>22</v>
      </c>
      <c r="G5" s="556" t="s">
        <v>23</v>
      </c>
      <c r="K5" s="560" t="s">
        <v>24</v>
      </c>
      <c r="L5" s="556">
        <v>126</v>
      </c>
      <c r="M5" s="561">
        <v>0.64948453608247425</v>
      </c>
      <c r="O5" s="555" t="s">
        <v>22</v>
      </c>
      <c r="P5" s="556" t="s">
        <v>23</v>
      </c>
      <c r="T5" s="560" t="s">
        <v>24</v>
      </c>
      <c r="U5" s="556">
        <v>126</v>
      </c>
      <c r="V5" s="561">
        <f t="shared" si="0"/>
        <v>0.64948453608247425</v>
      </c>
      <c r="X5" s="546"/>
      <c r="Z5" s="546"/>
    </row>
    <row r="6" spans="1:26" s="545" customFormat="1" ht="13.5">
      <c r="A6" s="637"/>
      <c r="C6" s="621"/>
      <c r="D6" s="622"/>
      <c r="E6" s="544"/>
      <c r="F6" s="555" t="s">
        <v>29</v>
      </c>
      <c r="G6" s="562">
        <v>45809</v>
      </c>
      <c r="K6" s="560" t="s">
        <v>30</v>
      </c>
      <c r="L6" s="556">
        <v>68</v>
      </c>
      <c r="M6" s="561">
        <v>0.35051546391752575</v>
      </c>
      <c r="O6" s="555" t="s">
        <v>29</v>
      </c>
      <c r="P6" s="562">
        <v>45809</v>
      </c>
      <c r="T6" s="560" t="s">
        <v>30</v>
      </c>
      <c r="U6" s="556">
        <v>68</v>
      </c>
      <c r="V6" s="561">
        <f t="shared" si="0"/>
        <v>0.35051546391752575</v>
      </c>
      <c r="X6" s="546"/>
      <c r="Z6" s="546"/>
    </row>
    <row r="7" spans="1:26" s="545" customFormat="1" ht="13.5">
      <c r="A7" s="637"/>
      <c r="C7" s="621"/>
      <c r="D7" s="622"/>
      <c r="E7" s="544"/>
      <c r="F7" s="555" t="s">
        <v>787</v>
      </c>
      <c r="G7" s="556">
        <v>20</v>
      </c>
      <c r="K7" s="560" t="s">
        <v>35</v>
      </c>
      <c r="L7" s="556">
        <v>0</v>
      </c>
      <c r="M7" s="561">
        <v>0</v>
      </c>
      <c r="O7" s="555" t="s">
        <v>787</v>
      </c>
      <c r="P7" s="556">
        <v>20</v>
      </c>
      <c r="T7" s="560" t="s">
        <v>35</v>
      </c>
      <c r="U7" s="556">
        <v>0</v>
      </c>
      <c r="V7" s="561">
        <f t="shared" si="0"/>
        <v>0</v>
      </c>
      <c r="X7" s="546"/>
      <c r="Z7" s="546"/>
    </row>
    <row r="8" spans="1:26" s="545" customFormat="1" ht="13.5">
      <c r="A8" s="637"/>
      <c r="C8" s="621"/>
      <c r="D8" s="622"/>
      <c r="E8" s="544"/>
      <c r="F8" s="555" t="s">
        <v>39</v>
      </c>
      <c r="G8" s="556">
        <v>4</v>
      </c>
      <c r="K8" s="563" t="s">
        <v>40</v>
      </c>
      <c r="L8" s="564">
        <v>0</v>
      </c>
      <c r="M8" s="565">
        <v>0</v>
      </c>
      <c r="O8" s="555" t="s">
        <v>39</v>
      </c>
      <c r="P8" s="556">
        <v>4</v>
      </c>
      <c r="T8" s="563" t="s">
        <v>40</v>
      </c>
      <c r="U8" s="564">
        <v>0</v>
      </c>
      <c r="V8" s="565">
        <f t="shared" si="0"/>
        <v>0</v>
      </c>
      <c r="X8" s="546"/>
      <c r="Z8" s="546"/>
    </row>
    <row r="9" spans="1:26" s="545" customFormat="1" ht="14.25" thickBot="1">
      <c r="A9" s="637"/>
      <c r="C9" s="623"/>
      <c r="D9" s="624"/>
      <c r="E9" s="544"/>
      <c r="F9" s="555" t="s">
        <v>792</v>
      </c>
      <c r="G9" s="566">
        <v>196289</v>
      </c>
      <c r="K9" s="567" t="s">
        <v>36</v>
      </c>
      <c r="L9" s="568">
        <v>194</v>
      </c>
      <c r="M9" s="569">
        <f t="shared" ref="M9" si="1">L9/$L$9</f>
        <v>1</v>
      </c>
      <c r="O9" s="555" t="s">
        <v>792</v>
      </c>
      <c r="P9" s="566">
        <v>196289</v>
      </c>
      <c r="T9" s="567" t="s">
        <v>36</v>
      </c>
      <c r="U9" s="568">
        <f>SUM(U4:U8)</f>
        <v>194</v>
      </c>
      <c r="V9" s="569">
        <f t="shared" si="0"/>
        <v>1</v>
      </c>
      <c r="X9" s="546"/>
      <c r="Z9" s="546"/>
    </row>
    <row r="10" spans="1:26" s="545" customFormat="1" ht="14.25" thickBot="1">
      <c r="A10" s="637"/>
      <c r="C10" s="617"/>
      <c r="D10" s="618"/>
      <c r="E10" s="544"/>
      <c r="F10" s="555" t="s">
        <v>48</v>
      </c>
      <c r="G10" s="570">
        <v>4.9000000000000004</v>
      </c>
      <c r="K10" s="548" t="s">
        <v>49</v>
      </c>
      <c r="L10" s="548"/>
      <c r="M10" s="549"/>
      <c r="O10" s="555" t="s">
        <v>48</v>
      </c>
      <c r="P10" s="570">
        <v>4.9000000000000004</v>
      </c>
      <c r="T10" s="548" t="s">
        <v>49</v>
      </c>
      <c r="U10" s="548"/>
      <c r="V10" s="549"/>
      <c r="X10" s="546"/>
      <c r="Z10" s="546"/>
    </row>
    <row r="11" spans="1:26" s="545" customFormat="1" ht="13.5">
      <c r="A11" s="637"/>
      <c r="C11" s="579"/>
      <c r="D11" s="625"/>
      <c r="E11" s="544"/>
      <c r="F11" s="555" t="s">
        <v>55</v>
      </c>
      <c r="G11" s="566">
        <v>213444.00000000003</v>
      </c>
      <c r="K11" s="571" t="s">
        <v>56</v>
      </c>
      <c r="L11" s="572"/>
      <c r="M11" s="573">
        <v>127</v>
      </c>
      <c r="O11" s="555" t="s">
        <v>55</v>
      </c>
      <c r="P11" s="566">
        <f>P10*43560</f>
        <v>213444.00000000003</v>
      </c>
      <c r="R11" s="574"/>
      <c r="T11" s="575" t="s">
        <v>62</v>
      </c>
      <c r="U11" s="576"/>
      <c r="V11" s="577">
        <v>127</v>
      </c>
      <c r="X11" s="546"/>
      <c r="Z11" s="546"/>
    </row>
    <row r="12" spans="1:26" s="545" customFormat="1" ht="13.5">
      <c r="A12" s="637"/>
      <c r="C12" s="579"/>
      <c r="D12" s="625"/>
      <c r="E12" s="544"/>
      <c r="F12" s="555" t="s">
        <v>61</v>
      </c>
      <c r="G12" s="566">
        <v>1</v>
      </c>
      <c r="K12" s="575" t="s">
        <v>62</v>
      </c>
      <c r="L12" s="576"/>
      <c r="M12" s="577">
        <v>3</v>
      </c>
      <c r="O12" s="555" t="s">
        <v>61</v>
      </c>
      <c r="P12" s="566">
        <v>1</v>
      </c>
      <c r="T12" s="575" t="s">
        <v>928</v>
      </c>
      <c r="U12" s="576"/>
      <c r="V12" s="577">
        <v>3</v>
      </c>
      <c r="X12" s="546"/>
      <c r="Z12" s="546"/>
    </row>
    <row r="13" spans="1:26" s="545" customFormat="1" ht="14.25" thickBot="1">
      <c r="A13" s="637"/>
      <c r="C13" s="579"/>
      <c r="D13" s="625"/>
      <c r="E13" s="544"/>
      <c r="F13" s="578"/>
      <c r="K13" s="575" t="s">
        <v>67</v>
      </c>
      <c r="L13" s="576"/>
      <c r="M13" s="577">
        <v>45</v>
      </c>
      <c r="O13" s="579"/>
      <c r="P13" s="580"/>
      <c r="T13" s="575" t="s">
        <v>67</v>
      </c>
      <c r="U13" s="576"/>
      <c r="V13" s="577">
        <v>45</v>
      </c>
      <c r="X13" s="546"/>
      <c r="Z13" s="546"/>
    </row>
    <row r="14" spans="1:26" s="545" customFormat="1" ht="14.25" thickBot="1">
      <c r="A14" s="637"/>
      <c r="C14" s="579"/>
      <c r="D14" s="625"/>
      <c r="E14" s="544"/>
      <c r="F14" s="578"/>
      <c r="K14" s="575" t="s">
        <v>72</v>
      </c>
      <c r="L14" s="576"/>
      <c r="M14" s="577">
        <v>11</v>
      </c>
      <c r="O14" s="579"/>
      <c r="P14" s="580"/>
      <c r="Q14" s="581" t="s">
        <v>929</v>
      </c>
      <c r="R14" s="582"/>
      <c r="T14" s="575" t="s">
        <v>72</v>
      </c>
      <c r="U14" s="576"/>
      <c r="V14" s="577">
        <v>11</v>
      </c>
      <c r="X14" s="546"/>
      <c r="Z14" s="546"/>
    </row>
    <row r="15" spans="1:26" s="545" customFormat="1" ht="13.5">
      <c r="A15" s="637"/>
      <c r="C15" s="579"/>
      <c r="D15" s="625"/>
      <c r="E15" s="544"/>
      <c r="F15" s="583" t="s">
        <v>44</v>
      </c>
      <c r="G15" s="584">
        <f>M314</f>
        <v>33757309.044341207</v>
      </c>
      <c r="K15" s="575" t="s">
        <v>77</v>
      </c>
      <c r="L15" s="576"/>
      <c r="M15" s="577">
        <v>8</v>
      </c>
      <c r="O15" s="583" t="s">
        <v>44</v>
      </c>
      <c r="P15" s="585">
        <f>V314</f>
        <v>33486711.625382375</v>
      </c>
      <c r="Q15" s="586">
        <f>P15-G15</f>
        <v>-270597.41895883158</v>
      </c>
      <c r="R15" s="587">
        <f>Q15/G15</f>
        <v>-8.0159653307493792E-3</v>
      </c>
      <c r="T15" s="575" t="s">
        <v>805</v>
      </c>
      <c r="U15" s="576"/>
      <c r="V15" s="577">
        <v>8</v>
      </c>
      <c r="X15" s="546"/>
      <c r="Z15" s="546"/>
    </row>
    <row r="16" spans="1:26" s="545" customFormat="1" ht="14.25" thickBot="1">
      <c r="A16" s="637"/>
      <c r="C16" s="579"/>
      <c r="D16" s="625"/>
      <c r="E16" s="544"/>
      <c r="F16" s="588" t="s">
        <v>50</v>
      </c>
      <c r="G16" s="589">
        <f>G15/L9</f>
        <v>174006.74765124332</v>
      </c>
      <c r="K16" s="575" t="s">
        <v>82</v>
      </c>
      <c r="L16" s="576"/>
      <c r="M16" s="577">
        <v>194</v>
      </c>
      <c r="O16" s="588" t="s">
        <v>50</v>
      </c>
      <c r="P16" s="590">
        <f>P15/U9</f>
        <v>172611.91559475451</v>
      </c>
      <c r="Q16" s="586">
        <f>P16-G16</f>
        <v>-1394.8320564888127</v>
      </c>
      <c r="R16" s="591"/>
      <c r="T16" s="575" t="s">
        <v>82</v>
      </c>
      <c r="U16" s="576"/>
      <c r="V16" s="577">
        <f>SUM(V11:V15)</f>
        <v>194</v>
      </c>
      <c r="X16" s="546"/>
      <c r="Z16" s="546"/>
    </row>
    <row r="17" spans="1:28" s="545" customFormat="1" ht="14.25" thickBot="1">
      <c r="A17" s="637"/>
      <c r="C17" s="626"/>
      <c r="D17" s="627"/>
      <c r="E17" s="544"/>
      <c r="F17" s="592" t="s">
        <v>57</v>
      </c>
      <c r="G17" s="593">
        <f>G15/G9</f>
        <v>171.97758939289113</v>
      </c>
      <c r="K17" s="594" t="s">
        <v>85</v>
      </c>
      <c r="L17" s="595"/>
      <c r="M17" s="596">
        <v>0.95876288659793818</v>
      </c>
      <c r="O17" s="592" t="s">
        <v>57</v>
      </c>
      <c r="P17" s="597">
        <f>P15/P9</f>
        <v>170.59902299865186</v>
      </c>
      <c r="Q17" s="598">
        <f>P17-G17</f>
        <v>-1.3785663942392716</v>
      </c>
      <c r="R17" s="599"/>
      <c r="T17" s="594" t="s">
        <v>85</v>
      </c>
      <c r="U17" s="595"/>
      <c r="V17" s="596">
        <f>SUM(V11:V14)/U9</f>
        <v>0.95876288659793818</v>
      </c>
      <c r="X17" s="600" t="s">
        <v>930</v>
      </c>
      <c r="Z17" s="600" t="s">
        <v>930</v>
      </c>
    </row>
    <row r="18" spans="1:28" s="545" customFormat="1" ht="14.25" thickBot="1">
      <c r="A18" s="637"/>
      <c r="C18" s="601"/>
      <c r="D18" s="603"/>
      <c r="E18" s="544"/>
      <c r="F18" s="601"/>
      <c r="G18" s="602"/>
      <c r="H18" s="602"/>
      <c r="I18" s="602"/>
      <c r="J18" s="602"/>
      <c r="K18" s="602"/>
      <c r="L18" s="602"/>
      <c r="M18" s="603"/>
      <c r="O18" s="604"/>
      <c r="P18" s="605"/>
      <c r="Q18" s="602"/>
      <c r="R18" s="602"/>
      <c r="S18" s="602"/>
      <c r="T18" s="606"/>
      <c r="U18" s="606"/>
      <c r="V18" s="607"/>
      <c r="X18" s="608">
        <v>50000</v>
      </c>
      <c r="Z18" s="609">
        <v>0.05</v>
      </c>
    </row>
    <row r="19" spans="1:28" ht="19.5" customHeight="1" thickBot="1">
      <c r="A19" s="506" t="s">
        <v>88</v>
      </c>
      <c r="C19" s="472" t="s">
        <v>99</v>
      </c>
      <c r="D19" s="475" t="s">
        <v>931</v>
      </c>
      <c r="E19" s="290"/>
      <c r="F19" s="472" t="s">
        <v>92</v>
      </c>
      <c r="G19" s="473" t="s">
        <v>932</v>
      </c>
      <c r="H19" s="473" t="s">
        <v>818</v>
      </c>
      <c r="I19" s="473" t="s">
        <v>819</v>
      </c>
      <c r="J19" s="474" t="s">
        <v>8</v>
      </c>
      <c r="K19" s="473" t="s">
        <v>821</v>
      </c>
      <c r="L19" s="473" t="s">
        <v>98</v>
      </c>
      <c r="M19" s="475" t="s">
        <v>99</v>
      </c>
      <c r="O19" s="472" t="s">
        <v>92</v>
      </c>
      <c r="P19" s="473" t="s">
        <v>932</v>
      </c>
      <c r="Q19" s="473" t="s">
        <v>818</v>
      </c>
      <c r="R19" s="473" t="s">
        <v>819</v>
      </c>
      <c r="S19" s="474" t="s">
        <v>8</v>
      </c>
      <c r="T19" s="473" t="s">
        <v>821</v>
      </c>
      <c r="U19" s="473" t="s">
        <v>98</v>
      </c>
      <c r="V19" s="475" t="s">
        <v>99</v>
      </c>
      <c r="X19" s="431" t="s">
        <v>933</v>
      </c>
      <c r="Z19" s="431" t="s">
        <v>934</v>
      </c>
      <c r="AB19" s="502" t="s">
        <v>935</v>
      </c>
    </row>
    <row r="20" spans="1:28">
      <c r="A20" s="507" t="s">
        <v>101</v>
      </c>
      <c r="C20" s="490">
        <v>1673802.9250292904</v>
      </c>
      <c r="D20" s="628">
        <f>V20-C20</f>
        <v>515.07497070962563</v>
      </c>
      <c r="E20" s="290"/>
      <c r="F20" s="476"/>
      <c r="G20" s="298"/>
      <c r="H20" s="298"/>
      <c r="I20" s="299"/>
      <c r="J20" s="300"/>
      <c r="K20" s="301"/>
      <c r="L20" s="301"/>
      <c r="M20" s="477">
        <f>'LEVEL 2 (Match)'!L20</f>
        <v>1692096</v>
      </c>
      <c r="O20" s="476"/>
      <c r="P20" s="298"/>
      <c r="Q20" s="298"/>
      <c r="R20" s="299"/>
      <c r="S20" s="300"/>
      <c r="T20" s="301"/>
      <c r="U20" s="301"/>
      <c r="V20" s="477">
        <f>'LEVEL 3'!L20</f>
        <v>1674318</v>
      </c>
      <c r="X20" s="490">
        <f>V20-M20</f>
        <v>-17778</v>
      </c>
      <c r="Z20" s="496">
        <f>IF(M20=0,0,X20/M20)</f>
        <v>-1.0506496085328491E-2</v>
      </c>
      <c r="AB20" s="503"/>
    </row>
    <row r="21" spans="1:28">
      <c r="A21" s="509" t="s">
        <v>105</v>
      </c>
      <c r="C21" s="491">
        <v>3500</v>
      </c>
      <c r="D21" s="628">
        <f t="shared" ref="D21:D84" si="2">V21-C21</f>
        <v>0</v>
      </c>
      <c r="E21" s="290"/>
      <c r="F21" s="479"/>
      <c r="G21" s="305"/>
      <c r="H21" s="306"/>
      <c r="I21" s="307"/>
      <c r="J21" s="308"/>
      <c r="K21" s="309"/>
      <c r="L21" s="310"/>
      <c r="M21" s="480">
        <f>'LEVEL 2 (Match)'!L22</f>
        <v>3500</v>
      </c>
      <c r="O21" s="479"/>
      <c r="P21" s="305"/>
      <c r="Q21" s="306"/>
      <c r="R21" s="307"/>
      <c r="S21" s="308"/>
      <c r="T21" s="309"/>
      <c r="U21" s="310"/>
      <c r="V21" s="480">
        <f>'LEVEL 3'!L22</f>
        <v>3500</v>
      </c>
      <c r="X21" s="491">
        <f>V21-M21</f>
        <v>0</v>
      </c>
      <c r="Z21" s="497">
        <f>IF(M21=0,0,X21/M21)</f>
        <v>0</v>
      </c>
      <c r="AB21" s="504"/>
    </row>
    <row r="22" spans="1:28" outlineLevel="1">
      <c r="A22" s="511" t="s">
        <v>113</v>
      </c>
      <c r="C22" s="629"/>
      <c r="D22" s="259">
        <f t="shared" si="2"/>
        <v>0</v>
      </c>
      <c r="E22" s="290"/>
      <c r="F22" s="482" t="s">
        <v>116</v>
      </c>
      <c r="G22" s="176" t="s">
        <v>15</v>
      </c>
      <c r="H22" s="167">
        <v>48122</v>
      </c>
      <c r="I22" s="413">
        <v>11.99</v>
      </c>
      <c r="J22" s="414">
        <v>0</v>
      </c>
      <c r="K22" s="415">
        <v>11.99</v>
      </c>
      <c r="L22" s="416">
        <f>'LEVEL 2 (Match)'!K25</f>
        <v>576982.78</v>
      </c>
      <c r="M22" s="259"/>
      <c r="O22" s="482" t="s">
        <v>116</v>
      </c>
      <c r="P22" s="176" t="str">
        <f>'LEVEL 3'!F25</f>
        <v>SF</v>
      </c>
      <c r="Q22" s="167">
        <f>'LEVEL 3'!G25</f>
        <v>48122</v>
      </c>
      <c r="R22" s="413">
        <f>'LEVEL 3'!H25</f>
        <v>11.99</v>
      </c>
      <c r="S22" s="414">
        <f>'LEVEL 3'!I25</f>
        <v>0</v>
      </c>
      <c r="T22" s="415">
        <f>'LEVEL 3'!J25</f>
        <v>11.99</v>
      </c>
      <c r="U22" s="416">
        <f>'LEVEL 3'!K25</f>
        <v>576982.78</v>
      </c>
      <c r="V22" s="259"/>
      <c r="X22" s="429">
        <f t="shared" ref="X22:X31" si="3">U22-L22</f>
        <v>0</v>
      </c>
      <c r="Z22" s="432">
        <f t="shared" ref="Z22:Z31" si="4">IF(L22=0,0,X22/L22)</f>
        <v>0</v>
      </c>
      <c r="AB22" s="504"/>
    </row>
    <row r="23" spans="1:28" outlineLevel="1">
      <c r="A23" s="512" t="s">
        <v>117</v>
      </c>
      <c r="C23" s="629"/>
      <c r="D23" s="259">
        <f t="shared" si="2"/>
        <v>0</v>
      </c>
      <c r="E23" s="290"/>
      <c r="F23" s="483" t="s">
        <v>118</v>
      </c>
      <c r="G23" s="164"/>
      <c r="H23" s="161"/>
      <c r="I23" s="185"/>
      <c r="J23" s="216"/>
      <c r="K23" s="417">
        <v>0</v>
      </c>
      <c r="L23" s="416">
        <f>'LEVEL 2 (Match)'!K26</f>
        <v>0</v>
      </c>
      <c r="M23" s="259"/>
      <c r="O23" s="483" t="s">
        <v>118</v>
      </c>
      <c r="P23" s="164">
        <f>'LEVEL 3'!F26</f>
        <v>0</v>
      </c>
      <c r="Q23" s="161">
        <f>'LEVEL 3'!G26</f>
        <v>0</v>
      </c>
      <c r="R23" s="185">
        <f>'LEVEL 3'!H26</f>
        <v>0</v>
      </c>
      <c r="S23" s="216">
        <f>'LEVEL 3'!I26</f>
        <v>0</v>
      </c>
      <c r="T23" s="417">
        <f>'LEVEL 3'!J26</f>
        <v>0</v>
      </c>
      <c r="U23" s="416">
        <f>'LEVEL 3'!K26</f>
        <v>0</v>
      </c>
      <c r="V23" s="259"/>
      <c r="X23" s="429">
        <f t="shared" si="3"/>
        <v>0</v>
      </c>
      <c r="Z23" s="432">
        <f t="shared" si="4"/>
        <v>0</v>
      </c>
      <c r="AB23" s="504"/>
    </row>
    <row r="24" spans="1:28" outlineLevel="1">
      <c r="A24" s="512" t="s">
        <v>119</v>
      </c>
      <c r="C24" s="629"/>
      <c r="D24" s="259">
        <f t="shared" si="2"/>
        <v>0</v>
      </c>
      <c r="E24" s="290"/>
      <c r="F24" s="478" t="s">
        <v>110</v>
      </c>
      <c r="G24" s="164" t="s">
        <v>121</v>
      </c>
      <c r="H24" s="161">
        <v>1</v>
      </c>
      <c r="I24" s="185">
        <v>2500</v>
      </c>
      <c r="J24" s="216">
        <v>0</v>
      </c>
      <c r="K24" s="417">
        <v>2500</v>
      </c>
      <c r="L24" s="416">
        <f>'LEVEL 2 (Match)'!K27</f>
        <v>2500</v>
      </c>
      <c r="M24" s="259"/>
      <c r="O24" s="478" t="s">
        <v>110</v>
      </c>
      <c r="P24" s="164" t="str">
        <f>'LEVEL 3'!F27</f>
        <v>LS</v>
      </c>
      <c r="Q24" s="161">
        <f>'LEVEL 3'!G27</f>
        <v>1</v>
      </c>
      <c r="R24" s="185">
        <f>'LEVEL 3'!H27</f>
        <v>2500</v>
      </c>
      <c r="S24" s="216">
        <f>'LEVEL 3'!I27</f>
        <v>0</v>
      </c>
      <c r="T24" s="417">
        <f>'LEVEL 3'!J27</f>
        <v>2500</v>
      </c>
      <c r="U24" s="416">
        <f>'LEVEL 3'!K27</f>
        <v>2500</v>
      </c>
      <c r="V24" s="259"/>
      <c r="X24" s="429">
        <f t="shared" si="3"/>
        <v>0</v>
      </c>
      <c r="Z24" s="432">
        <f t="shared" si="4"/>
        <v>0</v>
      </c>
      <c r="AB24" s="504"/>
    </row>
    <row r="25" spans="1:28" outlineLevel="1">
      <c r="A25" s="512" t="s">
        <v>122</v>
      </c>
      <c r="C25" s="629"/>
      <c r="D25" s="259">
        <f t="shared" si="2"/>
        <v>0</v>
      </c>
      <c r="E25" s="290"/>
      <c r="F25" s="483" t="s">
        <v>116</v>
      </c>
      <c r="G25" s="223" t="s">
        <v>15</v>
      </c>
      <c r="H25" s="224">
        <v>300</v>
      </c>
      <c r="I25" s="185">
        <v>11.99</v>
      </c>
      <c r="J25" s="216"/>
      <c r="K25" s="417">
        <v>11.99</v>
      </c>
      <c r="L25" s="416">
        <f>'LEVEL 2 (Match)'!K28</f>
        <v>3597</v>
      </c>
      <c r="M25" s="259"/>
      <c r="O25" s="483" t="s">
        <v>116</v>
      </c>
      <c r="P25" s="223" t="str">
        <f>'LEVEL 3'!F28</f>
        <v>SF</v>
      </c>
      <c r="Q25" s="224">
        <f>'LEVEL 3'!G28</f>
        <v>300</v>
      </c>
      <c r="R25" s="185">
        <f>'LEVEL 3'!H28</f>
        <v>11.99</v>
      </c>
      <c r="S25" s="216">
        <f>'LEVEL 3'!I28</f>
        <v>0</v>
      </c>
      <c r="T25" s="417">
        <f>'LEVEL 3'!J28</f>
        <v>11.99</v>
      </c>
      <c r="U25" s="416">
        <f>'LEVEL 3'!K28</f>
        <v>3597</v>
      </c>
      <c r="V25" s="259"/>
      <c r="X25" s="429">
        <f t="shared" si="3"/>
        <v>0</v>
      </c>
      <c r="Z25" s="432">
        <f t="shared" si="4"/>
        <v>0</v>
      </c>
      <c r="AB25" s="504"/>
    </row>
    <row r="26" spans="1:28" outlineLevel="1">
      <c r="A26" s="512" t="s">
        <v>124</v>
      </c>
      <c r="C26" s="629"/>
      <c r="D26" s="259">
        <f t="shared" si="2"/>
        <v>0</v>
      </c>
      <c r="E26" s="290"/>
      <c r="F26" s="483" t="s">
        <v>110</v>
      </c>
      <c r="G26" s="164" t="s">
        <v>15</v>
      </c>
      <c r="H26" s="161">
        <v>920</v>
      </c>
      <c r="I26" s="185">
        <v>11.99</v>
      </c>
      <c r="J26" s="216">
        <v>0</v>
      </c>
      <c r="K26" s="417">
        <v>11.99</v>
      </c>
      <c r="L26" s="416">
        <f>'LEVEL 2 (Match)'!K29</f>
        <v>11030.800000000001</v>
      </c>
      <c r="M26" s="259"/>
      <c r="O26" s="483" t="s">
        <v>110</v>
      </c>
      <c r="P26" s="164" t="str">
        <f>'LEVEL 3'!F29</f>
        <v>SF</v>
      </c>
      <c r="Q26" s="161">
        <f>'LEVEL 3'!G29</f>
        <v>920</v>
      </c>
      <c r="R26" s="185">
        <f>'LEVEL 3'!H29</f>
        <v>11.99</v>
      </c>
      <c r="S26" s="216">
        <f>'LEVEL 3'!I29</f>
        <v>0</v>
      </c>
      <c r="T26" s="417">
        <f>'LEVEL 3'!J29</f>
        <v>11.99</v>
      </c>
      <c r="U26" s="416">
        <f>'LEVEL 3'!K29</f>
        <v>11030.800000000001</v>
      </c>
      <c r="V26" s="259"/>
      <c r="X26" s="429">
        <f t="shared" si="3"/>
        <v>0</v>
      </c>
      <c r="Z26" s="432">
        <f t="shared" si="4"/>
        <v>0</v>
      </c>
      <c r="AB26" s="504"/>
    </row>
    <row r="27" spans="1:28" outlineLevel="1">
      <c r="A27" s="512" t="s">
        <v>128</v>
      </c>
      <c r="C27" s="629"/>
      <c r="D27" s="259">
        <f t="shared" si="2"/>
        <v>0</v>
      </c>
      <c r="E27" s="290"/>
      <c r="F27" s="483" t="s">
        <v>116</v>
      </c>
      <c r="G27" s="164" t="s">
        <v>121</v>
      </c>
      <c r="H27" s="161">
        <v>1</v>
      </c>
      <c r="I27" s="185">
        <v>2500</v>
      </c>
      <c r="J27" s="216">
        <v>0</v>
      </c>
      <c r="K27" s="417">
        <v>2500</v>
      </c>
      <c r="L27" s="416">
        <f>'LEVEL 2 (Match)'!K30</f>
        <v>2500</v>
      </c>
      <c r="M27" s="259"/>
      <c r="O27" s="483" t="s">
        <v>116</v>
      </c>
      <c r="P27" s="164" t="str">
        <f>'LEVEL 3'!F30</f>
        <v>LS</v>
      </c>
      <c r="Q27" s="161">
        <f>'LEVEL 3'!G30</f>
        <v>1</v>
      </c>
      <c r="R27" s="185">
        <f>'LEVEL 3'!H30</f>
        <v>2500</v>
      </c>
      <c r="S27" s="216">
        <f>'LEVEL 3'!I30</f>
        <v>0</v>
      </c>
      <c r="T27" s="417">
        <f>'LEVEL 3'!J30</f>
        <v>2500</v>
      </c>
      <c r="U27" s="416">
        <f>'LEVEL 3'!K30</f>
        <v>2500</v>
      </c>
      <c r="V27" s="259"/>
      <c r="X27" s="429">
        <f t="shared" si="3"/>
        <v>0</v>
      </c>
      <c r="Z27" s="432">
        <f t="shared" si="4"/>
        <v>0</v>
      </c>
      <c r="AB27" s="504"/>
    </row>
    <row r="28" spans="1:28" outlineLevel="1">
      <c r="A28" s="512" t="s">
        <v>131</v>
      </c>
      <c r="C28" s="629"/>
      <c r="D28" s="259">
        <f t="shared" si="2"/>
        <v>0</v>
      </c>
      <c r="E28" s="290"/>
      <c r="F28" s="483" t="s">
        <v>118</v>
      </c>
      <c r="G28" s="164"/>
      <c r="H28" s="161"/>
      <c r="I28" s="185"/>
      <c r="J28" s="216"/>
      <c r="K28" s="417">
        <v>0</v>
      </c>
      <c r="L28" s="416">
        <f>'LEVEL 2 (Match)'!K31</f>
        <v>0</v>
      </c>
      <c r="M28" s="259"/>
      <c r="O28" s="483" t="s">
        <v>118</v>
      </c>
      <c r="P28" s="164">
        <f>'LEVEL 3'!F31</f>
        <v>0</v>
      </c>
      <c r="Q28" s="161">
        <f>'LEVEL 3'!G31</f>
        <v>0</v>
      </c>
      <c r="R28" s="185">
        <f>'LEVEL 3'!H31</f>
        <v>0</v>
      </c>
      <c r="S28" s="216">
        <f>'LEVEL 3'!I31</f>
        <v>0</v>
      </c>
      <c r="T28" s="417">
        <f>'LEVEL 3'!J31</f>
        <v>0</v>
      </c>
      <c r="U28" s="416">
        <f>'LEVEL 3'!K31</f>
        <v>0</v>
      </c>
      <c r="V28" s="259"/>
      <c r="X28" s="429">
        <f t="shared" si="3"/>
        <v>0</v>
      </c>
      <c r="Z28" s="432">
        <f t="shared" si="4"/>
        <v>0</v>
      </c>
      <c r="AB28" s="504"/>
    </row>
    <row r="29" spans="1:28" outlineLevel="1">
      <c r="A29" s="512" t="s">
        <v>133</v>
      </c>
      <c r="C29" s="629"/>
      <c r="D29" s="259">
        <f t="shared" si="2"/>
        <v>0</v>
      </c>
      <c r="E29" s="290"/>
      <c r="F29" s="483" t="s">
        <v>118</v>
      </c>
      <c r="G29" s="164"/>
      <c r="H29" s="161"/>
      <c r="I29" s="185"/>
      <c r="J29" s="216"/>
      <c r="K29" s="417">
        <v>0</v>
      </c>
      <c r="L29" s="416">
        <f>'LEVEL 2 (Match)'!K32</f>
        <v>0</v>
      </c>
      <c r="M29" s="259"/>
      <c r="O29" s="483" t="s">
        <v>118</v>
      </c>
      <c r="P29" s="164">
        <f>'LEVEL 3'!F32</f>
        <v>0</v>
      </c>
      <c r="Q29" s="161">
        <f>'LEVEL 3'!G32</f>
        <v>0</v>
      </c>
      <c r="R29" s="185">
        <f>'LEVEL 3'!H32</f>
        <v>0</v>
      </c>
      <c r="S29" s="216">
        <f>'LEVEL 3'!I32</f>
        <v>0</v>
      </c>
      <c r="T29" s="417">
        <f>'LEVEL 3'!J32</f>
        <v>0</v>
      </c>
      <c r="U29" s="416">
        <f>'LEVEL 3'!K32</f>
        <v>0</v>
      </c>
      <c r="V29" s="259"/>
      <c r="X29" s="429">
        <f t="shared" si="3"/>
        <v>0</v>
      </c>
      <c r="Z29" s="432">
        <f t="shared" si="4"/>
        <v>0</v>
      </c>
      <c r="AB29" s="504"/>
    </row>
    <row r="30" spans="1:28" outlineLevel="1">
      <c r="A30" s="512" t="s">
        <v>136</v>
      </c>
      <c r="C30" s="629"/>
      <c r="D30" s="259">
        <f t="shared" si="2"/>
        <v>0</v>
      </c>
      <c r="E30" s="290"/>
      <c r="F30" s="483" t="s">
        <v>116</v>
      </c>
      <c r="G30" s="164" t="s">
        <v>15</v>
      </c>
      <c r="H30" s="161">
        <v>147250</v>
      </c>
      <c r="I30" s="185">
        <v>2.94</v>
      </c>
      <c r="J30" s="216">
        <v>0</v>
      </c>
      <c r="K30" s="417">
        <v>2.94</v>
      </c>
      <c r="L30" s="416">
        <f>'LEVEL 2 (Match)'!K33</f>
        <v>432915</v>
      </c>
      <c r="M30" s="259"/>
      <c r="O30" s="483" t="s">
        <v>116</v>
      </c>
      <c r="P30" s="164" t="str">
        <f>'LEVEL 3'!F33</f>
        <v>SF</v>
      </c>
      <c r="Q30" s="161">
        <f>'LEVEL 3'!G33</f>
        <v>147250</v>
      </c>
      <c r="R30" s="185">
        <f>'LEVEL 3'!H33</f>
        <v>2.94</v>
      </c>
      <c r="S30" s="216">
        <f>'LEVEL 3'!I33</f>
        <v>0</v>
      </c>
      <c r="T30" s="417">
        <f>'LEVEL 3'!J33</f>
        <v>2.94</v>
      </c>
      <c r="U30" s="416">
        <f>'LEVEL 3'!K33</f>
        <v>432915</v>
      </c>
      <c r="V30" s="259"/>
      <c r="X30" s="429">
        <f t="shared" si="3"/>
        <v>0</v>
      </c>
      <c r="Z30" s="432">
        <f t="shared" si="4"/>
        <v>0</v>
      </c>
      <c r="AB30" s="504"/>
    </row>
    <row r="31" spans="1:28" outlineLevel="1">
      <c r="A31" s="513" t="s">
        <v>138</v>
      </c>
      <c r="C31" s="492"/>
      <c r="D31" s="628">
        <f t="shared" si="2"/>
        <v>0</v>
      </c>
      <c r="E31" s="290"/>
      <c r="F31" s="484" t="s">
        <v>116</v>
      </c>
      <c r="G31" s="315" t="s">
        <v>15</v>
      </c>
      <c r="H31" s="162">
        <v>3024</v>
      </c>
      <c r="I31" s="418">
        <v>19.760000000000002</v>
      </c>
      <c r="J31" s="419">
        <v>0</v>
      </c>
      <c r="K31" s="420">
        <v>19.760000000000002</v>
      </c>
      <c r="L31" s="313">
        <f>'LEVEL 2 (Match)'!K34</f>
        <v>59754.240000000005</v>
      </c>
      <c r="M31" s="485"/>
      <c r="O31" s="484" t="s">
        <v>116</v>
      </c>
      <c r="P31" s="315" t="str">
        <f>'LEVEL 3'!F34</f>
        <v>SF</v>
      </c>
      <c r="Q31" s="162">
        <f>'LEVEL 3'!G34</f>
        <v>3024</v>
      </c>
      <c r="R31" s="418">
        <f>'LEVEL 3'!H34</f>
        <v>19.760000000000002</v>
      </c>
      <c r="S31" s="419">
        <f>'LEVEL 3'!I34</f>
        <v>0</v>
      </c>
      <c r="T31" s="420">
        <f>'LEVEL 3'!J34</f>
        <v>19.760000000000002</v>
      </c>
      <c r="U31" s="313">
        <f>'LEVEL 3'!K34</f>
        <v>59754.240000000005</v>
      </c>
      <c r="V31" s="485"/>
      <c r="X31" s="492">
        <f t="shared" si="3"/>
        <v>0</v>
      </c>
      <c r="Z31" s="498">
        <f t="shared" si="4"/>
        <v>0</v>
      </c>
      <c r="AB31" s="504"/>
    </row>
    <row r="32" spans="1:28">
      <c r="A32" s="509" t="s">
        <v>111</v>
      </c>
      <c r="C32" s="491">
        <v>1082095.97</v>
      </c>
      <c r="D32" s="628">
        <f t="shared" si="2"/>
        <v>7183.8500000000931</v>
      </c>
      <c r="E32" s="290"/>
      <c r="F32" s="479"/>
      <c r="G32" s="305"/>
      <c r="H32" s="306"/>
      <c r="I32" s="307"/>
      <c r="J32" s="308"/>
      <c r="K32" s="309"/>
      <c r="L32" s="310"/>
      <c r="M32" s="480">
        <f>SUM(L22:L31)</f>
        <v>1089279.82</v>
      </c>
      <c r="O32" s="479"/>
      <c r="P32" s="305"/>
      <c r="Q32" s="306"/>
      <c r="R32" s="307"/>
      <c r="S32" s="308"/>
      <c r="T32" s="309"/>
      <c r="U32" s="310"/>
      <c r="V32" s="480">
        <f>'LEVEL 3'!L24</f>
        <v>1089279.82</v>
      </c>
      <c r="X32" s="491">
        <f>V32-M32</f>
        <v>0</v>
      </c>
      <c r="Z32" s="497">
        <f>IF(M32=0,0,X32/M32)</f>
        <v>0</v>
      </c>
      <c r="AB32" s="504"/>
    </row>
    <row r="33" spans="1:28" outlineLevel="1">
      <c r="A33" s="511" t="s">
        <v>152</v>
      </c>
      <c r="C33" s="629"/>
      <c r="D33" s="259">
        <f t="shared" si="2"/>
        <v>0</v>
      </c>
      <c r="E33" s="290"/>
      <c r="F33" s="482" t="s">
        <v>116</v>
      </c>
      <c r="G33" s="176" t="s">
        <v>416</v>
      </c>
      <c r="H33" s="167">
        <v>8</v>
      </c>
      <c r="I33" s="413">
        <v>9500</v>
      </c>
      <c r="J33" s="414">
        <v>0</v>
      </c>
      <c r="K33" s="415">
        <v>9500</v>
      </c>
      <c r="L33" s="416">
        <v>76000</v>
      </c>
      <c r="M33" s="259"/>
      <c r="O33" s="482" t="s">
        <v>116</v>
      </c>
      <c r="P33" s="176" t="str">
        <f>'LEVEL 3'!F45</f>
        <v>Stop</v>
      </c>
      <c r="Q33" s="167">
        <f>'LEVEL 3'!G45</f>
        <v>8</v>
      </c>
      <c r="R33" s="413">
        <f>'LEVEL 3'!H45</f>
        <v>9500</v>
      </c>
      <c r="S33" s="414">
        <f>'LEVEL 3'!I45</f>
        <v>0</v>
      </c>
      <c r="T33" s="415">
        <f>'LEVEL 3'!J45</f>
        <v>9500</v>
      </c>
      <c r="U33" s="416">
        <f>'LEVEL 3'!K45</f>
        <v>76000</v>
      </c>
      <c r="V33" s="259"/>
      <c r="X33" s="429">
        <f>U33-L33</f>
        <v>0</v>
      </c>
      <c r="Z33" s="432">
        <f>IF(L33=0,0,X33/L33)</f>
        <v>0</v>
      </c>
      <c r="AB33" s="504"/>
    </row>
    <row r="34" spans="1:28" outlineLevel="1">
      <c r="A34" s="512" t="s">
        <v>154</v>
      </c>
      <c r="C34" s="629"/>
      <c r="D34" s="259">
        <f t="shared" si="2"/>
        <v>0</v>
      </c>
      <c r="E34" s="290"/>
      <c r="F34" s="483" t="s">
        <v>116</v>
      </c>
      <c r="G34" s="164" t="s">
        <v>32</v>
      </c>
      <c r="H34" s="161">
        <v>4</v>
      </c>
      <c r="I34" s="185">
        <v>5700</v>
      </c>
      <c r="J34" s="216">
        <v>0</v>
      </c>
      <c r="K34" s="417">
        <v>5700</v>
      </c>
      <c r="L34" s="416">
        <v>22800</v>
      </c>
      <c r="M34" s="259"/>
      <c r="O34" s="483" t="s">
        <v>116</v>
      </c>
      <c r="P34" s="164" t="str">
        <f>'LEVEL 3'!F46</f>
        <v>Count</v>
      </c>
      <c r="Q34" s="161">
        <f>'LEVEL 3'!G46</f>
        <v>4</v>
      </c>
      <c r="R34" s="185">
        <f>'LEVEL 3'!H46</f>
        <v>5700</v>
      </c>
      <c r="S34" s="216">
        <f>'LEVEL 3'!I46</f>
        <v>0</v>
      </c>
      <c r="T34" s="417">
        <f>'LEVEL 3'!J46</f>
        <v>5700</v>
      </c>
      <c r="U34" s="416">
        <f>'LEVEL 3'!K46</f>
        <v>22800</v>
      </c>
      <c r="V34" s="259"/>
      <c r="X34" s="429">
        <f>U34-L34</f>
        <v>0</v>
      </c>
      <c r="Z34" s="432">
        <f>IF(L34=0,0,X34/L34)</f>
        <v>0</v>
      </c>
      <c r="AB34" s="504"/>
    </row>
    <row r="35" spans="1:28" outlineLevel="1">
      <c r="A35" s="512" t="s">
        <v>156</v>
      </c>
      <c r="C35" s="629"/>
      <c r="D35" s="259">
        <f t="shared" si="2"/>
        <v>0</v>
      </c>
      <c r="E35" s="290"/>
      <c r="F35" s="483" t="s">
        <v>118</v>
      </c>
      <c r="G35" s="164"/>
      <c r="H35" s="161"/>
      <c r="I35" s="185">
        <v>0</v>
      </c>
      <c r="J35" s="216"/>
      <c r="K35" s="417">
        <v>0</v>
      </c>
      <c r="L35" s="416">
        <v>0</v>
      </c>
      <c r="M35" s="259"/>
      <c r="O35" s="483" t="s">
        <v>118</v>
      </c>
      <c r="P35" s="164">
        <f>'LEVEL 3'!F47</f>
        <v>0</v>
      </c>
      <c r="Q35" s="161">
        <f>'LEVEL 3'!G47</f>
        <v>0</v>
      </c>
      <c r="R35" s="185">
        <f>'LEVEL 3'!H47</f>
        <v>0</v>
      </c>
      <c r="S35" s="216">
        <f>'LEVEL 3'!I47</f>
        <v>0</v>
      </c>
      <c r="T35" s="417">
        <f>'LEVEL 3'!J47</f>
        <v>0</v>
      </c>
      <c r="U35" s="416">
        <f>'LEVEL 3'!K47</f>
        <v>0</v>
      </c>
      <c r="V35" s="259"/>
      <c r="X35" s="429">
        <f>U35-L35</f>
        <v>0</v>
      </c>
      <c r="Z35" s="432">
        <f>IF(L35=0,0,X35/L35)</f>
        <v>0</v>
      </c>
      <c r="AB35" s="504"/>
    </row>
    <row r="36" spans="1:28" outlineLevel="1">
      <c r="A36" s="512" t="s">
        <v>158</v>
      </c>
      <c r="C36" s="629"/>
      <c r="D36" s="259">
        <f t="shared" si="2"/>
        <v>0</v>
      </c>
      <c r="E36" s="290"/>
      <c r="F36" s="483" t="s">
        <v>110</v>
      </c>
      <c r="G36" s="164" t="s">
        <v>121</v>
      </c>
      <c r="H36" s="161">
        <v>1</v>
      </c>
      <c r="I36" s="185">
        <v>5000</v>
      </c>
      <c r="J36" s="216">
        <v>0</v>
      </c>
      <c r="K36" s="417">
        <v>5000</v>
      </c>
      <c r="L36" s="416">
        <v>5000</v>
      </c>
      <c r="M36" s="259"/>
      <c r="O36" s="483" t="s">
        <v>110</v>
      </c>
      <c r="P36" s="164" t="str">
        <f>'LEVEL 3'!F48</f>
        <v>LS</v>
      </c>
      <c r="Q36" s="161">
        <f>'LEVEL 3'!G48</f>
        <v>1</v>
      </c>
      <c r="R36" s="185">
        <f>'LEVEL 3'!H48</f>
        <v>5000</v>
      </c>
      <c r="S36" s="216">
        <f>'LEVEL 3'!I48</f>
        <v>0</v>
      </c>
      <c r="T36" s="417">
        <f>'LEVEL 3'!J48</f>
        <v>5000</v>
      </c>
      <c r="U36" s="416">
        <f>'LEVEL 3'!K48</f>
        <v>5000</v>
      </c>
      <c r="V36" s="259"/>
      <c r="X36" s="429">
        <f>U36-L36</f>
        <v>0</v>
      </c>
      <c r="Z36" s="432">
        <f>IF(L36=0,0,X36/L36)</f>
        <v>0</v>
      </c>
      <c r="AB36" s="504"/>
    </row>
    <row r="37" spans="1:28" outlineLevel="1">
      <c r="A37" s="512" t="s">
        <v>160</v>
      </c>
      <c r="C37" s="629"/>
      <c r="D37" s="259">
        <f t="shared" si="2"/>
        <v>0</v>
      </c>
      <c r="E37" s="290"/>
      <c r="F37" s="483" t="s">
        <v>116</v>
      </c>
      <c r="G37" s="164" t="s">
        <v>121</v>
      </c>
      <c r="H37" s="161">
        <v>1</v>
      </c>
      <c r="I37" s="185">
        <v>9000</v>
      </c>
      <c r="J37" s="216">
        <v>0</v>
      </c>
      <c r="K37" s="417">
        <v>9000</v>
      </c>
      <c r="L37" s="416">
        <v>9000</v>
      </c>
      <c r="M37" s="259"/>
      <c r="O37" s="483" t="s">
        <v>116</v>
      </c>
      <c r="P37" s="164" t="str">
        <f>'LEVEL 3'!F49</f>
        <v>LS</v>
      </c>
      <c r="Q37" s="161">
        <f>'LEVEL 3'!G49</f>
        <v>1</v>
      </c>
      <c r="R37" s="185">
        <f>'LEVEL 3'!H49</f>
        <v>9000</v>
      </c>
      <c r="S37" s="216">
        <f>'LEVEL 3'!I49</f>
        <v>0</v>
      </c>
      <c r="T37" s="417">
        <f>'LEVEL 3'!J49</f>
        <v>9000</v>
      </c>
      <c r="U37" s="416">
        <f>'LEVEL 3'!K49</f>
        <v>9000</v>
      </c>
      <c r="V37" s="259"/>
      <c r="X37" s="429">
        <f>U37-L37</f>
        <v>0</v>
      </c>
      <c r="Z37" s="432">
        <f>IF(L37=0,0,X37/L37)</f>
        <v>0</v>
      </c>
      <c r="AB37" s="504"/>
    </row>
    <row r="38" spans="1:28">
      <c r="A38" s="509" t="s">
        <v>150</v>
      </c>
      <c r="C38" s="491">
        <v>115440</v>
      </c>
      <c r="D38" s="628">
        <f t="shared" si="2"/>
        <v>-2640</v>
      </c>
      <c r="E38" s="290"/>
      <c r="F38" s="479"/>
      <c r="G38" s="305"/>
      <c r="H38" s="306"/>
      <c r="I38" s="307"/>
      <c r="J38" s="308"/>
      <c r="K38" s="307"/>
      <c r="L38" s="421"/>
      <c r="M38" s="480">
        <f>SUM(L33:L37)</f>
        <v>112800</v>
      </c>
      <c r="O38" s="479"/>
      <c r="P38" s="305"/>
      <c r="Q38" s="306"/>
      <c r="R38" s="307"/>
      <c r="S38" s="308"/>
      <c r="T38" s="307"/>
      <c r="U38" s="421"/>
      <c r="V38" s="480">
        <f>'LEVEL 3'!L44</f>
        <v>112800</v>
      </c>
      <c r="X38" s="491">
        <f>V38-M38</f>
        <v>0</v>
      </c>
      <c r="Z38" s="497">
        <f>IF(M38=0,0,X38/M38)</f>
        <v>0</v>
      </c>
      <c r="AB38" s="504"/>
    </row>
    <row r="39" spans="1:28" outlineLevel="1">
      <c r="A39" s="511" t="s">
        <v>164</v>
      </c>
      <c r="C39" s="629"/>
      <c r="D39" s="259">
        <f t="shared" si="2"/>
        <v>0</v>
      </c>
      <c r="E39" s="290"/>
      <c r="F39" s="482" t="s">
        <v>116</v>
      </c>
      <c r="G39" s="176" t="s">
        <v>837</v>
      </c>
      <c r="H39" s="167">
        <v>31706.95</v>
      </c>
      <c r="I39" s="413">
        <v>3.5584036904865521</v>
      </c>
      <c r="J39" s="414">
        <v>0</v>
      </c>
      <c r="K39" s="415">
        <v>3.5584036904865521</v>
      </c>
      <c r="L39" s="416">
        <v>112826.12789407259</v>
      </c>
      <c r="M39" s="259"/>
      <c r="O39" s="482" t="s">
        <v>116</v>
      </c>
      <c r="P39" s="176" t="str">
        <f>'LEVEL 3'!F51</f>
        <v>LBS</v>
      </c>
      <c r="Q39" s="167">
        <f>'LEVEL 3'!G51</f>
        <v>31706.95</v>
      </c>
      <c r="R39" s="413">
        <f>'LEVEL 3'!H51</f>
        <v>3.5584036904865521</v>
      </c>
      <c r="S39" s="414">
        <f>'LEVEL 3'!I51</f>
        <v>0</v>
      </c>
      <c r="T39" s="415">
        <f>'LEVEL 3'!J51</f>
        <v>3.5584036904865521</v>
      </c>
      <c r="U39" s="416">
        <f>'LEVEL 3'!K51</f>
        <v>112826.12789407259</v>
      </c>
      <c r="V39" s="259"/>
      <c r="X39" s="429">
        <f t="shared" ref="X39:X46" si="5">U39-L39</f>
        <v>0</v>
      </c>
      <c r="Z39" s="432">
        <f t="shared" ref="Z39:Z46" si="6">IF(L39=0,0,X39/L39)</f>
        <v>0</v>
      </c>
      <c r="AB39" s="504"/>
    </row>
    <row r="40" spans="1:28" outlineLevel="1">
      <c r="A40" s="512" t="s">
        <v>167</v>
      </c>
      <c r="C40" s="629"/>
      <c r="D40" s="259">
        <f t="shared" si="2"/>
        <v>0</v>
      </c>
      <c r="E40" s="290"/>
      <c r="F40" s="483" t="s">
        <v>116</v>
      </c>
      <c r="G40" s="164" t="s">
        <v>32</v>
      </c>
      <c r="H40" s="161">
        <v>2</v>
      </c>
      <c r="I40" s="185">
        <v>4040</v>
      </c>
      <c r="J40" s="216">
        <v>0</v>
      </c>
      <c r="K40" s="415">
        <v>4040</v>
      </c>
      <c r="L40" s="416">
        <v>8080</v>
      </c>
      <c r="M40" s="259"/>
      <c r="O40" s="483" t="s">
        <v>116</v>
      </c>
      <c r="P40" s="164" t="str">
        <f>'LEVEL 3'!F52</f>
        <v>Count</v>
      </c>
      <c r="Q40" s="161">
        <f>'LEVEL 3'!G52</f>
        <v>2</v>
      </c>
      <c r="R40" s="185">
        <f>'LEVEL 3'!H52</f>
        <v>4040</v>
      </c>
      <c r="S40" s="216">
        <f>'LEVEL 3'!I52</f>
        <v>0</v>
      </c>
      <c r="T40" s="415">
        <f>'LEVEL 3'!J52</f>
        <v>4040</v>
      </c>
      <c r="U40" s="416">
        <f>'LEVEL 3'!K52</f>
        <v>8080</v>
      </c>
      <c r="V40" s="259"/>
      <c r="X40" s="429">
        <f t="shared" si="5"/>
        <v>0</v>
      </c>
      <c r="Z40" s="432">
        <f t="shared" si="6"/>
        <v>0</v>
      </c>
      <c r="AB40" s="504"/>
    </row>
    <row r="41" spans="1:28" outlineLevel="1">
      <c r="A41" s="512" t="s">
        <v>169</v>
      </c>
      <c r="C41" s="629"/>
      <c r="D41" s="259">
        <f t="shared" si="2"/>
        <v>0</v>
      </c>
      <c r="E41" s="290"/>
      <c r="F41" s="483" t="s">
        <v>116</v>
      </c>
      <c r="G41" s="164" t="s">
        <v>838</v>
      </c>
      <c r="H41" s="161">
        <v>28</v>
      </c>
      <c r="I41" s="185">
        <v>2000</v>
      </c>
      <c r="J41" s="216">
        <v>0</v>
      </c>
      <c r="K41" s="415">
        <v>2000</v>
      </c>
      <c r="L41" s="416">
        <v>56000</v>
      </c>
      <c r="M41" s="259"/>
      <c r="O41" s="483" t="s">
        <v>855</v>
      </c>
      <c r="P41" s="164" t="str">
        <f>'LEVEL 3'!F53</f>
        <v>Flight</v>
      </c>
      <c r="Q41" s="161">
        <f>'LEVEL 3'!G53</f>
        <v>28</v>
      </c>
      <c r="R41" s="185">
        <f>'LEVEL 3'!H53</f>
        <v>2000</v>
      </c>
      <c r="S41" s="216">
        <f>'LEVEL 3'!I53</f>
        <v>0</v>
      </c>
      <c r="T41" s="415">
        <f>'LEVEL 3'!J53</f>
        <v>2000</v>
      </c>
      <c r="U41" s="416">
        <f>'LEVEL 3'!K53</f>
        <v>56000</v>
      </c>
      <c r="V41" s="259"/>
      <c r="X41" s="429">
        <f t="shared" si="5"/>
        <v>0</v>
      </c>
      <c r="Z41" s="432">
        <f t="shared" si="6"/>
        <v>0</v>
      </c>
      <c r="AB41" s="504"/>
    </row>
    <row r="42" spans="1:28" outlineLevel="1">
      <c r="A42" s="512" t="s">
        <v>171</v>
      </c>
      <c r="C42" s="629"/>
      <c r="D42" s="259">
        <f t="shared" si="2"/>
        <v>0</v>
      </c>
      <c r="E42" s="290"/>
      <c r="F42" s="483" t="s">
        <v>118</v>
      </c>
      <c r="G42" s="164"/>
      <c r="H42" s="161"/>
      <c r="I42" s="185">
        <v>0</v>
      </c>
      <c r="J42" s="216">
        <v>0</v>
      </c>
      <c r="K42" s="415">
        <v>0</v>
      </c>
      <c r="L42" s="416">
        <v>0</v>
      </c>
      <c r="M42" s="259"/>
      <c r="O42" s="483" t="s">
        <v>118</v>
      </c>
      <c r="P42" s="164">
        <f>'LEVEL 3'!F54</f>
        <v>0</v>
      </c>
      <c r="Q42" s="161">
        <f>'LEVEL 3'!G54</f>
        <v>0</v>
      </c>
      <c r="R42" s="185">
        <f>'LEVEL 3'!H54</f>
        <v>0</v>
      </c>
      <c r="S42" s="216">
        <f>'LEVEL 3'!I54</f>
        <v>0</v>
      </c>
      <c r="T42" s="415">
        <f>'LEVEL 3'!J54</f>
        <v>0</v>
      </c>
      <c r="U42" s="416">
        <f>'LEVEL 3'!K54</f>
        <v>0</v>
      </c>
      <c r="V42" s="259"/>
      <c r="X42" s="429">
        <f t="shared" si="5"/>
        <v>0</v>
      </c>
      <c r="Z42" s="432">
        <f t="shared" si="6"/>
        <v>0</v>
      </c>
      <c r="AB42" s="504"/>
    </row>
    <row r="43" spans="1:28" outlineLevel="1">
      <c r="A43" s="512" t="s">
        <v>172</v>
      </c>
      <c r="C43" s="629"/>
      <c r="D43" s="259">
        <f t="shared" si="2"/>
        <v>0</v>
      </c>
      <c r="E43" s="290"/>
      <c r="F43" s="483" t="s">
        <v>118</v>
      </c>
      <c r="G43" s="164"/>
      <c r="H43" s="161"/>
      <c r="I43" s="185">
        <v>0</v>
      </c>
      <c r="J43" s="216">
        <v>0</v>
      </c>
      <c r="K43" s="415">
        <v>0</v>
      </c>
      <c r="L43" s="416">
        <v>0</v>
      </c>
      <c r="M43" s="259"/>
      <c r="O43" s="483" t="s">
        <v>118</v>
      </c>
      <c r="P43" s="164">
        <f>'LEVEL 3'!F55</f>
        <v>0</v>
      </c>
      <c r="Q43" s="161">
        <f>'LEVEL 3'!G55</f>
        <v>0</v>
      </c>
      <c r="R43" s="185">
        <f>'LEVEL 3'!H55</f>
        <v>0</v>
      </c>
      <c r="S43" s="216">
        <f>'LEVEL 3'!I55</f>
        <v>0</v>
      </c>
      <c r="T43" s="415">
        <f>'LEVEL 3'!J55</f>
        <v>0</v>
      </c>
      <c r="U43" s="416">
        <f>'LEVEL 3'!K55</f>
        <v>0</v>
      </c>
      <c r="V43" s="259"/>
      <c r="X43" s="429">
        <f t="shared" si="5"/>
        <v>0</v>
      </c>
      <c r="Z43" s="432">
        <f t="shared" si="6"/>
        <v>0</v>
      </c>
      <c r="AB43" s="504"/>
    </row>
    <row r="44" spans="1:28" outlineLevel="1">
      <c r="A44" s="512" t="s">
        <v>174</v>
      </c>
      <c r="C44" s="629"/>
      <c r="D44" s="259">
        <f t="shared" si="2"/>
        <v>0</v>
      </c>
      <c r="E44" s="290"/>
      <c r="F44" s="483" t="s">
        <v>116</v>
      </c>
      <c r="G44" s="164" t="s">
        <v>32</v>
      </c>
      <c r="H44" s="161">
        <v>1</v>
      </c>
      <c r="I44" s="185">
        <v>1950</v>
      </c>
      <c r="J44" s="216">
        <v>0</v>
      </c>
      <c r="K44" s="415">
        <v>1950</v>
      </c>
      <c r="L44" s="416">
        <v>1950</v>
      </c>
      <c r="M44" s="259"/>
      <c r="O44" s="483" t="s">
        <v>116</v>
      </c>
      <c r="P44" s="164" t="str">
        <f>'LEVEL 3'!F56</f>
        <v>Count</v>
      </c>
      <c r="Q44" s="161">
        <f>'LEVEL 3'!G56</f>
        <v>1</v>
      </c>
      <c r="R44" s="185">
        <f>'LEVEL 3'!H56</f>
        <v>1950</v>
      </c>
      <c r="S44" s="216">
        <f>'LEVEL 3'!I56</f>
        <v>0</v>
      </c>
      <c r="T44" s="415">
        <f>'LEVEL 3'!J56</f>
        <v>1950</v>
      </c>
      <c r="U44" s="416">
        <f>'LEVEL 3'!K56</f>
        <v>1950</v>
      </c>
      <c r="V44" s="259"/>
      <c r="X44" s="429">
        <f t="shared" si="5"/>
        <v>0</v>
      </c>
      <c r="Z44" s="432">
        <f t="shared" si="6"/>
        <v>0</v>
      </c>
      <c r="AB44" s="504"/>
    </row>
    <row r="45" spans="1:28" outlineLevel="1">
      <c r="A45" s="512" t="s">
        <v>176</v>
      </c>
      <c r="C45" s="629"/>
      <c r="D45" s="259">
        <f t="shared" si="2"/>
        <v>0</v>
      </c>
      <c r="E45" s="290"/>
      <c r="F45" s="483" t="s">
        <v>116</v>
      </c>
      <c r="G45" s="164" t="s">
        <v>549</v>
      </c>
      <c r="H45" s="161">
        <v>1593</v>
      </c>
      <c r="I45" s="185">
        <v>92</v>
      </c>
      <c r="J45" s="216">
        <v>0</v>
      </c>
      <c r="K45" s="415">
        <v>92</v>
      </c>
      <c r="L45" s="416">
        <v>146556</v>
      </c>
      <c r="M45" s="259"/>
      <c r="O45" s="483" t="s">
        <v>855</v>
      </c>
      <c r="P45" s="164" t="str">
        <f>'LEVEL 3'!F57</f>
        <v>LF</v>
      </c>
      <c r="Q45" s="161">
        <f>'LEVEL 3'!G57</f>
        <v>1593</v>
      </c>
      <c r="R45" s="185">
        <f>'LEVEL 3'!H57</f>
        <v>92</v>
      </c>
      <c r="S45" s="216">
        <f>'LEVEL 3'!I57</f>
        <v>0</v>
      </c>
      <c r="T45" s="415">
        <f>'LEVEL 3'!J57</f>
        <v>92</v>
      </c>
      <c r="U45" s="416">
        <f>'LEVEL 3'!K57</f>
        <v>146556</v>
      </c>
      <c r="V45" s="259"/>
      <c r="X45" s="429">
        <f t="shared" si="5"/>
        <v>0</v>
      </c>
      <c r="Z45" s="432">
        <f t="shared" si="6"/>
        <v>0</v>
      </c>
      <c r="AB45" s="504" t="s">
        <v>936</v>
      </c>
    </row>
    <row r="46" spans="1:28" outlineLevel="1">
      <c r="A46" s="512" t="s">
        <v>179</v>
      </c>
      <c r="C46" s="629"/>
      <c r="D46" s="259">
        <f t="shared" si="2"/>
        <v>0</v>
      </c>
      <c r="E46" s="290"/>
      <c r="F46" s="483" t="s">
        <v>118</v>
      </c>
      <c r="G46" s="164"/>
      <c r="H46" s="161"/>
      <c r="I46" s="185">
        <v>0</v>
      </c>
      <c r="J46" s="216">
        <v>0</v>
      </c>
      <c r="K46" s="415">
        <v>0</v>
      </c>
      <c r="L46" s="416">
        <v>0</v>
      </c>
      <c r="M46" s="259"/>
      <c r="O46" s="483" t="s">
        <v>118</v>
      </c>
      <c r="P46" s="164">
        <f>'LEVEL 3'!F58</f>
        <v>0</v>
      </c>
      <c r="Q46" s="161">
        <f>'LEVEL 3'!G58</f>
        <v>0</v>
      </c>
      <c r="R46" s="185">
        <f>'LEVEL 3'!H58</f>
        <v>0</v>
      </c>
      <c r="S46" s="216">
        <f>'LEVEL 3'!I58</f>
        <v>0</v>
      </c>
      <c r="T46" s="415">
        <f>'LEVEL 3'!J58</f>
        <v>0</v>
      </c>
      <c r="U46" s="416">
        <f>'LEVEL 3'!K58</f>
        <v>0</v>
      </c>
      <c r="V46" s="259"/>
      <c r="X46" s="429">
        <f t="shared" si="5"/>
        <v>0</v>
      </c>
      <c r="Z46" s="432">
        <f t="shared" si="6"/>
        <v>0</v>
      </c>
      <c r="AB46" s="504"/>
    </row>
    <row r="47" spans="1:28">
      <c r="A47" s="509" t="s">
        <v>162</v>
      </c>
      <c r="C47" s="491">
        <v>335138.42449999996</v>
      </c>
      <c r="D47" s="628">
        <f t="shared" si="2"/>
        <v>-9726.296605927404</v>
      </c>
      <c r="E47" s="290"/>
      <c r="F47" s="479"/>
      <c r="G47" s="305"/>
      <c r="H47" s="306"/>
      <c r="I47" s="307"/>
      <c r="J47" s="308"/>
      <c r="K47" s="307"/>
      <c r="L47" s="421"/>
      <c r="M47" s="480">
        <f>SUM(L39:L46)</f>
        <v>325412.12789407256</v>
      </c>
      <c r="O47" s="479"/>
      <c r="P47" s="305"/>
      <c r="Q47" s="306"/>
      <c r="R47" s="307"/>
      <c r="S47" s="308"/>
      <c r="T47" s="307"/>
      <c r="U47" s="421"/>
      <c r="V47" s="480">
        <f>'LEVEL 3'!L50</f>
        <v>325412.12789407256</v>
      </c>
      <c r="X47" s="491">
        <f>V47-M47</f>
        <v>0</v>
      </c>
      <c r="Z47" s="497">
        <f>IF(M47=0,0,X47/M47)</f>
        <v>0</v>
      </c>
      <c r="AB47" s="504"/>
    </row>
    <row r="48" spans="1:28" outlineLevel="1">
      <c r="A48" s="512" t="s">
        <v>188</v>
      </c>
      <c r="C48" s="629"/>
      <c r="D48" s="259">
        <f t="shared" si="2"/>
        <v>0</v>
      </c>
      <c r="E48" s="290"/>
      <c r="F48" s="483" t="s">
        <v>841</v>
      </c>
      <c r="G48" s="164" t="s">
        <v>15</v>
      </c>
      <c r="H48" s="161">
        <v>196289</v>
      </c>
      <c r="I48" s="185">
        <v>20.5</v>
      </c>
      <c r="J48" s="216">
        <v>0</v>
      </c>
      <c r="K48" s="415">
        <v>20.5</v>
      </c>
      <c r="L48" s="416">
        <v>4023924.5</v>
      </c>
      <c r="M48" s="259"/>
      <c r="O48" s="483" t="s">
        <v>116</v>
      </c>
      <c r="P48" s="164" t="str">
        <f>'LEVEL 3'!F60</f>
        <v>SF</v>
      </c>
      <c r="Q48" s="161">
        <f>'LEVEL 3'!G60</f>
        <v>196289</v>
      </c>
      <c r="R48" s="185">
        <f>'LEVEL 3'!H60</f>
        <v>20.42358206522016</v>
      </c>
      <c r="S48" s="216">
        <f>'LEVEL 3'!I60</f>
        <v>0</v>
      </c>
      <c r="T48" s="415">
        <f>'LEVEL 3'!J60</f>
        <v>20.42358206522016</v>
      </c>
      <c r="U48" s="416">
        <f>'LEVEL 3'!K60</f>
        <v>4008924.5</v>
      </c>
      <c r="V48" s="259"/>
      <c r="X48" s="429">
        <f t="shared" ref="X48:X60" si="7">U48-L48</f>
        <v>-15000</v>
      </c>
      <c r="Z48" s="432">
        <f t="shared" ref="Z48:Z60" si="8">IF(L48=0,0,X48/L48)</f>
        <v>-3.7277041356019477E-3</v>
      </c>
      <c r="AB48" s="504"/>
    </row>
    <row r="49" spans="1:28" outlineLevel="1">
      <c r="A49" s="37" t="s">
        <v>843</v>
      </c>
      <c r="C49" s="629"/>
      <c r="D49" s="259">
        <f t="shared" si="2"/>
        <v>0</v>
      </c>
      <c r="E49" s="290"/>
      <c r="F49" s="483"/>
      <c r="G49" s="164"/>
      <c r="H49" s="161"/>
      <c r="I49" s="185"/>
      <c r="J49" s="216"/>
      <c r="K49" s="415"/>
      <c r="L49" s="416"/>
      <c r="M49" s="259"/>
      <c r="O49" s="483" t="s">
        <v>116</v>
      </c>
      <c r="P49" s="164" t="str">
        <f>'LEVEL 3'!F61</f>
        <v>LS</v>
      </c>
      <c r="Q49" s="161">
        <f>'LEVEL 3'!G61</f>
        <v>1</v>
      </c>
      <c r="R49" s="185">
        <f>'LEVEL 3'!H61</f>
        <v>15000</v>
      </c>
      <c r="S49" s="216">
        <f>'LEVEL 3'!I61</f>
        <v>0</v>
      </c>
      <c r="T49" s="415">
        <f>'LEVEL 3'!J61</f>
        <v>15000</v>
      </c>
      <c r="U49" s="416">
        <f>'LEVEL 3'!K61</f>
        <v>15000</v>
      </c>
      <c r="V49" s="259"/>
      <c r="X49" s="429"/>
      <c r="Z49" s="432"/>
      <c r="AB49" s="504"/>
    </row>
    <row r="50" spans="1:28" outlineLevel="1">
      <c r="A50" s="512" t="s">
        <v>190</v>
      </c>
      <c r="C50" s="629"/>
      <c r="D50" s="259">
        <f t="shared" si="2"/>
        <v>0</v>
      </c>
      <c r="E50" s="290"/>
      <c r="F50" s="483" t="s">
        <v>118</v>
      </c>
      <c r="G50" s="164"/>
      <c r="H50" s="161"/>
      <c r="I50" s="185"/>
      <c r="J50" s="216">
        <v>0</v>
      </c>
      <c r="K50" s="415">
        <v>0</v>
      </c>
      <c r="L50" s="416">
        <v>0</v>
      </c>
      <c r="M50" s="259"/>
      <c r="O50" s="483" t="s">
        <v>118</v>
      </c>
      <c r="P50" s="164">
        <f>'LEVEL 3'!F62</f>
        <v>0</v>
      </c>
      <c r="Q50" s="161">
        <f>'LEVEL 3'!G62</f>
        <v>0</v>
      </c>
      <c r="R50" s="185">
        <f>'LEVEL 3'!H62</f>
        <v>0</v>
      </c>
      <c r="S50" s="216">
        <f>'LEVEL 3'!I62</f>
        <v>0</v>
      </c>
      <c r="T50" s="415">
        <f>'LEVEL 3'!J62</f>
        <v>0</v>
      </c>
      <c r="U50" s="416">
        <f>'LEVEL 3'!K62</f>
        <v>0</v>
      </c>
      <c r="V50" s="259"/>
      <c r="X50" s="429">
        <f t="shared" si="7"/>
        <v>0</v>
      </c>
      <c r="Z50" s="432">
        <f t="shared" si="8"/>
        <v>0</v>
      </c>
      <c r="AB50" s="504"/>
    </row>
    <row r="51" spans="1:28" outlineLevel="1">
      <c r="A51" s="512" t="s">
        <v>191</v>
      </c>
      <c r="C51" s="629"/>
      <c r="D51" s="259">
        <f t="shared" si="2"/>
        <v>0</v>
      </c>
      <c r="E51" s="290"/>
      <c r="F51" s="483" t="s">
        <v>118</v>
      </c>
      <c r="G51" s="164"/>
      <c r="H51" s="161"/>
      <c r="I51" s="185"/>
      <c r="J51" s="216">
        <v>0</v>
      </c>
      <c r="K51" s="415">
        <v>0</v>
      </c>
      <c r="L51" s="416">
        <v>0</v>
      </c>
      <c r="M51" s="259"/>
      <c r="O51" s="483" t="s">
        <v>118</v>
      </c>
      <c r="P51" s="164">
        <f>'LEVEL 3'!F63</f>
        <v>0</v>
      </c>
      <c r="Q51" s="161">
        <f>'LEVEL 3'!G63</f>
        <v>0</v>
      </c>
      <c r="R51" s="185">
        <f>'LEVEL 3'!H63</f>
        <v>0</v>
      </c>
      <c r="S51" s="216">
        <f>'LEVEL 3'!I63</f>
        <v>0</v>
      </c>
      <c r="T51" s="415">
        <f>'LEVEL 3'!J63</f>
        <v>0</v>
      </c>
      <c r="U51" s="416">
        <f>'LEVEL 3'!K63</f>
        <v>0</v>
      </c>
      <c r="V51" s="259"/>
      <c r="X51" s="429">
        <f t="shared" si="7"/>
        <v>0</v>
      </c>
      <c r="Z51" s="432">
        <f t="shared" si="8"/>
        <v>0</v>
      </c>
      <c r="AB51" s="504"/>
    </row>
    <row r="52" spans="1:28" outlineLevel="1">
      <c r="A52" s="512" t="s">
        <v>193</v>
      </c>
      <c r="C52" s="629"/>
      <c r="D52" s="259">
        <f t="shared" si="2"/>
        <v>0</v>
      </c>
      <c r="E52" s="290"/>
      <c r="F52" s="483" t="s">
        <v>110</v>
      </c>
      <c r="G52" s="164" t="s">
        <v>121</v>
      </c>
      <c r="H52" s="161">
        <v>1</v>
      </c>
      <c r="I52" s="185">
        <v>2500</v>
      </c>
      <c r="J52" s="216">
        <v>0</v>
      </c>
      <c r="K52" s="415">
        <v>2500</v>
      </c>
      <c r="L52" s="416">
        <v>2500</v>
      </c>
      <c r="M52" s="259"/>
      <c r="O52" s="483" t="s">
        <v>110</v>
      </c>
      <c r="P52" s="164" t="str">
        <f>'LEVEL 3'!F64</f>
        <v>LS</v>
      </c>
      <c r="Q52" s="161">
        <f>'LEVEL 3'!G64</f>
        <v>1</v>
      </c>
      <c r="R52" s="185">
        <f>'LEVEL 3'!H64</f>
        <v>2500</v>
      </c>
      <c r="S52" s="216">
        <f>'LEVEL 3'!I64</f>
        <v>0</v>
      </c>
      <c r="T52" s="415">
        <f>'LEVEL 3'!J64</f>
        <v>2500</v>
      </c>
      <c r="U52" s="416">
        <f>'LEVEL 3'!K64</f>
        <v>2500</v>
      </c>
      <c r="V52" s="259"/>
      <c r="X52" s="429">
        <f t="shared" si="7"/>
        <v>0</v>
      </c>
      <c r="Z52" s="432">
        <f t="shared" si="8"/>
        <v>0</v>
      </c>
      <c r="AB52" s="504"/>
    </row>
    <row r="53" spans="1:28" outlineLevel="1">
      <c r="A53" s="512" t="s">
        <v>196</v>
      </c>
      <c r="C53" s="629"/>
      <c r="D53" s="259">
        <f t="shared" si="2"/>
        <v>0</v>
      </c>
      <c r="E53" s="290"/>
      <c r="F53" s="483" t="s">
        <v>118</v>
      </c>
      <c r="G53" s="164"/>
      <c r="H53" s="161"/>
      <c r="I53" s="185"/>
      <c r="J53" s="216">
        <v>0</v>
      </c>
      <c r="K53" s="415">
        <v>0</v>
      </c>
      <c r="L53" s="416">
        <v>0</v>
      </c>
      <c r="M53" s="259"/>
      <c r="O53" s="483" t="s">
        <v>118</v>
      </c>
      <c r="P53" s="164">
        <f>'LEVEL 3'!F65</f>
        <v>0</v>
      </c>
      <c r="Q53" s="161">
        <f>'LEVEL 3'!G65</f>
        <v>0</v>
      </c>
      <c r="R53" s="185">
        <f>'LEVEL 3'!H65</f>
        <v>0</v>
      </c>
      <c r="S53" s="216">
        <f>'LEVEL 3'!I65</f>
        <v>0</v>
      </c>
      <c r="T53" s="415">
        <f>'LEVEL 3'!J65</f>
        <v>0</v>
      </c>
      <c r="U53" s="416">
        <f>'LEVEL 3'!K65</f>
        <v>0</v>
      </c>
      <c r="V53" s="259"/>
      <c r="X53" s="429">
        <f t="shared" si="7"/>
        <v>0</v>
      </c>
      <c r="Z53" s="432">
        <f t="shared" si="8"/>
        <v>0</v>
      </c>
      <c r="AB53" s="504"/>
    </row>
    <row r="54" spans="1:28" outlineLevel="1">
      <c r="A54" s="512" t="s">
        <v>198</v>
      </c>
      <c r="C54" s="629"/>
      <c r="D54" s="259">
        <f t="shared" si="2"/>
        <v>0</v>
      </c>
      <c r="E54" s="290"/>
      <c r="F54" s="483" t="s">
        <v>118</v>
      </c>
      <c r="G54" s="164"/>
      <c r="H54" s="161"/>
      <c r="I54" s="185"/>
      <c r="J54" s="216">
        <v>0</v>
      </c>
      <c r="K54" s="415">
        <v>0</v>
      </c>
      <c r="L54" s="416">
        <v>0</v>
      </c>
      <c r="M54" s="259"/>
      <c r="O54" s="483" t="s">
        <v>118</v>
      </c>
      <c r="P54" s="164">
        <f>'LEVEL 3'!F66</f>
        <v>0</v>
      </c>
      <c r="Q54" s="161">
        <f>'LEVEL 3'!G66</f>
        <v>0</v>
      </c>
      <c r="R54" s="185">
        <f>'LEVEL 3'!H66</f>
        <v>0</v>
      </c>
      <c r="S54" s="216">
        <f>'LEVEL 3'!I66</f>
        <v>0</v>
      </c>
      <c r="T54" s="415">
        <f>'LEVEL 3'!J66</f>
        <v>0</v>
      </c>
      <c r="U54" s="416">
        <f>'LEVEL 3'!K66</f>
        <v>0</v>
      </c>
      <c r="V54" s="259"/>
      <c r="X54" s="429">
        <f t="shared" si="7"/>
        <v>0</v>
      </c>
      <c r="Z54" s="432">
        <f t="shared" si="8"/>
        <v>0</v>
      </c>
      <c r="AB54" s="504"/>
    </row>
    <row r="55" spans="1:28" outlineLevel="1">
      <c r="A55" s="512" t="s">
        <v>200</v>
      </c>
      <c r="C55" s="629"/>
      <c r="D55" s="259">
        <f t="shared" si="2"/>
        <v>0</v>
      </c>
      <c r="E55" s="290"/>
      <c r="F55" s="483" t="s">
        <v>118</v>
      </c>
      <c r="G55" s="164"/>
      <c r="H55" s="161"/>
      <c r="I55" s="185"/>
      <c r="J55" s="216">
        <v>0</v>
      </c>
      <c r="K55" s="415">
        <v>0</v>
      </c>
      <c r="L55" s="416">
        <v>0</v>
      </c>
      <c r="M55" s="259"/>
      <c r="O55" s="483" t="s">
        <v>118</v>
      </c>
      <c r="P55" s="164">
        <f>'LEVEL 3'!F67</f>
        <v>0</v>
      </c>
      <c r="Q55" s="161">
        <f>'LEVEL 3'!G67</f>
        <v>0</v>
      </c>
      <c r="R55" s="185">
        <f>'LEVEL 3'!H67</f>
        <v>0</v>
      </c>
      <c r="S55" s="216">
        <f>'LEVEL 3'!I67</f>
        <v>0</v>
      </c>
      <c r="T55" s="415">
        <f>'LEVEL 3'!J67</f>
        <v>0</v>
      </c>
      <c r="U55" s="416">
        <f>'LEVEL 3'!K67</f>
        <v>0</v>
      </c>
      <c r="V55" s="259"/>
      <c r="X55" s="429">
        <f t="shared" si="7"/>
        <v>0</v>
      </c>
      <c r="Z55" s="432">
        <f t="shared" si="8"/>
        <v>0</v>
      </c>
      <c r="AB55" s="504"/>
    </row>
    <row r="56" spans="1:28" outlineLevel="1">
      <c r="A56" s="514" t="s">
        <v>201</v>
      </c>
      <c r="C56" s="629"/>
      <c r="D56" s="259">
        <f t="shared" si="2"/>
        <v>0</v>
      </c>
      <c r="E56" s="290"/>
      <c r="F56" s="483" t="s">
        <v>116</v>
      </c>
      <c r="G56" s="164" t="s">
        <v>187</v>
      </c>
      <c r="H56" s="161">
        <v>194</v>
      </c>
      <c r="I56" s="185">
        <v>3192.5</v>
      </c>
      <c r="J56" s="216">
        <v>0</v>
      </c>
      <c r="K56" s="415">
        <v>3192.5</v>
      </c>
      <c r="L56" s="416">
        <v>619345</v>
      </c>
      <c r="M56" s="259"/>
      <c r="O56" s="483" t="s">
        <v>116</v>
      </c>
      <c r="P56" s="164" t="str">
        <f>'LEVEL 3'!F68</f>
        <v xml:space="preserve">Unit </v>
      </c>
      <c r="Q56" s="161">
        <f>'LEVEL 3'!G68</f>
        <v>194</v>
      </c>
      <c r="R56" s="185">
        <f>'LEVEL 3'!H68</f>
        <v>3169.3041237113403</v>
      </c>
      <c r="S56" s="216">
        <f>'LEVEL 3'!I68</f>
        <v>0</v>
      </c>
      <c r="T56" s="415">
        <f>'LEVEL 3'!J68</f>
        <v>3169.3041237113403</v>
      </c>
      <c r="U56" s="416">
        <f>'LEVEL 3'!K68</f>
        <v>614845</v>
      </c>
      <c r="V56" s="259"/>
      <c r="X56" s="429">
        <f t="shared" si="7"/>
        <v>-4500</v>
      </c>
      <c r="Z56" s="432">
        <f t="shared" si="8"/>
        <v>-7.265740419313953E-3</v>
      </c>
      <c r="AB56" s="504"/>
    </row>
    <row r="57" spans="1:28" outlineLevel="1">
      <c r="A57" s="512" t="s">
        <v>203</v>
      </c>
      <c r="C57" s="629"/>
      <c r="D57" s="259">
        <f t="shared" si="2"/>
        <v>0</v>
      </c>
      <c r="E57" s="290"/>
      <c r="F57" s="483" t="s">
        <v>116</v>
      </c>
      <c r="G57" s="164" t="s">
        <v>15</v>
      </c>
      <c r="H57" s="161">
        <v>196289</v>
      </c>
      <c r="I57" s="185">
        <v>0.8</v>
      </c>
      <c r="J57" s="216">
        <v>0</v>
      </c>
      <c r="K57" s="415">
        <v>0.8</v>
      </c>
      <c r="L57" s="416">
        <v>157031.20000000001</v>
      </c>
      <c r="M57" s="259"/>
      <c r="O57" s="483" t="s">
        <v>116</v>
      </c>
      <c r="P57" s="164" t="str">
        <f>'LEVEL 3'!F69</f>
        <v>SF</v>
      </c>
      <c r="Q57" s="161">
        <f>'LEVEL 3'!G69</f>
        <v>196289</v>
      </c>
      <c r="R57" s="185">
        <f>'LEVEL 3'!H69</f>
        <v>0.8</v>
      </c>
      <c r="S57" s="216">
        <f>'LEVEL 3'!I69</f>
        <v>0</v>
      </c>
      <c r="T57" s="415">
        <f>'LEVEL 3'!J69</f>
        <v>0.8</v>
      </c>
      <c r="U57" s="416">
        <f>'LEVEL 3'!K69</f>
        <v>157031.20000000001</v>
      </c>
      <c r="V57" s="259"/>
      <c r="X57" s="429">
        <f t="shared" si="7"/>
        <v>0</v>
      </c>
      <c r="Z57" s="432">
        <f t="shared" si="8"/>
        <v>0</v>
      </c>
      <c r="AB57" s="504"/>
    </row>
    <row r="58" spans="1:28" outlineLevel="1">
      <c r="A58" s="206" t="s">
        <v>845</v>
      </c>
      <c r="C58" s="629"/>
      <c r="D58" s="259">
        <f t="shared" si="2"/>
        <v>0</v>
      </c>
      <c r="E58" s="290"/>
      <c r="F58" s="483"/>
      <c r="G58" s="164"/>
      <c r="H58" s="161"/>
      <c r="I58" s="185"/>
      <c r="J58" s="216"/>
      <c r="K58" s="415"/>
      <c r="L58" s="416"/>
      <c r="M58" s="259"/>
      <c r="O58" s="483" t="s">
        <v>116</v>
      </c>
      <c r="P58" s="164" t="str">
        <f>'LEVEL 3'!F70</f>
        <v>LS</v>
      </c>
      <c r="Q58" s="161">
        <f>'LEVEL 3'!G70</f>
        <v>1</v>
      </c>
      <c r="R58" s="185">
        <f>'LEVEL 3'!H70</f>
        <v>4500</v>
      </c>
      <c r="S58" s="216">
        <f>'LEVEL 3'!I70</f>
        <v>0</v>
      </c>
      <c r="T58" s="415">
        <f>'LEVEL 3'!J70</f>
        <v>4500</v>
      </c>
      <c r="U58" s="416">
        <f>'LEVEL 3'!K70</f>
        <v>4500</v>
      </c>
      <c r="V58" s="259"/>
      <c r="X58" s="429"/>
      <c r="Z58" s="432"/>
      <c r="AB58" s="504"/>
    </row>
    <row r="59" spans="1:28" outlineLevel="1">
      <c r="A59" s="512" t="s">
        <v>204</v>
      </c>
      <c r="C59" s="629"/>
      <c r="D59" s="259">
        <f t="shared" si="2"/>
        <v>0</v>
      </c>
      <c r="E59" s="290"/>
      <c r="F59" s="483" t="s">
        <v>110</v>
      </c>
      <c r="G59" s="164" t="s">
        <v>121</v>
      </c>
      <c r="H59" s="161">
        <v>1</v>
      </c>
      <c r="I59" s="185">
        <v>1200</v>
      </c>
      <c r="J59" s="216">
        <v>0</v>
      </c>
      <c r="K59" s="415">
        <v>1200</v>
      </c>
      <c r="L59" s="416">
        <v>1200</v>
      </c>
      <c r="M59" s="259"/>
      <c r="O59" s="483" t="s">
        <v>110</v>
      </c>
      <c r="P59" s="164" t="str">
        <f>'LEVEL 3'!F71</f>
        <v>LS</v>
      </c>
      <c r="Q59" s="161">
        <f>'LEVEL 3'!G71</f>
        <v>1</v>
      </c>
      <c r="R59" s="185">
        <f>'LEVEL 3'!H71</f>
        <v>1200</v>
      </c>
      <c r="S59" s="216">
        <f>'LEVEL 3'!I71</f>
        <v>0</v>
      </c>
      <c r="T59" s="415">
        <f>'LEVEL 3'!J71</f>
        <v>1200</v>
      </c>
      <c r="U59" s="416">
        <f>'LEVEL 3'!K71</f>
        <v>1200</v>
      </c>
      <c r="V59" s="259"/>
      <c r="X59" s="429">
        <f t="shared" si="7"/>
        <v>0</v>
      </c>
      <c r="Z59" s="432">
        <f t="shared" si="8"/>
        <v>0</v>
      </c>
      <c r="AB59" s="504"/>
    </row>
    <row r="60" spans="1:28" outlineLevel="1">
      <c r="A60" s="512" t="s">
        <v>206</v>
      </c>
      <c r="C60" s="629"/>
      <c r="D60" s="259">
        <f t="shared" si="2"/>
        <v>0</v>
      </c>
      <c r="E60" s="290"/>
      <c r="F60" s="483" t="s">
        <v>118</v>
      </c>
      <c r="G60" s="164"/>
      <c r="H60" s="161"/>
      <c r="I60" s="185"/>
      <c r="J60" s="216">
        <v>0</v>
      </c>
      <c r="K60" s="415">
        <v>0</v>
      </c>
      <c r="L60" s="416">
        <v>0</v>
      </c>
      <c r="M60" s="259"/>
      <c r="O60" s="483" t="s">
        <v>118</v>
      </c>
      <c r="P60" s="164">
        <f>'LEVEL 3'!F72</f>
        <v>0</v>
      </c>
      <c r="Q60" s="161">
        <f>'LEVEL 3'!G72</f>
        <v>0</v>
      </c>
      <c r="R60" s="185">
        <f>'LEVEL 3'!H72</f>
        <v>0</v>
      </c>
      <c r="S60" s="216">
        <f>'LEVEL 3'!I72</f>
        <v>0</v>
      </c>
      <c r="T60" s="415">
        <f>'LEVEL 3'!J72</f>
        <v>0</v>
      </c>
      <c r="U60" s="416">
        <f>'LEVEL 3'!K72</f>
        <v>0</v>
      </c>
      <c r="V60" s="259"/>
      <c r="X60" s="429">
        <f t="shared" si="7"/>
        <v>0</v>
      </c>
      <c r="Z60" s="432">
        <f t="shared" si="8"/>
        <v>0</v>
      </c>
      <c r="AB60" s="504"/>
    </row>
    <row r="61" spans="1:28">
      <c r="A61" s="509" t="s">
        <v>182</v>
      </c>
      <c r="C61" s="491">
        <v>4869453.78</v>
      </c>
      <c r="D61" s="628">
        <f t="shared" si="2"/>
        <v>-65453.080000000075</v>
      </c>
      <c r="E61" s="290"/>
      <c r="F61" s="479"/>
      <c r="G61" s="305"/>
      <c r="H61" s="306"/>
      <c r="I61" s="307"/>
      <c r="J61" s="308"/>
      <c r="K61" s="307"/>
      <c r="L61" s="421"/>
      <c r="M61" s="480">
        <f>SUM(L48:L60)</f>
        <v>4804000.7</v>
      </c>
      <c r="O61" s="479"/>
      <c r="P61" s="305"/>
      <c r="Q61" s="306"/>
      <c r="R61" s="307"/>
      <c r="S61" s="308"/>
      <c r="T61" s="307"/>
      <c r="U61" s="421"/>
      <c r="V61" s="480">
        <f>'LEVEL 3'!L59</f>
        <v>4804000.7</v>
      </c>
      <c r="X61" s="491">
        <f>V61-M61</f>
        <v>0</v>
      </c>
      <c r="Z61" s="497">
        <f>IF(M61=0,0,X61/M61)</f>
        <v>0</v>
      </c>
      <c r="AB61" s="504"/>
    </row>
    <row r="62" spans="1:28" outlineLevel="1">
      <c r="A62" s="511" t="s">
        <v>210</v>
      </c>
      <c r="C62" s="629"/>
      <c r="D62" s="259">
        <f t="shared" si="2"/>
        <v>0</v>
      </c>
      <c r="E62" s="290"/>
      <c r="F62" s="482" t="s">
        <v>116</v>
      </c>
      <c r="G62" s="176" t="s">
        <v>15</v>
      </c>
      <c r="H62" s="167">
        <v>196289</v>
      </c>
      <c r="I62" s="413">
        <v>2.7</v>
      </c>
      <c r="J62" s="414">
        <v>0</v>
      </c>
      <c r="K62" s="415">
        <v>2.7</v>
      </c>
      <c r="L62" s="416">
        <v>529980.30000000005</v>
      </c>
      <c r="M62" s="259"/>
      <c r="O62" s="482" t="s">
        <v>116</v>
      </c>
      <c r="P62" s="176" t="str">
        <f>'LEVEL 3'!F74</f>
        <v>SF</v>
      </c>
      <c r="Q62" s="167">
        <f>'LEVEL 3'!G74</f>
        <v>196289</v>
      </c>
      <c r="R62" s="413">
        <f>'LEVEL 3'!H74</f>
        <v>2.6872636775366936</v>
      </c>
      <c r="S62" s="414">
        <f>'LEVEL 3'!I74</f>
        <v>0</v>
      </c>
      <c r="T62" s="415">
        <f>'LEVEL 3'!J74</f>
        <v>2.6872636775366936</v>
      </c>
      <c r="U62" s="416">
        <f>'LEVEL 3'!K74</f>
        <v>527480.30000000005</v>
      </c>
      <c r="V62" s="259"/>
      <c r="X62" s="429">
        <f t="shared" ref="X62:X73" si="9">U62-L62</f>
        <v>-2500</v>
      </c>
      <c r="Z62" s="432">
        <f t="shared" ref="Z62:Z73" si="10">IF(L62=0,0,X62/L62)</f>
        <v>-4.7171564678913534E-3</v>
      </c>
      <c r="AB62" s="504"/>
    </row>
    <row r="63" spans="1:28" outlineLevel="1">
      <c r="A63" s="35" t="s">
        <v>848</v>
      </c>
      <c r="C63" s="629"/>
      <c r="D63" s="259">
        <f t="shared" si="2"/>
        <v>0</v>
      </c>
      <c r="E63" s="290"/>
      <c r="F63" s="482"/>
      <c r="G63" s="176"/>
      <c r="H63" s="167"/>
      <c r="I63" s="413"/>
      <c r="J63" s="414"/>
      <c r="K63" s="415"/>
      <c r="L63" s="416"/>
      <c r="M63" s="259"/>
      <c r="O63" s="482" t="s">
        <v>116</v>
      </c>
      <c r="P63" s="176" t="str">
        <f>'LEVEL 3'!F75</f>
        <v>LS</v>
      </c>
      <c r="Q63" s="167">
        <f>'LEVEL 3'!G75</f>
        <v>1</v>
      </c>
      <c r="R63" s="413">
        <f>'LEVEL 3'!H75</f>
        <v>2500</v>
      </c>
      <c r="S63" s="414">
        <f>'LEVEL 3'!I75</f>
        <v>0</v>
      </c>
      <c r="T63" s="415">
        <f>'LEVEL 3'!J75</f>
        <v>2500</v>
      </c>
      <c r="U63" s="416">
        <f>'LEVEL 3'!K75</f>
        <v>2500</v>
      </c>
      <c r="V63" s="259"/>
      <c r="X63" s="429"/>
      <c r="Z63" s="432"/>
      <c r="AB63" s="504"/>
    </row>
    <row r="64" spans="1:28" outlineLevel="1">
      <c r="A64" s="512" t="s">
        <v>51</v>
      </c>
      <c r="C64" s="629"/>
      <c r="D64" s="259">
        <f t="shared" si="2"/>
        <v>0</v>
      </c>
      <c r="E64" s="290"/>
      <c r="F64" s="483" t="s">
        <v>116</v>
      </c>
      <c r="G64" s="164" t="s">
        <v>849</v>
      </c>
      <c r="H64" s="161">
        <v>503.63</v>
      </c>
      <c r="I64" s="185">
        <v>603</v>
      </c>
      <c r="J64" s="216">
        <v>0</v>
      </c>
      <c r="K64" s="185">
        <v>603</v>
      </c>
      <c r="L64" s="217">
        <v>303688.89</v>
      </c>
      <c r="M64" s="259"/>
      <c r="O64" s="483" t="s">
        <v>116</v>
      </c>
      <c r="P64" s="164" t="str">
        <f>'LEVEL 3'!F76</f>
        <v>Squares</v>
      </c>
      <c r="Q64" s="161">
        <f>'LEVEL 3'!G76</f>
        <v>503.63</v>
      </c>
      <c r="R64" s="185">
        <f>'LEVEL 3'!H76</f>
        <v>603</v>
      </c>
      <c r="S64" s="216">
        <f>'LEVEL 3'!I76</f>
        <v>0</v>
      </c>
      <c r="T64" s="185">
        <f>'LEVEL 3'!J76</f>
        <v>603</v>
      </c>
      <c r="U64" s="217">
        <f>'LEVEL 3'!K76</f>
        <v>303688.89</v>
      </c>
      <c r="V64" s="259"/>
      <c r="X64" s="429">
        <f t="shared" si="9"/>
        <v>0</v>
      </c>
      <c r="Z64" s="432">
        <f t="shared" si="10"/>
        <v>0</v>
      </c>
      <c r="AB64" s="504"/>
    </row>
    <row r="65" spans="1:28" outlineLevel="1">
      <c r="A65" s="512" t="s">
        <v>214</v>
      </c>
      <c r="C65" s="629"/>
      <c r="D65" s="259">
        <f t="shared" si="2"/>
        <v>0</v>
      </c>
      <c r="E65" s="290"/>
      <c r="F65" s="483" t="s">
        <v>118</v>
      </c>
      <c r="G65" s="164"/>
      <c r="H65" s="161"/>
      <c r="I65" s="185"/>
      <c r="J65" s="216">
        <v>0</v>
      </c>
      <c r="K65" s="185">
        <v>0</v>
      </c>
      <c r="L65" s="217">
        <v>0</v>
      </c>
      <c r="M65" s="259"/>
      <c r="O65" s="483" t="s">
        <v>118</v>
      </c>
      <c r="P65" s="164">
        <f>'LEVEL 3'!F77</f>
        <v>0</v>
      </c>
      <c r="Q65" s="161">
        <f>'LEVEL 3'!G77</f>
        <v>0</v>
      </c>
      <c r="R65" s="185">
        <f>'LEVEL 3'!H77</f>
        <v>0</v>
      </c>
      <c r="S65" s="216">
        <f>'LEVEL 3'!I77</f>
        <v>0</v>
      </c>
      <c r="T65" s="185">
        <f>'LEVEL 3'!J77</f>
        <v>0</v>
      </c>
      <c r="U65" s="217">
        <f>'LEVEL 3'!K77</f>
        <v>0</v>
      </c>
      <c r="V65" s="259"/>
      <c r="X65" s="429">
        <f t="shared" si="9"/>
        <v>0</v>
      </c>
      <c r="Z65" s="432">
        <f t="shared" si="10"/>
        <v>0</v>
      </c>
      <c r="AB65" s="504"/>
    </row>
    <row r="66" spans="1:28" outlineLevel="1">
      <c r="A66" s="512" t="s">
        <v>216</v>
      </c>
      <c r="C66" s="629"/>
      <c r="D66" s="259">
        <f t="shared" si="2"/>
        <v>0</v>
      </c>
      <c r="E66" s="290"/>
      <c r="F66" s="483" t="s">
        <v>110</v>
      </c>
      <c r="G66" s="164" t="s">
        <v>121</v>
      </c>
      <c r="H66" s="161">
        <v>1</v>
      </c>
      <c r="I66" s="185">
        <v>7500</v>
      </c>
      <c r="J66" s="216">
        <v>0</v>
      </c>
      <c r="K66" s="185">
        <v>7500</v>
      </c>
      <c r="L66" s="217">
        <v>7500</v>
      </c>
      <c r="M66" s="259"/>
      <c r="O66" s="483" t="s">
        <v>110</v>
      </c>
      <c r="P66" s="164" t="str">
        <f>'LEVEL 3'!F78</f>
        <v>LS</v>
      </c>
      <c r="Q66" s="161">
        <f>'LEVEL 3'!G78</f>
        <v>1</v>
      </c>
      <c r="R66" s="185">
        <f>'LEVEL 3'!H78</f>
        <v>7500</v>
      </c>
      <c r="S66" s="216">
        <f>'LEVEL 3'!I78</f>
        <v>0</v>
      </c>
      <c r="T66" s="185">
        <f>'LEVEL 3'!J78</f>
        <v>7500</v>
      </c>
      <c r="U66" s="217">
        <f>'LEVEL 3'!K78</f>
        <v>7500</v>
      </c>
      <c r="V66" s="259"/>
      <c r="X66" s="429">
        <f t="shared" si="9"/>
        <v>0</v>
      </c>
      <c r="Z66" s="432">
        <f t="shared" si="10"/>
        <v>0</v>
      </c>
      <c r="AB66" s="504"/>
    </row>
    <row r="67" spans="1:28" outlineLevel="1">
      <c r="A67" s="512" t="s">
        <v>217</v>
      </c>
      <c r="C67" s="629"/>
      <c r="D67" s="259">
        <f t="shared" si="2"/>
        <v>0</v>
      </c>
      <c r="E67" s="290"/>
      <c r="F67" s="483" t="s">
        <v>110</v>
      </c>
      <c r="G67" s="164" t="s">
        <v>121</v>
      </c>
      <c r="H67" s="161">
        <v>1</v>
      </c>
      <c r="I67" s="185">
        <v>7500</v>
      </c>
      <c r="J67" s="216">
        <v>0</v>
      </c>
      <c r="K67" s="185">
        <v>7500</v>
      </c>
      <c r="L67" s="217">
        <v>7500</v>
      </c>
      <c r="M67" s="259"/>
      <c r="O67" s="483" t="s">
        <v>110</v>
      </c>
      <c r="P67" s="164" t="str">
        <f>'LEVEL 3'!F79</f>
        <v>LS</v>
      </c>
      <c r="Q67" s="161">
        <f>'LEVEL 3'!G79</f>
        <v>1</v>
      </c>
      <c r="R67" s="185">
        <f>'LEVEL 3'!H79</f>
        <v>7500</v>
      </c>
      <c r="S67" s="216">
        <f>'LEVEL 3'!I79</f>
        <v>0</v>
      </c>
      <c r="T67" s="185">
        <f>'LEVEL 3'!J79</f>
        <v>7500</v>
      </c>
      <c r="U67" s="217">
        <f>'LEVEL 3'!K79</f>
        <v>7500</v>
      </c>
      <c r="V67" s="259"/>
      <c r="X67" s="429">
        <f t="shared" si="9"/>
        <v>0</v>
      </c>
      <c r="Z67" s="432">
        <f t="shared" si="10"/>
        <v>0</v>
      </c>
      <c r="AB67" s="504"/>
    </row>
    <row r="68" spans="1:28" outlineLevel="1">
      <c r="A68" s="512" t="s">
        <v>219</v>
      </c>
      <c r="C68" s="629"/>
      <c r="D68" s="259">
        <f t="shared" si="2"/>
        <v>0</v>
      </c>
      <c r="E68" s="290"/>
      <c r="F68" s="483" t="s">
        <v>246</v>
      </c>
      <c r="G68" s="164" t="s">
        <v>32</v>
      </c>
      <c r="H68" s="161">
        <v>4</v>
      </c>
      <c r="I68" s="185">
        <v>5800</v>
      </c>
      <c r="J68" s="216">
        <v>0</v>
      </c>
      <c r="K68" s="185">
        <v>5800</v>
      </c>
      <c r="L68" s="217">
        <v>23200</v>
      </c>
      <c r="M68" s="259"/>
      <c r="O68" s="483" t="s">
        <v>246</v>
      </c>
      <c r="P68" s="164" t="str">
        <f>'LEVEL 3'!F80</f>
        <v>Count</v>
      </c>
      <c r="Q68" s="161">
        <f>'LEVEL 3'!G80</f>
        <v>4</v>
      </c>
      <c r="R68" s="185">
        <f>'LEVEL 3'!H80</f>
        <v>5800</v>
      </c>
      <c r="S68" s="216">
        <f>'LEVEL 3'!I80</f>
        <v>0</v>
      </c>
      <c r="T68" s="185">
        <f>'LEVEL 3'!J80</f>
        <v>5800</v>
      </c>
      <c r="U68" s="217">
        <f>'LEVEL 3'!K80</f>
        <v>23200</v>
      </c>
      <c r="V68" s="259"/>
      <c r="X68" s="429">
        <f t="shared" si="9"/>
        <v>0</v>
      </c>
      <c r="Z68" s="432">
        <f t="shared" si="10"/>
        <v>0</v>
      </c>
      <c r="AB68" s="504"/>
    </row>
    <row r="69" spans="1:28" outlineLevel="1">
      <c r="A69" s="512" t="s">
        <v>221</v>
      </c>
      <c r="C69" s="629"/>
      <c r="D69" s="259">
        <f t="shared" si="2"/>
        <v>0</v>
      </c>
      <c r="E69" s="290"/>
      <c r="F69" s="483" t="s">
        <v>116</v>
      </c>
      <c r="G69" s="164" t="s">
        <v>15</v>
      </c>
      <c r="H69" s="161">
        <v>196289</v>
      </c>
      <c r="I69" s="185">
        <v>0.08</v>
      </c>
      <c r="J69" s="216">
        <v>0</v>
      </c>
      <c r="K69" s="185">
        <v>0.08</v>
      </c>
      <c r="L69" s="217">
        <v>15703.12</v>
      </c>
      <c r="M69" s="259"/>
      <c r="O69" s="483" t="s">
        <v>116</v>
      </c>
      <c r="P69" s="164" t="str">
        <f>'LEVEL 3'!F81</f>
        <v>SF</v>
      </c>
      <c r="Q69" s="161">
        <f>'LEVEL 3'!G81</f>
        <v>196289</v>
      </c>
      <c r="R69" s="185">
        <f>'LEVEL 3'!H81</f>
        <v>0.08</v>
      </c>
      <c r="S69" s="216">
        <f>'LEVEL 3'!I81</f>
        <v>0</v>
      </c>
      <c r="T69" s="185">
        <f>'LEVEL 3'!J81</f>
        <v>0.08</v>
      </c>
      <c r="U69" s="217">
        <f>'LEVEL 3'!K81</f>
        <v>15703.12</v>
      </c>
      <c r="V69" s="259"/>
      <c r="X69" s="429">
        <f t="shared" si="9"/>
        <v>0</v>
      </c>
      <c r="Z69" s="432">
        <f t="shared" si="10"/>
        <v>0</v>
      </c>
      <c r="AB69" s="504"/>
    </row>
    <row r="70" spans="1:28" outlineLevel="1">
      <c r="A70" s="512" t="s">
        <v>223</v>
      </c>
      <c r="C70" s="629"/>
      <c r="D70" s="259">
        <f t="shared" si="2"/>
        <v>0</v>
      </c>
      <c r="E70" s="290"/>
      <c r="F70" s="483" t="s">
        <v>116</v>
      </c>
      <c r="G70" s="164" t="s">
        <v>15</v>
      </c>
      <c r="H70" s="161">
        <v>196289</v>
      </c>
      <c r="I70" s="185">
        <v>0.05</v>
      </c>
      <c r="J70" s="216">
        <v>0</v>
      </c>
      <c r="K70" s="185">
        <v>0.05</v>
      </c>
      <c r="L70" s="217">
        <v>9814.4500000000007</v>
      </c>
      <c r="M70" s="259"/>
      <c r="O70" s="483" t="s">
        <v>116</v>
      </c>
      <c r="P70" s="164" t="str">
        <f>'LEVEL 3'!F82</f>
        <v>SF</v>
      </c>
      <c r="Q70" s="161">
        <f>'LEVEL 3'!G82</f>
        <v>196289</v>
      </c>
      <c r="R70" s="185">
        <f>'LEVEL 3'!H82</f>
        <v>0.05</v>
      </c>
      <c r="S70" s="216">
        <f>'LEVEL 3'!I82</f>
        <v>0</v>
      </c>
      <c r="T70" s="185">
        <f>'LEVEL 3'!J82</f>
        <v>0.05</v>
      </c>
      <c r="U70" s="217">
        <f>'LEVEL 3'!K82</f>
        <v>9814.4500000000007</v>
      </c>
      <c r="V70" s="259"/>
      <c r="X70" s="429">
        <f t="shared" si="9"/>
        <v>0</v>
      </c>
      <c r="Z70" s="432">
        <f t="shared" si="10"/>
        <v>0</v>
      </c>
      <c r="AB70" s="504"/>
    </row>
    <row r="71" spans="1:28" outlineLevel="1">
      <c r="A71" s="512" t="s">
        <v>225</v>
      </c>
      <c r="C71" s="629"/>
      <c r="D71" s="259">
        <f t="shared" si="2"/>
        <v>0</v>
      </c>
      <c r="E71" s="290"/>
      <c r="F71" s="483" t="s">
        <v>116</v>
      </c>
      <c r="G71" s="164" t="s">
        <v>32</v>
      </c>
      <c r="H71" s="161">
        <v>2</v>
      </c>
      <c r="I71" s="185">
        <v>1550</v>
      </c>
      <c r="J71" s="216">
        <v>0</v>
      </c>
      <c r="K71" s="185">
        <v>1550</v>
      </c>
      <c r="L71" s="217">
        <v>3100</v>
      </c>
      <c r="M71" s="259"/>
      <c r="O71" s="483" t="s">
        <v>116</v>
      </c>
      <c r="P71" s="164" t="str">
        <f>'LEVEL 3'!F83</f>
        <v>Count</v>
      </c>
      <c r="Q71" s="161">
        <f>'LEVEL 3'!G83</f>
        <v>2</v>
      </c>
      <c r="R71" s="185">
        <f>'LEVEL 3'!H83</f>
        <v>1550</v>
      </c>
      <c r="S71" s="216">
        <f>'LEVEL 3'!I83</f>
        <v>0</v>
      </c>
      <c r="T71" s="185">
        <f>'LEVEL 3'!J83</f>
        <v>1550</v>
      </c>
      <c r="U71" s="217">
        <f>'LEVEL 3'!K83</f>
        <v>3100</v>
      </c>
      <c r="V71" s="259"/>
      <c r="X71" s="429">
        <f t="shared" si="9"/>
        <v>0</v>
      </c>
      <c r="Z71" s="432">
        <f t="shared" si="10"/>
        <v>0</v>
      </c>
      <c r="AB71" s="504"/>
    </row>
    <row r="72" spans="1:28" outlineLevel="1">
      <c r="A72" s="512" t="s">
        <v>228</v>
      </c>
      <c r="C72" s="629"/>
      <c r="D72" s="259">
        <f t="shared" si="2"/>
        <v>0</v>
      </c>
      <c r="E72" s="290"/>
      <c r="F72" s="483" t="s">
        <v>116</v>
      </c>
      <c r="G72" s="164" t="s">
        <v>32</v>
      </c>
      <c r="H72" s="161">
        <v>2</v>
      </c>
      <c r="I72" s="185">
        <v>2500</v>
      </c>
      <c r="J72" s="216">
        <v>0</v>
      </c>
      <c r="K72" s="185">
        <v>2500</v>
      </c>
      <c r="L72" s="217">
        <v>5000</v>
      </c>
      <c r="M72" s="259"/>
      <c r="O72" s="483" t="s">
        <v>116</v>
      </c>
      <c r="P72" s="164" t="str">
        <f>'LEVEL 3'!F84</f>
        <v>Count</v>
      </c>
      <c r="Q72" s="161">
        <f>'LEVEL 3'!G84</f>
        <v>2</v>
      </c>
      <c r="R72" s="185">
        <f>'LEVEL 3'!H84</f>
        <v>2500</v>
      </c>
      <c r="S72" s="216">
        <f>'LEVEL 3'!I84</f>
        <v>0</v>
      </c>
      <c r="T72" s="185">
        <f>'LEVEL 3'!J84</f>
        <v>2500</v>
      </c>
      <c r="U72" s="217">
        <f>'LEVEL 3'!K84</f>
        <v>5000</v>
      </c>
      <c r="V72" s="259"/>
      <c r="X72" s="429">
        <f t="shared" si="9"/>
        <v>0</v>
      </c>
      <c r="Z72" s="432">
        <f t="shared" si="10"/>
        <v>0</v>
      </c>
      <c r="AB72" s="504"/>
    </row>
    <row r="73" spans="1:28" outlineLevel="1">
      <c r="A73" s="512" t="s">
        <v>230</v>
      </c>
      <c r="C73" s="630"/>
      <c r="D73" s="486">
        <f t="shared" si="2"/>
        <v>0</v>
      </c>
      <c r="E73" s="290"/>
      <c r="F73" s="483" t="s">
        <v>118</v>
      </c>
      <c r="G73" s="164"/>
      <c r="H73" s="161"/>
      <c r="I73" s="185"/>
      <c r="J73" s="216">
        <v>0</v>
      </c>
      <c r="K73" s="185">
        <v>0</v>
      </c>
      <c r="L73" s="217">
        <v>0</v>
      </c>
      <c r="M73" s="486"/>
      <c r="O73" s="483" t="s">
        <v>118</v>
      </c>
      <c r="P73" s="164">
        <f>'LEVEL 3'!F85</f>
        <v>0</v>
      </c>
      <c r="Q73" s="161">
        <f>'LEVEL 3'!G85</f>
        <v>0</v>
      </c>
      <c r="R73" s="185">
        <f>'LEVEL 3'!H85</f>
        <v>0</v>
      </c>
      <c r="S73" s="216">
        <f>'LEVEL 3'!I85</f>
        <v>0</v>
      </c>
      <c r="T73" s="185">
        <f>'LEVEL 3'!J85</f>
        <v>0</v>
      </c>
      <c r="U73" s="217">
        <f>'LEVEL 3'!K85</f>
        <v>0</v>
      </c>
      <c r="V73" s="486"/>
      <c r="X73" s="493">
        <f t="shared" si="9"/>
        <v>0</v>
      </c>
      <c r="Z73" s="499">
        <f t="shared" si="10"/>
        <v>0</v>
      </c>
      <c r="AB73" s="504"/>
    </row>
    <row r="74" spans="1:28">
      <c r="A74" s="509" t="s">
        <v>208</v>
      </c>
      <c r="C74" s="491">
        <v>898961.39</v>
      </c>
      <c r="D74" s="628">
        <f t="shared" si="2"/>
        <v>6525.3699999999953</v>
      </c>
      <c r="E74" s="290"/>
      <c r="F74" s="479"/>
      <c r="G74" s="305"/>
      <c r="H74" s="306"/>
      <c r="I74" s="307"/>
      <c r="J74" s="308"/>
      <c r="K74" s="307"/>
      <c r="L74" s="421"/>
      <c r="M74" s="480">
        <f>SUM(L62:L73)</f>
        <v>905486.76</v>
      </c>
      <c r="O74" s="479"/>
      <c r="P74" s="305"/>
      <c r="Q74" s="306"/>
      <c r="R74" s="307"/>
      <c r="S74" s="308"/>
      <c r="T74" s="307"/>
      <c r="U74" s="421"/>
      <c r="V74" s="480">
        <f>'LEVEL 3'!L73</f>
        <v>905486.76</v>
      </c>
      <c r="X74" s="491">
        <f>V74-M74</f>
        <v>0</v>
      </c>
      <c r="Z74" s="497">
        <f>IF(M74=0,0,X74/M74)</f>
        <v>0</v>
      </c>
      <c r="AB74" s="504"/>
    </row>
    <row r="75" spans="1:28" outlineLevel="1">
      <c r="A75" s="512" t="s">
        <v>236</v>
      </c>
      <c r="C75" s="629"/>
      <c r="D75" s="259">
        <f t="shared" si="2"/>
        <v>0</v>
      </c>
      <c r="E75" s="290"/>
      <c r="F75" s="483" t="s">
        <v>110</v>
      </c>
      <c r="G75" s="164" t="s">
        <v>32</v>
      </c>
      <c r="H75" s="161">
        <v>1</v>
      </c>
      <c r="I75" s="185">
        <v>8000</v>
      </c>
      <c r="J75" s="216">
        <v>0</v>
      </c>
      <c r="K75" s="185">
        <v>8000</v>
      </c>
      <c r="L75" s="217">
        <v>8000</v>
      </c>
      <c r="M75" s="259"/>
      <c r="O75" s="483" t="s">
        <v>110</v>
      </c>
      <c r="P75" s="164" t="str">
        <f>'LEVEL 3'!F87</f>
        <v>Count</v>
      </c>
      <c r="Q75" s="161">
        <f>'LEVEL 3'!G87</f>
        <v>1</v>
      </c>
      <c r="R75" s="185">
        <f>'LEVEL 3'!H87</f>
        <v>8000</v>
      </c>
      <c r="S75" s="216">
        <f>'LEVEL 3'!I87</f>
        <v>0</v>
      </c>
      <c r="T75" s="185">
        <f>'LEVEL 3'!J87</f>
        <v>8000</v>
      </c>
      <c r="U75" s="217">
        <f>'LEVEL 3'!K87</f>
        <v>8000</v>
      </c>
      <c r="V75" s="259"/>
      <c r="X75" s="429">
        <f t="shared" ref="X75:X88" si="11">U75-L75</f>
        <v>0</v>
      </c>
      <c r="Z75" s="432">
        <f t="shared" ref="Z75:Z88" si="12">IF(L75=0,0,X75/L75)</f>
        <v>0</v>
      </c>
      <c r="AB75" s="504"/>
    </row>
    <row r="76" spans="1:28" outlineLevel="1">
      <c r="A76" s="512" t="s">
        <v>238</v>
      </c>
      <c r="C76" s="629"/>
      <c r="D76" s="259">
        <f t="shared" si="2"/>
        <v>0</v>
      </c>
      <c r="E76" s="290"/>
      <c r="F76" s="483" t="s">
        <v>240</v>
      </c>
      <c r="G76" s="164"/>
      <c r="H76" s="161"/>
      <c r="I76" s="185"/>
      <c r="J76" s="216">
        <v>0</v>
      </c>
      <c r="K76" s="185">
        <v>0</v>
      </c>
      <c r="L76" s="217">
        <v>0</v>
      </c>
      <c r="M76" s="259"/>
      <c r="O76" s="483" t="s">
        <v>240</v>
      </c>
      <c r="P76" s="164">
        <f>'LEVEL 3'!F88</f>
        <v>0</v>
      </c>
      <c r="Q76" s="161">
        <f>'LEVEL 3'!G88</f>
        <v>0</v>
      </c>
      <c r="R76" s="185">
        <f>'LEVEL 3'!H88</f>
        <v>0</v>
      </c>
      <c r="S76" s="216">
        <f>'LEVEL 3'!I88</f>
        <v>0</v>
      </c>
      <c r="T76" s="185">
        <f>'LEVEL 3'!J88</f>
        <v>0</v>
      </c>
      <c r="U76" s="217">
        <f>'LEVEL 3'!K88</f>
        <v>0</v>
      </c>
      <c r="V76" s="259"/>
      <c r="X76" s="429">
        <f t="shared" si="11"/>
        <v>0</v>
      </c>
      <c r="Z76" s="432">
        <f t="shared" si="12"/>
        <v>0</v>
      </c>
      <c r="AB76" s="504"/>
    </row>
    <row r="77" spans="1:28" outlineLevel="1">
      <c r="A77" s="512" t="s">
        <v>241</v>
      </c>
      <c r="C77" s="629"/>
      <c r="D77" s="259">
        <f t="shared" si="2"/>
        <v>0</v>
      </c>
      <c r="E77" s="290"/>
      <c r="F77" s="483" t="s">
        <v>118</v>
      </c>
      <c r="G77" s="164"/>
      <c r="H77" s="161"/>
      <c r="I77" s="185"/>
      <c r="J77" s="216">
        <v>0</v>
      </c>
      <c r="K77" s="185">
        <v>0</v>
      </c>
      <c r="L77" s="217">
        <v>0</v>
      </c>
      <c r="M77" s="259"/>
      <c r="O77" s="483" t="s">
        <v>118</v>
      </c>
      <c r="P77" s="164">
        <f>'LEVEL 3'!F89</f>
        <v>0</v>
      </c>
      <c r="Q77" s="161">
        <f>'LEVEL 3'!G89</f>
        <v>0</v>
      </c>
      <c r="R77" s="185">
        <f>'LEVEL 3'!H89</f>
        <v>0</v>
      </c>
      <c r="S77" s="216">
        <f>'LEVEL 3'!I89</f>
        <v>0</v>
      </c>
      <c r="T77" s="185">
        <f>'LEVEL 3'!J89</f>
        <v>0</v>
      </c>
      <c r="U77" s="217">
        <f>'LEVEL 3'!K89</f>
        <v>0</v>
      </c>
      <c r="V77" s="259"/>
      <c r="X77" s="429">
        <f t="shared" si="11"/>
        <v>0</v>
      </c>
      <c r="Z77" s="432">
        <f t="shared" si="12"/>
        <v>0</v>
      </c>
      <c r="AB77" s="504"/>
    </row>
    <row r="78" spans="1:28" outlineLevel="1">
      <c r="A78" s="512" t="s">
        <v>242</v>
      </c>
      <c r="C78" s="629"/>
      <c r="D78" s="259">
        <f t="shared" si="2"/>
        <v>0</v>
      </c>
      <c r="E78" s="290"/>
      <c r="F78" s="483" t="s">
        <v>118</v>
      </c>
      <c r="G78" s="164"/>
      <c r="H78" s="161"/>
      <c r="I78" s="185"/>
      <c r="J78" s="216">
        <v>0</v>
      </c>
      <c r="K78" s="185">
        <v>0</v>
      </c>
      <c r="L78" s="217">
        <v>0</v>
      </c>
      <c r="M78" s="259"/>
      <c r="O78" s="483" t="s">
        <v>118</v>
      </c>
      <c r="P78" s="164">
        <f>'LEVEL 3'!F90</f>
        <v>0</v>
      </c>
      <c r="Q78" s="161">
        <f>'LEVEL 3'!G90</f>
        <v>0</v>
      </c>
      <c r="R78" s="185">
        <f>'LEVEL 3'!H90</f>
        <v>0</v>
      </c>
      <c r="S78" s="216">
        <f>'LEVEL 3'!I90</f>
        <v>0</v>
      </c>
      <c r="T78" s="185">
        <f>'LEVEL 3'!J90</f>
        <v>0</v>
      </c>
      <c r="U78" s="217">
        <f>'LEVEL 3'!K90</f>
        <v>0</v>
      </c>
      <c r="V78" s="259"/>
      <c r="X78" s="429">
        <f t="shared" si="11"/>
        <v>0</v>
      </c>
      <c r="Z78" s="432">
        <f t="shared" si="12"/>
        <v>0</v>
      </c>
      <c r="AB78" s="504"/>
    </row>
    <row r="79" spans="1:28" outlineLevel="1">
      <c r="A79" s="512" t="s">
        <v>244</v>
      </c>
      <c r="C79" s="629"/>
      <c r="D79" s="259">
        <f t="shared" si="2"/>
        <v>0</v>
      </c>
      <c r="E79" s="290"/>
      <c r="F79" s="483" t="s">
        <v>116</v>
      </c>
      <c r="G79" s="164" t="s">
        <v>235</v>
      </c>
      <c r="H79" s="167">
        <v>194</v>
      </c>
      <c r="I79" s="185">
        <v>1157.8947368421052</v>
      </c>
      <c r="J79" s="216">
        <v>0</v>
      </c>
      <c r="K79" s="185">
        <v>1157.8947368421052</v>
      </c>
      <c r="L79" s="217">
        <v>224631.5789473684</v>
      </c>
      <c r="M79" s="259"/>
      <c r="O79" s="483" t="s">
        <v>116</v>
      </c>
      <c r="P79" s="164" t="str">
        <f>'LEVEL 3'!F91</f>
        <v>Per Unit</v>
      </c>
      <c r="Q79" s="167">
        <f>'LEVEL 3'!G91</f>
        <v>194</v>
      </c>
      <c r="R79" s="185">
        <f>'LEVEL 3'!H91</f>
        <v>1157.8947368421052</v>
      </c>
      <c r="S79" s="216">
        <f>'LEVEL 3'!I91</f>
        <v>0</v>
      </c>
      <c r="T79" s="185">
        <f>'LEVEL 3'!J91</f>
        <v>1157.8947368421052</v>
      </c>
      <c r="U79" s="217">
        <f>'LEVEL 3'!K91</f>
        <v>224631.5789473684</v>
      </c>
      <c r="V79" s="259"/>
      <c r="X79" s="429">
        <f t="shared" si="11"/>
        <v>0</v>
      </c>
      <c r="Z79" s="432">
        <f t="shared" si="12"/>
        <v>0</v>
      </c>
      <c r="AB79" s="504"/>
    </row>
    <row r="80" spans="1:28" outlineLevel="1">
      <c r="A80" s="512" t="s">
        <v>248</v>
      </c>
      <c r="C80" s="629"/>
      <c r="D80" s="259">
        <f t="shared" si="2"/>
        <v>0</v>
      </c>
      <c r="E80" s="290"/>
      <c r="F80" s="483" t="s">
        <v>110</v>
      </c>
      <c r="G80" s="164" t="s">
        <v>235</v>
      </c>
      <c r="H80" s="167">
        <v>194</v>
      </c>
      <c r="I80" s="185">
        <v>75</v>
      </c>
      <c r="J80" s="216">
        <v>0</v>
      </c>
      <c r="K80" s="185">
        <v>75</v>
      </c>
      <c r="L80" s="217">
        <v>14550</v>
      </c>
      <c r="M80" s="259"/>
      <c r="O80" s="483" t="s">
        <v>110</v>
      </c>
      <c r="P80" s="164" t="str">
        <f>'LEVEL 3'!F92</f>
        <v>Per Unit</v>
      </c>
      <c r="Q80" s="167">
        <f>'LEVEL 3'!G92</f>
        <v>194</v>
      </c>
      <c r="R80" s="185">
        <f>'LEVEL 3'!H92</f>
        <v>75</v>
      </c>
      <c r="S80" s="216">
        <f>'LEVEL 3'!I92</f>
        <v>0</v>
      </c>
      <c r="T80" s="185">
        <f>'LEVEL 3'!J92</f>
        <v>75</v>
      </c>
      <c r="U80" s="217">
        <f>'LEVEL 3'!K92</f>
        <v>14550</v>
      </c>
      <c r="V80" s="259"/>
      <c r="X80" s="429">
        <f t="shared" si="11"/>
        <v>0</v>
      </c>
      <c r="Z80" s="432">
        <f t="shared" si="12"/>
        <v>0</v>
      </c>
      <c r="AB80" s="504"/>
    </row>
    <row r="81" spans="1:28" outlineLevel="1">
      <c r="A81" s="512" t="s">
        <v>249</v>
      </c>
      <c r="C81" s="629"/>
      <c r="D81" s="259">
        <f t="shared" si="2"/>
        <v>0</v>
      </c>
      <c r="E81" s="290"/>
      <c r="F81" s="483" t="s">
        <v>118</v>
      </c>
      <c r="G81" s="164"/>
      <c r="H81" s="161"/>
      <c r="I81" s="185"/>
      <c r="J81" s="216">
        <v>0</v>
      </c>
      <c r="K81" s="185">
        <v>0</v>
      </c>
      <c r="L81" s="217">
        <v>0</v>
      </c>
      <c r="M81" s="259"/>
      <c r="O81" s="483" t="s">
        <v>118</v>
      </c>
      <c r="P81" s="164">
        <f>'LEVEL 3'!F93</f>
        <v>0</v>
      </c>
      <c r="Q81" s="161">
        <f>'LEVEL 3'!G93</f>
        <v>0</v>
      </c>
      <c r="R81" s="185">
        <f>'LEVEL 3'!H93</f>
        <v>0</v>
      </c>
      <c r="S81" s="216">
        <f>'LEVEL 3'!I93</f>
        <v>0</v>
      </c>
      <c r="T81" s="185">
        <f>'LEVEL 3'!J93</f>
        <v>0</v>
      </c>
      <c r="U81" s="217">
        <f>'LEVEL 3'!K93</f>
        <v>0</v>
      </c>
      <c r="V81" s="259"/>
      <c r="X81" s="429">
        <f t="shared" si="11"/>
        <v>0</v>
      </c>
      <c r="Z81" s="432">
        <f t="shared" si="12"/>
        <v>0</v>
      </c>
      <c r="AB81" s="504"/>
    </row>
    <row r="82" spans="1:28" outlineLevel="1">
      <c r="A82" s="512" t="s">
        <v>251</v>
      </c>
      <c r="C82" s="629"/>
      <c r="D82" s="259">
        <f t="shared" si="2"/>
        <v>0</v>
      </c>
      <c r="E82" s="290"/>
      <c r="F82" s="483" t="s">
        <v>118</v>
      </c>
      <c r="G82" s="164"/>
      <c r="H82" s="161"/>
      <c r="I82" s="185"/>
      <c r="J82" s="216">
        <v>0</v>
      </c>
      <c r="K82" s="185">
        <v>0</v>
      </c>
      <c r="L82" s="217">
        <v>0</v>
      </c>
      <c r="M82" s="259"/>
      <c r="O82" s="483" t="s">
        <v>118</v>
      </c>
      <c r="P82" s="164">
        <f>'LEVEL 3'!F94</f>
        <v>0</v>
      </c>
      <c r="Q82" s="161">
        <f>'LEVEL 3'!G94</f>
        <v>0</v>
      </c>
      <c r="R82" s="185">
        <f>'LEVEL 3'!H94</f>
        <v>0</v>
      </c>
      <c r="S82" s="216">
        <f>'LEVEL 3'!I94</f>
        <v>0</v>
      </c>
      <c r="T82" s="185">
        <f>'LEVEL 3'!J94</f>
        <v>0</v>
      </c>
      <c r="U82" s="217">
        <f>'LEVEL 3'!K94</f>
        <v>0</v>
      </c>
      <c r="V82" s="259"/>
      <c r="X82" s="429">
        <f t="shared" si="11"/>
        <v>0</v>
      </c>
      <c r="Z82" s="432">
        <f t="shared" si="12"/>
        <v>0</v>
      </c>
      <c r="AB82" s="504"/>
    </row>
    <row r="83" spans="1:28" outlineLevel="1">
      <c r="A83" s="512" t="s">
        <v>253</v>
      </c>
      <c r="C83" s="629"/>
      <c r="D83" s="259">
        <f t="shared" si="2"/>
        <v>0</v>
      </c>
      <c r="E83" s="290"/>
      <c r="F83" s="483" t="s">
        <v>118</v>
      </c>
      <c r="G83" s="164"/>
      <c r="H83" s="161"/>
      <c r="I83" s="185"/>
      <c r="J83" s="216">
        <v>0</v>
      </c>
      <c r="K83" s="185">
        <v>0</v>
      </c>
      <c r="L83" s="217">
        <v>0</v>
      </c>
      <c r="M83" s="259"/>
      <c r="O83" s="483" t="s">
        <v>118</v>
      </c>
      <c r="P83" s="164">
        <f>'LEVEL 3'!F95</f>
        <v>0</v>
      </c>
      <c r="Q83" s="161">
        <f>'LEVEL 3'!G95</f>
        <v>0</v>
      </c>
      <c r="R83" s="185">
        <f>'LEVEL 3'!H95</f>
        <v>0</v>
      </c>
      <c r="S83" s="216">
        <f>'LEVEL 3'!I95</f>
        <v>0</v>
      </c>
      <c r="T83" s="185">
        <f>'LEVEL 3'!J95</f>
        <v>0</v>
      </c>
      <c r="U83" s="217">
        <f>'LEVEL 3'!K95</f>
        <v>0</v>
      </c>
      <c r="V83" s="259"/>
      <c r="X83" s="429">
        <f t="shared" si="11"/>
        <v>0</v>
      </c>
      <c r="Z83" s="432">
        <f t="shared" si="12"/>
        <v>0</v>
      </c>
      <c r="AB83" s="504"/>
    </row>
    <row r="84" spans="1:28" outlineLevel="1">
      <c r="A84" s="512" t="s">
        <v>255</v>
      </c>
      <c r="C84" s="629"/>
      <c r="D84" s="259">
        <f t="shared" si="2"/>
        <v>0</v>
      </c>
      <c r="E84" s="290"/>
      <c r="F84" s="483" t="s">
        <v>118</v>
      </c>
      <c r="G84" s="164"/>
      <c r="H84" s="161"/>
      <c r="I84" s="185"/>
      <c r="J84" s="216">
        <v>0</v>
      </c>
      <c r="K84" s="185">
        <v>0</v>
      </c>
      <c r="L84" s="217">
        <v>0</v>
      </c>
      <c r="M84" s="259"/>
      <c r="O84" s="483" t="s">
        <v>118</v>
      </c>
      <c r="P84" s="164">
        <f>'LEVEL 3'!F96</f>
        <v>0</v>
      </c>
      <c r="Q84" s="161">
        <f>'LEVEL 3'!G96</f>
        <v>0</v>
      </c>
      <c r="R84" s="185">
        <f>'LEVEL 3'!H96</f>
        <v>0</v>
      </c>
      <c r="S84" s="216">
        <f>'LEVEL 3'!I96</f>
        <v>0</v>
      </c>
      <c r="T84" s="185">
        <f>'LEVEL 3'!J96</f>
        <v>0</v>
      </c>
      <c r="U84" s="217">
        <f>'LEVEL 3'!K96</f>
        <v>0</v>
      </c>
      <c r="V84" s="259"/>
      <c r="X84" s="429">
        <f t="shared" si="11"/>
        <v>0</v>
      </c>
      <c r="Z84" s="432">
        <f t="shared" si="12"/>
        <v>0</v>
      </c>
      <c r="AB84" s="504"/>
    </row>
    <row r="85" spans="1:28" outlineLevel="1">
      <c r="A85" s="512" t="s">
        <v>257</v>
      </c>
      <c r="C85" s="629"/>
      <c r="D85" s="259">
        <f t="shared" ref="D85:D148" si="13">V85-C85</f>
        <v>0</v>
      </c>
      <c r="E85" s="290"/>
      <c r="F85" s="483" t="s">
        <v>118</v>
      </c>
      <c r="G85" s="164"/>
      <c r="H85" s="161"/>
      <c r="I85" s="185"/>
      <c r="J85" s="216">
        <v>0</v>
      </c>
      <c r="K85" s="185">
        <v>0</v>
      </c>
      <c r="L85" s="217">
        <v>0</v>
      </c>
      <c r="M85" s="259"/>
      <c r="O85" s="483" t="s">
        <v>118</v>
      </c>
      <c r="P85" s="164">
        <f>'LEVEL 3'!F97</f>
        <v>0</v>
      </c>
      <c r="Q85" s="161">
        <f>'LEVEL 3'!G97</f>
        <v>0</v>
      </c>
      <c r="R85" s="185">
        <f>'LEVEL 3'!H97</f>
        <v>0</v>
      </c>
      <c r="S85" s="216">
        <f>'LEVEL 3'!I97</f>
        <v>0</v>
      </c>
      <c r="T85" s="185">
        <f>'LEVEL 3'!J97</f>
        <v>0</v>
      </c>
      <c r="U85" s="217">
        <f>'LEVEL 3'!K97</f>
        <v>0</v>
      </c>
      <c r="V85" s="259"/>
      <c r="X85" s="429">
        <f t="shared" si="11"/>
        <v>0</v>
      </c>
      <c r="Z85" s="432">
        <f t="shared" si="12"/>
        <v>0</v>
      </c>
      <c r="AB85" s="504"/>
    </row>
    <row r="86" spans="1:28" outlineLevel="1">
      <c r="A86" s="512" t="s">
        <v>259</v>
      </c>
      <c r="C86" s="629"/>
      <c r="D86" s="259">
        <f t="shared" si="13"/>
        <v>0</v>
      </c>
      <c r="E86" s="290"/>
      <c r="F86" s="483" t="s">
        <v>118</v>
      </c>
      <c r="G86" s="164"/>
      <c r="H86" s="161"/>
      <c r="I86" s="185"/>
      <c r="J86" s="216">
        <v>0</v>
      </c>
      <c r="K86" s="185">
        <v>0</v>
      </c>
      <c r="L86" s="217">
        <v>0</v>
      </c>
      <c r="M86" s="259"/>
      <c r="O86" s="483" t="s">
        <v>118</v>
      </c>
      <c r="P86" s="164">
        <f>'LEVEL 3'!F98</f>
        <v>0</v>
      </c>
      <c r="Q86" s="161">
        <f>'LEVEL 3'!G98</f>
        <v>0</v>
      </c>
      <c r="R86" s="185">
        <f>'LEVEL 3'!H98</f>
        <v>0</v>
      </c>
      <c r="S86" s="216">
        <f>'LEVEL 3'!I98</f>
        <v>0</v>
      </c>
      <c r="T86" s="185">
        <f>'LEVEL 3'!J98</f>
        <v>0</v>
      </c>
      <c r="U86" s="217">
        <f>'LEVEL 3'!K98</f>
        <v>0</v>
      </c>
      <c r="V86" s="259"/>
      <c r="X86" s="429">
        <f t="shared" si="11"/>
        <v>0</v>
      </c>
      <c r="Z86" s="432">
        <f t="shared" si="12"/>
        <v>0</v>
      </c>
      <c r="AB86" s="504"/>
    </row>
    <row r="87" spans="1:28" outlineLevel="1">
      <c r="A87" s="512" t="s">
        <v>260</v>
      </c>
      <c r="C87" s="629"/>
      <c r="D87" s="259">
        <f t="shared" si="13"/>
        <v>0</v>
      </c>
      <c r="E87" s="290"/>
      <c r="F87" s="483" t="s">
        <v>195</v>
      </c>
      <c r="G87" s="164" t="s">
        <v>187</v>
      </c>
      <c r="H87" s="167">
        <v>194</v>
      </c>
      <c r="I87" s="185">
        <v>162</v>
      </c>
      <c r="J87" s="216">
        <v>0</v>
      </c>
      <c r="K87" s="185">
        <v>162</v>
      </c>
      <c r="L87" s="217">
        <v>31428</v>
      </c>
      <c r="M87" s="259"/>
      <c r="O87" s="483" t="s">
        <v>195</v>
      </c>
      <c r="P87" s="164" t="str">
        <f>'LEVEL 3'!F99</f>
        <v xml:space="preserve">Unit </v>
      </c>
      <c r="Q87" s="167">
        <f>'LEVEL 3'!G99</f>
        <v>194</v>
      </c>
      <c r="R87" s="185">
        <f>'LEVEL 3'!H99</f>
        <v>162</v>
      </c>
      <c r="S87" s="216">
        <f>'LEVEL 3'!I99</f>
        <v>0</v>
      </c>
      <c r="T87" s="185">
        <f>'LEVEL 3'!J99</f>
        <v>162</v>
      </c>
      <c r="U87" s="217">
        <f>'LEVEL 3'!K99</f>
        <v>31428</v>
      </c>
      <c r="V87" s="259"/>
      <c r="X87" s="429">
        <f t="shared" si="11"/>
        <v>0</v>
      </c>
      <c r="Z87" s="432">
        <f t="shared" si="12"/>
        <v>0</v>
      </c>
      <c r="AB87" s="504"/>
    </row>
    <row r="88" spans="1:28" outlineLevel="1">
      <c r="A88" s="512" t="s">
        <v>261</v>
      </c>
      <c r="C88" s="629"/>
      <c r="D88" s="259">
        <f t="shared" si="13"/>
        <v>0</v>
      </c>
      <c r="E88" s="290"/>
      <c r="F88" s="483" t="s">
        <v>110</v>
      </c>
      <c r="G88" s="164" t="s">
        <v>32</v>
      </c>
      <c r="H88" s="161">
        <v>2</v>
      </c>
      <c r="I88" s="185">
        <v>250</v>
      </c>
      <c r="J88" s="216">
        <v>0</v>
      </c>
      <c r="K88" s="185">
        <v>250</v>
      </c>
      <c r="L88" s="217">
        <v>500</v>
      </c>
      <c r="M88" s="259"/>
      <c r="O88" s="483" t="s">
        <v>110</v>
      </c>
      <c r="P88" s="164" t="str">
        <f>'LEVEL 3'!F100</f>
        <v>Count</v>
      </c>
      <c r="Q88" s="161">
        <f>'LEVEL 3'!G100</f>
        <v>2</v>
      </c>
      <c r="R88" s="185">
        <f>'LEVEL 3'!H100</f>
        <v>250</v>
      </c>
      <c r="S88" s="216">
        <f>'LEVEL 3'!I100</f>
        <v>0</v>
      </c>
      <c r="T88" s="185">
        <f>'LEVEL 3'!J100</f>
        <v>250</v>
      </c>
      <c r="U88" s="217">
        <f>'LEVEL 3'!K100</f>
        <v>500</v>
      </c>
      <c r="V88" s="259"/>
      <c r="X88" s="429">
        <f t="shared" si="11"/>
        <v>0</v>
      </c>
      <c r="Z88" s="432">
        <f t="shared" si="12"/>
        <v>0</v>
      </c>
      <c r="AB88" s="504"/>
    </row>
    <row r="89" spans="1:28">
      <c r="A89" s="509" t="s">
        <v>232</v>
      </c>
      <c r="C89" s="491">
        <v>336446.8</v>
      </c>
      <c r="D89" s="628">
        <f t="shared" si="13"/>
        <v>-57337.221052631561</v>
      </c>
      <c r="E89" s="290"/>
      <c r="F89" s="479"/>
      <c r="G89" s="305"/>
      <c r="H89" s="306"/>
      <c r="I89" s="307"/>
      <c r="J89" s="308"/>
      <c r="K89" s="307"/>
      <c r="L89" s="421"/>
      <c r="M89" s="480">
        <f>SUM(L75:L88)</f>
        <v>279109.57894736843</v>
      </c>
      <c r="O89" s="479"/>
      <c r="P89" s="305"/>
      <c r="Q89" s="306"/>
      <c r="R89" s="307"/>
      <c r="S89" s="308"/>
      <c r="T89" s="307"/>
      <c r="U89" s="421"/>
      <c r="V89" s="480">
        <f>'LEVEL 3'!L86</f>
        <v>279109.57894736843</v>
      </c>
      <c r="X89" s="491">
        <f>V89-M89</f>
        <v>0</v>
      </c>
      <c r="Z89" s="497">
        <f>IF(M89=0,0,X89/M89)</f>
        <v>0</v>
      </c>
      <c r="AB89" s="504"/>
    </row>
    <row r="90" spans="1:28" outlineLevel="1">
      <c r="A90" s="511" t="s">
        <v>264</v>
      </c>
      <c r="C90" s="629"/>
      <c r="D90" s="259">
        <f t="shared" si="13"/>
        <v>0</v>
      </c>
      <c r="E90" s="290"/>
      <c r="F90" s="482" t="s">
        <v>118</v>
      </c>
      <c r="G90" s="176"/>
      <c r="H90" s="167"/>
      <c r="I90" s="413"/>
      <c r="J90" s="414">
        <v>0</v>
      </c>
      <c r="K90" s="415">
        <v>0</v>
      </c>
      <c r="L90" s="416">
        <v>0</v>
      </c>
      <c r="M90" s="259"/>
      <c r="O90" s="482" t="s">
        <v>118</v>
      </c>
      <c r="P90" s="176">
        <v>0</v>
      </c>
      <c r="Q90" s="167">
        <v>0</v>
      </c>
      <c r="R90" s="413">
        <v>0</v>
      </c>
      <c r="S90" s="414">
        <v>0</v>
      </c>
      <c r="T90" s="415">
        <v>0</v>
      </c>
      <c r="U90" s="416">
        <v>0</v>
      </c>
      <c r="V90" s="259"/>
      <c r="X90" s="429">
        <f t="shared" ref="X90:X127" si="14">U90-L90</f>
        <v>0</v>
      </c>
      <c r="Z90" s="432">
        <f t="shared" ref="Z90:Z127" si="15">IF(L90=0,0,X90/L90)</f>
        <v>0</v>
      </c>
      <c r="AB90" s="504"/>
    </row>
    <row r="91" spans="1:28" outlineLevel="1">
      <c r="A91" s="512" t="s">
        <v>267</v>
      </c>
      <c r="C91" s="629"/>
      <c r="D91" s="259">
        <f t="shared" si="13"/>
        <v>0</v>
      </c>
      <c r="E91" s="290"/>
      <c r="F91" s="483" t="s">
        <v>110</v>
      </c>
      <c r="G91" s="164" t="s">
        <v>121</v>
      </c>
      <c r="H91" s="161">
        <v>1</v>
      </c>
      <c r="I91" s="185">
        <v>10000</v>
      </c>
      <c r="J91" s="216">
        <v>0</v>
      </c>
      <c r="K91" s="185">
        <v>10000</v>
      </c>
      <c r="L91" s="217">
        <v>10000</v>
      </c>
      <c r="M91" s="259"/>
      <c r="O91" s="483" t="s">
        <v>118</v>
      </c>
      <c r="P91" s="164" t="str">
        <f>'LEVEL 3'!F102</f>
        <v>LS</v>
      </c>
      <c r="Q91" s="161">
        <f>'LEVEL 3'!G102</f>
        <v>1</v>
      </c>
      <c r="R91" s="185">
        <f>'LEVEL 3'!H102</f>
        <v>10000</v>
      </c>
      <c r="S91" s="216">
        <f>'LEVEL 3'!I102</f>
        <v>0</v>
      </c>
      <c r="T91" s="185">
        <f>'LEVEL 3'!J102</f>
        <v>10000</v>
      </c>
      <c r="U91" s="217">
        <f>'LEVEL 3'!K102</f>
        <v>10000</v>
      </c>
      <c r="V91" s="259"/>
      <c r="X91" s="429">
        <f t="shared" si="14"/>
        <v>0</v>
      </c>
      <c r="Z91" s="432">
        <f t="shared" si="15"/>
        <v>0</v>
      </c>
      <c r="AB91" s="504"/>
    </row>
    <row r="92" spans="1:28" outlineLevel="1">
      <c r="A92" s="512" t="s">
        <v>269</v>
      </c>
      <c r="C92" s="629"/>
      <c r="D92" s="259">
        <f t="shared" si="13"/>
        <v>0</v>
      </c>
      <c r="E92" s="290"/>
      <c r="F92" s="483" t="s">
        <v>116</v>
      </c>
      <c r="G92" s="164" t="s">
        <v>15</v>
      </c>
      <c r="H92" s="161">
        <v>196289</v>
      </c>
      <c r="I92" s="185">
        <v>0.85</v>
      </c>
      <c r="J92" s="216">
        <v>0</v>
      </c>
      <c r="K92" s="185">
        <v>0.85</v>
      </c>
      <c r="L92" s="217">
        <v>166845.65</v>
      </c>
      <c r="M92" s="259"/>
      <c r="O92" s="483" t="s">
        <v>116</v>
      </c>
      <c r="P92" s="164" t="str">
        <f>'LEVEL 3'!F103</f>
        <v>SF</v>
      </c>
      <c r="Q92" s="161">
        <f>'LEVEL 3'!G103</f>
        <v>196289</v>
      </c>
      <c r="R92" s="185">
        <f>'LEVEL 3'!H103</f>
        <v>0.85</v>
      </c>
      <c r="S92" s="216">
        <f>'LEVEL 3'!I103</f>
        <v>0</v>
      </c>
      <c r="T92" s="185">
        <f>'LEVEL 3'!J103</f>
        <v>0.85</v>
      </c>
      <c r="U92" s="217">
        <f>'LEVEL 3'!K103</f>
        <v>166845.65</v>
      </c>
      <c r="V92" s="259"/>
      <c r="X92" s="429">
        <f t="shared" si="14"/>
        <v>0</v>
      </c>
      <c r="Z92" s="432">
        <f t="shared" si="15"/>
        <v>0</v>
      </c>
      <c r="AB92" s="504"/>
    </row>
    <row r="93" spans="1:28" outlineLevel="1">
      <c r="A93" s="512" t="s">
        <v>271</v>
      </c>
      <c r="C93" s="629"/>
      <c r="D93" s="259">
        <f t="shared" si="13"/>
        <v>0</v>
      </c>
      <c r="E93" s="290"/>
      <c r="F93" s="483" t="s">
        <v>110</v>
      </c>
      <c r="G93" s="164" t="s">
        <v>121</v>
      </c>
      <c r="H93" s="161">
        <v>1</v>
      </c>
      <c r="I93" s="185">
        <v>50000</v>
      </c>
      <c r="J93" s="216">
        <v>0</v>
      </c>
      <c r="K93" s="185">
        <v>50000</v>
      </c>
      <c r="L93" s="217">
        <v>50000</v>
      </c>
      <c r="M93" s="259"/>
      <c r="O93" s="483" t="s">
        <v>110</v>
      </c>
      <c r="P93" s="164" t="str">
        <f>'LEVEL 3'!F104</f>
        <v>LS</v>
      </c>
      <c r="Q93" s="161">
        <f>'LEVEL 3'!G104</f>
        <v>1</v>
      </c>
      <c r="R93" s="185">
        <f>'LEVEL 3'!H104</f>
        <v>50000</v>
      </c>
      <c r="S93" s="216">
        <f>'LEVEL 3'!I104</f>
        <v>0</v>
      </c>
      <c r="T93" s="185">
        <f>'LEVEL 3'!J104</f>
        <v>50000</v>
      </c>
      <c r="U93" s="217">
        <f>'LEVEL 3'!K104</f>
        <v>50000</v>
      </c>
      <c r="V93" s="259"/>
      <c r="X93" s="429">
        <f t="shared" si="14"/>
        <v>0</v>
      </c>
      <c r="Z93" s="432">
        <f t="shared" si="15"/>
        <v>0</v>
      </c>
      <c r="AB93" s="504"/>
    </row>
    <row r="94" spans="1:28" outlineLevel="1">
      <c r="A94" s="512" t="s">
        <v>184</v>
      </c>
      <c r="C94" s="629"/>
      <c r="D94" s="259">
        <f t="shared" si="13"/>
        <v>0</v>
      </c>
      <c r="E94" s="290"/>
      <c r="F94" s="483" t="s">
        <v>110</v>
      </c>
      <c r="G94" s="164" t="s">
        <v>187</v>
      </c>
      <c r="H94" s="167">
        <v>194</v>
      </c>
      <c r="I94" s="185">
        <v>79</v>
      </c>
      <c r="J94" s="216">
        <v>0</v>
      </c>
      <c r="K94" s="185">
        <v>79</v>
      </c>
      <c r="L94" s="217">
        <v>15326</v>
      </c>
      <c r="M94" s="259"/>
      <c r="O94" s="483" t="s">
        <v>110</v>
      </c>
      <c r="P94" s="164" t="str">
        <f>'LEVEL 3'!F105</f>
        <v xml:space="preserve">Unit </v>
      </c>
      <c r="Q94" s="167">
        <f>'LEVEL 3'!G105</f>
        <v>194</v>
      </c>
      <c r="R94" s="185">
        <f>'LEVEL 3'!H105</f>
        <v>79</v>
      </c>
      <c r="S94" s="216">
        <f>'LEVEL 3'!I105</f>
        <v>0</v>
      </c>
      <c r="T94" s="185">
        <f>'LEVEL 3'!J105</f>
        <v>79</v>
      </c>
      <c r="U94" s="342">
        <f>'LEVEL 3'!K105</f>
        <v>15326</v>
      </c>
      <c r="V94" s="259"/>
      <c r="X94" s="429">
        <f t="shared" si="14"/>
        <v>0</v>
      </c>
      <c r="Z94" s="432">
        <f t="shared" si="15"/>
        <v>0</v>
      </c>
      <c r="AB94" s="504"/>
    </row>
    <row r="95" spans="1:28" outlineLevel="1">
      <c r="A95" s="512" t="s">
        <v>275</v>
      </c>
      <c r="C95" s="629"/>
      <c r="D95" s="259">
        <f t="shared" si="13"/>
        <v>0</v>
      </c>
      <c r="E95" s="290"/>
      <c r="F95" s="483" t="s">
        <v>110</v>
      </c>
      <c r="G95" s="164" t="s">
        <v>121</v>
      </c>
      <c r="H95" s="161">
        <v>1</v>
      </c>
      <c r="I95" s="185">
        <v>10000</v>
      </c>
      <c r="J95" s="216">
        <v>0</v>
      </c>
      <c r="K95" s="185">
        <v>10000</v>
      </c>
      <c r="L95" s="217">
        <v>10000</v>
      </c>
      <c r="M95" s="259"/>
      <c r="O95" s="483" t="s">
        <v>118</v>
      </c>
      <c r="P95" s="164" t="str">
        <f>'LEVEL 3'!F106</f>
        <v>LS</v>
      </c>
      <c r="Q95" s="161">
        <f>'LEVEL 3'!G106</f>
        <v>1</v>
      </c>
      <c r="R95" s="185">
        <f>'LEVEL 3'!H106</f>
        <v>10000</v>
      </c>
      <c r="S95" s="216">
        <f>'LEVEL 3'!I106</f>
        <v>0</v>
      </c>
      <c r="T95" s="185">
        <f>'LEVEL 3'!J106</f>
        <v>10000</v>
      </c>
      <c r="U95" s="217">
        <f>'LEVEL 3'!K106</f>
        <v>10000</v>
      </c>
      <c r="V95" s="259"/>
      <c r="X95" s="429">
        <f t="shared" si="14"/>
        <v>0</v>
      </c>
      <c r="Z95" s="432">
        <f t="shared" si="15"/>
        <v>0</v>
      </c>
      <c r="AB95" s="504"/>
    </row>
    <row r="96" spans="1:28" outlineLevel="1">
      <c r="A96" s="512" t="s">
        <v>58</v>
      </c>
      <c r="C96" s="629"/>
      <c r="D96" s="259">
        <f t="shared" si="13"/>
        <v>0</v>
      </c>
      <c r="E96" s="290"/>
      <c r="F96" s="483" t="s">
        <v>116</v>
      </c>
      <c r="G96" s="164" t="s">
        <v>278</v>
      </c>
      <c r="H96" s="161">
        <v>11824</v>
      </c>
      <c r="I96" s="185">
        <v>40.82</v>
      </c>
      <c r="J96" s="216">
        <v>0</v>
      </c>
      <c r="K96" s="185">
        <v>40.82</v>
      </c>
      <c r="L96" s="217">
        <v>482655.68</v>
      </c>
      <c r="M96" s="259"/>
      <c r="O96" s="483" t="s">
        <v>116</v>
      </c>
      <c r="P96" s="164" t="str">
        <f>'LEVEL 3'!F107</f>
        <v>SY</v>
      </c>
      <c r="Q96" s="161">
        <f>'LEVEL 3'!G107</f>
        <v>11824</v>
      </c>
      <c r="R96" s="185">
        <f>'LEVEL 3'!H107</f>
        <v>40.82</v>
      </c>
      <c r="S96" s="216">
        <f>'LEVEL 3'!I107</f>
        <v>0</v>
      </c>
      <c r="T96" s="185">
        <f>'LEVEL 3'!J107</f>
        <v>40.82</v>
      </c>
      <c r="U96" s="217">
        <f>'LEVEL 3'!K107</f>
        <v>482655.68</v>
      </c>
      <c r="V96" s="259"/>
      <c r="X96" s="429">
        <f t="shared" si="14"/>
        <v>0</v>
      </c>
      <c r="Z96" s="432">
        <f t="shared" si="15"/>
        <v>0</v>
      </c>
      <c r="AB96" s="504"/>
    </row>
    <row r="97" spans="1:28" outlineLevel="1">
      <c r="A97" s="512" t="s">
        <v>280</v>
      </c>
      <c r="C97" s="629"/>
      <c r="D97" s="259">
        <f t="shared" si="13"/>
        <v>0</v>
      </c>
      <c r="E97" s="290"/>
      <c r="F97" s="483" t="s">
        <v>110</v>
      </c>
      <c r="G97" s="164" t="s">
        <v>121</v>
      </c>
      <c r="H97" s="161">
        <v>1</v>
      </c>
      <c r="I97" s="185">
        <v>6000</v>
      </c>
      <c r="J97" s="216">
        <v>0</v>
      </c>
      <c r="K97" s="185">
        <v>6000</v>
      </c>
      <c r="L97" s="217">
        <v>6000</v>
      </c>
      <c r="M97" s="259"/>
      <c r="O97" s="483" t="s">
        <v>110</v>
      </c>
      <c r="P97" s="164" t="str">
        <f>'LEVEL 3'!F108</f>
        <v>LS</v>
      </c>
      <c r="Q97" s="161">
        <f>'LEVEL 3'!G108</f>
        <v>1</v>
      </c>
      <c r="R97" s="185">
        <f>'LEVEL 3'!H108</f>
        <v>6000</v>
      </c>
      <c r="S97" s="216">
        <f>'LEVEL 3'!I108</f>
        <v>0</v>
      </c>
      <c r="T97" s="185">
        <f>'LEVEL 3'!J108</f>
        <v>6000</v>
      </c>
      <c r="U97" s="217">
        <f>'LEVEL 3'!K108</f>
        <v>6000</v>
      </c>
      <c r="V97" s="259"/>
      <c r="X97" s="429">
        <f t="shared" si="14"/>
        <v>0</v>
      </c>
      <c r="Z97" s="432">
        <f t="shared" si="15"/>
        <v>0</v>
      </c>
      <c r="AB97" s="504"/>
    </row>
    <row r="98" spans="1:28" outlineLevel="1">
      <c r="A98" s="512" t="s">
        <v>282</v>
      </c>
      <c r="C98" s="629"/>
      <c r="D98" s="259">
        <f t="shared" si="13"/>
        <v>0</v>
      </c>
      <c r="E98" s="290"/>
      <c r="F98" s="483" t="s">
        <v>118</v>
      </c>
      <c r="G98" s="164"/>
      <c r="H98" s="161"/>
      <c r="I98" s="185"/>
      <c r="J98" s="216">
        <v>0</v>
      </c>
      <c r="K98" s="185">
        <v>0</v>
      </c>
      <c r="L98" s="217">
        <v>0</v>
      </c>
      <c r="M98" s="259"/>
      <c r="O98" s="483" t="s">
        <v>118</v>
      </c>
      <c r="P98" s="164">
        <f>'LEVEL 3'!F109</f>
        <v>0</v>
      </c>
      <c r="Q98" s="161">
        <f>'LEVEL 3'!G109</f>
        <v>0</v>
      </c>
      <c r="R98" s="185">
        <f>'LEVEL 3'!H109</f>
        <v>0</v>
      </c>
      <c r="S98" s="216">
        <f>'LEVEL 3'!I109</f>
        <v>0</v>
      </c>
      <c r="T98" s="185">
        <f>'LEVEL 3'!J109</f>
        <v>0</v>
      </c>
      <c r="U98" s="217">
        <f>'LEVEL 3'!K109</f>
        <v>0</v>
      </c>
      <c r="V98" s="259"/>
      <c r="X98" s="429">
        <f t="shared" si="14"/>
        <v>0</v>
      </c>
      <c r="Z98" s="432">
        <f t="shared" si="15"/>
        <v>0</v>
      </c>
      <c r="AB98" s="504"/>
    </row>
    <row r="99" spans="1:28" outlineLevel="1">
      <c r="A99" s="512" t="s">
        <v>284</v>
      </c>
      <c r="C99" s="629"/>
      <c r="D99" s="259">
        <f t="shared" si="13"/>
        <v>0</v>
      </c>
      <c r="E99" s="290"/>
      <c r="F99" s="483" t="s">
        <v>110</v>
      </c>
      <c r="G99" s="164" t="s">
        <v>121</v>
      </c>
      <c r="H99" s="161">
        <v>1</v>
      </c>
      <c r="I99" s="185">
        <v>2000</v>
      </c>
      <c r="J99" s="216">
        <v>0</v>
      </c>
      <c r="K99" s="185">
        <v>2000</v>
      </c>
      <c r="L99" s="217">
        <v>2000</v>
      </c>
      <c r="M99" s="259"/>
      <c r="O99" s="483" t="s">
        <v>110</v>
      </c>
      <c r="P99" s="164" t="str">
        <f>'LEVEL 3'!F110</f>
        <v>LS</v>
      </c>
      <c r="Q99" s="161">
        <f>'LEVEL 3'!G110</f>
        <v>1</v>
      </c>
      <c r="R99" s="185">
        <f>'LEVEL 3'!H110</f>
        <v>2000</v>
      </c>
      <c r="S99" s="216">
        <f>'LEVEL 3'!I110</f>
        <v>0</v>
      </c>
      <c r="T99" s="185">
        <f>'LEVEL 3'!J110</f>
        <v>2000</v>
      </c>
      <c r="U99" s="217">
        <f>'LEVEL 3'!K110</f>
        <v>2000</v>
      </c>
      <c r="V99" s="259"/>
      <c r="X99" s="429">
        <f t="shared" si="14"/>
        <v>0</v>
      </c>
      <c r="Z99" s="432">
        <f t="shared" si="15"/>
        <v>0</v>
      </c>
      <c r="AB99" s="504"/>
    </row>
    <row r="100" spans="1:28" outlineLevel="1">
      <c r="A100" s="512" t="s">
        <v>286</v>
      </c>
      <c r="C100" s="629"/>
      <c r="D100" s="259">
        <f t="shared" si="13"/>
        <v>0</v>
      </c>
      <c r="E100" s="290"/>
      <c r="F100" s="483" t="s">
        <v>118</v>
      </c>
      <c r="G100" s="164"/>
      <c r="H100" s="161"/>
      <c r="I100" s="185"/>
      <c r="J100" s="216">
        <v>0</v>
      </c>
      <c r="K100" s="185">
        <v>0</v>
      </c>
      <c r="L100" s="217">
        <v>0</v>
      </c>
      <c r="M100" s="259"/>
      <c r="O100" s="483" t="s">
        <v>118</v>
      </c>
      <c r="P100" s="164">
        <f>'LEVEL 3'!F111</f>
        <v>0</v>
      </c>
      <c r="Q100" s="161">
        <f>'LEVEL 3'!G111</f>
        <v>0</v>
      </c>
      <c r="R100" s="185">
        <f>'LEVEL 3'!H111</f>
        <v>0</v>
      </c>
      <c r="S100" s="216">
        <f>'LEVEL 3'!I111</f>
        <v>0</v>
      </c>
      <c r="T100" s="185">
        <f>'LEVEL 3'!J111</f>
        <v>0</v>
      </c>
      <c r="U100" s="217">
        <f>'LEVEL 3'!K111</f>
        <v>0</v>
      </c>
      <c r="V100" s="259"/>
      <c r="X100" s="429">
        <f t="shared" si="14"/>
        <v>0</v>
      </c>
      <c r="Z100" s="432">
        <f t="shared" si="15"/>
        <v>0</v>
      </c>
      <c r="AB100" s="504"/>
    </row>
    <row r="101" spans="1:28" outlineLevel="1">
      <c r="A101" s="512" t="s">
        <v>288</v>
      </c>
      <c r="C101" s="629"/>
      <c r="D101" s="259">
        <f t="shared" si="13"/>
        <v>0</v>
      </c>
      <c r="E101" s="290"/>
      <c r="F101" s="483" t="s">
        <v>195</v>
      </c>
      <c r="G101" s="164" t="s">
        <v>121</v>
      </c>
      <c r="H101" s="161">
        <v>1</v>
      </c>
      <c r="I101" s="185">
        <v>5000</v>
      </c>
      <c r="J101" s="216">
        <v>0</v>
      </c>
      <c r="K101" s="185">
        <v>5000</v>
      </c>
      <c r="L101" s="217">
        <v>5000</v>
      </c>
      <c r="M101" s="259"/>
      <c r="O101" s="483" t="s">
        <v>118</v>
      </c>
      <c r="P101" s="164" t="str">
        <f>'LEVEL 3'!F112</f>
        <v>LS</v>
      </c>
      <c r="Q101" s="161">
        <f>'LEVEL 3'!G112</f>
        <v>1</v>
      </c>
      <c r="R101" s="185">
        <f>'LEVEL 3'!H112</f>
        <v>5000</v>
      </c>
      <c r="S101" s="216">
        <f>'LEVEL 3'!I112</f>
        <v>0</v>
      </c>
      <c r="T101" s="185">
        <f>'LEVEL 3'!J112</f>
        <v>5000</v>
      </c>
      <c r="U101" s="217">
        <f>'LEVEL 3'!K112</f>
        <v>5000</v>
      </c>
      <c r="V101" s="259"/>
      <c r="X101" s="429">
        <f t="shared" si="14"/>
        <v>0</v>
      </c>
      <c r="Z101" s="432">
        <f t="shared" si="15"/>
        <v>0</v>
      </c>
      <c r="AB101" s="504"/>
    </row>
    <row r="102" spans="1:28" outlineLevel="1">
      <c r="A102" s="512" t="s">
        <v>290</v>
      </c>
      <c r="C102" s="629"/>
      <c r="D102" s="259">
        <f t="shared" si="13"/>
        <v>0</v>
      </c>
      <c r="E102" s="290"/>
      <c r="F102" s="483" t="s">
        <v>110</v>
      </c>
      <c r="G102" s="164" t="s">
        <v>121</v>
      </c>
      <c r="H102" s="161">
        <v>1</v>
      </c>
      <c r="I102" s="185">
        <v>1500</v>
      </c>
      <c r="J102" s="216">
        <v>0</v>
      </c>
      <c r="K102" s="185">
        <v>1500</v>
      </c>
      <c r="L102" s="217">
        <v>1500</v>
      </c>
      <c r="M102" s="259"/>
      <c r="O102" s="483" t="s">
        <v>110</v>
      </c>
      <c r="P102" s="164" t="str">
        <f>'LEVEL 3'!F113</f>
        <v>LS</v>
      </c>
      <c r="Q102" s="161">
        <f>'LEVEL 3'!G113</f>
        <v>1</v>
      </c>
      <c r="R102" s="185">
        <f>'LEVEL 3'!H113</f>
        <v>1500</v>
      </c>
      <c r="S102" s="216">
        <f>'LEVEL 3'!I113</f>
        <v>0</v>
      </c>
      <c r="T102" s="185">
        <f>'LEVEL 3'!J113</f>
        <v>1500</v>
      </c>
      <c r="U102" s="217">
        <f>'LEVEL 3'!K113</f>
        <v>1500</v>
      </c>
      <c r="V102" s="259"/>
      <c r="X102" s="429">
        <f t="shared" si="14"/>
        <v>0</v>
      </c>
      <c r="Z102" s="432">
        <f t="shared" si="15"/>
        <v>0</v>
      </c>
      <c r="AB102" s="504"/>
    </row>
    <row r="103" spans="1:28" outlineLevel="1">
      <c r="A103" s="512" t="s">
        <v>292</v>
      </c>
      <c r="C103" s="629"/>
      <c r="D103" s="259">
        <f t="shared" si="13"/>
        <v>0</v>
      </c>
      <c r="E103" s="290"/>
      <c r="F103" s="483" t="s">
        <v>116</v>
      </c>
      <c r="G103" s="164" t="s">
        <v>15</v>
      </c>
      <c r="H103" s="161">
        <v>196289</v>
      </c>
      <c r="I103" s="185">
        <v>8.02</v>
      </c>
      <c r="J103" s="216">
        <v>0</v>
      </c>
      <c r="K103" s="185">
        <v>8.02</v>
      </c>
      <c r="L103" s="217">
        <v>1574237.78</v>
      </c>
      <c r="M103" s="259"/>
      <c r="O103" s="483" t="s">
        <v>855</v>
      </c>
      <c r="P103" s="164" t="str">
        <f>'LEVEL 3'!F114</f>
        <v>SF</v>
      </c>
      <c r="Q103" s="161">
        <f>'LEVEL 3'!G114</f>
        <v>196289</v>
      </c>
      <c r="R103" s="185">
        <f>'LEVEL 3'!H114</f>
        <v>8.0021691485513706</v>
      </c>
      <c r="S103" s="216">
        <f>'LEVEL 3'!I114</f>
        <v>0</v>
      </c>
      <c r="T103" s="185">
        <f>'LEVEL 3'!J114</f>
        <v>8.0021691485513706</v>
      </c>
      <c r="U103" s="217">
        <f>'LEVEL 3'!K114</f>
        <v>1570737.78</v>
      </c>
      <c r="V103" s="259"/>
      <c r="X103" s="429">
        <f t="shared" si="14"/>
        <v>-3500</v>
      </c>
      <c r="Z103" s="432">
        <f t="shared" si="15"/>
        <v>-2.2232981856146281E-3</v>
      </c>
      <c r="AB103" s="504" t="s">
        <v>937</v>
      </c>
    </row>
    <row r="104" spans="1:28" outlineLevel="1">
      <c r="A104" s="512" t="s">
        <v>857</v>
      </c>
      <c r="C104" s="629"/>
      <c r="D104" s="259">
        <f t="shared" si="13"/>
        <v>0</v>
      </c>
      <c r="E104" s="290"/>
      <c r="F104" s="483"/>
      <c r="G104" s="164"/>
      <c r="H104" s="167"/>
      <c r="I104" s="185"/>
      <c r="J104" s="216"/>
      <c r="K104" s="185"/>
      <c r="L104" s="217"/>
      <c r="M104" s="259"/>
      <c r="O104" s="483" t="s">
        <v>116</v>
      </c>
      <c r="P104" s="164" t="str">
        <f>'LEVEL 3'!F115</f>
        <v>LS</v>
      </c>
      <c r="Q104" s="161">
        <f>'LEVEL 3'!G115</f>
        <v>1</v>
      </c>
      <c r="R104" s="185">
        <f>'LEVEL 3'!H115</f>
        <v>3500</v>
      </c>
      <c r="S104" s="216">
        <f>'LEVEL 3'!I115</f>
        <v>0</v>
      </c>
      <c r="T104" s="185">
        <f>'LEVEL 3'!J115</f>
        <v>3500</v>
      </c>
      <c r="U104" s="217">
        <f>'LEVEL 3'!K115</f>
        <v>3500</v>
      </c>
      <c r="V104" s="259"/>
      <c r="X104" s="429"/>
      <c r="Z104" s="432"/>
      <c r="AB104" s="504"/>
    </row>
    <row r="105" spans="1:28" outlineLevel="1">
      <c r="A105" s="512" t="s">
        <v>294</v>
      </c>
      <c r="C105" s="629"/>
      <c r="D105" s="259">
        <f t="shared" si="13"/>
        <v>0</v>
      </c>
      <c r="E105" s="290"/>
      <c r="F105" s="483" t="s">
        <v>110</v>
      </c>
      <c r="G105" s="164" t="s">
        <v>187</v>
      </c>
      <c r="H105" s="167">
        <v>194</v>
      </c>
      <c r="I105" s="185">
        <v>85</v>
      </c>
      <c r="J105" s="216">
        <v>0</v>
      </c>
      <c r="K105" s="185">
        <v>85</v>
      </c>
      <c r="L105" s="217">
        <v>16490</v>
      </c>
      <c r="M105" s="259"/>
      <c r="O105" s="483" t="s">
        <v>110</v>
      </c>
      <c r="P105" s="164" t="str">
        <f>'LEVEL 3'!F116</f>
        <v xml:space="preserve">Unit </v>
      </c>
      <c r="Q105" s="167">
        <f>'LEVEL 3'!G116</f>
        <v>194</v>
      </c>
      <c r="R105" s="185">
        <f>'LEVEL 3'!H116</f>
        <v>85</v>
      </c>
      <c r="S105" s="216">
        <f>'LEVEL 3'!I116</f>
        <v>0</v>
      </c>
      <c r="T105" s="185">
        <f>'LEVEL 3'!J116</f>
        <v>85</v>
      </c>
      <c r="U105" s="217">
        <f>'LEVEL 3'!K116</f>
        <v>16490</v>
      </c>
      <c r="V105" s="259"/>
      <c r="X105" s="429">
        <f t="shared" si="14"/>
        <v>0</v>
      </c>
      <c r="Z105" s="432">
        <f t="shared" si="15"/>
        <v>0</v>
      </c>
      <c r="AB105" s="504"/>
    </row>
    <row r="106" spans="1:28" outlineLevel="1">
      <c r="A106" s="512" t="s">
        <v>296</v>
      </c>
      <c r="C106" s="629"/>
      <c r="D106" s="259">
        <f t="shared" si="13"/>
        <v>0</v>
      </c>
      <c r="E106" s="290"/>
      <c r="F106" s="483" t="s">
        <v>118</v>
      </c>
      <c r="G106" s="164"/>
      <c r="H106" s="161"/>
      <c r="I106" s="185"/>
      <c r="J106" s="216">
        <v>0</v>
      </c>
      <c r="K106" s="185">
        <v>0</v>
      </c>
      <c r="L106" s="217">
        <v>0</v>
      </c>
      <c r="M106" s="259"/>
      <c r="O106" s="483" t="s">
        <v>118</v>
      </c>
      <c r="P106" s="164">
        <f>'LEVEL 3'!F117</f>
        <v>0</v>
      </c>
      <c r="Q106" s="161">
        <f>'LEVEL 3'!G117</f>
        <v>0</v>
      </c>
      <c r="R106" s="185">
        <f>'LEVEL 3'!H117</f>
        <v>0</v>
      </c>
      <c r="S106" s="216">
        <f>'LEVEL 3'!I117</f>
        <v>0</v>
      </c>
      <c r="T106" s="185">
        <f>'LEVEL 3'!J117</f>
        <v>0</v>
      </c>
      <c r="U106" s="217">
        <f>'LEVEL 3'!K117</f>
        <v>0</v>
      </c>
      <c r="V106" s="259"/>
      <c r="X106" s="429">
        <f t="shared" si="14"/>
        <v>0</v>
      </c>
      <c r="Z106" s="432">
        <f t="shared" si="15"/>
        <v>0</v>
      </c>
      <c r="AB106" s="504"/>
    </row>
    <row r="107" spans="1:28" outlineLevel="1">
      <c r="A107" s="512" t="s">
        <v>298</v>
      </c>
      <c r="C107" s="629"/>
      <c r="D107" s="259">
        <f t="shared" si="13"/>
        <v>0</v>
      </c>
      <c r="E107" s="290"/>
      <c r="F107" s="483" t="s">
        <v>195</v>
      </c>
      <c r="G107" s="164" t="s">
        <v>121</v>
      </c>
      <c r="H107" s="161">
        <v>1</v>
      </c>
      <c r="I107" s="185">
        <v>67657</v>
      </c>
      <c r="J107" s="216">
        <v>0</v>
      </c>
      <c r="K107" s="185">
        <v>67657</v>
      </c>
      <c r="L107" s="217">
        <v>67657</v>
      </c>
      <c r="M107" s="259"/>
      <c r="O107" s="483" t="str">
        <f>'LEVEL 3'!E118</f>
        <v>Pebble</v>
      </c>
      <c r="P107" s="164" t="str">
        <f>'LEVEL 3'!F118</f>
        <v>LS</v>
      </c>
      <c r="Q107" s="161">
        <f>'LEVEL 3'!G118</f>
        <v>1</v>
      </c>
      <c r="R107" s="185">
        <f>'LEVEL 3'!H118</f>
        <v>67657</v>
      </c>
      <c r="S107" s="216">
        <f>'LEVEL 3'!I118</f>
        <v>0</v>
      </c>
      <c r="T107" s="185">
        <f>'LEVEL 3'!J118</f>
        <v>67657</v>
      </c>
      <c r="U107" s="217">
        <f>'LEVEL 3'!K118</f>
        <v>67657</v>
      </c>
      <c r="V107" s="259"/>
      <c r="X107" s="429">
        <f t="shared" si="14"/>
        <v>0</v>
      </c>
      <c r="Z107" s="432">
        <f t="shared" si="15"/>
        <v>0</v>
      </c>
      <c r="AB107" s="504" t="s">
        <v>938</v>
      </c>
    </row>
    <row r="108" spans="1:28" outlineLevel="1">
      <c r="A108" s="512" t="s">
        <v>300</v>
      </c>
      <c r="C108" s="629"/>
      <c r="D108" s="259">
        <f t="shared" si="13"/>
        <v>0</v>
      </c>
      <c r="E108" s="290"/>
      <c r="F108" s="483" t="s">
        <v>118</v>
      </c>
      <c r="G108" s="164"/>
      <c r="H108" s="161"/>
      <c r="I108" s="185"/>
      <c r="J108" s="216">
        <v>0</v>
      </c>
      <c r="K108" s="185">
        <v>0</v>
      </c>
      <c r="L108" s="217">
        <v>0</v>
      </c>
      <c r="M108" s="259"/>
      <c r="O108" s="483" t="s">
        <v>118</v>
      </c>
      <c r="P108" s="164">
        <f>'LEVEL 3'!F119</f>
        <v>0</v>
      </c>
      <c r="Q108" s="161">
        <f>'LEVEL 3'!G119</f>
        <v>0</v>
      </c>
      <c r="R108" s="185">
        <f>'LEVEL 3'!H119</f>
        <v>0</v>
      </c>
      <c r="S108" s="216">
        <f>'LEVEL 3'!I119</f>
        <v>0</v>
      </c>
      <c r="T108" s="185">
        <f>'LEVEL 3'!J119</f>
        <v>0</v>
      </c>
      <c r="U108" s="217">
        <f>'LEVEL 3'!K119</f>
        <v>0</v>
      </c>
      <c r="V108" s="259"/>
      <c r="X108" s="429">
        <f t="shared" si="14"/>
        <v>0</v>
      </c>
      <c r="Z108" s="432">
        <f t="shared" si="15"/>
        <v>0</v>
      </c>
      <c r="AB108" s="504"/>
    </row>
    <row r="109" spans="1:28" outlineLevel="1">
      <c r="A109" s="512" t="s">
        <v>302</v>
      </c>
      <c r="C109" s="629"/>
      <c r="D109" s="259">
        <f t="shared" si="13"/>
        <v>0</v>
      </c>
      <c r="E109" s="290"/>
      <c r="F109" s="483" t="s">
        <v>118</v>
      </c>
      <c r="G109" s="164"/>
      <c r="H109" s="161"/>
      <c r="I109" s="185"/>
      <c r="J109" s="216">
        <v>0</v>
      </c>
      <c r="K109" s="185">
        <v>0</v>
      </c>
      <c r="L109" s="217">
        <v>0</v>
      </c>
      <c r="M109" s="259"/>
      <c r="O109" s="483" t="s">
        <v>118</v>
      </c>
      <c r="P109" s="164">
        <f>'LEVEL 3'!F120</f>
        <v>0</v>
      </c>
      <c r="Q109" s="161">
        <f>'LEVEL 3'!G120</f>
        <v>0</v>
      </c>
      <c r="R109" s="185">
        <f>'LEVEL 3'!H120</f>
        <v>0</v>
      </c>
      <c r="S109" s="216">
        <f>'LEVEL 3'!I120</f>
        <v>0</v>
      </c>
      <c r="T109" s="185">
        <f>'LEVEL 3'!J120</f>
        <v>0</v>
      </c>
      <c r="U109" s="217">
        <f>'LEVEL 3'!K120</f>
        <v>0</v>
      </c>
      <c r="V109" s="259"/>
      <c r="X109" s="429">
        <f t="shared" si="14"/>
        <v>0</v>
      </c>
      <c r="Z109" s="432">
        <f t="shared" si="15"/>
        <v>0</v>
      </c>
      <c r="AB109" s="504"/>
    </row>
    <row r="110" spans="1:28" outlineLevel="1">
      <c r="A110" s="512" t="s">
        <v>304</v>
      </c>
      <c r="C110" s="629"/>
      <c r="D110" s="259">
        <f t="shared" si="13"/>
        <v>0</v>
      </c>
      <c r="E110" s="290"/>
      <c r="F110" s="483" t="s">
        <v>859</v>
      </c>
      <c r="G110" s="164" t="s">
        <v>278</v>
      </c>
      <c r="H110" s="161">
        <v>16642</v>
      </c>
      <c r="I110" s="185">
        <v>18.36</v>
      </c>
      <c r="J110" s="216">
        <v>0</v>
      </c>
      <c r="K110" s="185">
        <v>18.36</v>
      </c>
      <c r="L110" s="217">
        <v>305547.12</v>
      </c>
      <c r="M110" s="259"/>
      <c r="O110" s="483" t="s">
        <v>246</v>
      </c>
      <c r="P110" s="164" t="str">
        <f>'LEVEL 3'!F121</f>
        <v>SY</v>
      </c>
      <c r="Q110" s="161">
        <f>'LEVEL 3'!G121</f>
        <v>16642</v>
      </c>
      <c r="R110" s="185">
        <f>'LEVEL 3'!H121</f>
        <v>18.36</v>
      </c>
      <c r="S110" s="216">
        <f>'LEVEL 3'!I121</f>
        <v>0</v>
      </c>
      <c r="T110" s="185">
        <f>'LEVEL 3'!J121</f>
        <v>18.36</v>
      </c>
      <c r="U110" s="217">
        <f>'LEVEL 3'!K121</f>
        <v>305547.12</v>
      </c>
      <c r="V110" s="259"/>
      <c r="X110" s="429">
        <f t="shared" si="14"/>
        <v>0</v>
      </c>
      <c r="Z110" s="432">
        <f t="shared" si="15"/>
        <v>0</v>
      </c>
      <c r="AB110" s="504" t="s">
        <v>939</v>
      </c>
    </row>
    <row r="111" spans="1:28" outlineLevel="1">
      <c r="A111" s="512" t="s">
        <v>307</v>
      </c>
      <c r="C111" s="629"/>
      <c r="D111" s="259">
        <f t="shared" si="13"/>
        <v>0</v>
      </c>
      <c r="E111" s="290"/>
      <c r="F111" s="483" t="s">
        <v>118</v>
      </c>
      <c r="G111" s="164"/>
      <c r="H111" s="161">
        <v>0</v>
      </c>
      <c r="I111" s="185">
        <v>0</v>
      </c>
      <c r="J111" s="216">
        <v>0</v>
      </c>
      <c r="K111" s="185">
        <v>0</v>
      </c>
      <c r="L111" s="217">
        <v>0</v>
      </c>
      <c r="M111" s="259"/>
      <c r="O111" s="483" t="s">
        <v>118</v>
      </c>
      <c r="P111" s="164">
        <f>'LEVEL 3'!F122</f>
        <v>0</v>
      </c>
      <c r="Q111" s="161">
        <f>'LEVEL 3'!G122</f>
        <v>0</v>
      </c>
      <c r="R111" s="185">
        <f>'LEVEL 3'!H122</f>
        <v>0</v>
      </c>
      <c r="S111" s="216">
        <f>'LEVEL 3'!I122</f>
        <v>0</v>
      </c>
      <c r="T111" s="185">
        <f>'LEVEL 3'!J122</f>
        <v>0</v>
      </c>
      <c r="U111" s="217">
        <f>'LEVEL 3'!K122</f>
        <v>0</v>
      </c>
      <c r="V111" s="259"/>
      <c r="X111" s="429">
        <f t="shared" si="14"/>
        <v>0</v>
      </c>
      <c r="Z111" s="432">
        <f t="shared" si="15"/>
        <v>0</v>
      </c>
      <c r="AB111" s="504"/>
    </row>
    <row r="112" spans="1:28" outlineLevel="1">
      <c r="A112" s="512" t="s">
        <v>309</v>
      </c>
      <c r="C112" s="629"/>
      <c r="D112" s="259">
        <f t="shared" si="13"/>
        <v>0</v>
      </c>
      <c r="E112" s="290"/>
      <c r="F112" s="483" t="s">
        <v>118</v>
      </c>
      <c r="G112" s="164"/>
      <c r="H112" s="161">
        <v>0</v>
      </c>
      <c r="I112" s="185">
        <v>0</v>
      </c>
      <c r="J112" s="216">
        <v>0</v>
      </c>
      <c r="K112" s="185">
        <v>0</v>
      </c>
      <c r="L112" s="217">
        <v>0</v>
      </c>
      <c r="M112" s="259"/>
      <c r="O112" s="483" t="s">
        <v>118</v>
      </c>
      <c r="P112" s="164">
        <f>'LEVEL 3'!F123</f>
        <v>0</v>
      </c>
      <c r="Q112" s="161">
        <f>'LEVEL 3'!G123</f>
        <v>0</v>
      </c>
      <c r="R112" s="185">
        <f>'LEVEL 3'!H123</f>
        <v>0</v>
      </c>
      <c r="S112" s="216">
        <f>'LEVEL 3'!I123</f>
        <v>0</v>
      </c>
      <c r="T112" s="185">
        <f>'LEVEL 3'!J123</f>
        <v>0</v>
      </c>
      <c r="U112" s="217">
        <f>'LEVEL 3'!K123</f>
        <v>0</v>
      </c>
      <c r="V112" s="259"/>
      <c r="X112" s="429">
        <f t="shared" si="14"/>
        <v>0</v>
      </c>
      <c r="Z112" s="432">
        <f t="shared" si="15"/>
        <v>0</v>
      </c>
      <c r="AB112" s="504"/>
    </row>
    <row r="113" spans="1:28" outlineLevel="1">
      <c r="A113" s="512" t="s">
        <v>311</v>
      </c>
      <c r="C113" s="629"/>
      <c r="D113" s="259">
        <f t="shared" si="13"/>
        <v>0</v>
      </c>
      <c r="E113" s="290"/>
      <c r="F113" s="483" t="s">
        <v>195</v>
      </c>
      <c r="G113" s="164" t="s">
        <v>15</v>
      </c>
      <c r="H113" s="161">
        <v>196289</v>
      </c>
      <c r="I113" s="185">
        <v>0.37</v>
      </c>
      <c r="J113" s="216">
        <v>0</v>
      </c>
      <c r="K113" s="185">
        <v>0.37</v>
      </c>
      <c r="L113" s="217">
        <v>72626.929999999993</v>
      </c>
      <c r="M113" s="259"/>
      <c r="O113" s="483" t="str">
        <f>'LEVEL 3'!E124</f>
        <v>Pebble</v>
      </c>
      <c r="P113" s="164" t="str">
        <f>'LEVEL 3'!F124</f>
        <v>SF</v>
      </c>
      <c r="Q113" s="161">
        <f>'LEVEL 3'!G124</f>
        <v>196289</v>
      </c>
      <c r="R113" s="185">
        <f>'LEVEL 3'!H124</f>
        <v>0.37</v>
      </c>
      <c r="S113" s="216">
        <f>'LEVEL 3'!I124</f>
        <v>0</v>
      </c>
      <c r="T113" s="185">
        <f>'LEVEL 3'!J124</f>
        <v>0.37</v>
      </c>
      <c r="U113" s="217">
        <f>'LEVEL 3'!K124</f>
        <v>72626.929999999993</v>
      </c>
      <c r="V113" s="259"/>
      <c r="X113" s="429">
        <f t="shared" si="14"/>
        <v>0</v>
      </c>
      <c r="Z113" s="432">
        <f t="shared" si="15"/>
        <v>0</v>
      </c>
      <c r="AB113" s="504" t="s">
        <v>938</v>
      </c>
    </row>
    <row r="114" spans="1:28" outlineLevel="1">
      <c r="A114" s="512" t="s">
        <v>313</v>
      </c>
      <c r="C114" s="629"/>
      <c r="D114" s="259">
        <f t="shared" si="13"/>
        <v>0</v>
      </c>
      <c r="E114" s="290"/>
      <c r="F114" s="483" t="s">
        <v>110</v>
      </c>
      <c r="G114" s="164" t="s">
        <v>32</v>
      </c>
      <c r="H114" s="161">
        <v>2</v>
      </c>
      <c r="I114" s="185">
        <v>750</v>
      </c>
      <c r="J114" s="216">
        <v>0</v>
      </c>
      <c r="K114" s="185">
        <v>750</v>
      </c>
      <c r="L114" s="217">
        <v>1500</v>
      </c>
      <c r="M114" s="259"/>
      <c r="O114" s="483" t="s">
        <v>110</v>
      </c>
      <c r="P114" s="164" t="str">
        <f>'LEVEL 3'!F125</f>
        <v>Count</v>
      </c>
      <c r="Q114" s="161">
        <f>'LEVEL 3'!G125</f>
        <v>2</v>
      </c>
      <c r="R114" s="185">
        <f>'LEVEL 3'!H125</f>
        <v>750</v>
      </c>
      <c r="S114" s="216">
        <f>'LEVEL 3'!I125</f>
        <v>0</v>
      </c>
      <c r="T114" s="185">
        <f>'LEVEL 3'!J125</f>
        <v>750</v>
      </c>
      <c r="U114" s="217">
        <f>'LEVEL 3'!K125</f>
        <v>1500</v>
      </c>
      <c r="V114" s="259"/>
      <c r="X114" s="429">
        <f t="shared" si="14"/>
        <v>0</v>
      </c>
      <c r="Z114" s="432">
        <f t="shared" si="15"/>
        <v>0</v>
      </c>
      <c r="AB114" s="504"/>
    </row>
    <row r="115" spans="1:28" outlineLevel="1">
      <c r="A115" s="512" t="s">
        <v>315</v>
      </c>
      <c r="C115" s="629"/>
      <c r="D115" s="259">
        <f t="shared" si="13"/>
        <v>0</v>
      </c>
      <c r="E115" s="290"/>
      <c r="F115" s="483" t="s">
        <v>118</v>
      </c>
      <c r="G115" s="164"/>
      <c r="H115" s="161">
        <v>0</v>
      </c>
      <c r="I115" s="185">
        <v>0</v>
      </c>
      <c r="J115" s="216">
        <v>0</v>
      </c>
      <c r="K115" s="185">
        <v>0</v>
      </c>
      <c r="L115" s="217">
        <v>0</v>
      </c>
      <c r="M115" s="259"/>
      <c r="O115" s="483" t="s">
        <v>118</v>
      </c>
      <c r="P115" s="164">
        <f>'LEVEL 3'!F126</f>
        <v>0</v>
      </c>
      <c r="Q115" s="161">
        <f>'LEVEL 3'!G126</f>
        <v>0</v>
      </c>
      <c r="R115" s="185">
        <f>'LEVEL 3'!H126</f>
        <v>0</v>
      </c>
      <c r="S115" s="216">
        <f>'LEVEL 3'!I126</f>
        <v>0</v>
      </c>
      <c r="T115" s="185">
        <f>'LEVEL 3'!J126</f>
        <v>0</v>
      </c>
      <c r="U115" s="217">
        <f>'LEVEL 3'!K126</f>
        <v>0</v>
      </c>
      <c r="V115" s="259"/>
      <c r="X115" s="429">
        <f t="shared" si="14"/>
        <v>0</v>
      </c>
      <c r="Z115" s="432">
        <f t="shared" si="15"/>
        <v>0</v>
      </c>
      <c r="AB115" s="504"/>
    </row>
    <row r="116" spans="1:28" outlineLevel="1">
      <c r="A116" s="512" t="s">
        <v>317</v>
      </c>
      <c r="C116" s="629"/>
      <c r="D116" s="259">
        <f t="shared" si="13"/>
        <v>0</v>
      </c>
      <c r="E116" s="290"/>
      <c r="F116" s="483" t="s">
        <v>118</v>
      </c>
      <c r="G116" s="164" t="s">
        <v>15</v>
      </c>
      <c r="H116" s="161">
        <v>0</v>
      </c>
      <c r="I116" s="185">
        <v>0</v>
      </c>
      <c r="J116" s="216">
        <v>0</v>
      </c>
      <c r="K116" s="185">
        <v>0</v>
      </c>
      <c r="L116" s="217">
        <v>0</v>
      </c>
      <c r="M116" s="259"/>
      <c r="O116" s="483" t="s">
        <v>118</v>
      </c>
      <c r="P116" s="164" t="str">
        <f>'LEVEL 3'!F127</f>
        <v>SF</v>
      </c>
      <c r="Q116" s="161">
        <f>'LEVEL 3'!G127</f>
        <v>0</v>
      </c>
      <c r="R116" s="185">
        <f>'LEVEL 3'!H127</f>
        <v>0</v>
      </c>
      <c r="S116" s="216">
        <f>'LEVEL 3'!I127</f>
        <v>0</v>
      </c>
      <c r="T116" s="185">
        <f>'LEVEL 3'!J127</f>
        <v>0</v>
      </c>
      <c r="U116" s="217">
        <f>'LEVEL 3'!K127</f>
        <v>0</v>
      </c>
      <c r="V116" s="259"/>
      <c r="X116" s="429">
        <f t="shared" si="14"/>
        <v>0</v>
      </c>
      <c r="Z116" s="432">
        <f t="shared" si="15"/>
        <v>0</v>
      </c>
      <c r="AB116" s="504"/>
    </row>
    <row r="117" spans="1:28" outlineLevel="1">
      <c r="A117" s="512" t="s">
        <v>319</v>
      </c>
      <c r="C117" s="629"/>
      <c r="D117" s="259">
        <f t="shared" si="13"/>
        <v>0</v>
      </c>
      <c r="E117" s="290"/>
      <c r="F117" s="483" t="s">
        <v>195</v>
      </c>
      <c r="G117" s="164" t="s">
        <v>15</v>
      </c>
      <c r="H117" s="161">
        <v>1316</v>
      </c>
      <c r="I117" s="185">
        <v>16.53336114421931</v>
      </c>
      <c r="J117" s="216">
        <v>0</v>
      </c>
      <c r="K117" s="185">
        <v>16.53336114421931</v>
      </c>
      <c r="L117" s="217">
        <v>21757.903265792611</v>
      </c>
      <c r="M117" s="259"/>
      <c r="O117" s="483" t="str">
        <f>'LEVEL 3'!E128</f>
        <v>Pebble</v>
      </c>
      <c r="P117" s="164" t="str">
        <f>'LEVEL 3'!F128</f>
        <v>SF</v>
      </c>
      <c r="Q117" s="161">
        <f>'LEVEL 3'!G128</f>
        <v>1316</v>
      </c>
      <c r="R117" s="185">
        <f>'LEVEL 3'!H128</f>
        <v>16.53336114421931</v>
      </c>
      <c r="S117" s="216">
        <f>'LEVEL 3'!I128</f>
        <v>0</v>
      </c>
      <c r="T117" s="185">
        <f>'LEVEL 3'!J128</f>
        <v>16.53336114421931</v>
      </c>
      <c r="U117" s="217">
        <f>'LEVEL 3'!K128</f>
        <v>21757.903265792611</v>
      </c>
      <c r="V117" s="259"/>
      <c r="X117" s="429">
        <f t="shared" si="14"/>
        <v>0</v>
      </c>
      <c r="Z117" s="432">
        <f t="shared" si="15"/>
        <v>0</v>
      </c>
      <c r="AB117" s="504"/>
    </row>
    <row r="118" spans="1:28" outlineLevel="1">
      <c r="A118" s="512" t="s">
        <v>322</v>
      </c>
      <c r="C118" s="629"/>
      <c r="D118" s="259">
        <f t="shared" si="13"/>
        <v>0</v>
      </c>
      <c r="E118" s="290"/>
      <c r="F118" s="483" t="s">
        <v>195</v>
      </c>
      <c r="G118" s="164" t="s">
        <v>32</v>
      </c>
      <c r="H118" s="161">
        <v>7</v>
      </c>
      <c r="I118" s="185">
        <v>1848.1428571428571</v>
      </c>
      <c r="J118" s="216">
        <v>0</v>
      </c>
      <c r="K118" s="185">
        <v>1848.1428571428571</v>
      </c>
      <c r="L118" s="217">
        <v>12937</v>
      </c>
      <c r="M118" s="259"/>
      <c r="O118" s="483" t="str">
        <f>'LEVEL 3'!E129</f>
        <v>Pebble</v>
      </c>
      <c r="P118" s="164" t="str">
        <f>'LEVEL 3'!F129</f>
        <v>Count</v>
      </c>
      <c r="Q118" s="161">
        <f>'LEVEL 3'!G129</f>
        <v>7</v>
      </c>
      <c r="R118" s="185">
        <f>'LEVEL 3'!H129</f>
        <v>1848.1428571428571</v>
      </c>
      <c r="S118" s="216">
        <f>'LEVEL 3'!I129</f>
        <v>0</v>
      </c>
      <c r="T118" s="185">
        <f>'LEVEL 3'!J129</f>
        <v>1848.1428571428571</v>
      </c>
      <c r="U118" s="217">
        <f>'LEVEL 3'!K129</f>
        <v>12937</v>
      </c>
      <c r="V118" s="259"/>
      <c r="X118" s="429">
        <f t="shared" si="14"/>
        <v>0</v>
      </c>
      <c r="Z118" s="432">
        <f t="shared" si="15"/>
        <v>0</v>
      </c>
      <c r="AB118" s="504"/>
    </row>
    <row r="119" spans="1:28" outlineLevel="1">
      <c r="A119" s="512" t="s">
        <v>324</v>
      </c>
      <c r="C119" s="629"/>
      <c r="D119" s="259">
        <f t="shared" si="13"/>
        <v>0</v>
      </c>
      <c r="E119" s="290"/>
      <c r="F119" s="483" t="s">
        <v>195</v>
      </c>
      <c r="G119" s="164" t="s">
        <v>15</v>
      </c>
      <c r="H119" s="161">
        <v>196289</v>
      </c>
      <c r="I119" s="185">
        <v>5.1209072935450933E-2</v>
      </c>
      <c r="J119" s="216">
        <v>0</v>
      </c>
      <c r="K119" s="185">
        <v>5.1209072935450933E-2</v>
      </c>
      <c r="L119" s="217">
        <v>10051.777717426728</v>
      </c>
      <c r="M119" s="259"/>
      <c r="O119" s="483" t="str">
        <f>'LEVEL 3'!E130</f>
        <v>Pebble</v>
      </c>
      <c r="P119" s="164" t="str">
        <f>'LEVEL 3'!F130</f>
        <v>SF</v>
      </c>
      <c r="Q119" s="161">
        <f>'LEVEL 3'!G130</f>
        <v>196289</v>
      </c>
      <c r="R119" s="185">
        <f>'LEVEL 3'!H130</f>
        <v>5.1209072935450933E-2</v>
      </c>
      <c r="S119" s="216">
        <f>'LEVEL 3'!I130</f>
        <v>0</v>
      </c>
      <c r="T119" s="185">
        <f>'LEVEL 3'!J130</f>
        <v>5.1209072935450933E-2</v>
      </c>
      <c r="U119" s="217">
        <f>'LEVEL 3'!K130</f>
        <v>10051.777717426728</v>
      </c>
      <c r="V119" s="259"/>
      <c r="X119" s="429">
        <f t="shared" si="14"/>
        <v>0</v>
      </c>
      <c r="Z119" s="432">
        <f t="shared" si="15"/>
        <v>0</v>
      </c>
      <c r="AB119" s="504"/>
    </row>
    <row r="120" spans="1:28" outlineLevel="1">
      <c r="A120" s="512" t="s">
        <v>327</v>
      </c>
      <c r="C120" s="629"/>
      <c r="D120" s="259">
        <f t="shared" si="13"/>
        <v>0</v>
      </c>
      <c r="E120" s="290"/>
      <c r="F120" s="483" t="s">
        <v>195</v>
      </c>
      <c r="G120" s="164" t="s">
        <v>15</v>
      </c>
      <c r="H120" s="161">
        <v>196289</v>
      </c>
      <c r="I120" s="185">
        <v>0.29699958719881808</v>
      </c>
      <c r="J120" s="216">
        <v>0</v>
      </c>
      <c r="K120" s="185">
        <v>0.29699958719881808</v>
      </c>
      <c r="L120" s="217">
        <v>58297.751971668804</v>
      </c>
      <c r="M120" s="259"/>
      <c r="O120" s="483" t="str">
        <f>'LEVEL 3'!E131</f>
        <v>Pebble</v>
      </c>
      <c r="P120" s="164" t="str">
        <f>'LEVEL 3'!F131</f>
        <v>SF</v>
      </c>
      <c r="Q120" s="161">
        <f>'LEVEL 3'!G131</f>
        <v>196289</v>
      </c>
      <c r="R120" s="185">
        <f>'LEVEL 3'!H131</f>
        <v>0.29699958719881808</v>
      </c>
      <c r="S120" s="216">
        <f>'LEVEL 3'!I131</f>
        <v>0</v>
      </c>
      <c r="T120" s="185">
        <f>'LEVEL 3'!J131</f>
        <v>0.29699958719881808</v>
      </c>
      <c r="U120" s="217">
        <f>'LEVEL 3'!K131</f>
        <v>58297.751971668804</v>
      </c>
      <c r="V120" s="259"/>
      <c r="X120" s="429">
        <f t="shared" si="14"/>
        <v>0</v>
      </c>
      <c r="Z120" s="432">
        <f t="shared" si="15"/>
        <v>0</v>
      </c>
      <c r="AB120" s="504"/>
    </row>
    <row r="121" spans="1:28" outlineLevel="1">
      <c r="A121" s="512" t="s">
        <v>329</v>
      </c>
      <c r="C121" s="629"/>
      <c r="D121" s="259">
        <f t="shared" si="13"/>
        <v>0</v>
      </c>
      <c r="E121" s="290"/>
      <c r="F121" s="483" t="s">
        <v>110</v>
      </c>
      <c r="G121" s="164" t="s">
        <v>121</v>
      </c>
      <c r="H121" s="167">
        <v>1</v>
      </c>
      <c r="I121" s="185">
        <v>10000</v>
      </c>
      <c r="J121" s="216">
        <v>0</v>
      </c>
      <c r="K121" s="185">
        <v>10000</v>
      </c>
      <c r="L121" s="217">
        <v>10000</v>
      </c>
      <c r="M121" s="259"/>
      <c r="O121" s="483" t="s">
        <v>110</v>
      </c>
      <c r="P121" s="164" t="str">
        <f>'LEVEL 3'!F132</f>
        <v>LS</v>
      </c>
      <c r="Q121" s="167">
        <f>'LEVEL 3'!G132</f>
        <v>1</v>
      </c>
      <c r="R121" s="185">
        <f>'LEVEL 3'!H132</f>
        <v>10000</v>
      </c>
      <c r="S121" s="216">
        <f>'LEVEL 3'!I132</f>
        <v>0</v>
      </c>
      <c r="T121" s="185">
        <f>'LEVEL 3'!J132</f>
        <v>10000</v>
      </c>
      <c r="U121" s="217">
        <f>'LEVEL 3'!K132</f>
        <v>10000</v>
      </c>
      <c r="V121" s="259"/>
      <c r="X121" s="429">
        <f t="shared" si="14"/>
        <v>0</v>
      </c>
      <c r="Z121" s="432">
        <f t="shared" si="15"/>
        <v>0</v>
      </c>
      <c r="AB121" s="504"/>
    </row>
    <row r="122" spans="1:28" outlineLevel="1">
      <c r="A122" s="512" t="s">
        <v>331</v>
      </c>
      <c r="C122" s="629"/>
      <c r="D122" s="259">
        <f t="shared" si="13"/>
        <v>0</v>
      </c>
      <c r="E122" s="290"/>
      <c r="F122" s="483" t="s">
        <v>116</v>
      </c>
      <c r="G122" s="164" t="s">
        <v>15</v>
      </c>
      <c r="H122" s="161">
        <v>196289</v>
      </c>
      <c r="I122" s="185">
        <v>1.84</v>
      </c>
      <c r="J122" s="216">
        <v>0</v>
      </c>
      <c r="K122" s="185">
        <v>1.84</v>
      </c>
      <c r="L122" s="217">
        <v>361171.76</v>
      </c>
      <c r="M122" s="259"/>
      <c r="O122" s="483" t="s">
        <v>116</v>
      </c>
      <c r="P122" s="164" t="str">
        <f>'LEVEL 3'!F133</f>
        <v>SF</v>
      </c>
      <c r="Q122" s="161">
        <f>'LEVEL 3'!G133</f>
        <v>196289</v>
      </c>
      <c r="R122" s="185">
        <f>'LEVEL 3'!H133</f>
        <v>1.8349054710146775</v>
      </c>
      <c r="S122" s="216">
        <f>'LEVEL 3'!I133</f>
        <v>0</v>
      </c>
      <c r="T122" s="185">
        <f>'LEVEL 3'!J133</f>
        <v>1.8349054710146775</v>
      </c>
      <c r="U122" s="217">
        <f>'LEVEL 3'!K133</f>
        <v>360171.76</v>
      </c>
      <c r="V122" s="259"/>
      <c r="X122" s="429">
        <f t="shared" si="14"/>
        <v>-1000</v>
      </c>
      <c r="Z122" s="432">
        <f t="shared" si="15"/>
        <v>-2.768765752892751E-3</v>
      </c>
      <c r="AB122" s="504"/>
    </row>
    <row r="123" spans="1:28" outlineLevel="1">
      <c r="A123" s="35" t="s">
        <v>861</v>
      </c>
      <c r="C123" s="629"/>
      <c r="D123" s="259">
        <f t="shared" si="13"/>
        <v>0</v>
      </c>
      <c r="E123" s="290"/>
      <c r="F123" s="483"/>
      <c r="G123" s="164"/>
      <c r="H123" s="161"/>
      <c r="I123" s="185"/>
      <c r="J123" s="216"/>
      <c r="K123" s="185"/>
      <c r="L123" s="217"/>
      <c r="M123" s="259"/>
      <c r="O123" s="483" t="s">
        <v>116</v>
      </c>
      <c r="P123" s="164" t="str">
        <f>'LEVEL 3'!F134</f>
        <v>LS</v>
      </c>
      <c r="Q123" s="161">
        <f>'LEVEL 3'!G134</f>
        <v>1</v>
      </c>
      <c r="R123" s="185">
        <f>'LEVEL 3'!H134</f>
        <v>1000</v>
      </c>
      <c r="S123" s="216">
        <f>'LEVEL 3'!I134</f>
        <v>0</v>
      </c>
      <c r="T123" s="185">
        <f>'LEVEL 3'!J134</f>
        <v>1000</v>
      </c>
      <c r="U123" s="217">
        <f>'LEVEL 3'!K134</f>
        <v>1000</v>
      </c>
      <c r="V123" s="259"/>
      <c r="X123" s="429"/>
      <c r="Z123" s="432"/>
      <c r="AB123" s="504"/>
    </row>
    <row r="124" spans="1:28" outlineLevel="1">
      <c r="A124" s="512" t="s">
        <v>333</v>
      </c>
      <c r="C124" s="629"/>
      <c r="D124" s="259">
        <f t="shared" si="13"/>
        <v>0</v>
      </c>
      <c r="E124" s="290"/>
      <c r="F124" s="483" t="s">
        <v>118</v>
      </c>
      <c r="G124" s="164"/>
      <c r="H124" s="161"/>
      <c r="I124" s="185"/>
      <c r="J124" s="216">
        <v>0</v>
      </c>
      <c r="K124" s="185">
        <v>0</v>
      </c>
      <c r="L124" s="217">
        <v>0</v>
      </c>
      <c r="M124" s="259"/>
      <c r="O124" s="483" t="s">
        <v>118</v>
      </c>
      <c r="P124" s="164">
        <f>'LEVEL 3'!F135</f>
        <v>0</v>
      </c>
      <c r="Q124" s="161">
        <f>'LEVEL 3'!G135</f>
        <v>0</v>
      </c>
      <c r="R124" s="185">
        <f>'LEVEL 3'!H135</f>
        <v>0</v>
      </c>
      <c r="S124" s="216">
        <f>'LEVEL 3'!I135</f>
        <v>0</v>
      </c>
      <c r="T124" s="185">
        <f>'LEVEL 3'!J135</f>
        <v>0</v>
      </c>
      <c r="U124" s="217">
        <f>'LEVEL 3'!K135</f>
        <v>0</v>
      </c>
      <c r="V124" s="259"/>
      <c r="X124" s="429">
        <f t="shared" si="14"/>
        <v>0</v>
      </c>
      <c r="Z124" s="432">
        <f t="shared" si="15"/>
        <v>0</v>
      </c>
      <c r="AB124" s="504"/>
    </row>
    <row r="125" spans="1:28" outlineLevel="1">
      <c r="A125" s="512" t="s">
        <v>335</v>
      </c>
      <c r="C125" s="629"/>
      <c r="D125" s="259">
        <f t="shared" si="13"/>
        <v>0</v>
      </c>
      <c r="E125" s="290"/>
      <c r="F125" s="483" t="s">
        <v>118</v>
      </c>
      <c r="G125" s="164"/>
      <c r="H125" s="161"/>
      <c r="I125" s="185"/>
      <c r="J125" s="216">
        <v>0</v>
      </c>
      <c r="K125" s="185">
        <v>0</v>
      </c>
      <c r="L125" s="217">
        <v>0</v>
      </c>
      <c r="M125" s="259"/>
      <c r="O125" s="483" t="s">
        <v>118</v>
      </c>
      <c r="P125" s="164">
        <f>'LEVEL 3'!F136</f>
        <v>0</v>
      </c>
      <c r="Q125" s="161">
        <f>'LEVEL 3'!G136</f>
        <v>0</v>
      </c>
      <c r="R125" s="185">
        <f>'LEVEL 3'!H136</f>
        <v>0</v>
      </c>
      <c r="S125" s="216">
        <f>'LEVEL 3'!I136</f>
        <v>0</v>
      </c>
      <c r="T125" s="185">
        <f>'LEVEL 3'!J136</f>
        <v>0</v>
      </c>
      <c r="U125" s="217">
        <f>'LEVEL 3'!K136</f>
        <v>0</v>
      </c>
      <c r="V125" s="259"/>
      <c r="X125" s="429">
        <f t="shared" si="14"/>
        <v>0</v>
      </c>
      <c r="Z125" s="432">
        <f t="shared" si="15"/>
        <v>0</v>
      </c>
      <c r="AB125" s="504"/>
    </row>
    <row r="126" spans="1:28" outlineLevel="1">
      <c r="A126" s="512" t="s">
        <v>337</v>
      </c>
      <c r="C126" s="629"/>
      <c r="D126" s="259">
        <f t="shared" si="13"/>
        <v>0</v>
      </c>
      <c r="E126" s="290"/>
      <c r="F126" s="483" t="s">
        <v>118</v>
      </c>
      <c r="G126" s="164"/>
      <c r="H126" s="161"/>
      <c r="I126" s="185"/>
      <c r="J126" s="216">
        <v>0</v>
      </c>
      <c r="K126" s="185">
        <v>0</v>
      </c>
      <c r="L126" s="217">
        <v>0</v>
      </c>
      <c r="M126" s="259"/>
      <c r="O126" s="483" t="s">
        <v>118</v>
      </c>
      <c r="P126" s="164">
        <f>'LEVEL 3'!F137</f>
        <v>0</v>
      </c>
      <c r="Q126" s="161">
        <f>'LEVEL 3'!G137</f>
        <v>0</v>
      </c>
      <c r="R126" s="185">
        <f>'LEVEL 3'!H137</f>
        <v>0</v>
      </c>
      <c r="S126" s="216">
        <f>'LEVEL 3'!I137</f>
        <v>0</v>
      </c>
      <c r="T126" s="185">
        <f>'LEVEL 3'!J137</f>
        <v>0</v>
      </c>
      <c r="U126" s="217">
        <f>'LEVEL 3'!K137</f>
        <v>0</v>
      </c>
      <c r="V126" s="259"/>
      <c r="X126" s="429">
        <f t="shared" si="14"/>
        <v>0</v>
      </c>
      <c r="Z126" s="432">
        <f t="shared" si="15"/>
        <v>0</v>
      </c>
      <c r="AB126" s="504"/>
    </row>
    <row r="127" spans="1:28" outlineLevel="1">
      <c r="A127" s="512" t="s">
        <v>338</v>
      </c>
      <c r="C127" s="629"/>
      <c r="D127" s="259">
        <f t="shared" si="13"/>
        <v>0</v>
      </c>
      <c r="E127" s="290"/>
      <c r="F127" s="483" t="s">
        <v>118</v>
      </c>
      <c r="G127" s="164"/>
      <c r="H127" s="161"/>
      <c r="I127" s="185"/>
      <c r="J127" s="216">
        <v>0</v>
      </c>
      <c r="K127" s="185">
        <v>0</v>
      </c>
      <c r="L127" s="217">
        <v>0</v>
      </c>
      <c r="M127" s="259"/>
      <c r="O127" s="483" t="s">
        <v>118</v>
      </c>
      <c r="P127" s="164">
        <f>'LEVEL 3'!F138</f>
        <v>0</v>
      </c>
      <c r="Q127" s="161">
        <f>'LEVEL 3'!G138</f>
        <v>0</v>
      </c>
      <c r="R127" s="185">
        <f>'LEVEL 3'!H138</f>
        <v>0</v>
      </c>
      <c r="S127" s="216">
        <f>'LEVEL 3'!I138</f>
        <v>0</v>
      </c>
      <c r="T127" s="185">
        <f>'LEVEL 3'!J138</f>
        <v>0</v>
      </c>
      <c r="U127" s="217">
        <f>'LEVEL 3'!K138</f>
        <v>0</v>
      </c>
      <c r="V127" s="259"/>
      <c r="X127" s="429">
        <f t="shared" si="14"/>
        <v>0</v>
      </c>
      <c r="Z127" s="432">
        <f t="shared" si="15"/>
        <v>0</v>
      </c>
      <c r="AB127" s="504"/>
    </row>
    <row r="128" spans="1:28">
      <c r="A128" s="509" t="s">
        <v>262</v>
      </c>
      <c r="C128" s="491">
        <v>3322643.5066099996</v>
      </c>
      <c r="D128" s="628">
        <f t="shared" si="13"/>
        <v>-61041.153655110858</v>
      </c>
      <c r="E128" s="290"/>
      <c r="F128" s="479"/>
      <c r="G128" s="305"/>
      <c r="H128" s="306"/>
      <c r="I128" s="307"/>
      <c r="J128" s="308"/>
      <c r="K128" s="307"/>
      <c r="L128" s="421"/>
      <c r="M128" s="480">
        <f>SUM(L90:L127)</f>
        <v>3261602.3529548887</v>
      </c>
      <c r="O128" s="479"/>
      <c r="P128" s="305"/>
      <c r="Q128" s="306"/>
      <c r="R128" s="307"/>
      <c r="S128" s="308"/>
      <c r="T128" s="307"/>
      <c r="U128" s="421"/>
      <c r="V128" s="480">
        <f>'LEVEL 3'!L101</f>
        <v>3261602.3529548887</v>
      </c>
      <c r="X128" s="491">
        <f>V128-M128</f>
        <v>0</v>
      </c>
      <c r="Z128" s="497">
        <f>IF(M128=0,0,X128/M128)</f>
        <v>0</v>
      </c>
      <c r="AB128" s="504"/>
    </row>
    <row r="129" spans="1:28" outlineLevel="1">
      <c r="A129" s="511" t="s">
        <v>342</v>
      </c>
      <c r="C129" s="629"/>
      <c r="D129" s="259">
        <f t="shared" si="13"/>
        <v>0</v>
      </c>
      <c r="E129" s="290"/>
      <c r="F129" s="482" t="s">
        <v>118</v>
      </c>
      <c r="G129" s="176"/>
      <c r="H129" s="167"/>
      <c r="I129" s="413">
        <v>0</v>
      </c>
      <c r="J129" s="414">
        <v>0</v>
      </c>
      <c r="K129" s="415">
        <v>0</v>
      </c>
      <c r="L129" s="416">
        <v>0</v>
      </c>
      <c r="M129" s="259"/>
      <c r="O129" s="482" t="s">
        <v>118</v>
      </c>
      <c r="P129" s="176">
        <f>'LEVEL 3'!F140</f>
        <v>0</v>
      </c>
      <c r="Q129" s="167">
        <f>'LEVEL 3'!G140</f>
        <v>0</v>
      </c>
      <c r="R129" s="413">
        <f>'LEVEL 3'!H140</f>
        <v>5478</v>
      </c>
      <c r="S129" s="414">
        <f>'LEVEL 3'!I140</f>
        <v>0</v>
      </c>
      <c r="T129" s="415">
        <f>'LEVEL 3'!J140</f>
        <v>5478</v>
      </c>
      <c r="U129" s="416">
        <f>'LEVEL 3'!K140</f>
        <v>0</v>
      </c>
      <c r="V129" s="259"/>
      <c r="X129" s="429">
        <f t="shared" ref="X129:X144" si="16">U129-L129</f>
        <v>0</v>
      </c>
      <c r="Z129" s="432">
        <f t="shared" ref="Z129:Z144" si="17">IF(L129=0,0,X129/L129)</f>
        <v>0</v>
      </c>
      <c r="AB129" s="504"/>
    </row>
    <row r="130" spans="1:28" outlineLevel="1">
      <c r="A130" s="512" t="s">
        <v>344</v>
      </c>
      <c r="C130" s="629"/>
      <c r="D130" s="259">
        <f t="shared" si="13"/>
        <v>0</v>
      </c>
      <c r="E130" s="290"/>
      <c r="F130" s="483" t="s">
        <v>127</v>
      </c>
      <c r="G130" s="164" t="s">
        <v>10</v>
      </c>
      <c r="H130" s="167">
        <v>194</v>
      </c>
      <c r="I130" s="185">
        <v>155</v>
      </c>
      <c r="J130" s="216">
        <v>0</v>
      </c>
      <c r="K130" s="185">
        <v>155</v>
      </c>
      <c r="L130" s="217">
        <v>30070</v>
      </c>
      <c r="M130" s="259"/>
      <c r="O130" s="483" t="s">
        <v>127</v>
      </c>
      <c r="P130" s="164" t="str">
        <f>'LEVEL 3'!F141</f>
        <v>Unit</v>
      </c>
      <c r="Q130" s="167">
        <f>'LEVEL 3'!G141</f>
        <v>194</v>
      </c>
      <c r="R130" s="185">
        <f>'LEVEL 3'!H141</f>
        <v>155</v>
      </c>
      <c r="S130" s="216">
        <f>'LEVEL 3'!I141</f>
        <v>0</v>
      </c>
      <c r="T130" s="185">
        <f>'LEVEL 3'!J141</f>
        <v>155</v>
      </c>
      <c r="U130" s="217">
        <f>'LEVEL 3'!K141</f>
        <v>30070</v>
      </c>
      <c r="V130" s="259"/>
      <c r="X130" s="429">
        <f t="shared" si="16"/>
        <v>0</v>
      </c>
      <c r="Z130" s="432">
        <f t="shared" si="17"/>
        <v>0</v>
      </c>
      <c r="AB130" s="504"/>
    </row>
    <row r="131" spans="1:28" outlineLevel="1">
      <c r="A131" s="512" t="s">
        <v>347</v>
      </c>
      <c r="C131" s="629"/>
      <c r="D131" s="259">
        <f t="shared" si="13"/>
        <v>0</v>
      </c>
      <c r="E131" s="290"/>
      <c r="F131" s="478" t="s">
        <v>110</v>
      </c>
      <c r="G131" s="164" t="s">
        <v>121</v>
      </c>
      <c r="H131" s="161">
        <v>1</v>
      </c>
      <c r="I131" s="185">
        <v>6000</v>
      </c>
      <c r="J131" s="216">
        <v>0</v>
      </c>
      <c r="K131" s="185">
        <v>6000</v>
      </c>
      <c r="L131" s="217">
        <v>6000</v>
      </c>
      <c r="M131" s="259"/>
      <c r="O131" s="478" t="s">
        <v>110</v>
      </c>
      <c r="P131" s="164" t="str">
        <f>'LEVEL 3'!F142</f>
        <v>LS</v>
      </c>
      <c r="Q131" s="161">
        <f>'LEVEL 3'!G142</f>
        <v>1</v>
      </c>
      <c r="R131" s="185">
        <f>'LEVEL 3'!H142</f>
        <v>6000</v>
      </c>
      <c r="S131" s="216">
        <f>'LEVEL 3'!I142</f>
        <v>0</v>
      </c>
      <c r="T131" s="185">
        <f>'LEVEL 3'!J142</f>
        <v>6000</v>
      </c>
      <c r="U131" s="217">
        <f>'LEVEL 3'!K142</f>
        <v>6000</v>
      </c>
      <c r="V131" s="259"/>
      <c r="X131" s="429">
        <f t="shared" si="16"/>
        <v>0</v>
      </c>
      <c r="Z131" s="432">
        <f t="shared" si="17"/>
        <v>0</v>
      </c>
      <c r="AB131" s="504"/>
    </row>
    <row r="132" spans="1:28" outlineLevel="1">
      <c r="A132" s="512" t="s">
        <v>349</v>
      </c>
      <c r="C132" s="629"/>
      <c r="D132" s="259">
        <f t="shared" si="13"/>
        <v>0</v>
      </c>
      <c r="E132" s="290"/>
      <c r="F132" s="483" t="s">
        <v>110</v>
      </c>
      <c r="G132" s="164" t="s">
        <v>121</v>
      </c>
      <c r="H132" s="161">
        <v>1</v>
      </c>
      <c r="I132" s="185">
        <v>5000</v>
      </c>
      <c r="J132" s="216">
        <v>0</v>
      </c>
      <c r="K132" s="185">
        <v>5000</v>
      </c>
      <c r="L132" s="217">
        <v>5000</v>
      </c>
      <c r="M132" s="259"/>
      <c r="O132" s="483" t="s">
        <v>110</v>
      </c>
      <c r="P132" s="164" t="str">
        <f>'LEVEL 3'!F143</f>
        <v>LS</v>
      </c>
      <c r="Q132" s="161">
        <f>'LEVEL 3'!G143</f>
        <v>1</v>
      </c>
      <c r="R132" s="185">
        <f>'LEVEL 3'!H143</f>
        <v>5000</v>
      </c>
      <c r="S132" s="216">
        <f>'LEVEL 3'!I143</f>
        <v>0</v>
      </c>
      <c r="T132" s="185">
        <f>'LEVEL 3'!J143</f>
        <v>5000</v>
      </c>
      <c r="U132" s="217">
        <f>'LEVEL 3'!K143</f>
        <v>5000</v>
      </c>
      <c r="V132" s="259"/>
      <c r="X132" s="429">
        <f t="shared" si="16"/>
        <v>0</v>
      </c>
      <c r="Z132" s="432">
        <f t="shared" si="17"/>
        <v>0</v>
      </c>
      <c r="AB132" s="504"/>
    </row>
    <row r="133" spans="1:28" outlineLevel="1">
      <c r="A133" s="512" t="s">
        <v>351</v>
      </c>
      <c r="C133" s="629"/>
      <c r="D133" s="259">
        <f t="shared" si="13"/>
        <v>0</v>
      </c>
      <c r="E133" s="290"/>
      <c r="F133" s="483" t="s">
        <v>110</v>
      </c>
      <c r="G133" s="164" t="s">
        <v>121</v>
      </c>
      <c r="H133" s="161">
        <v>1</v>
      </c>
      <c r="I133" s="185">
        <v>7000</v>
      </c>
      <c r="J133" s="216">
        <v>0</v>
      </c>
      <c r="K133" s="185">
        <v>7000</v>
      </c>
      <c r="L133" s="217">
        <v>7000</v>
      </c>
      <c r="M133" s="259"/>
      <c r="O133" s="483" t="s">
        <v>110</v>
      </c>
      <c r="P133" s="164" t="str">
        <f>'LEVEL 3'!F144</f>
        <v>LS</v>
      </c>
      <c r="Q133" s="161">
        <f>'LEVEL 3'!G144</f>
        <v>1</v>
      </c>
      <c r="R133" s="185">
        <f>'LEVEL 3'!H144</f>
        <v>7000</v>
      </c>
      <c r="S133" s="216">
        <f>'LEVEL 3'!I144</f>
        <v>0</v>
      </c>
      <c r="T133" s="185">
        <f>'LEVEL 3'!J144</f>
        <v>7000</v>
      </c>
      <c r="U133" s="217">
        <f>'LEVEL 3'!K144</f>
        <v>7000</v>
      </c>
      <c r="V133" s="259"/>
      <c r="X133" s="429">
        <f t="shared" si="16"/>
        <v>0</v>
      </c>
      <c r="Z133" s="432">
        <f t="shared" si="17"/>
        <v>0</v>
      </c>
      <c r="AB133" s="504"/>
    </row>
    <row r="134" spans="1:28" outlineLevel="1">
      <c r="A134" s="512" t="s">
        <v>354</v>
      </c>
      <c r="C134" s="629"/>
      <c r="D134" s="259">
        <f t="shared" si="13"/>
        <v>0</v>
      </c>
      <c r="E134" s="290"/>
      <c r="F134" s="483" t="s">
        <v>127</v>
      </c>
      <c r="G134" s="164" t="s">
        <v>10</v>
      </c>
      <c r="H134" s="167">
        <v>194</v>
      </c>
      <c r="I134" s="185">
        <v>17</v>
      </c>
      <c r="J134" s="216">
        <v>0</v>
      </c>
      <c r="K134" s="185">
        <v>17</v>
      </c>
      <c r="L134" s="217">
        <v>3298</v>
      </c>
      <c r="M134" s="259"/>
      <c r="O134" s="483" t="s">
        <v>127</v>
      </c>
      <c r="P134" s="164" t="str">
        <f>'LEVEL 3'!F145</f>
        <v>Unit</v>
      </c>
      <c r="Q134" s="167">
        <f>'LEVEL 3'!G145</f>
        <v>194</v>
      </c>
      <c r="R134" s="185">
        <f>'LEVEL 3'!H145</f>
        <v>17</v>
      </c>
      <c r="S134" s="216">
        <f>'LEVEL 3'!I145</f>
        <v>0</v>
      </c>
      <c r="T134" s="185">
        <f>'LEVEL 3'!J145</f>
        <v>17</v>
      </c>
      <c r="U134" s="217">
        <f>'LEVEL 3'!K145</f>
        <v>3298</v>
      </c>
      <c r="V134" s="259"/>
      <c r="X134" s="429">
        <f t="shared" si="16"/>
        <v>0</v>
      </c>
      <c r="Z134" s="432">
        <f t="shared" si="17"/>
        <v>0</v>
      </c>
      <c r="AB134" s="504"/>
    </row>
    <row r="135" spans="1:28" outlineLevel="1">
      <c r="A135" s="512" t="s">
        <v>356</v>
      </c>
      <c r="C135" s="629"/>
      <c r="D135" s="259">
        <f t="shared" si="13"/>
        <v>0</v>
      </c>
      <c r="E135" s="290"/>
      <c r="F135" s="483" t="s">
        <v>118</v>
      </c>
      <c r="G135" s="164"/>
      <c r="H135" s="161"/>
      <c r="I135" s="185">
        <v>0</v>
      </c>
      <c r="J135" s="216">
        <v>0</v>
      </c>
      <c r="K135" s="185">
        <v>0</v>
      </c>
      <c r="L135" s="217">
        <v>0</v>
      </c>
      <c r="M135" s="259"/>
      <c r="O135" s="483" t="s">
        <v>118</v>
      </c>
      <c r="P135" s="164">
        <f>'LEVEL 3'!F146</f>
        <v>0</v>
      </c>
      <c r="Q135" s="161">
        <f>'LEVEL 3'!G146</f>
        <v>0</v>
      </c>
      <c r="R135" s="185">
        <f>'LEVEL 3'!H146</f>
        <v>0</v>
      </c>
      <c r="S135" s="216">
        <f>'LEVEL 3'!I146</f>
        <v>0</v>
      </c>
      <c r="T135" s="185">
        <f>'LEVEL 3'!J146</f>
        <v>0</v>
      </c>
      <c r="U135" s="217">
        <f>'LEVEL 3'!K146</f>
        <v>0</v>
      </c>
      <c r="V135" s="259"/>
      <c r="X135" s="429">
        <f t="shared" si="16"/>
        <v>0</v>
      </c>
      <c r="Z135" s="432">
        <f t="shared" si="17"/>
        <v>0</v>
      </c>
      <c r="AB135" s="504"/>
    </row>
    <row r="136" spans="1:28" outlineLevel="1">
      <c r="A136" s="512" t="s">
        <v>358</v>
      </c>
      <c r="C136" s="629"/>
      <c r="D136" s="259">
        <f t="shared" si="13"/>
        <v>0</v>
      </c>
      <c r="E136" s="290"/>
      <c r="F136" s="483" t="s">
        <v>118</v>
      </c>
      <c r="G136" s="164"/>
      <c r="H136" s="161"/>
      <c r="I136" s="185">
        <v>0</v>
      </c>
      <c r="J136" s="216">
        <v>0</v>
      </c>
      <c r="K136" s="185">
        <v>0</v>
      </c>
      <c r="L136" s="217">
        <v>0</v>
      </c>
      <c r="M136" s="259"/>
      <c r="O136" s="483" t="s">
        <v>118</v>
      </c>
      <c r="P136" s="164">
        <f>'LEVEL 3'!F147</f>
        <v>0</v>
      </c>
      <c r="Q136" s="161">
        <f>'LEVEL 3'!G147</f>
        <v>0</v>
      </c>
      <c r="R136" s="185">
        <f>'LEVEL 3'!H147</f>
        <v>0</v>
      </c>
      <c r="S136" s="216">
        <f>'LEVEL 3'!I147</f>
        <v>0</v>
      </c>
      <c r="T136" s="185">
        <f>'LEVEL 3'!J147</f>
        <v>0</v>
      </c>
      <c r="U136" s="217">
        <f>'LEVEL 3'!K147</f>
        <v>0</v>
      </c>
      <c r="V136" s="259"/>
      <c r="X136" s="429">
        <f t="shared" si="16"/>
        <v>0</v>
      </c>
      <c r="Z136" s="432">
        <f t="shared" si="17"/>
        <v>0</v>
      </c>
      <c r="AB136" s="504"/>
    </row>
    <row r="137" spans="1:28" outlineLevel="1">
      <c r="A137" s="512" t="s">
        <v>360</v>
      </c>
      <c r="C137" s="629"/>
      <c r="D137" s="259">
        <f t="shared" si="13"/>
        <v>0</v>
      </c>
      <c r="E137" s="290"/>
      <c r="F137" s="483" t="s">
        <v>118</v>
      </c>
      <c r="G137" s="164"/>
      <c r="H137" s="161"/>
      <c r="I137" s="185">
        <v>0</v>
      </c>
      <c r="J137" s="216">
        <v>0</v>
      </c>
      <c r="K137" s="185">
        <v>0</v>
      </c>
      <c r="L137" s="217">
        <v>0</v>
      </c>
      <c r="M137" s="259"/>
      <c r="O137" s="483" t="s">
        <v>118</v>
      </c>
      <c r="P137" s="164">
        <f>'LEVEL 3'!F148</f>
        <v>0</v>
      </c>
      <c r="Q137" s="161">
        <f>'LEVEL 3'!G148</f>
        <v>0</v>
      </c>
      <c r="R137" s="185">
        <f>'LEVEL 3'!H148</f>
        <v>0</v>
      </c>
      <c r="S137" s="216">
        <f>'LEVEL 3'!I148</f>
        <v>0</v>
      </c>
      <c r="T137" s="185">
        <f>'LEVEL 3'!J148</f>
        <v>0</v>
      </c>
      <c r="U137" s="217">
        <f>'LEVEL 3'!K148</f>
        <v>0</v>
      </c>
      <c r="V137" s="259"/>
      <c r="X137" s="429">
        <f t="shared" si="16"/>
        <v>0</v>
      </c>
      <c r="Z137" s="432">
        <f t="shared" si="17"/>
        <v>0</v>
      </c>
      <c r="AB137" s="504"/>
    </row>
    <row r="138" spans="1:28" outlineLevel="1">
      <c r="A138" s="512" t="s">
        <v>362</v>
      </c>
      <c r="C138" s="629"/>
      <c r="D138" s="259">
        <f t="shared" si="13"/>
        <v>0</v>
      </c>
      <c r="E138" s="290"/>
      <c r="F138" s="483" t="s">
        <v>306</v>
      </c>
      <c r="G138" s="164" t="s">
        <v>121</v>
      </c>
      <c r="H138" s="161">
        <v>2</v>
      </c>
      <c r="I138" s="185">
        <v>3360</v>
      </c>
      <c r="J138" s="216">
        <v>0</v>
      </c>
      <c r="K138" s="185">
        <v>3360</v>
      </c>
      <c r="L138" s="217">
        <v>6720</v>
      </c>
      <c r="M138" s="259"/>
      <c r="O138" s="483" t="s">
        <v>306</v>
      </c>
      <c r="P138" s="164" t="str">
        <f>'LEVEL 3'!F149</f>
        <v>LS</v>
      </c>
      <c r="Q138" s="161">
        <f>'LEVEL 3'!G149</f>
        <v>2</v>
      </c>
      <c r="R138" s="185">
        <f>'LEVEL 3'!H149</f>
        <v>3360</v>
      </c>
      <c r="S138" s="216">
        <f>'LEVEL 3'!I149</f>
        <v>0</v>
      </c>
      <c r="T138" s="185">
        <f>'LEVEL 3'!J149</f>
        <v>3360</v>
      </c>
      <c r="U138" s="217">
        <f>'LEVEL 3'!K149</f>
        <v>6720</v>
      </c>
      <c r="V138" s="259"/>
      <c r="X138" s="429">
        <f t="shared" si="16"/>
        <v>0</v>
      </c>
      <c r="Z138" s="432">
        <f t="shared" si="17"/>
        <v>0</v>
      </c>
      <c r="AB138" s="504"/>
    </row>
    <row r="139" spans="1:28" outlineLevel="1">
      <c r="A139" s="512" t="s">
        <v>364</v>
      </c>
      <c r="C139" s="629"/>
      <c r="D139" s="259">
        <f t="shared" si="13"/>
        <v>0</v>
      </c>
      <c r="E139" s="290"/>
      <c r="F139" s="483" t="s">
        <v>110</v>
      </c>
      <c r="G139" s="164" t="s">
        <v>121</v>
      </c>
      <c r="H139" s="161">
        <v>1</v>
      </c>
      <c r="I139" s="185">
        <v>2000</v>
      </c>
      <c r="J139" s="216">
        <v>0</v>
      </c>
      <c r="K139" s="185">
        <v>2000</v>
      </c>
      <c r="L139" s="217">
        <v>2000</v>
      </c>
      <c r="M139" s="259"/>
      <c r="O139" s="483" t="s">
        <v>110</v>
      </c>
      <c r="P139" s="164" t="str">
        <f>'LEVEL 3'!F150</f>
        <v>LS</v>
      </c>
      <c r="Q139" s="161">
        <f>'LEVEL 3'!G150</f>
        <v>1</v>
      </c>
      <c r="R139" s="185">
        <f>'LEVEL 3'!H150</f>
        <v>2000</v>
      </c>
      <c r="S139" s="216">
        <f>'LEVEL 3'!I150</f>
        <v>0</v>
      </c>
      <c r="T139" s="185">
        <f>'LEVEL 3'!J150</f>
        <v>2000</v>
      </c>
      <c r="U139" s="217">
        <f>'LEVEL 3'!K150</f>
        <v>2000</v>
      </c>
      <c r="V139" s="259"/>
      <c r="X139" s="429">
        <f t="shared" si="16"/>
        <v>0</v>
      </c>
      <c r="Z139" s="432">
        <f t="shared" si="17"/>
        <v>0</v>
      </c>
      <c r="AB139" s="504"/>
    </row>
    <row r="140" spans="1:28" outlineLevel="1">
      <c r="A140" s="512" t="s">
        <v>366</v>
      </c>
      <c r="C140" s="629"/>
      <c r="D140" s="259">
        <f t="shared" si="13"/>
        <v>0</v>
      </c>
      <c r="E140" s="290"/>
      <c r="F140" s="483" t="s">
        <v>110</v>
      </c>
      <c r="G140" s="164" t="s">
        <v>121</v>
      </c>
      <c r="H140" s="167">
        <v>1</v>
      </c>
      <c r="I140" s="185">
        <v>15000</v>
      </c>
      <c r="J140" s="216">
        <v>0</v>
      </c>
      <c r="K140" s="185">
        <v>15000</v>
      </c>
      <c r="L140" s="217">
        <v>15000</v>
      </c>
      <c r="M140" s="259"/>
      <c r="O140" s="483" t="s">
        <v>110</v>
      </c>
      <c r="P140" s="164" t="str">
        <f>'LEVEL 3'!F151</f>
        <v>LS</v>
      </c>
      <c r="Q140" s="167">
        <f>'LEVEL 3'!G151</f>
        <v>1</v>
      </c>
      <c r="R140" s="185">
        <f>'LEVEL 3'!H151</f>
        <v>15000</v>
      </c>
      <c r="S140" s="216">
        <f>'LEVEL 3'!I151</f>
        <v>0</v>
      </c>
      <c r="T140" s="185">
        <f>'LEVEL 3'!J151</f>
        <v>15000</v>
      </c>
      <c r="U140" s="217">
        <f>'LEVEL 3'!K151</f>
        <v>15000</v>
      </c>
      <c r="V140" s="259"/>
      <c r="X140" s="429">
        <f t="shared" si="16"/>
        <v>0</v>
      </c>
      <c r="Z140" s="432">
        <f t="shared" si="17"/>
        <v>0</v>
      </c>
      <c r="AB140" s="504"/>
    </row>
    <row r="141" spans="1:28" outlineLevel="1">
      <c r="A141" s="512" t="s">
        <v>368</v>
      </c>
      <c r="C141" s="629"/>
      <c r="D141" s="259">
        <f t="shared" si="13"/>
        <v>0</v>
      </c>
      <c r="E141" s="290"/>
      <c r="F141" s="483" t="s">
        <v>370</v>
      </c>
      <c r="G141" s="164" t="s">
        <v>10</v>
      </c>
      <c r="H141" s="167">
        <v>194</v>
      </c>
      <c r="I141" s="185">
        <v>153</v>
      </c>
      <c r="J141" s="216">
        <v>0</v>
      </c>
      <c r="K141" s="185">
        <v>153</v>
      </c>
      <c r="L141" s="217">
        <v>29682</v>
      </c>
      <c r="M141" s="259"/>
      <c r="O141" s="483" t="s">
        <v>370</v>
      </c>
      <c r="P141" s="164" t="str">
        <f>'LEVEL 3'!F152</f>
        <v>Unit</v>
      </c>
      <c r="Q141" s="167">
        <f>'LEVEL 3'!G152</f>
        <v>194</v>
      </c>
      <c r="R141" s="185">
        <f>'LEVEL 3'!H152</f>
        <v>153</v>
      </c>
      <c r="S141" s="216">
        <f>'LEVEL 3'!I152</f>
        <v>0</v>
      </c>
      <c r="T141" s="185">
        <f>'LEVEL 3'!J152</f>
        <v>153</v>
      </c>
      <c r="U141" s="217">
        <f>'LEVEL 3'!K152</f>
        <v>29682</v>
      </c>
      <c r="V141" s="259"/>
      <c r="X141" s="429">
        <f t="shared" si="16"/>
        <v>0</v>
      </c>
      <c r="Z141" s="432">
        <f t="shared" si="17"/>
        <v>0</v>
      </c>
      <c r="AB141" s="504"/>
    </row>
    <row r="142" spans="1:28" outlineLevel="1">
      <c r="A142" s="512" t="s">
        <v>371</v>
      </c>
      <c r="C142" s="629"/>
      <c r="D142" s="259">
        <f t="shared" si="13"/>
        <v>0</v>
      </c>
      <c r="E142" s="290"/>
      <c r="F142" s="483" t="s">
        <v>116</v>
      </c>
      <c r="G142" s="164" t="s">
        <v>10</v>
      </c>
      <c r="H142" s="167">
        <v>194</v>
      </c>
      <c r="I142" s="185">
        <v>220</v>
      </c>
      <c r="J142" s="216">
        <v>0</v>
      </c>
      <c r="K142" s="185">
        <v>220</v>
      </c>
      <c r="L142" s="217">
        <v>42680</v>
      </c>
      <c r="M142" s="259"/>
      <c r="O142" s="483" t="s">
        <v>116</v>
      </c>
      <c r="P142" s="164" t="str">
        <f>'LEVEL 3'!F153</f>
        <v>Unit</v>
      </c>
      <c r="Q142" s="167">
        <f>'LEVEL 3'!G153</f>
        <v>194</v>
      </c>
      <c r="R142" s="185">
        <f>'LEVEL 3'!H153</f>
        <v>220</v>
      </c>
      <c r="S142" s="216">
        <f>'LEVEL 3'!I153</f>
        <v>0</v>
      </c>
      <c r="T142" s="185">
        <f>'LEVEL 3'!J153</f>
        <v>220</v>
      </c>
      <c r="U142" s="217">
        <f>'LEVEL 3'!K153</f>
        <v>42680</v>
      </c>
      <c r="V142" s="259"/>
      <c r="X142" s="429">
        <f t="shared" si="16"/>
        <v>0</v>
      </c>
      <c r="Z142" s="432">
        <f t="shared" si="17"/>
        <v>0</v>
      </c>
      <c r="AB142" s="504"/>
    </row>
    <row r="143" spans="1:28" outlineLevel="1">
      <c r="A143" s="512" t="s">
        <v>373</v>
      </c>
      <c r="C143" s="629"/>
      <c r="D143" s="259">
        <f t="shared" si="13"/>
        <v>0</v>
      </c>
      <c r="E143" s="290"/>
      <c r="F143" s="483" t="s">
        <v>116</v>
      </c>
      <c r="G143" s="164" t="s">
        <v>32</v>
      </c>
      <c r="H143" s="161">
        <v>21</v>
      </c>
      <c r="I143" s="185">
        <v>2500</v>
      </c>
      <c r="J143" s="216">
        <v>0</v>
      </c>
      <c r="K143" s="185">
        <v>2500</v>
      </c>
      <c r="L143" s="217">
        <v>52500</v>
      </c>
      <c r="M143" s="259"/>
      <c r="O143" s="483" t="s">
        <v>116</v>
      </c>
      <c r="P143" s="164" t="str">
        <f>'LEVEL 3'!F154</f>
        <v>Count</v>
      </c>
      <c r="Q143" s="161">
        <f>'LEVEL 3'!G154</f>
        <v>21</v>
      </c>
      <c r="R143" s="185">
        <f>'LEVEL 3'!H154</f>
        <v>2500</v>
      </c>
      <c r="S143" s="216">
        <f>'LEVEL 3'!I154</f>
        <v>0</v>
      </c>
      <c r="T143" s="185">
        <f>'LEVEL 3'!J154</f>
        <v>2500</v>
      </c>
      <c r="U143" s="217">
        <f>'LEVEL 3'!K154</f>
        <v>52500</v>
      </c>
      <c r="V143" s="259"/>
      <c r="X143" s="429">
        <f t="shared" si="16"/>
        <v>0</v>
      </c>
      <c r="Z143" s="432">
        <f t="shared" si="17"/>
        <v>0</v>
      </c>
      <c r="AB143" s="504"/>
    </row>
    <row r="144" spans="1:28" outlineLevel="1">
      <c r="A144" s="512" t="s">
        <v>377</v>
      </c>
      <c r="C144" s="629"/>
      <c r="D144" s="259">
        <f t="shared" si="13"/>
        <v>0</v>
      </c>
      <c r="E144" s="290"/>
      <c r="F144" s="483" t="s">
        <v>116</v>
      </c>
      <c r="G144" s="164" t="s">
        <v>32</v>
      </c>
      <c r="H144" s="161">
        <v>4</v>
      </c>
      <c r="I144" s="185">
        <v>8500</v>
      </c>
      <c r="J144" s="216">
        <v>0</v>
      </c>
      <c r="K144" s="185">
        <v>8500</v>
      </c>
      <c r="L144" s="217">
        <v>34000</v>
      </c>
      <c r="M144" s="259"/>
      <c r="O144" s="483" t="s">
        <v>116</v>
      </c>
      <c r="P144" s="164" t="str">
        <f>'LEVEL 3'!F155</f>
        <v>Count</v>
      </c>
      <c r="Q144" s="161">
        <f>'LEVEL 3'!G155</f>
        <v>4</v>
      </c>
      <c r="R144" s="185">
        <f>'LEVEL 3'!H155</f>
        <v>8500</v>
      </c>
      <c r="S144" s="216">
        <f>'LEVEL 3'!I155</f>
        <v>0</v>
      </c>
      <c r="T144" s="185">
        <f>'LEVEL 3'!J155</f>
        <v>8500</v>
      </c>
      <c r="U144" s="217">
        <f>'LEVEL 3'!K155</f>
        <v>34000</v>
      </c>
      <c r="V144" s="259"/>
      <c r="X144" s="429">
        <f t="shared" si="16"/>
        <v>0</v>
      </c>
      <c r="Z144" s="432">
        <f t="shared" si="17"/>
        <v>0</v>
      </c>
      <c r="AB144" s="504"/>
    </row>
    <row r="145" spans="1:28">
      <c r="A145" s="509" t="s">
        <v>340</v>
      </c>
      <c r="C145" s="491">
        <v>229816</v>
      </c>
      <c r="D145" s="628">
        <f t="shared" si="13"/>
        <v>4134</v>
      </c>
      <c r="E145" s="290"/>
      <c r="F145" s="479"/>
      <c r="G145" s="305"/>
      <c r="H145" s="306"/>
      <c r="I145" s="307"/>
      <c r="J145" s="308"/>
      <c r="K145" s="307"/>
      <c r="L145" s="421"/>
      <c r="M145" s="480">
        <f>SUM(L129:L144)</f>
        <v>233950</v>
      </c>
      <c r="O145" s="479"/>
      <c r="P145" s="305"/>
      <c r="Q145" s="306"/>
      <c r="R145" s="307"/>
      <c r="S145" s="308"/>
      <c r="T145" s="307"/>
      <c r="U145" s="421"/>
      <c r="V145" s="480">
        <f>'LEVEL 3'!L139</f>
        <v>233950</v>
      </c>
      <c r="X145" s="491">
        <f>V145-M145</f>
        <v>0</v>
      </c>
      <c r="Z145" s="497">
        <f>IF(M145=0,0,X145/M145)</f>
        <v>0</v>
      </c>
      <c r="AB145" s="504"/>
    </row>
    <row r="146" spans="1:28" outlineLevel="1">
      <c r="A146" s="510" t="s">
        <v>380</v>
      </c>
      <c r="C146" s="629"/>
      <c r="D146" s="259">
        <f t="shared" si="13"/>
        <v>0</v>
      </c>
      <c r="E146" s="290"/>
      <c r="F146" s="481" t="s">
        <v>195</v>
      </c>
      <c r="G146" s="226" t="s">
        <v>10</v>
      </c>
      <c r="H146" s="168">
        <v>194</v>
      </c>
      <c r="I146" s="225">
        <v>3201.4974358974359</v>
      </c>
      <c r="J146" s="311">
        <v>0</v>
      </c>
      <c r="K146" s="312">
        <v>3201.4974358974359</v>
      </c>
      <c r="L146" s="313">
        <v>621090.50256410253</v>
      </c>
      <c r="M146" s="259"/>
      <c r="O146" s="481" t="s">
        <v>246</v>
      </c>
      <c r="P146" s="226" t="str">
        <f>'LEVEL 3'!F157</f>
        <v>Unit</v>
      </c>
      <c r="Q146" s="168">
        <f>'LEVEL 3'!G157</f>
        <v>194</v>
      </c>
      <c r="R146" s="225">
        <f>'LEVEL 3'!H157</f>
        <v>3201.4974358974359</v>
      </c>
      <c r="S146" s="311">
        <f>'LEVEL 3'!I157</f>
        <v>0</v>
      </c>
      <c r="T146" s="312">
        <f>'LEVEL 3'!J157</f>
        <v>3201.4974358974359</v>
      </c>
      <c r="U146" s="313">
        <f>'LEVEL 3'!K157</f>
        <v>621090.50256410253</v>
      </c>
      <c r="V146" s="259"/>
      <c r="X146" s="429">
        <f>U146-L146</f>
        <v>0</v>
      </c>
      <c r="Z146" s="432">
        <f>IF(L146=0,0,X146/L146)</f>
        <v>0</v>
      </c>
      <c r="AB146" s="504" t="s">
        <v>940</v>
      </c>
    </row>
    <row r="147" spans="1:28">
      <c r="A147" s="509" t="s">
        <v>378</v>
      </c>
      <c r="C147" s="491">
        <v>621090.50256410253</v>
      </c>
      <c r="D147" s="628">
        <f t="shared" si="13"/>
        <v>0</v>
      </c>
      <c r="E147" s="290"/>
      <c r="F147" s="479"/>
      <c r="G147" s="305"/>
      <c r="H147" s="306"/>
      <c r="I147" s="307"/>
      <c r="J147" s="308"/>
      <c r="K147" s="307"/>
      <c r="L147" s="421"/>
      <c r="M147" s="480">
        <f>L146</f>
        <v>621090.50256410253</v>
      </c>
      <c r="O147" s="479"/>
      <c r="P147" s="305"/>
      <c r="Q147" s="306"/>
      <c r="R147" s="307"/>
      <c r="S147" s="308"/>
      <c r="T147" s="307"/>
      <c r="U147" s="421"/>
      <c r="V147" s="480">
        <f>'LEVEL 3'!L156</f>
        <v>621090.50256410253</v>
      </c>
      <c r="X147" s="491">
        <f>V147-M147</f>
        <v>0</v>
      </c>
      <c r="Z147" s="497">
        <f>IF(M147=0,0,X147/M147)</f>
        <v>0</v>
      </c>
      <c r="AB147" s="504"/>
    </row>
    <row r="148" spans="1:28" outlineLevel="1">
      <c r="A148" s="511" t="s">
        <v>184</v>
      </c>
      <c r="C148" s="629"/>
      <c r="D148" s="259">
        <f t="shared" si="13"/>
        <v>0</v>
      </c>
      <c r="E148" s="290"/>
      <c r="F148" s="482" t="s">
        <v>118</v>
      </c>
      <c r="G148" s="176">
        <v>0</v>
      </c>
      <c r="H148" s="167">
        <v>0</v>
      </c>
      <c r="I148" s="413">
        <v>0</v>
      </c>
      <c r="J148" s="414">
        <v>0</v>
      </c>
      <c r="K148" s="415">
        <v>0</v>
      </c>
      <c r="L148" s="416">
        <v>0</v>
      </c>
      <c r="M148" s="259"/>
      <c r="O148" s="482" t="s">
        <v>118</v>
      </c>
      <c r="P148" s="176">
        <f>'LEVEL 3'!F159</f>
        <v>0</v>
      </c>
      <c r="Q148" s="167">
        <f>'LEVEL 3'!G159</f>
        <v>0</v>
      </c>
      <c r="R148" s="413">
        <f>'LEVEL 3'!H159</f>
        <v>0</v>
      </c>
      <c r="S148" s="414">
        <f>'LEVEL 3'!I159</f>
        <v>0</v>
      </c>
      <c r="T148" s="415">
        <f>'LEVEL 3'!J159</f>
        <v>0</v>
      </c>
      <c r="U148" s="416">
        <f>'LEVEL 3'!K159</f>
        <v>0</v>
      </c>
      <c r="V148" s="259"/>
      <c r="X148" s="429">
        <f t="shared" ref="X148:X155" si="18">U148-L148</f>
        <v>0</v>
      </c>
      <c r="Z148" s="432">
        <f t="shared" ref="Z148:Z155" si="19">IF(L148=0,0,X148/L148)</f>
        <v>0</v>
      </c>
      <c r="AB148" s="504"/>
    </row>
    <row r="149" spans="1:28" outlineLevel="1">
      <c r="A149" s="512" t="s">
        <v>385</v>
      </c>
      <c r="C149" s="629"/>
      <c r="D149" s="259">
        <f t="shared" ref="D149:D212" si="20">V149-C149</f>
        <v>0</v>
      </c>
      <c r="E149" s="290"/>
      <c r="F149" s="483" t="s">
        <v>246</v>
      </c>
      <c r="G149" s="164" t="s">
        <v>235</v>
      </c>
      <c r="H149" s="167">
        <v>194</v>
      </c>
      <c r="I149" s="185">
        <v>377.77731092436977</v>
      </c>
      <c r="J149" s="216">
        <v>0</v>
      </c>
      <c r="K149" s="185">
        <v>377.77731092436977</v>
      </c>
      <c r="L149" s="217">
        <v>73288.798319327732</v>
      </c>
      <c r="M149" s="259"/>
      <c r="O149" s="483" t="s">
        <v>116</v>
      </c>
      <c r="P149" s="164" t="str">
        <f>'LEVEL 3'!F160</f>
        <v>Per Unit</v>
      </c>
      <c r="Q149" s="167">
        <f>'LEVEL 3'!G160</f>
        <v>194</v>
      </c>
      <c r="R149" s="185">
        <f>'LEVEL 3'!H160</f>
        <v>377.77731092436977</v>
      </c>
      <c r="S149" s="216">
        <f>'LEVEL 3'!I160</f>
        <v>0</v>
      </c>
      <c r="T149" s="185">
        <f>'LEVEL 3'!J160</f>
        <v>377.77731092436977</v>
      </c>
      <c r="U149" s="217">
        <f>'LEVEL 3'!K160</f>
        <v>73288.798319327732</v>
      </c>
      <c r="V149" s="259"/>
      <c r="X149" s="429">
        <f t="shared" si="18"/>
        <v>0</v>
      </c>
      <c r="Z149" s="432">
        <f t="shared" si="19"/>
        <v>0</v>
      </c>
      <c r="AB149" s="504"/>
    </row>
    <row r="150" spans="1:28" outlineLevel="1">
      <c r="A150" s="512" t="s">
        <v>387</v>
      </c>
      <c r="C150" s="629"/>
      <c r="D150" s="259">
        <f t="shared" si="20"/>
        <v>0</v>
      </c>
      <c r="E150" s="290"/>
      <c r="F150" s="483" t="s">
        <v>246</v>
      </c>
      <c r="G150" s="164" t="s">
        <v>10</v>
      </c>
      <c r="H150" s="167">
        <v>194</v>
      </c>
      <c r="I150" s="185">
        <v>3148</v>
      </c>
      <c r="J150" s="216">
        <v>0</v>
      </c>
      <c r="K150" s="185">
        <v>3148</v>
      </c>
      <c r="L150" s="217">
        <v>610712</v>
      </c>
      <c r="M150" s="259"/>
      <c r="O150" s="483" t="s">
        <v>116</v>
      </c>
      <c r="P150" s="164" t="str">
        <f>'LEVEL 3'!F161</f>
        <v>Unit</v>
      </c>
      <c r="Q150" s="167">
        <f>'LEVEL 3'!G161</f>
        <v>194</v>
      </c>
      <c r="R150" s="185">
        <f>'LEVEL 3'!H161</f>
        <v>3148</v>
      </c>
      <c r="S150" s="216">
        <f>'LEVEL 3'!I161</f>
        <v>0</v>
      </c>
      <c r="T150" s="185">
        <f>'LEVEL 3'!J161</f>
        <v>3148</v>
      </c>
      <c r="U150" s="217">
        <f>'LEVEL 3'!K161</f>
        <v>610712</v>
      </c>
      <c r="V150" s="259"/>
      <c r="X150" s="429">
        <f t="shared" si="18"/>
        <v>0</v>
      </c>
      <c r="Z150" s="432">
        <f t="shared" si="19"/>
        <v>0</v>
      </c>
      <c r="AB150" s="504" t="s">
        <v>941</v>
      </c>
    </row>
    <row r="151" spans="1:28" outlineLevel="1">
      <c r="A151" s="512" t="s">
        <v>389</v>
      </c>
      <c r="C151" s="629"/>
      <c r="D151" s="259">
        <f t="shared" si="20"/>
        <v>0</v>
      </c>
      <c r="E151" s="290"/>
      <c r="F151" s="483" t="s">
        <v>110</v>
      </c>
      <c r="G151" s="164" t="s">
        <v>121</v>
      </c>
      <c r="H151" s="161">
        <v>1</v>
      </c>
      <c r="I151" s="185">
        <v>17500</v>
      </c>
      <c r="J151" s="216">
        <v>0</v>
      </c>
      <c r="K151" s="185">
        <v>17500</v>
      </c>
      <c r="L151" s="217">
        <v>17500</v>
      </c>
      <c r="M151" s="259"/>
      <c r="O151" s="483" t="s">
        <v>110</v>
      </c>
      <c r="P151" s="164" t="str">
        <f>'LEVEL 3'!F162</f>
        <v>LS</v>
      </c>
      <c r="Q151" s="161">
        <f>'LEVEL 3'!G162</f>
        <v>1</v>
      </c>
      <c r="R151" s="185">
        <f>'LEVEL 3'!H162</f>
        <v>17500</v>
      </c>
      <c r="S151" s="216">
        <f>'LEVEL 3'!I162</f>
        <v>0</v>
      </c>
      <c r="T151" s="185">
        <f>'LEVEL 3'!J162</f>
        <v>17500</v>
      </c>
      <c r="U151" s="217">
        <f>'LEVEL 3'!K162</f>
        <v>17500</v>
      </c>
      <c r="V151" s="259"/>
      <c r="X151" s="429">
        <f t="shared" si="18"/>
        <v>0</v>
      </c>
      <c r="Z151" s="432">
        <f t="shared" si="19"/>
        <v>0</v>
      </c>
      <c r="AB151" s="504"/>
    </row>
    <row r="152" spans="1:28" outlineLevel="1">
      <c r="A152" s="512" t="s">
        <v>391</v>
      </c>
      <c r="C152" s="629"/>
      <c r="D152" s="259">
        <f t="shared" si="20"/>
        <v>0</v>
      </c>
      <c r="E152" s="290"/>
      <c r="F152" s="483" t="s">
        <v>246</v>
      </c>
      <c r="G152" s="164" t="s">
        <v>10</v>
      </c>
      <c r="H152" s="167">
        <v>194</v>
      </c>
      <c r="I152" s="185">
        <v>1567.6008403361345</v>
      </c>
      <c r="J152" s="216">
        <v>0</v>
      </c>
      <c r="K152" s="185">
        <v>1567.6008403361345</v>
      </c>
      <c r="L152" s="217">
        <v>304114.56302521011</v>
      </c>
      <c r="M152" s="259"/>
      <c r="O152" s="483" t="s">
        <v>116</v>
      </c>
      <c r="P152" s="164" t="str">
        <f>'LEVEL 3'!F163</f>
        <v>Unit</v>
      </c>
      <c r="Q152" s="167">
        <f>'LEVEL 3'!G163</f>
        <v>194</v>
      </c>
      <c r="R152" s="185">
        <f>'LEVEL 3'!H163</f>
        <v>1567.6008403361345</v>
      </c>
      <c r="S152" s="216">
        <f>'LEVEL 3'!I163</f>
        <v>0</v>
      </c>
      <c r="T152" s="185">
        <f>'LEVEL 3'!J163</f>
        <v>1567.6008403361345</v>
      </c>
      <c r="U152" s="217">
        <f>'LEVEL 3'!K163</f>
        <v>304114.56302521011</v>
      </c>
      <c r="V152" s="259"/>
      <c r="X152" s="429">
        <f t="shared" si="18"/>
        <v>0</v>
      </c>
      <c r="Z152" s="432">
        <f t="shared" si="19"/>
        <v>0</v>
      </c>
      <c r="AB152" s="504"/>
    </row>
    <row r="153" spans="1:28" outlineLevel="1">
      <c r="A153" s="512" t="s">
        <v>394</v>
      </c>
      <c r="C153" s="629"/>
      <c r="D153" s="259">
        <f t="shared" si="20"/>
        <v>0</v>
      </c>
      <c r="E153" s="290"/>
      <c r="F153" s="483" t="s">
        <v>110</v>
      </c>
      <c r="G153" s="164" t="s">
        <v>121</v>
      </c>
      <c r="H153" s="161">
        <v>1</v>
      </c>
      <c r="I153" s="185">
        <v>35000</v>
      </c>
      <c r="J153" s="216">
        <v>0</v>
      </c>
      <c r="K153" s="185">
        <v>35000</v>
      </c>
      <c r="L153" s="217">
        <v>35000</v>
      </c>
      <c r="M153" s="259"/>
      <c r="O153" s="483" t="s">
        <v>110</v>
      </c>
      <c r="P153" s="164" t="str">
        <f>'LEVEL 3'!F164</f>
        <v>LS</v>
      </c>
      <c r="Q153" s="161">
        <f>'LEVEL 3'!G164</f>
        <v>1</v>
      </c>
      <c r="R153" s="185">
        <f>'LEVEL 3'!H164</f>
        <v>35000</v>
      </c>
      <c r="S153" s="216">
        <f>'LEVEL 3'!I164</f>
        <v>0</v>
      </c>
      <c r="T153" s="185">
        <f>'LEVEL 3'!J164</f>
        <v>35000</v>
      </c>
      <c r="U153" s="217">
        <f>'LEVEL 3'!K164</f>
        <v>35000</v>
      </c>
      <c r="V153" s="259"/>
      <c r="X153" s="429">
        <f t="shared" si="18"/>
        <v>0</v>
      </c>
      <c r="Z153" s="432">
        <f t="shared" si="19"/>
        <v>0</v>
      </c>
      <c r="AB153" s="504"/>
    </row>
    <row r="154" spans="1:28" outlineLevel="1">
      <c r="A154" s="512" t="s">
        <v>397</v>
      </c>
      <c r="C154" s="629"/>
      <c r="D154" s="259">
        <f t="shared" si="20"/>
        <v>0</v>
      </c>
      <c r="E154" s="290"/>
      <c r="F154" s="483" t="s">
        <v>118</v>
      </c>
      <c r="G154" s="164"/>
      <c r="H154" s="161"/>
      <c r="I154" s="185"/>
      <c r="J154" s="216">
        <v>0</v>
      </c>
      <c r="K154" s="185">
        <v>0</v>
      </c>
      <c r="L154" s="217">
        <v>0</v>
      </c>
      <c r="M154" s="259"/>
      <c r="O154" s="483" t="s">
        <v>118</v>
      </c>
      <c r="P154" s="164">
        <f>'LEVEL 3'!F165</f>
        <v>0</v>
      </c>
      <c r="Q154" s="161">
        <f>'LEVEL 3'!G165</f>
        <v>0</v>
      </c>
      <c r="R154" s="185">
        <f>'LEVEL 3'!H165</f>
        <v>0</v>
      </c>
      <c r="S154" s="216">
        <f>'LEVEL 3'!I165</f>
        <v>0</v>
      </c>
      <c r="T154" s="185">
        <f>'LEVEL 3'!J165</f>
        <v>0</v>
      </c>
      <c r="U154" s="217">
        <f>'LEVEL 3'!K165</f>
        <v>0</v>
      </c>
      <c r="V154" s="259"/>
      <c r="X154" s="429">
        <f t="shared" si="18"/>
        <v>0</v>
      </c>
      <c r="Z154" s="432">
        <f t="shared" si="19"/>
        <v>0</v>
      </c>
      <c r="AB154" s="504"/>
    </row>
    <row r="155" spans="1:28" outlineLevel="1">
      <c r="A155" s="512" t="s">
        <v>399</v>
      </c>
      <c r="C155" s="629"/>
      <c r="D155" s="259">
        <f t="shared" si="20"/>
        <v>0</v>
      </c>
      <c r="E155" s="290"/>
      <c r="F155" s="483" t="s">
        <v>110</v>
      </c>
      <c r="G155" s="164" t="s">
        <v>121</v>
      </c>
      <c r="H155" s="161">
        <v>1</v>
      </c>
      <c r="I155" s="185">
        <v>6000</v>
      </c>
      <c r="J155" s="216">
        <v>0</v>
      </c>
      <c r="K155" s="185">
        <v>6000</v>
      </c>
      <c r="L155" s="217">
        <v>6000</v>
      </c>
      <c r="M155" s="259"/>
      <c r="O155" s="483" t="s">
        <v>110</v>
      </c>
      <c r="P155" s="164" t="str">
        <f>'LEVEL 3'!F166</f>
        <v>LS</v>
      </c>
      <c r="Q155" s="161">
        <f>'LEVEL 3'!G166</f>
        <v>1</v>
      </c>
      <c r="R155" s="185">
        <f>'LEVEL 3'!H166</f>
        <v>6000</v>
      </c>
      <c r="S155" s="216">
        <f>'LEVEL 3'!I166</f>
        <v>0</v>
      </c>
      <c r="T155" s="185">
        <f>'LEVEL 3'!J166</f>
        <v>6000</v>
      </c>
      <c r="U155" s="217">
        <f>'LEVEL 3'!K166</f>
        <v>6000</v>
      </c>
      <c r="V155" s="259"/>
      <c r="X155" s="429">
        <f t="shared" si="18"/>
        <v>0</v>
      </c>
      <c r="Z155" s="432">
        <f t="shared" si="19"/>
        <v>0</v>
      </c>
      <c r="AB155" s="504"/>
    </row>
    <row r="156" spans="1:28">
      <c r="A156" s="509" t="s">
        <v>382</v>
      </c>
      <c r="C156" s="491">
        <v>1077773.2690000001</v>
      </c>
      <c r="D156" s="628">
        <f t="shared" si="20"/>
        <v>-31157.907655462157</v>
      </c>
      <c r="E156" s="290"/>
      <c r="F156" s="479"/>
      <c r="G156" s="305"/>
      <c r="H156" s="306"/>
      <c r="I156" s="307"/>
      <c r="J156" s="308"/>
      <c r="K156" s="307"/>
      <c r="L156" s="421"/>
      <c r="M156" s="480">
        <f>SUM(L148:L155)</f>
        <v>1046615.3613445379</v>
      </c>
      <c r="O156" s="479"/>
      <c r="P156" s="305"/>
      <c r="Q156" s="306"/>
      <c r="R156" s="307"/>
      <c r="S156" s="308"/>
      <c r="T156" s="307"/>
      <c r="U156" s="421"/>
      <c r="V156" s="480">
        <f>'LEVEL 3'!L158</f>
        <v>1046615.3613445379</v>
      </c>
      <c r="X156" s="491">
        <f>V156-M156</f>
        <v>0</v>
      </c>
      <c r="Z156" s="497">
        <f>IF(M156=0,0,X156/M156)</f>
        <v>0</v>
      </c>
      <c r="AB156" s="504" t="s">
        <v>941</v>
      </c>
    </row>
    <row r="157" spans="1:28" outlineLevel="1">
      <c r="A157" s="511" t="s">
        <v>404</v>
      </c>
      <c r="C157" s="629"/>
      <c r="D157" s="259">
        <f t="shared" si="20"/>
        <v>0</v>
      </c>
      <c r="E157" s="290"/>
      <c r="F157" s="482" t="s">
        <v>116</v>
      </c>
      <c r="G157" s="176" t="s">
        <v>121</v>
      </c>
      <c r="H157" s="167">
        <v>1</v>
      </c>
      <c r="I157" s="413">
        <v>245000</v>
      </c>
      <c r="J157" s="414">
        <v>0</v>
      </c>
      <c r="K157" s="415">
        <v>245000</v>
      </c>
      <c r="L157" s="416">
        <v>245000</v>
      </c>
      <c r="M157" s="259"/>
      <c r="O157" s="482" t="s">
        <v>116</v>
      </c>
      <c r="P157" s="176" t="str">
        <f>'LEVEL 3'!F168</f>
        <v>LS</v>
      </c>
      <c r="Q157" s="167">
        <f>'LEVEL 3'!G168</f>
        <v>1</v>
      </c>
      <c r="R157" s="413">
        <f>'LEVEL 3'!H168</f>
        <v>245000</v>
      </c>
      <c r="S157" s="414">
        <f>'LEVEL 3'!I168</f>
        <v>0</v>
      </c>
      <c r="T157" s="415">
        <f>'LEVEL 3'!J168</f>
        <v>245000</v>
      </c>
      <c r="U157" s="416">
        <f>'LEVEL 3'!K168</f>
        <v>245000</v>
      </c>
      <c r="V157" s="259"/>
      <c r="X157" s="429">
        <f>U157-L157</f>
        <v>0</v>
      </c>
      <c r="Z157" s="432">
        <f>IF(L157=0,0,X157/L157)</f>
        <v>0</v>
      </c>
      <c r="AB157" s="504"/>
    </row>
    <row r="158" spans="1:28" outlineLevel="1">
      <c r="A158" s="512" t="s">
        <v>68</v>
      </c>
      <c r="C158" s="629"/>
      <c r="D158" s="259">
        <f t="shared" si="20"/>
        <v>0</v>
      </c>
      <c r="E158" s="290"/>
      <c r="F158" s="483" t="s">
        <v>195</v>
      </c>
      <c r="G158" s="164" t="s">
        <v>121</v>
      </c>
      <c r="H158" s="161">
        <v>1</v>
      </c>
      <c r="I158" s="185">
        <v>320436</v>
      </c>
      <c r="J158" s="216">
        <v>0</v>
      </c>
      <c r="K158" s="185">
        <v>320436</v>
      </c>
      <c r="L158" s="217">
        <v>320436</v>
      </c>
      <c r="M158" s="259"/>
      <c r="O158" s="483" t="s">
        <v>195</v>
      </c>
      <c r="P158" s="164" t="str">
        <f>'LEVEL 3'!F169</f>
        <v>LS</v>
      </c>
      <c r="Q158" s="161">
        <f>'LEVEL 3'!G169</f>
        <v>1</v>
      </c>
      <c r="R158" s="185">
        <f>'LEVEL 3'!H169</f>
        <v>320436</v>
      </c>
      <c r="S158" s="216">
        <f>'LEVEL 3'!I169</f>
        <v>0</v>
      </c>
      <c r="T158" s="185">
        <f>'LEVEL 3'!J169</f>
        <v>320436</v>
      </c>
      <c r="U158" s="217">
        <f>'LEVEL 3'!K169</f>
        <v>320436</v>
      </c>
      <c r="V158" s="259"/>
      <c r="X158" s="429">
        <f>U158-L158</f>
        <v>0</v>
      </c>
      <c r="Z158" s="432">
        <f>IF(L158=0,0,X158/L158)</f>
        <v>0</v>
      </c>
      <c r="AB158" s="504"/>
    </row>
    <row r="159" spans="1:28" outlineLevel="1">
      <c r="A159" s="512" t="s">
        <v>408</v>
      </c>
      <c r="C159" s="629"/>
      <c r="D159" s="259">
        <f t="shared" si="20"/>
        <v>0</v>
      </c>
      <c r="E159" s="290"/>
      <c r="F159" s="483" t="s">
        <v>246</v>
      </c>
      <c r="G159" s="164" t="s">
        <v>32</v>
      </c>
      <c r="H159" s="161">
        <v>1</v>
      </c>
      <c r="I159" s="185">
        <v>7049</v>
      </c>
      <c r="J159" s="216">
        <v>0</v>
      </c>
      <c r="K159" s="185">
        <v>7049</v>
      </c>
      <c r="L159" s="217">
        <v>7049</v>
      </c>
      <c r="M159" s="259"/>
      <c r="O159" s="483" t="s">
        <v>246</v>
      </c>
      <c r="P159" s="164" t="str">
        <f>'LEVEL 3'!F170</f>
        <v>Count</v>
      </c>
      <c r="Q159" s="161">
        <f>'LEVEL 3'!G170</f>
        <v>1</v>
      </c>
      <c r="R159" s="185">
        <f>'LEVEL 3'!H170</f>
        <v>7049</v>
      </c>
      <c r="S159" s="216">
        <f>'LEVEL 3'!I170</f>
        <v>0</v>
      </c>
      <c r="T159" s="185">
        <f>'LEVEL 3'!J170</f>
        <v>7049</v>
      </c>
      <c r="U159" s="217">
        <f>'LEVEL 3'!K170</f>
        <v>7049</v>
      </c>
      <c r="V159" s="259"/>
      <c r="X159" s="429">
        <f>U159-L159</f>
        <v>0</v>
      </c>
      <c r="Z159" s="432">
        <f>IF(L159=0,0,X159/L159)</f>
        <v>0</v>
      </c>
      <c r="AB159" s="504"/>
    </row>
    <row r="160" spans="1:28">
      <c r="A160" s="509" t="s">
        <v>402</v>
      </c>
      <c r="C160" s="491">
        <v>570255</v>
      </c>
      <c r="D160" s="628">
        <f t="shared" si="20"/>
        <v>2230</v>
      </c>
      <c r="E160" s="290"/>
      <c r="F160" s="479"/>
      <c r="G160" s="305"/>
      <c r="H160" s="306"/>
      <c r="I160" s="307"/>
      <c r="J160" s="308"/>
      <c r="K160" s="307"/>
      <c r="L160" s="421"/>
      <c r="M160" s="480">
        <f>SUM(L157:L159)</f>
        <v>572485</v>
      </c>
      <c r="O160" s="479"/>
      <c r="P160" s="305"/>
      <c r="Q160" s="306"/>
      <c r="R160" s="307"/>
      <c r="S160" s="308"/>
      <c r="T160" s="307"/>
      <c r="U160" s="421"/>
      <c r="V160" s="480">
        <f>'LEVEL 3'!L167</f>
        <v>572485</v>
      </c>
      <c r="X160" s="491">
        <f>V160-M160</f>
        <v>0</v>
      </c>
      <c r="Z160" s="497">
        <f>IF(M160=0,0,X160/M160)</f>
        <v>0</v>
      </c>
      <c r="AB160" s="504"/>
    </row>
    <row r="161" spans="1:28" outlineLevel="1">
      <c r="A161" s="511" t="s">
        <v>414</v>
      </c>
      <c r="C161" s="629"/>
      <c r="D161" s="259">
        <f t="shared" si="20"/>
        <v>0</v>
      </c>
      <c r="E161" s="290"/>
      <c r="F161" s="482" t="s">
        <v>116</v>
      </c>
      <c r="G161" s="176" t="s">
        <v>416</v>
      </c>
      <c r="H161" s="167">
        <v>8</v>
      </c>
      <c r="I161" s="413">
        <v>38775</v>
      </c>
      <c r="J161" s="414">
        <v>0</v>
      </c>
      <c r="K161" s="415">
        <v>38775</v>
      </c>
      <c r="L161" s="416">
        <v>310200</v>
      </c>
      <c r="M161" s="259"/>
      <c r="O161" s="482" t="s">
        <v>855</v>
      </c>
      <c r="P161" s="176" t="str">
        <f>'LEVEL 3'!F174</f>
        <v>Stop</v>
      </c>
      <c r="Q161" s="167">
        <f>'LEVEL 3'!G174</f>
        <v>8</v>
      </c>
      <c r="R161" s="413">
        <f>'LEVEL 3'!H174</f>
        <v>38775</v>
      </c>
      <c r="S161" s="414">
        <f>'LEVEL 3'!I174</f>
        <v>0</v>
      </c>
      <c r="T161" s="415">
        <f>'LEVEL 3'!J174</f>
        <v>38775</v>
      </c>
      <c r="U161" s="416">
        <f>'LEVEL 3'!K174</f>
        <v>310200</v>
      </c>
      <c r="V161" s="259"/>
      <c r="X161" s="429">
        <f>U161-L161</f>
        <v>0</v>
      </c>
      <c r="Z161" s="432">
        <f>IF(L161=0,0,X161/L161)</f>
        <v>0</v>
      </c>
      <c r="AB161" s="504" t="s">
        <v>942</v>
      </c>
    </row>
    <row r="162" spans="1:28" outlineLevel="1">
      <c r="A162" s="512" t="s">
        <v>417</v>
      </c>
      <c r="C162" s="629"/>
      <c r="D162" s="259">
        <f t="shared" si="20"/>
        <v>0</v>
      </c>
      <c r="E162" s="290"/>
      <c r="F162" s="483" t="s">
        <v>110</v>
      </c>
      <c r="G162" s="164" t="s">
        <v>32</v>
      </c>
      <c r="H162" s="161">
        <v>2</v>
      </c>
      <c r="I162" s="185">
        <v>6500</v>
      </c>
      <c r="J162" s="216">
        <v>0</v>
      </c>
      <c r="K162" s="185">
        <v>6500</v>
      </c>
      <c r="L162" s="217">
        <v>13000</v>
      </c>
      <c r="M162" s="259"/>
      <c r="O162" s="483" t="s">
        <v>110</v>
      </c>
      <c r="P162" s="164" t="str">
        <f>'LEVEL 3'!F175</f>
        <v>Count</v>
      </c>
      <c r="Q162" s="161">
        <f>'LEVEL 3'!G175</f>
        <v>2</v>
      </c>
      <c r="R162" s="185">
        <f>'LEVEL 3'!H175</f>
        <v>6500</v>
      </c>
      <c r="S162" s="216">
        <f>'LEVEL 3'!I175</f>
        <v>0</v>
      </c>
      <c r="T162" s="185">
        <f>'LEVEL 3'!J175</f>
        <v>6500</v>
      </c>
      <c r="U162" s="217">
        <f>'LEVEL 3'!K175</f>
        <v>13000</v>
      </c>
      <c r="V162" s="259"/>
      <c r="X162" s="429"/>
      <c r="Z162" s="432">
        <f>IF(L162=0,0,X162/L162)</f>
        <v>0</v>
      </c>
      <c r="AB162" s="504"/>
    </row>
    <row r="163" spans="1:28">
      <c r="A163" s="509" t="s">
        <v>412</v>
      </c>
      <c r="C163" s="491">
        <v>337550.8</v>
      </c>
      <c r="D163" s="628">
        <f t="shared" si="20"/>
        <v>-14350.799999999988</v>
      </c>
      <c r="E163" s="290"/>
      <c r="F163" s="479"/>
      <c r="G163" s="305"/>
      <c r="H163" s="306"/>
      <c r="I163" s="307"/>
      <c r="J163" s="308"/>
      <c r="K163" s="307"/>
      <c r="L163" s="421"/>
      <c r="M163" s="480">
        <f>SUM(L161:L162)</f>
        <v>323200</v>
      </c>
      <c r="O163" s="479"/>
      <c r="P163" s="305"/>
      <c r="Q163" s="306"/>
      <c r="R163" s="307"/>
      <c r="S163" s="308"/>
      <c r="T163" s="307"/>
      <c r="U163" s="421"/>
      <c r="V163" s="480">
        <f>'LEVEL 3'!L173</f>
        <v>323200</v>
      </c>
      <c r="X163" s="491">
        <f>V163-M163</f>
        <v>0</v>
      </c>
      <c r="Z163" s="497">
        <f>IF(M163=0,0,X163/M163)</f>
        <v>0</v>
      </c>
      <c r="AB163" s="504" t="s">
        <v>942</v>
      </c>
    </row>
    <row r="164" spans="1:28" outlineLevel="1">
      <c r="A164" s="511" t="s">
        <v>421</v>
      </c>
      <c r="C164" s="629"/>
      <c r="D164" s="259">
        <f t="shared" si="20"/>
        <v>0</v>
      </c>
      <c r="E164" s="290"/>
      <c r="F164" s="482" t="s">
        <v>110</v>
      </c>
      <c r="G164" s="176" t="s">
        <v>121</v>
      </c>
      <c r="H164" s="167">
        <v>1</v>
      </c>
      <c r="I164" s="413">
        <v>10000</v>
      </c>
      <c r="J164" s="414">
        <v>0</v>
      </c>
      <c r="K164" s="415">
        <v>10000</v>
      </c>
      <c r="L164" s="416">
        <v>10000</v>
      </c>
      <c r="M164" s="259"/>
      <c r="O164" s="482" t="s">
        <v>110</v>
      </c>
      <c r="P164" s="176" t="str">
        <f>'LEVEL 3'!F177</f>
        <v>LS</v>
      </c>
      <c r="Q164" s="167">
        <f>'LEVEL 3'!G177</f>
        <v>1</v>
      </c>
      <c r="R164" s="413">
        <f>'LEVEL 3'!H177</f>
        <v>10000</v>
      </c>
      <c r="S164" s="414">
        <f>'LEVEL 3'!I177</f>
        <v>0</v>
      </c>
      <c r="T164" s="415">
        <f>'LEVEL 3'!J177</f>
        <v>10000</v>
      </c>
      <c r="U164" s="416">
        <f>'LEVEL 3'!K177</f>
        <v>10000</v>
      </c>
      <c r="V164" s="259"/>
      <c r="X164" s="429">
        <f>U164-L164</f>
        <v>0</v>
      </c>
      <c r="Z164" s="432">
        <f>IF(L164=0,0,X164/L164)</f>
        <v>0</v>
      </c>
      <c r="AB164" s="504"/>
    </row>
    <row r="165" spans="1:28" outlineLevel="1">
      <c r="A165" s="512" t="s">
        <v>423</v>
      </c>
      <c r="C165" s="629"/>
      <c r="D165" s="259">
        <f t="shared" si="20"/>
        <v>0</v>
      </c>
      <c r="E165" s="290"/>
      <c r="F165" s="483" t="s">
        <v>116</v>
      </c>
      <c r="G165" s="164" t="s">
        <v>15</v>
      </c>
      <c r="H165" s="161">
        <v>196289</v>
      </c>
      <c r="I165" s="185">
        <v>2.4500000000000002</v>
      </c>
      <c r="J165" s="216">
        <v>0</v>
      </c>
      <c r="K165" s="185">
        <v>2.4500000000000002</v>
      </c>
      <c r="L165" s="217">
        <v>480908.05000000005</v>
      </c>
      <c r="M165" s="259"/>
      <c r="O165" s="483" t="s">
        <v>116</v>
      </c>
      <c r="P165" s="164" t="str">
        <f>'LEVEL 3'!F178</f>
        <v>SF</v>
      </c>
      <c r="Q165" s="161">
        <f>'LEVEL 3'!G178</f>
        <v>196289</v>
      </c>
      <c r="R165" s="185">
        <f>'LEVEL 3'!H178</f>
        <v>2.4500000000000002</v>
      </c>
      <c r="S165" s="216">
        <f>'LEVEL 3'!I178</f>
        <v>0</v>
      </c>
      <c r="T165" s="185">
        <f>'LEVEL 3'!J178</f>
        <v>2.4500000000000002</v>
      </c>
      <c r="U165" s="217">
        <f>'LEVEL 3'!K178</f>
        <v>480908.05000000005</v>
      </c>
      <c r="V165" s="259"/>
      <c r="X165" s="429">
        <f>U165-L165</f>
        <v>0</v>
      </c>
      <c r="Z165" s="432">
        <f>IF(L165=0,0,X165/L165)</f>
        <v>0</v>
      </c>
      <c r="AB165" s="504"/>
    </row>
    <row r="166" spans="1:28" outlineLevel="1">
      <c r="A166" s="512" t="s">
        <v>425</v>
      </c>
      <c r="C166" s="629"/>
      <c r="D166" s="259">
        <f t="shared" si="20"/>
        <v>0</v>
      </c>
      <c r="E166" s="290"/>
      <c r="F166" s="483" t="s">
        <v>116</v>
      </c>
      <c r="G166" s="164" t="s">
        <v>32</v>
      </c>
      <c r="H166" s="161">
        <v>1</v>
      </c>
      <c r="I166" s="185">
        <v>133000</v>
      </c>
      <c r="J166" s="216">
        <v>0</v>
      </c>
      <c r="K166" s="185">
        <v>133000</v>
      </c>
      <c r="L166" s="217">
        <v>133000</v>
      </c>
      <c r="M166" s="259"/>
      <c r="O166" s="483" t="s">
        <v>116</v>
      </c>
      <c r="P166" s="164" t="str">
        <f>'LEVEL 3'!F179</f>
        <v>Count</v>
      </c>
      <c r="Q166" s="161">
        <f>'LEVEL 3'!G179</f>
        <v>1</v>
      </c>
      <c r="R166" s="185">
        <f>'LEVEL 3'!H179</f>
        <v>133000</v>
      </c>
      <c r="S166" s="216">
        <f>'LEVEL 3'!I179</f>
        <v>0</v>
      </c>
      <c r="T166" s="185">
        <f>'LEVEL 3'!J179</f>
        <v>133000</v>
      </c>
      <c r="U166" s="217">
        <f>'LEVEL 3'!K179</f>
        <v>133000</v>
      </c>
      <c r="V166" s="259"/>
      <c r="X166" s="429">
        <f>U166-L166</f>
        <v>0</v>
      </c>
      <c r="Z166" s="432">
        <f>IF(L166=0,0,X166/L166)</f>
        <v>0</v>
      </c>
      <c r="AB166" s="504"/>
    </row>
    <row r="167" spans="1:28">
      <c r="A167" s="509" t="s">
        <v>419</v>
      </c>
      <c r="C167" s="491">
        <v>625795.83000000007</v>
      </c>
      <c r="D167" s="628">
        <f t="shared" si="20"/>
        <v>-1887.7800000000279</v>
      </c>
      <c r="E167" s="290"/>
      <c r="F167" s="479"/>
      <c r="G167" s="305"/>
      <c r="H167" s="306"/>
      <c r="I167" s="307"/>
      <c r="J167" s="308"/>
      <c r="K167" s="307"/>
      <c r="L167" s="421"/>
      <c r="M167" s="480">
        <f>SUM(L164:L166)</f>
        <v>623908.05000000005</v>
      </c>
      <c r="O167" s="479"/>
      <c r="P167" s="305"/>
      <c r="Q167" s="306"/>
      <c r="R167" s="307"/>
      <c r="S167" s="308"/>
      <c r="T167" s="307"/>
      <c r="U167" s="421"/>
      <c r="V167" s="480">
        <f>'LEVEL 3'!L176</f>
        <v>623908.05000000005</v>
      </c>
      <c r="X167" s="491">
        <f>V167-M167</f>
        <v>0</v>
      </c>
      <c r="Z167" s="497">
        <f>IF(M167=0,0,X167/M167)</f>
        <v>0</v>
      </c>
      <c r="AB167" s="504"/>
    </row>
    <row r="168" spans="1:28" outlineLevel="1">
      <c r="A168" s="511" t="s">
        <v>429</v>
      </c>
      <c r="C168" s="629"/>
      <c r="D168" s="259">
        <f t="shared" si="20"/>
        <v>0</v>
      </c>
      <c r="E168" s="290"/>
      <c r="F168" s="482" t="s">
        <v>116</v>
      </c>
      <c r="G168" s="176" t="s">
        <v>32</v>
      </c>
      <c r="H168" s="167">
        <v>194</v>
      </c>
      <c r="I168" s="413">
        <v>10526.315789473685</v>
      </c>
      <c r="J168" s="414">
        <v>0</v>
      </c>
      <c r="K168" s="415">
        <v>10526.315789473685</v>
      </c>
      <c r="L168" s="416">
        <v>2042105.2631578948</v>
      </c>
      <c r="M168" s="259"/>
      <c r="O168" s="482" t="s">
        <v>855</v>
      </c>
      <c r="P168" s="176" t="str">
        <f>'LEVEL 3'!F181</f>
        <v>Unit</v>
      </c>
      <c r="Q168" s="167">
        <f>'LEVEL 3'!G181</f>
        <v>194</v>
      </c>
      <c r="R168" s="413">
        <f>'LEVEL 3'!H181</f>
        <v>10521.161150298427</v>
      </c>
      <c r="S168" s="414">
        <f>'LEVEL 3'!I181</f>
        <v>0</v>
      </c>
      <c r="T168" s="415">
        <f>'LEVEL 3'!J181</f>
        <v>10521.161150298427</v>
      </c>
      <c r="U168" s="416">
        <f>'LEVEL 3'!K181</f>
        <v>2041105.2631578948</v>
      </c>
      <c r="V168" s="259"/>
      <c r="X168" s="429">
        <f>U168-L168</f>
        <v>-1000</v>
      </c>
      <c r="Z168" s="432">
        <f>IF(L168=0,0,X168/L168)</f>
        <v>-4.8969072164948451E-4</v>
      </c>
      <c r="AB168" s="504" t="s">
        <v>869</v>
      </c>
    </row>
    <row r="169" spans="1:28" outlineLevel="1">
      <c r="A169" s="512" t="s">
        <v>431</v>
      </c>
      <c r="C169" s="629"/>
      <c r="D169" s="259">
        <f t="shared" si="20"/>
        <v>0</v>
      </c>
      <c r="E169" s="290"/>
      <c r="F169" s="482" t="s">
        <v>118</v>
      </c>
      <c r="G169" s="164">
        <v>0</v>
      </c>
      <c r="H169" s="161">
        <v>0</v>
      </c>
      <c r="I169" s="185">
        <v>0</v>
      </c>
      <c r="J169" s="216">
        <v>0</v>
      </c>
      <c r="K169" s="185">
        <v>0</v>
      </c>
      <c r="L169" s="217">
        <v>0</v>
      </c>
      <c r="M169" s="259"/>
      <c r="O169" s="482" t="s">
        <v>118</v>
      </c>
      <c r="P169" s="164">
        <f>'LEVEL 3'!F182</f>
        <v>0</v>
      </c>
      <c r="Q169" s="161">
        <f>'LEVEL 3'!G182</f>
        <v>0</v>
      </c>
      <c r="R169" s="185">
        <f>'LEVEL 3'!H182</f>
        <v>0</v>
      </c>
      <c r="S169" s="216">
        <f>'LEVEL 3'!I182</f>
        <v>0</v>
      </c>
      <c r="T169" s="185">
        <f>'LEVEL 3'!J182</f>
        <v>0</v>
      </c>
      <c r="U169" s="217">
        <f>'LEVEL 3'!K182</f>
        <v>0</v>
      </c>
      <c r="V169" s="259"/>
      <c r="X169" s="429">
        <f>U169-L169</f>
        <v>0</v>
      </c>
      <c r="Z169" s="432">
        <f>IF(L169=0,0,X169/L169)</f>
        <v>0</v>
      </c>
      <c r="AB169" s="504"/>
    </row>
    <row r="170" spans="1:28" outlineLevel="1">
      <c r="A170" s="512" t="s">
        <v>870</v>
      </c>
      <c r="C170" s="629"/>
      <c r="D170" s="259">
        <f t="shared" si="20"/>
        <v>0</v>
      </c>
      <c r="E170" s="290"/>
      <c r="F170" s="482"/>
      <c r="G170" s="164"/>
      <c r="H170" s="161"/>
      <c r="I170" s="185"/>
      <c r="J170" s="216"/>
      <c r="K170" s="185"/>
      <c r="L170" s="217"/>
      <c r="M170" s="259"/>
      <c r="O170" s="482" t="s">
        <v>118</v>
      </c>
      <c r="P170" s="164" t="str">
        <f>'LEVEL 3'!F183</f>
        <v>LS</v>
      </c>
      <c r="Q170" s="161">
        <f>'LEVEL 3'!G183</f>
        <v>1</v>
      </c>
      <c r="R170" s="185">
        <f>'LEVEL 3'!H183</f>
        <v>1000</v>
      </c>
      <c r="S170" s="216">
        <f>'LEVEL 3'!I183</f>
        <v>0</v>
      </c>
      <c r="T170" s="185">
        <f>'LEVEL 3'!J183</f>
        <v>1000</v>
      </c>
      <c r="U170" s="217">
        <f>'LEVEL 3'!K183</f>
        <v>1000</v>
      </c>
      <c r="V170" s="259"/>
      <c r="X170" s="429"/>
      <c r="Z170" s="432"/>
      <c r="AB170" s="504"/>
    </row>
    <row r="171" spans="1:28" outlineLevel="1">
      <c r="A171" s="512" t="s">
        <v>432</v>
      </c>
      <c r="C171" s="629"/>
      <c r="D171" s="259">
        <f t="shared" si="20"/>
        <v>0</v>
      </c>
      <c r="E171" s="290"/>
      <c r="F171" s="483" t="s">
        <v>118</v>
      </c>
      <c r="G171" s="164">
        <v>0</v>
      </c>
      <c r="H171" s="161">
        <v>0</v>
      </c>
      <c r="I171" s="185">
        <v>0</v>
      </c>
      <c r="J171" s="216">
        <v>0</v>
      </c>
      <c r="K171" s="185">
        <v>0</v>
      </c>
      <c r="L171" s="217">
        <v>0</v>
      </c>
      <c r="M171" s="259"/>
      <c r="O171" s="483" t="s">
        <v>118</v>
      </c>
      <c r="P171" s="164">
        <f>'LEVEL 3'!F184</f>
        <v>0</v>
      </c>
      <c r="Q171" s="161">
        <f>'LEVEL 3'!G184</f>
        <v>0</v>
      </c>
      <c r="R171" s="185">
        <f>'LEVEL 3'!H184</f>
        <v>0</v>
      </c>
      <c r="S171" s="216">
        <f>'LEVEL 3'!I184</f>
        <v>0</v>
      </c>
      <c r="T171" s="185">
        <f>'LEVEL 3'!J184</f>
        <v>0</v>
      </c>
      <c r="U171" s="217">
        <f>'LEVEL 3'!K184</f>
        <v>0</v>
      </c>
      <c r="V171" s="259"/>
      <c r="X171" s="429">
        <f>U171-L171</f>
        <v>0</v>
      </c>
      <c r="Z171" s="432">
        <f>IF(L171=0,0,X171/L171)</f>
        <v>0</v>
      </c>
      <c r="AB171" s="504"/>
    </row>
    <row r="172" spans="1:28" outlineLevel="1">
      <c r="A172" s="512" t="s">
        <v>433</v>
      </c>
      <c r="C172" s="629"/>
      <c r="D172" s="259">
        <f t="shared" si="20"/>
        <v>0</v>
      </c>
      <c r="E172" s="290"/>
      <c r="F172" s="483" t="s">
        <v>116</v>
      </c>
      <c r="G172" s="164" t="s">
        <v>121</v>
      </c>
      <c r="H172" s="161">
        <v>1</v>
      </c>
      <c r="I172" s="185">
        <v>24612</v>
      </c>
      <c r="J172" s="216">
        <v>0</v>
      </c>
      <c r="K172" s="185">
        <v>24612</v>
      </c>
      <c r="L172" s="217">
        <v>24612</v>
      </c>
      <c r="M172" s="259"/>
      <c r="O172" s="483" t="s">
        <v>116</v>
      </c>
      <c r="P172" s="164" t="str">
        <f>'LEVEL 3'!F185</f>
        <v>LS</v>
      </c>
      <c r="Q172" s="161">
        <f>'LEVEL 3'!G185</f>
        <v>1</v>
      </c>
      <c r="R172" s="185">
        <f>'LEVEL 3'!H185</f>
        <v>24612</v>
      </c>
      <c r="S172" s="216">
        <f>'LEVEL 3'!I185</f>
        <v>0</v>
      </c>
      <c r="T172" s="185">
        <f>'LEVEL 3'!J185</f>
        <v>24612</v>
      </c>
      <c r="U172" s="217">
        <f>'LEVEL 3'!K185</f>
        <v>24612</v>
      </c>
      <c r="V172" s="259"/>
      <c r="X172" s="429">
        <f>U172-L172</f>
        <v>0</v>
      </c>
      <c r="Z172" s="432">
        <f>IF(L172=0,0,X172/L172)</f>
        <v>0</v>
      </c>
      <c r="AB172" s="504"/>
    </row>
    <row r="173" spans="1:28" outlineLevel="1">
      <c r="A173" s="512" t="s">
        <v>435</v>
      </c>
      <c r="C173" s="629"/>
      <c r="D173" s="259">
        <f t="shared" si="20"/>
        <v>0</v>
      </c>
      <c r="E173" s="290"/>
      <c r="F173" s="483" t="s">
        <v>110</v>
      </c>
      <c r="G173" s="164" t="s">
        <v>121</v>
      </c>
      <c r="H173" s="161">
        <v>1</v>
      </c>
      <c r="I173" s="185">
        <v>6000</v>
      </c>
      <c r="J173" s="216">
        <v>0</v>
      </c>
      <c r="K173" s="185">
        <v>6000</v>
      </c>
      <c r="L173" s="217">
        <v>6000</v>
      </c>
      <c r="M173" s="259"/>
      <c r="O173" s="483" t="s">
        <v>110</v>
      </c>
      <c r="P173" s="164" t="str">
        <f>'LEVEL 3'!F186</f>
        <v>LS</v>
      </c>
      <c r="Q173" s="161">
        <f>'LEVEL 3'!G186</f>
        <v>1</v>
      </c>
      <c r="R173" s="185">
        <f>'LEVEL 3'!H186</f>
        <v>6000</v>
      </c>
      <c r="S173" s="216">
        <f>'LEVEL 3'!I186</f>
        <v>0</v>
      </c>
      <c r="T173" s="185">
        <f>'LEVEL 3'!J186</f>
        <v>6000</v>
      </c>
      <c r="U173" s="217">
        <f>'LEVEL 3'!K186</f>
        <v>6000</v>
      </c>
      <c r="V173" s="259"/>
      <c r="X173" s="429">
        <f>U173-L173</f>
        <v>0</v>
      </c>
      <c r="Z173" s="432">
        <f>IF(L173=0,0,X173/L173)</f>
        <v>0</v>
      </c>
      <c r="AB173" s="504"/>
    </row>
    <row r="174" spans="1:28">
      <c r="A174" s="509" t="s">
        <v>427</v>
      </c>
      <c r="C174" s="491">
        <v>2174758.2000000002</v>
      </c>
      <c r="D174" s="628">
        <f t="shared" si="20"/>
        <v>-102040.93684210535</v>
      </c>
      <c r="E174" s="290"/>
      <c r="F174" s="479"/>
      <c r="G174" s="305"/>
      <c r="H174" s="306"/>
      <c r="I174" s="307"/>
      <c r="J174" s="308"/>
      <c r="K174" s="307"/>
      <c r="L174" s="421"/>
      <c r="M174" s="480">
        <f>SUM(L168:L173)</f>
        <v>2072717.2631578948</v>
      </c>
      <c r="O174" s="479"/>
      <c r="P174" s="305"/>
      <c r="Q174" s="306"/>
      <c r="R174" s="307"/>
      <c r="S174" s="308"/>
      <c r="T174" s="307"/>
      <c r="U174" s="421"/>
      <c r="V174" s="480">
        <f>'LEVEL 3'!L180</f>
        <v>2072717.2631578948</v>
      </c>
      <c r="X174" s="491">
        <f>V174-M174</f>
        <v>0</v>
      </c>
      <c r="Z174" s="497">
        <f>IF(M174=0,0,X174/M174)</f>
        <v>0</v>
      </c>
      <c r="AB174" s="504"/>
    </row>
    <row r="175" spans="1:28" outlineLevel="1">
      <c r="A175" s="512" t="s">
        <v>439</v>
      </c>
      <c r="C175" s="629"/>
      <c r="D175" s="259">
        <f t="shared" si="20"/>
        <v>0</v>
      </c>
      <c r="E175" s="290"/>
      <c r="F175" s="483" t="s">
        <v>116</v>
      </c>
      <c r="G175" s="164" t="s">
        <v>10</v>
      </c>
      <c r="H175" s="161">
        <v>194</v>
      </c>
      <c r="I175" s="185">
        <v>9739</v>
      </c>
      <c r="J175" s="216">
        <v>0.1</v>
      </c>
      <c r="K175" s="185">
        <v>10712.900000000001</v>
      </c>
      <c r="L175" s="217">
        <v>2078302.6000000003</v>
      </c>
      <c r="M175" s="259"/>
      <c r="O175" s="483" t="s">
        <v>116</v>
      </c>
      <c r="P175" s="164" t="str">
        <f>'LEVEL 3'!F188</f>
        <v>Unit</v>
      </c>
      <c r="Q175" s="161">
        <f>'LEVEL 3'!G188</f>
        <v>194</v>
      </c>
      <c r="R175" s="185">
        <f>'LEVEL 3'!H188</f>
        <v>9661.6804123711336</v>
      </c>
      <c r="S175" s="216">
        <f>'LEVEL 3'!I188</f>
        <v>0.1</v>
      </c>
      <c r="T175" s="185">
        <f>'LEVEL 3'!J188</f>
        <v>10627.848453608247</v>
      </c>
      <c r="U175" s="217">
        <f>'LEVEL 3'!K188</f>
        <v>2061802.5999999999</v>
      </c>
      <c r="V175" s="259"/>
      <c r="X175" s="429">
        <f>U175-L175</f>
        <v>-16500.000000000466</v>
      </c>
      <c r="Z175" s="432">
        <f>IF(L175=0,0,X175/L175)</f>
        <v>-7.9391711293631938E-3</v>
      </c>
      <c r="AB175" s="504"/>
    </row>
    <row r="176" spans="1:28" outlineLevel="1">
      <c r="A176" s="512" t="s">
        <v>872</v>
      </c>
      <c r="C176" s="629"/>
      <c r="D176" s="259">
        <f t="shared" si="20"/>
        <v>0</v>
      </c>
      <c r="E176" s="290"/>
      <c r="F176" s="483"/>
      <c r="G176" s="164"/>
      <c r="H176" s="161"/>
      <c r="I176" s="185"/>
      <c r="J176" s="216"/>
      <c r="K176" s="185"/>
      <c r="L176" s="217"/>
      <c r="M176" s="259"/>
      <c r="O176" s="483" t="s">
        <v>116</v>
      </c>
      <c r="P176" s="164" t="str">
        <f>'LEVEL 3'!F189</f>
        <v>LS</v>
      </c>
      <c r="Q176" s="161">
        <f>'LEVEL 3'!G189</f>
        <v>1</v>
      </c>
      <c r="R176" s="185">
        <f>'LEVEL 3'!H189</f>
        <v>15000</v>
      </c>
      <c r="S176" s="216">
        <f>'LEVEL 3'!I189</f>
        <v>0.1</v>
      </c>
      <c r="T176" s="185">
        <f>'LEVEL 3'!J189</f>
        <v>16500</v>
      </c>
      <c r="U176" s="217">
        <f>'LEVEL 3'!K189</f>
        <v>16500</v>
      </c>
      <c r="V176" s="259"/>
      <c r="X176" s="429">
        <f>U176-L176</f>
        <v>16500</v>
      </c>
      <c r="Z176" s="432">
        <f>IF(L176=0,0,X176/L176)</f>
        <v>0</v>
      </c>
      <c r="AB176" s="504" t="s">
        <v>943</v>
      </c>
    </row>
    <row r="177" spans="1:28">
      <c r="A177" s="509" t="s">
        <v>437</v>
      </c>
      <c r="C177" s="491">
        <v>2078302.6000000003</v>
      </c>
      <c r="D177" s="628">
        <f t="shared" si="20"/>
        <v>0</v>
      </c>
      <c r="E177" s="290"/>
      <c r="F177" s="479"/>
      <c r="G177" s="305"/>
      <c r="H177" s="306"/>
      <c r="I177" s="307"/>
      <c r="J177" s="308"/>
      <c r="K177" s="307"/>
      <c r="L177" s="421"/>
      <c r="M177" s="480">
        <f>SUM(L175:L176)</f>
        <v>2078302.6000000003</v>
      </c>
      <c r="O177" s="479"/>
      <c r="P177" s="305"/>
      <c r="Q177" s="306"/>
      <c r="R177" s="307"/>
      <c r="S177" s="308"/>
      <c r="T177" s="307"/>
      <c r="U177" s="421"/>
      <c r="V177" s="480">
        <f>'LEVEL 3'!L187</f>
        <v>2078302.5999999999</v>
      </c>
      <c r="X177" s="491">
        <f>V177-M177</f>
        <v>0</v>
      </c>
      <c r="Z177" s="497">
        <f>IF(M177=0,0,X177/M177)</f>
        <v>0</v>
      </c>
      <c r="AB177" s="504"/>
    </row>
    <row r="178" spans="1:28" outlineLevel="1">
      <c r="A178" s="511" t="s">
        <v>444</v>
      </c>
      <c r="C178" s="629"/>
      <c r="D178" s="259">
        <f t="shared" si="20"/>
        <v>0</v>
      </c>
      <c r="E178" s="290"/>
      <c r="F178" s="482" t="s">
        <v>116</v>
      </c>
      <c r="G178" s="176" t="s">
        <v>446</v>
      </c>
      <c r="H178" s="167">
        <v>196289</v>
      </c>
      <c r="I178" s="413">
        <v>9.2699536607970341</v>
      </c>
      <c r="J178" s="414">
        <v>0.05</v>
      </c>
      <c r="K178" s="415">
        <v>9.7334513438368866</v>
      </c>
      <c r="L178" s="416">
        <v>1910569.4308303986</v>
      </c>
      <c r="M178" s="259"/>
      <c r="O178" s="482" t="s">
        <v>116</v>
      </c>
      <c r="P178" s="176" t="str">
        <f>'LEVEL 3'!F191</f>
        <v>SqFt</v>
      </c>
      <c r="Q178" s="167">
        <f>'LEVEL 3'!G191</f>
        <v>196289</v>
      </c>
      <c r="R178" s="413">
        <f>'LEVEL 3'!H191</f>
        <v>9.2699536607970341</v>
      </c>
      <c r="S178" s="414">
        <f>'LEVEL 3'!I191</f>
        <v>0.05</v>
      </c>
      <c r="T178" s="415">
        <f>'LEVEL 3'!J191</f>
        <v>9.7334513438368866</v>
      </c>
      <c r="U178" s="416">
        <f>'LEVEL 3'!K191</f>
        <v>1910569.4308303986</v>
      </c>
      <c r="V178" s="259"/>
      <c r="X178" s="429">
        <f t="shared" ref="X178:X193" si="21">U178-L178</f>
        <v>0</v>
      </c>
      <c r="Z178" s="432">
        <f t="shared" ref="Z178:Z193" si="22">IF(L178=0,0,X178/L178)</f>
        <v>0</v>
      </c>
      <c r="AB178" s="504"/>
    </row>
    <row r="179" spans="1:28" outlineLevel="1">
      <c r="A179" s="512" t="s">
        <v>447</v>
      </c>
      <c r="C179" s="629"/>
      <c r="D179" s="259">
        <f t="shared" si="20"/>
        <v>0</v>
      </c>
      <c r="E179" s="290"/>
      <c r="F179" s="483" t="s">
        <v>195</v>
      </c>
      <c r="G179" s="164" t="s">
        <v>10</v>
      </c>
      <c r="H179" s="161">
        <v>194</v>
      </c>
      <c r="I179" s="185">
        <v>594</v>
      </c>
      <c r="J179" s="216">
        <v>0</v>
      </c>
      <c r="K179" s="185">
        <v>594</v>
      </c>
      <c r="L179" s="217">
        <v>115236</v>
      </c>
      <c r="M179" s="259"/>
      <c r="O179" s="483" t="s">
        <v>195</v>
      </c>
      <c r="P179" s="164" t="str">
        <f>'LEVEL 3'!F192</f>
        <v>Unit</v>
      </c>
      <c r="Q179" s="161">
        <f>'LEVEL 3'!G192</f>
        <v>194</v>
      </c>
      <c r="R179" s="185">
        <f>'LEVEL 3'!H192</f>
        <v>594</v>
      </c>
      <c r="S179" s="216">
        <f>'LEVEL 3'!I192</f>
        <v>0</v>
      </c>
      <c r="T179" s="185">
        <f>'LEVEL 3'!J192</f>
        <v>594</v>
      </c>
      <c r="U179" s="217">
        <f>'LEVEL 3'!K192</f>
        <v>115236</v>
      </c>
      <c r="V179" s="259"/>
      <c r="X179" s="429">
        <f t="shared" si="21"/>
        <v>0</v>
      </c>
      <c r="Z179" s="432">
        <f t="shared" si="22"/>
        <v>0</v>
      </c>
      <c r="AB179" s="504"/>
    </row>
    <row r="180" spans="1:28" outlineLevel="1">
      <c r="A180" s="512" t="s">
        <v>449</v>
      </c>
      <c r="C180" s="629"/>
      <c r="D180" s="259">
        <f t="shared" si="20"/>
        <v>0</v>
      </c>
      <c r="E180" s="290"/>
      <c r="F180" s="483" t="s">
        <v>127</v>
      </c>
      <c r="G180" s="164" t="s">
        <v>10</v>
      </c>
      <c r="H180" s="161">
        <v>194</v>
      </c>
      <c r="I180" s="185">
        <v>119</v>
      </c>
      <c r="J180" s="216">
        <v>0</v>
      </c>
      <c r="K180" s="185">
        <v>119</v>
      </c>
      <c r="L180" s="217">
        <v>23086</v>
      </c>
      <c r="M180" s="259"/>
      <c r="O180" s="483" t="s">
        <v>127</v>
      </c>
      <c r="P180" s="164" t="str">
        <f>'LEVEL 3'!F193</f>
        <v>Unit</v>
      </c>
      <c r="Q180" s="161">
        <f>'LEVEL 3'!G193</f>
        <v>194</v>
      </c>
      <c r="R180" s="185">
        <f>'LEVEL 3'!H193</f>
        <v>119</v>
      </c>
      <c r="S180" s="216">
        <f>'LEVEL 3'!I193</f>
        <v>0</v>
      </c>
      <c r="T180" s="185">
        <f>'LEVEL 3'!J193</f>
        <v>119</v>
      </c>
      <c r="U180" s="217">
        <f>'LEVEL 3'!K193</f>
        <v>23086</v>
      </c>
      <c r="V180" s="259"/>
      <c r="X180" s="429">
        <f t="shared" si="21"/>
        <v>0</v>
      </c>
      <c r="Z180" s="432">
        <f t="shared" si="22"/>
        <v>0</v>
      </c>
      <c r="AB180" s="504"/>
    </row>
    <row r="181" spans="1:28" outlineLevel="1">
      <c r="A181" s="512" t="s">
        <v>451</v>
      </c>
      <c r="C181" s="629"/>
      <c r="D181" s="259">
        <f t="shared" si="20"/>
        <v>0</v>
      </c>
      <c r="E181" s="290"/>
      <c r="F181" s="483" t="s">
        <v>127</v>
      </c>
      <c r="G181" s="164" t="s">
        <v>10</v>
      </c>
      <c r="H181" s="161">
        <v>194</v>
      </c>
      <c r="I181" s="185">
        <v>112</v>
      </c>
      <c r="J181" s="216">
        <v>0</v>
      </c>
      <c r="K181" s="185">
        <v>112</v>
      </c>
      <c r="L181" s="217">
        <v>21728</v>
      </c>
      <c r="M181" s="259"/>
      <c r="O181" s="483" t="s">
        <v>127</v>
      </c>
      <c r="P181" s="164" t="str">
        <f>'LEVEL 3'!F194</f>
        <v>Unit</v>
      </c>
      <c r="Q181" s="161">
        <f>'LEVEL 3'!G194</f>
        <v>194</v>
      </c>
      <c r="R181" s="185">
        <f>'LEVEL 3'!H194</f>
        <v>112</v>
      </c>
      <c r="S181" s="216">
        <f>'LEVEL 3'!I194</f>
        <v>0</v>
      </c>
      <c r="T181" s="185">
        <f>'LEVEL 3'!J194</f>
        <v>112</v>
      </c>
      <c r="U181" s="217">
        <f>'LEVEL 3'!K194</f>
        <v>21728</v>
      </c>
      <c r="V181" s="259"/>
      <c r="X181" s="429">
        <f t="shared" si="21"/>
        <v>0</v>
      </c>
      <c r="Z181" s="432">
        <f t="shared" si="22"/>
        <v>0</v>
      </c>
      <c r="AB181" s="504"/>
    </row>
    <row r="182" spans="1:28" outlineLevel="1">
      <c r="A182" s="512" t="s">
        <v>453</v>
      </c>
      <c r="C182" s="629"/>
      <c r="D182" s="259">
        <f t="shared" si="20"/>
        <v>0</v>
      </c>
      <c r="E182" s="290"/>
      <c r="F182" s="483" t="s">
        <v>127</v>
      </c>
      <c r="G182" s="164" t="s">
        <v>454</v>
      </c>
      <c r="H182" s="161">
        <v>127</v>
      </c>
      <c r="I182" s="185">
        <v>138</v>
      </c>
      <c r="J182" s="216">
        <v>0</v>
      </c>
      <c r="K182" s="185">
        <v>138</v>
      </c>
      <c r="L182" s="217">
        <v>17526</v>
      </c>
      <c r="M182" s="259"/>
      <c r="O182" s="483" t="s">
        <v>127</v>
      </c>
      <c r="P182" s="164" t="str">
        <f>'LEVEL 3'!F195</f>
        <v>Space</v>
      </c>
      <c r="Q182" s="161">
        <f>'LEVEL 3'!G195</f>
        <v>127</v>
      </c>
      <c r="R182" s="185">
        <f>'LEVEL 3'!H195</f>
        <v>138</v>
      </c>
      <c r="S182" s="216">
        <f>'LEVEL 3'!I195</f>
        <v>0</v>
      </c>
      <c r="T182" s="185">
        <f>'LEVEL 3'!J195</f>
        <v>138</v>
      </c>
      <c r="U182" s="217">
        <f>'LEVEL 3'!K195</f>
        <v>17526</v>
      </c>
      <c r="V182" s="259"/>
      <c r="X182" s="429">
        <f t="shared" si="21"/>
        <v>0</v>
      </c>
      <c r="Z182" s="432">
        <f t="shared" si="22"/>
        <v>0</v>
      </c>
      <c r="AB182" s="504"/>
    </row>
    <row r="183" spans="1:28" outlineLevel="1">
      <c r="A183" s="512" t="s">
        <v>455</v>
      </c>
      <c r="C183" s="629"/>
      <c r="D183" s="259">
        <f t="shared" si="20"/>
        <v>0</v>
      </c>
      <c r="E183" s="290"/>
      <c r="F183" s="483" t="s">
        <v>127</v>
      </c>
      <c r="G183" s="164" t="s">
        <v>454</v>
      </c>
      <c r="H183" s="161">
        <v>130</v>
      </c>
      <c r="I183" s="185">
        <v>24</v>
      </c>
      <c r="J183" s="216">
        <v>0</v>
      </c>
      <c r="K183" s="185">
        <v>24</v>
      </c>
      <c r="L183" s="217">
        <v>3120</v>
      </c>
      <c r="M183" s="259"/>
      <c r="O183" s="483" t="s">
        <v>127</v>
      </c>
      <c r="P183" s="164" t="str">
        <f>'LEVEL 3'!F196</f>
        <v>Space</v>
      </c>
      <c r="Q183" s="161">
        <f>'LEVEL 3'!G196</f>
        <v>130</v>
      </c>
      <c r="R183" s="185">
        <f>'LEVEL 3'!H196</f>
        <v>24</v>
      </c>
      <c r="S183" s="216">
        <f>'LEVEL 3'!I196</f>
        <v>0</v>
      </c>
      <c r="T183" s="185">
        <f>'LEVEL 3'!J196</f>
        <v>24</v>
      </c>
      <c r="U183" s="217">
        <f>'LEVEL 3'!K196</f>
        <v>3120</v>
      </c>
      <c r="V183" s="259"/>
      <c r="X183" s="429">
        <f t="shared" si="21"/>
        <v>0</v>
      </c>
      <c r="Z183" s="432">
        <f t="shared" si="22"/>
        <v>0</v>
      </c>
      <c r="AB183" s="504"/>
    </row>
    <row r="184" spans="1:28" outlineLevel="1">
      <c r="A184" s="512" t="s">
        <v>456</v>
      </c>
      <c r="C184" s="629"/>
      <c r="D184" s="259">
        <f t="shared" si="20"/>
        <v>0</v>
      </c>
      <c r="E184" s="290"/>
      <c r="F184" s="483" t="s">
        <v>118</v>
      </c>
      <c r="G184" s="164"/>
      <c r="H184" s="161"/>
      <c r="I184" s="185"/>
      <c r="J184" s="216">
        <v>0</v>
      </c>
      <c r="K184" s="185">
        <v>0</v>
      </c>
      <c r="L184" s="217">
        <v>0</v>
      </c>
      <c r="M184" s="259"/>
      <c r="O184" s="483" t="s">
        <v>118</v>
      </c>
      <c r="P184" s="164">
        <f>'LEVEL 3'!F197</f>
        <v>0</v>
      </c>
      <c r="Q184" s="161">
        <f>'LEVEL 3'!G197</f>
        <v>0</v>
      </c>
      <c r="R184" s="185">
        <f>'LEVEL 3'!H197</f>
        <v>0</v>
      </c>
      <c r="S184" s="216">
        <f>'LEVEL 3'!I197</f>
        <v>0</v>
      </c>
      <c r="T184" s="185">
        <f>'LEVEL 3'!J197</f>
        <v>0</v>
      </c>
      <c r="U184" s="217">
        <f>'LEVEL 3'!K197</f>
        <v>0</v>
      </c>
      <c r="V184" s="259"/>
      <c r="X184" s="429">
        <f t="shared" si="21"/>
        <v>0</v>
      </c>
      <c r="Z184" s="432">
        <f t="shared" si="22"/>
        <v>0</v>
      </c>
      <c r="AB184" s="504"/>
    </row>
    <row r="185" spans="1:28" outlineLevel="1">
      <c r="A185" s="512" t="s">
        <v>457</v>
      </c>
      <c r="C185" s="629"/>
      <c r="D185" s="259">
        <f t="shared" si="20"/>
        <v>0</v>
      </c>
      <c r="E185" s="290"/>
      <c r="F185" s="483" t="s">
        <v>118</v>
      </c>
      <c r="G185" s="164"/>
      <c r="H185" s="161"/>
      <c r="I185" s="185"/>
      <c r="J185" s="216">
        <v>0</v>
      </c>
      <c r="K185" s="185">
        <v>0</v>
      </c>
      <c r="L185" s="217">
        <v>0</v>
      </c>
      <c r="M185" s="259"/>
      <c r="O185" s="483" t="s">
        <v>118</v>
      </c>
      <c r="P185" s="164">
        <f>'LEVEL 3'!F198</f>
        <v>0</v>
      </c>
      <c r="Q185" s="161">
        <f>'LEVEL 3'!G198</f>
        <v>0</v>
      </c>
      <c r="R185" s="185">
        <f>'LEVEL 3'!H198</f>
        <v>0</v>
      </c>
      <c r="S185" s="216">
        <f>'LEVEL 3'!I198</f>
        <v>0</v>
      </c>
      <c r="T185" s="185">
        <f>'LEVEL 3'!J198</f>
        <v>0</v>
      </c>
      <c r="U185" s="217">
        <f>'LEVEL 3'!K198</f>
        <v>0</v>
      </c>
      <c r="V185" s="259"/>
      <c r="X185" s="429">
        <f t="shared" si="21"/>
        <v>0</v>
      </c>
      <c r="Z185" s="432">
        <f t="shared" si="22"/>
        <v>0</v>
      </c>
      <c r="AB185" s="504"/>
    </row>
    <row r="186" spans="1:28" outlineLevel="1">
      <c r="A186" s="512" t="s">
        <v>459</v>
      </c>
      <c r="C186" s="629"/>
      <c r="D186" s="259">
        <f t="shared" si="20"/>
        <v>0</v>
      </c>
      <c r="E186" s="290"/>
      <c r="F186" s="483" t="s">
        <v>461</v>
      </c>
      <c r="G186" s="164" t="s">
        <v>32</v>
      </c>
      <c r="H186" s="161">
        <v>4</v>
      </c>
      <c r="I186" s="185">
        <v>25000</v>
      </c>
      <c r="J186" s="216">
        <v>0</v>
      </c>
      <c r="K186" s="185">
        <v>25000</v>
      </c>
      <c r="L186" s="217">
        <v>100000</v>
      </c>
      <c r="M186" s="259"/>
      <c r="O186" s="483" t="s">
        <v>461</v>
      </c>
      <c r="P186" s="164" t="str">
        <f>'LEVEL 3'!F199</f>
        <v>Count</v>
      </c>
      <c r="Q186" s="161">
        <f>'LEVEL 3'!G199</f>
        <v>4</v>
      </c>
      <c r="R186" s="185">
        <f>'LEVEL 3'!H199</f>
        <v>25000</v>
      </c>
      <c r="S186" s="216">
        <f>'LEVEL 3'!I199</f>
        <v>0</v>
      </c>
      <c r="T186" s="185">
        <f>'LEVEL 3'!J199</f>
        <v>25000</v>
      </c>
      <c r="U186" s="217">
        <f>'LEVEL 3'!K199</f>
        <v>100000</v>
      </c>
      <c r="V186" s="259"/>
      <c r="X186" s="429">
        <f t="shared" si="21"/>
        <v>0</v>
      </c>
      <c r="Z186" s="432">
        <f t="shared" si="22"/>
        <v>0</v>
      </c>
      <c r="AB186" s="504"/>
    </row>
    <row r="187" spans="1:28" outlineLevel="1">
      <c r="A187" s="512" t="s">
        <v>462</v>
      </c>
      <c r="C187" s="629"/>
      <c r="D187" s="259">
        <f t="shared" si="20"/>
        <v>0</v>
      </c>
      <c r="E187" s="290"/>
      <c r="F187" s="483" t="s">
        <v>127</v>
      </c>
      <c r="G187" s="164" t="s">
        <v>464</v>
      </c>
      <c r="H187" s="422">
        <v>4.9000000000000004</v>
      </c>
      <c r="I187" s="185">
        <v>1000</v>
      </c>
      <c r="J187" s="216">
        <v>0</v>
      </c>
      <c r="K187" s="185">
        <v>1000</v>
      </c>
      <c r="L187" s="217">
        <v>4900</v>
      </c>
      <c r="M187" s="259"/>
      <c r="O187" s="483" t="s">
        <v>127</v>
      </c>
      <c r="P187" s="164" t="str">
        <f>'LEVEL 3'!F200</f>
        <v>Acre</v>
      </c>
      <c r="Q187" s="422">
        <f>'LEVEL 3'!G200</f>
        <v>4.9000000000000004</v>
      </c>
      <c r="R187" s="185">
        <f>'LEVEL 3'!H200</f>
        <v>1000</v>
      </c>
      <c r="S187" s="216">
        <f>'LEVEL 3'!I200</f>
        <v>0</v>
      </c>
      <c r="T187" s="185">
        <f>'LEVEL 3'!J200</f>
        <v>1000</v>
      </c>
      <c r="U187" s="217">
        <f>'LEVEL 3'!K200</f>
        <v>4900</v>
      </c>
      <c r="V187" s="259"/>
      <c r="X187" s="429">
        <f t="shared" si="21"/>
        <v>0</v>
      </c>
      <c r="Z187" s="432">
        <f t="shared" si="22"/>
        <v>0</v>
      </c>
      <c r="AB187" s="504"/>
    </row>
    <row r="188" spans="1:28" outlineLevel="1">
      <c r="A188" s="512" t="s">
        <v>465</v>
      </c>
      <c r="C188" s="629"/>
      <c r="D188" s="259">
        <f t="shared" si="20"/>
        <v>0</v>
      </c>
      <c r="E188" s="290"/>
      <c r="F188" s="483" t="s">
        <v>127</v>
      </c>
      <c r="G188" s="164" t="s">
        <v>464</v>
      </c>
      <c r="H188" s="422">
        <v>4.9000000000000004</v>
      </c>
      <c r="I188" s="185">
        <v>1000</v>
      </c>
      <c r="J188" s="216">
        <v>0</v>
      </c>
      <c r="K188" s="185">
        <v>1000</v>
      </c>
      <c r="L188" s="217">
        <v>4900</v>
      </c>
      <c r="M188" s="259"/>
      <c r="O188" s="483" t="s">
        <v>127</v>
      </c>
      <c r="P188" s="164" t="str">
        <f>'LEVEL 3'!F201</f>
        <v>Acre</v>
      </c>
      <c r="Q188" s="422">
        <f>'LEVEL 3'!G201</f>
        <v>4.9000000000000004</v>
      </c>
      <c r="R188" s="185">
        <f>'LEVEL 3'!H201</f>
        <v>1000</v>
      </c>
      <c r="S188" s="216">
        <f>'LEVEL 3'!I201</f>
        <v>0</v>
      </c>
      <c r="T188" s="185">
        <f>'LEVEL 3'!J201</f>
        <v>1000</v>
      </c>
      <c r="U188" s="217">
        <f>'LEVEL 3'!K201</f>
        <v>4900</v>
      </c>
      <c r="V188" s="259"/>
      <c r="X188" s="429">
        <f t="shared" si="21"/>
        <v>0</v>
      </c>
      <c r="Z188" s="432">
        <f t="shared" si="22"/>
        <v>0</v>
      </c>
      <c r="AB188" s="504"/>
    </row>
    <row r="189" spans="1:28" outlineLevel="1">
      <c r="A189" s="512" t="s">
        <v>467</v>
      </c>
      <c r="C189" s="629"/>
      <c r="D189" s="259">
        <f t="shared" si="20"/>
        <v>0</v>
      </c>
      <c r="E189" s="290"/>
      <c r="F189" s="483" t="s">
        <v>127</v>
      </c>
      <c r="G189" s="164" t="s">
        <v>121</v>
      </c>
      <c r="H189" s="161">
        <v>1</v>
      </c>
      <c r="I189" s="185">
        <v>17000</v>
      </c>
      <c r="J189" s="216">
        <v>0</v>
      </c>
      <c r="K189" s="185">
        <v>17000</v>
      </c>
      <c r="L189" s="217">
        <v>17000</v>
      </c>
      <c r="M189" s="259"/>
      <c r="O189" s="483" t="s">
        <v>127</v>
      </c>
      <c r="P189" s="164" t="str">
        <f>'LEVEL 3'!F202</f>
        <v>LS</v>
      </c>
      <c r="Q189" s="161">
        <f>'LEVEL 3'!G202</f>
        <v>1</v>
      </c>
      <c r="R189" s="185">
        <f>'LEVEL 3'!H202</f>
        <v>17000</v>
      </c>
      <c r="S189" s="216">
        <f>'LEVEL 3'!I202</f>
        <v>0</v>
      </c>
      <c r="T189" s="185">
        <f>'LEVEL 3'!J202</f>
        <v>17000</v>
      </c>
      <c r="U189" s="217">
        <f>'LEVEL 3'!K202</f>
        <v>17000</v>
      </c>
      <c r="V189" s="259"/>
      <c r="X189" s="429">
        <f t="shared" si="21"/>
        <v>0</v>
      </c>
      <c r="Z189" s="432">
        <f t="shared" si="22"/>
        <v>0</v>
      </c>
      <c r="AB189" s="504"/>
    </row>
    <row r="190" spans="1:28" outlineLevel="1">
      <c r="A190" s="512" t="s">
        <v>469</v>
      </c>
      <c r="C190" s="629"/>
      <c r="D190" s="259">
        <f t="shared" si="20"/>
        <v>0</v>
      </c>
      <c r="E190" s="290"/>
      <c r="F190" s="483" t="s">
        <v>127</v>
      </c>
      <c r="G190" s="164" t="s">
        <v>121</v>
      </c>
      <c r="H190" s="161">
        <v>1</v>
      </c>
      <c r="I190" s="185">
        <v>11000</v>
      </c>
      <c r="J190" s="216">
        <v>0</v>
      </c>
      <c r="K190" s="185">
        <v>11000</v>
      </c>
      <c r="L190" s="217">
        <v>11000</v>
      </c>
      <c r="M190" s="259"/>
      <c r="O190" s="483" t="s">
        <v>127</v>
      </c>
      <c r="P190" s="164" t="str">
        <f>'LEVEL 3'!F203</f>
        <v>LS</v>
      </c>
      <c r="Q190" s="161">
        <f>'LEVEL 3'!G203</f>
        <v>1</v>
      </c>
      <c r="R190" s="185">
        <f>'LEVEL 3'!H203</f>
        <v>11000</v>
      </c>
      <c r="S190" s="216">
        <f>'LEVEL 3'!I203</f>
        <v>0</v>
      </c>
      <c r="T190" s="185">
        <f>'LEVEL 3'!J203</f>
        <v>11000</v>
      </c>
      <c r="U190" s="217">
        <f>'LEVEL 3'!K203</f>
        <v>11000</v>
      </c>
      <c r="V190" s="259"/>
      <c r="X190" s="429">
        <f t="shared" si="21"/>
        <v>0</v>
      </c>
      <c r="Z190" s="432">
        <f t="shared" si="22"/>
        <v>0</v>
      </c>
      <c r="AB190" s="504"/>
    </row>
    <row r="191" spans="1:28" outlineLevel="1">
      <c r="A191" s="512" t="s">
        <v>471</v>
      </c>
      <c r="C191" s="629"/>
      <c r="D191" s="259">
        <f t="shared" si="20"/>
        <v>0</v>
      </c>
      <c r="E191" s="290"/>
      <c r="F191" s="483" t="s">
        <v>127</v>
      </c>
      <c r="G191" s="164" t="s">
        <v>121</v>
      </c>
      <c r="H191" s="161">
        <v>1</v>
      </c>
      <c r="I191" s="185">
        <v>2000</v>
      </c>
      <c r="J191" s="216">
        <v>0</v>
      </c>
      <c r="K191" s="185">
        <v>2000</v>
      </c>
      <c r="L191" s="217">
        <v>2000</v>
      </c>
      <c r="M191" s="259"/>
      <c r="O191" s="483" t="s">
        <v>127</v>
      </c>
      <c r="P191" s="164" t="str">
        <f>'LEVEL 3'!F204</f>
        <v>LS</v>
      </c>
      <c r="Q191" s="161">
        <f>'LEVEL 3'!G204</f>
        <v>1</v>
      </c>
      <c r="R191" s="185">
        <f>'LEVEL 3'!H204</f>
        <v>2000</v>
      </c>
      <c r="S191" s="216">
        <f>'LEVEL 3'!I204</f>
        <v>0</v>
      </c>
      <c r="T191" s="185">
        <f>'LEVEL 3'!J204</f>
        <v>2000</v>
      </c>
      <c r="U191" s="217">
        <f>'LEVEL 3'!K204</f>
        <v>2000</v>
      </c>
      <c r="V191" s="259"/>
      <c r="X191" s="429">
        <f t="shared" si="21"/>
        <v>0</v>
      </c>
      <c r="Z191" s="432">
        <f t="shared" si="22"/>
        <v>0</v>
      </c>
      <c r="AB191" s="504"/>
    </row>
    <row r="192" spans="1:28" outlineLevel="1">
      <c r="A192" s="512" t="s">
        <v>473</v>
      </c>
      <c r="C192" s="629"/>
      <c r="D192" s="259">
        <f t="shared" si="20"/>
        <v>0</v>
      </c>
      <c r="E192" s="290"/>
      <c r="F192" s="483" t="s">
        <v>127</v>
      </c>
      <c r="G192" s="164" t="s">
        <v>121</v>
      </c>
      <c r="H192" s="161">
        <v>1</v>
      </c>
      <c r="I192" s="185">
        <v>14250</v>
      </c>
      <c r="J192" s="216">
        <v>0</v>
      </c>
      <c r="K192" s="185">
        <v>14250</v>
      </c>
      <c r="L192" s="217">
        <v>14250</v>
      </c>
      <c r="M192" s="259"/>
      <c r="O192" s="483" t="s">
        <v>127</v>
      </c>
      <c r="P192" s="164" t="str">
        <f>'LEVEL 3'!F205</f>
        <v>LS</v>
      </c>
      <c r="Q192" s="161">
        <f>'LEVEL 3'!G205</f>
        <v>1</v>
      </c>
      <c r="R192" s="185">
        <f>'LEVEL 3'!H205</f>
        <v>14250</v>
      </c>
      <c r="S192" s="216">
        <f>'LEVEL 3'!I205</f>
        <v>0</v>
      </c>
      <c r="T192" s="185">
        <f>'LEVEL 3'!J205</f>
        <v>14250</v>
      </c>
      <c r="U192" s="217">
        <f>'LEVEL 3'!K205</f>
        <v>14250</v>
      </c>
      <c r="V192" s="259"/>
      <c r="X192" s="429">
        <f t="shared" si="21"/>
        <v>0</v>
      </c>
      <c r="Z192" s="432">
        <f t="shared" si="22"/>
        <v>0</v>
      </c>
      <c r="AB192" s="504"/>
    </row>
    <row r="193" spans="1:28" outlineLevel="1">
      <c r="A193" s="512" t="s">
        <v>474</v>
      </c>
      <c r="C193" s="629"/>
      <c r="D193" s="259">
        <f t="shared" si="20"/>
        <v>0</v>
      </c>
      <c r="E193" s="290"/>
      <c r="F193" s="483" t="s">
        <v>110</v>
      </c>
      <c r="G193" s="164" t="s">
        <v>121</v>
      </c>
      <c r="H193" s="161">
        <v>1</v>
      </c>
      <c r="I193" s="185">
        <v>750</v>
      </c>
      <c r="J193" s="216">
        <v>0</v>
      </c>
      <c r="K193" s="185">
        <v>750</v>
      </c>
      <c r="L193" s="217">
        <v>750</v>
      </c>
      <c r="M193" s="259"/>
      <c r="O193" s="483" t="s">
        <v>110</v>
      </c>
      <c r="P193" s="164" t="str">
        <f>'LEVEL 3'!F206</f>
        <v>LS</v>
      </c>
      <c r="Q193" s="161">
        <f>'LEVEL 3'!G206</f>
        <v>1</v>
      </c>
      <c r="R193" s="185">
        <f>'LEVEL 3'!H206</f>
        <v>750</v>
      </c>
      <c r="S193" s="216">
        <f>'LEVEL 3'!I206</f>
        <v>0</v>
      </c>
      <c r="T193" s="185">
        <f>'LEVEL 3'!J206</f>
        <v>750</v>
      </c>
      <c r="U193" s="217">
        <f>'LEVEL 3'!K206</f>
        <v>750</v>
      </c>
      <c r="V193" s="259"/>
      <c r="X193" s="429">
        <f t="shared" si="21"/>
        <v>0</v>
      </c>
      <c r="Z193" s="432">
        <f t="shared" si="22"/>
        <v>0</v>
      </c>
      <c r="AB193" s="504"/>
    </row>
    <row r="194" spans="1:28">
      <c r="A194" s="509" t="s">
        <v>442</v>
      </c>
      <c r="C194" s="491">
        <v>2434681.0175000001</v>
      </c>
      <c r="D194" s="628">
        <f t="shared" si="20"/>
        <v>-188615.5866696015</v>
      </c>
      <c r="E194" s="290"/>
      <c r="F194" s="479"/>
      <c r="G194" s="305"/>
      <c r="H194" s="306"/>
      <c r="I194" s="307"/>
      <c r="J194" s="308"/>
      <c r="K194" s="307"/>
      <c r="L194" s="421"/>
      <c r="M194" s="480">
        <f>SUM(L178:L193)</f>
        <v>2246065.4308303986</v>
      </c>
      <c r="O194" s="479"/>
      <c r="P194" s="305"/>
      <c r="Q194" s="306"/>
      <c r="R194" s="307"/>
      <c r="S194" s="308"/>
      <c r="T194" s="307"/>
      <c r="U194" s="421"/>
      <c r="V194" s="480">
        <f>'LEVEL 3'!L190</f>
        <v>2246065.4308303986</v>
      </c>
      <c r="X194" s="491">
        <f>V194-M194</f>
        <v>0</v>
      </c>
      <c r="Z194" s="497">
        <f>IF(M194=0,0,X194/M194)</f>
        <v>0</v>
      </c>
      <c r="AB194" s="504"/>
    </row>
    <row r="195" spans="1:28" outlineLevel="1">
      <c r="A195" s="511" t="s">
        <v>477</v>
      </c>
      <c r="C195" s="629"/>
      <c r="D195" s="259">
        <f t="shared" si="20"/>
        <v>0</v>
      </c>
      <c r="E195" s="290"/>
      <c r="F195" s="482" t="s">
        <v>110</v>
      </c>
      <c r="G195" s="176" t="s">
        <v>121</v>
      </c>
      <c r="H195" s="167">
        <v>1</v>
      </c>
      <c r="I195" s="413">
        <v>1000</v>
      </c>
      <c r="J195" s="414">
        <v>0</v>
      </c>
      <c r="K195" s="415">
        <v>1000</v>
      </c>
      <c r="L195" s="416">
        <v>1000</v>
      </c>
      <c r="M195" s="259"/>
      <c r="O195" s="482" t="s">
        <v>110</v>
      </c>
      <c r="P195" s="176" t="str">
        <f>'LEVEL 3'!F208</f>
        <v>LS</v>
      </c>
      <c r="Q195" s="167">
        <f>'LEVEL 3'!G208</f>
        <v>1</v>
      </c>
      <c r="R195" s="413">
        <f>'LEVEL 3'!H208</f>
        <v>1000</v>
      </c>
      <c r="S195" s="414">
        <f>'LEVEL 3'!I208</f>
        <v>0</v>
      </c>
      <c r="T195" s="415">
        <f>'LEVEL 3'!J208</f>
        <v>1000</v>
      </c>
      <c r="U195" s="416">
        <f>'LEVEL 3'!K208</f>
        <v>1000</v>
      </c>
      <c r="V195" s="259"/>
      <c r="X195" s="429">
        <f>U195-L195</f>
        <v>0</v>
      </c>
      <c r="Z195" s="432">
        <f>IF(L195=0,0,X195/L195)</f>
        <v>0</v>
      </c>
      <c r="AB195" s="504"/>
    </row>
    <row r="196" spans="1:28" outlineLevel="1">
      <c r="A196" s="512" t="s">
        <v>480</v>
      </c>
      <c r="C196" s="629"/>
      <c r="D196" s="259">
        <f t="shared" si="20"/>
        <v>0</v>
      </c>
      <c r="E196" s="290"/>
      <c r="F196" s="483" t="s">
        <v>195</v>
      </c>
      <c r="G196" s="164" t="s">
        <v>15</v>
      </c>
      <c r="H196" s="161">
        <v>196289</v>
      </c>
      <c r="I196" s="185">
        <v>0.59</v>
      </c>
      <c r="J196" s="216">
        <v>0</v>
      </c>
      <c r="K196" s="185">
        <v>0.59</v>
      </c>
      <c r="L196" s="217">
        <v>115810.51</v>
      </c>
      <c r="M196" s="259"/>
      <c r="O196" s="483" t="s">
        <v>195</v>
      </c>
      <c r="P196" s="164" t="str">
        <f>'LEVEL 3'!F209</f>
        <v>SF</v>
      </c>
      <c r="Q196" s="161">
        <f>'LEVEL 3'!G209</f>
        <v>196289</v>
      </c>
      <c r="R196" s="185">
        <f>'LEVEL 3'!H209</f>
        <v>0.59</v>
      </c>
      <c r="S196" s="216">
        <f>'LEVEL 3'!I209</f>
        <v>0</v>
      </c>
      <c r="T196" s="185">
        <f>'LEVEL 3'!J209</f>
        <v>0.59</v>
      </c>
      <c r="U196" s="217">
        <f>'LEVEL 3'!K209</f>
        <v>115810.51</v>
      </c>
      <c r="V196" s="259"/>
      <c r="X196" s="429">
        <f>U196-L196</f>
        <v>0</v>
      </c>
      <c r="Z196" s="432">
        <f>IF(L196=0,0,X196/L196)</f>
        <v>0</v>
      </c>
      <c r="AB196" s="504"/>
    </row>
    <row r="197" spans="1:28" outlineLevel="1">
      <c r="A197" s="512" t="s">
        <v>482</v>
      </c>
      <c r="C197" s="629"/>
      <c r="D197" s="259">
        <f t="shared" si="20"/>
        <v>0</v>
      </c>
      <c r="E197" s="290"/>
      <c r="F197" s="483" t="s">
        <v>110</v>
      </c>
      <c r="G197" s="164" t="s">
        <v>121</v>
      </c>
      <c r="H197" s="161">
        <v>1</v>
      </c>
      <c r="I197" s="185">
        <v>800</v>
      </c>
      <c r="J197" s="216">
        <v>0</v>
      </c>
      <c r="K197" s="185">
        <v>800</v>
      </c>
      <c r="L197" s="217">
        <v>800</v>
      </c>
      <c r="M197" s="259"/>
      <c r="O197" s="483" t="s">
        <v>110</v>
      </c>
      <c r="P197" s="164" t="str">
        <f>'LEVEL 3'!F210</f>
        <v>LS</v>
      </c>
      <c r="Q197" s="161">
        <f>'LEVEL 3'!G210</f>
        <v>1</v>
      </c>
      <c r="R197" s="185">
        <f>'LEVEL 3'!H210</f>
        <v>800</v>
      </c>
      <c r="S197" s="216">
        <f>'LEVEL 3'!I210</f>
        <v>0</v>
      </c>
      <c r="T197" s="185">
        <f>'LEVEL 3'!J210</f>
        <v>800</v>
      </c>
      <c r="U197" s="217">
        <f>'LEVEL 3'!K210</f>
        <v>800</v>
      </c>
      <c r="V197" s="259"/>
      <c r="X197" s="429">
        <f>U197-L197</f>
        <v>0</v>
      </c>
      <c r="Z197" s="432">
        <f>IF(L197=0,0,X197/L197)</f>
        <v>0</v>
      </c>
      <c r="AB197" s="504"/>
    </row>
    <row r="198" spans="1:28">
      <c r="A198" s="509" t="s">
        <v>475</v>
      </c>
      <c r="C198" s="491">
        <v>117536.47</v>
      </c>
      <c r="D198" s="628">
        <f t="shared" si="20"/>
        <v>74.039999999993597</v>
      </c>
      <c r="E198" s="290"/>
      <c r="F198" s="479"/>
      <c r="G198" s="305"/>
      <c r="H198" s="306"/>
      <c r="I198" s="307"/>
      <c r="J198" s="308"/>
      <c r="K198" s="307"/>
      <c r="L198" s="421"/>
      <c r="M198" s="480">
        <f>SUM(L195:L197)</f>
        <v>117610.51</v>
      </c>
      <c r="O198" s="479"/>
      <c r="P198" s="305"/>
      <c r="Q198" s="306"/>
      <c r="R198" s="307"/>
      <c r="S198" s="308"/>
      <c r="T198" s="307"/>
      <c r="U198" s="421"/>
      <c r="V198" s="480">
        <f>'LEVEL 3'!L207</f>
        <v>117610.51</v>
      </c>
      <c r="X198" s="491">
        <f>V198-M198</f>
        <v>0</v>
      </c>
      <c r="Z198" s="497">
        <f>IF(M198=0,0,X198/M198)</f>
        <v>0</v>
      </c>
      <c r="AB198" s="504"/>
    </row>
    <row r="199" spans="1:28" outlineLevel="1">
      <c r="A199" s="515" t="s">
        <v>487</v>
      </c>
      <c r="C199" s="629"/>
      <c r="D199" s="259">
        <f t="shared" si="20"/>
        <v>0</v>
      </c>
      <c r="E199" s="290"/>
      <c r="F199" s="482" t="s">
        <v>246</v>
      </c>
      <c r="G199" s="176" t="s">
        <v>10</v>
      </c>
      <c r="H199" s="167">
        <v>194</v>
      </c>
      <c r="I199" s="413">
        <v>581</v>
      </c>
      <c r="J199" s="414">
        <v>0</v>
      </c>
      <c r="K199" s="415">
        <v>581</v>
      </c>
      <c r="L199" s="416">
        <v>112714</v>
      </c>
      <c r="M199" s="259"/>
      <c r="O199" s="482" t="s">
        <v>246</v>
      </c>
      <c r="P199" s="176" t="str">
        <f>'LEVEL 3'!F212</f>
        <v>Unit</v>
      </c>
      <c r="Q199" s="167">
        <f>'LEVEL 3'!G212</f>
        <v>194</v>
      </c>
      <c r="R199" s="413">
        <f>'LEVEL 3'!H212</f>
        <v>581</v>
      </c>
      <c r="S199" s="414">
        <f>'LEVEL 3'!I212</f>
        <v>0</v>
      </c>
      <c r="T199" s="415">
        <f>'LEVEL 3'!J212</f>
        <v>581</v>
      </c>
      <c r="U199" s="416">
        <f>'LEVEL 3'!K212</f>
        <v>112714</v>
      </c>
      <c r="V199" s="259"/>
      <c r="X199" s="429">
        <f>U199-L199</f>
        <v>0</v>
      </c>
      <c r="Z199" s="432">
        <f>IF(L199=0,0,X199/L199)</f>
        <v>0</v>
      </c>
      <c r="AB199" s="504"/>
    </row>
    <row r="200" spans="1:28" outlineLevel="1">
      <c r="A200" s="512" t="s">
        <v>489</v>
      </c>
      <c r="C200" s="629"/>
      <c r="D200" s="259">
        <f t="shared" si="20"/>
        <v>0</v>
      </c>
      <c r="E200" s="290"/>
      <c r="F200" s="483" t="s">
        <v>195</v>
      </c>
      <c r="G200" s="164" t="s">
        <v>10</v>
      </c>
      <c r="H200" s="161">
        <v>194</v>
      </c>
      <c r="I200" s="185">
        <v>442</v>
      </c>
      <c r="J200" s="216">
        <v>0</v>
      </c>
      <c r="K200" s="185">
        <v>442</v>
      </c>
      <c r="L200" s="217">
        <v>85748</v>
      </c>
      <c r="M200" s="259"/>
      <c r="O200" s="483" t="s">
        <v>195</v>
      </c>
      <c r="P200" s="164" t="str">
        <f>'LEVEL 3'!F213</f>
        <v>Unit</v>
      </c>
      <c r="Q200" s="161">
        <f>'LEVEL 3'!G213</f>
        <v>194</v>
      </c>
      <c r="R200" s="185">
        <f>'LEVEL 3'!H213</f>
        <v>442</v>
      </c>
      <c r="S200" s="216">
        <f>'LEVEL 3'!I213</f>
        <v>0</v>
      </c>
      <c r="T200" s="185">
        <f>'LEVEL 3'!J213</f>
        <v>442</v>
      </c>
      <c r="U200" s="217">
        <f>'LEVEL 3'!K213</f>
        <v>85748</v>
      </c>
      <c r="V200" s="259"/>
      <c r="X200" s="429">
        <f>U200-L200</f>
        <v>0</v>
      </c>
      <c r="Z200" s="432">
        <f>IF(L200=0,0,X200/L200)</f>
        <v>0</v>
      </c>
      <c r="AB200" s="504"/>
    </row>
    <row r="201" spans="1:28" outlineLevel="1">
      <c r="A201" s="512" t="s">
        <v>491</v>
      </c>
      <c r="C201" s="629"/>
      <c r="D201" s="259">
        <f t="shared" si="20"/>
        <v>0</v>
      </c>
      <c r="E201" s="290"/>
      <c r="F201" s="483" t="s">
        <v>116</v>
      </c>
      <c r="G201" s="164" t="s">
        <v>10</v>
      </c>
      <c r="H201" s="161">
        <v>194</v>
      </c>
      <c r="I201" s="185">
        <v>1663</v>
      </c>
      <c r="J201" s="216">
        <v>0</v>
      </c>
      <c r="K201" s="185">
        <v>1663</v>
      </c>
      <c r="L201" s="217">
        <v>322622</v>
      </c>
      <c r="M201" s="259"/>
      <c r="O201" s="483" t="s">
        <v>116</v>
      </c>
      <c r="P201" s="164" t="str">
        <f>'LEVEL 3'!F214</f>
        <v>Unit</v>
      </c>
      <c r="Q201" s="161">
        <f>'LEVEL 3'!G214</f>
        <v>194</v>
      </c>
      <c r="R201" s="185">
        <f>'LEVEL 3'!H214</f>
        <v>1624.340206185567</v>
      </c>
      <c r="S201" s="216">
        <f>'LEVEL 3'!I214</f>
        <v>0</v>
      </c>
      <c r="T201" s="185">
        <f>'LEVEL 3'!J214</f>
        <v>1624.340206185567</v>
      </c>
      <c r="U201" s="217">
        <f>'LEVEL 3'!K214</f>
        <v>315122</v>
      </c>
      <c r="V201" s="259"/>
      <c r="X201" s="429">
        <f>U201-L201</f>
        <v>-7500</v>
      </c>
      <c r="Z201" s="432">
        <f>IF(L201=0,0,X201/L201)</f>
        <v>-2.3247019732070349E-2</v>
      </c>
      <c r="AB201" s="504"/>
    </row>
    <row r="202" spans="1:28" outlineLevel="1">
      <c r="A202" s="512" t="s">
        <v>877</v>
      </c>
      <c r="C202" s="629"/>
      <c r="D202" s="259">
        <f t="shared" si="20"/>
        <v>0</v>
      </c>
      <c r="E202" s="290"/>
      <c r="F202" s="483"/>
      <c r="G202" s="164"/>
      <c r="H202" s="161"/>
      <c r="I202" s="185"/>
      <c r="J202" s="216"/>
      <c r="K202" s="185"/>
      <c r="L202" s="217"/>
      <c r="M202" s="259"/>
      <c r="O202" s="483" t="s">
        <v>110</v>
      </c>
      <c r="P202" s="164" t="str">
        <f>'LEVEL 3'!F215</f>
        <v>LS</v>
      </c>
      <c r="Q202" s="161">
        <f>'LEVEL 3'!G215</f>
        <v>1</v>
      </c>
      <c r="R202" s="185">
        <f>'LEVEL 3'!H215</f>
        <v>7500</v>
      </c>
      <c r="S202" s="216">
        <f>'LEVEL 3'!I215</f>
        <v>0</v>
      </c>
      <c r="T202" s="185">
        <f>'LEVEL 3'!J215</f>
        <v>7500</v>
      </c>
      <c r="U202" s="217">
        <f>'LEVEL 3'!K215</f>
        <v>7500</v>
      </c>
      <c r="V202" s="259"/>
      <c r="X202" s="429">
        <f>U202-L202</f>
        <v>7500</v>
      </c>
      <c r="Z202" s="432">
        <f>IF(L202=0,0,X202/L202)</f>
        <v>0</v>
      </c>
      <c r="AB202" s="504"/>
    </row>
    <row r="203" spans="1:28">
      <c r="A203" s="509" t="s">
        <v>485</v>
      </c>
      <c r="C203" s="491">
        <v>498580</v>
      </c>
      <c r="D203" s="628">
        <f t="shared" si="20"/>
        <v>22504</v>
      </c>
      <c r="E203" s="290"/>
      <c r="F203" s="479"/>
      <c r="G203" s="305"/>
      <c r="H203" s="306"/>
      <c r="I203" s="307"/>
      <c r="J203" s="308"/>
      <c r="K203" s="307"/>
      <c r="L203" s="421"/>
      <c r="M203" s="480">
        <f>SUM(L199:L202)</f>
        <v>521084</v>
      </c>
      <c r="O203" s="479"/>
      <c r="P203" s="305"/>
      <c r="Q203" s="306"/>
      <c r="R203" s="307"/>
      <c r="S203" s="308"/>
      <c r="T203" s="307"/>
      <c r="U203" s="421"/>
      <c r="V203" s="480">
        <f>'LEVEL 3'!L211</f>
        <v>521084</v>
      </c>
      <c r="X203" s="491">
        <f>V203-M203</f>
        <v>0</v>
      </c>
      <c r="Z203" s="497">
        <f>IF(M203=0,0,X203/M203)</f>
        <v>0</v>
      </c>
      <c r="AB203" s="504"/>
    </row>
    <row r="204" spans="1:28" outlineLevel="1">
      <c r="A204" s="511" t="s">
        <v>495</v>
      </c>
      <c r="C204" s="629"/>
      <c r="D204" s="259">
        <f t="shared" si="20"/>
        <v>0</v>
      </c>
      <c r="E204" s="290"/>
      <c r="F204" s="482" t="s">
        <v>110</v>
      </c>
      <c r="G204" s="176" t="s">
        <v>464</v>
      </c>
      <c r="H204" s="423">
        <v>4.9000000000000004</v>
      </c>
      <c r="I204" s="413">
        <v>6500</v>
      </c>
      <c r="J204" s="414">
        <v>0</v>
      </c>
      <c r="K204" s="415">
        <v>6500</v>
      </c>
      <c r="L204" s="416">
        <v>31850.000000000004</v>
      </c>
      <c r="M204" s="259"/>
      <c r="O204" s="482" t="s">
        <v>110</v>
      </c>
      <c r="P204" s="176" t="str">
        <f>'LEVEL 3'!F217</f>
        <v>Acre</v>
      </c>
      <c r="Q204" s="423">
        <f>'LEVEL 3'!G217</f>
        <v>4.9000000000000004</v>
      </c>
      <c r="R204" s="413">
        <f>'LEVEL 3'!H217</f>
        <v>6500</v>
      </c>
      <c r="S204" s="414">
        <f>'LEVEL 3'!I217</f>
        <v>0</v>
      </c>
      <c r="T204" s="415">
        <f>'LEVEL 3'!J217</f>
        <v>6500</v>
      </c>
      <c r="U204" s="416">
        <f>'LEVEL 3'!K217</f>
        <v>31850.000000000004</v>
      </c>
      <c r="V204" s="259"/>
      <c r="X204" s="429">
        <f t="shared" ref="X204:X212" si="23">U204-L204</f>
        <v>0</v>
      </c>
      <c r="Z204" s="432">
        <f t="shared" ref="Z204:Z212" si="24">IF(L204=0,0,X204/L204)</f>
        <v>0</v>
      </c>
      <c r="AB204" s="504"/>
    </row>
    <row r="205" spans="1:28" outlineLevel="1">
      <c r="A205" s="512" t="s">
        <v>497</v>
      </c>
      <c r="C205" s="629"/>
      <c r="D205" s="259">
        <f t="shared" si="20"/>
        <v>0</v>
      </c>
      <c r="E205" s="290"/>
      <c r="F205" s="483" t="s">
        <v>110</v>
      </c>
      <c r="G205" s="164" t="s">
        <v>464</v>
      </c>
      <c r="H205" s="422">
        <v>4.9000000000000004</v>
      </c>
      <c r="I205" s="185">
        <v>3500</v>
      </c>
      <c r="J205" s="216">
        <v>0</v>
      </c>
      <c r="K205" s="185">
        <v>3500</v>
      </c>
      <c r="L205" s="217">
        <v>17150</v>
      </c>
      <c r="M205" s="259"/>
      <c r="O205" s="483" t="s">
        <v>110</v>
      </c>
      <c r="P205" s="164" t="str">
        <f>'LEVEL 3'!F218</f>
        <v>Acre</v>
      </c>
      <c r="Q205" s="422">
        <f>'LEVEL 3'!G218</f>
        <v>4.9000000000000004</v>
      </c>
      <c r="R205" s="185">
        <f>'LEVEL 3'!H218</f>
        <v>3500</v>
      </c>
      <c r="S205" s="216">
        <f>'LEVEL 3'!I218</f>
        <v>0</v>
      </c>
      <c r="T205" s="185">
        <f>'LEVEL 3'!J218</f>
        <v>3500</v>
      </c>
      <c r="U205" s="217">
        <f>'LEVEL 3'!K218</f>
        <v>17150</v>
      </c>
      <c r="V205" s="259"/>
      <c r="X205" s="429">
        <f t="shared" si="23"/>
        <v>0</v>
      </c>
      <c r="Z205" s="432">
        <f t="shared" si="24"/>
        <v>0</v>
      </c>
      <c r="AB205" s="504"/>
    </row>
    <row r="206" spans="1:28" outlineLevel="1">
      <c r="A206" s="512" t="s">
        <v>499</v>
      </c>
      <c r="C206" s="629"/>
      <c r="D206" s="259">
        <f t="shared" si="20"/>
        <v>0</v>
      </c>
      <c r="E206" s="290"/>
      <c r="F206" s="483" t="s">
        <v>110</v>
      </c>
      <c r="G206" s="164" t="s">
        <v>121</v>
      </c>
      <c r="H206" s="161">
        <v>0</v>
      </c>
      <c r="I206" s="185">
        <v>10000</v>
      </c>
      <c r="J206" s="216">
        <v>0</v>
      </c>
      <c r="K206" s="185">
        <v>10000</v>
      </c>
      <c r="L206" s="217">
        <v>0</v>
      </c>
      <c r="M206" s="259"/>
      <c r="O206" s="483" t="s">
        <v>110</v>
      </c>
      <c r="P206" s="164" t="str">
        <f>'LEVEL 3'!F219</f>
        <v>LS</v>
      </c>
      <c r="Q206" s="161">
        <f>'LEVEL 3'!G219</f>
        <v>0</v>
      </c>
      <c r="R206" s="185">
        <f>'LEVEL 3'!H219</f>
        <v>10000</v>
      </c>
      <c r="S206" s="216">
        <f>'LEVEL 3'!I219</f>
        <v>0</v>
      </c>
      <c r="T206" s="185">
        <f>'LEVEL 3'!J219</f>
        <v>10000</v>
      </c>
      <c r="U206" s="217">
        <f>'LEVEL 3'!K219</f>
        <v>0</v>
      </c>
      <c r="V206" s="259"/>
      <c r="X206" s="429">
        <f t="shared" si="23"/>
        <v>0</v>
      </c>
      <c r="Z206" s="432">
        <f t="shared" si="24"/>
        <v>0</v>
      </c>
      <c r="AB206" s="504"/>
    </row>
    <row r="207" spans="1:28" outlineLevel="1">
      <c r="A207" s="512" t="s">
        <v>501</v>
      </c>
      <c r="C207" s="629"/>
      <c r="D207" s="259">
        <f t="shared" si="20"/>
        <v>0</v>
      </c>
      <c r="E207" s="290"/>
      <c r="F207" s="483" t="s">
        <v>110</v>
      </c>
      <c r="G207" s="164" t="s">
        <v>121</v>
      </c>
      <c r="H207" s="161">
        <v>1</v>
      </c>
      <c r="I207" s="185">
        <v>25000</v>
      </c>
      <c r="J207" s="216">
        <v>0</v>
      </c>
      <c r="K207" s="185">
        <v>25000</v>
      </c>
      <c r="L207" s="217">
        <v>25000</v>
      </c>
      <c r="M207" s="259"/>
      <c r="O207" s="483" t="s">
        <v>110</v>
      </c>
      <c r="P207" s="164" t="str">
        <f>'LEVEL 3'!F220</f>
        <v>LS</v>
      </c>
      <c r="Q207" s="161">
        <f>'LEVEL 3'!G220</f>
        <v>1</v>
      </c>
      <c r="R207" s="185">
        <f>'LEVEL 3'!H220</f>
        <v>25000</v>
      </c>
      <c r="S207" s="216">
        <f>'LEVEL 3'!I220</f>
        <v>0</v>
      </c>
      <c r="T207" s="185">
        <f>'LEVEL 3'!J220</f>
        <v>25000</v>
      </c>
      <c r="U207" s="217">
        <f>'LEVEL 3'!K220</f>
        <v>25000</v>
      </c>
      <c r="V207" s="259"/>
      <c r="X207" s="429">
        <f t="shared" si="23"/>
        <v>0</v>
      </c>
      <c r="Z207" s="432">
        <f t="shared" si="24"/>
        <v>0</v>
      </c>
      <c r="AB207" s="504"/>
    </row>
    <row r="208" spans="1:28" outlineLevel="1">
      <c r="A208" s="512" t="s">
        <v>504</v>
      </c>
      <c r="C208" s="629"/>
      <c r="D208" s="259">
        <f t="shared" si="20"/>
        <v>0</v>
      </c>
      <c r="E208" s="290"/>
      <c r="F208" s="483" t="s">
        <v>116</v>
      </c>
      <c r="G208" s="164" t="s">
        <v>121</v>
      </c>
      <c r="H208" s="161">
        <v>1</v>
      </c>
      <c r="I208" s="185">
        <v>156000</v>
      </c>
      <c r="J208" s="216">
        <v>0</v>
      </c>
      <c r="K208" s="185">
        <v>156000</v>
      </c>
      <c r="L208" s="217">
        <v>156000</v>
      </c>
      <c r="M208" s="259"/>
      <c r="O208" s="483" t="s">
        <v>116</v>
      </c>
      <c r="P208" s="164" t="str">
        <f>'LEVEL 3'!F221</f>
        <v>LS</v>
      </c>
      <c r="Q208" s="161">
        <f>'LEVEL 3'!G221</f>
        <v>1</v>
      </c>
      <c r="R208" s="185">
        <f>'LEVEL 3'!H221</f>
        <v>156000</v>
      </c>
      <c r="S208" s="216">
        <f>'LEVEL 3'!I221</f>
        <v>0</v>
      </c>
      <c r="T208" s="185">
        <f>'LEVEL 3'!J221</f>
        <v>156000</v>
      </c>
      <c r="U208" s="217">
        <f>'LEVEL 3'!K221</f>
        <v>156000</v>
      </c>
      <c r="V208" s="259"/>
      <c r="X208" s="429">
        <f t="shared" si="23"/>
        <v>0</v>
      </c>
      <c r="Z208" s="432">
        <f t="shared" si="24"/>
        <v>0</v>
      </c>
      <c r="AB208" s="504" t="s">
        <v>944</v>
      </c>
    </row>
    <row r="209" spans="1:28" outlineLevel="1">
      <c r="A209" s="512" t="s">
        <v>506</v>
      </c>
      <c r="C209" s="629"/>
      <c r="D209" s="259">
        <f t="shared" si="20"/>
        <v>0</v>
      </c>
      <c r="E209" s="290"/>
      <c r="F209" s="483" t="s">
        <v>116</v>
      </c>
      <c r="G209" s="164" t="s">
        <v>121</v>
      </c>
      <c r="H209" s="161">
        <v>1</v>
      </c>
      <c r="I209" s="185">
        <v>5012</v>
      </c>
      <c r="J209" s="216">
        <v>0</v>
      </c>
      <c r="K209" s="185">
        <v>5012</v>
      </c>
      <c r="L209" s="217">
        <v>5012</v>
      </c>
      <c r="M209" s="259"/>
      <c r="O209" s="483" t="s">
        <v>116</v>
      </c>
      <c r="P209" s="164" t="str">
        <f>'LEVEL 3'!F222</f>
        <v>LS</v>
      </c>
      <c r="Q209" s="161">
        <f>'LEVEL 3'!G222</f>
        <v>1</v>
      </c>
      <c r="R209" s="185">
        <f>'LEVEL 3'!H222</f>
        <v>5012</v>
      </c>
      <c r="S209" s="216">
        <f>'LEVEL 3'!I222</f>
        <v>0</v>
      </c>
      <c r="T209" s="185">
        <f>'LEVEL 3'!J222</f>
        <v>5012</v>
      </c>
      <c r="U209" s="217">
        <f>'LEVEL 3'!K222</f>
        <v>5012</v>
      </c>
      <c r="V209" s="259"/>
      <c r="X209" s="429">
        <f t="shared" si="23"/>
        <v>0</v>
      </c>
      <c r="Z209" s="432">
        <f t="shared" si="24"/>
        <v>0</v>
      </c>
      <c r="AB209" s="504"/>
    </row>
    <row r="210" spans="1:28" outlineLevel="1">
      <c r="A210" s="512" t="s">
        <v>508</v>
      </c>
      <c r="C210" s="629"/>
      <c r="D210" s="259">
        <f t="shared" si="20"/>
        <v>0</v>
      </c>
      <c r="E210" s="290"/>
      <c r="F210" s="483" t="s">
        <v>110</v>
      </c>
      <c r="G210" s="164" t="s">
        <v>121</v>
      </c>
      <c r="H210" s="161">
        <v>1</v>
      </c>
      <c r="I210" s="185">
        <v>100000</v>
      </c>
      <c r="J210" s="216">
        <v>0</v>
      </c>
      <c r="K210" s="185">
        <v>100000</v>
      </c>
      <c r="L210" s="217">
        <v>100000</v>
      </c>
      <c r="M210" s="259"/>
      <c r="O210" s="483" t="s">
        <v>110</v>
      </c>
      <c r="P210" s="164" t="str">
        <f>'LEVEL 3'!F223</f>
        <v>LS</v>
      </c>
      <c r="Q210" s="161">
        <f>'LEVEL 3'!G223</f>
        <v>1</v>
      </c>
      <c r="R210" s="185">
        <f>'LEVEL 3'!H223</f>
        <v>100000</v>
      </c>
      <c r="S210" s="216">
        <f>'LEVEL 3'!I223</f>
        <v>0</v>
      </c>
      <c r="T210" s="185">
        <f>'LEVEL 3'!J223</f>
        <v>100000</v>
      </c>
      <c r="U210" s="217">
        <f>'LEVEL 3'!K223</f>
        <v>100000</v>
      </c>
      <c r="V210" s="259"/>
      <c r="X210" s="429">
        <f t="shared" si="23"/>
        <v>0</v>
      </c>
      <c r="Z210" s="432">
        <f t="shared" si="24"/>
        <v>0</v>
      </c>
      <c r="AB210" s="504" t="s">
        <v>945</v>
      </c>
    </row>
    <row r="211" spans="1:28" outlineLevel="1">
      <c r="A211" s="512" t="s">
        <v>510</v>
      </c>
      <c r="C211" s="629"/>
      <c r="D211" s="259">
        <f t="shared" si="20"/>
        <v>0</v>
      </c>
      <c r="E211" s="290"/>
      <c r="F211" s="483" t="s">
        <v>118</v>
      </c>
      <c r="G211" s="164"/>
      <c r="H211" s="161"/>
      <c r="I211" s="185"/>
      <c r="J211" s="216">
        <v>0</v>
      </c>
      <c r="K211" s="185">
        <v>0</v>
      </c>
      <c r="L211" s="217">
        <v>0</v>
      </c>
      <c r="M211" s="259"/>
      <c r="O211" s="483" t="s">
        <v>118</v>
      </c>
      <c r="P211" s="164">
        <f>'LEVEL 3'!F224</f>
        <v>0</v>
      </c>
      <c r="Q211" s="161">
        <f>'LEVEL 3'!G224</f>
        <v>0</v>
      </c>
      <c r="R211" s="185">
        <f>'LEVEL 3'!H224</f>
        <v>0</v>
      </c>
      <c r="S211" s="216">
        <f>'LEVEL 3'!I224</f>
        <v>0</v>
      </c>
      <c r="T211" s="185">
        <f>'LEVEL 3'!J224</f>
        <v>0</v>
      </c>
      <c r="U211" s="217">
        <f>'LEVEL 3'!K224</f>
        <v>0</v>
      </c>
      <c r="V211" s="259"/>
      <c r="X211" s="429">
        <f t="shared" si="23"/>
        <v>0</v>
      </c>
      <c r="Z211" s="432">
        <f t="shared" si="24"/>
        <v>0</v>
      </c>
      <c r="AB211" s="504"/>
    </row>
    <row r="212" spans="1:28" outlineLevel="1">
      <c r="A212" s="512" t="s">
        <v>512</v>
      </c>
      <c r="C212" s="629"/>
      <c r="D212" s="259">
        <f t="shared" si="20"/>
        <v>0</v>
      </c>
      <c r="E212" s="290"/>
      <c r="F212" s="483" t="s">
        <v>110</v>
      </c>
      <c r="G212" s="164" t="s">
        <v>464</v>
      </c>
      <c r="H212" s="422">
        <v>4.9000000000000004</v>
      </c>
      <c r="I212" s="185">
        <v>2500</v>
      </c>
      <c r="J212" s="216">
        <v>0</v>
      </c>
      <c r="K212" s="185">
        <v>2500</v>
      </c>
      <c r="L212" s="217">
        <v>12250</v>
      </c>
      <c r="M212" s="259"/>
      <c r="O212" s="483" t="s">
        <v>110</v>
      </c>
      <c r="P212" s="164" t="str">
        <f>'LEVEL 3'!F225</f>
        <v>Acre</v>
      </c>
      <c r="Q212" s="422">
        <f>'LEVEL 3'!G225</f>
        <v>4.9000000000000004</v>
      </c>
      <c r="R212" s="185">
        <f>'LEVEL 3'!H225</f>
        <v>2500</v>
      </c>
      <c r="S212" s="216">
        <f>'LEVEL 3'!I225</f>
        <v>0</v>
      </c>
      <c r="T212" s="185">
        <f>'LEVEL 3'!J225</f>
        <v>2500</v>
      </c>
      <c r="U212" s="217">
        <f>'LEVEL 3'!K225</f>
        <v>12250</v>
      </c>
      <c r="V212" s="259"/>
      <c r="X212" s="429">
        <f t="shared" si="23"/>
        <v>0</v>
      </c>
      <c r="Z212" s="432">
        <f t="shared" si="24"/>
        <v>0</v>
      </c>
      <c r="AB212" s="504"/>
    </row>
    <row r="213" spans="1:28">
      <c r="A213" s="509" t="s">
        <v>493</v>
      </c>
      <c r="C213" s="491">
        <v>517319.03500000003</v>
      </c>
      <c r="D213" s="628">
        <f t="shared" ref="D213:D276" si="25">V213-C213</f>
        <v>-170057.03500000003</v>
      </c>
      <c r="E213" s="290"/>
      <c r="F213" s="479"/>
      <c r="G213" s="305"/>
      <c r="H213" s="306"/>
      <c r="I213" s="307"/>
      <c r="J213" s="308"/>
      <c r="K213" s="307"/>
      <c r="L213" s="421"/>
      <c r="M213" s="480">
        <f>SUM(L204:L212)</f>
        <v>347262</v>
      </c>
      <c r="O213" s="479"/>
      <c r="P213" s="305"/>
      <c r="Q213" s="306"/>
      <c r="R213" s="307"/>
      <c r="S213" s="308"/>
      <c r="T213" s="307"/>
      <c r="U213" s="421"/>
      <c r="V213" s="480">
        <f>'LEVEL 3'!L216</f>
        <v>347262</v>
      </c>
      <c r="X213" s="491">
        <f>V213-M213</f>
        <v>0</v>
      </c>
      <c r="Z213" s="497">
        <f>IF(M213=0,0,X213/M213)</f>
        <v>0</v>
      </c>
      <c r="AB213" s="504" t="s">
        <v>946</v>
      </c>
    </row>
    <row r="214" spans="1:28" outlineLevel="1">
      <c r="A214" s="511" t="s">
        <v>516</v>
      </c>
      <c r="C214" s="629"/>
      <c r="D214" s="259">
        <f t="shared" si="25"/>
        <v>0</v>
      </c>
      <c r="E214" s="290"/>
      <c r="F214" s="482" t="s">
        <v>110</v>
      </c>
      <c r="G214" s="176" t="s">
        <v>121</v>
      </c>
      <c r="H214" s="167">
        <v>1</v>
      </c>
      <c r="I214" s="413">
        <v>5000</v>
      </c>
      <c r="J214" s="414">
        <v>0</v>
      </c>
      <c r="K214" s="415">
        <v>5000</v>
      </c>
      <c r="L214" s="416">
        <v>5000</v>
      </c>
      <c r="M214" s="259"/>
      <c r="O214" s="482" t="s">
        <v>110</v>
      </c>
      <c r="P214" s="176" t="str">
        <f>'LEVEL 3'!F227</f>
        <v>LS</v>
      </c>
      <c r="Q214" s="167">
        <f>'LEVEL 3'!G227</f>
        <v>1</v>
      </c>
      <c r="R214" s="413">
        <f>'LEVEL 3'!H227</f>
        <v>5000</v>
      </c>
      <c r="S214" s="414">
        <f>'LEVEL 3'!I227</f>
        <v>0</v>
      </c>
      <c r="T214" s="415">
        <f>'LEVEL 3'!J227</f>
        <v>5000</v>
      </c>
      <c r="U214" s="416">
        <f>'LEVEL 3'!K227</f>
        <v>5000</v>
      </c>
      <c r="V214" s="259"/>
      <c r="X214" s="429">
        <f t="shared" ref="X214:X250" si="26">U214-L214</f>
        <v>0</v>
      </c>
      <c r="Z214" s="432">
        <f t="shared" ref="Z214:Z250" si="27">IF(L214=0,0,X214/L214)</f>
        <v>0</v>
      </c>
      <c r="AB214" s="504"/>
    </row>
    <row r="215" spans="1:28" outlineLevel="1">
      <c r="A215" s="512" t="s">
        <v>518</v>
      </c>
      <c r="C215" s="629"/>
      <c r="D215" s="259">
        <f t="shared" si="25"/>
        <v>0</v>
      </c>
      <c r="E215" s="290"/>
      <c r="F215" s="483" t="s">
        <v>110</v>
      </c>
      <c r="G215" s="164" t="s">
        <v>121</v>
      </c>
      <c r="H215" s="161">
        <v>1</v>
      </c>
      <c r="I215" s="185">
        <v>2500</v>
      </c>
      <c r="J215" s="216">
        <v>0</v>
      </c>
      <c r="K215" s="185">
        <v>2500</v>
      </c>
      <c r="L215" s="217">
        <v>2500</v>
      </c>
      <c r="M215" s="259"/>
      <c r="O215" s="483" t="s">
        <v>110</v>
      </c>
      <c r="P215" s="164" t="str">
        <f>'LEVEL 3'!F228</f>
        <v>LS</v>
      </c>
      <c r="Q215" s="161">
        <f>'LEVEL 3'!G228</f>
        <v>1</v>
      </c>
      <c r="R215" s="185">
        <f>'LEVEL 3'!H228</f>
        <v>2500</v>
      </c>
      <c r="S215" s="216">
        <f>'LEVEL 3'!I228</f>
        <v>0</v>
      </c>
      <c r="T215" s="185">
        <f>'LEVEL 3'!J228</f>
        <v>2500</v>
      </c>
      <c r="U215" s="217">
        <f>'LEVEL 3'!K228</f>
        <v>2500</v>
      </c>
      <c r="V215" s="259"/>
      <c r="X215" s="429">
        <f t="shared" si="26"/>
        <v>0</v>
      </c>
      <c r="Z215" s="432">
        <f t="shared" si="27"/>
        <v>0</v>
      </c>
      <c r="AB215" s="504"/>
    </row>
    <row r="216" spans="1:28" outlineLevel="1">
      <c r="A216" s="512" t="s">
        <v>520</v>
      </c>
      <c r="C216" s="629"/>
      <c r="D216" s="259">
        <f t="shared" si="25"/>
        <v>0</v>
      </c>
      <c r="E216" s="290"/>
      <c r="F216" s="483" t="s">
        <v>110</v>
      </c>
      <c r="G216" s="164" t="s">
        <v>121</v>
      </c>
      <c r="H216" s="161">
        <v>1</v>
      </c>
      <c r="I216" s="185">
        <v>20000</v>
      </c>
      <c r="J216" s="216">
        <v>0</v>
      </c>
      <c r="K216" s="185">
        <v>20000</v>
      </c>
      <c r="L216" s="217">
        <v>20000</v>
      </c>
      <c r="M216" s="259"/>
      <c r="O216" s="483" t="s">
        <v>110</v>
      </c>
      <c r="P216" s="164" t="str">
        <f>'LEVEL 3'!F229</f>
        <v>LS</v>
      </c>
      <c r="Q216" s="161">
        <f>'LEVEL 3'!G229</f>
        <v>1</v>
      </c>
      <c r="R216" s="185">
        <f>'LEVEL 3'!H229</f>
        <v>20000</v>
      </c>
      <c r="S216" s="216">
        <f>'LEVEL 3'!I229</f>
        <v>0</v>
      </c>
      <c r="T216" s="185">
        <f>'LEVEL 3'!J229</f>
        <v>20000</v>
      </c>
      <c r="U216" s="217">
        <f>'LEVEL 3'!K229</f>
        <v>20000</v>
      </c>
      <c r="V216" s="259"/>
      <c r="X216" s="429">
        <f t="shared" si="26"/>
        <v>0</v>
      </c>
      <c r="Z216" s="432">
        <f t="shared" si="27"/>
        <v>0</v>
      </c>
      <c r="AB216" s="504"/>
    </row>
    <row r="217" spans="1:28" outlineLevel="1">
      <c r="A217" s="512" t="s">
        <v>522</v>
      </c>
      <c r="C217" s="629"/>
      <c r="D217" s="259">
        <f t="shared" si="25"/>
        <v>0</v>
      </c>
      <c r="E217" s="290"/>
      <c r="F217" s="483" t="s">
        <v>116</v>
      </c>
      <c r="G217" s="164" t="s">
        <v>121</v>
      </c>
      <c r="H217" s="161">
        <v>1</v>
      </c>
      <c r="I217" s="185">
        <v>225069</v>
      </c>
      <c r="J217" s="216">
        <v>0</v>
      </c>
      <c r="K217" s="185">
        <v>225069</v>
      </c>
      <c r="L217" s="217">
        <v>225069</v>
      </c>
      <c r="M217" s="259"/>
      <c r="O217" s="483" t="s">
        <v>116</v>
      </c>
      <c r="P217" s="164" t="str">
        <f>'LEVEL 3'!F230</f>
        <v>LS</v>
      </c>
      <c r="Q217" s="161">
        <f>'LEVEL 3'!G230</f>
        <v>1</v>
      </c>
      <c r="R217" s="185">
        <f>'LEVEL 3'!H230</f>
        <v>225069</v>
      </c>
      <c r="S217" s="216">
        <f>'LEVEL 3'!I230</f>
        <v>0</v>
      </c>
      <c r="T217" s="185">
        <f>'LEVEL 3'!J230</f>
        <v>225069</v>
      </c>
      <c r="U217" s="217">
        <f>'LEVEL 3'!K230</f>
        <v>225069</v>
      </c>
      <c r="V217" s="259"/>
      <c r="X217" s="429">
        <f t="shared" si="26"/>
        <v>0</v>
      </c>
      <c r="Z217" s="432">
        <f t="shared" si="27"/>
        <v>0</v>
      </c>
      <c r="AB217" s="504"/>
    </row>
    <row r="218" spans="1:28" outlineLevel="1">
      <c r="A218" s="512" t="s">
        <v>73</v>
      </c>
      <c r="C218" s="629"/>
      <c r="D218" s="259">
        <f t="shared" si="25"/>
        <v>0</v>
      </c>
      <c r="E218" s="290"/>
      <c r="F218" s="483" t="s">
        <v>110</v>
      </c>
      <c r="G218" s="164" t="s">
        <v>15</v>
      </c>
      <c r="H218" s="161">
        <v>75608</v>
      </c>
      <c r="I218" s="185">
        <v>0.2</v>
      </c>
      <c r="J218" s="216">
        <v>0</v>
      </c>
      <c r="K218" s="185">
        <v>0.2</v>
      </c>
      <c r="L218" s="217">
        <v>15121.6</v>
      </c>
      <c r="M218" s="259"/>
      <c r="O218" s="483" t="s">
        <v>110</v>
      </c>
      <c r="P218" s="164" t="str">
        <f>'LEVEL 3'!F231</f>
        <v>SF</v>
      </c>
      <c r="Q218" s="161">
        <f>'LEVEL 3'!G231</f>
        <v>75608</v>
      </c>
      <c r="R218" s="185">
        <f>'LEVEL 3'!H231</f>
        <v>0.2</v>
      </c>
      <c r="S218" s="216">
        <f>'LEVEL 3'!I231</f>
        <v>0</v>
      </c>
      <c r="T218" s="185">
        <f>'LEVEL 3'!J231</f>
        <v>0.2</v>
      </c>
      <c r="U218" s="217">
        <f>'LEVEL 3'!K231</f>
        <v>15121.6</v>
      </c>
      <c r="V218" s="259"/>
      <c r="X218" s="429">
        <f t="shared" si="26"/>
        <v>0</v>
      </c>
      <c r="Z218" s="432">
        <f t="shared" si="27"/>
        <v>0</v>
      </c>
      <c r="AB218" s="504"/>
    </row>
    <row r="219" spans="1:28" outlineLevel="1">
      <c r="A219" s="512" t="s">
        <v>47</v>
      </c>
      <c r="C219" s="629"/>
      <c r="D219" s="259">
        <f t="shared" si="25"/>
        <v>0</v>
      </c>
      <c r="E219" s="290"/>
      <c r="F219" s="483" t="s">
        <v>195</v>
      </c>
      <c r="G219" s="164" t="s">
        <v>15</v>
      </c>
      <c r="H219" s="161">
        <v>350</v>
      </c>
      <c r="I219" s="185">
        <v>8.5</v>
      </c>
      <c r="J219" s="216">
        <v>0</v>
      </c>
      <c r="K219" s="185">
        <v>8.5</v>
      </c>
      <c r="L219" s="217">
        <v>2975</v>
      </c>
      <c r="M219" s="259"/>
      <c r="O219" s="483" t="s">
        <v>195</v>
      </c>
      <c r="P219" s="164" t="str">
        <f>'LEVEL 3'!F232</f>
        <v>SF</v>
      </c>
      <c r="Q219" s="161">
        <f>'LEVEL 3'!G232</f>
        <v>350</v>
      </c>
      <c r="R219" s="185">
        <f>'LEVEL 3'!H232</f>
        <v>8.5</v>
      </c>
      <c r="S219" s="216">
        <f>'LEVEL 3'!I232</f>
        <v>0</v>
      </c>
      <c r="T219" s="185">
        <f>'LEVEL 3'!J232</f>
        <v>8.5</v>
      </c>
      <c r="U219" s="217">
        <f>'LEVEL 3'!K232</f>
        <v>2975</v>
      </c>
      <c r="V219" s="259"/>
      <c r="X219" s="429">
        <f t="shared" si="26"/>
        <v>0</v>
      </c>
      <c r="Z219" s="432">
        <f t="shared" si="27"/>
        <v>0</v>
      </c>
      <c r="AB219" s="504"/>
    </row>
    <row r="220" spans="1:28" outlineLevel="1">
      <c r="A220" s="512" t="s">
        <v>526</v>
      </c>
      <c r="C220" s="629"/>
      <c r="D220" s="259">
        <f t="shared" si="25"/>
        <v>0</v>
      </c>
      <c r="E220" s="290"/>
      <c r="F220" s="483" t="s">
        <v>195</v>
      </c>
      <c r="G220" s="164" t="s">
        <v>15</v>
      </c>
      <c r="H220" s="161">
        <v>4500</v>
      </c>
      <c r="I220" s="185">
        <v>8.5</v>
      </c>
      <c r="J220" s="216">
        <v>0</v>
      </c>
      <c r="K220" s="185">
        <v>8.5</v>
      </c>
      <c r="L220" s="217">
        <v>38250</v>
      </c>
      <c r="M220" s="259"/>
      <c r="O220" s="483" t="s">
        <v>195</v>
      </c>
      <c r="P220" s="164" t="str">
        <f>'LEVEL 3'!F233</f>
        <v>SF</v>
      </c>
      <c r="Q220" s="161">
        <f>'LEVEL 3'!G233</f>
        <v>4500</v>
      </c>
      <c r="R220" s="185">
        <f>'LEVEL 3'!H233</f>
        <v>8.5</v>
      </c>
      <c r="S220" s="216">
        <f>'LEVEL 3'!I233</f>
        <v>0</v>
      </c>
      <c r="T220" s="185">
        <f>'LEVEL 3'!J233</f>
        <v>8.5</v>
      </c>
      <c r="U220" s="217">
        <f>'LEVEL 3'!K233</f>
        <v>38250</v>
      </c>
      <c r="V220" s="259"/>
      <c r="X220" s="429">
        <f t="shared" si="26"/>
        <v>0</v>
      </c>
      <c r="Z220" s="432">
        <f t="shared" si="27"/>
        <v>0</v>
      </c>
      <c r="AB220" s="504"/>
    </row>
    <row r="221" spans="1:28" outlineLevel="1">
      <c r="A221" s="512" t="s">
        <v>528</v>
      </c>
      <c r="C221" s="629"/>
      <c r="D221" s="259">
        <f t="shared" si="25"/>
        <v>0</v>
      </c>
      <c r="E221" s="290"/>
      <c r="F221" s="483" t="s">
        <v>116</v>
      </c>
      <c r="G221" s="164" t="s">
        <v>121</v>
      </c>
      <c r="H221" s="161">
        <v>1</v>
      </c>
      <c r="I221" s="185">
        <v>66295</v>
      </c>
      <c r="J221" s="216">
        <v>0</v>
      </c>
      <c r="K221" s="185">
        <v>66295</v>
      </c>
      <c r="L221" s="217">
        <v>66295</v>
      </c>
      <c r="M221" s="259"/>
      <c r="O221" s="483" t="s">
        <v>116</v>
      </c>
      <c r="P221" s="164" t="str">
        <f>'LEVEL 3'!F234</f>
        <v>LS</v>
      </c>
      <c r="Q221" s="161">
        <f>'LEVEL 3'!G234</f>
        <v>1</v>
      </c>
      <c r="R221" s="185">
        <f>'LEVEL 3'!H234</f>
        <v>66295</v>
      </c>
      <c r="S221" s="216">
        <f>'LEVEL 3'!I234</f>
        <v>0</v>
      </c>
      <c r="T221" s="185">
        <f>'LEVEL 3'!J234</f>
        <v>66295</v>
      </c>
      <c r="U221" s="217">
        <f>'LEVEL 3'!K234</f>
        <v>66295</v>
      </c>
      <c r="V221" s="259"/>
      <c r="X221" s="429">
        <f t="shared" si="26"/>
        <v>0</v>
      </c>
      <c r="Z221" s="432">
        <f t="shared" si="27"/>
        <v>0</v>
      </c>
      <c r="AB221" s="504"/>
    </row>
    <row r="222" spans="1:28" outlineLevel="1">
      <c r="A222" s="512" t="s">
        <v>530</v>
      </c>
      <c r="C222" s="629"/>
      <c r="D222" s="259">
        <f t="shared" si="25"/>
        <v>0</v>
      </c>
      <c r="E222" s="290"/>
      <c r="F222" s="483" t="s">
        <v>116</v>
      </c>
      <c r="G222" s="164" t="s">
        <v>121</v>
      </c>
      <c r="H222" s="161">
        <v>1</v>
      </c>
      <c r="I222" s="185">
        <v>42120</v>
      </c>
      <c r="J222" s="216">
        <v>0</v>
      </c>
      <c r="K222" s="185">
        <v>42120</v>
      </c>
      <c r="L222" s="217">
        <v>42120</v>
      </c>
      <c r="M222" s="259"/>
      <c r="O222" s="483" t="s">
        <v>116</v>
      </c>
      <c r="P222" s="164" t="str">
        <f>'LEVEL 3'!F235</f>
        <v>LS</v>
      </c>
      <c r="Q222" s="161">
        <f>'LEVEL 3'!G235</f>
        <v>1</v>
      </c>
      <c r="R222" s="185">
        <f>'LEVEL 3'!H235</f>
        <v>42120</v>
      </c>
      <c r="S222" s="216">
        <f>'LEVEL 3'!I235</f>
        <v>0</v>
      </c>
      <c r="T222" s="185">
        <f>'LEVEL 3'!J235</f>
        <v>42120</v>
      </c>
      <c r="U222" s="217">
        <f>'LEVEL 3'!K235</f>
        <v>42120</v>
      </c>
      <c r="V222" s="259"/>
      <c r="X222" s="429">
        <f t="shared" si="26"/>
        <v>0</v>
      </c>
      <c r="Z222" s="432">
        <f t="shared" si="27"/>
        <v>0</v>
      </c>
      <c r="AB222" s="504"/>
    </row>
    <row r="223" spans="1:28" outlineLevel="1">
      <c r="A223" s="514" t="s">
        <v>532</v>
      </c>
      <c r="C223" s="629"/>
      <c r="D223" s="259">
        <f t="shared" si="25"/>
        <v>0</v>
      </c>
      <c r="E223" s="290"/>
      <c r="F223" s="483" t="s">
        <v>116</v>
      </c>
      <c r="G223" s="164" t="s">
        <v>121</v>
      </c>
      <c r="H223" s="161">
        <v>1</v>
      </c>
      <c r="I223" s="185">
        <v>89086</v>
      </c>
      <c r="J223" s="216">
        <v>0</v>
      </c>
      <c r="K223" s="185">
        <v>89086</v>
      </c>
      <c r="L223" s="217">
        <v>89086</v>
      </c>
      <c r="M223" s="259"/>
      <c r="O223" s="483" t="s">
        <v>116</v>
      </c>
      <c r="P223" s="164" t="str">
        <f>'LEVEL 3'!F236</f>
        <v>LS</v>
      </c>
      <c r="Q223" s="161">
        <f>'LEVEL 3'!G236</f>
        <v>1</v>
      </c>
      <c r="R223" s="185">
        <f>'LEVEL 3'!H236</f>
        <v>89086</v>
      </c>
      <c r="S223" s="216">
        <f>'LEVEL 3'!I236</f>
        <v>0</v>
      </c>
      <c r="T223" s="185">
        <f>'LEVEL 3'!J236</f>
        <v>89086</v>
      </c>
      <c r="U223" s="217">
        <f>'LEVEL 3'!K236</f>
        <v>89086</v>
      </c>
      <c r="V223" s="259"/>
      <c r="X223" s="429">
        <f t="shared" si="26"/>
        <v>0</v>
      </c>
      <c r="Z223" s="432">
        <f t="shared" si="27"/>
        <v>0</v>
      </c>
      <c r="AB223" s="504"/>
    </row>
    <row r="224" spans="1:28" outlineLevel="1">
      <c r="A224" s="512" t="s">
        <v>534</v>
      </c>
      <c r="C224" s="629"/>
      <c r="D224" s="259">
        <f t="shared" si="25"/>
        <v>0</v>
      </c>
      <c r="E224" s="290"/>
      <c r="F224" s="483" t="s">
        <v>118</v>
      </c>
      <c r="G224" s="164"/>
      <c r="H224" s="161"/>
      <c r="I224" s="185"/>
      <c r="J224" s="216">
        <v>0</v>
      </c>
      <c r="K224" s="185">
        <v>0</v>
      </c>
      <c r="L224" s="217">
        <v>0</v>
      </c>
      <c r="M224" s="259"/>
      <c r="O224" s="483" t="s">
        <v>118</v>
      </c>
      <c r="P224" s="164">
        <f>'LEVEL 3'!F237</f>
        <v>0</v>
      </c>
      <c r="Q224" s="161">
        <f>'LEVEL 3'!G237</f>
        <v>0</v>
      </c>
      <c r="R224" s="185">
        <f>'LEVEL 3'!H237</f>
        <v>0</v>
      </c>
      <c r="S224" s="216">
        <f>'LEVEL 3'!I237</f>
        <v>0</v>
      </c>
      <c r="T224" s="185">
        <f>'LEVEL 3'!J237</f>
        <v>0</v>
      </c>
      <c r="U224" s="217">
        <f>'LEVEL 3'!K237</f>
        <v>0</v>
      </c>
      <c r="V224" s="259"/>
      <c r="X224" s="429">
        <f t="shared" si="26"/>
        <v>0</v>
      </c>
      <c r="Z224" s="432">
        <f t="shared" si="27"/>
        <v>0</v>
      </c>
      <c r="AB224" s="504"/>
    </row>
    <row r="225" spans="1:28" outlineLevel="1">
      <c r="A225" s="512" t="s">
        <v>536</v>
      </c>
      <c r="C225" s="629"/>
      <c r="D225" s="259">
        <f t="shared" si="25"/>
        <v>0</v>
      </c>
      <c r="E225" s="290"/>
      <c r="F225" s="483" t="s">
        <v>110</v>
      </c>
      <c r="G225" s="164" t="s">
        <v>121</v>
      </c>
      <c r="H225" s="161">
        <v>1</v>
      </c>
      <c r="I225" s="185">
        <v>10000</v>
      </c>
      <c r="J225" s="216">
        <v>0</v>
      </c>
      <c r="K225" s="185">
        <v>10000</v>
      </c>
      <c r="L225" s="217">
        <v>10000</v>
      </c>
      <c r="M225" s="259"/>
      <c r="O225" s="483" t="s">
        <v>110</v>
      </c>
      <c r="P225" s="164" t="str">
        <f>'LEVEL 3'!F238</f>
        <v>LS</v>
      </c>
      <c r="Q225" s="161">
        <f>'LEVEL 3'!G238</f>
        <v>1</v>
      </c>
      <c r="R225" s="185">
        <f>'LEVEL 3'!H238</f>
        <v>10000</v>
      </c>
      <c r="S225" s="216">
        <f>'LEVEL 3'!I238</f>
        <v>0</v>
      </c>
      <c r="T225" s="185">
        <f>'LEVEL 3'!J238</f>
        <v>10000</v>
      </c>
      <c r="U225" s="217">
        <f>'LEVEL 3'!K238</f>
        <v>10000</v>
      </c>
      <c r="V225" s="259"/>
      <c r="X225" s="429">
        <f t="shared" si="26"/>
        <v>0</v>
      </c>
      <c r="Z225" s="432">
        <f t="shared" si="27"/>
        <v>0</v>
      </c>
      <c r="AB225" s="504"/>
    </row>
    <row r="226" spans="1:28" outlineLevel="1">
      <c r="A226" s="512" t="s">
        <v>538</v>
      </c>
      <c r="C226" s="629"/>
      <c r="D226" s="259">
        <f t="shared" si="25"/>
        <v>0</v>
      </c>
      <c r="E226" s="290"/>
      <c r="F226" s="483" t="s">
        <v>110</v>
      </c>
      <c r="G226" s="164" t="s">
        <v>464</v>
      </c>
      <c r="H226" s="422">
        <v>4.9000000000000004</v>
      </c>
      <c r="I226" s="185">
        <v>2500</v>
      </c>
      <c r="J226" s="216">
        <v>0</v>
      </c>
      <c r="K226" s="185">
        <v>2500</v>
      </c>
      <c r="L226" s="217">
        <v>12250</v>
      </c>
      <c r="M226" s="259"/>
      <c r="O226" s="483" t="s">
        <v>110</v>
      </c>
      <c r="P226" s="164" t="str">
        <f>'LEVEL 3'!F239</f>
        <v>Acre</v>
      </c>
      <c r="Q226" s="422">
        <f>'LEVEL 3'!G239</f>
        <v>4.9000000000000004</v>
      </c>
      <c r="R226" s="185">
        <f>'LEVEL 3'!H239</f>
        <v>2500</v>
      </c>
      <c r="S226" s="216">
        <f>'LEVEL 3'!I239</f>
        <v>0</v>
      </c>
      <c r="T226" s="185">
        <f>'LEVEL 3'!J239</f>
        <v>2500</v>
      </c>
      <c r="U226" s="217">
        <f>'LEVEL 3'!K239</f>
        <v>12250</v>
      </c>
      <c r="V226" s="259"/>
      <c r="X226" s="429">
        <f t="shared" si="26"/>
        <v>0</v>
      </c>
      <c r="Z226" s="432">
        <f t="shared" si="27"/>
        <v>0</v>
      </c>
      <c r="AB226" s="504"/>
    </row>
    <row r="227" spans="1:28" outlineLevel="1">
      <c r="A227" s="512" t="s">
        <v>540</v>
      </c>
      <c r="C227" s="629"/>
      <c r="D227" s="259">
        <f t="shared" si="25"/>
        <v>0</v>
      </c>
      <c r="E227" s="290"/>
      <c r="F227" s="483" t="s">
        <v>116</v>
      </c>
      <c r="G227" s="164" t="s">
        <v>121</v>
      </c>
      <c r="H227" s="161">
        <v>1</v>
      </c>
      <c r="I227" s="185">
        <v>92505</v>
      </c>
      <c r="J227" s="216">
        <v>0</v>
      </c>
      <c r="K227" s="185">
        <v>92505</v>
      </c>
      <c r="L227" s="217">
        <v>92505</v>
      </c>
      <c r="M227" s="259"/>
      <c r="O227" s="483" t="s">
        <v>116</v>
      </c>
      <c r="P227" s="164" t="str">
        <f>'LEVEL 3'!F240</f>
        <v>LS</v>
      </c>
      <c r="Q227" s="161">
        <f>'LEVEL 3'!G240</f>
        <v>1</v>
      </c>
      <c r="R227" s="185">
        <f>'LEVEL 3'!H240</f>
        <v>92505</v>
      </c>
      <c r="S227" s="216">
        <f>'LEVEL 3'!I240</f>
        <v>0</v>
      </c>
      <c r="T227" s="185">
        <f>'LEVEL 3'!J240</f>
        <v>92505</v>
      </c>
      <c r="U227" s="217">
        <f>'LEVEL 3'!K240</f>
        <v>92505</v>
      </c>
      <c r="V227" s="259"/>
      <c r="X227" s="429">
        <f t="shared" si="26"/>
        <v>0</v>
      </c>
      <c r="Z227" s="432">
        <f t="shared" si="27"/>
        <v>0</v>
      </c>
      <c r="AB227" s="504"/>
    </row>
    <row r="228" spans="1:28" outlineLevel="1">
      <c r="A228" s="512" t="s">
        <v>543</v>
      </c>
      <c r="C228" s="629"/>
      <c r="D228" s="259">
        <f t="shared" si="25"/>
        <v>0</v>
      </c>
      <c r="E228" s="290"/>
      <c r="F228" s="483" t="s">
        <v>116</v>
      </c>
      <c r="G228" s="164" t="s">
        <v>32</v>
      </c>
      <c r="H228" s="161">
        <v>4</v>
      </c>
      <c r="I228" s="185">
        <v>2485</v>
      </c>
      <c r="J228" s="216">
        <v>0</v>
      </c>
      <c r="K228" s="185">
        <v>2485</v>
      </c>
      <c r="L228" s="217">
        <v>9940</v>
      </c>
      <c r="M228" s="259"/>
      <c r="O228" s="483" t="s">
        <v>116</v>
      </c>
      <c r="P228" s="164" t="str">
        <f>'LEVEL 3'!F241</f>
        <v>Count</v>
      </c>
      <c r="Q228" s="161">
        <f>'LEVEL 3'!G241</f>
        <v>4</v>
      </c>
      <c r="R228" s="185">
        <f>'LEVEL 3'!H241</f>
        <v>2485</v>
      </c>
      <c r="S228" s="216">
        <f>'LEVEL 3'!I241</f>
        <v>0</v>
      </c>
      <c r="T228" s="185">
        <f>'LEVEL 3'!J241</f>
        <v>2485</v>
      </c>
      <c r="U228" s="217">
        <f>'LEVEL 3'!K241</f>
        <v>9940</v>
      </c>
      <c r="V228" s="259"/>
      <c r="X228" s="429">
        <f t="shared" si="26"/>
        <v>0</v>
      </c>
      <c r="Z228" s="432">
        <f t="shared" si="27"/>
        <v>0</v>
      </c>
      <c r="AB228" s="504"/>
    </row>
    <row r="229" spans="1:28" outlineLevel="1">
      <c r="A229" s="512" t="s">
        <v>545</v>
      </c>
      <c r="C229" s="629"/>
      <c r="D229" s="259">
        <f t="shared" si="25"/>
        <v>0</v>
      </c>
      <c r="E229" s="290"/>
      <c r="F229" s="483" t="s">
        <v>110</v>
      </c>
      <c r="G229" s="164" t="s">
        <v>121</v>
      </c>
      <c r="H229" s="161">
        <v>1</v>
      </c>
      <c r="I229" s="185">
        <v>10000</v>
      </c>
      <c r="J229" s="216">
        <v>0</v>
      </c>
      <c r="K229" s="185">
        <v>10000</v>
      </c>
      <c r="L229" s="217">
        <v>10000</v>
      </c>
      <c r="M229" s="259"/>
      <c r="O229" s="483" t="s">
        <v>110</v>
      </c>
      <c r="P229" s="164" t="str">
        <f>'LEVEL 3'!F242</f>
        <v>LS</v>
      </c>
      <c r="Q229" s="161">
        <f>'LEVEL 3'!G242</f>
        <v>1</v>
      </c>
      <c r="R229" s="185">
        <f>'LEVEL 3'!H242</f>
        <v>10000</v>
      </c>
      <c r="S229" s="216">
        <f>'LEVEL 3'!I242</f>
        <v>0</v>
      </c>
      <c r="T229" s="185">
        <f>'LEVEL 3'!J242</f>
        <v>10000</v>
      </c>
      <c r="U229" s="217">
        <f>'LEVEL 3'!K242</f>
        <v>10000</v>
      </c>
      <c r="V229" s="259"/>
      <c r="X229" s="429">
        <f t="shared" si="26"/>
        <v>0</v>
      </c>
      <c r="Z229" s="432">
        <f t="shared" si="27"/>
        <v>0</v>
      </c>
      <c r="AB229" s="504"/>
    </row>
    <row r="230" spans="1:28" outlineLevel="1">
      <c r="A230" s="512" t="s">
        <v>547</v>
      </c>
      <c r="C230" s="629"/>
      <c r="D230" s="259">
        <f t="shared" si="25"/>
        <v>0</v>
      </c>
      <c r="E230" s="290"/>
      <c r="F230" s="483" t="s">
        <v>110</v>
      </c>
      <c r="G230" s="164" t="s">
        <v>549</v>
      </c>
      <c r="H230" s="161">
        <v>150</v>
      </c>
      <c r="I230" s="185">
        <v>70</v>
      </c>
      <c r="J230" s="216">
        <v>0</v>
      </c>
      <c r="K230" s="185">
        <v>70</v>
      </c>
      <c r="L230" s="217">
        <v>10500</v>
      </c>
      <c r="M230" s="259"/>
      <c r="O230" s="483" t="s">
        <v>110</v>
      </c>
      <c r="P230" s="164" t="str">
        <f>'LEVEL 3'!F243</f>
        <v>LF</v>
      </c>
      <c r="Q230" s="161">
        <f>'LEVEL 3'!G243</f>
        <v>150</v>
      </c>
      <c r="R230" s="185">
        <f>'LEVEL 3'!H243</f>
        <v>70</v>
      </c>
      <c r="S230" s="216">
        <f>'LEVEL 3'!I243</f>
        <v>0</v>
      </c>
      <c r="T230" s="185">
        <f>'LEVEL 3'!J243</f>
        <v>70</v>
      </c>
      <c r="U230" s="217">
        <f>'LEVEL 3'!K243</f>
        <v>10500</v>
      </c>
      <c r="V230" s="259"/>
      <c r="X230" s="429">
        <f t="shared" si="26"/>
        <v>0</v>
      </c>
      <c r="Z230" s="432">
        <f t="shared" si="27"/>
        <v>0</v>
      </c>
      <c r="AB230" s="504"/>
    </row>
    <row r="231" spans="1:28" outlineLevel="1">
      <c r="A231" s="512" t="s">
        <v>70</v>
      </c>
      <c r="C231" s="629"/>
      <c r="D231" s="259">
        <f t="shared" si="25"/>
        <v>0</v>
      </c>
      <c r="E231" s="290"/>
      <c r="F231" s="483" t="s">
        <v>116</v>
      </c>
      <c r="G231" s="164" t="s">
        <v>549</v>
      </c>
      <c r="H231" s="161">
        <v>300</v>
      </c>
      <c r="I231" s="185">
        <v>70</v>
      </c>
      <c r="J231" s="216">
        <v>0</v>
      </c>
      <c r="K231" s="185">
        <v>70</v>
      </c>
      <c r="L231" s="217">
        <v>21000</v>
      </c>
      <c r="M231" s="259"/>
      <c r="O231" s="483" t="s">
        <v>116</v>
      </c>
      <c r="P231" s="164" t="str">
        <f>'LEVEL 3'!F244</f>
        <v>LF</v>
      </c>
      <c r="Q231" s="161">
        <f>'LEVEL 3'!G244</f>
        <v>300</v>
      </c>
      <c r="R231" s="185">
        <f>'LEVEL 3'!H244</f>
        <v>70</v>
      </c>
      <c r="S231" s="216">
        <f>'LEVEL 3'!I244</f>
        <v>0</v>
      </c>
      <c r="T231" s="185">
        <f>'LEVEL 3'!J244</f>
        <v>70</v>
      </c>
      <c r="U231" s="217">
        <f>'LEVEL 3'!K244</f>
        <v>21000</v>
      </c>
      <c r="V231" s="259"/>
      <c r="X231" s="429">
        <f t="shared" si="26"/>
        <v>0</v>
      </c>
      <c r="Z231" s="432">
        <f t="shared" si="27"/>
        <v>0</v>
      </c>
      <c r="AB231" s="504"/>
    </row>
    <row r="232" spans="1:28" outlineLevel="1">
      <c r="A232" s="512" t="s">
        <v>553</v>
      </c>
      <c r="C232" s="629"/>
      <c r="D232" s="259">
        <f t="shared" si="25"/>
        <v>0</v>
      </c>
      <c r="E232" s="290"/>
      <c r="F232" s="483" t="s">
        <v>116</v>
      </c>
      <c r="G232" s="164" t="s">
        <v>32</v>
      </c>
      <c r="H232" s="161">
        <v>2</v>
      </c>
      <c r="I232" s="185">
        <v>1950</v>
      </c>
      <c r="J232" s="216">
        <v>0</v>
      </c>
      <c r="K232" s="185">
        <v>1950</v>
      </c>
      <c r="L232" s="217">
        <v>3900</v>
      </c>
      <c r="M232" s="259"/>
      <c r="O232" s="483" t="s">
        <v>116</v>
      </c>
      <c r="P232" s="164" t="str">
        <f>'LEVEL 3'!F245</f>
        <v>Count</v>
      </c>
      <c r="Q232" s="161">
        <f>'LEVEL 3'!G245</f>
        <v>2</v>
      </c>
      <c r="R232" s="185">
        <f>'LEVEL 3'!H245</f>
        <v>1950</v>
      </c>
      <c r="S232" s="216">
        <f>'LEVEL 3'!I245</f>
        <v>0</v>
      </c>
      <c r="T232" s="185">
        <f>'LEVEL 3'!J245</f>
        <v>1950</v>
      </c>
      <c r="U232" s="217">
        <f>'LEVEL 3'!K245</f>
        <v>3900</v>
      </c>
      <c r="V232" s="259"/>
      <c r="X232" s="429">
        <f t="shared" si="26"/>
        <v>0</v>
      </c>
      <c r="Z232" s="432">
        <f t="shared" si="27"/>
        <v>0</v>
      </c>
      <c r="AB232" s="504"/>
    </row>
    <row r="233" spans="1:28" outlineLevel="1">
      <c r="A233" s="512" t="s">
        <v>554</v>
      </c>
      <c r="C233" s="629"/>
      <c r="D233" s="259">
        <f t="shared" si="25"/>
        <v>0</v>
      </c>
      <c r="E233" s="290"/>
      <c r="F233" s="483" t="s">
        <v>116</v>
      </c>
      <c r="G233" s="164" t="s">
        <v>121</v>
      </c>
      <c r="H233" s="161">
        <v>1</v>
      </c>
      <c r="I233" s="185">
        <v>6000</v>
      </c>
      <c r="J233" s="216">
        <v>0</v>
      </c>
      <c r="K233" s="185">
        <v>6000</v>
      </c>
      <c r="L233" s="217">
        <v>6000</v>
      </c>
      <c r="M233" s="259"/>
      <c r="O233" s="483" t="s">
        <v>116</v>
      </c>
      <c r="P233" s="164" t="str">
        <f>'LEVEL 3'!F246</f>
        <v>LS</v>
      </c>
      <c r="Q233" s="161">
        <f>'LEVEL 3'!G246</f>
        <v>1</v>
      </c>
      <c r="R233" s="185">
        <f>'LEVEL 3'!H246</f>
        <v>6000</v>
      </c>
      <c r="S233" s="216">
        <f>'LEVEL 3'!I246</f>
        <v>0</v>
      </c>
      <c r="T233" s="185">
        <f>'LEVEL 3'!J246</f>
        <v>6000</v>
      </c>
      <c r="U233" s="217">
        <f>'LEVEL 3'!K246</f>
        <v>6000</v>
      </c>
      <c r="V233" s="259"/>
      <c r="X233" s="429">
        <f t="shared" si="26"/>
        <v>0</v>
      </c>
      <c r="Z233" s="432">
        <f t="shared" si="27"/>
        <v>0</v>
      </c>
      <c r="AB233" s="504"/>
    </row>
    <row r="234" spans="1:28" outlineLevel="1">
      <c r="A234" s="512" t="s">
        <v>556</v>
      </c>
      <c r="C234" s="629"/>
      <c r="D234" s="259">
        <f t="shared" si="25"/>
        <v>0</v>
      </c>
      <c r="E234" s="290"/>
      <c r="F234" s="483" t="s">
        <v>118</v>
      </c>
      <c r="G234" s="164"/>
      <c r="H234" s="161"/>
      <c r="I234" s="185">
        <v>3555</v>
      </c>
      <c r="J234" s="216">
        <v>0</v>
      </c>
      <c r="K234" s="185">
        <v>3555</v>
      </c>
      <c r="L234" s="217">
        <v>0</v>
      </c>
      <c r="M234" s="259"/>
      <c r="O234" s="483" t="s">
        <v>118</v>
      </c>
      <c r="P234" s="164" t="str">
        <f>'LEVEL 3'!F247</f>
        <v>LS</v>
      </c>
      <c r="Q234" s="161">
        <f>'LEVEL 3'!G247</f>
        <v>1</v>
      </c>
      <c r="R234" s="185">
        <f>'LEVEL 3'!H247</f>
        <v>0</v>
      </c>
      <c r="S234" s="216">
        <f>'LEVEL 3'!I247</f>
        <v>0</v>
      </c>
      <c r="T234" s="185">
        <f>'LEVEL 3'!J247</f>
        <v>0</v>
      </c>
      <c r="U234" s="217">
        <f>'LEVEL 3'!K247</f>
        <v>0</v>
      </c>
      <c r="V234" s="259"/>
      <c r="X234" s="429">
        <f t="shared" si="26"/>
        <v>0</v>
      </c>
      <c r="Z234" s="432">
        <f t="shared" si="27"/>
        <v>0</v>
      </c>
      <c r="AB234" s="504"/>
    </row>
    <row r="235" spans="1:28" outlineLevel="1">
      <c r="A235" s="512" t="s">
        <v>558</v>
      </c>
      <c r="C235" s="629"/>
      <c r="D235" s="259">
        <f t="shared" si="25"/>
        <v>0</v>
      </c>
      <c r="E235" s="290"/>
      <c r="F235" s="483" t="s">
        <v>118</v>
      </c>
      <c r="G235" s="164"/>
      <c r="H235" s="161"/>
      <c r="I235" s="185">
        <v>44</v>
      </c>
      <c r="J235" s="216">
        <v>0</v>
      </c>
      <c r="K235" s="185">
        <v>44</v>
      </c>
      <c r="L235" s="217">
        <v>0</v>
      </c>
      <c r="M235" s="259"/>
      <c r="O235" s="483" t="s">
        <v>118</v>
      </c>
      <c r="P235" s="164">
        <f>'LEVEL 3'!F248</f>
        <v>0</v>
      </c>
      <c r="Q235" s="161">
        <f>'LEVEL 3'!G248</f>
        <v>0</v>
      </c>
      <c r="R235" s="185">
        <f>'LEVEL 3'!H248</f>
        <v>44</v>
      </c>
      <c r="S235" s="216">
        <f>'LEVEL 3'!I248</f>
        <v>0</v>
      </c>
      <c r="T235" s="185">
        <f>'LEVEL 3'!J248</f>
        <v>44</v>
      </c>
      <c r="U235" s="217">
        <f>'LEVEL 3'!K248</f>
        <v>0</v>
      </c>
      <c r="V235" s="259"/>
      <c r="X235" s="429">
        <f t="shared" si="26"/>
        <v>0</v>
      </c>
      <c r="Z235" s="432">
        <f t="shared" si="27"/>
        <v>0</v>
      </c>
      <c r="AB235" s="504"/>
    </row>
    <row r="236" spans="1:28" outlineLevel="1">
      <c r="A236" s="512" t="s">
        <v>560</v>
      </c>
      <c r="C236" s="629"/>
      <c r="D236" s="259">
        <f t="shared" si="25"/>
        <v>0</v>
      </c>
      <c r="E236" s="290"/>
      <c r="F236" s="483" t="s">
        <v>461</v>
      </c>
      <c r="G236" s="164" t="s">
        <v>121</v>
      </c>
      <c r="H236" s="161">
        <v>2</v>
      </c>
      <c r="I236" s="185">
        <v>1950</v>
      </c>
      <c r="J236" s="216">
        <v>0</v>
      </c>
      <c r="K236" s="185">
        <v>1950</v>
      </c>
      <c r="L236" s="217">
        <v>3900</v>
      </c>
      <c r="M236" s="259"/>
      <c r="O236" s="483" t="s">
        <v>461</v>
      </c>
      <c r="P236" s="164" t="str">
        <f>'LEVEL 3'!F249</f>
        <v>LS</v>
      </c>
      <c r="Q236" s="161">
        <f>'LEVEL 3'!G249</f>
        <v>2</v>
      </c>
      <c r="R236" s="185">
        <f>'LEVEL 3'!H249</f>
        <v>1950</v>
      </c>
      <c r="S236" s="216">
        <f>'LEVEL 3'!I249</f>
        <v>0</v>
      </c>
      <c r="T236" s="185">
        <f>'LEVEL 3'!J249</f>
        <v>1950</v>
      </c>
      <c r="U236" s="217">
        <f>'LEVEL 3'!K249</f>
        <v>3900</v>
      </c>
      <c r="V236" s="259"/>
      <c r="X236" s="429">
        <f t="shared" si="26"/>
        <v>0</v>
      </c>
      <c r="Z236" s="432">
        <f t="shared" si="27"/>
        <v>0</v>
      </c>
      <c r="AB236" s="504"/>
    </row>
    <row r="237" spans="1:28" outlineLevel="1">
      <c r="A237" s="512" t="s">
        <v>562</v>
      </c>
      <c r="C237" s="629"/>
      <c r="D237" s="259">
        <f t="shared" si="25"/>
        <v>0</v>
      </c>
      <c r="E237" s="290"/>
      <c r="F237" s="483" t="s">
        <v>110</v>
      </c>
      <c r="G237" s="164" t="s">
        <v>121</v>
      </c>
      <c r="H237" s="422">
        <v>1</v>
      </c>
      <c r="I237" s="185">
        <v>15000</v>
      </c>
      <c r="J237" s="216">
        <v>0</v>
      </c>
      <c r="K237" s="185">
        <v>15000</v>
      </c>
      <c r="L237" s="217">
        <v>15000</v>
      </c>
      <c r="M237" s="259"/>
      <c r="O237" s="483" t="s">
        <v>110</v>
      </c>
      <c r="P237" s="164" t="str">
        <f>'LEVEL 3'!F250</f>
        <v>LS</v>
      </c>
      <c r="Q237" s="422">
        <f>'LEVEL 3'!G250</f>
        <v>1</v>
      </c>
      <c r="R237" s="185">
        <f>'LEVEL 3'!H250</f>
        <v>15000</v>
      </c>
      <c r="S237" s="216">
        <f>'LEVEL 3'!I250</f>
        <v>0</v>
      </c>
      <c r="T237" s="185">
        <f>'LEVEL 3'!J250</f>
        <v>15000</v>
      </c>
      <c r="U237" s="217">
        <f>'LEVEL 3'!K250</f>
        <v>15000</v>
      </c>
      <c r="V237" s="259"/>
      <c r="X237" s="429">
        <f t="shared" si="26"/>
        <v>0</v>
      </c>
      <c r="Z237" s="432">
        <f t="shared" si="27"/>
        <v>0</v>
      </c>
      <c r="AB237" s="504"/>
    </row>
    <row r="238" spans="1:28" outlineLevel="1">
      <c r="A238" s="512" t="s">
        <v>564</v>
      </c>
      <c r="C238" s="629"/>
      <c r="D238" s="259">
        <f t="shared" si="25"/>
        <v>0</v>
      </c>
      <c r="E238" s="290"/>
      <c r="F238" s="483" t="s">
        <v>461</v>
      </c>
      <c r="G238" s="164" t="s">
        <v>121</v>
      </c>
      <c r="H238" s="161">
        <v>1</v>
      </c>
      <c r="I238" s="185">
        <v>98343</v>
      </c>
      <c r="J238" s="216">
        <v>0</v>
      </c>
      <c r="K238" s="185">
        <v>98343</v>
      </c>
      <c r="L238" s="217">
        <v>98343</v>
      </c>
      <c r="M238" s="259"/>
      <c r="O238" s="483" t="s">
        <v>461</v>
      </c>
      <c r="P238" s="164" t="str">
        <f>'LEVEL 3'!F251</f>
        <v>LS</v>
      </c>
      <c r="Q238" s="161">
        <f>'LEVEL 3'!G251</f>
        <v>1</v>
      </c>
      <c r="R238" s="185">
        <f>'LEVEL 3'!H251</f>
        <v>98343</v>
      </c>
      <c r="S238" s="216">
        <f>'LEVEL 3'!I251</f>
        <v>0</v>
      </c>
      <c r="T238" s="185">
        <f>'LEVEL 3'!J251</f>
        <v>98343</v>
      </c>
      <c r="U238" s="217">
        <f>'LEVEL 3'!K251</f>
        <v>98343</v>
      </c>
      <c r="V238" s="259"/>
      <c r="X238" s="429">
        <f t="shared" si="26"/>
        <v>0</v>
      </c>
      <c r="Z238" s="432">
        <f t="shared" si="27"/>
        <v>0</v>
      </c>
      <c r="AB238" s="504"/>
    </row>
    <row r="239" spans="1:28" outlineLevel="1">
      <c r="A239" s="512" t="s">
        <v>566</v>
      </c>
      <c r="C239" s="629"/>
      <c r="D239" s="259">
        <f t="shared" si="25"/>
        <v>0</v>
      </c>
      <c r="E239" s="290"/>
      <c r="F239" s="483" t="s">
        <v>240</v>
      </c>
      <c r="G239" s="164" t="s">
        <v>121</v>
      </c>
      <c r="H239" s="161">
        <v>1</v>
      </c>
      <c r="I239" s="185">
        <v>0</v>
      </c>
      <c r="J239" s="216">
        <v>0</v>
      </c>
      <c r="K239" s="185">
        <v>0</v>
      </c>
      <c r="L239" s="217">
        <v>0</v>
      </c>
      <c r="M239" s="259"/>
      <c r="O239" s="483" t="s">
        <v>240</v>
      </c>
      <c r="P239" s="164" t="str">
        <f>'LEVEL 3'!F252</f>
        <v>LS</v>
      </c>
      <c r="Q239" s="161">
        <f>'LEVEL 3'!G252</f>
        <v>1</v>
      </c>
      <c r="R239" s="185">
        <f>'LEVEL 3'!H252</f>
        <v>0</v>
      </c>
      <c r="S239" s="216">
        <f>'LEVEL 3'!I252</f>
        <v>0</v>
      </c>
      <c r="T239" s="185">
        <f>'LEVEL 3'!J252</f>
        <v>0</v>
      </c>
      <c r="U239" s="217">
        <f>'LEVEL 3'!K252</f>
        <v>0</v>
      </c>
      <c r="V239" s="259"/>
      <c r="X239" s="429">
        <f t="shared" si="26"/>
        <v>0</v>
      </c>
      <c r="Z239" s="432">
        <f t="shared" si="27"/>
        <v>0</v>
      </c>
      <c r="AB239" s="504"/>
    </row>
    <row r="240" spans="1:28" outlineLevel="1">
      <c r="A240" s="512" t="s">
        <v>568</v>
      </c>
      <c r="C240" s="629"/>
      <c r="D240" s="259">
        <f t="shared" si="25"/>
        <v>0</v>
      </c>
      <c r="E240" s="290"/>
      <c r="F240" s="483" t="s">
        <v>110</v>
      </c>
      <c r="G240" s="164" t="s">
        <v>121</v>
      </c>
      <c r="H240" s="161">
        <v>1</v>
      </c>
      <c r="I240" s="185">
        <v>15000</v>
      </c>
      <c r="J240" s="216">
        <v>0</v>
      </c>
      <c r="K240" s="185">
        <v>15000</v>
      </c>
      <c r="L240" s="217">
        <v>15000</v>
      </c>
      <c r="M240" s="259"/>
      <c r="O240" s="483" t="s">
        <v>110</v>
      </c>
      <c r="P240" s="164" t="str">
        <f>'LEVEL 3'!F253</f>
        <v>LS</v>
      </c>
      <c r="Q240" s="161">
        <f>'LEVEL 3'!G253</f>
        <v>1</v>
      </c>
      <c r="R240" s="185">
        <f>'LEVEL 3'!H253</f>
        <v>15000</v>
      </c>
      <c r="S240" s="216">
        <f>'LEVEL 3'!I253</f>
        <v>0</v>
      </c>
      <c r="T240" s="185">
        <f>'LEVEL 3'!J253</f>
        <v>15000</v>
      </c>
      <c r="U240" s="217">
        <f>'LEVEL 3'!K253</f>
        <v>15000</v>
      </c>
      <c r="V240" s="259"/>
      <c r="X240" s="429">
        <f t="shared" si="26"/>
        <v>0</v>
      </c>
      <c r="Z240" s="432">
        <f t="shared" si="27"/>
        <v>0</v>
      </c>
      <c r="AB240" s="504"/>
    </row>
    <row r="241" spans="1:28" outlineLevel="1">
      <c r="A241" s="512" t="s">
        <v>570</v>
      </c>
      <c r="C241" s="629"/>
      <c r="D241" s="259">
        <f t="shared" si="25"/>
        <v>0</v>
      </c>
      <c r="E241" s="290"/>
      <c r="F241" s="483" t="s">
        <v>110</v>
      </c>
      <c r="G241" s="164" t="s">
        <v>121</v>
      </c>
      <c r="H241" s="161">
        <v>1</v>
      </c>
      <c r="I241" s="185">
        <v>11000</v>
      </c>
      <c r="J241" s="216">
        <v>0</v>
      </c>
      <c r="K241" s="185">
        <v>11000</v>
      </c>
      <c r="L241" s="217">
        <v>11000</v>
      </c>
      <c r="M241" s="259"/>
      <c r="O241" s="483" t="s">
        <v>110</v>
      </c>
      <c r="P241" s="164" t="str">
        <f>'LEVEL 3'!F254</f>
        <v>LS</v>
      </c>
      <c r="Q241" s="161">
        <f>'LEVEL 3'!G254</f>
        <v>1</v>
      </c>
      <c r="R241" s="185">
        <f>'LEVEL 3'!H254</f>
        <v>11000</v>
      </c>
      <c r="S241" s="216">
        <f>'LEVEL 3'!I254</f>
        <v>0</v>
      </c>
      <c r="T241" s="185">
        <f>'LEVEL 3'!J254</f>
        <v>11000</v>
      </c>
      <c r="U241" s="217">
        <f>'LEVEL 3'!K254</f>
        <v>11000</v>
      </c>
      <c r="V241" s="259"/>
      <c r="X241" s="429">
        <f t="shared" si="26"/>
        <v>0</v>
      </c>
      <c r="Z241" s="432">
        <f t="shared" si="27"/>
        <v>0</v>
      </c>
      <c r="AB241" s="504"/>
    </row>
    <row r="242" spans="1:28" outlineLevel="1">
      <c r="A242" s="512" t="s">
        <v>572</v>
      </c>
      <c r="C242" s="629"/>
      <c r="D242" s="259">
        <f t="shared" si="25"/>
        <v>0</v>
      </c>
      <c r="E242" s="290"/>
      <c r="F242" s="483" t="s">
        <v>110</v>
      </c>
      <c r="G242" s="164" t="s">
        <v>121</v>
      </c>
      <c r="H242" s="161">
        <v>1</v>
      </c>
      <c r="I242" s="185">
        <v>7000</v>
      </c>
      <c r="J242" s="216">
        <v>0</v>
      </c>
      <c r="K242" s="185">
        <v>7000</v>
      </c>
      <c r="L242" s="217">
        <v>7000</v>
      </c>
      <c r="M242" s="259"/>
      <c r="O242" s="483" t="s">
        <v>110</v>
      </c>
      <c r="P242" s="164" t="str">
        <f>'LEVEL 3'!F255</f>
        <v>LS</v>
      </c>
      <c r="Q242" s="161">
        <f>'LEVEL 3'!G255</f>
        <v>1</v>
      </c>
      <c r="R242" s="185">
        <f>'LEVEL 3'!H255</f>
        <v>7000</v>
      </c>
      <c r="S242" s="216">
        <f>'LEVEL 3'!I255</f>
        <v>0</v>
      </c>
      <c r="T242" s="185">
        <f>'LEVEL 3'!J255</f>
        <v>7000</v>
      </c>
      <c r="U242" s="217">
        <f>'LEVEL 3'!K255</f>
        <v>7000</v>
      </c>
      <c r="V242" s="259"/>
      <c r="X242" s="429">
        <f t="shared" si="26"/>
        <v>0</v>
      </c>
      <c r="Z242" s="432">
        <f t="shared" si="27"/>
        <v>0</v>
      </c>
      <c r="AB242" s="504"/>
    </row>
    <row r="243" spans="1:28" outlineLevel="1">
      <c r="A243" s="512" t="s">
        <v>53</v>
      </c>
      <c r="C243" s="629"/>
      <c r="D243" s="259">
        <f t="shared" si="25"/>
        <v>0</v>
      </c>
      <c r="E243" s="290"/>
      <c r="F243" s="483" t="s">
        <v>116</v>
      </c>
      <c r="G243" s="164" t="s">
        <v>15</v>
      </c>
      <c r="H243" s="167">
        <v>39274</v>
      </c>
      <c r="I243" s="185">
        <v>17.056708470190106</v>
      </c>
      <c r="J243" s="216">
        <v>0</v>
      </c>
      <c r="K243" s="185">
        <v>17.056708470190106</v>
      </c>
      <c r="L243" s="217">
        <v>669885.16845824628</v>
      </c>
      <c r="M243" s="259"/>
      <c r="O243" s="483" t="s">
        <v>116</v>
      </c>
      <c r="P243" s="164" t="str">
        <f>'LEVEL 3'!F256</f>
        <v>SF</v>
      </c>
      <c r="Q243" s="167">
        <f>'LEVEL 3'!G256</f>
        <v>39274</v>
      </c>
      <c r="R243" s="185">
        <f>'LEVEL 3'!H256</f>
        <v>17.056708470190106</v>
      </c>
      <c r="S243" s="216">
        <f>'LEVEL 3'!I256</f>
        <v>0</v>
      </c>
      <c r="T243" s="185">
        <f>'LEVEL 3'!J256</f>
        <v>17.056708470190106</v>
      </c>
      <c r="U243" s="217">
        <f>'LEVEL 3'!K256</f>
        <v>669885.16845824628</v>
      </c>
      <c r="V243" s="259"/>
      <c r="X243" s="429">
        <f t="shared" si="26"/>
        <v>0</v>
      </c>
      <c r="Z243" s="432">
        <f t="shared" si="27"/>
        <v>0</v>
      </c>
      <c r="AB243" s="504"/>
    </row>
    <row r="244" spans="1:28" outlineLevel="1">
      <c r="A244" s="512" t="s">
        <v>575</v>
      </c>
      <c r="C244" s="629"/>
      <c r="D244" s="259">
        <f t="shared" si="25"/>
        <v>0</v>
      </c>
      <c r="E244" s="290"/>
      <c r="F244" s="483" t="s">
        <v>118</v>
      </c>
      <c r="G244" s="164"/>
      <c r="H244" s="161"/>
      <c r="I244" s="185"/>
      <c r="J244" s="216">
        <v>0</v>
      </c>
      <c r="K244" s="185">
        <v>0</v>
      </c>
      <c r="L244" s="217">
        <v>0</v>
      </c>
      <c r="M244" s="259"/>
      <c r="O244" s="483" t="s">
        <v>118</v>
      </c>
      <c r="P244" s="164">
        <f>'LEVEL 3'!F257</f>
        <v>0</v>
      </c>
      <c r="Q244" s="161">
        <f>'LEVEL 3'!G257</f>
        <v>0</v>
      </c>
      <c r="R244" s="185">
        <f>'LEVEL 3'!H257</f>
        <v>0</v>
      </c>
      <c r="S244" s="216">
        <f>'LEVEL 3'!I257</f>
        <v>0</v>
      </c>
      <c r="T244" s="185">
        <f>'LEVEL 3'!J257</f>
        <v>0</v>
      </c>
      <c r="U244" s="217">
        <f>'LEVEL 3'!K257</f>
        <v>0</v>
      </c>
      <c r="V244" s="259"/>
      <c r="X244" s="429">
        <f t="shared" si="26"/>
        <v>0</v>
      </c>
      <c r="Z244" s="432">
        <f t="shared" si="27"/>
        <v>0</v>
      </c>
      <c r="AB244" s="504"/>
    </row>
    <row r="245" spans="1:28" outlineLevel="1">
      <c r="A245" s="512" t="s">
        <v>576</v>
      </c>
      <c r="C245" s="629"/>
      <c r="D245" s="259">
        <f t="shared" si="25"/>
        <v>0</v>
      </c>
      <c r="E245" s="290"/>
      <c r="F245" s="483" t="s">
        <v>118</v>
      </c>
      <c r="G245" s="164"/>
      <c r="H245" s="161"/>
      <c r="I245" s="185"/>
      <c r="J245" s="216">
        <v>0</v>
      </c>
      <c r="K245" s="185">
        <v>0</v>
      </c>
      <c r="L245" s="217">
        <v>0</v>
      </c>
      <c r="M245" s="259"/>
      <c r="O245" s="483" t="s">
        <v>118</v>
      </c>
      <c r="P245" s="164">
        <f>'LEVEL 3'!F258</f>
        <v>0</v>
      </c>
      <c r="Q245" s="161">
        <f>'LEVEL 3'!G258</f>
        <v>0</v>
      </c>
      <c r="R245" s="185">
        <f>'LEVEL 3'!H258</f>
        <v>0</v>
      </c>
      <c r="S245" s="216">
        <f>'LEVEL 3'!I258</f>
        <v>0</v>
      </c>
      <c r="T245" s="185">
        <f>'LEVEL 3'!J258</f>
        <v>0</v>
      </c>
      <c r="U245" s="217">
        <f>'LEVEL 3'!K258</f>
        <v>0</v>
      </c>
      <c r="V245" s="259"/>
      <c r="X245" s="429">
        <f t="shared" si="26"/>
        <v>0</v>
      </c>
      <c r="Z245" s="432">
        <f t="shared" si="27"/>
        <v>0</v>
      </c>
      <c r="AB245" s="504"/>
    </row>
    <row r="246" spans="1:28" outlineLevel="1">
      <c r="A246" s="512" t="s">
        <v>578</v>
      </c>
      <c r="C246" s="629"/>
      <c r="D246" s="259">
        <f t="shared" si="25"/>
        <v>0</v>
      </c>
      <c r="E246" s="290"/>
      <c r="F246" s="483" t="s">
        <v>880</v>
      </c>
      <c r="G246" s="164" t="s">
        <v>121</v>
      </c>
      <c r="H246" s="161">
        <v>1</v>
      </c>
      <c r="I246" s="185">
        <v>5000</v>
      </c>
      <c r="J246" s="216">
        <v>0</v>
      </c>
      <c r="K246" s="185">
        <v>5000</v>
      </c>
      <c r="L246" s="217">
        <v>5000</v>
      </c>
      <c r="M246" s="259"/>
      <c r="O246" s="483" t="s">
        <v>880</v>
      </c>
      <c r="P246" s="164" t="str">
        <f>'LEVEL 3'!F259</f>
        <v>LS</v>
      </c>
      <c r="Q246" s="161">
        <f>'LEVEL 3'!G259</f>
        <v>1</v>
      </c>
      <c r="R246" s="185">
        <f>'LEVEL 3'!H259</f>
        <v>5000</v>
      </c>
      <c r="S246" s="216">
        <f>'LEVEL 3'!I259</f>
        <v>0</v>
      </c>
      <c r="T246" s="185">
        <f>'LEVEL 3'!J259</f>
        <v>5000</v>
      </c>
      <c r="U246" s="217">
        <f>'LEVEL 3'!K259</f>
        <v>5000</v>
      </c>
      <c r="V246" s="259"/>
      <c r="X246" s="429">
        <f t="shared" si="26"/>
        <v>0</v>
      </c>
      <c r="Z246" s="432">
        <f t="shared" si="27"/>
        <v>0</v>
      </c>
      <c r="AB246" s="504"/>
    </row>
    <row r="247" spans="1:28" outlineLevel="1">
      <c r="A247" s="512" t="s">
        <v>579</v>
      </c>
      <c r="C247" s="629"/>
      <c r="D247" s="259">
        <f t="shared" si="25"/>
        <v>0</v>
      </c>
      <c r="E247" s="290"/>
      <c r="F247" s="483" t="s">
        <v>116</v>
      </c>
      <c r="G247" s="164" t="s">
        <v>121</v>
      </c>
      <c r="H247" s="161">
        <v>1</v>
      </c>
      <c r="I247" s="185">
        <v>414871.13888888888</v>
      </c>
      <c r="J247" s="216">
        <v>0</v>
      </c>
      <c r="K247" s="185">
        <v>414871.13888888888</v>
      </c>
      <c r="L247" s="217">
        <v>414871.13888888888</v>
      </c>
      <c r="M247" s="259"/>
      <c r="O247" s="483" t="s">
        <v>116</v>
      </c>
      <c r="P247" s="164" t="str">
        <f>'LEVEL 3'!F260</f>
        <v>LS</v>
      </c>
      <c r="Q247" s="161">
        <f>'LEVEL 3'!G260</f>
        <v>1</v>
      </c>
      <c r="R247" s="185">
        <f>'LEVEL 3'!H260</f>
        <v>414871.13888888888</v>
      </c>
      <c r="S247" s="216">
        <f>'LEVEL 3'!I260</f>
        <v>0</v>
      </c>
      <c r="T247" s="185">
        <f>'LEVEL 3'!J260</f>
        <v>414871.13888888888</v>
      </c>
      <c r="U247" s="217">
        <f>'LEVEL 3'!K260</f>
        <v>414871.13888888888</v>
      </c>
      <c r="V247" s="259"/>
      <c r="X247" s="429">
        <f t="shared" si="26"/>
        <v>0</v>
      </c>
      <c r="Z247" s="432">
        <f t="shared" si="27"/>
        <v>0</v>
      </c>
      <c r="AB247" s="504"/>
    </row>
    <row r="248" spans="1:28" outlineLevel="1">
      <c r="A248" s="512" t="s">
        <v>580</v>
      </c>
      <c r="C248" s="629"/>
      <c r="D248" s="259">
        <f t="shared" si="25"/>
        <v>0</v>
      </c>
      <c r="E248" s="290"/>
      <c r="F248" s="483" t="s">
        <v>116</v>
      </c>
      <c r="G248" s="164" t="s">
        <v>121</v>
      </c>
      <c r="H248" s="161">
        <v>1</v>
      </c>
      <c r="I248" s="185">
        <v>50205</v>
      </c>
      <c r="J248" s="216">
        <v>0</v>
      </c>
      <c r="K248" s="185">
        <v>50205</v>
      </c>
      <c r="L248" s="217">
        <v>50205</v>
      </c>
      <c r="M248" s="259"/>
      <c r="O248" s="483" t="s">
        <v>116</v>
      </c>
      <c r="P248" s="164" t="str">
        <f>'LEVEL 3'!F261</f>
        <v>LS</v>
      </c>
      <c r="Q248" s="161">
        <f>'LEVEL 3'!G261</f>
        <v>1</v>
      </c>
      <c r="R248" s="185">
        <f>'LEVEL 3'!H261</f>
        <v>50205</v>
      </c>
      <c r="S248" s="216">
        <f>'LEVEL 3'!I261</f>
        <v>0</v>
      </c>
      <c r="T248" s="185">
        <f>'LEVEL 3'!J261</f>
        <v>50205</v>
      </c>
      <c r="U248" s="217">
        <f>'LEVEL 3'!K261</f>
        <v>50205</v>
      </c>
      <c r="V248" s="259"/>
      <c r="X248" s="429">
        <f t="shared" si="26"/>
        <v>0</v>
      </c>
      <c r="Z248" s="432">
        <f t="shared" si="27"/>
        <v>0</v>
      </c>
      <c r="AB248" s="504"/>
    </row>
    <row r="249" spans="1:28" outlineLevel="1">
      <c r="A249" s="512" t="s">
        <v>581</v>
      </c>
      <c r="C249" s="629"/>
      <c r="D249" s="259">
        <f t="shared" si="25"/>
        <v>0</v>
      </c>
      <c r="E249" s="290"/>
      <c r="F249" s="483" t="s">
        <v>116</v>
      </c>
      <c r="G249" s="164" t="s">
        <v>121</v>
      </c>
      <c r="H249" s="161">
        <v>1</v>
      </c>
      <c r="I249" s="185">
        <v>32531</v>
      </c>
      <c r="J249" s="216">
        <v>0</v>
      </c>
      <c r="K249" s="185">
        <v>32531</v>
      </c>
      <c r="L249" s="217">
        <v>32531</v>
      </c>
      <c r="M249" s="259"/>
      <c r="O249" s="483" t="s">
        <v>116</v>
      </c>
      <c r="P249" s="164" t="str">
        <f>'LEVEL 3'!F262</f>
        <v>LS</v>
      </c>
      <c r="Q249" s="161">
        <f>'LEVEL 3'!G262</f>
        <v>1</v>
      </c>
      <c r="R249" s="185">
        <f>'LEVEL 3'!H262</f>
        <v>32531</v>
      </c>
      <c r="S249" s="216">
        <f>'LEVEL 3'!I262</f>
        <v>0</v>
      </c>
      <c r="T249" s="185">
        <f>'LEVEL 3'!J262</f>
        <v>32531</v>
      </c>
      <c r="U249" s="217">
        <f>'LEVEL 3'!K262</f>
        <v>32531</v>
      </c>
      <c r="V249" s="259"/>
      <c r="X249" s="429">
        <f t="shared" si="26"/>
        <v>0</v>
      </c>
      <c r="Z249" s="432">
        <f t="shared" si="27"/>
        <v>0</v>
      </c>
      <c r="AB249" s="504"/>
    </row>
    <row r="250" spans="1:28" s="329" customFormat="1" outlineLevel="1">
      <c r="A250" s="512" t="s">
        <v>882</v>
      </c>
      <c r="C250" s="629"/>
      <c r="D250" s="259">
        <f t="shared" si="25"/>
        <v>0</v>
      </c>
      <c r="E250" s="290"/>
      <c r="F250" s="483" t="s">
        <v>461</v>
      </c>
      <c r="G250" s="164" t="s">
        <v>121</v>
      </c>
      <c r="H250" s="161">
        <v>1</v>
      </c>
      <c r="I250" s="185">
        <v>296825</v>
      </c>
      <c r="J250" s="216">
        <v>0</v>
      </c>
      <c r="K250" s="185">
        <v>296825</v>
      </c>
      <c r="L250" s="217">
        <v>296825</v>
      </c>
      <c r="M250" s="259"/>
      <c r="O250" s="483" t="s">
        <v>461</v>
      </c>
      <c r="P250" s="164" t="str">
        <f>'LEVEL 3'!F263</f>
        <v>LS</v>
      </c>
      <c r="Q250" s="161">
        <f>'LEVEL 3'!G263</f>
        <v>1</v>
      </c>
      <c r="R250" s="185">
        <f>'LEVEL 3'!H263</f>
        <v>0</v>
      </c>
      <c r="S250" s="216">
        <f>'LEVEL 3'!I263</f>
        <v>0</v>
      </c>
      <c r="T250" s="185">
        <f>'LEVEL 3'!J263</f>
        <v>0</v>
      </c>
      <c r="U250" s="217">
        <f>'LEVEL 3'!K263</f>
        <v>0</v>
      </c>
      <c r="V250" s="259"/>
      <c r="X250" s="429">
        <f t="shared" si="26"/>
        <v>-296825</v>
      </c>
      <c r="Z250" s="432">
        <f t="shared" si="27"/>
        <v>-1</v>
      </c>
      <c r="AB250" s="504"/>
    </row>
    <row r="251" spans="1:28">
      <c r="A251" s="509" t="s">
        <v>514</v>
      </c>
      <c r="C251" s="491">
        <v>2421456.5700000003</v>
      </c>
      <c r="D251" s="628">
        <f t="shared" si="25"/>
        <v>-416209.66265286505</v>
      </c>
      <c r="E251" s="290"/>
      <c r="F251" s="479"/>
      <c r="G251" s="305"/>
      <c r="H251" s="306"/>
      <c r="I251" s="307"/>
      <c r="J251" s="308"/>
      <c r="K251" s="307"/>
      <c r="L251" s="421"/>
      <c r="M251" s="480">
        <f>SUM(L214:L250)</f>
        <v>2302071.9073471352</v>
      </c>
      <c r="O251" s="479"/>
      <c r="P251" s="305"/>
      <c r="Q251" s="306"/>
      <c r="R251" s="307"/>
      <c r="S251" s="308"/>
      <c r="T251" s="307"/>
      <c r="U251" s="421"/>
      <c r="V251" s="480">
        <f>'LEVEL 3'!L226</f>
        <v>2005246.9073471352</v>
      </c>
      <c r="X251" s="491">
        <f>V251-M251</f>
        <v>-296825</v>
      </c>
      <c r="Z251" s="497">
        <f>IF(M251=0,0,X251/M251)</f>
        <v>-0.12893819652317273</v>
      </c>
      <c r="AB251" s="504"/>
    </row>
    <row r="252" spans="1:28" outlineLevel="1">
      <c r="A252" s="515" t="s">
        <v>584</v>
      </c>
      <c r="C252" s="629"/>
      <c r="D252" s="259">
        <f t="shared" si="25"/>
        <v>0</v>
      </c>
      <c r="E252" s="290"/>
      <c r="F252" s="482" t="s">
        <v>110</v>
      </c>
      <c r="G252" s="176" t="s">
        <v>10</v>
      </c>
      <c r="H252" s="167">
        <v>194</v>
      </c>
      <c r="I252" s="413">
        <v>375</v>
      </c>
      <c r="J252" s="414">
        <v>0</v>
      </c>
      <c r="K252" s="415">
        <v>375</v>
      </c>
      <c r="L252" s="416">
        <v>72750</v>
      </c>
      <c r="M252" s="259"/>
      <c r="O252" s="482" t="s">
        <v>110</v>
      </c>
      <c r="P252" s="176" t="str">
        <f>'LEVEL 3'!F265</f>
        <v>Unit</v>
      </c>
      <c r="Q252" s="167">
        <f>'LEVEL 3'!G265</f>
        <v>194</v>
      </c>
      <c r="R252" s="413">
        <f>'LEVEL 3'!H265</f>
        <v>375</v>
      </c>
      <c r="S252" s="414">
        <f>'LEVEL 3'!I265</f>
        <v>0</v>
      </c>
      <c r="T252" s="415">
        <f>'LEVEL 3'!J265</f>
        <v>375</v>
      </c>
      <c r="U252" s="416">
        <f>'LEVEL 3'!K265</f>
        <v>72750</v>
      </c>
      <c r="V252" s="259"/>
      <c r="X252" s="429">
        <f t="shared" ref="X252:X267" si="28">U252-L252</f>
        <v>0</v>
      </c>
      <c r="Z252" s="432">
        <f t="shared" ref="Z252:Z267" si="29">IF(L252=0,0,X252/L252)</f>
        <v>0</v>
      </c>
      <c r="AB252" s="504"/>
    </row>
    <row r="253" spans="1:28" outlineLevel="1">
      <c r="A253" s="514" t="s">
        <v>587</v>
      </c>
      <c r="C253" s="629"/>
      <c r="D253" s="259">
        <f t="shared" si="25"/>
        <v>0</v>
      </c>
      <c r="E253" s="290"/>
      <c r="F253" s="483" t="s">
        <v>110</v>
      </c>
      <c r="G253" s="164" t="s">
        <v>121</v>
      </c>
      <c r="H253" s="161">
        <v>1</v>
      </c>
      <c r="I253" s="185">
        <v>10000</v>
      </c>
      <c r="J253" s="216">
        <v>0</v>
      </c>
      <c r="K253" s="185">
        <v>10000</v>
      </c>
      <c r="L253" s="217">
        <v>10000</v>
      </c>
      <c r="M253" s="259"/>
      <c r="O253" s="483" t="s">
        <v>110</v>
      </c>
      <c r="P253" s="164" t="str">
        <f>'LEVEL 3'!F266</f>
        <v>LS</v>
      </c>
      <c r="Q253" s="161">
        <f>'LEVEL 3'!G266</f>
        <v>1</v>
      </c>
      <c r="R253" s="185">
        <f>'LEVEL 3'!H266</f>
        <v>10000</v>
      </c>
      <c r="S253" s="216">
        <f>'LEVEL 3'!I266</f>
        <v>0</v>
      </c>
      <c r="T253" s="185">
        <f>'LEVEL 3'!J266</f>
        <v>10000</v>
      </c>
      <c r="U253" s="217">
        <f>'LEVEL 3'!K266</f>
        <v>10000</v>
      </c>
      <c r="V253" s="259"/>
      <c r="X253" s="429">
        <f t="shared" si="28"/>
        <v>0</v>
      </c>
      <c r="Z253" s="432">
        <f t="shared" si="29"/>
        <v>0</v>
      </c>
      <c r="AB253" s="504"/>
    </row>
    <row r="254" spans="1:28" outlineLevel="1">
      <c r="A254" s="514" t="s">
        <v>589</v>
      </c>
      <c r="C254" s="629"/>
      <c r="D254" s="259">
        <f t="shared" si="25"/>
        <v>0</v>
      </c>
      <c r="E254" s="290"/>
      <c r="F254" s="483" t="s">
        <v>116</v>
      </c>
      <c r="G254" s="164" t="s">
        <v>121</v>
      </c>
      <c r="H254" s="161">
        <v>1</v>
      </c>
      <c r="I254" s="185">
        <v>424224</v>
      </c>
      <c r="J254" s="216">
        <v>0</v>
      </c>
      <c r="K254" s="185">
        <v>424224</v>
      </c>
      <c r="L254" s="217">
        <v>424224</v>
      </c>
      <c r="M254" s="259"/>
      <c r="O254" s="483" t="s">
        <v>855</v>
      </c>
      <c r="P254" s="164" t="str">
        <f>'LEVEL 3'!F267</f>
        <v>LS</v>
      </c>
      <c r="Q254" s="161">
        <f>'LEVEL 3'!G267</f>
        <v>1</v>
      </c>
      <c r="R254" s="185">
        <f>'LEVEL 3'!H267</f>
        <v>424224</v>
      </c>
      <c r="S254" s="216">
        <f>'LEVEL 3'!I267</f>
        <v>0</v>
      </c>
      <c r="T254" s="185">
        <f>'LEVEL 3'!J267</f>
        <v>424224</v>
      </c>
      <c r="U254" s="217">
        <f>'LEVEL 3'!K267</f>
        <v>424224</v>
      </c>
      <c r="V254" s="259"/>
      <c r="X254" s="429">
        <f t="shared" si="28"/>
        <v>0</v>
      </c>
      <c r="Z254" s="432">
        <f t="shared" si="29"/>
        <v>0</v>
      </c>
      <c r="AB254" s="504" t="s">
        <v>947</v>
      </c>
    </row>
    <row r="255" spans="1:28" outlineLevel="1">
      <c r="A255" s="514" t="s">
        <v>590</v>
      </c>
      <c r="C255" s="629"/>
      <c r="D255" s="259">
        <f t="shared" si="25"/>
        <v>0</v>
      </c>
      <c r="E255" s="290"/>
      <c r="F255" s="483" t="s">
        <v>116</v>
      </c>
      <c r="G255" s="164" t="s">
        <v>121</v>
      </c>
      <c r="H255" s="161">
        <v>1</v>
      </c>
      <c r="I255" s="185">
        <v>68283</v>
      </c>
      <c r="J255" s="216">
        <v>0</v>
      </c>
      <c r="K255" s="185">
        <v>68283</v>
      </c>
      <c r="L255" s="217">
        <v>68283</v>
      </c>
      <c r="M255" s="259"/>
      <c r="O255" s="483" t="s">
        <v>855</v>
      </c>
      <c r="P255" s="164" t="str">
        <f>'LEVEL 3'!F268</f>
        <v>LS</v>
      </c>
      <c r="Q255" s="161">
        <f>'LEVEL 3'!G268</f>
        <v>1</v>
      </c>
      <c r="R255" s="185">
        <f>'LEVEL 3'!H268</f>
        <v>68283</v>
      </c>
      <c r="S255" s="216">
        <f>'LEVEL 3'!I268</f>
        <v>0</v>
      </c>
      <c r="T255" s="185">
        <f>'LEVEL 3'!J268</f>
        <v>68283</v>
      </c>
      <c r="U255" s="217">
        <f>'LEVEL 3'!K268</f>
        <v>68283</v>
      </c>
      <c r="V255" s="259"/>
      <c r="X255" s="429">
        <f t="shared" si="28"/>
        <v>0</v>
      </c>
      <c r="Z255" s="432">
        <f t="shared" si="29"/>
        <v>0</v>
      </c>
      <c r="AB255" s="504"/>
    </row>
    <row r="256" spans="1:28" outlineLevel="1">
      <c r="A256" s="514" t="s">
        <v>592</v>
      </c>
      <c r="C256" s="629"/>
      <c r="D256" s="259">
        <f t="shared" si="25"/>
        <v>0</v>
      </c>
      <c r="E256" s="290"/>
      <c r="F256" s="483" t="s">
        <v>118</v>
      </c>
      <c r="G256" s="164"/>
      <c r="H256" s="161"/>
      <c r="I256" s="185"/>
      <c r="J256" s="216">
        <v>0</v>
      </c>
      <c r="K256" s="185">
        <v>0</v>
      </c>
      <c r="L256" s="217">
        <v>0</v>
      </c>
      <c r="M256" s="259"/>
      <c r="O256" s="483" t="s">
        <v>118</v>
      </c>
      <c r="P256" s="164">
        <f>'LEVEL 3'!F269</f>
        <v>0</v>
      </c>
      <c r="Q256" s="161">
        <f>'LEVEL 3'!G269</f>
        <v>0</v>
      </c>
      <c r="R256" s="185">
        <f>'LEVEL 3'!H269</f>
        <v>0</v>
      </c>
      <c r="S256" s="216">
        <f>'LEVEL 3'!I269</f>
        <v>0</v>
      </c>
      <c r="T256" s="185">
        <f>'LEVEL 3'!J269</f>
        <v>0</v>
      </c>
      <c r="U256" s="217">
        <f>'LEVEL 3'!K269</f>
        <v>0</v>
      </c>
      <c r="V256" s="259"/>
      <c r="X256" s="429">
        <f t="shared" si="28"/>
        <v>0</v>
      </c>
      <c r="Z256" s="432">
        <f t="shared" si="29"/>
        <v>0</v>
      </c>
      <c r="AB256" s="504"/>
    </row>
    <row r="257" spans="1:28" outlineLevel="1">
      <c r="A257" s="514" t="s">
        <v>594</v>
      </c>
      <c r="C257" s="629"/>
      <c r="D257" s="259">
        <f t="shared" si="25"/>
        <v>0</v>
      </c>
      <c r="E257" s="290"/>
      <c r="F257" s="483" t="s">
        <v>110</v>
      </c>
      <c r="G257" s="164" t="s">
        <v>121</v>
      </c>
      <c r="H257" s="161">
        <v>1</v>
      </c>
      <c r="I257" s="185">
        <v>5000</v>
      </c>
      <c r="J257" s="216">
        <v>0</v>
      </c>
      <c r="K257" s="185">
        <v>5000</v>
      </c>
      <c r="L257" s="217">
        <v>5000</v>
      </c>
      <c r="M257" s="259"/>
      <c r="O257" s="483" t="s">
        <v>110</v>
      </c>
      <c r="P257" s="164" t="str">
        <f>'LEVEL 3'!F270</f>
        <v>LS</v>
      </c>
      <c r="Q257" s="161">
        <f>'LEVEL 3'!G270</f>
        <v>1</v>
      </c>
      <c r="R257" s="185">
        <f>'LEVEL 3'!H270</f>
        <v>5000</v>
      </c>
      <c r="S257" s="216">
        <f>'LEVEL 3'!I270</f>
        <v>0</v>
      </c>
      <c r="T257" s="185">
        <f>'LEVEL 3'!J270</f>
        <v>5000</v>
      </c>
      <c r="U257" s="217">
        <f>'LEVEL 3'!K270</f>
        <v>5000</v>
      </c>
      <c r="V257" s="259"/>
      <c r="X257" s="429">
        <f t="shared" si="28"/>
        <v>0</v>
      </c>
      <c r="Z257" s="432">
        <f t="shared" si="29"/>
        <v>0</v>
      </c>
      <c r="AB257" s="504"/>
    </row>
    <row r="258" spans="1:28" s="329" customFormat="1" outlineLevel="1">
      <c r="A258" s="514" t="s">
        <v>886</v>
      </c>
      <c r="C258" s="629"/>
      <c r="D258" s="259">
        <f t="shared" si="25"/>
        <v>0</v>
      </c>
      <c r="E258" s="290"/>
      <c r="F258" s="483" t="s">
        <v>461</v>
      </c>
      <c r="G258" s="164" t="s">
        <v>121</v>
      </c>
      <c r="H258" s="161">
        <v>1</v>
      </c>
      <c r="I258" s="185">
        <v>350000</v>
      </c>
      <c r="J258" s="216">
        <v>0.15</v>
      </c>
      <c r="K258" s="185">
        <v>402499.99999999994</v>
      </c>
      <c r="L258" s="217">
        <v>402499.99999999994</v>
      </c>
      <c r="M258" s="259"/>
      <c r="O258" s="483" t="s">
        <v>461</v>
      </c>
      <c r="P258" s="164" t="str">
        <f>'LEVEL 3'!F271</f>
        <v>LS</v>
      </c>
      <c r="Q258" s="161">
        <f>'LEVEL 3'!G271</f>
        <v>1</v>
      </c>
      <c r="R258" s="185">
        <f>'LEVEL 3'!H271</f>
        <v>350000</v>
      </c>
      <c r="S258" s="216">
        <f>'LEVEL 3'!I271</f>
        <v>0.15</v>
      </c>
      <c r="T258" s="185">
        <f>'LEVEL 3'!J271</f>
        <v>402499.99999999994</v>
      </c>
      <c r="U258" s="217">
        <f>'LEVEL 3'!K271</f>
        <v>402499.99999999994</v>
      </c>
      <c r="V258" s="259"/>
      <c r="X258" s="429">
        <f t="shared" si="28"/>
        <v>0</v>
      </c>
      <c r="Z258" s="432">
        <f t="shared" si="29"/>
        <v>0</v>
      </c>
      <c r="AB258" s="504"/>
    </row>
    <row r="259" spans="1:28" outlineLevel="1">
      <c r="A259" s="512" t="s">
        <v>596</v>
      </c>
      <c r="C259" s="629"/>
      <c r="D259" s="259">
        <f t="shared" si="25"/>
        <v>0</v>
      </c>
      <c r="E259" s="290"/>
      <c r="F259" s="483" t="s">
        <v>116</v>
      </c>
      <c r="G259" s="164" t="s">
        <v>121</v>
      </c>
      <c r="H259" s="161">
        <v>1</v>
      </c>
      <c r="I259" s="185">
        <v>136424</v>
      </c>
      <c r="J259" s="216">
        <v>0</v>
      </c>
      <c r="K259" s="185">
        <v>136424</v>
      </c>
      <c r="L259" s="217">
        <v>136424</v>
      </c>
      <c r="M259" s="259"/>
      <c r="O259" s="483" t="s">
        <v>855</v>
      </c>
      <c r="P259" s="164" t="str">
        <f>'LEVEL 3'!F272</f>
        <v>LS</v>
      </c>
      <c r="Q259" s="161">
        <f>'LEVEL 3'!G272</f>
        <v>1</v>
      </c>
      <c r="R259" s="185">
        <f>'LEVEL 3'!H272</f>
        <v>136424</v>
      </c>
      <c r="S259" s="216">
        <f>'LEVEL 3'!I272</f>
        <v>0</v>
      </c>
      <c r="T259" s="185">
        <f>'LEVEL 3'!J272</f>
        <v>136424</v>
      </c>
      <c r="U259" s="217">
        <f>'LEVEL 3'!K272</f>
        <v>136424</v>
      </c>
      <c r="V259" s="259"/>
      <c r="X259" s="429">
        <f t="shared" si="28"/>
        <v>0</v>
      </c>
      <c r="Z259" s="432">
        <f t="shared" si="29"/>
        <v>0</v>
      </c>
      <c r="AB259" s="504" t="s">
        <v>947</v>
      </c>
    </row>
    <row r="260" spans="1:28" outlineLevel="1">
      <c r="A260" s="512" t="s">
        <v>598</v>
      </c>
      <c r="C260" s="629"/>
      <c r="D260" s="259">
        <f t="shared" si="25"/>
        <v>0</v>
      </c>
      <c r="E260" s="290"/>
      <c r="F260" s="483" t="s">
        <v>110</v>
      </c>
      <c r="G260" s="164" t="s">
        <v>121</v>
      </c>
      <c r="H260" s="161">
        <v>0</v>
      </c>
      <c r="I260" s="185">
        <v>10000</v>
      </c>
      <c r="J260" s="216">
        <v>0</v>
      </c>
      <c r="K260" s="185">
        <v>10000</v>
      </c>
      <c r="L260" s="217">
        <v>0</v>
      </c>
      <c r="M260" s="259"/>
      <c r="O260" s="483" t="s">
        <v>110</v>
      </c>
      <c r="P260" s="164" t="str">
        <f>'LEVEL 3'!F273</f>
        <v>LS</v>
      </c>
      <c r="Q260" s="161">
        <f>'LEVEL 3'!G273</f>
        <v>0</v>
      </c>
      <c r="R260" s="185">
        <f>'LEVEL 3'!H273</f>
        <v>10000</v>
      </c>
      <c r="S260" s="216">
        <f>'LEVEL 3'!I273</f>
        <v>0</v>
      </c>
      <c r="T260" s="185">
        <f>'LEVEL 3'!J273</f>
        <v>10000</v>
      </c>
      <c r="U260" s="217">
        <f>'LEVEL 3'!K273</f>
        <v>0</v>
      </c>
      <c r="V260" s="259"/>
      <c r="X260" s="429">
        <f t="shared" si="28"/>
        <v>0</v>
      </c>
      <c r="Z260" s="432">
        <f t="shared" si="29"/>
        <v>0</v>
      </c>
      <c r="AB260" s="504"/>
    </row>
    <row r="261" spans="1:28" outlineLevel="1">
      <c r="A261" s="512" t="s">
        <v>600</v>
      </c>
      <c r="C261" s="629"/>
      <c r="D261" s="259">
        <f t="shared" si="25"/>
        <v>0</v>
      </c>
      <c r="E261" s="290"/>
      <c r="F261" s="483" t="s">
        <v>118</v>
      </c>
      <c r="G261" s="164"/>
      <c r="H261" s="161"/>
      <c r="I261" s="185"/>
      <c r="J261" s="216">
        <v>0</v>
      </c>
      <c r="K261" s="185">
        <v>0</v>
      </c>
      <c r="L261" s="217">
        <v>0</v>
      </c>
      <c r="M261" s="259"/>
      <c r="O261" s="483" t="s">
        <v>118</v>
      </c>
      <c r="P261" s="164">
        <f>'LEVEL 3'!F274</f>
        <v>0</v>
      </c>
      <c r="Q261" s="161">
        <f>'LEVEL 3'!G274</f>
        <v>0</v>
      </c>
      <c r="R261" s="185">
        <f>'LEVEL 3'!H274</f>
        <v>0</v>
      </c>
      <c r="S261" s="216">
        <f>'LEVEL 3'!I274</f>
        <v>0</v>
      </c>
      <c r="T261" s="185">
        <f>'LEVEL 3'!J274</f>
        <v>0</v>
      </c>
      <c r="U261" s="217">
        <f>'LEVEL 3'!K274</f>
        <v>0</v>
      </c>
      <c r="V261" s="259"/>
      <c r="X261" s="429">
        <f t="shared" si="28"/>
        <v>0</v>
      </c>
      <c r="Z261" s="432">
        <f t="shared" si="29"/>
        <v>0</v>
      </c>
      <c r="AB261" s="504"/>
    </row>
    <row r="262" spans="1:28" outlineLevel="1">
      <c r="A262" s="512" t="s">
        <v>602</v>
      </c>
      <c r="C262" s="629"/>
      <c r="D262" s="259">
        <f t="shared" si="25"/>
        <v>0</v>
      </c>
      <c r="E262" s="290"/>
      <c r="F262" s="483" t="s">
        <v>118</v>
      </c>
      <c r="G262" s="164"/>
      <c r="H262" s="161"/>
      <c r="I262" s="185"/>
      <c r="J262" s="216">
        <v>0</v>
      </c>
      <c r="K262" s="185">
        <v>0</v>
      </c>
      <c r="L262" s="217">
        <v>0</v>
      </c>
      <c r="M262" s="259"/>
      <c r="O262" s="483" t="s">
        <v>118</v>
      </c>
      <c r="P262" s="164">
        <f>'LEVEL 3'!F275</f>
        <v>0</v>
      </c>
      <c r="Q262" s="161">
        <f>'LEVEL 3'!G275</f>
        <v>0</v>
      </c>
      <c r="R262" s="185">
        <f>'LEVEL 3'!H275</f>
        <v>0</v>
      </c>
      <c r="S262" s="216">
        <f>'LEVEL 3'!I275</f>
        <v>0</v>
      </c>
      <c r="T262" s="185">
        <f>'LEVEL 3'!J275</f>
        <v>0</v>
      </c>
      <c r="U262" s="217">
        <f>'LEVEL 3'!K275</f>
        <v>0</v>
      </c>
      <c r="V262" s="259"/>
      <c r="X262" s="429">
        <f t="shared" si="28"/>
        <v>0</v>
      </c>
      <c r="Z262" s="432">
        <f t="shared" si="29"/>
        <v>0</v>
      </c>
      <c r="AB262" s="504"/>
    </row>
    <row r="263" spans="1:28" outlineLevel="1">
      <c r="A263" s="512" t="s">
        <v>604</v>
      </c>
      <c r="C263" s="629"/>
      <c r="D263" s="259">
        <f t="shared" si="25"/>
        <v>0</v>
      </c>
      <c r="E263" s="290"/>
      <c r="F263" s="483" t="s">
        <v>118</v>
      </c>
      <c r="G263" s="164"/>
      <c r="H263" s="161"/>
      <c r="I263" s="185"/>
      <c r="J263" s="216">
        <v>0</v>
      </c>
      <c r="K263" s="185">
        <v>0</v>
      </c>
      <c r="L263" s="217">
        <v>0</v>
      </c>
      <c r="M263" s="259"/>
      <c r="O263" s="483" t="s">
        <v>118</v>
      </c>
      <c r="P263" s="164">
        <f>'LEVEL 3'!F276</f>
        <v>0</v>
      </c>
      <c r="Q263" s="161">
        <f>'LEVEL 3'!G276</f>
        <v>0</v>
      </c>
      <c r="R263" s="185">
        <f>'LEVEL 3'!H276</f>
        <v>0</v>
      </c>
      <c r="S263" s="216">
        <f>'LEVEL 3'!I276</f>
        <v>0</v>
      </c>
      <c r="T263" s="185">
        <f>'LEVEL 3'!J276</f>
        <v>0</v>
      </c>
      <c r="U263" s="217">
        <f>'LEVEL 3'!K276</f>
        <v>0</v>
      </c>
      <c r="V263" s="259"/>
      <c r="X263" s="429">
        <f t="shared" si="28"/>
        <v>0</v>
      </c>
      <c r="Z263" s="432">
        <f t="shared" si="29"/>
        <v>0</v>
      </c>
      <c r="AB263" s="504"/>
    </row>
    <row r="264" spans="1:28" outlineLevel="1">
      <c r="A264" s="512" t="s">
        <v>606</v>
      </c>
      <c r="C264" s="629"/>
      <c r="D264" s="259">
        <f t="shared" si="25"/>
        <v>0</v>
      </c>
      <c r="E264" s="290"/>
      <c r="F264" s="483" t="s">
        <v>116</v>
      </c>
      <c r="G264" s="164" t="s">
        <v>121</v>
      </c>
      <c r="H264" s="161">
        <v>1</v>
      </c>
      <c r="I264" s="185">
        <v>299756</v>
      </c>
      <c r="J264" s="216">
        <v>0</v>
      </c>
      <c r="K264" s="185">
        <v>299756</v>
      </c>
      <c r="L264" s="217">
        <v>299756</v>
      </c>
      <c r="M264" s="259"/>
      <c r="O264" s="483" t="s">
        <v>855</v>
      </c>
      <c r="P264" s="164" t="str">
        <f>'LEVEL 3'!F277</f>
        <v>LS</v>
      </c>
      <c r="Q264" s="161">
        <f>'LEVEL 3'!G277</f>
        <v>1</v>
      </c>
      <c r="R264" s="185">
        <f>'LEVEL 3'!H277</f>
        <v>299756</v>
      </c>
      <c r="S264" s="216">
        <f>'LEVEL 3'!I277</f>
        <v>0</v>
      </c>
      <c r="T264" s="185">
        <f>'LEVEL 3'!J277</f>
        <v>299756</v>
      </c>
      <c r="U264" s="217">
        <f>'LEVEL 3'!K277</f>
        <v>299756</v>
      </c>
      <c r="V264" s="259"/>
      <c r="X264" s="429">
        <f t="shared" si="28"/>
        <v>0</v>
      </c>
      <c r="Z264" s="432">
        <f t="shared" si="29"/>
        <v>0</v>
      </c>
      <c r="AB264" s="504" t="s">
        <v>947</v>
      </c>
    </row>
    <row r="265" spans="1:28" outlineLevel="1">
      <c r="A265" s="512" t="s">
        <v>607</v>
      </c>
      <c r="C265" s="629"/>
      <c r="D265" s="259">
        <f t="shared" si="25"/>
        <v>0</v>
      </c>
      <c r="E265" s="290"/>
      <c r="F265" s="483" t="s">
        <v>116</v>
      </c>
      <c r="G265" s="164" t="s">
        <v>121</v>
      </c>
      <c r="H265" s="161">
        <v>1</v>
      </c>
      <c r="I265" s="185">
        <v>51885</v>
      </c>
      <c r="J265" s="216">
        <v>0</v>
      </c>
      <c r="K265" s="185">
        <v>51885</v>
      </c>
      <c r="L265" s="217">
        <v>51885</v>
      </c>
      <c r="M265" s="259"/>
      <c r="O265" s="483" t="s">
        <v>855</v>
      </c>
      <c r="P265" s="164" t="str">
        <f>'LEVEL 3'!F278</f>
        <v>LS</v>
      </c>
      <c r="Q265" s="161">
        <f>'LEVEL 3'!G278</f>
        <v>1</v>
      </c>
      <c r="R265" s="185">
        <f>'LEVEL 3'!H278</f>
        <v>51885</v>
      </c>
      <c r="S265" s="216">
        <f>'LEVEL 3'!I278</f>
        <v>0</v>
      </c>
      <c r="T265" s="185">
        <f>'LEVEL 3'!J278</f>
        <v>51885</v>
      </c>
      <c r="U265" s="217">
        <f>'LEVEL 3'!K278</f>
        <v>51885</v>
      </c>
      <c r="V265" s="259"/>
      <c r="X265" s="429">
        <f t="shared" si="28"/>
        <v>0</v>
      </c>
      <c r="Z265" s="432">
        <f t="shared" si="29"/>
        <v>0</v>
      </c>
      <c r="AB265" s="504" t="s">
        <v>947</v>
      </c>
    </row>
    <row r="266" spans="1:28" outlineLevel="1">
      <c r="A266" s="512" t="s">
        <v>891</v>
      </c>
      <c r="C266" s="629"/>
      <c r="D266" s="259">
        <f t="shared" si="25"/>
        <v>0</v>
      </c>
      <c r="E266" s="290"/>
      <c r="F266" s="483" t="s">
        <v>118</v>
      </c>
      <c r="G266" s="164"/>
      <c r="H266" s="161"/>
      <c r="I266" s="185"/>
      <c r="J266" s="216">
        <v>0</v>
      </c>
      <c r="K266" s="185">
        <v>0</v>
      </c>
      <c r="L266" s="217">
        <v>0</v>
      </c>
      <c r="M266" s="259"/>
      <c r="O266" s="483" t="s">
        <v>118</v>
      </c>
      <c r="P266" s="164">
        <f>'LEVEL 3'!F279</f>
        <v>0</v>
      </c>
      <c r="Q266" s="161">
        <f>'LEVEL 3'!G279</f>
        <v>0</v>
      </c>
      <c r="R266" s="185">
        <f>'LEVEL 3'!H279</f>
        <v>0</v>
      </c>
      <c r="S266" s="216">
        <f>'LEVEL 3'!I279</f>
        <v>0</v>
      </c>
      <c r="T266" s="185">
        <f>'LEVEL 3'!J279</f>
        <v>0</v>
      </c>
      <c r="U266" s="217">
        <f>'LEVEL 3'!K279</f>
        <v>0</v>
      </c>
      <c r="V266" s="259"/>
      <c r="X266" s="429">
        <f t="shared" si="28"/>
        <v>0</v>
      </c>
      <c r="Z266" s="432">
        <f t="shared" si="29"/>
        <v>0</v>
      </c>
      <c r="AB266" s="504"/>
    </row>
    <row r="267" spans="1:28" outlineLevel="1">
      <c r="A267" s="512" t="s">
        <v>608</v>
      </c>
      <c r="C267" s="629"/>
      <c r="D267" s="259">
        <f t="shared" si="25"/>
        <v>0</v>
      </c>
      <c r="E267" s="290"/>
      <c r="F267" s="483" t="s">
        <v>116</v>
      </c>
      <c r="G267" s="164" t="s">
        <v>121</v>
      </c>
      <c r="H267" s="161">
        <v>1</v>
      </c>
      <c r="I267" s="185">
        <v>149161</v>
      </c>
      <c r="J267" s="216">
        <v>0</v>
      </c>
      <c r="K267" s="185">
        <v>149161</v>
      </c>
      <c r="L267" s="217">
        <v>149161</v>
      </c>
      <c r="M267" s="259"/>
      <c r="O267" s="483" t="s">
        <v>116</v>
      </c>
      <c r="P267" s="164" t="str">
        <f>'LEVEL 3'!F280</f>
        <v>LS</v>
      </c>
      <c r="Q267" s="161">
        <f>'LEVEL 3'!G280</f>
        <v>1</v>
      </c>
      <c r="R267" s="185">
        <f>'LEVEL 3'!H280</f>
        <v>149161</v>
      </c>
      <c r="S267" s="216">
        <f>'LEVEL 3'!I280</f>
        <v>0</v>
      </c>
      <c r="T267" s="185">
        <f>'LEVEL 3'!J280</f>
        <v>149161</v>
      </c>
      <c r="U267" s="217">
        <f>'LEVEL 3'!K280</f>
        <v>149161</v>
      </c>
      <c r="V267" s="259"/>
      <c r="X267" s="429">
        <f t="shared" si="28"/>
        <v>0</v>
      </c>
      <c r="Z267" s="432">
        <f t="shared" si="29"/>
        <v>0</v>
      </c>
      <c r="AB267" s="504" t="s">
        <v>948</v>
      </c>
    </row>
    <row r="268" spans="1:28">
      <c r="A268" s="509" t="s">
        <v>582</v>
      </c>
      <c r="C268" s="491">
        <v>1579231.3846153845</v>
      </c>
      <c r="D268" s="628">
        <f t="shared" si="25"/>
        <v>40751.615384615492</v>
      </c>
      <c r="E268" s="290"/>
      <c r="F268" s="479"/>
      <c r="G268" s="305"/>
      <c r="H268" s="306"/>
      <c r="I268" s="307"/>
      <c r="J268" s="308"/>
      <c r="K268" s="307"/>
      <c r="L268" s="421"/>
      <c r="M268" s="480">
        <f>SUM(L252:L267)</f>
        <v>1619983</v>
      </c>
      <c r="O268" s="479"/>
      <c r="P268" s="305"/>
      <c r="Q268" s="306"/>
      <c r="R268" s="307"/>
      <c r="S268" s="308"/>
      <c r="T268" s="307"/>
      <c r="U268" s="421"/>
      <c r="V268" s="487">
        <f>'LEVEL 3'!L264</f>
        <v>1619983</v>
      </c>
      <c r="X268" s="494">
        <f>V268-M268</f>
        <v>0</v>
      </c>
      <c r="Z268" s="500">
        <f>IF(M268=0,0,X268/M268)</f>
        <v>0</v>
      </c>
      <c r="AB268" s="504" t="s">
        <v>949</v>
      </c>
    </row>
    <row r="269" spans="1:28" outlineLevel="1">
      <c r="A269" s="510" t="s">
        <v>611</v>
      </c>
      <c r="C269" s="629"/>
      <c r="D269" s="259">
        <f t="shared" si="25"/>
        <v>0</v>
      </c>
      <c r="E269" s="290"/>
      <c r="F269" s="481" t="s">
        <v>110</v>
      </c>
      <c r="G269" s="226" t="s">
        <v>121</v>
      </c>
      <c r="H269" s="168">
        <v>1</v>
      </c>
      <c r="I269" s="225">
        <v>7500</v>
      </c>
      <c r="J269" s="311">
        <v>0</v>
      </c>
      <c r="K269" s="312">
        <v>7500</v>
      </c>
      <c r="L269" s="313">
        <v>7500</v>
      </c>
      <c r="M269" s="259"/>
      <c r="O269" s="481" t="s">
        <v>110</v>
      </c>
      <c r="P269" s="226" t="str">
        <f>'LEVEL 3'!F282</f>
        <v>LS</v>
      </c>
      <c r="Q269" s="168">
        <f>'LEVEL 3'!G282</f>
        <v>1</v>
      </c>
      <c r="R269" s="225">
        <f>'LEVEL 3'!H282</f>
        <v>7500</v>
      </c>
      <c r="S269" s="311">
        <f>'LEVEL 3'!I282</f>
        <v>0</v>
      </c>
      <c r="T269" s="312">
        <f>'LEVEL 3'!J282</f>
        <v>7500</v>
      </c>
      <c r="U269" s="313">
        <f>'LEVEL 3'!K282</f>
        <v>7500</v>
      </c>
      <c r="V269" s="259"/>
      <c r="X269" s="429">
        <f>U269-L269</f>
        <v>0</v>
      </c>
      <c r="Z269" s="432">
        <f>IF(L269=0,0,X269/L269)</f>
        <v>0</v>
      </c>
      <c r="AB269" s="504"/>
    </row>
    <row r="270" spans="1:28">
      <c r="A270" s="509" t="s">
        <v>609</v>
      </c>
      <c r="C270" s="491">
        <v>7500</v>
      </c>
      <c r="D270" s="628">
        <f t="shared" si="25"/>
        <v>0</v>
      </c>
      <c r="E270" s="290"/>
      <c r="F270" s="479"/>
      <c r="G270" s="305"/>
      <c r="H270" s="306"/>
      <c r="I270" s="307"/>
      <c r="J270" s="308"/>
      <c r="K270" s="307"/>
      <c r="L270" s="421"/>
      <c r="M270" s="480">
        <f>L269</f>
        <v>7500</v>
      </c>
      <c r="O270" s="479"/>
      <c r="P270" s="305"/>
      <c r="Q270" s="306"/>
      <c r="R270" s="307"/>
      <c r="S270" s="308"/>
      <c r="T270" s="307"/>
      <c r="U270" s="421"/>
      <c r="V270" s="480">
        <f>'LEVEL 3'!L281</f>
        <v>7500</v>
      </c>
      <c r="X270" s="491">
        <f>V270-M270</f>
        <v>0</v>
      </c>
      <c r="Z270" s="497">
        <f>IF(M270=0,0,X270/M270)</f>
        <v>0</v>
      </c>
      <c r="AB270" s="504"/>
    </row>
    <row r="271" spans="1:28" outlineLevel="1">
      <c r="A271" s="511" t="s">
        <v>615</v>
      </c>
      <c r="C271" s="629"/>
      <c r="D271" s="259">
        <f t="shared" si="25"/>
        <v>0</v>
      </c>
      <c r="E271" s="290"/>
      <c r="F271" s="482" t="s">
        <v>110</v>
      </c>
      <c r="G271" s="176" t="s">
        <v>121</v>
      </c>
      <c r="H271" s="167">
        <v>1</v>
      </c>
      <c r="I271" s="413">
        <v>326850</v>
      </c>
      <c r="J271" s="414">
        <v>0</v>
      </c>
      <c r="K271" s="415">
        <v>326850</v>
      </c>
      <c r="L271" s="416">
        <v>326850</v>
      </c>
      <c r="M271" s="259"/>
      <c r="O271" s="482" t="s">
        <v>110</v>
      </c>
      <c r="P271" s="176" t="str">
        <f>'LEVEL 3'!F284</f>
        <v>LS</v>
      </c>
      <c r="Q271" s="167">
        <f>'LEVEL 3'!G284</f>
        <v>1</v>
      </c>
      <c r="R271" s="413">
        <f>'LEVEL 3'!H284</f>
        <v>326850</v>
      </c>
      <c r="S271" s="414">
        <f>'LEVEL 3'!I284</f>
        <v>0</v>
      </c>
      <c r="T271" s="415">
        <f>'LEVEL 3'!J284</f>
        <v>326850</v>
      </c>
      <c r="U271" s="416">
        <f>'LEVEL 3'!K284</f>
        <v>326850</v>
      </c>
      <c r="V271" s="259"/>
      <c r="X271" s="429">
        <f>U271-L271</f>
        <v>0</v>
      </c>
      <c r="Z271" s="432">
        <f>IF(L271=0,0,X271/L271)</f>
        <v>0</v>
      </c>
      <c r="AB271" s="504"/>
    </row>
    <row r="272" spans="1:28" outlineLevel="1">
      <c r="A272" s="512" t="s">
        <v>617</v>
      </c>
      <c r="C272" s="629"/>
      <c r="D272" s="259">
        <f t="shared" si="25"/>
        <v>0</v>
      </c>
      <c r="E272" s="290"/>
      <c r="F272" s="483" t="s">
        <v>110</v>
      </c>
      <c r="G272" s="164" t="s">
        <v>121</v>
      </c>
      <c r="H272" s="161">
        <v>1</v>
      </c>
      <c r="I272" s="185">
        <v>31000</v>
      </c>
      <c r="J272" s="216">
        <v>0</v>
      </c>
      <c r="K272" s="185">
        <v>31000</v>
      </c>
      <c r="L272" s="217">
        <v>31000</v>
      </c>
      <c r="M272" s="259"/>
      <c r="O272" s="483" t="s">
        <v>110</v>
      </c>
      <c r="P272" s="164" t="str">
        <f>'LEVEL 3'!F285</f>
        <v>LS</v>
      </c>
      <c r="Q272" s="161">
        <f>'LEVEL 3'!G285</f>
        <v>1</v>
      </c>
      <c r="R272" s="185">
        <f>'LEVEL 3'!H285</f>
        <v>31000</v>
      </c>
      <c r="S272" s="216">
        <f>'LEVEL 3'!I285</f>
        <v>0</v>
      </c>
      <c r="T272" s="185">
        <f>'LEVEL 3'!J285</f>
        <v>31000</v>
      </c>
      <c r="U272" s="217">
        <f>'LEVEL 3'!K285</f>
        <v>31000</v>
      </c>
      <c r="V272" s="259"/>
      <c r="X272" s="429">
        <f>U272-L272</f>
        <v>0</v>
      </c>
      <c r="Z272" s="432">
        <f>IF(L272=0,0,X272/L272)</f>
        <v>0</v>
      </c>
      <c r="AB272" s="504"/>
    </row>
    <row r="273" spans="1:28" outlineLevel="1">
      <c r="A273" s="512" t="s">
        <v>619</v>
      </c>
      <c r="C273" s="629"/>
      <c r="D273" s="259">
        <f t="shared" si="25"/>
        <v>0</v>
      </c>
      <c r="E273" s="290"/>
      <c r="F273" s="483" t="s">
        <v>110</v>
      </c>
      <c r="G273" s="164" t="s">
        <v>121</v>
      </c>
      <c r="H273" s="161">
        <v>1</v>
      </c>
      <c r="I273" s="185">
        <v>35000</v>
      </c>
      <c r="J273" s="216">
        <v>0</v>
      </c>
      <c r="K273" s="185">
        <v>35000</v>
      </c>
      <c r="L273" s="217">
        <v>35000</v>
      </c>
      <c r="M273" s="259"/>
      <c r="O273" s="483" t="s">
        <v>110</v>
      </c>
      <c r="P273" s="164" t="str">
        <f>'LEVEL 3'!F286</f>
        <v>LS</v>
      </c>
      <c r="Q273" s="161">
        <f>'LEVEL 3'!G286</f>
        <v>1</v>
      </c>
      <c r="R273" s="185">
        <f>'LEVEL 3'!H286</f>
        <v>35000</v>
      </c>
      <c r="S273" s="216">
        <f>'LEVEL 3'!I286</f>
        <v>0</v>
      </c>
      <c r="T273" s="185">
        <f>'LEVEL 3'!J286</f>
        <v>35000</v>
      </c>
      <c r="U273" s="217">
        <f>'LEVEL 3'!K286</f>
        <v>35000</v>
      </c>
      <c r="V273" s="259"/>
      <c r="X273" s="429">
        <f>U273-L273</f>
        <v>0</v>
      </c>
      <c r="Z273" s="432">
        <f>IF(L273=0,0,X273/L273)</f>
        <v>0</v>
      </c>
      <c r="AB273" s="504"/>
    </row>
    <row r="274" spans="1:28">
      <c r="A274" s="509" t="s">
        <v>613</v>
      </c>
      <c r="C274" s="491">
        <v>231780.07692307691</v>
      </c>
      <c r="D274" s="628">
        <f t="shared" si="25"/>
        <v>161069.92307692309</v>
      </c>
      <c r="E274" s="290"/>
      <c r="F274" s="479"/>
      <c r="G274" s="305"/>
      <c r="H274" s="306"/>
      <c r="I274" s="307"/>
      <c r="J274" s="308"/>
      <c r="K274" s="307"/>
      <c r="L274" s="421"/>
      <c r="M274" s="480">
        <f>SUM(L271:L273)</f>
        <v>392850</v>
      </c>
      <c r="O274" s="479"/>
      <c r="P274" s="305"/>
      <c r="Q274" s="306"/>
      <c r="R274" s="307"/>
      <c r="S274" s="308"/>
      <c r="T274" s="307"/>
      <c r="U274" s="421"/>
      <c r="V274" s="480">
        <f>'LEVEL 3'!L283</f>
        <v>392850</v>
      </c>
      <c r="X274" s="491">
        <f>V274-M274</f>
        <v>0</v>
      </c>
      <c r="Z274" s="497">
        <f>IF(M274=0,0,X274/M274)</f>
        <v>0</v>
      </c>
      <c r="AB274" s="504"/>
    </row>
    <row r="275" spans="1:28" outlineLevel="1">
      <c r="A275" s="511" t="s">
        <v>623</v>
      </c>
      <c r="C275" s="629"/>
      <c r="D275" s="259">
        <f t="shared" si="25"/>
        <v>0</v>
      </c>
      <c r="E275" s="290"/>
      <c r="F275" s="482" t="s">
        <v>195</v>
      </c>
      <c r="G275" s="176" t="s">
        <v>121</v>
      </c>
      <c r="H275" s="423">
        <v>4.9000000000000004</v>
      </c>
      <c r="I275" s="413">
        <v>10000</v>
      </c>
      <c r="J275" s="414">
        <v>0</v>
      </c>
      <c r="K275" s="415">
        <v>10000</v>
      </c>
      <c r="L275" s="416">
        <v>49000</v>
      </c>
      <c r="M275" s="259"/>
      <c r="O275" s="482" t="s">
        <v>195</v>
      </c>
      <c r="P275" s="176" t="str">
        <f>'LEVEL 3'!F288</f>
        <v>LS</v>
      </c>
      <c r="Q275" s="423">
        <f>'LEVEL 3'!G288</f>
        <v>4.9000000000000004</v>
      </c>
      <c r="R275" s="413">
        <f>'LEVEL 3'!H288</f>
        <v>10000</v>
      </c>
      <c r="S275" s="414">
        <f>'LEVEL 3'!I288</f>
        <v>0</v>
      </c>
      <c r="T275" s="415">
        <f>'LEVEL 3'!J288</f>
        <v>10000</v>
      </c>
      <c r="U275" s="416">
        <f>'LEVEL 3'!K288</f>
        <v>49000</v>
      </c>
      <c r="V275" s="259"/>
      <c r="X275" s="429">
        <f t="shared" ref="X275:X283" si="30">U275-L275</f>
        <v>0</v>
      </c>
      <c r="Z275" s="432">
        <f t="shared" ref="Z275:Z283" si="31">IF(L275=0,0,X275/L275)</f>
        <v>0</v>
      </c>
      <c r="AB275" s="504"/>
    </row>
    <row r="276" spans="1:28" outlineLevel="1">
      <c r="A276" s="512" t="s">
        <v>625</v>
      </c>
      <c r="C276" s="629"/>
      <c r="D276" s="259">
        <f t="shared" si="25"/>
        <v>0</v>
      </c>
      <c r="E276" s="290"/>
      <c r="F276" s="483" t="s">
        <v>110</v>
      </c>
      <c r="G276" s="164" t="s">
        <v>121</v>
      </c>
      <c r="H276" s="422">
        <v>1</v>
      </c>
      <c r="I276" s="185">
        <v>5000</v>
      </c>
      <c r="J276" s="216">
        <v>0</v>
      </c>
      <c r="K276" s="185">
        <v>5000</v>
      </c>
      <c r="L276" s="217">
        <v>5000</v>
      </c>
      <c r="M276" s="259"/>
      <c r="O276" s="483" t="s">
        <v>110</v>
      </c>
      <c r="P276" s="164" t="str">
        <f>'LEVEL 3'!F289</f>
        <v>LS</v>
      </c>
      <c r="Q276" s="422">
        <f>'LEVEL 3'!G289</f>
        <v>1</v>
      </c>
      <c r="R276" s="185">
        <f>'LEVEL 3'!H289</f>
        <v>5000</v>
      </c>
      <c r="S276" s="216">
        <f>'LEVEL 3'!I289</f>
        <v>0</v>
      </c>
      <c r="T276" s="185">
        <f>'LEVEL 3'!J289</f>
        <v>5000</v>
      </c>
      <c r="U276" s="217">
        <f>'LEVEL 3'!K289</f>
        <v>5000</v>
      </c>
      <c r="V276" s="259"/>
      <c r="X276" s="429">
        <f t="shared" si="30"/>
        <v>0</v>
      </c>
      <c r="Z276" s="432">
        <f t="shared" si="31"/>
        <v>0</v>
      </c>
      <c r="AB276" s="504"/>
    </row>
    <row r="277" spans="1:28" outlineLevel="1">
      <c r="A277" s="512" t="s">
        <v>627</v>
      </c>
      <c r="C277" s="629"/>
      <c r="D277" s="259">
        <f t="shared" ref="D277:D313" si="32">V277-C277</f>
        <v>0</v>
      </c>
      <c r="E277" s="290"/>
      <c r="F277" s="483" t="s">
        <v>110</v>
      </c>
      <c r="G277" s="164" t="s">
        <v>121</v>
      </c>
      <c r="H277" s="422">
        <v>1</v>
      </c>
      <c r="I277" s="185">
        <v>5000</v>
      </c>
      <c r="J277" s="216">
        <v>0</v>
      </c>
      <c r="K277" s="185">
        <v>5000</v>
      </c>
      <c r="L277" s="217">
        <v>5000</v>
      </c>
      <c r="M277" s="259"/>
      <c r="O277" s="483" t="s">
        <v>110</v>
      </c>
      <c r="P277" s="164" t="str">
        <f>'LEVEL 3'!F290</f>
        <v>LS</v>
      </c>
      <c r="Q277" s="422">
        <f>'LEVEL 3'!G290</f>
        <v>1</v>
      </c>
      <c r="R277" s="185">
        <f>'LEVEL 3'!H290</f>
        <v>5000</v>
      </c>
      <c r="S277" s="216">
        <f>'LEVEL 3'!I290</f>
        <v>0</v>
      </c>
      <c r="T277" s="185">
        <f>'LEVEL 3'!J290</f>
        <v>5000</v>
      </c>
      <c r="U277" s="217">
        <f>'LEVEL 3'!K290</f>
        <v>5000</v>
      </c>
      <c r="V277" s="259"/>
      <c r="X277" s="429">
        <f t="shared" si="30"/>
        <v>0</v>
      </c>
      <c r="Z277" s="432">
        <f t="shared" si="31"/>
        <v>0</v>
      </c>
      <c r="AB277" s="504"/>
    </row>
    <row r="278" spans="1:28" outlineLevel="1">
      <c r="A278" s="512" t="s">
        <v>629</v>
      </c>
      <c r="C278" s="629"/>
      <c r="D278" s="259">
        <f t="shared" si="32"/>
        <v>0</v>
      </c>
      <c r="E278" s="290"/>
      <c r="F278" s="483" t="s">
        <v>195</v>
      </c>
      <c r="G278" s="164" t="s">
        <v>121</v>
      </c>
      <c r="H278" s="422">
        <v>4.9000000000000004</v>
      </c>
      <c r="I278" s="185">
        <v>5775</v>
      </c>
      <c r="J278" s="216">
        <v>0</v>
      </c>
      <c r="K278" s="185">
        <v>5775</v>
      </c>
      <c r="L278" s="217">
        <v>28297.500000000004</v>
      </c>
      <c r="M278" s="259"/>
      <c r="O278" s="483" t="s">
        <v>195</v>
      </c>
      <c r="P278" s="164" t="str">
        <f>'LEVEL 3'!F291</f>
        <v>LS</v>
      </c>
      <c r="Q278" s="422">
        <f>'LEVEL 3'!G291</f>
        <v>4.9000000000000004</v>
      </c>
      <c r="R278" s="185">
        <f>'LEVEL 3'!H291</f>
        <v>5775</v>
      </c>
      <c r="S278" s="216">
        <f>'LEVEL 3'!I291</f>
        <v>0</v>
      </c>
      <c r="T278" s="185">
        <f>'LEVEL 3'!J291</f>
        <v>5775</v>
      </c>
      <c r="U278" s="217">
        <f>'LEVEL 3'!K291</f>
        <v>28297.500000000004</v>
      </c>
      <c r="V278" s="259"/>
      <c r="X278" s="429">
        <f t="shared" si="30"/>
        <v>0</v>
      </c>
      <c r="Z278" s="432">
        <f t="shared" si="31"/>
        <v>0</v>
      </c>
      <c r="AB278" s="504"/>
    </row>
    <row r="279" spans="1:28" outlineLevel="1">
      <c r="A279" s="512" t="s">
        <v>631</v>
      </c>
      <c r="C279" s="629"/>
      <c r="D279" s="259">
        <f t="shared" si="32"/>
        <v>0</v>
      </c>
      <c r="E279" s="290"/>
      <c r="F279" s="483" t="s">
        <v>195</v>
      </c>
      <c r="G279" s="164" t="s">
        <v>121</v>
      </c>
      <c r="H279" s="422">
        <v>4.9000000000000004</v>
      </c>
      <c r="I279" s="185">
        <v>7600</v>
      </c>
      <c r="J279" s="216">
        <v>0</v>
      </c>
      <c r="K279" s="185">
        <v>7600</v>
      </c>
      <c r="L279" s="217">
        <v>37240</v>
      </c>
      <c r="M279" s="259"/>
      <c r="O279" s="483" t="s">
        <v>195</v>
      </c>
      <c r="P279" s="164" t="str">
        <f>'LEVEL 3'!F292</f>
        <v>LS</v>
      </c>
      <c r="Q279" s="422">
        <f>'LEVEL 3'!G292</f>
        <v>4.9000000000000004</v>
      </c>
      <c r="R279" s="185">
        <f>'LEVEL 3'!H292</f>
        <v>7600</v>
      </c>
      <c r="S279" s="216">
        <f>'LEVEL 3'!I292</f>
        <v>0</v>
      </c>
      <c r="T279" s="185">
        <f>'LEVEL 3'!J292</f>
        <v>7600</v>
      </c>
      <c r="U279" s="217">
        <f>'LEVEL 3'!K292</f>
        <v>37240</v>
      </c>
      <c r="V279" s="259"/>
      <c r="X279" s="429">
        <f t="shared" si="30"/>
        <v>0</v>
      </c>
      <c r="Z279" s="432">
        <f t="shared" si="31"/>
        <v>0</v>
      </c>
      <c r="AB279" s="504"/>
    </row>
    <row r="280" spans="1:28" outlineLevel="1">
      <c r="A280" s="512" t="s">
        <v>633</v>
      </c>
      <c r="C280" s="629"/>
      <c r="D280" s="259">
        <f t="shared" si="32"/>
        <v>0</v>
      </c>
      <c r="E280" s="290"/>
      <c r="F280" s="483" t="s">
        <v>195</v>
      </c>
      <c r="G280" s="164" t="s">
        <v>121</v>
      </c>
      <c r="H280" s="422">
        <v>4.9000000000000004</v>
      </c>
      <c r="I280" s="185">
        <v>11500</v>
      </c>
      <c r="J280" s="216">
        <v>0</v>
      </c>
      <c r="K280" s="185">
        <v>11500</v>
      </c>
      <c r="L280" s="217">
        <v>56350.000000000007</v>
      </c>
      <c r="M280" s="259"/>
      <c r="O280" s="483" t="s">
        <v>195</v>
      </c>
      <c r="P280" s="164" t="str">
        <f>'LEVEL 3'!F293</f>
        <v>LS</v>
      </c>
      <c r="Q280" s="422">
        <f>'LEVEL 3'!G293</f>
        <v>4.9000000000000004</v>
      </c>
      <c r="R280" s="185">
        <f>'LEVEL 3'!H293</f>
        <v>11500</v>
      </c>
      <c r="S280" s="216">
        <f>'LEVEL 3'!I293</f>
        <v>0</v>
      </c>
      <c r="T280" s="185">
        <f>'LEVEL 3'!J293</f>
        <v>11500</v>
      </c>
      <c r="U280" s="217">
        <f>'LEVEL 3'!K293</f>
        <v>56350.000000000007</v>
      </c>
      <c r="V280" s="259"/>
      <c r="X280" s="429">
        <f t="shared" si="30"/>
        <v>0</v>
      </c>
      <c r="Z280" s="432">
        <f t="shared" si="31"/>
        <v>0</v>
      </c>
      <c r="AB280" s="504"/>
    </row>
    <row r="281" spans="1:28" outlineLevel="1">
      <c r="A281" s="512" t="s">
        <v>635</v>
      </c>
      <c r="C281" s="629"/>
      <c r="D281" s="259">
        <f t="shared" si="32"/>
        <v>0</v>
      </c>
      <c r="E281" s="290"/>
      <c r="F281" s="483" t="s">
        <v>110</v>
      </c>
      <c r="G281" s="164" t="s">
        <v>121</v>
      </c>
      <c r="H281" s="422">
        <v>4.9000000000000004</v>
      </c>
      <c r="I281" s="185">
        <v>4000</v>
      </c>
      <c r="J281" s="216">
        <v>0</v>
      </c>
      <c r="K281" s="185">
        <v>4000</v>
      </c>
      <c r="L281" s="217">
        <v>19600</v>
      </c>
      <c r="M281" s="259"/>
      <c r="O281" s="483" t="s">
        <v>110</v>
      </c>
      <c r="P281" s="164" t="str">
        <f>'LEVEL 3'!F294</f>
        <v>LS</v>
      </c>
      <c r="Q281" s="422">
        <f>'LEVEL 3'!G294</f>
        <v>4.9000000000000004</v>
      </c>
      <c r="R281" s="185">
        <f>'LEVEL 3'!H294</f>
        <v>4000</v>
      </c>
      <c r="S281" s="216">
        <f>'LEVEL 3'!I294</f>
        <v>0</v>
      </c>
      <c r="T281" s="185">
        <f>'LEVEL 3'!J294</f>
        <v>4000</v>
      </c>
      <c r="U281" s="217">
        <f>'LEVEL 3'!K294</f>
        <v>19600</v>
      </c>
      <c r="V281" s="259"/>
      <c r="X281" s="429">
        <f t="shared" si="30"/>
        <v>0</v>
      </c>
      <c r="Z281" s="432">
        <f t="shared" si="31"/>
        <v>0</v>
      </c>
      <c r="AB281" s="504"/>
    </row>
    <row r="282" spans="1:28" outlineLevel="1">
      <c r="A282" s="512" t="s">
        <v>637</v>
      </c>
      <c r="C282" s="629"/>
      <c r="D282" s="259">
        <f t="shared" si="32"/>
        <v>0</v>
      </c>
      <c r="E282" s="290"/>
      <c r="F282" s="483" t="s">
        <v>110</v>
      </c>
      <c r="G282" s="164" t="s">
        <v>121</v>
      </c>
      <c r="H282" s="422">
        <v>4.9000000000000004</v>
      </c>
      <c r="I282" s="185">
        <v>3000</v>
      </c>
      <c r="J282" s="216">
        <v>0</v>
      </c>
      <c r="K282" s="185">
        <v>3000</v>
      </c>
      <c r="L282" s="217">
        <v>14700.000000000002</v>
      </c>
      <c r="M282" s="259"/>
      <c r="O282" s="483" t="s">
        <v>110</v>
      </c>
      <c r="P282" s="164" t="str">
        <f>'LEVEL 3'!F295</f>
        <v>LS</v>
      </c>
      <c r="Q282" s="422">
        <f>'LEVEL 3'!G295</f>
        <v>4.9000000000000004</v>
      </c>
      <c r="R282" s="185">
        <f>'LEVEL 3'!H295</f>
        <v>3000</v>
      </c>
      <c r="S282" s="216">
        <f>'LEVEL 3'!I295</f>
        <v>0</v>
      </c>
      <c r="T282" s="185">
        <f>'LEVEL 3'!J295</f>
        <v>3000</v>
      </c>
      <c r="U282" s="217">
        <f>'LEVEL 3'!K295</f>
        <v>14700.000000000002</v>
      </c>
      <c r="V282" s="259"/>
      <c r="X282" s="429">
        <f t="shared" si="30"/>
        <v>0</v>
      </c>
      <c r="Z282" s="432">
        <f t="shared" si="31"/>
        <v>0</v>
      </c>
      <c r="AB282" s="504"/>
    </row>
    <row r="283" spans="1:28" outlineLevel="1">
      <c r="A283" s="512" t="s">
        <v>639</v>
      </c>
      <c r="C283" s="629"/>
      <c r="D283" s="259">
        <f t="shared" si="32"/>
        <v>0</v>
      </c>
      <c r="E283" s="290"/>
      <c r="F283" s="483" t="s">
        <v>195</v>
      </c>
      <c r="G283" s="164" t="s">
        <v>121</v>
      </c>
      <c r="H283" s="422">
        <v>4.9000000000000004</v>
      </c>
      <c r="I283" s="185">
        <v>4000</v>
      </c>
      <c r="J283" s="216">
        <v>0</v>
      </c>
      <c r="K283" s="185">
        <v>4000</v>
      </c>
      <c r="L283" s="217">
        <v>19600</v>
      </c>
      <c r="M283" s="259"/>
      <c r="O283" s="483" t="s">
        <v>195</v>
      </c>
      <c r="P283" s="164" t="str">
        <f>'LEVEL 3'!F296</f>
        <v>LS</v>
      </c>
      <c r="Q283" s="422">
        <f>'LEVEL 3'!G296</f>
        <v>4.9000000000000004</v>
      </c>
      <c r="R283" s="185">
        <f>'LEVEL 3'!H296</f>
        <v>4000</v>
      </c>
      <c r="S283" s="216">
        <f>'LEVEL 3'!I296</f>
        <v>0</v>
      </c>
      <c r="T283" s="185">
        <f>'LEVEL 3'!J296</f>
        <v>4000</v>
      </c>
      <c r="U283" s="217">
        <f>'LEVEL 3'!K296</f>
        <v>19600</v>
      </c>
      <c r="V283" s="259"/>
      <c r="X283" s="429">
        <f t="shared" si="30"/>
        <v>0</v>
      </c>
      <c r="Z283" s="432">
        <f t="shared" si="31"/>
        <v>0</v>
      </c>
      <c r="AB283" s="504"/>
    </row>
    <row r="284" spans="1:28">
      <c r="A284" s="509" t="s">
        <v>621</v>
      </c>
      <c r="C284" s="491">
        <v>132317.63999999998</v>
      </c>
      <c r="D284" s="628">
        <f t="shared" si="32"/>
        <v>102469.86000000002</v>
      </c>
      <c r="E284" s="290"/>
      <c r="F284" s="479"/>
      <c r="G284" s="305"/>
      <c r="H284" s="306"/>
      <c r="I284" s="307"/>
      <c r="J284" s="308"/>
      <c r="K284" s="307"/>
      <c r="L284" s="421"/>
      <c r="M284" s="480">
        <f>SUM(L275:L283)</f>
        <v>234787.5</v>
      </c>
      <c r="O284" s="479"/>
      <c r="P284" s="305"/>
      <c r="Q284" s="306"/>
      <c r="R284" s="307"/>
      <c r="S284" s="308"/>
      <c r="T284" s="307"/>
      <c r="U284" s="421"/>
      <c r="V284" s="480">
        <f>'LEVEL 3'!L287</f>
        <v>234787.5</v>
      </c>
      <c r="X284" s="491">
        <f>V284-M284</f>
        <v>0</v>
      </c>
      <c r="Z284" s="497">
        <f>IF(M284=0,0,X284/M284)</f>
        <v>0</v>
      </c>
      <c r="AB284" s="504"/>
    </row>
    <row r="285" spans="1:28" outlineLevel="1">
      <c r="A285" s="511" t="s">
        <v>903</v>
      </c>
      <c r="C285" s="629"/>
      <c r="D285" s="259">
        <f t="shared" si="32"/>
        <v>0</v>
      </c>
      <c r="E285" s="290"/>
      <c r="F285" s="482"/>
      <c r="G285" s="176"/>
      <c r="H285" s="424">
        <v>0</v>
      </c>
      <c r="I285" s="413"/>
      <c r="J285" s="414"/>
      <c r="K285" s="415"/>
      <c r="L285" s="416">
        <v>0</v>
      </c>
      <c r="M285" s="259"/>
      <c r="O285" s="482"/>
      <c r="P285" s="176">
        <f>'LEVEL 3'!F307</f>
        <v>0</v>
      </c>
      <c r="Q285" s="424">
        <f>'LEVEL 3'!G307</f>
        <v>0</v>
      </c>
      <c r="R285" s="413">
        <f>'LEVEL 3'!H307</f>
        <v>0</v>
      </c>
      <c r="S285" s="414">
        <f>'LEVEL 3'!I307</f>
        <v>0</v>
      </c>
      <c r="T285" s="415">
        <f>'LEVEL 3'!J307</f>
        <v>0</v>
      </c>
      <c r="U285" s="416">
        <f>'LEVEL 3'!K307</f>
        <v>0</v>
      </c>
      <c r="V285" s="259"/>
      <c r="X285" s="429">
        <f>U285-L285</f>
        <v>0</v>
      </c>
      <c r="Z285" s="432">
        <f>IF(L285=0,0,X285/L285)</f>
        <v>0</v>
      </c>
      <c r="AB285" s="504"/>
    </row>
    <row r="286" spans="1:28" outlineLevel="1">
      <c r="A286" s="510" t="s">
        <v>644</v>
      </c>
      <c r="C286" s="629"/>
      <c r="D286" s="259">
        <f t="shared" si="32"/>
        <v>0</v>
      </c>
      <c r="E286" s="290"/>
      <c r="F286" s="481"/>
      <c r="G286" s="226"/>
      <c r="H286" s="425">
        <v>0.02</v>
      </c>
      <c r="I286" s="225"/>
      <c r="J286" s="311"/>
      <c r="K286" s="312"/>
      <c r="L286" s="313">
        <v>522853.48930080794</v>
      </c>
      <c r="M286" s="259"/>
      <c r="O286" s="481"/>
      <c r="P286" s="226">
        <f>'LEVEL 3'!F308</f>
        <v>0</v>
      </c>
      <c r="Q286" s="425">
        <f>'LEVEL 3'!G308</f>
        <v>0.02</v>
      </c>
      <c r="R286" s="225">
        <f>'LEVEL 3'!H308</f>
        <v>0</v>
      </c>
      <c r="S286" s="311">
        <f>'LEVEL 3'!I308</f>
        <v>0</v>
      </c>
      <c r="T286" s="312">
        <f>'LEVEL 3'!J308</f>
        <v>0</v>
      </c>
      <c r="U286" s="313">
        <f>'LEVEL 3'!K308</f>
        <v>516914.98930080794</v>
      </c>
      <c r="V286" s="259"/>
      <c r="X286" s="429">
        <f>U286-L286</f>
        <v>-5938.5</v>
      </c>
      <c r="Z286" s="432">
        <f>IF(L286=0,0,X286/L286)</f>
        <v>-1.1357866250335883E-2</v>
      </c>
      <c r="AB286" s="504"/>
    </row>
    <row r="287" spans="1:28">
      <c r="A287" s="509" t="s">
        <v>902</v>
      </c>
      <c r="C287" s="491">
        <v>532388.48533425119</v>
      </c>
      <c r="D287" s="628">
        <f t="shared" si="32"/>
        <v>-15473.496033443254</v>
      </c>
      <c r="E287" s="290"/>
      <c r="F287" s="479"/>
      <c r="G287" s="305"/>
      <c r="H287" s="306"/>
      <c r="I287" s="307"/>
      <c r="J287" s="308"/>
      <c r="K287" s="307"/>
      <c r="L287" s="421"/>
      <c r="M287" s="480">
        <f>SUM(L285:L286)</f>
        <v>522853.48930080794</v>
      </c>
      <c r="O287" s="479"/>
      <c r="P287" s="305"/>
      <c r="Q287" s="306"/>
      <c r="R287" s="307"/>
      <c r="S287" s="308"/>
      <c r="T287" s="307"/>
      <c r="U287" s="421"/>
      <c r="V287" s="480">
        <f>'LEVEL 3'!L306</f>
        <v>516914.98930080794</v>
      </c>
      <c r="X287" s="491">
        <f>V287-M287</f>
        <v>-5938.5</v>
      </c>
      <c r="Z287" s="497">
        <f>IF(M287=0,0,X287/M287)</f>
        <v>-1.1357866250335883E-2</v>
      </c>
      <c r="AB287" s="504"/>
    </row>
    <row r="288" spans="1:28" outlineLevel="1">
      <c r="A288" s="511" t="s">
        <v>647</v>
      </c>
      <c r="C288" s="629"/>
      <c r="D288" s="259">
        <f t="shared" si="32"/>
        <v>0</v>
      </c>
      <c r="E288" s="290"/>
      <c r="F288" s="482" t="s">
        <v>110</v>
      </c>
      <c r="G288" s="176" t="s">
        <v>121</v>
      </c>
      <c r="H288" s="167">
        <v>1</v>
      </c>
      <c r="I288" s="413">
        <v>10000</v>
      </c>
      <c r="J288" s="414">
        <v>0</v>
      </c>
      <c r="K288" s="415">
        <v>10000</v>
      </c>
      <c r="L288" s="416">
        <v>10000</v>
      </c>
      <c r="M288" s="259"/>
      <c r="O288" s="482" t="s">
        <v>110</v>
      </c>
      <c r="P288" s="176" t="str">
        <f>'LEVEL 3'!F310</f>
        <v>LS</v>
      </c>
      <c r="Q288" s="167">
        <f>'LEVEL 3'!G310</f>
        <v>1</v>
      </c>
      <c r="R288" s="413">
        <f>'LEVEL 3'!H310</f>
        <v>10000</v>
      </c>
      <c r="S288" s="414">
        <f>'LEVEL 3'!I310</f>
        <v>0</v>
      </c>
      <c r="T288" s="415">
        <f>'LEVEL 3'!J310</f>
        <v>10000</v>
      </c>
      <c r="U288" s="416">
        <f>'LEVEL 3'!K310</f>
        <v>10000</v>
      </c>
      <c r="V288" s="259"/>
      <c r="X288" s="429">
        <f t="shared" ref="X288:X301" si="33">U288-L288</f>
        <v>0</v>
      </c>
      <c r="Z288" s="432">
        <f t="shared" ref="Z288:Z301" si="34">IF(L288=0,0,X288/L288)</f>
        <v>0</v>
      </c>
      <c r="AB288" s="504"/>
    </row>
    <row r="289" spans="1:28" outlineLevel="1">
      <c r="A289" s="512" t="s">
        <v>650</v>
      </c>
      <c r="C289" s="629"/>
      <c r="D289" s="259">
        <f t="shared" si="32"/>
        <v>0</v>
      </c>
      <c r="E289" s="290"/>
      <c r="F289" s="483" t="s">
        <v>118</v>
      </c>
      <c r="G289" s="164"/>
      <c r="H289" s="161"/>
      <c r="I289" s="185"/>
      <c r="J289" s="216">
        <v>0</v>
      </c>
      <c r="K289" s="185">
        <v>0</v>
      </c>
      <c r="L289" s="217">
        <v>0</v>
      </c>
      <c r="M289" s="259"/>
      <c r="O289" s="483" t="s">
        <v>118</v>
      </c>
      <c r="P289" s="164">
        <f>'LEVEL 3'!F311</f>
        <v>0</v>
      </c>
      <c r="Q289" s="161">
        <f>'LEVEL 3'!G311</f>
        <v>0</v>
      </c>
      <c r="R289" s="185">
        <f>'LEVEL 3'!H311</f>
        <v>0</v>
      </c>
      <c r="S289" s="216">
        <f>'LEVEL 3'!I311</f>
        <v>0</v>
      </c>
      <c r="T289" s="185">
        <f>'LEVEL 3'!J311</f>
        <v>0</v>
      </c>
      <c r="U289" s="217">
        <f>'LEVEL 3'!K311</f>
        <v>0</v>
      </c>
      <c r="V289" s="259"/>
      <c r="X289" s="429">
        <f t="shared" si="33"/>
        <v>0</v>
      </c>
      <c r="Z289" s="432">
        <f t="shared" si="34"/>
        <v>0</v>
      </c>
      <c r="AB289" s="504"/>
    </row>
    <row r="290" spans="1:28" outlineLevel="1">
      <c r="A290" s="512" t="s">
        <v>652</v>
      </c>
      <c r="C290" s="629"/>
      <c r="D290" s="259">
        <f t="shared" si="32"/>
        <v>0</v>
      </c>
      <c r="E290" s="290"/>
      <c r="F290" s="483" t="s">
        <v>118</v>
      </c>
      <c r="G290" s="164" t="s">
        <v>121</v>
      </c>
      <c r="H290" s="161">
        <v>0</v>
      </c>
      <c r="I290" s="185">
        <v>21000</v>
      </c>
      <c r="J290" s="216">
        <v>0</v>
      </c>
      <c r="K290" s="185">
        <v>21000</v>
      </c>
      <c r="L290" s="217">
        <v>0</v>
      </c>
      <c r="M290" s="259"/>
      <c r="O290" s="483" t="s">
        <v>118</v>
      </c>
      <c r="P290" s="164" t="str">
        <f>'LEVEL 3'!F312</f>
        <v>LS</v>
      </c>
      <c r="Q290" s="161">
        <f>'LEVEL 3'!G312</f>
        <v>0</v>
      </c>
      <c r="R290" s="185">
        <f>'LEVEL 3'!H312</f>
        <v>21000</v>
      </c>
      <c r="S290" s="216">
        <f>'LEVEL 3'!I312</f>
        <v>0</v>
      </c>
      <c r="T290" s="185">
        <f>'LEVEL 3'!J312</f>
        <v>21000</v>
      </c>
      <c r="U290" s="217">
        <f>'LEVEL 3'!K312</f>
        <v>0</v>
      </c>
      <c r="V290" s="259"/>
      <c r="X290" s="429">
        <f t="shared" si="33"/>
        <v>0</v>
      </c>
      <c r="Z290" s="432">
        <f t="shared" si="34"/>
        <v>0</v>
      </c>
      <c r="AB290" s="504"/>
    </row>
    <row r="291" spans="1:28" outlineLevel="1">
      <c r="A291" s="512" t="s">
        <v>654</v>
      </c>
      <c r="C291" s="629"/>
      <c r="D291" s="259">
        <f t="shared" si="32"/>
        <v>0</v>
      </c>
      <c r="E291" s="290"/>
      <c r="F291" s="483" t="s">
        <v>110</v>
      </c>
      <c r="G291" s="164" t="s">
        <v>121</v>
      </c>
      <c r="H291" s="161">
        <v>1</v>
      </c>
      <c r="I291" s="185">
        <v>22000</v>
      </c>
      <c r="J291" s="216">
        <v>0</v>
      </c>
      <c r="K291" s="185">
        <v>22000</v>
      </c>
      <c r="L291" s="217">
        <v>22000</v>
      </c>
      <c r="M291" s="259"/>
      <c r="O291" s="483" t="s">
        <v>110</v>
      </c>
      <c r="P291" s="164" t="str">
        <f>'LEVEL 3'!F313</f>
        <v>LS</v>
      </c>
      <c r="Q291" s="161">
        <f>'LEVEL 3'!G313</f>
        <v>1</v>
      </c>
      <c r="R291" s="185">
        <f>'LEVEL 3'!H313</f>
        <v>22000</v>
      </c>
      <c r="S291" s="216">
        <f>'LEVEL 3'!I313</f>
        <v>0</v>
      </c>
      <c r="T291" s="185">
        <f>'LEVEL 3'!J313</f>
        <v>22000</v>
      </c>
      <c r="U291" s="217">
        <f>'LEVEL 3'!K313</f>
        <v>22000</v>
      </c>
      <c r="V291" s="259"/>
      <c r="X291" s="429">
        <f t="shared" si="33"/>
        <v>0</v>
      </c>
      <c r="Z291" s="432">
        <f t="shared" si="34"/>
        <v>0</v>
      </c>
      <c r="AB291" s="504"/>
    </row>
    <row r="292" spans="1:28" outlineLevel="1">
      <c r="A292" s="518" t="s">
        <v>656</v>
      </c>
      <c r="C292" s="629"/>
      <c r="D292" s="259">
        <f t="shared" si="32"/>
        <v>0</v>
      </c>
      <c r="E292" s="290"/>
      <c r="F292" s="483" t="s">
        <v>195</v>
      </c>
      <c r="G292" s="164" t="s">
        <v>121</v>
      </c>
      <c r="H292" s="161">
        <v>1</v>
      </c>
      <c r="I292" s="184">
        <v>43676.49</v>
      </c>
      <c r="J292" s="216">
        <v>0</v>
      </c>
      <c r="K292" s="185">
        <v>43676.49</v>
      </c>
      <c r="L292" s="217">
        <v>43676.49</v>
      </c>
      <c r="M292" s="259"/>
      <c r="O292" s="483" t="s">
        <v>195</v>
      </c>
      <c r="P292" s="164" t="str">
        <f>'LEVEL 3'!F314</f>
        <v>LS</v>
      </c>
      <c r="Q292" s="161">
        <f>'LEVEL 3'!G314</f>
        <v>1</v>
      </c>
      <c r="R292" s="184">
        <f>'LEVEL 3'!H314</f>
        <v>43676.49</v>
      </c>
      <c r="S292" s="216">
        <f>'LEVEL 3'!I314</f>
        <v>0</v>
      </c>
      <c r="T292" s="185">
        <f>'LEVEL 3'!J314</f>
        <v>43676.49</v>
      </c>
      <c r="U292" s="217">
        <f>'LEVEL 3'!K314</f>
        <v>43676.49</v>
      </c>
      <c r="V292" s="259"/>
      <c r="X292" s="429">
        <f t="shared" si="33"/>
        <v>0</v>
      </c>
      <c r="Z292" s="432">
        <f t="shared" si="34"/>
        <v>0</v>
      </c>
      <c r="AB292" s="504"/>
    </row>
    <row r="293" spans="1:28" outlineLevel="1">
      <c r="A293" s="518" t="s">
        <v>659</v>
      </c>
      <c r="C293" s="629"/>
      <c r="D293" s="259">
        <f t="shared" si="32"/>
        <v>0</v>
      </c>
      <c r="E293" s="290"/>
      <c r="F293" s="483" t="s">
        <v>118</v>
      </c>
      <c r="G293" s="164"/>
      <c r="H293" s="161"/>
      <c r="I293" s="185"/>
      <c r="J293" s="216">
        <v>0</v>
      </c>
      <c r="K293" s="185">
        <v>0</v>
      </c>
      <c r="L293" s="217">
        <v>0</v>
      </c>
      <c r="M293" s="259"/>
      <c r="O293" s="483" t="s">
        <v>118</v>
      </c>
      <c r="P293" s="164">
        <f>'LEVEL 3'!F315</f>
        <v>0</v>
      </c>
      <c r="Q293" s="161">
        <f>'LEVEL 3'!G315</f>
        <v>0</v>
      </c>
      <c r="R293" s="185">
        <f>'LEVEL 3'!H315</f>
        <v>0</v>
      </c>
      <c r="S293" s="216">
        <f>'LEVEL 3'!I315</f>
        <v>0</v>
      </c>
      <c r="T293" s="185">
        <f>'LEVEL 3'!J315</f>
        <v>0</v>
      </c>
      <c r="U293" s="217">
        <f>'LEVEL 3'!K315</f>
        <v>0</v>
      </c>
      <c r="V293" s="259"/>
      <c r="X293" s="429">
        <f t="shared" si="33"/>
        <v>0</v>
      </c>
      <c r="Z293" s="432">
        <f t="shared" si="34"/>
        <v>0</v>
      </c>
      <c r="AB293" s="504"/>
    </row>
    <row r="294" spans="1:28" outlineLevel="1">
      <c r="A294" s="518" t="s">
        <v>661</v>
      </c>
      <c r="C294" s="629"/>
      <c r="D294" s="259">
        <f t="shared" si="32"/>
        <v>0</v>
      </c>
      <c r="E294" s="290"/>
      <c r="F294" s="483" t="s">
        <v>110</v>
      </c>
      <c r="G294" s="164" t="s">
        <v>121</v>
      </c>
      <c r="H294" s="161">
        <v>1</v>
      </c>
      <c r="I294" s="185">
        <v>15000</v>
      </c>
      <c r="J294" s="216">
        <v>0</v>
      </c>
      <c r="K294" s="185">
        <v>15000</v>
      </c>
      <c r="L294" s="217">
        <v>15000</v>
      </c>
      <c r="M294" s="259"/>
      <c r="O294" s="483" t="s">
        <v>110</v>
      </c>
      <c r="P294" s="164" t="str">
        <f>'LEVEL 3'!F316</f>
        <v>LS</v>
      </c>
      <c r="Q294" s="161">
        <f>'LEVEL 3'!G316</f>
        <v>1</v>
      </c>
      <c r="R294" s="185">
        <f>'LEVEL 3'!H316</f>
        <v>15000</v>
      </c>
      <c r="S294" s="216">
        <f>'LEVEL 3'!I316</f>
        <v>0</v>
      </c>
      <c r="T294" s="185">
        <f>'LEVEL 3'!J316</f>
        <v>15000</v>
      </c>
      <c r="U294" s="217">
        <f>'LEVEL 3'!K316</f>
        <v>15000</v>
      </c>
      <c r="V294" s="259"/>
      <c r="X294" s="429">
        <f t="shared" si="33"/>
        <v>0</v>
      </c>
      <c r="Z294" s="432">
        <f t="shared" si="34"/>
        <v>0</v>
      </c>
      <c r="AB294" s="504"/>
    </row>
    <row r="295" spans="1:28" outlineLevel="1">
      <c r="A295" s="518" t="s">
        <v>663</v>
      </c>
      <c r="C295" s="629"/>
      <c r="D295" s="259">
        <f t="shared" si="32"/>
        <v>0</v>
      </c>
      <c r="E295" s="290"/>
      <c r="F295" s="483" t="s">
        <v>904</v>
      </c>
      <c r="G295" s="164" t="s">
        <v>121</v>
      </c>
      <c r="H295" s="161">
        <v>1</v>
      </c>
      <c r="I295" s="185">
        <v>5000</v>
      </c>
      <c r="J295" s="216">
        <v>0</v>
      </c>
      <c r="K295" s="185">
        <v>5000</v>
      </c>
      <c r="L295" s="217">
        <v>5000</v>
      </c>
      <c r="M295" s="259"/>
      <c r="O295" s="483" t="s">
        <v>904</v>
      </c>
      <c r="P295" s="164" t="str">
        <f>'LEVEL 3'!F317</f>
        <v>LS</v>
      </c>
      <c r="Q295" s="161">
        <f>'LEVEL 3'!G317</f>
        <v>1</v>
      </c>
      <c r="R295" s="185">
        <f>'LEVEL 3'!H317</f>
        <v>5000</v>
      </c>
      <c r="S295" s="216">
        <f>'LEVEL 3'!I317</f>
        <v>0</v>
      </c>
      <c r="T295" s="185">
        <f>'LEVEL 3'!J317</f>
        <v>5000</v>
      </c>
      <c r="U295" s="217">
        <f>'LEVEL 3'!K317</f>
        <v>5000</v>
      </c>
      <c r="V295" s="259"/>
      <c r="X295" s="429">
        <f t="shared" si="33"/>
        <v>0</v>
      </c>
      <c r="Z295" s="432">
        <f t="shared" si="34"/>
        <v>0</v>
      </c>
      <c r="AB295" s="504"/>
    </row>
    <row r="296" spans="1:28" outlineLevel="1">
      <c r="A296" s="518" t="s">
        <v>665</v>
      </c>
      <c r="C296" s="629"/>
      <c r="D296" s="259">
        <f t="shared" si="32"/>
        <v>0</v>
      </c>
      <c r="E296" s="290"/>
      <c r="F296" s="483" t="s">
        <v>118</v>
      </c>
      <c r="G296" s="164"/>
      <c r="H296" s="161"/>
      <c r="I296" s="185"/>
      <c r="J296" s="216">
        <v>0</v>
      </c>
      <c r="K296" s="185">
        <v>0</v>
      </c>
      <c r="L296" s="217">
        <v>0</v>
      </c>
      <c r="M296" s="259"/>
      <c r="O296" s="483" t="s">
        <v>118</v>
      </c>
      <c r="P296" s="164">
        <f>'LEVEL 3'!F318</f>
        <v>0</v>
      </c>
      <c r="Q296" s="161">
        <f>'LEVEL 3'!G318</f>
        <v>0</v>
      </c>
      <c r="R296" s="185">
        <f>'LEVEL 3'!H318</f>
        <v>0</v>
      </c>
      <c r="S296" s="216">
        <f>'LEVEL 3'!I318</f>
        <v>0</v>
      </c>
      <c r="T296" s="185">
        <f>'LEVEL 3'!J318</f>
        <v>0</v>
      </c>
      <c r="U296" s="217">
        <f>'LEVEL 3'!K318</f>
        <v>0</v>
      </c>
      <c r="V296" s="259"/>
      <c r="X296" s="429">
        <f t="shared" si="33"/>
        <v>0</v>
      </c>
      <c r="Z296" s="432">
        <f t="shared" si="34"/>
        <v>0</v>
      </c>
      <c r="AB296" s="504"/>
    </row>
    <row r="297" spans="1:28" outlineLevel="1">
      <c r="A297" s="512" t="s">
        <v>667</v>
      </c>
      <c r="C297" s="629"/>
      <c r="D297" s="259">
        <f t="shared" si="32"/>
        <v>0</v>
      </c>
      <c r="E297" s="290"/>
      <c r="F297" s="483" t="s">
        <v>110</v>
      </c>
      <c r="G297" s="164" t="s">
        <v>121</v>
      </c>
      <c r="H297" s="161">
        <v>1</v>
      </c>
      <c r="I297" s="185">
        <v>500000</v>
      </c>
      <c r="J297" s="216">
        <v>0</v>
      </c>
      <c r="K297" s="185">
        <v>500000</v>
      </c>
      <c r="L297" s="217">
        <v>500000</v>
      </c>
      <c r="M297" s="259"/>
      <c r="O297" s="483" t="s">
        <v>246</v>
      </c>
      <c r="P297" s="164" t="str">
        <f>'LEVEL 3'!F319</f>
        <v>LS</v>
      </c>
      <c r="Q297" s="161">
        <f>'LEVEL 3'!G319</f>
        <v>1</v>
      </c>
      <c r="R297" s="185">
        <f>'LEVEL 3'!H319</f>
        <v>500000</v>
      </c>
      <c r="S297" s="216">
        <f>'LEVEL 3'!I319</f>
        <v>0</v>
      </c>
      <c r="T297" s="185">
        <f>'LEVEL 3'!J319</f>
        <v>500000</v>
      </c>
      <c r="U297" s="217">
        <f>'LEVEL 3'!K319</f>
        <v>500000</v>
      </c>
      <c r="V297" s="259"/>
      <c r="X297" s="429">
        <f t="shared" si="33"/>
        <v>0</v>
      </c>
      <c r="Z297" s="432">
        <f t="shared" si="34"/>
        <v>0</v>
      </c>
      <c r="AB297" s="504"/>
    </row>
    <row r="298" spans="1:28" outlineLevel="1">
      <c r="A298" s="512" t="s">
        <v>670</v>
      </c>
      <c r="C298" s="629"/>
      <c r="D298" s="259">
        <f t="shared" si="32"/>
        <v>0</v>
      </c>
      <c r="E298" s="290"/>
      <c r="F298" s="483" t="s">
        <v>880</v>
      </c>
      <c r="G298" s="164" t="s">
        <v>121</v>
      </c>
      <c r="H298" s="161">
        <v>1</v>
      </c>
      <c r="I298" s="185">
        <v>72147.600000000006</v>
      </c>
      <c r="J298" s="216">
        <v>0</v>
      </c>
      <c r="K298" s="185">
        <v>72147.600000000006</v>
      </c>
      <c r="L298" s="217">
        <v>72147.600000000006</v>
      </c>
      <c r="M298" s="259"/>
      <c r="O298" s="483" t="s">
        <v>880</v>
      </c>
      <c r="P298" s="164" t="str">
        <f>'LEVEL 3'!F320</f>
        <v>LS</v>
      </c>
      <c r="Q298" s="161">
        <f>'LEVEL 3'!G320</f>
        <v>1</v>
      </c>
      <c r="R298" s="185">
        <f>'LEVEL 3'!H320</f>
        <v>72147.600000000006</v>
      </c>
      <c r="S298" s="216">
        <f>'LEVEL 3'!I320</f>
        <v>0</v>
      </c>
      <c r="T298" s="185">
        <f>'LEVEL 3'!J320</f>
        <v>72147.600000000006</v>
      </c>
      <c r="U298" s="217">
        <f>'LEVEL 3'!K320</f>
        <v>72147.600000000006</v>
      </c>
      <c r="V298" s="259"/>
      <c r="X298" s="429">
        <f t="shared" si="33"/>
        <v>0</v>
      </c>
      <c r="Z298" s="432">
        <f t="shared" si="34"/>
        <v>0</v>
      </c>
      <c r="AB298" s="504"/>
    </row>
    <row r="299" spans="1:28" outlineLevel="1">
      <c r="A299" s="518" t="s">
        <v>672</v>
      </c>
      <c r="C299" s="629"/>
      <c r="D299" s="259">
        <f t="shared" si="32"/>
        <v>0</v>
      </c>
      <c r="E299" s="290"/>
      <c r="F299" s="483" t="s">
        <v>110</v>
      </c>
      <c r="G299" s="164" t="s">
        <v>121</v>
      </c>
      <c r="H299" s="161">
        <v>1</v>
      </c>
      <c r="I299" s="185">
        <v>20000</v>
      </c>
      <c r="J299" s="216">
        <v>0</v>
      </c>
      <c r="K299" s="185">
        <v>20000</v>
      </c>
      <c r="L299" s="217">
        <v>20000</v>
      </c>
      <c r="M299" s="259"/>
      <c r="O299" s="483" t="s">
        <v>110</v>
      </c>
      <c r="P299" s="164" t="str">
        <f>'LEVEL 3'!F321</f>
        <v>LS</v>
      </c>
      <c r="Q299" s="161">
        <f>'LEVEL 3'!G321</f>
        <v>1</v>
      </c>
      <c r="R299" s="185">
        <f>'LEVEL 3'!H321</f>
        <v>20000</v>
      </c>
      <c r="S299" s="216">
        <f>'LEVEL 3'!I321</f>
        <v>0</v>
      </c>
      <c r="T299" s="185">
        <f>'LEVEL 3'!J321</f>
        <v>20000</v>
      </c>
      <c r="U299" s="217">
        <f>'LEVEL 3'!K321</f>
        <v>20000</v>
      </c>
      <c r="V299" s="259"/>
      <c r="X299" s="429">
        <f t="shared" si="33"/>
        <v>0</v>
      </c>
      <c r="Z299" s="432">
        <f t="shared" si="34"/>
        <v>0</v>
      </c>
      <c r="AB299" s="504"/>
    </row>
    <row r="300" spans="1:28" outlineLevel="1">
      <c r="A300" s="518" t="s">
        <v>673</v>
      </c>
      <c r="C300" s="629"/>
      <c r="D300" s="259">
        <f t="shared" si="32"/>
        <v>0</v>
      </c>
      <c r="E300" s="290"/>
      <c r="F300" s="483" t="s">
        <v>110</v>
      </c>
      <c r="G300" s="164" t="s">
        <v>121</v>
      </c>
      <c r="H300" s="161">
        <v>1</v>
      </c>
      <c r="I300" s="185">
        <v>2000</v>
      </c>
      <c r="J300" s="216">
        <v>0</v>
      </c>
      <c r="K300" s="185">
        <v>2000</v>
      </c>
      <c r="L300" s="217">
        <v>2000</v>
      </c>
      <c r="M300" s="259"/>
      <c r="O300" s="483" t="s">
        <v>110</v>
      </c>
      <c r="P300" s="164" t="str">
        <f>'LEVEL 3'!F322</f>
        <v>LS</v>
      </c>
      <c r="Q300" s="161">
        <f>'LEVEL 3'!G322</f>
        <v>1</v>
      </c>
      <c r="R300" s="185">
        <f>'LEVEL 3'!H322</f>
        <v>2000</v>
      </c>
      <c r="S300" s="216">
        <f>'LEVEL 3'!I322</f>
        <v>0</v>
      </c>
      <c r="T300" s="185">
        <f>'LEVEL 3'!J322</f>
        <v>2000</v>
      </c>
      <c r="U300" s="217">
        <f>'LEVEL 3'!K322</f>
        <v>2000</v>
      </c>
      <c r="V300" s="259"/>
      <c r="X300" s="429">
        <f t="shared" si="33"/>
        <v>0</v>
      </c>
      <c r="Z300" s="432">
        <f t="shared" si="34"/>
        <v>0</v>
      </c>
      <c r="AB300" s="504"/>
    </row>
    <row r="301" spans="1:28" outlineLevel="1">
      <c r="A301" s="518" t="s">
        <v>675</v>
      </c>
      <c r="C301" s="629"/>
      <c r="D301" s="259">
        <f t="shared" si="32"/>
        <v>0</v>
      </c>
      <c r="E301" s="290"/>
      <c r="F301" s="483" t="s">
        <v>110</v>
      </c>
      <c r="G301" s="164" t="s">
        <v>121</v>
      </c>
      <c r="H301" s="161">
        <v>1</v>
      </c>
      <c r="I301" s="185">
        <v>1200</v>
      </c>
      <c r="J301" s="216">
        <v>0</v>
      </c>
      <c r="K301" s="185">
        <v>1200</v>
      </c>
      <c r="L301" s="217">
        <v>1200</v>
      </c>
      <c r="M301" s="259"/>
      <c r="O301" s="483" t="s">
        <v>110</v>
      </c>
      <c r="P301" s="164" t="str">
        <f>'LEVEL 3'!F323</f>
        <v>LS</v>
      </c>
      <c r="Q301" s="161">
        <f>'LEVEL 3'!G323</f>
        <v>1</v>
      </c>
      <c r="R301" s="185">
        <f>'LEVEL 3'!H323</f>
        <v>1200</v>
      </c>
      <c r="S301" s="216">
        <f>'LEVEL 3'!I323</f>
        <v>0</v>
      </c>
      <c r="T301" s="185">
        <f>'LEVEL 3'!J323</f>
        <v>1200</v>
      </c>
      <c r="U301" s="217">
        <f>'LEVEL 3'!K323</f>
        <v>1200</v>
      </c>
      <c r="V301" s="259"/>
      <c r="X301" s="429">
        <f t="shared" si="33"/>
        <v>0</v>
      </c>
      <c r="Z301" s="432">
        <f t="shared" si="34"/>
        <v>0</v>
      </c>
      <c r="AB301" s="504"/>
    </row>
    <row r="302" spans="1:28">
      <c r="A302" s="509" t="s">
        <v>645</v>
      </c>
      <c r="C302" s="491">
        <v>1036093.6</v>
      </c>
      <c r="D302" s="628">
        <f t="shared" si="32"/>
        <v>-345069.51</v>
      </c>
      <c r="E302" s="290"/>
      <c r="F302" s="479"/>
      <c r="G302" s="305"/>
      <c r="H302" s="306"/>
      <c r="I302" s="307"/>
      <c r="J302" s="308"/>
      <c r="K302" s="307"/>
      <c r="L302" s="421"/>
      <c r="M302" s="480">
        <f>SUM(L288:L301)</f>
        <v>691024.09</v>
      </c>
      <c r="O302" s="479"/>
      <c r="P302" s="305"/>
      <c r="Q302" s="306"/>
      <c r="R302" s="307"/>
      <c r="S302" s="308"/>
      <c r="T302" s="307"/>
      <c r="U302" s="421"/>
      <c r="V302" s="480">
        <f>'LEVEL 3'!L309</f>
        <v>691024.09</v>
      </c>
      <c r="X302" s="491">
        <f>V302-M302</f>
        <v>0</v>
      </c>
      <c r="Z302" s="497">
        <f>IF(M302=0,0,X302/M302)</f>
        <v>0</v>
      </c>
      <c r="AB302" s="504"/>
    </row>
    <row r="303" spans="1:28" outlineLevel="1">
      <c r="A303" s="510" t="s">
        <v>677</v>
      </c>
      <c r="C303" s="629"/>
      <c r="D303" s="259">
        <f t="shared" si="32"/>
        <v>0</v>
      </c>
      <c r="E303" s="290"/>
      <c r="F303" s="481"/>
      <c r="G303" s="226"/>
      <c r="H303" s="425">
        <v>0.05</v>
      </c>
      <c r="I303" s="225"/>
      <c r="J303" s="311"/>
      <c r="K303" s="312"/>
      <c r="L303" s="313">
        <v>1607491</v>
      </c>
      <c r="M303" s="259"/>
      <c r="O303" s="481"/>
      <c r="P303" s="226"/>
      <c r="Q303" s="425">
        <f>'LEVEL 3'!G325</f>
        <v>0</v>
      </c>
      <c r="R303" s="225">
        <f>'LEVEL 3'!H325</f>
        <v>0</v>
      </c>
      <c r="S303" s="311">
        <f>'LEVEL 3'!I325</f>
        <v>0</v>
      </c>
      <c r="T303" s="312">
        <f>'LEVEL 3'!J325</f>
        <v>0</v>
      </c>
      <c r="U303" s="313">
        <f>'LEVEL 3'!K325</f>
        <v>1674318</v>
      </c>
      <c r="V303" s="259"/>
      <c r="X303" s="429">
        <f>U303-L303</f>
        <v>66827</v>
      </c>
      <c r="Z303" s="432">
        <f>IF(L303=0,0,X303/L303)</f>
        <v>4.1572238973655216E-2</v>
      </c>
      <c r="AB303" s="504"/>
    </row>
    <row r="304" spans="1:28">
      <c r="A304" s="509" t="s">
        <v>677</v>
      </c>
      <c r="C304" s="491">
        <v>1441280.7838538054</v>
      </c>
      <c r="D304" s="628">
        <f t="shared" si="32"/>
        <v>233037.21614619461</v>
      </c>
      <c r="E304" s="290"/>
      <c r="F304" s="479"/>
      <c r="G304" s="305"/>
      <c r="H304" s="306"/>
      <c r="I304" s="307"/>
      <c r="J304" s="308"/>
      <c r="K304" s="307"/>
      <c r="L304" s="421"/>
      <c r="M304" s="480">
        <f>L303</f>
        <v>1607491</v>
      </c>
      <c r="O304" s="479"/>
      <c r="P304" s="305"/>
      <c r="Q304" s="306"/>
      <c r="R304" s="307"/>
      <c r="S304" s="308"/>
      <c r="T304" s="307"/>
      <c r="U304" s="421"/>
      <c r="V304" s="480">
        <f>'LEVEL 3'!L324</f>
        <v>1674318</v>
      </c>
      <c r="X304" s="491">
        <f>V304-M304</f>
        <v>66827</v>
      </c>
      <c r="Z304" s="497">
        <f>IF(M304=0,0,X304/M304)</f>
        <v>4.1572238973655216E-2</v>
      </c>
      <c r="AB304" s="504"/>
    </row>
    <row r="305" spans="1:28" outlineLevel="1">
      <c r="A305" s="510" t="s">
        <v>680</v>
      </c>
      <c r="C305" s="629"/>
      <c r="D305" s="259">
        <f t="shared" si="32"/>
        <v>0</v>
      </c>
      <c r="E305" s="290"/>
      <c r="F305" s="481"/>
      <c r="G305" s="226"/>
      <c r="H305" s="425">
        <v>1.2999999999999999E-2</v>
      </c>
      <c r="I305" s="225"/>
      <c r="J305" s="311"/>
      <c r="K305" s="312"/>
      <c r="L305" s="313">
        <v>339854.76804552512</v>
      </c>
      <c r="M305" s="259"/>
      <c r="O305" s="481"/>
      <c r="P305" s="226"/>
      <c r="Q305" s="425">
        <f>'LEVEL 3'!G327</f>
        <v>1.2999999999999999E-2</v>
      </c>
      <c r="R305" s="225">
        <f>'LEVEL 3'!H327</f>
        <v>0</v>
      </c>
      <c r="S305" s="311">
        <f>'LEVEL 3'!I327</f>
        <v>0</v>
      </c>
      <c r="T305" s="312">
        <f>'LEVEL 3'!J327</f>
        <v>0</v>
      </c>
      <c r="U305" s="313">
        <f>'LEVEL 3'!K327</f>
        <v>336354.04304552515</v>
      </c>
      <c r="V305" s="259"/>
      <c r="X305" s="429">
        <f>U305-L305</f>
        <v>-3500.7249999999767</v>
      </c>
      <c r="Z305" s="432">
        <f>IF(L305=0,0,X305/L305)</f>
        <v>-1.0300649951543532E-2</v>
      </c>
      <c r="AB305" s="504"/>
    </row>
    <row r="306" spans="1:28">
      <c r="A306" s="509" t="s">
        <v>680</v>
      </c>
      <c r="C306" s="491">
        <v>346052.51546726329</v>
      </c>
      <c r="D306" s="628">
        <f t="shared" si="32"/>
        <v>-9698.4724217381445</v>
      </c>
      <c r="E306" s="290"/>
      <c r="F306" s="479"/>
      <c r="G306" s="305"/>
      <c r="H306" s="306"/>
      <c r="I306" s="307"/>
      <c r="J306" s="308"/>
      <c r="K306" s="307"/>
      <c r="L306" s="421"/>
      <c r="M306" s="480">
        <f>L305</f>
        <v>339854.76804552512</v>
      </c>
      <c r="O306" s="479"/>
      <c r="P306" s="305"/>
      <c r="Q306" s="306"/>
      <c r="R306" s="307"/>
      <c r="S306" s="308"/>
      <c r="T306" s="307"/>
      <c r="U306" s="421"/>
      <c r="V306" s="480">
        <f>'LEVEL 3'!L326</f>
        <v>336354.04304552515</v>
      </c>
      <c r="X306" s="491">
        <f>V306-M306</f>
        <v>-3500.7249999999767</v>
      </c>
      <c r="Z306" s="497">
        <f>IF(M306=0,0,X306/M306)</f>
        <v>-1.0300649951543532E-2</v>
      </c>
      <c r="AB306" s="504"/>
    </row>
    <row r="307" spans="1:28" outlineLevel="1">
      <c r="A307" s="511" t="s">
        <v>685</v>
      </c>
      <c r="C307" s="629"/>
      <c r="D307" s="259">
        <f t="shared" si="32"/>
        <v>0</v>
      </c>
      <c r="E307" s="290"/>
      <c r="F307" s="482"/>
      <c r="G307" s="176" t="s">
        <v>687</v>
      </c>
      <c r="H307" s="426">
        <v>3.03</v>
      </c>
      <c r="I307" s="413"/>
      <c r="J307" s="414"/>
      <c r="K307" s="415"/>
      <c r="L307" s="416">
        <v>413617.79833971814</v>
      </c>
      <c r="M307" s="259"/>
      <c r="O307" s="482"/>
      <c r="P307" s="176"/>
      <c r="Q307" s="426">
        <f>'LEVEL 3'!G329</f>
        <v>9</v>
      </c>
      <c r="R307" s="413">
        <f>'LEVEL 3'!H329</f>
        <v>0</v>
      </c>
      <c r="S307" s="414">
        <f>'LEVEL 3'!I329</f>
        <v>0</v>
      </c>
      <c r="T307" s="415">
        <f>'LEVEL 3'!J329</f>
        <v>0</v>
      </c>
      <c r="U307" s="416">
        <f>'LEVEL 3'!K329</f>
        <v>257580.14528648061</v>
      </c>
      <c r="V307" s="259"/>
      <c r="X307" s="429">
        <f>U307-L307</f>
        <v>-156037.65305323753</v>
      </c>
      <c r="Z307" s="432">
        <f>IF(L307=0,0,X307/L307)</f>
        <v>-0.37725081870166183</v>
      </c>
      <c r="AB307" s="504"/>
    </row>
    <row r="308" spans="1:28" outlineLevel="1">
      <c r="A308" s="518" t="s">
        <v>688</v>
      </c>
      <c r="C308" s="629"/>
      <c r="D308" s="259">
        <f t="shared" si="32"/>
        <v>0</v>
      </c>
      <c r="E308" s="290"/>
      <c r="F308" s="483"/>
      <c r="G308" s="164" t="s">
        <v>689</v>
      </c>
      <c r="H308" s="216">
        <v>0.05</v>
      </c>
      <c r="I308" s="185"/>
      <c r="J308" s="216"/>
      <c r="K308" s="185"/>
      <c r="L308" s="217">
        <v>4578.4716807378345</v>
      </c>
      <c r="M308" s="259"/>
      <c r="O308" s="483"/>
      <c r="P308" s="164" t="str">
        <f>'LEVEL 3'!F330</f>
        <v>5% of GL Ins.</v>
      </c>
      <c r="Q308" s="216">
        <f>'LEVEL 3'!G330</f>
        <v>0.05</v>
      </c>
      <c r="R308" s="185">
        <f>'LEVEL 3'!H330</f>
        <v>0</v>
      </c>
      <c r="S308" s="216">
        <f>'LEVEL 3'!I330</f>
        <v>0</v>
      </c>
      <c r="T308" s="185">
        <f>'LEVEL 3'!J330</f>
        <v>0</v>
      </c>
      <c r="U308" s="217">
        <f>'LEVEL 3'!K330</f>
        <v>12879.007264324031</v>
      </c>
      <c r="V308" s="259"/>
      <c r="X308" s="429">
        <f>U308-L308</f>
        <v>8300.5355835861956</v>
      </c>
      <c r="Z308" s="432">
        <f>IF(L308=0,0,X308/L308)</f>
        <v>1.8129489843756201</v>
      </c>
      <c r="AB308" s="504"/>
    </row>
    <row r="309" spans="1:28" outlineLevel="1">
      <c r="A309" s="518" t="s">
        <v>690</v>
      </c>
      <c r="C309" s="629"/>
      <c r="D309" s="259">
        <f t="shared" si="32"/>
        <v>0</v>
      </c>
      <c r="E309" s="290"/>
      <c r="F309" s="483"/>
      <c r="G309" s="164" t="s">
        <v>691</v>
      </c>
      <c r="H309" s="216">
        <v>0.95</v>
      </c>
      <c r="I309" s="185"/>
      <c r="J309" s="216"/>
      <c r="K309" s="185"/>
      <c r="L309" s="217">
        <v>86990.961934018851</v>
      </c>
      <c r="M309" s="259"/>
      <c r="O309" s="483"/>
      <c r="P309" s="164" t="str">
        <f>'LEVEL 3'!F331</f>
        <v>95% of GL Ins.</v>
      </c>
      <c r="Q309" s="216">
        <f>'LEVEL 3'!G331</f>
        <v>0.95</v>
      </c>
      <c r="R309" s="185">
        <f>'LEVEL 3'!H331</f>
        <v>0</v>
      </c>
      <c r="S309" s="216">
        <f>'LEVEL 3'!I331</f>
        <v>0</v>
      </c>
      <c r="T309" s="185">
        <f>'LEVEL 3'!J331</f>
        <v>0</v>
      </c>
      <c r="U309" s="217">
        <f>'LEVEL 3'!K331</f>
        <v>244701.13802215658</v>
      </c>
      <c r="V309" s="259"/>
      <c r="X309" s="429">
        <f>U309-L309</f>
        <v>157710.17608813773</v>
      </c>
      <c r="Z309" s="432">
        <f>IF(L309=0,0,X309/L309)</f>
        <v>1.8129489843756204</v>
      </c>
      <c r="AB309" s="504"/>
    </row>
    <row r="310" spans="1:28">
      <c r="A310" s="509" t="s">
        <v>684</v>
      </c>
      <c r="C310" s="491">
        <v>191793.19801296687</v>
      </c>
      <c r="D310" s="628">
        <f t="shared" si="32"/>
        <v>323367.09255999431</v>
      </c>
      <c r="E310" s="290"/>
      <c r="F310" s="479"/>
      <c r="G310" s="305"/>
      <c r="H310" s="306"/>
      <c r="I310" s="307"/>
      <c r="J310" s="308"/>
      <c r="K310" s="307"/>
      <c r="L310" s="421"/>
      <c r="M310" s="480">
        <f>SUM(L307:L309)</f>
        <v>505187.23195447482</v>
      </c>
      <c r="O310" s="479"/>
      <c r="P310" s="305"/>
      <c r="Q310" s="306"/>
      <c r="R310" s="307"/>
      <c r="S310" s="308"/>
      <c r="T310" s="307"/>
      <c r="U310" s="421"/>
      <c r="V310" s="480">
        <f>'LEVEL 3'!L328</f>
        <v>515160.29057296121</v>
      </c>
      <c r="X310" s="491">
        <f>V310-M310</f>
        <v>9973.0586184863932</v>
      </c>
      <c r="Z310" s="497">
        <f>IF(M310=0,0,X310/M310)</f>
        <v>1.9741311711110546E-2</v>
      </c>
      <c r="AB310" s="504"/>
    </row>
    <row r="311" spans="1:28" outlineLevel="1">
      <c r="A311" s="508" t="s">
        <v>906</v>
      </c>
      <c r="C311" s="629"/>
      <c r="D311" s="259">
        <f t="shared" si="32"/>
        <v>0</v>
      </c>
      <c r="E311" s="290"/>
      <c r="F311" s="478"/>
      <c r="G311" s="223"/>
      <c r="H311" s="427">
        <v>0.02</v>
      </c>
      <c r="I311" s="428"/>
      <c r="J311" s="302"/>
      <c r="K311" s="303"/>
      <c r="L311" s="304">
        <v>564032</v>
      </c>
      <c r="M311" s="259"/>
      <c r="O311" s="478"/>
      <c r="P311" s="223">
        <f>'LEVEL 3'!F333</f>
        <v>0</v>
      </c>
      <c r="Q311" s="427">
        <f>'LEVEL 3'!G333</f>
        <v>0.02</v>
      </c>
      <c r="R311" s="428">
        <f>'LEVEL 3'!H333</f>
        <v>0</v>
      </c>
      <c r="S311" s="302">
        <f>'LEVEL 3'!I333</f>
        <v>0</v>
      </c>
      <c r="T311" s="303">
        <f>'LEVEL 3'!J333</f>
        <v>0</v>
      </c>
      <c r="U311" s="304">
        <f>'LEVEL 3'!K333</f>
        <v>558106</v>
      </c>
      <c r="V311" s="259"/>
      <c r="X311" s="429">
        <f>U311-L311</f>
        <v>-5926</v>
      </c>
      <c r="Z311" s="432">
        <f>IF(L311=0,0,X311/L311)</f>
        <v>-1.0506496085328491E-2</v>
      </c>
      <c r="AB311" s="504"/>
    </row>
    <row r="312" spans="1:28" outlineLevel="1">
      <c r="A312" s="508" t="s">
        <v>692</v>
      </c>
      <c r="C312" s="629"/>
      <c r="D312" s="259">
        <f t="shared" si="32"/>
        <v>0</v>
      </c>
      <c r="E312" s="290"/>
      <c r="F312" s="478"/>
      <c r="G312" s="223"/>
      <c r="H312" s="427">
        <v>0.06</v>
      </c>
      <c r="I312" s="428"/>
      <c r="J312" s="302"/>
      <c r="K312" s="303"/>
      <c r="L312" s="304">
        <v>1692096</v>
      </c>
      <c r="M312" s="259"/>
      <c r="O312" s="478"/>
      <c r="P312" s="223">
        <f>'LEVEL 3'!F334</f>
        <v>0</v>
      </c>
      <c r="Q312" s="427">
        <f>'LEVEL 3'!G334</f>
        <v>0.06</v>
      </c>
      <c r="R312" s="428">
        <f>'LEVEL 3'!H334</f>
        <v>0</v>
      </c>
      <c r="S312" s="302">
        <f>'LEVEL 3'!I334</f>
        <v>0</v>
      </c>
      <c r="T312" s="303">
        <f>'LEVEL 3'!J334</f>
        <v>0</v>
      </c>
      <c r="U312" s="304">
        <f>'LEVEL 3'!K334</f>
        <v>1674318</v>
      </c>
      <c r="V312" s="259"/>
      <c r="X312" s="429">
        <f>U312-L312</f>
        <v>-17778</v>
      </c>
      <c r="Z312" s="432">
        <f>IF(L312=0,0,X312/L312)</f>
        <v>-1.0506496085328491E-2</v>
      </c>
      <c r="AB312" s="504"/>
    </row>
    <row r="313" spans="1:28">
      <c r="A313" s="509" t="s">
        <v>692</v>
      </c>
      <c r="C313" s="491">
        <v>2547266.8619528119</v>
      </c>
      <c r="D313" s="628">
        <f t="shared" si="32"/>
        <v>-314842.86195281195</v>
      </c>
      <c r="E313" s="290"/>
      <c r="F313" s="479"/>
      <c r="G313" s="305"/>
      <c r="H313" s="306"/>
      <c r="I313" s="307"/>
      <c r="J313" s="308"/>
      <c r="K313" s="307"/>
      <c r="L313" s="421"/>
      <c r="M313" s="480">
        <f>SUM(L311:L312)</f>
        <v>2256128</v>
      </c>
      <c r="O313" s="479"/>
      <c r="P313" s="305"/>
      <c r="Q313" s="306"/>
      <c r="R313" s="307"/>
      <c r="S313" s="308"/>
      <c r="T313" s="307"/>
      <c r="U313" s="421"/>
      <c r="V313" s="480">
        <f>'LEVEL 3'!L332</f>
        <v>2232424</v>
      </c>
      <c r="X313" s="491">
        <f>V313-M313</f>
        <v>-23704</v>
      </c>
      <c r="Z313" s="497">
        <f>IF(M313=0,0,X313/M313)</f>
        <v>-1.0506496085328491E-2</v>
      </c>
      <c r="AB313" s="504"/>
    </row>
    <row r="314" spans="1:28" ht="15.75" collapsed="1" thickBot="1">
      <c r="A314" s="519" t="s">
        <v>695</v>
      </c>
      <c r="C314" s="495">
        <f>SUM(C20:C313)</f>
        <v>34388102.636362955</v>
      </c>
      <c r="D314" s="489">
        <f>V314-C314</f>
        <v>-901391.01098058</v>
      </c>
      <c r="E314" s="290"/>
      <c r="F314" s="488"/>
      <c r="G314" s="119"/>
      <c r="H314" s="119"/>
      <c r="I314" s="120"/>
      <c r="J314" s="121"/>
      <c r="K314" s="122"/>
      <c r="L314" s="122"/>
      <c r="M314" s="489">
        <f>SUM(M20:M313)</f>
        <v>33757309.044341207</v>
      </c>
      <c r="O314" s="488"/>
      <c r="P314" s="119"/>
      <c r="Q314" s="119"/>
      <c r="R314" s="120"/>
      <c r="S314" s="121"/>
      <c r="T314" s="122"/>
      <c r="U314" s="122"/>
      <c r="V314" s="489">
        <f>'LEVEL 3'!L335</f>
        <v>33486711.625382375</v>
      </c>
      <c r="X314" s="495">
        <f>V314-M314</f>
        <v>-270597.41895883158</v>
      </c>
      <c r="Z314" s="501">
        <f>IF(M314=0,0,X314/M314)</f>
        <v>-8.0159653307493792E-3</v>
      </c>
      <c r="AB314" s="505"/>
    </row>
    <row r="315" spans="1:28">
      <c r="E315" s="290"/>
      <c r="Q315" s="219"/>
      <c r="R315" s="219"/>
      <c r="S315" s="316"/>
    </row>
    <row r="316" spans="1:28">
      <c r="C316" s="317"/>
      <c r="D316" s="317"/>
      <c r="M316" s="317"/>
      <c r="U316" s="321">
        <f>SUM(U21:U314)+V20+V21</f>
        <v>33486362.877959691</v>
      </c>
      <c r="V316" s="317">
        <f>SUM(V20:V313)</f>
        <v>33486362.877959695</v>
      </c>
      <c r="AB316" s="542"/>
    </row>
    <row r="317" spans="1:28">
      <c r="C317" s="317"/>
      <c r="D317" s="317"/>
      <c r="M317" s="317">
        <f>'LEVEL 2 (Match)'!L330-'Comparison to Previous'!M314</f>
        <v>0</v>
      </c>
      <c r="U317" s="321">
        <f>SUM('LEVEL 3'!K20:K335)</f>
        <v>33486362.877959698</v>
      </c>
      <c r="AB317" s="542"/>
    </row>
    <row r="318" spans="1:28">
      <c r="U318" s="321">
        <f>U317-U316</f>
        <v>0</v>
      </c>
      <c r="V318" s="317">
        <f>V314-V316</f>
        <v>348.74742268025875</v>
      </c>
    </row>
    <row r="320" spans="1:28">
      <c r="M320" s="317">
        <f>M314-M20-M21-M304-M287-M313</f>
        <v>27675240.555040397</v>
      </c>
    </row>
  </sheetData>
  <mergeCells count="2">
    <mergeCell ref="A1:A18"/>
    <mergeCell ref="C1:D1"/>
  </mergeCells>
  <conditionalFormatting sqref="C20:D21">
    <cfRule type="expression" dxfId="98" priority="4">
      <formula>MOD(ROW(),2)</formula>
    </cfRule>
  </conditionalFormatting>
  <conditionalFormatting sqref="C31:D32 C38:D38 C47:D47 C61:D61 C74:D74 C89:D89 C128:D128 C145:D145 C147:D147 C156:D156 C160:D160 C163:D163 C167:D167 C174:D174 C177:D177 C194:D194 C198:D198 C203:D203 C213:D213 C251:D251 C268:D268 C270:D270 C274:D274 C284:D284 C287:D287 C302:D302 C304:D304 C306:D306 C310:D310">
    <cfRule type="expression" dxfId="97" priority="8">
      <formula>MOD(ROW(),2)</formula>
    </cfRule>
  </conditionalFormatting>
  <conditionalFormatting sqref="C313:D314">
    <cfRule type="expression" dxfId="96" priority="3">
      <formula>MOD(ROW(),2)</formula>
    </cfRule>
  </conditionalFormatting>
  <conditionalFormatting sqref="D20:D314">
    <cfRule type="expression" dxfId="95" priority="1">
      <formula>"&lt;1"</formula>
    </cfRule>
    <cfRule type="expression" dxfId="94" priority="2">
      <formula>"&gt;1"</formula>
    </cfRule>
  </conditionalFormatting>
  <conditionalFormatting sqref="F3:G12 A20:A314 AB20:AB314 F33:L313 O33:U313">
    <cfRule type="expression" dxfId="93" priority="21">
      <formula>MOD(ROW(),2)</formula>
    </cfRule>
  </conditionalFormatting>
  <conditionalFormatting sqref="F20:M21">
    <cfRule type="expression" dxfId="92" priority="19">
      <formula>MOD(ROW(),2)</formula>
    </cfRule>
  </conditionalFormatting>
  <conditionalFormatting sqref="F313:M314">
    <cfRule type="expression" dxfId="91" priority="18">
      <formula>MOD(ROW(),2)</formula>
    </cfRule>
  </conditionalFormatting>
  <conditionalFormatting sqref="K4:M8">
    <cfRule type="expression" dxfId="90" priority="43">
      <formula>MOD(ROW(),2)=0</formula>
    </cfRule>
  </conditionalFormatting>
  <conditionalFormatting sqref="K11:M17">
    <cfRule type="expression" dxfId="89" priority="23">
      <formula>MOD(ROW(),2)</formula>
    </cfRule>
  </conditionalFormatting>
  <conditionalFormatting sqref="K16:M16">
    <cfRule type="expression" dxfId="88" priority="24">
      <formula>MOD(ROW(),2)=0</formula>
    </cfRule>
  </conditionalFormatting>
  <conditionalFormatting sqref="O3:P12">
    <cfRule type="expression" dxfId="87" priority="22">
      <formula>MOD(ROW(),2)</formula>
    </cfRule>
  </conditionalFormatting>
  <conditionalFormatting sqref="O20:V21">
    <cfRule type="expression" dxfId="86" priority="65">
      <formula>MOD(ROW(),2)</formula>
    </cfRule>
  </conditionalFormatting>
  <conditionalFormatting sqref="T4:V8">
    <cfRule type="expression" dxfId="85" priority="44">
      <formula>MOD(ROW(),2)=0</formula>
    </cfRule>
  </conditionalFormatting>
  <conditionalFormatting sqref="T11:V17">
    <cfRule type="expression" dxfId="84" priority="25">
      <formula>MOD(ROW(),2)</formula>
    </cfRule>
  </conditionalFormatting>
  <conditionalFormatting sqref="T16:V16">
    <cfRule type="expression" dxfId="83" priority="26">
      <formula>MOD(ROW(),2)=0</formula>
    </cfRule>
  </conditionalFormatting>
  <conditionalFormatting sqref="X20:X21">
    <cfRule type="expression" dxfId="82" priority="35">
      <formula>MOD(ROW(),2)</formula>
    </cfRule>
  </conditionalFormatting>
  <conditionalFormatting sqref="X20:X314">
    <cfRule type="cellIs" dxfId="81" priority="29" operator="lessThan">
      <formula>-$X$18</formula>
    </cfRule>
    <cfRule type="cellIs" dxfId="80" priority="30" operator="greaterThan">
      <formula>$X$18</formula>
    </cfRule>
  </conditionalFormatting>
  <conditionalFormatting sqref="X31:X32 X38 X47 X61 X74 X89 X128 X145 X147 X156 X160 X163 X167 X174 X177 X194 X198 X203 X213 X251 X268 X270 X274 X284 X287 X302 X304 X306 X310 Z31:Z32 Z38 Z47 Z61 Z74 Z89 Z128 Z145 Z147 Z156 Z160 Z163 Z167 Z174 Z177 Z194 Z198 Z203 Z213 Z251 Z268 Z270 Z274 Z284 Z287 Z302 Z304 Z306 Z310 F22:L30 O22:U30 F31:M32 O31:V32 F38:M38 O38:V38 F47:M47 O47:V47 F61:M61 O61:V61 F74:M74 O74:V74 F89:M89 O89:V89 F128:M128 O128:V128 F145:M145 O145:V145 F147:M147 O147:V147 F156:M156 O156:V156 F160:M160 O160:V160 F163:M163 O163:V163 F167:M167 O167:V167 F174:M174 O174:V174 F177:M177 O177:V177 F194:M194 O194:V194 F198:M198 O198:V198 F203:M203 O203:V203 F213:M213 O213:V213 F251:M251 O251:V251 F268:M268 O268:V268 F270:M270 O270:V270 F274:M274 O274:V274 F284:M284 O284:V284 F287:M287 O287:V287 F302:M302 O302:V302 F304:M304 O304:V304 F306:M306 O306:V306 F310:M310 O310:V310 O313:V314">
    <cfRule type="expression" dxfId="79" priority="52">
      <formula>MOD(ROW(),2)</formula>
    </cfRule>
  </conditionalFormatting>
  <conditionalFormatting sqref="X313:X314">
    <cfRule type="expression" dxfId="78" priority="34">
      <formula>MOD(ROW(),2)</formula>
    </cfRule>
  </conditionalFormatting>
  <conditionalFormatting sqref="Z20:Z21">
    <cfRule type="expression" dxfId="77" priority="32">
      <formula>MOD(ROW(),2)</formula>
    </cfRule>
  </conditionalFormatting>
  <conditionalFormatting sqref="Z20:Z314">
    <cfRule type="cellIs" dxfId="76" priority="27" operator="lessThan">
      <formula>-$Z$18</formula>
    </cfRule>
    <cfRule type="cellIs" dxfId="75" priority="28" operator="greaterThan">
      <formula>$Z$18</formula>
    </cfRule>
  </conditionalFormatting>
  <conditionalFormatting sqref="Z313:Z314">
    <cfRule type="expression" dxfId="74" priority="31">
      <formula>MOD(ROW(),2)</formula>
    </cfRule>
  </conditionalFormatting>
  <dataValidations count="2">
    <dataValidation type="list" allowBlank="1" showInputMessage="1" showErrorMessage="1" sqref="P5 G5" xr:uid="{A7644592-73AE-491C-94E6-D2D608CBADE7}">
      <formula1>"Urban, Market, Senior, Afforable"</formula1>
    </dataValidation>
    <dataValidation type="list" allowBlank="1" showInputMessage="1" showErrorMessage="1" sqref="P4 G4" xr:uid="{B61E3A8F-63F0-48E8-B78C-AE0C9DCE6A29}">
      <formula1>"Level 1, Level 2, Level 3"</formula1>
    </dataValidation>
  </dataValidations>
  <pageMargins left="0.1" right="0.1" top="0.75" bottom="0.25" header="0.15" footer="0"/>
  <pageSetup paperSize="3" scale="65" orientation="landscape" horizontalDpi="1200" verticalDpi="1200" r:id="rId1"/>
  <headerFooter>
    <oddHeader>&amp;R&amp;G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391B-76DE-4432-B375-7B34CA7357A0}">
  <sheetPr>
    <pageSetUpPr fitToPage="1"/>
  </sheetPr>
  <dimension ref="A1:N33"/>
  <sheetViews>
    <sheetView showGridLines="0" zoomScale="85" zoomScaleNormal="85" workbookViewId="0">
      <selection activeCell="A23" sqref="A23:XFD23"/>
    </sheetView>
  </sheetViews>
  <sheetFormatPr defaultColWidth="9.140625" defaultRowHeight="15"/>
  <cols>
    <col min="1" max="1" width="38.85546875" style="358" bestFit="1" customWidth="1"/>
    <col min="2" max="2" width="7.140625" style="358" customWidth="1"/>
    <col min="3" max="3" width="14.85546875" style="358" customWidth="1"/>
    <col min="4" max="4" width="17" style="359" bestFit="1" customWidth="1"/>
    <col min="5" max="6" width="14.5703125" style="359" bestFit="1" customWidth="1"/>
    <col min="7" max="7" width="4.7109375" style="358" customWidth="1"/>
    <col min="8" max="11" width="14.5703125" style="359" bestFit="1" customWidth="1"/>
    <col min="12" max="12" width="1.42578125" style="359" customWidth="1"/>
    <col min="13" max="16384" width="9.140625" style="358"/>
  </cols>
  <sheetData>
    <row r="1" spans="1:14" ht="21.75" customHeight="1" thickBot="1">
      <c r="H1" s="360" t="s">
        <v>950</v>
      </c>
      <c r="I1" s="360"/>
      <c r="J1" s="360"/>
      <c r="K1" s="360"/>
    </row>
    <row r="2" spans="1:14" s="361" customFormat="1" ht="21" customHeight="1" thickBot="1">
      <c r="B2" s="362"/>
      <c r="C2" s="362" t="s">
        <v>772</v>
      </c>
      <c r="D2" s="363"/>
      <c r="E2" s="363"/>
      <c r="F2" s="362"/>
      <c r="H2" s="364" t="s">
        <v>951</v>
      </c>
      <c r="I2" s="364" t="s">
        <v>116</v>
      </c>
      <c r="J2" s="364" t="s">
        <v>246</v>
      </c>
      <c r="K2" s="364" t="s">
        <v>195</v>
      </c>
      <c r="L2" s="359"/>
    </row>
    <row r="3" spans="1:14" s="361" customFormat="1" ht="21" customHeight="1">
      <c r="D3" s="365"/>
      <c r="E3" s="365" t="s">
        <v>952</v>
      </c>
      <c r="F3" s="365">
        <f>'LEVEL 3'!E8</f>
        <v>194</v>
      </c>
      <c r="H3" s="365">
        <v>50</v>
      </c>
      <c r="I3" s="365">
        <v>190</v>
      </c>
      <c r="J3" s="365">
        <v>276</v>
      </c>
      <c r="K3" s="365">
        <v>195</v>
      </c>
      <c r="L3" s="359"/>
    </row>
    <row r="4" spans="1:14" s="361" customFormat="1" ht="21" customHeight="1">
      <c r="A4" s="366" t="s">
        <v>461</v>
      </c>
      <c r="B4" s="367"/>
      <c r="C4" s="368"/>
      <c r="D4" s="369"/>
      <c r="E4" s="365" t="s">
        <v>11</v>
      </c>
      <c r="F4" s="370">
        <f>'LEVEL 3'!B8</f>
        <v>196289</v>
      </c>
      <c r="H4" s="370">
        <v>34388</v>
      </c>
      <c r="I4" s="370">
        <v>188825</v>
      </c>
      <c r="J4" s="371">
        <v>258464</v>
      </c>
      <c r="K4" s="370">
        <v>184108</v>
      </c>
      <c r="L4" s="359"/>
    </row>
    <row r="5" spans="1:14" s="361" customFormat="1" ht="21" customHeight="1">
      <c r="A5" s="367" t="s">
        <v>953</v>
      </c>
      <c r="B5" s="367"/>
      <c r="C5" s="368"/>
      <c r="D5" s="369"/>
      <c r="E5" s="365" t="s">
        <v>954</v>
      </c>
      <c r="F5" s="372">
        <f>'LEVEL 3'!B9</f>
        <v>4.9000000000000004</v>
      </c>
      <c r="H5" s="372">
        <v>1.3</v>
      </c>
      <c r="I5" s="372">
        <v>5</v>
      </c>
      <c r="J5" s="373">
        <v>9.4499999999999993</v>
      </c>
      <c r="K5" s="372">
        <v>5</v>
      </c>
      <c r="L5" s="359"/>
    </row>
    <row r="6" spans="1:14" s="361" customFormat="1" ht="21" customHeight="1" thickBot="1">
      <c r="B6" s="362"/>
      <c r="C6" s="374"/>
      <c r="D6" s="375"/>
      <c r="E6" s="375" t="s">
        <v>55</v>
      </c>
      <c r="F6" s="376">
        <f>F5*43560</f>
        <v>213444.00000000003</v>
      </c>
      <c r="H6" s="376">
        <f t="shared" ref="H6:I6" si="0">H5*43560</f>
        <v>56628</v>
      </c>
      <c r="I6" s="376">
        <f t="shared" si="0"/>
        <v>217800</v>
      </c>
      <c r="J6" s="377">
        <v>411641.99999999994</v>
      </c>
      <c r="K6" s="376">
        <v>217800</v>
      </c>
      <c r="L6" s="359"/>
    </row>
    <row r="7" spans="1:14" s="361" customFormat="1" ht="21" customHeight="1" thickBot="1">
      <c r="A7" s="378" t="s">
        <v>88</v>
      </c>
      <c r="B7" s="378" t="s">
        <v>955</v>
      </c>
      <c r="C7" s="364" t="s">
        <v>956</v>
      </c>
      <c r="D7" s="364" t="s">
        <v>932</v>
      </c>
      <c r="E7" s="364" t="s">
        <v>957</v>
      </c>
      <c r="F7" s="364" t="s">
        <v>958</v>
      </c>
      <c r="H7" s="364" t="s">
        <v>958</v>
      </c>
      <c r="I7" s="364" t="s">
        <v>958</v>
      </c>
      <c r="J7" s="364" t="s">
        <v>958</v>
      </c>
      <c r="K7" s="364" t="s">
        <v>958</v>
      </c>
      <c r="L7" s="359"/>
    </row>
    <row r="8" spans="1:14" s="361" customFormat="1" ht="21" customHeight="1">
      <c r="A8" s="379" t="s">
        <v>188</v>
      </c>
      <c r="B8" s="380">
        <f t="shared" ref="B8:B28" si="1">C8/$C$29</f>
        <v>0.11971687590134414</v>
      </c>
      <c r="C8" s="381">
        <f>VLOOKUP(A8,'LEVEL 3'!$A$21:$K$330,11,FALSE)</f>
        <v>4008924.5</v>
      </c>
      <c r="D8" s="382" t="s">
        <v>15</v>
      </c>
      <c r="E8" s="382">
        <f>$F$4</f>
        <v>196289</v>
      </c>
      <c r="F8" s="383">
        <f t="shared" ref="F8:F20" si="2">C8/E8</f>
        <v>20.42358206522016</v>
      </c>
      <c r="H8" s="383">
        <v>20.075375130859602</v>
      </c>
      <c r="I8" s="384">
        <v>19.921525221766185</v>
      </c>
      <c r="J8" s="384">
        <v>22.888453474247783</v>
      </c>
      <c r="K8" s="384">
        <f>3500080/$K$4</f>
        <v>19.011015273643732</v>
      </c>
      <c r="L8" s="359"/>
    </row>
    <row r="9" spans="1:14" s="361" customFormat="1" ht="21" customHeight="1">
      <c r="A9" s="385" t="s">
        <v>439</v>
      </c>
      <c r="B9" s="386">
        <f t="shared" si="1"/>
        <v>6.1570769416403E-2</v>
      </c>
      <c r="C9" s="387">
        <f>VLOOKUP(A9,'LEVEL 3'!$A$21:$K$330,11,FALSE)</f>
        <v>2061802.5999999999</v>
      </c>
      <c r="D9" s="388" t="s">
        <v>187</v>
      </c>
      <c r="E9" s="388">
        <f>$F$3</f>
        <v>194</v>
      </c>
      <c r="F9" s="389">
        <f t="shared" si="2"/>
        <v>10627.848453608247</v>
      </c>
      <c r="H9" s="389">
        <v>10148.68</v>
      </c>
      <c r="I9" s="389">
        <v>9739.273684210526</v>
      </c>
      <c r="J9" s="389">
        <v>10104.673913043478</v>
      </c>
      <c r="K9" s="389">
        <f>1797559/$K$3</f>
        <v>9218.251282051282</v>
      </c>
      <c r="L9" s="359"/>
    </row>
    <row r="10" spans="1:14" s="361" customFormat="1" ht="21" customHeight="1">
      <c r="A10" s="385" t="s">
        <v>444</v>
      </c>
      <c r="B10" s="386">
        <f t="shared" si="1"/>
        <v>5.7054555018839728E-2</v>
      </c>
      <c r="C10" s="387">
        <f>VLOOKUP(A10,'LEVEL 3'!$A$21:$K$330,11,FALSE)</f>
        <v>1910569.4308303986</v>
      </c>
      <c r="D10" s="388" t="s">
        <v>959</v>
      </c>
      <c r="E10" s="388">
        <f>$F$4</f>
        <v>196289</v>
      </c>
      <c r="F10" s="390">
        <f t="shared" si="2"/>
        <v>9.7334513438368866</v>
      </c>
      <c r="H10" s="390">
        <v>12.504361986739561</v>
      </c>
      <c r="I10" s="390">
        <v>9.2699536607970341</v>
      </c>
      <c r="J10" s="390">
        <v>10.176017980518527</v>
      </c>
      <c r="K10" s="390">
        <f>2234019.82/$K$4</f>
        <v>12.134289764703325</v>
      </c>
      <c r="L10" s="359"/>
    </row>
    <row r="11" spans="1:14" s="361" customFormat="1" ht="21" customHeight="1">
      <c r="A11" s="385" t="s">
        <v>292</v>
      </c>
      <c r="B11" s="386">
        <f t="shared" si="1"/>
        <v>4.6906301149301464E-2</v>
      </c>
      <c r="C11" s="391">
        <f>VLOOKUP(A11,'LEVEL 3'!$A$21:$K$330,11,FALSE)</f>
        <v>1570737.78</v>
      </c>
      <c r="D11" s="388" t="s">
        <v>959</v>
      </c>
      <c r="E11" s="388">
        <f>$F$4</f>
        <v>196289</v>
      </c>
      <c r="F11" s="390">
        <f t="shared" si="2"/>
        <v>8.0021691485513706</v>
      </c>
      <c r="H11" s="390">
        <v>7.7384863906013726</v>
      </c>
      <c r="I11" s="390">
        <v>8.0157076658281472</v>
      </c>
      <c r="J11" s="390">
        <v>7.3585310751947759</v>
      </c>
      <c r="K11" s="390">
        <f>1487010/$K$4</f>
        <v>8.0768353357811726</v>
      </c>
      <c r="L11" s="359"/>
    </row>
    <row r="12" spans="1:14" s="361" customFormat="1" ht="21" customHeight="1">
      <c r="A12" s="385" t="s">
        <v>429</v>
      </c>
      <c r="B12" s="386">
        <f t="shared" si="1"/>
        <v>6.0952693294935856E-2</v>
      </c>
      <c r="C12" s="387">
        <f>VLOOKUP(A12,'LEVEL 3'!$A$21:$K$330,11,FALSE)</f>
        <v>2041105.2631578948</v>
      </c>
      <c r="D12" s="389" t="s">
        <v>960</v>
      </c>
      <c r="E12" s="389">
        <f>F3</f>
        <v>194</v>
      </c>
      <c r="F12" s="389">
        <f t="shared" si="2"/>
        <v>10521.161150298427</v>
      </c>
      <c r="H12" s="389">
        <v>10196.24</v>
      </c>
      <c r="I12" s="389">
        <v>10526.310526315789</v>
      </c>
      <c r="J12" s="389">
        <v>11042.514492753624</v>
      </c>
      <c r="K12" s="389">
        <f>1959791/$K$3</f>
        <v>10050.210256410257</v>
      </c>
      <c r="L12" s="359"/>
      <c r="N12" s="392"/>
    </row>
    <row r="13" spans="1:14" s="361" customFormat="1" ht="21" customHeight="1">
      <c r="A13" s="385" t="s">
        <v>380</v>
      </c>
      <c r="B13" s="386">
        <f t="shared" si="1"/>
        <v>1.8547372149056468E-2</v>
      </c>
      <c r="C13" s="387">
        <f>VLOOKUP(A13,'LEVEL 3'!$A$21:$K$330,11,FALSE)</f>
        <v>621090.50256410253</v>
      </c>
      <c r="D13" s="388" t="s">
        <v>187</v>
      </c>
      <c r="E13" s="388">
        <f>$F$3</f>
        <v>194</v>
      </c>
      <c r="F13" s="389">
        <f t="shared" si="2"/>
        <v>3201.4974358974359</v>
      </c>
      <c r="H13" s="393">
        <v>4007.85</v>
      </c>
      <c r="I13" s="393">
        <v>2926</v>
      </c>
      <c r="J13" s="389">
        <v>3454.478260869565</v>
      </c>
      <c r="K13" s="389">
        <v>3201.4974358974359</v>
      </c>
      <c r="L13" s="359"/>
    </row>
    <row r="14" spans="1:14" s="361" customFormat="1" ht="21" customHeight="1">
      <c r="A14" s="385" t="s">
        <v>423</v>
      </c>
      <c r="B14" s="386">
        <f t="shared" si="1"/>
        <v>1.4361160790582963E-2</v>
      </c>
      <c r="C14" s="391">
        <f>VLOOKUP(A14,'LEVEL 3'!$A$21:$K$330,11,FALSE)</f>
        <v>480908.05000000005</v>
      </c>
      <c r="D14" s="388" t="s">
        <v>959</v>
      </c>
      <c r="E14" s="388">
        <f>$F$4</f>
        <v>196289</v>
      </c>
      <c r="F14" s="394">
        <f t="shared" si="2"/>
        <v>2.4500000000000002</v>
      </c>
      <c r="H14" s="390">
        <v>3.2147842270559499</v>
      </c>
      <c r="I14" s="390">
        <v>2.4530650072818747</v>
      </c>
      <c r="J14" s="390">
        <f>644184/$J$4</f>
        <v>2.4923548347158597</v>
      </c>
      <c r="K14" s="390">
        <v>2.4480196406457102</v>
      </c>
      <c r="L14" s="359"/>
    </row>
    <row r="15" spans="1:14" s="361" customFormat="1" ht="21" customHeight="1">
      <c r="A15" s="385" t="s">
        <v>387</v>
      </c>
      <c r="B15" s="386">
        <f t="shared" si="1"/>
        <v>1.8237443163487285E-2</v>
      </c>
      <c r="C15" s="391">
        <f>VLOOKUP(A15,'LEVEL 3'!$A$21:$K$330,11,FALSE)</f>
        <v>610712</v>
      </c>
      <c r="D15" s="388" t="s">
        <v>187</v>
      </c>
      <c r="E15" s="388">
        <f>$F$3</f>
        <v>194</v>
      </c>
      <c r="F15" s="389">
        <f t="shared" si="2"/>
        <v>3148</v>
      </c>
      <c r="H15" s="393">
        <v>1330</v>
      </c>
      <c r="I15" s="539">
        <v>3778.0052631578947</v>
      </c>
      <c r="J15" s="389">
        <v>3651.0797101449275</v>
      </c>
      <c r="K15" s="389">
        <f>607178/$K$3</f>
        <v>3113.7333333333331</v>
      </c>
      <c r="L15" s="359"/>
    </row>
    <row r="16" spans="1:14" s="361" customFormat="1" ht="21" customHeight="1">
      <c r="A16" s="385" t="s">
        <v>244</v>
      </c>
      <c r="B16" s="386">
        <f t="shared" si="1"/>
        <v>6.7080811475409658E-3</v>
      </c>
      <c r="C16" s="391">
        <f>VLOOKUP(A16,'LEVEL 3'!$A$21:$K$330,11,FALSE)</f>
        <v>224631.5789473684</v>
      </c>
      <c r="D16" s="388" t="s">
        <v>187</v>
      </c>
      <c r="E16" s="388">
        <f t="shared" ref="E16:E17" si="3">$F$3</f>
        <v>194</v>
      </c>
      <c r="F16" s="388">
        <f>C16/E16</f>
        <v>1157.8947368421052</v>
      </c>
      <c r="H16" s="393">
        <v>1647.1909999999998</v>
      </c>
      <c r="I16" s="389">
        <f>220000/I3</f>
        <v>1157.8947368421052</v>
      </c>
      <c r="J16" s="389">
        <f>388836/$J$3</f>
        <v>1408.8260869565217</v>
      </c>
      <c r="K16" s="389">
        <f>144157.93/$K$3</f>
        <v>739.27143589743582</v>
      </c>
      <c r="L16" s="359"/>
    </row>
    <row r="17" spans="1:14" s="361" customFormat="1" ht="21" customHeight="1">
      <c r="A17" s="534" t="s">
        <v>201</v>
      </c>
      <c r="B17" s="535">
        <f t="shared" si="1"/>
        <v>1.8360865255397537E-2</v>
      </c>
      <c r="C17" s="536">
        <f>VLOOKUP(A17,'LEVEL 3'!$A$21:$K$330,11,FALSE)</f>
        <v>614845</v>
      </c>
      <c r="D17" s="537" t="s">
        <v>187</v>
      </c>
      <c r="E17" s="537">
        <f t="shared" si="3"/>
        <v>194</v>
      </c>
      <c r="F17" s="538">
        <f>C17/E17</f>
        <v>3169.3041237113403</v>
      </c>
      <c r="G17" s="367"/>
      <c r="H17" s="539">
        <v>3036</v>
      </c>
      <c r="I17" s="539">
        <v>3192.5</v>
      </c>
      <c r="J17" s="539">
        <v>2901.289855072464</v>
      </c>
      <c r="K17" s="539">
        <v>3081.2307692307691</v>
      </c>
      <c r="L17" s="359"/>
    </row>
    <row r="18" spans="1:14" s="361" customFormat="1" ht="21" customHeight="1">
      <c r="A18" s="385" t="s">
        <v>113</v>
      </c>
      <c r="B18" s="386">
        <f t="shared" si="1"/>
        <v>1.723020123488795E-2</v>
      </c>
      <c r="C18" s="387">
        <f>VLOOKUP(A18,'LEVEL 3'!$A$21:$K$330,11,FALSE)</f>
        <v>576982.78</v>
      </c>
      <c r="D18" s="388" t="s">
        <v>961</v>
      </c>
      <c r="E18" s="389">
        <f>'LEVEL 3'!$O$2</f>
        <v>48122</v>
      </c>
      <c r="F18" s="390">
        <f>C18/E18</f>
        <v>11.99</v>
      </c>
      <c r="H18" s="390">
        <v>16.778815751652775</v>
      </c>
      <c r="I18" s="390">
        <v>11.989966555183946</v>
      </c>
      <c r="J18" s="390">
        <v>15.882902522578636</v>
      </c>
      <c r="K18" s="390">
        <v>16.06089511654935</v>
      </c>
      <c r="L18" s="359"/>
    </row>
    <row r="19" spans="1:14" s="361" customFormat="1" ht="21" customHeight="1">
      <c r="A19" s="385" t="s">
        <v>210</v>
      </c>
      <c r="B19" s="386">
        <f t="shared" si="1"/>
        <v>1.5751928881550099E-2</v>
      </c>
      <c r="C19" s="387">
        <f>VLOOKUP(A19,'LEVEL 3'!$A$21:$K$330,11,FALSE)</f>
        <v>527480.30000000005</v>
      </c>
      <c r="D19" s="388" t="s">
        <v>959</v>
      </c>
      <c r="E19" s="388">
        <f>$F$4</f>
        <v>196289</v>
      </c>
      <c r="F19" s="390">
        <f>C19/E19</f>
        <v>2.6872636775366936</v>
      </c>
      <c r="H19" s="396">
        <v>2.5423112713737348</v>
      </c>
      <c r="I19" s="396">
        <v>2.6983715080100623</v>
      </c>
      <c r="J19" s="396">
        <v>2.2715182087566053</v>
      </c>
      <c r="K19" s="396">
        <f>460480/$K$4</f>
        <v>2.5011406348447651</v>
      </c>
      <c r="L19" s="359"/>
    </row>
    <row r="20" spans="1:14" s="361" customFormat="1" ht="21" customHeight="1">
      <c r="A20" s="385" t="s">
        <v>491</v>
      </c>
      <c r="B20" s="386">
        <f t="shared" si="1"/>
        <v>9.410359653264453E-3</v>
      </c>
      <c r="C20" s="391">
        <f>VLOOKUP(A20,'LEVEL 3'!$A$21:$K$330,11,FALSE)</f>
        <v>315122</v>
      </c>
      <c r="D20" s="388" t="s">
        <v>187</v>
      </c>
      <c r="E20" s="388">
        <f>$F$3</f>
        <v>194</v>
      </c>
      <c r="F20" s="388">
        <f t="shared" si="2"/>
        <v>1624.340206185567</v>
      </c>
      <c r="H20" s="389">
        <f>2.27404908689078*H4/H3</f>
        <v>1564.000000000003</v>
      </c>
      <c r="I20" s="389">
        <v>1662.7789473684211</v>
      </c>
      <c r="J20" s="389">
        <v>2101</v>
      </c>
      <c r="K20" s="389">
        <v>1466.6666666666667</v>
      </c>
      <c r="L20" s="359"/>
    </row>
    <row r="21" spans="1:14" s="361" customFormat="1" ht="21" customHeight="1">
      <c r="A21" s="385" t="s">
        <v>53</v>
      </c>
      <c r="B21" s="386">
        <f t="shared" si="1"/>
        <v>2.0004507338680706E-2</v>
      </c>
      <c r="C21" s="391">
        <f>VLOOKUP(A21,'LEVEL 3'!$A$21:$K$330,11,FALSE)</f>
        <v>669885.16845824628</v>
      </c>
      <c r="D21" s="389" t="s">
        <v>15</v>
      </c>
      <c r="E21" s="389">
        <f>'LEVEL 3'!G256</f>
        <v>39274</v>
      </c>
      <c r="F21" s="390">
        <f>C21/$E$21</f>
        <v>17.056708470190106</v>
      </c>
      <c r="H21" s="396">
        <v>10.527711775432392</v>
      </c>
      <c r="I21" s="390">
        <v>15.584552602766996</v>
      </c>
      <c r="J21" s="397">
        <v>16.652199428454786</v>
      </c>
      <c r="K21" s="390">
        <v>21.389000664746291</v>
      </c>
      <c r="L21" s="359"/>
    </row>
    <row r="22" spans="1:14" s="361" customFormat="1" ht="21" customHeight="1">
      <c r="A22" s="385" t="s">
        <v>58</v>
      </c>
      <c r="B22" s="386">
        <f t="shared" si="1"/>
        <v>1.4413349551890754E-2</v>
      </c>
      <c r="C22" s="391">
        <f>VLOOKUP(A22,'LEVEL 3'!$A$21:$K$330,11,FALSE)</f>
        <v>482655.68</v>
      </c>
      <c r="D22" s="388" t="s">
        <v>962</v>
      </c>
      <c r="E22" s="388">
        <f>'LEVEL 3'!$G$107</f>
        <v>11824</v>
      </c>
      <c r="F22" s="390">
        <f t="shared" ref="F22:F29" si="4">C22/E22</f>
        <v>40.82</v>
      </c>
      <c r="H22" s="390">
        <v>39.371015724606885</v>
      </c>
      <c r="I22" s="390">
        <v>40.818673883626523</v>
      </c>
      <c r="J22" s="390">
        <v>42.234691987031034</v>
      </c>
      <c r="K22" s="390">
        <v>46.688382082225402</v>
      </c>
      <c r="L22" s="359"/>
    </row>
    <row r="23" spans="1:14" s="361" customFormat="1" ht="21" customHeight="1">
      <c r="A23" s="385" t="s">
        <v>391</v>
      </c>
      <c r="B23" s="386">
        <f t="shared" si="1"/>
        <v>9.0816490561198091E-3</v>
      </c>
      <c r="C23" s="391">
        <f>VLOOKUP(A23,'LEVEL 3'!$A$21:$K$330,11,FALSE)</f>
        <v>304114.56302521011</v>
      </c>
      <c r="D23" s="388" t="s">
        <v>187</v>
      </c>
      <c r="E23" s="388">
        <f>$F$3</f>
        <v>194</v>
      </c>
      <c r="F23" s="395">
        <f>C23/E23</f>
        <v>1567.6008403361345</v>
      </c>
      <c r="H23" s="393">
        <v>754</v>
      </c>
      <c r="I23" s="389">
        <v>1628.8894736842105</v>
      </c>
      <c r="J23" s="389">
        <v>1551.7282608695652</v>
      </c>
      <c r="K23" s="389">
        <v>1600.251282051282</v>
      </c>
      <c r="L23" s="359"/>
    </row>
    <row r="24" spans="1:14" s="361" customFormat="1" ht="21" customHeight="1">
      <c r="A24" s="385" t="s">
        <v>136</v>
      </c>
      <c r="B24" s="386">
        <f t="shared" si="1"/>
        <v>1.2927963929186095E-2</v>
      </c>
      <c r="C24" s="387">
        <f>VLOOKUP(A24,'LEVEL 3'!$A$21:$K$330,11,FALSE)</f>
        <v>432915</v>
      </c>
      <c r="D24" s="389" t="s">
        <v>963</v>
      </c>
      <c r="E24" s="389">
        <f>'LEVEL 3'!$G$33</f>
        <v>147250</v>
      </c>
      <c r="F24" s="390">
        <f t="shared" si="4"/>
        <v>2.94</v>
      </c>
      <c r="H24" s="390">
        <v>2.9324030537438697</v>
      </c>
      <c r="I24" s="390">
        <v>2.9421303874469915</v>
      </c>
      <c r="J24" s="390">
        <v>1.2965677535227078</v>
      </c>
      <c r="K24" s="390">
        <v>1.1000000000000001</v>
      </c>
      <c r="L24" s="359"/>
    </row>
    <row r="25" spans="1:14" s="361" customFormat="1" ht="21" customHeight="1">
      <c r="A25" s="385" t="s">
        <v>404</v>
      </c>
      <c r="B25" s="386">
        <f t="shared" si="1"/>
        <v>7.3163349910504213E-3</v>
      </c>
      <c r="C25" s="387">
        <f>VLOOKUP(A25,'LEVEL 3'!$A$21:$K$330,11,FALSE)</f>
        <v>245000</v>
      </c>
      <c r="D25" s="388" t="s">
        <v>121</v>
      </c>
      <c r="E25" s="388">
        <v>1</v>
      </c>
      <c r="F25" s="389">
        <f>C25/E25</f>
        <v>245000</v>
      </c>
      <c r="H25" s="389" t="s">
        <v>118</v>
      </c>
      <c r="I25" s="389">
        <v>245000</v>
      </c>
      <c r="J25" s="389">
        <v>228710</v>
      </c>
      <c r="K25" s="389">
        <v>208310</v>
      </c>
      <c r="L25" s="359"/>
    </row>
    <row r="26" spans="1:14" s="361" customFormat="1" ht="21" customHeight="1">
      <c r="A26" s="385" t="s">
        <v>331</v>
      </c>
      <c r="B26" s="386">
        <f t="shared" si="1"/>
        <v>1.0755662246841692E-2</v>
      </c>
      <c r="C26" s="391">
        <f>VLOOKUP(A26,'LEVEL 3'!$A$21:$K$330,11,FALSE)</f>
        <v>360171.76</v>
      </c>
      <c r="D26" s="388" t="s">
        <v>959</v>
      </c>
      <c r="E26" s="388">
        <f>$F$4</f>
        <v>196289</v>
      </c>
      <c r="F26" s="390">
        <f>C26/E26</f>
        <v>1.8349054710146775</v>
      </c>
      <c r="H26" s="390">
        <v>2.053361637780621</v>
      </c>
      <c r="I26" s="390">
        <v>1.8370925460082086</v>
      </c>
      <c r="J26" s="390">
        <v>2.0978638463145352</v>
      </c>
      <c r="K26" s="390">
        <f>355696/$K$4</f>
        <v>1.9319964368740088</v>
      </c>
      <c r="L26" s="359"/>
    </row>
    <row r="27" spans="1:14" s="361" customFormat="1" ht="21" customHeight="1">
      <c r="A27" s="385" t="s">
        <v>51</v>
      </c>
      <c r="B27" s="386">
        <f t="shared" si="1"/>
        <v>9.068937356327602E-3</v>
      </c>
      <c r="C27" s="398">
        <f>VLOOKUP(A27,'LEVEL 3'!$A$21:$K$330,11,FALSE)</f>
        <v>303688.89</v>
      </c>
      <c r="D27" s="395" t="s">
        <v>213</v>
      </c>
      <c r="E27" s="395">
        <f>'LEVEL 3'!$O$10</f>
        <v>503.63</v>
      </c>
      <c r="F27" s="399">
        <f>C27/E27</f>
        <v>603</v>
      </c>
      <c r="H27" s="389">
        <v>491.39688696603508</v>
      </c>
      <c r="I27" s="389">
        <v>603.39840194194392</v>
      </c>
      <c r="J27" s="389">
        <v>598.38652482269504</v>
      </c>
      <c r="K27" s="389">
        <v>535.74239713774602</v>
      </c>
      <c r="L27" s="359"/>
    </row>
    <row r="28" spans="1:14" s="361" customFormat="1" ht="21" customHeight="1" thickBot="1">
      <c r="A28" s="400" t="s">
        <v>425</v>
      </c>
      <c r="B28" s="401">
        <f t="shared" si="1"/>
        <v>3.9717247094273713E-3</v>
      </c>
      <c r="C28" s="402">
        <f>VLOOKUP(A28,'LEVEL 3'!$A$21:$K$330,11,FALSE)</f>
        <v>133000</v>
      </c>
      <c r="D28" s="403" t="s">
        <v>187</v>
      </c>
      <c r="E28" s="403">
        <f>$F$3</f>
        <v>194</v>
      </c>
      <c r="F28" s="404">
        <f t="shared" si="4"/>
        <v>685.56701030927832</v>
      </c>
      <c r="H28" s="404" t="s">
        <v>118</v>
      </c>
      <c r="I28" s="404">
        <f>133300/$I$3</f>
        <v>701.57894736842104</v>
      </c>
      <c r="J28" s="404">
        <f>113160/$J$3</f>
        <v>410</v>
      </c>
      <c r="K28" s="404">
        <f>120800/$K$3</f>
        <v>619.48717948717945</v>
      </c>
      <c r="L28" s="359"/>
    </row>
    <row r="29" spans="1:14" s="361" customFormat="1" ht="21" customHeight="1">
      <c r="A29" s="405" t="s">
        <v>695</v>
      </c>
      <c r="B29" s="405"/>
      <c r="C29" s="406">
        <f>'LEVEL 3'!$L$335</f>
        <v>33486711.625382375</v>
      </c>
      <c r="D29" s="371" t="s">
        <v>11</v>
      </c>
      <c r="E29" s="371">
        <f>$F$4</f>
        <v>196289</v>
      </c>
      <c r="F29" s="407">
        <f t="shared" si="4"/>
        <v>170.59902299865186</v>
      </c>
      <c r="H29" s="407"/>
      <c r="I29" s="407"/>
      <c r="J29" s="407"/>
      <c r="K29" s="407"/>
      <c r="L29" s="359"/>
    </row>
    <row r="31" spans="1:14" s="359" customFormat="1">
      <c r="A31" s="358"/>
      <c r="B31" s="358"/>
      <c r="C31" s="408"/>
      <c r="G31" s="358"/>
      <c r="M31" s="358"/>
      <c r="N31" s="358"/>
    </row>
    <row r="32" spans="1:14" s="359" customFormat="1">
      <c r="A32" s="358"/>
      <c r="B32" s="358"/>
      <c r="C32" s="408"/>
      <c r="G32" s="358"/>
      <c r="M32" s="358"/>
      <c r="N32" s="358"/>
    </row>
    <row r="33" spans="1:14" s="359" customFormat="1">
      <c r="A33" s="358"/>
      <c r="B33" s="358"/>
      <c r="C33" s="408"/>
      <c r="G33" s="358"/>
      <c r="M33" s="358"/>
      <c r="N33" s="358"/>
    </row>
  </sheetData>
  <autoFilter ref="A2:F29" xr:uid="{960B391B-76DE-4432-B375-7B34CA7357A0}"/>
  <pageMargins left="0.2" right="0.2" top="0.75" bottom="0.25" header="0.15" footer="0"/>
  <pageSetup scale="79" orientation="landscape" r:id="rId1"/>
  <headerFooter>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FF2F-57E8-48C0-8B30-130C873E3C33}">
  <dimension ref="A2:F14"/>
  <sheetViews>
    <sheetView workbookViewId="0">
      <selection activeCell="F36" sqref="F36"/>
    </sheetView>
  </sheetViews>
  <sheetFormatPr defaultRowHeight="15"/>
  <cols>
    <col min="1" max="1" width="32.42578125" customWidth="1"/>
    <col min="2" max="6" width="10.85546875" customWidth="1"/>
  </cols>
  <sheetData>
    <row r="2" spans="1:6">
      <c r="A2" s="337" t="s">
        <v>964</v>
      </c>
    </row>
    <row r="3" spans="1:6" ht="9" customHeight="1">
      <c r="A3" s="332"/>
    </row>
    <row r="4" spans="1:6">
      <c r="A4" s="332" t="s">
        <v>965</v>
      </c>
    </row>
    <row r="5" spans="1:6" ht="9.75" customHeight="1">
      <c r="A5" s="332"/>
    </row>
    <row r="6" spans="1:6" s="332" customFormat="1">
      <c r="A6" s="332" t="s">
        <v>966</v>
      </c>
      <c r="B6" s="333" t="s">
        <v>92</v>
      </c>
      <c r="C6" s="333" t="s">
        <v>10</v>
      </c>
      <c r="D6" s="333" t="s">
        <v>967</v>
      </c>
      <c r="E6" s="333" t="s">
        <v>95</v>
      </c>
      <c r="F6" s="333" t="s">
        <v>968</v>
      </c>
    </row>
    <row r="7" spans="1:6">
      <c r="A7" s="334" t="s">
        <v>969</v>
      </c>
      <c r="B7" s="334" t="s">
        <v>970</v>
      </c>
      <c r="C7" s="334" t="s">
        <v>811</v>
      </c>
      <c r="D7" s="335">
        <f>130-D8</f>
        <v>91</v>
      </c>
      <c r="E7" s="338">
        <v>2064</v>
      </c>
      <c r="F7" s="338">
        <f>D7*E7</f>
        <v>187824</v>
      </c>
    </row>
    <row r="8" spans="1:6">
      <c r="A8" s="334" t="s">
        <v>971</v>
      </c>
      <c r="B8" s="334" t="s">
        <v>970</v>
      </c>
      <c r="C8" s="334" t="s">
        <v>811</v>
      </c>
      <c r="D8" s="335">
        <f>130*0.3</f>
        <v>39</v>
      </c>
      <c r="E8" s="338">
        <v>2623</v>
      </c>
      <c r="F8" s="338">
        <f t="shared" ref="F8:F12" si="0">D8*E8</f>
        <v>102297</v>
      </c>
    </row>
    <row r="9" spans="1:6">
      <c r="A9" s="334" t="s">
        <v>972</v>
      </c>
      <c r="B9" s="334" t="s">
        <v>195</v>
      </c>
      <c r="C9" s="334" t="s">
        <v>811</v>
      </c>
      <c r="D9" s="336">
        <f>SUM($D$7:$D$8)/2</f>
        <v>65</v>
      </c>
      <c r="E9" s="338">
        <v>250</v>
      </c>
      <c r="F9" s="338">
        <f>D9*E9</f>
        <v>16250</v>
      </c>
    </row>
    <row r="10" spans="1:6">
      <c r="A10" s="334" t="s">
        <v>973</v>
      </c>
      <c r="B10" s="334" t="s">
        <v>195</v>
      </c>
      <c r="C10" s="334" t="s">
        <v>811</v>
      </c>
      <c r="D10" s="336">
        <v>130</v>
      </c>
      <c r="E10" s="338">
        <v>75</v>
      </c>
      <c r="F10" s="338">
        <f t="shared" si="0"/>
        <v>9750</v>
      </c>
    </row>
    <row r="11" spans="1:6">
      <c r="A11" s="334" t="s">
        <v>974</v>
      </c>
      <c r="B11" s="334" t="s">
        <v>195</v>
      </c>
      <c r="C11" s="334" t="s">
        <v>121</v>
      </c>
      <c r="D11" s="335">
        <v>1</v>
      </c>
      <c r="E11" s="338">
        <v>1815</v>
      </c>
      <c r="F11" s="338">
        <f t="shared" si="0"/>
        <v>1815</v>
      </c>
    </row>
    <row r="12" spans="1:6">
      <c r="A12" s="334" t="s">
        <v>975</v>
      </c>
      <c r="B12" s="334" t="s">
        <v>195</v>
      </c>
      <c r="C12" s="334" t="s">
        <v>121</v>
      </c>
      <c r="D12" s="335">
        <v>1</v>
      </c>
      <c r="E12" s="338">
        <v>2500</v>
      </c>
      <c r="F12" s="338">
        <f t="shared" si="0"/>
        <v>2500</v>
      </c>
    </row>
    <row r="13" spans="1:6">
      <c r="E13" s="339"/>
      <c r="F13" s="340">
        <f>SUM(F7:F12)</f>
        <v>320436</v>
      </c>
    </row>
    <row r="14" spans="1:6">
      <c r="F14" s="106" t="s">
        <v>976</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6D31-DBF5-4B77-8D3E-DBDEC4F90A77}">
  <dimension ref="A1:Y331"/>
  <sheetViews>
    <sheetView topLeftCell="A9" zoomScale="70" zoomScaleNormal="70" workbookViewId="0">
      <selection activeCell="L323" sqref="L323"/>
    </sheetView>
  </sheetViews>
  <sheetFormatPr defaultColWidth="9.140625" defaultRowHeight="15" outlineLevelRow="1"/>
  <cols>
    <col min="1" max="1" width="38.85546875" style="218" bestFit="1" customWidth="1"/>
    <col min="2" max="2" width="0.7109375" style="218" customWidth="1"/>
    <col min="3" max="3" width="13.140625" style="218" bestFit="1" customWidth="1"/>
    <col min="4" max="4" width="15.85546875" style="218" bestFit="1" customWidth="1"/>
    <col min="5" max="5" width="7.85546875" style="218" bestFit="1" customWidth="1"/>
    <col min="6" max="6" width="10.5703125" style="218" bestFit="1" customWidth="1"/>
    <col min="7" max="7" width="4.5703125" style="218" bestFit="1" customWidth="1"/>
    <col min="8" max="8" width="10.85546875" style="218" bestFit="1" customWidth="1"/>
    <col min="9" max="9" width="9.7109375" style="218" bestFit="1" customWidth="1"/>
    <col min="10" max="10" width="15.42578125" style="218" bestFit="1" customWidth="1"/>
    <col min="11" max="11" width="0.7109375" style="218" customWidth="1"/>
    <col min="12" max="12" width="13.140625" style="219" bestFit="1" customWidth="1"/>
    <col min="13" max="13" width="16.42578125" style="219" bestFit="1" customWidth="1"/>
    <col min="14" max="14" width="13.42578125" style="218" bestFit="1" customWidth="1"/>
    <col min="15" max="15" width="12.42578125" style="218" bestFit="1" customWidth="1"/>
    <col min="16" max="16" width="5" style="218" bestFit="1" customWidth="1"/>
    <col min="17" max="17" width="21.140625" style="218" bestFit="1" customWidth="1"/>
    <col min="18" max="18" width="13.140625" style="218" bestFit="1" customWidth="1"/>
    <col min="19" max="19" width="16.42578125" style="218" bestFit="1" customWidth="1"/>
    <col min="20" max="20" width="0.7109375" style="218" customWidth="1"/>
    <col min="21" max="21" width="13.85546875" style="317" bestFit="1" customWidth="1"/>
    <col min="22" max="22" width="0.7109375" style="218" customWidth="1"/>
    <col min="23" max="23" width="11.140625" style="317" bestFit="1" customWidth="1"/>
    <col min="24" max="24" width="0.7109375" style="218" customWidth="1"/>
    <col min="25" max="25" width="82" style="218" bestFit="1" customWidth="1"/>
    <col min="26" max="16384" width="9.140625" style="218"/>
  </cols>
  <sheetData>
    <row r="1" spans="1:19" ht="27.75" customHeight="1" thickBot="1">
      <c r="A1" s="640" t="s">
        <v>924</v>
      </c>
      <c r="B1" s="290"/>
      <c r="C1" s="450" t="s">
        <v>925</v>
      </c>
      <c r="D1" s="451"/>
      <c r="E1" s="451"/>
      <c r="F1" s="451"/>
      <c r="G1" s="451"/>
      <c r="H1" s="452"/>
      <c r="I1" s="452"/>
      <c r="J1" s="453"/>
      <c r="L1" s="450" t="s">
        <v>926</v>
      </c>
      <c r="M1" s="451"/>
      <c r="N1" s="451"/>
      <c r="O1" s="451"/>
      <c r="P1" s="451"/>
      <c r="Q1" s="452"/>
      <c r="R1" s="452"/>
      <c r="S1" s="453"/>
    </row>
    <row r="2" spans="1:19" ht="15.75" thickBot="1">
      <c r="A2" s="641"/>
      <c r="B2" s="290"/>
      <c r="C2" s="454" t="s">
        <v>0</v>
      </c>
      <c r="D2" s="237"/>
      <c r="H2" s="237" t="s">
        <v>1</v>
      </c>
      <c r="I2" s="237"/>
      <c r="J2" s="455"/>
      <c r="L2" s="454" t="s">
        <v>0</v>
      </c>
      <c r="M2" s="237"/>
      <c r="Q2" s="237" t="s">
        <v>1</v>
      </c>
      <c r="R2" s="237"/>
      <c r="S2" s="455"/>
    </row>
    <row r="3" spans="1:19">
      <c r="A3" s="641"/>
      <c r="B3" s="290"/>
      <c r="C3" s="456" t="s">
        <v>4</v>
      </c>
      <c r="D3" s="242" t="s">
        <v>772</v>
      </c>
      <c r="H3" s="243" t="s">
        <v>6</v>
      </c>
      <c r="I3" s="244" t="s">
        <v>7</v>
      </c>
      <c r="J3" s="457" t="s">
        <v>8</v>
      </c>
      <c r="L3" s="456" t="s">
        <v>4</v>
      </c>
      <c r="M3" s="242" t="s">
        <v>772</v>
      </c>
      <c r="Q3" s="243" t="s">
        <v>6</v>
      </c>
      <c r="R3" s="244" t="s">
        <v>7</v>
      </c>
      <c r="S3" s="457" t="s">
        <v>8</v>
      </c>
    </row>
    <row r="4" spans="1:19">
      <c r="A4" s="641"/>
      <c r="B4" s="290"/>
      <c r="C4" s="458" t="s">
        <v>16</v>
      </c>
      <c r="D4" s="249" t="s">
        <v>17</v>
      </c>
      <c r="H4" s="250" t="s">
        <v>18</v>
      </c>
      <c r="I4" s="251">
        <v>0</v>
      </c>
      <c r="J4" s="459">
        <f t="shared" ref="J4:J9" si="0">I4/$I$9</f>
        <v>0</v>
      </c>
      <c r="L4" s="458" t="s">
        <v>16</v>
      </c>
      <c r="M4" s="249" t="s">
        <v>908</v>
      </c>
      <c r="Q4" s="250" t="s">
        <v>18</v>
      </c>
      <c r="R4" s="251">
        <v>0</v>
      </c>
      <c r="S4" s="459">
        <f t="shared" ref="S4:S9" si="1">R4/$R$9</f>
        <v>0</v>
      </c>
    </row>
    <row r="5" spans="1:19">
      <c r="A5" s="641"/>
      <c r="B5" s="290"/>
      <c r="C5" s="458" t="s">
        <v>22</v>
      </c>
      <c r="D5" s="249" t="s">
        <v>23</v>
      </c>
      <c r="H5" s="256" t="s">
        <v>24</v>
      </c>
      <c r="I5" s="249">
        <v>126</v>
      </c>
      <c r="J5" s="460">
        <f t="shared" si="0"/>
        <v>0.64948453608247425</v>
      </c>
      <c r="L5" s="458" t="s">
        <v>22</v>
      </c>
      <c r="M5" s="249" t="s">
        <v>23</v>
      </c>
      <c r="Q5" s="256" t="s">
        <v>24</v>
      </c>
      <c r="R5" s="249">
        <v>126</v>
      </c>
      <c r="S5" s="460">
        <f t="shared" si="1"/>
        <v>0.64948453608247425</v>
      </c>
    </row>
    <row r="6" spans="1:19">
      <c r="A6" s="641"/>
      <c r="B6" s="290"/>
      <c r="C6" s="458" t="s">
        <v>29</v>
      </c>
      <c r="D6" s="260">
        <v>45809</v>
      </c>
      <c r="H6" s="256" t="s">
        <v>30</v>
      </c>
      <c r="I6" s="249">
        <v>68</v>
      </c>
      <c r="J6" s="460">
        <f t="shared" si="0"/>
        <v>0.35051546391752575</v>
      </c>
      <c r="L6" s="458" t="s">
        <v>29</v>
      </c>
      <c r="M6" s="260">
        <v>45809</v>
      </c>
      <c r="Q6" s="256" t="s">
        <v>30</v>
      </c>
      <c r="R6" s="249">
        <v>68</v>
      </c>
      <c r="S6" s="460">
        <f t="shared" si="1"/>
        <v>0.35051546391752575</v>
      </c>
    </row>
    <row r="7" spans="1:19">
      <c r="A7" s="641"/>
      <c r="B7" s="290"/>
      <c r="C7" s="458" t="s">
        <v>787</v>
      </c>
      <c r="D7" s="249">
        <v>20</v>
      </c>
      <c r="H7" s="256" t="s">
        <v>35</v>
      </c>
      <c r="I7" s="249">
        <v>0</v>
      </c>
      <c r="J7" s="460">
        <f t="shared" si="0"/>
        <v>0</v>
      </c>
      <c r="L7" s="458" t="s">
        <v>787</v>
      </c>
      <c r="M7" s="249">
        <v>20</v>
      </c>
      <c r="Q7" s="256" t="s">
        <v>35</v>
      </c>
      <c r="R7" s="249">
        <v>0</v>
      </c>
      <c r="S7" s="460">
        <f t="shared" si="1"/>
        <v>0</v>
      </c>
    </row>
    <row r="8" spans="1:19">
      <c r="A8" s="641"/>
      <c r="B8" s="290"/>
      <c r="C8" s="458" t="s">
        <v>39</v>
      </c>
      <c r="D8" s="249">
        <v>4</v>
      </c>
      <c r="H8" s="262" t="s">
        <v>40</v>
      </c>
      <c r="I8" s="263">
        <v>0</v>
      </c>
      <c r="J8" s="461">
        <f t="shared" si="0"/>
        <v>0</v>
      </c>
      <c r="L8" s="458" t="s">
        <v>39</v>
      </c>
      <c r="M8" s="249">
        <v>4</v>
      </c>
      <c r="Q8" s="262" t="s">
        <v>40</v>
      </c>
      <c r="R8" s="263">
        <v>0</v>
      </c>
      <c r="S8" s="461">
        <f t="shared" si="1"/>
        <v>0</v>
      </c>
    </row>
    <row r="9" spans="1:19" ht="15.75" thickBot="1">
      <c r="A9" s="641"/>
      <c r="B9" s="290"/>
      <c r="C9" s="458" t="s">
        <v>792</v>
      </c>
      <c r="D9" s="178">
        <v>196333</v>
      </c>
      <c r="H9" s="268" t="s">
        <v>36</v>
      </c>
      <c r="I9" s="269">
        <v>194</v>
      </c>
      <c r="J9" s="462">
        <f t="shared" si="0"/>
        <v>1</v>
      </c>
      <c r="L9" s="458" t="s">
        <v>792</v>
      </c>
      <c r="M9" s="178">
        <v>196289</v>
      </c>
      <c r="Q9" s="268" t="s">
        <v>36</v>
      </c>
      <c r="R9" s="269">
        <f>SUM(R4:R8)</f>
        <v>194</v>
      </c>
      <c r="S9" s="462">
        <f t="shared" si="1"/>
        <v>1</v>
      </c>
    </row>
    <row r="10" spans="1:19" ht="15.75" thickBot="1">
      <c r="A10" s="641"/>
      <c r="B10" s="290"/>
      <c r="C10" s="458" t="s">
        <v>48</v>
      </c>
      <c r="D10" s="409">
        <v>4.9000000000000004</v>
      </c>
      <c r="H10" s="237" t="s">
        <v>49</v>
      </c>
      <c r="I10" s="237"/>
      <c r="J10" s="455"/>
      <c r="L10" s="458" t="s">
        <v>48</v>
      </c>
      <c r="M10" s="409">
        <v>4.9000000000000004</v>
      </c>
      <c r="Q10" s="237" t="s">
        <v>49</v>
      </c>
      <c r="R10" s="237"/>
      <c r="S10" s="455"/>
    </row>
    <row r="11" spans="1:19">
      <c r="A11" s="641"/>
      <c r="B11" s="290"/>
      <c r="C11" s="458" t="s">
        <v>55</v>
      </c>
      <c r="D11" s="178">
        <f>D10*43560</f>
        <v>213444.00000000003</v>
      </c>
      <c r="H11" s="433" t="s">
        <v>56</v>
      </c>
      <c r="I11" s="271"/>
      <c r="J11" s="471">
        <v>0</v>
      </c>
      <c r="L11" s="458" t="s">
        <v>55</v>
      </c>
      <c r="M11" s="178">
        <f>M10*43560</f>
        <v>213444.00000000003</v>
      </c>
      <c r="O11" s="463"/>
      <c r="Q11" s="248" t="s">
        <v>62</v>
      </c>
      <c r="R11" s="170"/>
      <c r="S11" s="464">
        <v>127</v>
      </c>
    </row>
    <row r="12" spans="1:19">
      <c r="A12" s="641"/>
      <c r="B12" s="290"/>
      <c r="C12" s="458" t="s">
        <v>61</v>
      </c>
      <c r="D12" s="178">
        <v>1</v>
      </c>
      <c r="H12" s="248" t="s">
        <v>62</v>
      </c>
      <c r="I12" s="170"/>
      <c r="J12" s="464">
        <v>116</v>
      </c>
      <c r="L12" s="458" t="s">
        <v>61</v>
      </c>
      <c r="M12" s="178">
        <v>1</v>
      </c>
      <c r="Q12" s="248" t="s">
        <v>928</v>
      </c>
      <c r="R12" s="170"/>
      <c r="S12" s="464">
        <v>3</v>
      </c>
    </row>
    <row r="13" spans="1:19" ht="15.75" thickBot="1">
      <c r="A13" s="641"/>
      <c r="B13" s="290"/>
      <c r="C13" s="258"/>
      <c r="H13" s="248" t="s">
        <v>67</v>
      </c>
      <c r="I13" s="170"/>
      <c r="J13" s="464">
        <v>83</v>
      </c>
      <c r="L13" s="465"/>
      <c r="Q13" s="248" t="s">
        <v>67</v>
      </c>
      <c r="R13" s="170"/>
      <c r="S13" s="464">
        <v>45</v>
      </c>
    </row>
    <row r="14" spans="1:19" ht="15.75" thickBot="1">
      <c r="A14" s="641"/>
      <c r="B14" s="290"/>
      <c r="C14" s="258"/>
      <c r="H14" s="248" t="s">
        <v>72</v>
      </c>
      <c r="I14" s="170"/>
      <c r="J14" s="464">
        <v>6</v>
      </c>
      <c r="L14" s="465"/>
      <c r="N14" s="448" t="s">
        <v>929</v>
      </c>
      <c r="O14" s="449"/>
      <c r="Q14" s="248" t="s">
        <v>72</v>
      </c>
      <c r="R14" s="170"/>
      <c r="S14" s="464">
        <v>11</v>
      </c>
    </row>
    <row r="15" spans="1:19">
      <c r="A15" s="641"/>
      <c r="B15" s="290"/>
      <c r="C15" s="434" t="s">
        <v>44</v>
      </c>
      <c r="D15" s="440">
        <f>J330</f>
        <v>33916914.676923081</v>
      </c>
      <c r="H15" s="248" t="s">
        <v>77</v>
      </c>
      <c r="I15" s="170"/>
      <c r="J15" s="464">
        <v>0</v>
      </c>
      <c r="L15" s="434" t="s">
        <v>44</v>
      </c>
      <c r="M15" s="435">
        <f>S330</f>
        <v>33460484.04434121</v>
      </c>
      <c r="N15" s="443">
        <f>M15-D15</f>
        <v>-456430.632581871</v>
      </c>
      <c r="O15" s="444">
        <f>N15/D15</f>
        <v>-1.3457315823966276E-2</v>
      </c>
      <c r="Q15" s="248" t="s">
        <v>805</v>
      </c>
      <c r="R15" s="170"/>
      <c r="S15" s="464">
        <v>8</v>
      </c>
    </row>
    <row r="16" spans="1:19" ht="15.75" thickBot="1">
      <c r="A16" s="641"/>
      <c r="B16" s="290"/>
      <c r="C16" s="436" t="s">
        <v>50</v>
      </c>
      <c r="D16" s="441">
        <f>D15/I9</f>
        <v>174829.45709754166</v>
      </c>
      <c r="H16" s="248" t="s">
        <v>82</v>
      </c>
      <c r="I16" s="170"/>
      <c r="J16" s="464">
        <f>SUM(J11:J15)</f>
        <v>205</v>
      </c>
      <c r="L16" s="436" t="s">
        <v>50</v>
      </c>
      <c r="M16" s="437">
        <f>M15/R9</f>
        <v>172476.72187804748</v>
      </c>
      <c r="N16" s="443">
        <f>M16-D16</f>
        <v>-2352.7352194941777</v>
      </c>
      <c r="O16" s="446"/>
      <c r="Q16" s="248" t="s">
        <v>82</v>
      </c>
      <c r="R16" s="170"/>
      <c r="S16" s="464">
        <f>SUM(S11:S15)</f>
        <v>194</v>
      </c>
    </row>
    <row r="17" spans="1:25" ht="15.75" thickBot="1">
      <c r="A17" s="641"/>
      <c r="B17" s="290"/>
      <c r="C17" s="438" t="s">
        <v>57</v>
      </c>
      <c r="D17" s="442">
        <f>D15/D9</f>
        <v>172.75198095543328</v>
      </c>
      <c r="H17" s="285" t="s">
        <v>85</v>
      </c>
      <c r="I17" s="286"/>
      <c r="J17" s="466">
        <f>SUM(J11:J14)/I9</f>
        <v>1.0567010309278351</v>
      </c>
      <c r="L17" s="438" t="s">
        <v>57</v>
      </c>
      <c r="M17" s="439">
        <f>M15/M9</f>
        <v>170.46540582682275</v>
      </c>
      <c r="N17" s="445">
        <f>M17-D17</f>
        <v>-2.2865751286105365</v>
      </c>
      <c r="O17" s="447"/>
      <c r="Q17" s="285" t="s">
        <v>85</v>
      </c>
      <c r="R17" s="286"/>
      <c r="S17" s="466">
        <f>SUM(S11:S14)/R9</f>
        <v>0.95876288659793818</v>
      </c>
      <c r="U17" s="430" t="s">
        <v>930</v>
      </c>
      <c r="W17" s="430" t="s">
        <v>930</v>
      </c>
    </row>
    <row r="18" spans="1:25" ht="15.75" thickBot="1">
      <c r="A18" s="641"/>
      <c r="B18" s="290"/>
      <c r="C18" s="292"/>
      <c r="D18" s="293"/>
      <c r="E18" s="293"/>
      <c r="F18" s="293"/>
      <c r="G18" s="293"/>
      <c r="H18" s="293"/>
      <c r="I18" s="293"/>
      <c r="J18" s="294"/>
      <c r="L18" s="467"/>
      <c r="M18" s="468"/>
      <c r="N18" s="293"/>
      <c r="O18" s="293"/>
      <c r="P18" s="293"/>
      <c r="Q18" s="469"/>
      <c r="R18" s="469"/>
      <c r="S18" s="470"/>
      <c r="U18" s="429">
        <v>50000</v>
      </c>
      <c r="W18" s="432">
        <v>0.05</v>
      </c>
    </row>
    <row r="19" spans="1:25" ht="30.75" customHeight="1" thickBot="1">
      <c r="A19" s="506" t="s">
        <v>88</v>
      </c>
      <c r="B19" s="290"/>
      <c r="C19" s="472" t="s">
        <v>92</v>
      </c>
      <c r="D19" s="473" t="s">
        <v>932</v>
      </c>
      <c r="E19" s="473" t="s">
        <v>818</v>
      </c>
      <c r="F19" s="473" t="s">
        <v>819</v>
      </c>
      <c r="G19" s="474" t="s">
        <v>8</v>
      </c>
      <c r="H19" s="473" t="s">
        <v>821</v>
      </c>
      <c r="I19" s="473" t="s">
        <v>98</v>
      </c>
      <c r="J19" s="475" t="s">
        <v>99</v>
      </c>
      <c r="L19" s="472" t="s">
        <v>92</v>
      </c>
      <c r="M19" s="473" t="s">
        <v>932</v>
      </c>
      <c r="N19" s="473" t="s">
        <v>818</v>
      </c>
      <c r="O19" s="473" t="s">
        <v>819</v>
      </c>
      <c r="P19" s="474" t="s">
        <v>8</v>
      </c>
      <c r="Q19" s="473" t="s">
        <v>821</v>
      </c>
      <c r="R19" s="473" t="s">
        <v>98</v>
      </c>
      <c r="S19" s="475" t="s">
        <v>99</v>
      </c>
      <c r="U19" s="431" t="s">
        <v>933</v>
      </c>
      <c r="W19" s="431" t="s">
        <v>934</v>
      </c>
      <c r="Y19" s="502" t="s">
        <v>935</v>
      </c>
    </row>
    <row r="20" spans="1:25">
      <c r="A20" s="507" t="s">
        <v>101</v>
      </c>
      <c r="B20" s="290"/>
      <c r="C20" s="476"/>
      <c r="D20" s="298"/>
      <c r="E20" s="298"/>
      <c r="F20" s="299"/>
      <c r="G20" s="300"/>
      <c r="H20" s="301"/>
      <c r="I20" s="301"/>
      <c r="J20" s="477">
        <v>1700096</v>
      </c>
      <c r="L20" s="476"/>
      <c r="M20" s="298"/>
      <c r="N20" s="298"/>
      <c r="O20" s="299"/>
      <c r="P20" s="300"/>
      <c r="Q20" s="301"/>
      <c r="R20" s="301"/>
      <c r="S20" s="477">
        <f>'LEVEL 2 (Match)'!L20</f>
        <v>1692096</v>
      </c>
      <c r="U20" s="490">
        <f>S20-J20</f>
        <v>-8000</v>
      </c>
      <c r="W20" s="496">
        <f>IF(J20=0,0,U20/J20)</f>
        <v>-4.7056166240024089E-3</v>
      </c>
      <c r="Y20" s="503"/>
    </row>
    <row r="21" spans="1:25" hidden="1" outlineLevel="1">
      <c r="A21" s="508" t="s">
        <v>822</v>
      </c>
      <c r="B21" s="290"/>
      <c r="C21" s="478"/>
      <c r="D21" s="223" t="s">
        <v>104</v>
      </c>
      <c r="E21" s="224">
        <v>20</v>
      </c>
      <c r="F21" s="322">
        <v>83690.146251464525</v>
      </c>
      <c r="G21" s="302">
        <v>0</v>
      </c>
      <c r="H21" s="303">
        <v>83690.146251464525</v>
      </c>
      <c r="I21" s="304">
        <v>1673802.9250292904</v>
      </c>
      <c r="J21" s="259"/>
      <c r="L21" s="478"/>
      <c r="M21" s="223" t="str">
        <f>'LEVEL 3'!F21</f>
        <v>Mo</v>
      </c>
      <c r="N21" s="224">
        <f>'LEVEL 3'!G21</f>
        <v>20</v>
      </c>
      <c r="O21" s="322">
        <f>'LEVEL 2 (Match)'!H21</f>
        <v>84604.800000000003</v>
      </c>
      <c r="P21" s="302">
        <f>'LEVEL 2 (Match)'!I21</f>
        <v>0</v>
      </c>
      <c r="Q21" s="303">
        <f>'LEVEL 2 (Match)'!J21</f>
        <v>84604.800000000003</v>
      </c>
      <c r="R21" s="304">
        <f>'LEVEL 2 (Match)'!K21</f>
        <v>1692096</v>
      </c>
      <c r="S21" s="259"/>
      <c r="U21" s="429">
        <f>R21-I21</f>
        <v>18293.074970709626</v>
      </c>
      <c r="W21" s="432">
        <f>U21/I21</f>
        <v>1.09290494700202E-2</v>
      </c>
      <c r="Y21" s="504"/>
    </row>
    <row r="22" spans="1:25" collapsed="1">
      <c r="A22" s="509" t="s">
        <v>105</v>
      </c>
      <c r="B22" s="290"/>
      <c r="C22" s="479"/>
      <c r="D22" s="305"/>
      <c r="E22" s="306"/>
      <c r="F22" s="307"/>
      <c r="G22" s="308"/>
      <c r="H22" s="309"/>
      <c r="I22" s="310"/>
      <c r="J22" s="480">
        <v>3500</v>
      </c>
      <c r="L22" s="479"/>
      <c r="M22" s="305"/>
      <c r="N22" s="306"/>
      <c r="O22" s="307"/>
      <c r="P22" s="308"/>
      <c r="Q22" s="309"/>
      <c r="R22" s="310"/>
      <c r="S22" s="480">
        <f>'LEVEL 3'!L22</f>
        <v>3500</v>
      </c>
      <c r="U22" s="491">
        <f>S22-J22</f>
        <v>0</v>
      </c>
      <c r="W22" s="497">
        <f>IF(J22=0,0,U22/J22)</f>
        <v>0</v>
      </c>
      <c r="Y22" s="504"/>
    </row>
    <row r="23" spans="1:25" hidden="1" outlineLevel="1">
      <c r="A23" s="510" t="s">
        <v>107</v>
      </c>
      <c r="B23" s="290"/>
      <c r="C23" s="481" t="s">
        <v>110</v>
      </c>
      <c r="D23" s="226"/>
      <c r="E23" s="168">
        <v>1</v>
      </c>
      <c r="F23" s="225">
        <v>3500</v>
      </c>
      <c r="G23" s="311">
        <v>0</v>
      </c>
      <c r="H23" s="312">
        <v>3500</v>
      </c>
      <c r="I23" s="313">
        <v>3500</v>
      </c>
      <c r="J23" s="259"/>
      <c r="L23" s="481" t="s">
        <v>110</v>
      </c>
      <c r="M23" s="226">
        <f>'LEVEL 3'!F23</f>
        <v>0</v>
      </c>
      <c r="N23" s="168">
        <f>'LEVEL 3'!G23</f>
        <v>1</v>
      </c>
      <c r="O23" s="225">
        <f>'LEVEL 3'!H23</f>
        <v>3500</v>
      </c>
      <c r="P23" s="311">
        <f>'LEVEL 3'!I23</f>
        <v>0</v>
      </c>
      <c r="Q23" s="312">
        <f>'LEVEL 3'!J23</f>
        <v>3500</v>
      </c>
      <c r="R23" s="313">
        <f>'LEVEL 3'!K23</f>
        <v>3500</v>
      </c>
      <c r="S23" s="259"/>
      <c r="U23" s="429">
        <f>R23-I23</f>
        <v>0</v>
      </c>
      <c r="W23" s="432">
        <f>IF(I23=0,0,U23/I23)</f>
        <v>0</v>
      </c>
      <c r="Y23" s="504"/>
    </row>
    <row r="24" spans="1:25" collapsed="1">
      <c r="A24" s="509" t="s">
        <v>111</v>
      </c>
      <c r="B24" s="290"/>
      <c r="C24" s="479"/>
      <c r="D24" s="305"/>
      <c r="E24" s="306"/>
      <c r="F24" s="307"/>
      <c r="G24" s="308"/>
      <c r="H24" s="309"/>
      <c r="I24" s="310"/>
      <c r="J24" s="480">
        <v>1159855</v>
      </c>
      <c r="L24" s="479"/>
      <c r="M24" s="305"/>
      <c r="N24" s="306"/>
      <c r="O24" s="307"/>
      <c r="P24" s="308"/>
      <c r="Q24" s="309"/>
      <c r="R24" s="310"/>
      <c r="S24" s="480">
        <f>'LEVEL 3'!L24</f>
        <v>1089279.82</v>
      </c>
      <c r="U24" s="491">
        <f>S24-J24</f>
        <v>-70575.179999999935</v>
      </c>
      <c r="W24" s="497">
        <f>IF(J24=0,0,U24/J24)</f>
        <v>-6.0848278448599122E-2</v>
      </c>
      <c r="Y24" s="504"/>
    </row>
    <row r="25" spans="1:25" hidden="1" outlineLevel="1">
      <c r="A25" s="511" t="s">
        <v>113</v>
      </c>
      <c r="B25" s="290"/>
      <c r="C25" s="482" t="s">
        <v>116</v>
      </c>
      <c r="D25" s="176" t="s">
        <v>15</v>
      </c>
      <c r="E25" s="167">
        <v>47527</v>
      </c>
      <c r="F25" s="413">
        <f>H25/(1+G25)</f>
        <v>11.990476190476191</v>
      </c>
      <c r="G25" s="414">
        <v>0.05</v>
      </c>
      <c r="H25" s="415">
        <v>12.59</v>
      </c>
      <c r="I25" s="416">
        <v>598341.17000000004</v>
      </c>
      <c r="J25" s="259"/>
      <c r="L25" s="482" t="s">
        <v>116</v>
      </c>
      <c r="M25" s="176" t="str">
        <f>'LEVEL 3'!F25</f>
        <v>SF</v>
      </c>
      <c r="N25" s="167">
        <f>'LEVEL 3'!G25</f>
        <v>48122</v>
      </c>
      <c r="O25" s="413">
        <f>'LEVEL 3'!H25</f>
        <v>11.99</v>
      </c>
      <c r="P25" s="414">
        <f>'LEVEL 3'!I25</f>
        <v>0</v>
      </c>
      <c r="Q25" s="415">
        <f>'LEVEL 3'!J25</f>
        <v>11.99</v>
      </c>
      <c r="R25" s="416">
        <f>'LEVEL 3'!K25</f>
        <v>576982.78</v>
      </c>
      <c r="S25" s="259"/>
      <c r="U25" s="429">
        <f t="shared" ref="U25:U34" si="2">R25-I25</f>
        <v>-21358.390000000014</v>
      </c>
      <c r="W25" s="432">
        <f t="shared" ref="W25:W34" si="3">IF(I25=0,0,U25/I25)</f>
        <v>-3.5696006009414347E-2</v>
      </c>
      <c r="Y25" s="504"/>
    </row>
    <row r="26" spans="1:25" hidden="1" outlineLevel="1">
      <c r="A26" s="512" t="s">
        <v>117</v>
      </c>
      <c r="B26" s="290"/>
      <c r="C26" s="483" t="s">
        <v>118</v>
      </c>
      <c r="D26" s="164"/>
      <c r="E26" s="161"/>
      <c r="F26" s="185"/>
      <c r="G26" s="216"/>
      <c r="H26" s="417">
        <v>0</v>
      </c>
      <c r="I26" s="416">
        <v>0</v>
      </c>
      <c r="J26" s="259"/>
      <c r="L26" s="483" t="s">
        <v>118</v>
      </c>
      <c r="M26" s="164">
        <f>'LEVEL 3'!F26</f>
        <v>0</v>
      </c>
      <c r="N26" s="161">
        <f>'LEVEL 3'!G26</f>
        <v>0</v>
      </c>
      <c r="O26" s="185">
        <f>'LEVEL 3'!H26</f>
        <v>0</v>
      </c>
      <c r="P26" s="216">
        <f>'LEVEL 3'!I26</f>
        <v>0</v>
      </c>
      <c r="Q26" s="417">
        <f>'LEVEL 3'!J26</f>
        <v>0</v>
      </c>
      <c r="R26" s="416">
        <f>'LEVEL 3'!K26</f>
        <v>0</v>
      </c>
      <c r="S26" s="259"/>
      <c r="U26" s="429">
        <f t="shared" si="2"/>
        <v>0</v>
      </c>
      <c r="W26" s="432">
        <f t="shared" si="3"/>
        <v>0</v>
      </c>
      <c r="Y26" s="504"/>
    </row>
    <row r="27" spans="1:25" hidden="1" outlineLevel="1">
      <c r="A27" s="512" t="s">
        <v>119</v>
      </c>
      <c r="B27" s="290"/>
      <c r="C27" s="478" t="s">
        <v>110</v>
      </c>
      <c r="D27" s="164" t="s">
        <v>121</v>
      </c>
      <c r="E27" s="161">
        <v>1</v>
      </c>
      <c r="F27" s="185">
        <v>2500</v>
      </c>
      <c r="G27" s="216">
        <v>0</v>
      </c>
      <c r="H27" s="417">
        <v>2500</v>
      </c>
      <c r="I27" s="416">
        <v>2500</v>
      </c>
      <c r="J27" s="259"/>
      <c r="L27" s="478" t="s">
        <v>110</v>
      </c>
      <c r="M27" s="164" t="str">
        <f>'LEVEL 3'!F27</f>
        <v>LS</v>
      </c>
      <c r="N27" s="161">
        <f>'LEVEL 3'!G27</f>
        <v>1</v>
      </c>
      <c r="O27" s="185">
        <f>'LEVEL 3'!H27</f>
        <v>2500</v>
      </c>
      <c r="P27" s="216">
        <f>'LEVEL 3'!I27</f>
        <v>0</v>
      </c>
      <c r="Q27" s="417">
        <f>'LEVEL 3'!J27</f>
        <v>2500</v>
      </c>
      <c r="R27" s="416">
        <f>'LEVEL 3'!K27</f>
        <v>2500</v>
      </c>
      <c r="S27" s="259"/>
      <c r="U27" s="429">
        <f t="shared" si="2"/>
        <v>0</v>
      </c>
      <c r="W27" s="432">
        <f t="shared" si="3"/>
        <v>0</v>
      </c>
      <c r="Y27" s="504"/>
    </row>
    <row r="28" spans="1:25" hidden="1" outlineLevel="1">
      <c r="A28" s="512" t="s">
        <v>122</v>
      </c>
      <c r="B28" s="290"/>
      <c r="C28" s="483" t="s">
        <v>116</v>
      </c>
      <c r="D28" s="223" t="s">
        <v>15</v>
      </c>
      <c r="E28" s="224">
        <v>300</v>
      </c>
      <c r="F28" s="185">
        <v>12.62</v>
      </c>
      <c r="G28" s="216"/>
      <c r="H28" s="417">
        <v>12.62</v>
      </c>
      <c r="I28" s="416">
        <v>3786</v>
      </c>
      <c r="J28" s="259"/>
      <c r="L28" s="483" t="s">
        <v>116</v>
      </c>
      <c r="M28" s="223" t="str">
        <f>'LEVEL 3'!F28</f>
        <v>SF</v>
      </c>
      <c r="N28" s="224">
        <f>'LEVEL 3'!G28</f>
        <v>300</v>
      </c>
      <c r="O28" s="185">
        <f>'LEVEL 3'!H28</f>
        <v>11.99</v>
      </c>
      <c r="P28" s="216">
        <f>'LEVEL 3'!I28</f>
        <v>0</v>
      </c>
      <c r="Q28" s="417">
        <f>'LEVEL 3'!J28</f>
        <v>11.99</v>
      </c>
      <c r="R28" s="416">
        <f>'LEVEL 3'!K28</f>
        <v>3597</v>
      </c>
      <c r="S28" s="259"/>
      <c r="U28" s="429">
        <f t="shared" si="2"/>
        <v>-189</v>
      </c>
      <c r="W28" s="432">
        <f t="shared" si="3"/>
        <v>-4.992076069730586E-2</v>
      </c>
      <c r="Y28" s="504"/>
    </row>
    <row r="29" spans="1:25" hidden="1" outlineLevel="1">
      <c r="A29" s="512" t="s">
        <v>124</v>
      </c>
      <c r="B29" s="290"/>
      <c r="C29" s="483" t="s">
        <v>127</v>
      </c>
      <c r="D29" s="164" t="s">
        <v>32</v>
      </c>
      <c r="E29" s="161">
        <v>4</v>
      </c>
      <c r="F29" s="185">
        <v>2698</v>
      </c>
      <c r="G29" s="216">
        <v>0</v>
      </c>
      <c r="H29" s="417">
        <v>2698</v>
      </c>
      <c r="I29" s="416">
        <v>10792</v>
      </c>
      <c r="J29" s="259"/>
      <c r="L29" s="483" t="s">
        <v>110</v>
      </c>
      <c r="M29" s="164" t="str">
        <f>'LEVEL 3'!F29</f>
        <v>SF</v>
      </c>
      <c r="N29" s="161">
        <f>'LEVEL 3'!G29</f>
        <v>920</v>
      </c>
      <c r="O29" s="185">
        <f>'LEVEL 3'!H29</f>
        <v>11.99</v>
      </c>
      <c r="P29" s="216">
        <f>'LEVEL 3'!I29</f>
        <v>0</v>
      </c>
      <c r="Q29" s="417">
        <f>'LEVEL 3'!J29</f>
        <v>11.99</v>
      </c>
      <c r="R29" s="416">
        <f>'LEVEL 3'!K29</f>
        <v>11030.800000000001</v>
      </c>
      <c r="S29" s="259"/>
      <c r="U29" s="429">
        <f t="shared" si="2"/>
        <v>238.80000000000109</v>
      </c>
      <c r="W29" s="432">
        <f t="shared" si="3"/>
        <v>2.212750185322471E-2</v>
      </c>
      <c r="Y29" s="504"/>
    </row>
    <row r="30" spans="1:25" hidden="1" outlineLevel="1">
      <c r="A30" s="512" t="s">
        <v>128</v>
      </c>
      <c r="B30" s="290"/>
      <c r="C30" s="483" t="s">
        <v>116</v>
      </c>
      <c r="D30" s="164" t="s">
        <v>121</v>
      </c>
      <c r="E30" s="161">
        <v>1</v>
      </c>
      <c r="F30" s="185">
        <v>2500</v>
      </c>
      <c r="G30" s="216">
        <v>0</v>
      </c>
      <c r="H30" s="417">
        <v>2500</v>
      </c>
      <c r="I30" s="416">
        <v>2500</v>
      </c>
      <c r="J30" s="259"/>
      <c r="L30" s="483" t="s">
        <v>116</v>
      </c>
      <c r="M30" s="164" t="str">
        <f>'LEVEL 3'!F30</f>
        <v>LS</v>
      </c>
      <c r="N30" s="161">
        <f>'LEVEL 3'!G30</f>
        <v>1</v>
      </c>
      <c r="O30" s="185">
        <f>'LEVEL 3'!H30</f>
        <v>2500</v>
      </c>
      <c r="P30" s="216">
        <f>'LEVEL 3'!I30</f>
        <v>0</v>
      </c>
      <c r="Q30" s="417">
        <f>'LEVEL 3'!J30</f>
        <v>2500</v>
      </c>
      <c r="R30" s="416">
        <f>'LEVEL 3'!K30</f>
        <v>2500</v>
      </c>
      <c r="S30" s="259"/>
      <c r="U30" s="429">
        <f t="shared" si="2"/>
        <v>0</v>
      </c>
      <c r="W30" s="432">
        <f t="shared" si="3"/>
        <v>0</v>
      </c>
      <c r="Y30" s="504"/>
    </row>
    <row r="31" spans="1:25" hidden="1" outlineLevel="1">
      <c r="A31" s="512" t="s">
        <v>131</v>
      </c>
      <c r="B31" s="290"/>
      <c r="C31" s="483" t="s">
        <v>118</v>
      </c>
      <c r="D31" s="164"/>
      <c r="E31" s="161"/>
      <c r="F31" s="185"/>
      <c r="G31" s="216"/>
      <c r="H31" s="417">
        <v>0</v>
      </c>
      <c r="I31" s="416">
        <v>0</v>
      </c>
      <c r="J31" s="259"/>
      <c r="L31" s="483" t="s">
        <v>118</v>
      </c>
      <c r="M31" s="164">
        <f>'LEVEL 3'!F31</f>
        <v>0</v>
      </c>
      <c r="N31" s="161">
        <f>'LEVEL 3'!G31</f>
        <v>0</v>
      </c>
      <c r="O31" s="185">
        <f>'LEVEL 3'!H31</f>
        <v>0</v>
      </c>
      <c r="P31" s="216">
        <f>'LEVEL 3'!I31</f>
        <v>0</v>
      </c>
      <c r="Q31" s="417">
        <f>'LEVEL 3'!J31</f>
        <v>0</v>
      </c>
      <c r="R31" s="416">
        <f>'LEVEL 3'!K31</f>
        <v>0</v>
      </c>
      <c r="S31" s="259"/>
      <c r="U31" s="429">
        <f t="shared" si="2"/>
        <v>0</v>
      </c>
      <c r="W31" s="432">
        <f t="shared" si="3"/>
        <v>0</v>
      </c>
      <c r="Y31" s="504"/>
    </row>
    <row r="32" spans="1:25" hidden="1" outlineLevel="1">
      <c r="A32" s="512" t="s">
        <v>133</v>
      </c>
      <c r="B32" s="290"/>
      <c r="C32" s="483" t="s">
        <v>118</v>
      </c>
      <c r="D32" s="164"/>
      <c r="E32" s="161"/>
      <c r="F32" s="185"/>
      <c r="G32" s="216"/>
      <c r="H32" s="417">
        <v>0</v>
      </c>
      <c r="I32" s="416">
        <v>0</v>
      </c>
      <c r="J32" s="259"/>
      <c r="L32" s="483" t="s">
        <v>118</v>
      </c>
      <c r="M32" s="164">
        <f>'LEVEL 3'!F32</f>
        <v>0</v>
      </c>
      <c r="N32" s="161">
        <f>'LEVEL 3'!G32</f>
        <v>0</v>
      </c>
      <c r="O32" s="185">
        <f>'LEVEL 3'!H32</f>
        <v>0</v>
      </c>
      <c r="P32" s="216">
        <f>'LEVEL 3'!I32</f>
        <v>0</v>
      </c>
      <c r="Q32" s="417">
        <f>'LEVEL 3'!J32</f>
        <v>0</v>
      </c>
      <c r="R32" s="416">
        <f>'LEVEL 3'!K32</f>
        <v>0</v>
      </c>
      <c r="S32" s="259"/>
      <c r="U32" s="429">
        <f t="shared" si="2"/>
        <v>0</v>
      </c>
      <c r="W32" s="432">
        <f t="shared" si="3"/>
        <v>0</v>
      </c>
      <c r="Y32" s="504"/>
    </row>
    <row r="33" spans="1:25" hidden="1" outlineLevel="1">
      <c r="A33" s="512" t="s">
        <v>136</v>
      </c>
      <c r="B33" s="290"/>
      <c r="C33" s="483" t="s">
        <v>116</v>
      </c>
      <c r="D33" s="164" t="s">
        <v>15</v>
      </c>
      <c r="E33" s="161">
        <v>147250</v>
      </c>
      <c r="F33" s="185">
        <v>2.94</v>
      </c>
      <c r="G33" s="216">
        <v>0.1</v>
      </c>
      <c r="H33" s="417">
        <v>323</v>
      </c>
      <c r="I33" s="416">
        <v>476205.69</v>
      </c>
      <c r="J33" s="259"/>
      <c r="L33" s="483" t="s">
        <v>116</v>
      </c>
      <c r="M33" s="164" t="str">
        <f>'LEVEL 3'!F33</f>
        <v>SF</v>
      </c>
      <c r="N33" s="161">
        <f>'LEVEL 3'!G33</f>
        <v>147250</v>
      </c>
      <c r="O33" s="185">
        <f>'LEVEL 3'!H33</f>
        <v>2.94</v>
      </c>
      <c r="P33" s="216">
        <f>'LEVEL 3'!I33</f>
        <v>0</v>
      </c>
      <c r="Q33" s="417">
        <f>'LEVEL 3'!J33</f>
        <v>2.94</v>
      </c>
      <c r="R33" s="416">
        <f>'LEVEL 3'!K33</f>
        <v>432915</v>
      </c>
      <c r="S33" s="259"/>
      <c r="U33" s="429">
        <f t="shared" si="2"/>
        <v>-43290.69</v>
      </c>
      <c r="W33" s="432">
        <f t="shared" si="3"/>
        <v>-9.0907544594857739E-2</v>
      </c>
      <c r="Y33" s="504"/>
    </row>
    <row r="34" spans="1:25" hidden="1" outlineLevel="1">
      <c r="A34" s="513" t="s">
        <v>138</v>
      </c>
      <c r="B34" s="290"/>
      <c r="C34" s="484" t="s">
        <v>116</v>
      </c>
      <c r="D34" s="315" t="s">
        <v>15</v>
      </c>
      <c r="E34" s="162">
        <v>3024</v>
      </c>
      <c r="F34" s="418">
        <v>19.760000000000002</v>
      </c>
      <c r="G34" s="419">
        <v>0.1</v>
      </c>
      <c r="H34" s="420">
        <v>21.74</v>
      </c>
      <c r="I34" s="313">
        <v>65729.66</v>
      </c>
      <c r="J34" s="485"/>
      <c r="L34" s="484" t="s">
        <v>116</v>
      </c>
      <c r="M34" s="315" t="str">
        <f>'LEVEL 3'!F34</f>
        <v>SF</v>
      </c>
      <c r="N34" s="162">
        <f>'LEVEL 3'!G34</f>
        <v>3024</v>
      </c>
      <c r="O34" s="418">
        <f>'LEVEL 3'!H34</f>
        <v>19.760000000000002</v>
      </c>
      <c r="P34" s="419">
        <f>'LEVEL 3'!I34</f>
        <v>0</v>
      </c>
      <c r="Q34" s="420">
        <f>'LEVEL 3'!J34</f>
        <v>19.760000000000002</v>
      </c>
      <c r="R34" s="313">
        <f>'LEVEL 3'!K34</f>
        <v>59754.240000000005</v>
      </c>
      <c r="S34" s="485"/>
      <c r="U34" s="492">
        <f t="shared" si="2"/>
        <v>-5975.4199999999983</v>
      </c>
      <c r="W34" s="498">
        <f t="shared" si="3"/>
        <v>-9.0909035586065681E-2</v>
      </c>
      <c r="Y34" s="504"/>
    </row>
    <row r="35" spans="1:25" hidden="1" collapsed="1">
      <c r="A35" s="509" t="s">
        <v>140</v>
      </c>
      <c r="B35" s="290"/>
      <c r="C35" s="479"/>
      <c r="D35" s="305"/>
      <c r="E35" s="306"/>
      <c r="F35" s="307"/>
      <c r="G35" s="308"/>
      <c r="H35" s="309"/>
      <c r="I35" s="310"/>
      <c r="J35" s="480">
        <v>0</v>
      </c>
      <c r="L35" s="479"/>
      <c r="M35" s="305"/>
      <c r="N35" s="306"/>
      <c r="O35" s="307"/>
      <c r="P35" s="308"/>
      <c r="Q35" s="309"/>
      <c r="R35" s="310"/>
      <c r="S35" s="480">
        <f>'LEVEL 3'!L35</f>
        <v>0</v>
      </c>
      <c r="U35" s="491">
        <f>S35-J35</f>
        <v>0</v>
      </c>
      <c r="W35" s="497">
        <f>IF(J35=0,0,U35/J35)</f>
        <v>0</v>
      </c>
      <c r="Y35" s="504"/>
    </row>
    <row r="36" spans="1:25" hidden="1" outlineLevel="1">
      <c r="A36" s="511" t="s">
        <v>142</v>
      </c>
      <c r="B36" s="290"/>
      <c r="C36" s="482" t="s">
        <v>118</v>
      </c>
      <c r="D36" s="176"/>
      <c r="E36" s="167"/>
      <c r="F36" s="413"/>
      <c r="G36" s="414"/>
      <c r="H36" s="415">
        <v>0</v>
      </c>
      <c r="I36" s="416">
        <v>0</v>
      </c>
      <c r="J36" s="259"/>
      <c r="L36" s="482" t="s">
        <v>118</v>
      </c>
      <c r="M36" s="176">
        <f>'LEVEL 3'!F36</f>
        <v>0</v>
      </c>
      <c r="N36" s="167">
        <f>'LEVEL 3'!G36</f>
        <v>0</v>
      </c>
      <c r="O36" s="413">
        <f>'LEVEL 3'!H36</f>
        <v>0</v>
      </c>
      <c r="P36" s="414">
        <f>'LEVEL 3'!I36</f>
        <v>0</v>
      </c>
      <c r="Q36" s="415">
        <f>'LEVEL 3'!J36</f>
        <v>0</v>
      </c>
      <c r="R36" s="416">
        <f>'LEVEL 3'!K36</f>
        <v>0</v>
      </c>
      <c r="S36" s="259"/>
      <c r="U36" s="429">
        <f t="shared" ref="U36:U43" si="4">R36-I36</f>
        <v>0</v>
      </c>
      <c r="W36" s="432">
        <f t="shared" ref="W36:W43" si="5">IF(I36=0,0,U36/I36)</f>
        <v>0</v>
      </c>
      <c r="Y36" s="504"/>
    </row>
    <row r="37" spans="1:25" hidden="1" outlineLevel="1">
      <c r="A37" s="512" t="s">
        <v>143</v>
      </c>
      <c r="B37" s="290"/>
      <c r="C37" s="483" t="s">
        <v>118</v>
      </c>
      <c r="D37" s="164"/>
      <c r="E37" s="161"/>
      <c r="F37" s="185"/>
      <c r="G37" s="216"/>
      <c r="H37" s="417">
        <v>0</v>
      </c>
      <c r="I37" s="416">
        <v>0</v>
      </c>
      <c r="J37" s="259"/>
      <c r="L37" s="483" t="s">
        <v>118</v>
      </c>
      <c r="M37" s="164">
        <f>'LEVEL 3'!F37</f>
        <v>0</v>
      </c>
      <c r="N37" s="161">
        <f>'LEVEL 3'!G37</f>
        <v>0</v>
      </c>
      <c r="O37" s="185">
        <f>'LEVEL 3'!H37</f>
        <v>0</v>
      </c>
      <c r="P37" s="216">
        <f>'LEVEL 3'!I37</f>
        <v>0</v>
      </c>
      <c r="Q37" s="417">
        <f>'LEVEL 3'!J37</f>
        <v>0</v>
      </c>
      <c r="R37" s="416">
        <f>'LEVEL 3'!K37</f>
        <v>0</v>
      </c>
      <c r="S37" s="259"/>
      <c r="U37" s="429">
        <f t="shared" si="4"/>
        <v>0</v>
      </c>
      <c r="W37" s="432">
        <f t="shared" si="5"/>
        <v>0</v>
      </c>
      <c r="Y37" s="504"/>
    </row>
    <row r="38" spans="1:25" hidden="1" outlineLevel="1">
      <c r="A38" s="512" t="s">
        <v>144</v>
      </c>
      <c r="B38" s="290"/>
      <c r="C38" s="483" t="s">
        <v>118</v>
      </c>
      <c r="D38" s="164"/>
      <c r="E38" s="161"/>
      <c r="F38" s="185"/>
      <c r="G38" s="216"/>
      <c r="H38" s="417">
        <v>0</v>
      </c>
      <c r="I38" s="416">
        <v>0</v>
      </c>
      <c r="J38" s="259"/>
      <c r="L38" s="483" t="s">
        <v>118</v>
      </c>
      <c r="M38" s="164">
        <f>'LEVEL 3'!F38</f>
        <v>0</v>
      </c>
      <c r="N38" s="161">
        <f>'LEVEL 3'!G38</f>
        <v>0</v>
      </c>
      <c r="O38" s="185">
        <f>'LEVEL 3'!H38</f>
        <v>0</v>
      </c>
      <c r="P38" s="216">
        <f>'LEVEL 3'!I38</f>
        <v>0</v>
      </c>
      <c r="Q38" s="417">
        <f>'LEVEL 3'!J38</f>
        <v>0</v>
      </c>
      <c r="R38" s="416">
        <f>'LEVEL 3'!K38</f>
        <v>0</v>
      </c>
      <c r="S38" s="259"/>
      <c r="U38" s="429">
        <f t="shared" si="4"/>
        <v>0</v>
      </c>
      <c r="W38" s="432">
        <f t="shared" si="5"/>
        <v>0</v>
      </c>
      <c r="Y38" s="504"/>
    </row>
    <row r="39" spans="1:25" hidden="1" outlineLevel="1">
      <c r="A39" s="512" t="s">
        <v>145</v>
      </c>
      <c r="B39" s="290"/>
      <c r="C39" s="483" t="s">
        <v>118</v>
      </c>
      <c r="D39" s="164"/>
      <c r="E39" s="161"/>
      <c r="F39" s="185"/>
      <c r="G39" s="216"/>
      <c r="H39" s="417">
        <v>0</v>
      </c>
      <c r="I39" s="416">
        <v>0</v>
      </c>
      <c r="J39" s="259"/>
      <c r="L39" s="483" t="s">
        <v>118</v>
      </c>
      <c r="M39" s="164">
        <f>'LEVEL 3'!F39</f>
        <v>0</v>
      </c>
      <c r="N39" s="161">
        <f>'LEVEL 3'!G39</f>
        <v>0</v>
      </c>
      <c r="O39" s="185">
        <f>'LEVEL 3'!H39</f>
        <v>0</v>
      </c>
      <c r="P39" s="216">
        <f>'LEVEL 3'!I39</f>
        <v>0</v>
      </c>
      <c r="Q39" s="417">
        <f>'LEVEL 3'!J39</f>
        <v>0</v>
      </c>
      <c r="R39" s="416">
        <f>'LEVEL 3'!K39</f>
        <v>0</v>
      </c>
      <c r="S39" s="259"/>
      <c r="U39" s="429">
        <f t="shared" si="4"/>
        <v>0</v>
      </c>
      <c r="W39" s="432">
        <f t="shared" si="5"/>
        <v>0</v>
      </c>
      <c r="Y39" s="504"/>
    </row>
    <row r="40" spans="1:25" hidden="1" outlineLevel="1">
      <c r="A40" s="512" t="s">
        <v>146</v>
      </c>
      <c r="B40" s="290"/>
      <c r="C40" s="483" t="s">
        <v>118</v>
      </c>
      <c r="D40" s="164"/>
      <c r="E40" s="161"/>
      <c r="F40" s="185"/>
      <c r="G40" s="216"/>
      <c r="H40" s="417">
        <v>0</v>
      </c>
      <c r="I40" s="416">
        <v>0</v>
      </c>
      <c r="J40" s="259"/>
      <c r="L40" s="483" t="s">
        <v>118</v>
      </c>
      <c r="M40" s="164">
        <f>'LEVEL 3'!F40</f>
        <v>0</v>
      </c>
      <c r="N40" s="161">
        <f>'LEVEL 3'!G40</f>
        <v>0</v>
      </c>
      <c r="O40" s="185">
        <f>'LEVEL 3'!H40</f>
        <v>0</v>
      </c>
      <c r="P40" s="216">
        <f>'LEVEL 3'!I40</f>
        <v>0</v>
      </c>
      <c r="Q40" s="417">
        <f>'LEVEL 3'!J40</f>
        <v>0</v>
      </c>
      <c r="R40" s="416">
        <f>'LEVEL 3'!K40</f>
        <v>0</v>
      </c>
      <c r="S40" s="259"/>
      <c r="U40" s="429">
        <f t="shared" si="4"/>
        <v>0</v>
      </c>
      <c r="W40" s="432">
        <f t="shared" si="5"/>
        <v>0</v>
      </c>
      <c r="Y40" s="504"/>
    </row>
    <row r="41" spans="1:25" hidden="1" outlineLevel="1">
      <c r="A41" s="512" t="s">
        <v>147</v>
      </c>
      <c r="B41" s="290"/>
      <c r="C41" s="483" t="s">
        <v>118</v>
      </c>
      <c r="D41" s="164"/>
      <c r="E41" s="161"/>
      <c r="F41" s="185"/>
      <c r="G41" s="216"/>
      <c r="H41" s="417">
        <v>0</v>
      </c>
      <c r="I41" s="416">
        <v>0</v>
      </c>
      <c r="J41" s="259"/>
      <c r="L41" s="483" t="s">
        <v>118</v>
      </c>
      <c r="M41" s="164">
        <f>'LEVEL 3'!F41</f>
        <v>0</v>
      </c>
      <c r="N41" s="161">
        <f>'LEVEL 3'!G41</f>
        <v>0</v>
      </c>
      <c r="O41" s="185">
        <f>'LEVEL 3'!H41</f>
        <v>0</v>
      </c>
      <c r="P41" s="216">
        <f>'LEVEL 3'!I41</f>
        <v>0</v>
      </c>
      <c r="Q41" s="417">
        <f>'LEVEL 3'!J41</f>
        <v>0</v>
      </c>
      <c r="R41" s="416">
        <f>'LEVEL 3'!K41</f>
        <v>0</v>
      </c>
      <c r="S41" s="259"/>
      <c r="U41" s="429">
        <f t="shared" si="4"/>
        <v>0</v>
      </c>
      <c r="W41" s="432">
        <f t="shared" si="5"/>
        <v>0</v>
      </c>
      <c r="Y41" s="504"/>
    </row>
    <row r="42" spans="1:25" hidden="1" outlineLevel="1">
      <c r="A42" s="512" t="s">
        <v>148</v>
      </c>
      <c r="B42" s="290"/>
      <c r="C42" s="483" t="s">
        <v>118</v>
      </c>
      <c r="D42" s="164"/>
      <c r="E42" s="161"/>
      <c r="F42" s="185"/>
      <c r="G42" s="216"/>
      <c r="H42" s="417">
        <v>0</v>
      </c>
      <c r="I42" s="416">
        <v>0</v>
      </c>
      <c r="J42" s="259"/>
      <c r="L42" s="483" t="s">
        <v>118</v>
      </c>
      <c r="M42" s="164">
        <f>'LEVEL 3'!F42</f>
        <v>0</v>
      </c>
      <c r="N42" s="161">
        <f>'LEVEL 3'!G42</f>
        <v>0</v>
      </c>
      <c r="O42" s="185">
        <f>'LEVEL 3'!H42</f>
        <v>0</v>
      </c>
      <c r="P42" s="216">
        <f>'LEVEL 3'!I42</f>
        <v>0</v>
      </c>
      <c r="Q42" s="417">
        <f>'LEVEL 3'!J42</f>
        <v>0</v>
      </c>
      <c r="R42" s="416">
        <f>'LEVEL 3'!K42</f>
        <v>0</v>
      </c>
      <c r="S42" s="259"/>
      <c r="U42" s="429">
        <f t="shared" si="4"/>
        <v>0</v>
      </c>
      <c r="W42" s="432">
        <f t="shared" si="5"/>
        <v>0</v>
      </c>
      <c r="Y42" s="504"/>
    </row>
    <row r="43" spans="1:25" hidden="1" outlineLevel="1">
      <c r="A43" s="513" t="s">
        <v>149</v>
      </c>
      <c r="B43" s="290"/>
      <c r="C43" s="484" t="s">
        <v>118</v>
      </c>
      <c r="D43" s="315"/>
      <c r="E43" s="162"/>
      <c r="F43" s="418"/>
      <c r="G43" s="419"/>
      <c r="H43" s="420">
        <v>0</v>
      </c>
      <c r="I43" s="313">
        <v>0</v>
      </c>
      <c r="J43" s="259"/>
      <c r="L43" s="484" t="s">
        <v>118</v>
      </c>
      <c r="M43" s="315">
        <f>'LEVEL 3'!F43</f>
        <v>0</v>
      </c>
      <c r="N43" s="162">
        <f>'LEVEL 3'!G43</f>
        <v>0</v>
      </c>
      <c r="O43" s="418">
        <f>'LEVEL 3'!H43</f>
        <v>0</v>
      </c>
      <c r="P43" s="419">
        <f>'LEVEL 3'!I43</f>
        <v>0</v>
      </c>
      <c r="Q43" s="420">
        <f>'LEVEL 3'!J43</f>
        <v>0</v>
      </c>
      <c r="R43" s="313">
        <f>'LEVEL 3'!K43</f>
        <v>0</v>
      </c>
      <c r="S43" s="259"/>
      <c r="U43" s="429">
        <f t="shared" si="4"/>
        <v>0</v>
      </c>
      <c r="W43" s="432">
        <f t="shared" si="5"/>
        <v>0</v>
      </c>
      <c r="Y43" s="504"/>
    </row>
    <row r="44" spans="1:25" collapsed="1">
      <c r="A44" s="509" t="s">
        <v>150</v>
      </c>
      <c r="B44" s="290"/>
      <c r="C44" s="479"/>
      <c r="D44" s="305"/>
      <c r="E44" s="306"/>
      <c r="F44" s="307"/>
      <c r="G44" s="308"/>
      <c r="H44" s="307"/>
      <c r="I44" s="421"/>
      <c r="J44" s="480">
        <v>115440</v>
      </c>
      <c r="L44" s="479"/>
      <c r="M44" s="305"/>
      <c r="N44" s="306"/>
      <c r="O44" s="307"/>
      <c r="P44" s="308"/>
      <c r="Q44" s="307"/>
      <c r="R44" s="421"/>
      <c r="S44" s="480">
        <f>'LEVEL 3'!L44</f>
        <v>112800</v>
      </c>
      <c r="U44" s="491">
        <f>S44-J44</f>
        <v>-2640</v>
      </c>
      <c r="W44" s="497">
        <f>IF(J44=0,0,U44/J44)</f>
        <v>-2.286902286902287E-2</v>
      </c>
      <c r="Y44" s="504"/>
    </row>
    <row r="45" spans="1:25" hidden="1" outlineLevel="1">
      <c r="A45" s="511" t="s">
        <v>152</v>
      </c>
      <c r="B45" s="290"/>
      <c r="C45" s="482" t="s">
        <v>116</v>
      </c>
      <c r="D45" s="176" t="s">
        <v>32</v>
      </c>
      <c r="E45" s="167">
        <v>2</v>
      </c>
      <c r="F45" s="413">
        <v>39900</v>
      </c>
      <c r="G45" s="414">
        <v>0</v>
      </c>
      <c r="H45" s="415">
        <v>39900</v>
      </c>
      <c r="I45" s="416">
        <v>79800</v>
      </c>
      <c r="J45" s="259"/>
      <c r="L45" s="482" t="s">
        <v>116</v>
      </c>
      <c r="M45" s="176" t="str">
        <f>'LEVEL 3'!F45</f>
        <v>Stop</v>
      </c>
      <c r="N45" s="167">
        <f>'LEVEL 3'!G45</f>
        <v>8</v>
      </c>
      <c r="O45" s="413">
        <f>'LEVEL 3'!H45</f>
        <v>9500</v>
      </c>
      <c r="P45" s="414">
        <f>'LEVEL 3'!I45</f>
        <v>0</v>
      </c>
      <c r="Q45" s="415">
        <f>'LEVEL 3'!J45</f>
        <v>9500</v>
      </c>
      <c r="R45" s="416">
        <f>'LEVEL 3'!K45</f>
        <v>76000</v>
      </c>
      <c r="S45" s="259"/>
      <c r="U45" s="429">
        <f>R45-I45</f>
        <v>-3800</v>
      </c>
      <c r="W45" s="432">
        <f>IF(I45=0,0,U45/I45)</f>
        <v>-4.7619047619047616E-2</v>
      </c>
      <c r="Y45" s="504"/>
    </row>
    <row r="46" spans="1:25" hidden="1" outlineLevel="1">
      <c r="A46" s="512" t="s">
        <v>154</v>
      </c>
      <c r="B46" s="290"/>
      <c r="C46" s="483" t="s">
        <v>116</v>
      </c>
      <c r="D46" s="164" t="s">
        <v>32</v>
      </c>
      <c r="E46" s="161">
        <v>4</v>
      </c>
      <c r="F46" s="185">
        <v>5985</v>
      </c>
      <c r="G46" s="216">
        <v>0</v>
      </c>
      <c r="H46" s="417">
        <v>5985</v>
      </c>
      <c r="I46" s="416">
        <v>23940</v>
      </c>
      <c r="J46" s="259"/>
      <c r="L46" s="483" t="s">
        <v>116</v>
      </c>
      <c r="M46" s="164" t="str">
        <f>'LEVEL 3'!F46</f>
        <v>Count</v>
      </c>
      <c r="N46" s="161">
        <f>'LEVEL 3'!G46</f>
        <v>4</v>
      </c>
      <c r="O46" s="185">
        <f>'LEVEL 3'!H46</f>
        <v>5700</v>
      </c>
      <c r="P46" s="216">
        <f>'LEVEL 3'!I46</f>
        <v>0</v>
      </c>
      <c r="Q46" s="417">
        <f>'LEVEL 3'!J46</f>
        <v>5700</v>
      </c>
      <c r="R46" s="416">
        <f>'LEVEL 3'!K46</f>
        <v>22800</v>
      </c>
      <c r="S46" s="259"/>
      <c r="U46" s="429">
        <f>R46-I46</f>
        <v>-1140</v>
      </c>
      <c r="W46" s="432">
        <f>IF(I46=0,0,U46/I46)</f>
        <v>-4.7619047619047616E-2</v>
      </c>
      <c r="Y46" s="504"/>
    </row>
    <row r="47" spans="1:25" hidden="1" outlineLevel="1">
      <c r="A47" s="512" t="s">
        <v>156</v>
      </c>
      <c r="B47" s="290"/>
      <c r="C47" s="483" t="s">
        <v>118</v>
      </c>
      <c r="D47" s="164"/>
      <c r="E47" s="161"/>
      <c r="F47" s="185">
        <v>0</v>
      </c>
      <c r="G47" s="216"/>
      <c r="H47" s="417">
        <v>0</v>
      </c>
      <c r="I47" s="416">
        <v>0</v>
      </c>
      <c r="J47" s="259"/>
      <c r="L47" s="483" t="s">
        <v>118</v>
      </c>
      <c r="M47" s="164">
        <f>'LEVEL 3'!F47</f>
        <v>0</v>
      </c>
      <c r="N47" s="161">
        <f>'LEVEL 3'!G47</f>
        <v>0</v>
      </c>
      <c r="O47" s="185">
        <f>'LEVEL 3'!H47</f>
        <v>0</v>
      </c>
      <c r="P47" s="216">
        <f>'LEVEL 3'!I47</f>
        <v>0</v>
      </c>
      <c r="Q47" s="417">
        <f>'LEVEL 3'!J47</f>
        <v>0</v>
      </c>
      <c r="R47" s="416">
        <f>'LEVEL 3'!K47</f>
        <v>0</v>
      </c>
      <c r="S47" s="259"/>
      <c r="U47" s="429">
        <f>R47-I47</f>
        <v>0</v>
      </c>
      <c r="W47" s="432">
        <f>IF(I47=0,0,U47/I47)</f>
        <v>0</v>
      </c>
      <c r="Y47" s="504"/>
    </row>
    <row r="48" spans="1:25" hidden="1" outlineLevel="1">
      <c r="A48" s="512" t="s">
        <v>158</v>
      </c>
      <c r="B48" s="290"/>
      <c r="C48" s="483" t="s">
        <v>127</v>
      </c>
      <c r="D48" s="164" t="s">
        <v>121</v>
      </c>
      <c r="E48" s="161">
        <v>1</v>
      </c>
      <c r="F48" s="185">
        <v>6000</v>
      </c>
      <c r="G48" s="216">
        <v>0</v>
      </c>
      <c r="H48" s="417">
        <v>6000</v>
      </c>
      <c r="I48" s="416">
        <v>6000</v>
      </c>
      <c r="J48" s="259"/>
      <c r="L48" s="483" t="s">
        <v>110</v>
      </c>
      <c r="M48" s="164" t="str">
        <f>'LEVEL 3'!F48</f>
        <v>LS</v>
      </c>
      <c r="N48" s="161">
        <f>'LEVEL 3'!G48</f>
        <v>1</v>
      </c>
      <c r="O48" s="185">
        <f>'LEVEL 3'!H48</f>
        <v>5000</v>
      </c>
      <c r="P48" s="216">
        <f>'LEVEL 3'!I48</f>
        <v>0</v>
      </c>
      <c r="Q48" s="417">
        <f>'LEVEL 3'!J48</f>
        <v>5000</v>
      </c>
      <c r="R48" s="416">
        <f>'LEVEL 3'!K48</f>
        <v>5000</v>
      </c>
      <c r="S48" s="259"/>
      <c r="U48" s="429">
        <f>R48-I48</f>
        <v>-1000</v>
      </c>
      <c r="W48" s="432">
        <f>IF(I48=0,0,U48/I48)</f>
        <v>-0.16666666666666666</v>
      </c>
      <c r="Y48" s="504"/>
    </row>
    <row r="49" spans="1:25" hidden="1" outlineLevel="1">
      <c r="A49" s="512" t="s">
        <v>160</v>
      </c>
      <c r="B49" s="290"/>
      <c r="C49" s="483" t="s">
        <v>110</v>
      </c>
      <c r="D49" s="164" t="s">
        <v>121</v>
      </c>
      <c r="E49" s="161">
        <v>1</v>
      </c>
      <c r="F49" s="185">
        <v>5700</v>
      </c>
      <c r="G49" s="216">
        <v>0</v>
      </c>
      <c r="H49" s="417">
        <v>5700</v>
      </c>
      <c r="I49" s="416">
        <v>5700</v>
      </c>
      <c r="J49" s="259"/>
      <c r="L49" s="483" t="s">
        <v>116</v>
      </c>
      <c r="M49" s="164" t="str">
        <f>'LEVEL 3'!F49</f>
        <v>LS</v>
      </c>
      <c r="N49" s="161">
        <f>'LEVEL 3'!G49</f>
        <v>1</v>
      </c>
      <c r="O49" s="185">
        <f>'LEVEL 3'!H49</f>
        <v>9000</v>
      </c>
      <c r="P49" s="216">
        <f>'LEVEL 3'!I49</f>
        <v>0</v>
      </c>
      <c r="Q49" s="417">
        <f>'LEVEL 3'!J49</f>
        <v>9000</v>
      </c>
      <c r="R49" s="416">
        <f>'LEVEL 3'!K49</f>
        <v>9000</v>
      </c>
      <c r="S49" s="259"/>
      <c r="U49" s="429">
        <f>R49-I49</f>
        <v>3300</v>
      </c>
      <c r="W49" s="432">
        <f>IF(I49=0,0,U49/I49)</f>
        <v>0.57894736842105265</v>
      </c>
      <c r="Y49" s="504"/>
    </row>
    <row r="50" spans="1:25" collapsed="1">
      <c r="A50" s="509" t="s">
        <v>162</v>
      </c>
      <c r="B50" s="290"/>
      <c r="C50" s="479"/>
      <c r="D50" s="305"/>
      <c r="E50" s="306"/>
      <c r="F50" s="307"/>
      <c r="G50" s="308"/>
      <c r="H50" s="307"/>
      <c r="I50" s="421"/>
      <c r="J50" s="480">
        <v>438442</v>
      </c>
      <c r="L50" s="479"/>
      <c r="M50" s="305"/>
      <c r="N50" s="306"/>
      <c r="O50" s="307"/>
      <c r="P50" s="308"/>
      <c r="Q50" s="307"/>
      <c r="R50" s="421"/>
      <c r="S50" s="480">
        <f>'LEVEL 3'!L50</f>
        <v>325412.12789407256</v>
      </c>
      <c r="U50" s="491">
        <f>S50-J50</f>
        <v>-113029.87210592744</v>
      </c>
      <c r="W50" s="497">
        <f>IF(J50=0,0,U50/J50)</f>
        <v>-0.2577989154915073</v>
      </c>
      <c r="Y50" s="504" t="s">
        <v>977</v>
      </c>
    </row>
    <row r="51" spans="1:25" hidden="1" outlineLevel="1">
      <c r="A51" s="511" t="s">
        <v>164</v>
      </c>
      <c r="B51" s="290"/>
      <c r="C51" s="482" t="s">
        <v>116</v>
      </c>
      <c r="D51" s="176" t="s">
        <v>121</v>
      </c>
      <c r="E51" s="167">
        <v>1</v>
      </c>
      <c r="F51" s="413">
        <v>82850</v>
      </c>
      <c r="G51" s="414">
        <v>0</v>
      </c>
      <c r="H51" s="415">
        <v>82850</v>
      </c>
      <c r="I51" s="416">
        <v>186154</v>
      </c>
      <c r="J51" s="259"/>
      <c r="L51" s="482" t="s">
        <v>116</v>
      </c>
      <c r="M51" s="176" t="str">
        <f>'LEVEL 3'!F51</f>
        <v>LBS</v>
      </c>
      <c r="N51" s="167">
        <f>'LEVEL 3'!G51</f>
        <v>31706.95</v>
      </c>
      <c r="O51" s="413">
        <f>'LEVEL 3'!H51</f>
        <v>3.5584036904865521</v>
      </c>
      <c r="P51" s="414">
        <f>'LEVEL 3'!I51</f>
        <v>0</v>
      </c>
      <c r="Q51" s="415">
        <f>'LEVEL 3'!J51</f>
        <v>3.5584036904865521</v>
      </c>
      <c r="R51" s="416">
        <f>'LEVEL 3'!K51</f>
        <v>112826.12789407259</v>
      </c>
      <c r="S51" s="259"/>
      <c r="U51" s="429">
        <f t="shared" ref="U51:U58" si="6">R51-I51</f>
        <v>-73327.87210592741</v>
      </c>
      <c r="W51" s="432">
        <f t="shared" ref="W51:W58" si="7">IF(I51=0,0,U51/I51)</f>
        <v>-0.39390973122214623</v>
      </c>
      <c r="Y51" s="504"/>
    </row>
    <row r="52" spans="1:25" hidden="1" outlineLevel="1">
      <c r="A52" s="512" t="s">
        <v>167</v>
      </c>
      <c r="B52" s="290"/>
      <c r="C52" s="483" t="s">
        <v>127</v>
      </c>
      <c r="D52" s="164" t="s">
        <v>32</v>
      </c>
      <c r="E52" s="161">
        <v>2</v>
      </c>
      <c r="F52" s="185">
        <v>5990</v>
      </c>
      <c r="G52" s="216">
        <v>0</v>
      </c>
      <c r="H52" s="415">
        <v>5990</v>
      </c>
      <c r="I52" s="416">
        <v>11980</v>
      </c>
      <c r="J52" s="259"/>
      <c r="L52" s="483" t="s">
        <v>116</v>
      </c>
      <c r="M52" s="164" t="str">
        <f>'LEVEL 3'!F52</f>
        <v>Count</v>
      </c>
      <c r="N52" s="161">
        <f>'LEVEL 3'!G52</f>
        <v>2</v>
      </c>
      <c r="O52" s="185">
        <f>'LEVEL 3'!H52</f>
        <v>4040</v>
      </c>
      <c r="P52" s="216">
        <f>'LEVEL 3'!I52</f>
        <v>0</v>
      </c>
      <c r="Q52" s="415">
        <f>'LEVEL 3'!J52</f>
        <v>4040</v>
      </c>
      <c r="R52" s="416">
        <f>'LEVEL 3'!K52</f>
        <v>8080</v>
      </c>
      <c r="S52" s="259"/>
      <c r="U52" s="429">
        <f t="shared" si="6"/>
        <v>-3900</v>
      </c>
      <c r="W52" s="432">
        <f t="shared" si="7"/>
        <v>-0.32554257095158595</v>
      </c>
      <c r="Y52" s="504"/>
    </row>
    <row r="53" spans="1:25" hidden="1" outlineLevel="1">
      <c r="A53" s="512" t="s">
        <v>169</v>
      </c>
      <c r="B53" s="290"/>
      <c r="C53" s="483" t="s">
        <v>195</v>
      </c>
      <c r="D53" s="164" t="s">
        <v>32</v>
      </c>
      <c r="E53" s="161">
        <v>7</v>
      </c>
      <c r="F53" s="185">
        <v>11750</v>
      </c>
      <c r="G53" s="216">
        <v>0</v>
      </c>
      <c r="H53" s="415">
        <v>11750</v>
      </c>
      <c r="I53" s="416">
        <v>82250</v>
      </c>
      <c r="J53" s="259"/>
      <c r="L53" s="483" t="s">
        <v>116</v>
      </c>
      <c r="M53" s="164" t="str">
        <f>'LEVEL 3'!F53</f>
        <v>Flight</v>
      </c>
      <c r="N53" s="161">
        <f>'LEVEL 3'!G53</f>
        <v>28</v>
      </c>
      <c r="O53" s="185">
        <f>'LEVEL 3'!H53</f>
        <v>2000</v>
      </c>
      <c r="P53" s="216">
        <f>'LEVEL 3'!I53</f>
        <v>0</v>
      </c>
      <c r="Q53" s="415">
        <f>'LEVEL 3'!J53</f>
        <v>2000</v>
      </c>
      <c r="R53" s="416">
        <f>'LEVEL 3'!K53</f>
        <v>56000</v>
      </c>
      <c r="S53" s="259"/>
      <c r="U53" s="429">
        <f t="shared" si="6"/>
        <v>-26250</v>
      </c>
      <c r="W53" s="432">
        <f t="shared" si="7"/>
        <v>-0.31914893617021278</v>
      </c>
      <c r="Y53" s="504"/>
    </row>
    <row r="54" spans="1:25" hidden="1" outlineLevel="1">
      <c r="A54" s="512" t="s">
        <v>171</v>
      </c>
      <c r="B54" s="290"/>
      <c r="C54" s="483" t="s">
        <v>118</v>
      </c>
      <c r="D54" s="164"/>
      <c r="E54" s="161"/>
      <c r="F54" s="185">
        <v>0</v>
      </c>
      <c r="G54" s="216">
        <v>0</v>
      </c>
      <c r="H54" s="415">
        <v>0</v>
      </c>
      <c r="I54" s="416">
        <v>0</v>
      </c>
      <c r="J54" s="259"/>
      <c r="L54" s="483" t="s">
        <v>118</v>
      </c>
      <c r="M54" s="164">
        <f>'LEVEL 3'!F54</f>
        <v>0</v>
      </c>
      <c r="N54" s="161">
        <f>'LEVEL 3'!G54</f>
        <v>0</v>
      </c>
      <c r="O54" s="185">
        <f>'LEVEL 3'!H54</f>
        <v>0</v>
      </c>
      <c r="P54" s="216">
        <f>'LEVEL 3'!I54</f>
        <v>0</v>
      </c>
      <c r="Q54" s="415">
        <f>'LEVEL 3'!J54</f>
        <v>0</v>
      </c>
      <c r="R54" s="416">
        <f>'LEVEL 3'!K54</f>
        <v>0</v>
      </c>
      <c r="S54" s="259"/>
      <c r="U54" s="429">
        <f t="shared" si="6"/>
        <v>0</v>
      </c>
      <c r="W54" s="432">
        <f t="shared" si="7"/>
        <v>0</v>
      </c>
      <c r="Y54" s="504"/>
    </row>
    <row r="55" spans="1:25" hidden="1" outlineLevel="1">
      <c r="A55" s="512" t="s">
        <v>172</v>
      </c>
      <c r="B55" s="290"/>
      <c r="C55" s="483" t="s">
        <v>118</v>
      </c>
      <c r="D55" s="164"/>
      <c r="E55" s="161"/>
      <c r="F55" s="185">
        <v>0</v>
      </c>
      <c r="G55" s="216">
        <v>0</v>
      </c>
      <c r="H55" s="415">
        <v>0</v>
      </c>
      <c r="I55" s="416">
        <v>0</v>
      </c>
      <c r="J55" s="259"/>
      <c r="L55" s="483" t="s">
        <v>118</v>
      </c>
      <c r="M55" s="164">
        <f>'LEVEL 3'!F55</f>
        <v>0</v>
      </c>
      <c r="N55" s="161">
        <f>'LEVEL 3'!G55</f>
        <v>0</v>
      </c>
      <c r="O55" s="185">
        <f>'LEVEL 3'!H55</f>
        <v>0</v>
      </c>
      <c r="P55" s="216">
        <f>'LEVEL 3'!I55</f>
        <v>0</v>
      </c>
      <c r="Q55" s="415">
        <f>'LEVEL 3'!J55</f>
        <v>0</v>
      </c>
      <c r="R55" s="416">
        <f>'LEVEL 3'!K55</f>
        <v>0</v>
      </c>
      <c r="S55" s="259"/>
      <c r="U55" s="429">
        <f t="shared" si="6"/>
        <v>0</v>
      </c>
      <c r="W55" s="432">
        <f t="shared" si="7"/>
        <v>0</v>
      </c>
      <c r="Y55" s="504"/>
    </row>
    <row r="56" spans="1:25" hidden="1" outlineLevel="1">
      <c r="A56" s="512" t="s">
        <v>174</v>
      </c>
      <c r="B56" s="290"/>
      <c r="C56" s="483" t="s">
        <v>127</v>
      </c>
      <c r="D56" s="164" t="s">
        <v>32</v>
      </c>
      <c r="E56" s="161">
        <v>1</v>
      </c>
      <c r="F56" s="185">
        <v>1950</v>
      </c>
      <c r="G56" s="216">
        <v>0</v>
      </c>
      <c r="H56" s="415">
        <v>1950</v>
      </c>
      <c r="I56" s="416">
        <v>1950</v>
      </c>
      <c r="J56" s="259"/>
      <c r="L56" s="483" t="s">
        <v>116</v>
      </c>
      <c r="M56" s="164" t="str">
        <f>'LEVEL 3'!F56</f>
        <v>Count</v>
      </c>
      <c r="N56" s="161">
        <f>'LEVEL 3'!G56</f>
        <v>1</v>
      </c>
      <c r="O56" s="185">
        <f>'LEVEL 3'!H56</f>
        <v>1950</v>
      </c>
      <c r="P56" s="216">
        <f>'LEVEL 3'!I56</f>
        <v>0</v>
      </c>
      <c r="Q56" s="415">
        <f>'LEVEL 3'!J56</f>
        <v>1950</v>
      </c>
      <c r="R56" s="416">
        <f>'LEVEL 3'!K56</f>
        <v>1950</v>
      </c>
      <c r="S56" s="259"/>
      <c r="U56" s="429">
        <f t="shared" si="6"/>
        <v>0</v>
      </c>
      <c r="W56" s="432">
        <f t="shared" si="7"/>
        <v>0</v>
      </c>
      <c r="Y56" s="504"/>
    </row>
    <row r="57" spans="1:25" hidden="1" outlineLevel="1">
      <c r="A57" s="512" t="s">
        <v>176</v>
      </c>
      <c r="B57" s="290"/>
      <c r="C57" s="483" t="s">
        <v>127</v>
      </c>
      <c r="D57" s="164" t="s">
        <v>549</v>
      </c>
      <c r="E57" s="161">
        <v>1593</v>
      </c>
      <c r="F57" s="185">
        <v>97.996499999999997</v>
      </c>
      <c r="G57" s="216">
        <v>0</v>
      </c>
      <c r="H57" s="415">
        <v>97.996499999999997</v>
      </c>
      <c r="I57" s="416">
        <v>156108.42000000001</v>
      </c>
      <c r="J57" s="259"/>
      <c r="L57" s="483" t="s">
        <v>116</v>
      </c>
      <c r="M57" s="164" t="str">
        <f>'LEVEL 3'!F57</f>
        <v>LF</v>
      </c>
      <c r="N57" s="161">
        <f>'LEVEL 3'!G57</f>
        <v>1593</v>
      </c>
      <c r="O57" s="185">
        <f>'LEVEL 3'!H57</f>
        <v>92</v>
      </c>
      <c r="P57" s="216">
        <f>'LEVEL 3'!I57</f>
        <v>0</v>
      </c>
      <c r="Q57" s="415">
        <f>'LEVEL 3'!J57</f>
        <v>92</v>
      </c>
      <c r="R57" s="416">
        <f>'LEVEL 3'!K57</f>
        <v>146556</v>
      </c>
      <c r="S57" s="259"/>
      <c r="U57" s="429">
        <f t="shared" si="6"/>
        <v>-9552.4200000000128</v>
      </c>
      <c r="W57" s="432">
        <f t="shared" si="7"/>
        <v>-6.1190933839443205E-2</v>
      </c>
      <c r="Y57" s="504"/>
    </row>
    <row r="58" spans="1:25" hidden="1" outlineLevel="1">
      <c r="A58" s="512" t="s">
        <v>179</v>
      </c>
      <c r="B58" s="290"/>
      <c r="C58" s="483" t="s">
        <v>118</v>
      </c>
      <c r="D58" s="164"/>
      <c r="E58" s="161"/>
      <c r="F58" s="185">
        <v>0</v>
      </c>
      <c r="G58" s="216">
        <v>0</v>
      </c>
      <c r="H58" s="415">
        <v>0</v>
      </c>
      <c r="I58" s="416">
        <v>0</v>
      </c>
      <c r="J58" s="259"/>
      <c r="L58" s="483" t="s">
        <v>118</v>
      </c>
      <c r="M58" s="164">
        <f>'LEVEL 3'!F58</f>
        <v>0</v>
      </c>
      <c r="N58" s="161">
        <f>'LEVEL 3'!G58</f>
        <v>0</v>
      </c>
      <c r="O58" s="185">
        <f>'LEVEL 3'!H58</f>
        <v>0</v>
      </c>
      <c r="P58" s="216">
        <f>'LEVEL 3'!I58</f>
        <v>0</v>
      </c>
      <c r="Q58" s="415">
        <f>'LEVEL 3'!J58</f>
        <v>0</v>
      </c>
      <c r="R58" s="416">
        <f>'LEVEL 3'!K58</f>
        <v>0</v>
      </c>
      <c r="S58" s="259"/>
      <c r="U58" s="429">
        <f t="shared" si="6"/>
        <v>0</v>
      </c>
      <c r="W58" s="432">
        <f t="shared" si="7"/>
        <v>0</v>
      </c>
      <c r="Y58" s="504"/>
    </row>
    <row r="59" spans="1:25" collapsed="1">
      <c r="A59" s="509" t="s">
        <v>182</v>
      </c>
      <c r="B59" s="290"/>
      <c r="C59" s="479"/>
      <c r="D59" s="305"/>
      <c r="E59" s="306"/>
      <c r="F59" s="307"/>
      <c r="G59" s="308"/>
      <c r="H59" s="307"/>
      <c r="I59" s="421"/>
      <c r="J59" s="480">
        <v>5146676</v>
      </c>
      <c r="L59" s="479"/>
      <c r="M59" s="305"/>
      <c r="N59" s="306"/>
      <c r="O59" s="307"/>
      <c r="P59" s="308"/>
      <c r="Q59" s="307"/>
      <c r="R59" s="421"/>
      <c r="S59" s="480">
        <f>'LEVEL 3'!L59</f>
        <v>4804000.7</v>
      </c>
      <c r="U59" s="491">
        <f>S59-J59</f>
        <v>-342675.29999999981</v>
      </c>
      <c r="W59" s="497">
        <f>IF(J59=0,0,U59/J59)</f>
        <v>-6.6581867597649391E-2</v>
      </c>
      <c r="Y59" s="504" t="s">
        <v>978</v>
      </c>
    </row>
    <row r="60" spans="1:25" hidden="1" outlineLevel="1">
      <c r="A60" s="511" t="s">
        <v>184</v>
      </c>
      <c r="B60" s="290"/>
      <c r="C60" s="482" t="s">
        <v>116</v>
      </c>
      <c r="D60" s="176" t="s">
        <v>187</v>
      </c>
      <c r="E60" s="167">
        <v>194</v>
      </c>
      <c r="F60" s="413">
        <v>79</v>
      </c>
      <c r="G60" s="414">
        <v>0</v>
      </c>
      <c r="H60" s="415">
        <v>79</v>
      </c>
      <c r="I60" s="416">
        <v>15326</v>
      </c>
      <c r="J60" s="259"/>
      <c r="L60" s="482"/>
      <c r="M60" s="176" t="e">
        <f>'LEVEL 3'!#REF!</f>
        <v>#REF!</v>
      </c>
      <c r="N60" s="167" t="e">
        <f>'LEVEL 3'!#REF!</f>
        <v>#REF!</v>
      </c>
      <c r="O60" s="413" t="e">
        <f>'LEVEL 3'!#REF!</f>
        <v>#REF!</v>
      </c>
      <c r="P60" s="414" t="e">
        <f>'LEVEL 3'!#REF!</f>
        <v>#REF!</v>
      </c>
      <c r="Q60" s="415" t="e">
        <f>'LEVEL 3'!#REF!</f>
        <v>#REF!</v>
      </c>
      <c r="R60" s="416" t="e">
        <f>'LEVEL 3'!#REF!</f>
        <v>#REF!</v>
      </c>
      <c r="S60" s="259"/>
      <c r="U60" s="429" t="e">
        <f t="shared" ref="U60:U71" si="8">R60-I60</f>
        <v>#REF!</v>
      </c>
      <c r="W60" s="432" t="e">
        <f t="shared" ref="W60:W71" si="9">IF(I60=0,0,U60/I60)</f>
        <v>#REF!</v>
      </c>
      <c r="Y60" s="504"/>
    </row>
    <row r="61" spans="1:25" hidden="1" outlineLevel="1">
      <c r="A61" s="512" t="s">
        <v>188</v>
      </c>
      <c r="B61" s="290"/>
      <c r="C61" s="483" t="s">
        <v>116</v>
      </c>
      <c r="D61" s="164" t="s">
        <v>15</v>
      </c>
      <c r="E61" s="161">
        <v>196333</v>
      </c>
      <c r="F61" s="185">
        <f>H61/(1+G61)</f>
        <v>19.918181818181818</v>
      </c>
      <c r="G61" s="216">
        <v>0.1</v>
      </c>
      <c r="H61" s="415">
        <v>21.91</v>
      </c>
      <c r="I61" s="416">
        <v>4302048.7</v>
      </c>
      <c r="J61" s="259"/>
      <c r="L61" s="483" t="s">
        <v>116</v>
      </c>
      <c r="M61" s="164" t="str">
        <f>'LEVEL 3'!F60</f>
        <v>SF</v>
      </c>
      <c r="N61" s="161">
        <f>'LEVEL 3'!G60</f>
        <v>196289</v>
      </c>
      <c r="O61" s="185">
        <f>'LEVEL 3'!H60</f>
        <v>20.42358206522016</v>
      </c>
      <c r="P61" s="216">
        <f>'LEVEL 3'!I60</f>
        <v>0</v>
      </c>
      <c r="Q61" s="415">
        <f>'LEVEL 3'!J60</f>
        <v>20.42358206522016</v>
      </c>
      <c r="R61" s="416">
        <f>'LEVEL 3'!K60</f>
        <v>4008924.5</v>
      </c>
      <c r="S61" s="259"/>
      <c r="U61" s="429">
        <f t="shared" si="8"/>
        <v>-293124.20000000019</v>
      </c>
      <c r="W61" s="432">
        <f t="shared" si="9"/>
        <v>-6.8135955783113322E-2</v>
      </c>
      <c r="Y61" s="504"/>
    </row>
    <row r="62" spans="1:25" hidden="1" outlineLevel="1">
      <c r="A62" s="512" t="s">
        <v>190</v>
      </c>
      <c r="B62" s="290"/>
      <c r="C62" s="483" t="s">
        <v>118</v>
      </c>
      <c r="D62" s="164"/>
      <c r="E62" s="161"/>
      <c r="F62" s="185"/>
      <c r="G62" s="216">
        <v>0</v>
      </c>
      <c r="H62" s="415">
        <v>0</v>
      </c>
      <c r="I62" s="416">
        <v>0</v>
      </c>
      <c r="J62" s="259"/>
      <c r="L62" s="483" t="s">
        <v>118</v>
      </c>
      <c r="M62" s="164">
        <f>'LEVEL 3'!F62</f>
        <v>0</v>
      </c>
      <c r="N62" s="161">
        <f>'LEVEL 3'!G62</f>
        <v>0</v>
      </c>
      <c r="O62" s="185">
        <f>'LEVEL 3'!H62</f>
        <v>0</v>
      </c>
      <c r="P62" s="216">
        <f>'LEVEL 3'!I62</f>
        <v>0</v>
      </c>
      <c r="Q62" s="415">
        <f>'LEVEL 3'!J62</f>
        <v>0</v>
      </c>
      <c r="R62" s="416">
        <f>'LEVEL 3'!K62</f>
        <v>0</v>
      </c>
      <c r="S62" s="259"/>
      <c r="U62" s="429">
        <f t="shared" si="8"/>
        <v>0</v>
      </c>
      <c r="W62" s="432">
        <f t="shared" si="9"/>
        <v>0</v>
      </c>
      <c r="Y62" s="504"/>
    </row>
    <row r="63" spans="1:25" hidden="1" outlineLevel="1">
      <c r="A63" s="512" t="s">
        <v>191</v>
      </c>
      <c r="B63" s="290"/>
      <c r="C63" s="483" t="s">
        <v>118</v>
      </c>
      <c r="D63" s="164"/>
      <c r="E63" s="161"/>
      <c r="F63" s="185"/>
      <c r="G63" s="216">
        <v>0</v>
      </c>
      <c r="H63" s="415">
        <v>0</v>
      </c>
      <c r="I63" s="416">
        <v>0</v>
      </c>
      <c r="J63" s="259"/>
      <c r="L63" s="483" t="s">
        <v>118</v>
      </c>
      <c r="M63" s="164">
        <f>'LEVEL 3'!F63</f>
        <v>0</v>
      </c>
      <c r="N63" s="161">
        <f>'LEVEL 3'!G63</f>
        <v>0</v>
      </c>
      <c r="O63" s="185">
        <f>'LEVEL 3'!H63</f>
        <v>0</v>
      </c>
      <c r="P63" s="216">
        <f>'LEVEL 3'!I63</f>
        <v>0</v>
      </c>
      <c r="Q63" s="415">
        <f>'LEVEL 3'!J63</f>
        <v>0</v>
      </c>
      <c r="R63" s="416">
        <f>'LEVEL 3'!K63</f>
        <v>0</v>
      </c>
      <c r="S63" s="259"/>
      <c r="U63" s="429">
        <f t="shared" si="8"/>
        <v>0</v>
      </c>
      <c r="W63" s="432">
        <f t="shared" si="9"/>
        <v>0</v>
      </c>
      <c r="Y63" s="504"/>
    </row>
    <row r="64" spans="1:25" hidden="1" outlineLevel="1">
      <c r="A64" s="512" t="s">
        <v>193</v>
      </c>
      <c r="B64" s="290"/>
      <c r="C64" s="483" t="s">
        <v>195</v>
      </c>
      <c r="D64" s="164" t="s">
        <v>121</v>
      </c>
      <c r="E64" s="161">
        <v>1</v>
      </c>
      <c r="F64" s="185">
        <v>2810</v>
      </c>
      <c r="G64" s="216">
        <v>0</v>
      </c>
      <c r="H64" s="415">
        <v>2810</v>
      </c>
      <c r="I64" s="416">
        <v>2810</v>
      </c>
      <c r="J64" s="259"/>
      <c r="L64" s="483" t="s">
        <v>110</v>
      </c>
      <c r="M64" s="164" t="str">
        <f>'LEVEL 3'!F64</f>
        <v>LS</v>
      </c>
      <c r="N64" s="161">
        <f>'LEVEL 3'!G64</f>
        <v>1</v>
      </c>
      <c r="O64" s="185">
        <f>'LEVEL 3'!H64</f>
        <v>2500</v>
      </c>
      <c r="P64" s="216">
        <f>'LEVEL 3'!I64</f>
        <v>0</v>
      </c>
      <c r="Q64" s="415">
        <f>'LEVEL 3'!J64</f>
        <v>2500</v>
      </c>
      <c r="R64" s="416">
        <f>'LEVEL 3'!K64</f>
        <v>2500</v>
      </c>
      <c r="S64" s="259"/>
      <c r="U64" s="429">
        <f t="shared" si="8"/>
        <v>-310</v>
      </c>
      <c r="W64" s="432">
        <f t="shared" si="9"/>
        <v>-0.1103202846975089</v>
      </c>
      <c r="Y64" s="504"/>
    </row>
    <row r="65" spans="1:25" hidden="1" outlineLevel="1">
      <c r="A65" s="512" t="s">
        <v>196</v>
      </c>
      <c r="B65" s="290"/>
      <c r="C65" s="483" t="s">
        <v>118</v>
      </c>
      <c r="D65" s="164"/>
      <c r="E65" s="161"/>
      <c r="F65" s="185"/>
      <c r="G65" s="216">
        <v>0</v>
      </c>
      <c r="H65" s="415">
        <v>0</v>
      </c>
      <c r="I65" s="416">
        <v>0</v>
      </c>
      <c r="J65" s="259"/>
      <c r="L65" s="483" t="s">
        <v>118</v>
      </c>
      <c r="M65" s="164">
        <f>'LEVEL 3'!F65</f>
        <v>0</v>
      </c>
      <c r="N65" s="161">
        <f>'LEVEL 3'!G65</f>
        <v>0</v>
      </c>
      <c r="O65" s="185">
        <f>'LEVEL 3'!H65</f>
        <v>0</v>
      </c>
      <c r="P65" s="216">
        <f>'LEVEL 3'!I65</f>
        <v>0</v>
      </c>
      <c r="Q65" s="415">
        <f>'LEVEL 3'!J65</f>
        <v>0</v>
      </c>
      <c r="R65" s="416">
        <f>'LEVEL 3'!K65</f>
        <v>0</v>
      </c>
      <c r="S65" s="259"/>
      <c r="U65" s="429">
        <f t="shared" si="8"/>
        <v>0</v>
      </c>
      <c r="W65" s="432">
        <f t="shared" si="9"/>
        <v>0</v>
      </c>
      <c r="Y65" s="504"/>
    </row>
    <row r="66" spans="1:25" hidden="1" outlineLevel="1">
      <c r="A66" s="512" t="s">
        <v>198</v>
      </c>
      <c r="B66" s="290"/>
      <c r="C66" s="483" t="s">
        <v>118</v>
      </c>
      <c r="D66" s="164"/>
      <c r="E66" s="161"/>
      <c r="F66" s="185"/>
      <c r="G66" s="216">
        <v>0</v>
      </c>
      <c r="H66" s="415">
        <v>0</v>
      </c>
      <c r="I66" s="416">
        <v>0</v>
      </c>
      <c r="J66" s="259"/>
      <c r="L66" s="483" t="s">
        <v>118</v>
      </c>
      <c r="M66" s="164">
        <f>'LEVEL 3'!F66</f>
        <v>0</v>
      </c>
      <c r="N66" s="161">
        <f>'LEVEL 3'!G66</f>
        <v>0</v>
      </c>
      <c r="O66" s="185">
        <f>'LEVEL 3'!H66</f>
        <v>0</v>
      </c>
      <c r="P66" s="216">
        <f>'LEVEL 3'!I66</f>
        <v>0</v>
      </c>
      <c r="Q66" s="415">
        <f>'LEVEL 3'!J66</f>
        <v>0</v>
      </c>
      <c r="R66" s="416">
        <f>'LEVEL 3'!K66</f>
        <v>0</v>
      </c>
      <c r="S66" s="259"/>
      <c r="U66" s="429">
        <f t="shared" si="8"/>
        <v>0</v>
      </c>
      <c r="W66" s="432">
        <f t="shared" si="9"/>
        <v>0</v>
      </c>
      <c r="Y66" s="504"/>
    </row>
    <row r="67" spans="1:25" hidden="1" outlineLevel="1">
      <c r="A67" s="512" t="s">
        <v>200</v>
      </c>
      <c r="B67" s="290"/>
      <c r="C67" s="483" t="s">
        <v>118</v>
      </c>
      <c r="D67" s="164"/>
      <c r="E67" s="161"/>
      <c r="F67" s="185"/>
      <c r="G67" s="216">
        <v>0</v>
      </c>
      <c r="H67" s="415">
        <v>0</v>
      </c>
      <c r="I67" s="416">
        <v>0</v>
      </c>
      <c r="J67" s="259"/>
      <c r="L67" s="483" t="s">
        <v>118</v>
      </c>
      <c r="M67" s="164">
        <f>'LEVEL 3'!F67</f>
        <v>0</v>
      </c>
      <c r="N67" s="161">
        <f>'LEVEL 3'!G67</f>
        <v>0</v>
      </c>
      <c r="O67" s="185">
        <f>'LEVEL 3'!H67</f>
        <v>0</v>
      </c>
      <c r="P67" s="216">
        <f>'LEVEL 3'!I67</f>
        <v>0</v>
      </c>
      <c r="Q67" s="415">
        <f>'LEVEL 3'!J67</f>
        <v>0</v>
      </c>
      <c r="R67" s="416">
        <f>'LEVEL 3'!K67</f>
        <v>0</v>
      </c>
      <c r="S67" s="259"/>
      <c r="U67" s="429">
        <f t="shared" si="8"/>
        <v>0</v>
      </c>
      <c r="W67" s="432">
        <f t="shared" si="9"/>
        <v>0</v>
      </c>
      <c r="Y67" s="504"/>
    </row>
    <row r="68" spans="1:25" hidden="1" outlineLevel="1">
      <c r="A68" s="514" t="s">
        <v>201</v>
      </c>
      <c r="B68" s="290"/>
      <c r="C68" s="483" t="s">
        <v>195</v>
      </c>
      <c r="D68" s="164" t="s">
        <v>187</v>
      </c>
      <c r="E68" s="161">
        <v>194</v>
      </c>
      <c r="F68" s="185">
        <v>3081</v>
      </c>
      <c r="G68" s="216">
        <v>0</v>
      </c>
      <c r="H68" s="415">
        <v>3081</v>
      </c>
      <c r="I68" s="416">
        <v>597714</v>
      </c>
      <c r="J68" s="259"/>
      <c r="L68" s="483" t="s">
        <v>116</v>
      </c>
      <c r="M68" s="164" t="str">
        <f>'LEVEL 3'!F68</f>
        <v xml:space="preserve">Unit </v>
      </c>
      <c r="N68" s="161">
        <f>'LEVEL 3'!G68</f>
        <v>194</v>
      </c>
      <c r="O68" s="185">
        <f>'LEVEL 3'!H68</f>
        <v>3169.3041237113403</v>
      </c>
      <c r="P68" s="216">
        <f>'LEVEL 3'!I68</f>
        <v>0</v>
      </c>
      <c r="Q68" s="415">
        <f>'LEVEL 3'!J68</f>
        <v>3169.3041237113403</v>
      </c>
      <c r="R68" s="416">
        <f>'LEVEL 3'!K68</f>
        <v>614845</v>
      </c>
      <c r="S68" s="259"/>
      <c r="U68" s="429">
        <f t="shared" si="8"/>
        <v>17131</v>
      </c>
      <c r="W68" s="432">
        <f t="shared" si="9"/>
        <v>2.8660864560642714E-2</v>
      </c>
      <c r="Y68" s="504"/>
    </row>
    <row r="69" spans="1:25" hidden="1" outlineLevel="1">
      <c r="A69" s="512" t="s">
        <v>203</v>
      </c>
      <c r="B69" s="290"/>
      <c r="C69" s="483" t="s">
        <v>195</v>
      </c>
      <c r="D69" s="164" t="s">
        <v>15</v>
      </c>
      <c r="E69" s="161">
        <v>196333</v>
      </c>
      <c r="F69" s="185">
        <v>1.1599999999999999</v>
      </c>
      <c r="G69" s="216">
        <v>0</v>
      </c>
      <c r="H69" s="415">
        <v>1.1599999999999999</v>
      </c>
      <c r="I69" s="416">
        <v>227746.28</v>
      </c>
      <c r="J69" s="259"/>
      <c r="L69" s="483" t="s">
        <v>116</v>
      </c>
      <c r="M69" s="164" t="str">
        <f>'LEVEL 3'!F69</f>
        <v>SF</v>
      </c>
      <c r="N69" s="161">
        <f>'LEVEL 3'!G69</f>
        <v>196289</v>
      </c>
      <c r="O69" s="185">
        <f>'LEVEL 3'!H69</f>
        <v>0.8</v>
      </c>
      <c r="P69" s="216">
        <f>'LEVEL 3'!I69</f>
        <v>0</v>
      </c>
      <c r="Q69" s="415">
        <f>'LEVEL 3'!J69</f>
        <v>0.8</v>
      </c>
      <c r="R69" s="416">
        <f>'LEVEL 3'!K69</f>
        <v>157031.20000000001</v>
      </c>
      <c r="S69" s="259"/>
      <c r="U69" s="429">
        <f t="shared" si="8"/>
        <v>-70715.079999999987</v>
      </c>
      <c r="W69" s="432">
        <f t="shared" si="9"/>
        <v>-0.31049938554429951</v>
      </c>
      <c r="Y69" s="504"/>
    </row>
    <row r="70" spans="1:25" hidden="1" outlineLevel="1">
      <c r="A70" s="512" t="s">
        <v>204</v>
      </c>
      <c r="B70" s="290"/>
      <c r="C70" s="483" t="s">
        <v>195</v>
      </c>
      <c r="D70" s="164" t="s">
        <v>121</v>
      </c>
      <c r="E70" s="161">
        <v>1</v>
      </c>
      <c r="F70" s="185">
        <v>1031</v>
      </c>
      <c r="G70" s="216">
        <v>0</v>
      </c>
      <c r="H70" s="415">
        <v>1031</v>
      </c>
      <c r="I70" s="416">
        <v>1031</v>
      </c>
      <c r="J70" s="259"/>
      <c r="L70" s="483" t="s">
        <v>110</v>
      </c>
      <c r="M70" s="164" t="str">
        <f>'LEVEL 3'!F71</f>
        <v>LS</v>
      </c>
      <c r="N70" s="161">
        <f>'LEVEL 3'!G71</f>
        <v>1</v>
      </c>
      <c r="O70" s="185">
        <f>'LEVEL 3'!H71</f>
        <v>1200</v>
      </c>
      <c r="P70" s="216">
        <f>'LEVEL 3'!I71</f>
        <v>0</v>
      </c>
      <c r="Q70" s="415">
        <f>'LEVEL 3'!J71</f>
        <v>1200</v>
      </c>
      <c r="R70" s="416">
        <f>'LEVEL 3'!K71</f>
        <v>1200</v>
      </c>
      <c r="S70" s="259"/>
      <c r="U70" s="429">
        <f t="shared" si="8"/>
        <v>169</v>
      </c>
      <c r="W70" s="432">
        <f t="shared" si="9"/>
        <v>0.16391852570320078</v>
      </c>
      <c r="Y70" s="504"/>
    </row>
    <row r="71" spans="1:25" hidden="1" outlineLevel="1">
      <c r="A71" s="512" t="s">
        <v>206</v>
      </c>
      <c r="B71" s="290"/>
      <c r="C71" s="483" t="s">
        <v>118</v>
      </c>
      <c r="D71" s="164"/>
      <c r="E71" s="161"/>
      <c r="F71" s="185"/>
      <c r="G71" s="216">
        <v>0</v>
      </c>
      <c r="H71" s="415">
        <v>0</v>
      </c>
      <c r="I71" s="416">
        <v>0</v>
      </c>
      <c r="J71" s="259"/>
      <c r="L71" s="483" t="s">
        <v>118</v>
      </c>
      <c r="M71" s="164">
        <f>'LEVEL 3'!F72</f>
        <v>0</v>
      </c>
      <c r="N71" s="161">
        <f>'LEVEL 3'!G72</f>
        <v>0</v>
      </c>
      <c r="O71" s="185">
        <f>'LEVEL 3'!H72</f>
        <v>0</v>
      </c>
      <c r="P71" s="216">
        <f>'LEVEL 3'!I72</f>
        <v>0</v>
      </c>
      <c r="Q71" s="415">
        <f>'LEVEL 3'!J72</f>
        <v>0</v>
      </c>
      <c r="R71" s="416">
        <f>'LEVEL 3'!K72</f>
        <v>0</v>
      </c>
      <c r="S71" s="259"/>
      <c r="U71" s="429">
        <f t="shared" si="8"/>
        <v>0</v>
      </c>
      <c r="W71" s="432">
        <f t="shared" si="9"/>
        <v>0</v>
      </c>
      <c r="Y71" s="504"/>
    </row>
    <row r="72" spans="1:25" collapsed="1">
      <c r="A72" s="509" t="s">
        <v>208</v>
      </c>
      <c r="B72" s="290"/>
      <c r="C72" s="479"/>
      <c r="D72" s="305"/>
      <c r="E72" s="306"/>
      <c r="F72" s="307"/>
      <c r="G72" s="308"/>
      <c r="H72" s="307"/>
      <c r="I72" s="421"/>
      <c r="J72" s="480">
        <v>865299</v>
      </c>
      <c r="L72" s="479"/>
      <c r="M72" s="305"/>
      <c r="N72" s="306"/>
      <c r="O72" s="307"/>
      <c r="P72" s="308"/>
      <c r="Q72" s="307"/>
      <c r="R72" s="421"/>
      <c r="S72" s="480">
        <f>'LEVEL 3'!L73</f>
        <v>905486.76</v>
      </c>
      <c r="U72" s="491">
        <f>S72-J72</f>
        <v>40187.760000000009</v>
      </c>
      <c r="W72" s="497">
        <f>IF(J72=0,0,U72/J72)</f>
        <v>4.6443784171714068E-2</v>
      </c>
      <c r="Y72" s="504"/>
    </row>
    <row r="73" spans="1:25" hidden="1" outlineLevel="1">
      <c r="A73" s="511" t="s">
        <v>210</v>
      </c>
      <c r="B73" s="290"/>
      <c r="C73" s="482" t="s">
        <v>116</v>
      </c>
      <c r="D73" s="176" t="s">
        <v>15</v>
      </c>
      <c r="E73" s="167">
        <v>196333</v>
      </c>
      <c r="F73" s="413">
        <v>2.54</v>
      </c>
      <c r="G73" s="414">
        <v>0</v>
      </c>
      <c r="H73" s="415">
        <v>2.54</v>
      </c>
      <c r="I73" s="416">
        <v>498685.82</v>
      </c>
      <c r="J73" s="259"/>
      <c r="L73" s="482" t="s">
        <v>116</v>
      </c>
      <c r="M73" s="176" t="str">
        <f>'LEVEL 3'!F74</f>
        <v>SF</v>
      </c>
      <c r="N73" s="167">
        <f>'LEVEL 3'!G74</f>
        <v>196289</v>
      </c>
      <c r="O73" s="413">
        <f>'LEVEL 3'!H74</f>
        <v>2.6872636775366936</v>
      </c>
      <c r="P73" s="414">
        <f>'LEVEL 3'!I74</f>
        <v>0</v>
      </c>
      <c r="Q73" s="415">
        <f>'LEVEL 3'!J74</f>
        <v>2.6872636775366936</v>
      </c>
      <c r="R73" s="416">
        <f>'LEVEL 3'!K74</f>
        <v>527480.30000000005</v>
      </c>
      <c r="S73" s="259"/>
      <c r="U73" s="429">
        <f t="shared" ref="U73:U83" si="10">R73-I73</f>
        <v>28794.48000000004</v>
      </c>
      <c r="W73" s="432">
        <f t="shared" ref="W73:W83" si="11">IF(I73=0,0,U73/I73)</f>
        <v>5.774072340777614E-2</v>
      </c>
      <c r="Y73" s="504"/>
    </row>
    <row r="74" spans="1:25" hidden="1" outlineLevel="1">
      <c r="A74" s="512" t="s">
        <v>51</v>
      </c>
      <c r="B74" s="290"/>
      <c r="C74" s="483" t="s">
        <v>116</v>
      </c>
      <c r="D74" s="164" t="s">
        <v>121</v>
      </c>
      <c r="E74" s="161">
        <v>1</v>
      </c>
      <c r="F74" s="185">
        <v>298290</v>
      </c>
      <c r="G74" s="216">
        <v>0</v>
      </c>
      <c r="H74" s="185">
        <v>298290</v>
      </c>
      <c r="I74" s="217">
        <v>298290</v>
      </c>
      <c r="J74" s="259"/>
      <c r="L74" s="483" t="s">
        <v>116</v>
      </c>
      <c r="M74" s="164" t="str">
        <f>'LEVEL 3'!F76</f>
        <v>Squares</v>
      </c>
      <c r="N74" s="161">
        <f>'LEVEL 3'!G76</f>
        <v>503.63</v>
      </c>
      <c r="O74" s="185">
        <f>'LEVEL 3'!H76</f>
        <v>603</v>
      </c>
      <c r="P74" s="216">
        <f>'LEVEL 3'!I76</f>
        <v>0</v>
      </c>
      <c r="Q74" s="185">
        <f>'LEVEL 3'!J76</f>
        <v>603</v>
      </c>
      <c r="R74" s="217">
        <f>'LEVEL 3'!K76</f>
        <v>303688.89</v>
      </c>
      <c r="S74" s="259"/>
      <c r="U74" s="429">
        <f t="shared" si="10"/>
        <v>5398.890000000014</v>
      </c>
      <c r="W74" s="432">
        <f t="shared" si="11"/>
        <v>1.8099466961681632E-2</v>
      </c>
      <c r="Y74" s="504"/>
    </row>
    <row r="75" spans="1:25" hidden="1" outlineLevel="1">
      <c r="A75" s="512" t="s">
        <v>214</v>
      </c>
      <c r="B75" s="290"/>
      <c r="C75" s="483" t="s">
        <v>118</v>
      </c>
      <c r="D75" s="164"/>
      <c r="E75" s="161"/>
      <c r="F75" s="185"/>
      <c r="G75" s="216">
        <v>0</v>
      </c>
      <c r="H75" s="185">
        <v>0</v>
      </c>
      <c r="I75" s="217">
        <v>0</v>
      </c>
      <c r="J75" s="259"/>
      <c r="L75" s="483" t="s">
        <v>118</v>
      </c>
      <c r="M75" s="164">
        <f>'LEVEL 3'!F77</f>
        <v>0</v>
      </c>
      <c r="N75" s="161">
        <f>'LEVEL 3'!G77</f>
        <v>0</v>
      </c>
      <c r="O75" s="185">
        <f>'LEVEL 3'!H77</f>
        <v>0</v>
      </c>
      <c r="P75" s="216">
        <f>'LEVEL 3'!I77</f>
        <v>0</v>
      </c>
      <c r="Q75" s="185">
        <f>'LEVEL 3'!J77</f>
        <v>0</v>
      </c>
      <c r="R75" s="217">
        <f>'LEVEL 3'!K77</f>
        <v>0</v>
      </c>
      <c r="S75" s="259"/>
      <c r="U75" s="429">
        <f t="shared" si="10"/>
        <v>0</v>
      </c>
      <c r="W75" s="432">
        <f t="shared" si="11"/>
        <v>0</v>
      </c>
      <c r="Y75" s="504"/>
    </row>
    <row r="76" spans="1:25" hidden="1" outlineLevel="1">
      <c r="A76" s="512" t="s">
        <v>216</v>
      </c>
      <c r="B76" s="290"/>
      <c r="C76" s="483" t="s">
        <v>110</v>
      </c>
      <c r="D76" s="164" t="s">
        <v>121</v>
      </c>
      <c r="E76" s="161">
        <v>1</v>
      </c>
      <c r="F76" s="185">
        <v>6700</v>
      </c>
      <c r="G76" s="216">
        <v>0</v>
      </c>
      <c r="H76" s="185">
        <v>6700</v>
      </c>
      <c r="I76" s="217">
        <v>6700</v>
      </c>
      <c r="J76" s="259"/>
      <c r="L76" s="483" t="s">
        <v>110</v>
      </c>
      <c r="M76" s="164" t="str">
        <f>'LEVEL 3'!F78</f>
        <v>LS</v>
      </c>
      <c r="N76" s="161">
        <f>'LEVEL 3'!G78</f>
        <v>1</v>
      </c>
      <c r="O76" s="185">
        <f>'LEVEL 3'!H78</f>
        <v>7500</v>
      </c>
      <c r="P76" s="216">
        <f>'LEVEL 3'!I78</f>
        <v>0</v>
      </c>
      <c r="Q76" s="185">
        <f>'LEVEL 3'!J78</f>
        <v>7500</v>
      </c>
      <c r="R76" s="217">
        <f>'LEVEL 3'!K78</f>
        <v>7500</v>
      </c>
      <c r="S76" s="259"/>
      <c r="U76" s="429">
        <f t="shared" si="10"/>
        <v>800</v>
      </c>
      <c r="W76" s="432">
        <f t="shared" si="11"/>
        <v>0.11940298507462686</v>
      </c>
      <c r="Y76" s="504"/>
    </row>
    <row r="77" spans="1:25" hidden="1" outlineLevel="1">
      <c r="A77" s="512" t="s">
        <v>217</v>
      </c>
      <c r="B77" s="290"/>
      <c r="C77" s="483" t="s">
        <v>195</v>
      </c>
      <c r="D77" s="164" t="s">
        <v>121</v>
      </c>
      <c r="E77" s="161">
        <v>1</v>
      </c>
      <c r="F77" s="185">
        <v>7049</v>
      </c>
      <c r="G77" s="216">
        <v>0</v>
      </c>
      <c r="H77" s="185">
        <v>7049</v>
      </c>
      <c r="I77" s="217">
        <v>7049</v>
      </c>
      <c r="J77" s="259"/>
      <c r="L77" s="483" t="s">
        <v>110</v>
      </c>
      <c r="M77" s="164" t="str">
        <f>'LEVEL 3'!F79</f>
        <v>LS</v>
      </c>
      <c r="N77" s="161">
        <f>'LEVEL 3'!G79</f>
        <v>1</v>
      </c>
      <c r="O77" s="185">
        <f>'LEVEL 3'!H79</f>
        <v>7500</v>
      </c>
      <c r="P77" s="216">
        <f>'LEVEL 3'!I79</f>
        <v>0</v>
      </c>
      <c r="Q77" s="185">
        <f>'LEVEL 3'!J79</f>
        <v>7500</v>
      </c>
      <c r="R77" s="217">
        <f>'LEVEL 3'!K79</f>
        <v>7500</v>
      </c>
      <c r="S77" s="259"/>
      <c r="U77" s="429">
        <f t="shared" si="10"/>
        <v>451</v>
      </c>
      <c r="W77" s="432">
        <f t="shared" si="11"/>
        <v>6.3980706483189098E-2</v>
      </c>
      <c r="Y77" s="504"/>
    </row>
    <row r="78" spans="1:25" hidden="1" outlineLevel="1">
      <c r="A78" s="512" t="s">
        <v>219</v>
      </c>
      <c r="B78" s="290"/>
      <c r="C78" s="483" t="s">
        <v>195</v>
      </c>
      <c r="D78" s="164" t="s">
        <v>32</v>
      </c>
      <c r="E78" s="161">
        <v>4</v>
      </c>
      <c r="F78" s="185">
        <v>5800</v>
      </c>
      <c r="G78" s="216">
        <v>0</v>
      </c>
      <c r="H78" s="185">
        <v>5800</v>
      </c>
      <c r="I78" s="217">
        <v>23200</v>
      </c>
      <c r="J78" s="259"/>
      <c r="L78" s="483" t="s">
        <v>246</v>
      </c>
      <c r="M78" s="164" t="str">
        <f>'LEVEL 3'!F80</f>
        <v>Count</v>
      </c>
      <c r="N78" s="161">
        <f>'LEVEL 3'!G80</f>
        <v>4</v>
      </c>
      <c r="O78" s="185">
        <f>'LEVEL 3'!H80</f>
        <v>5800</v>
      </c>
      <c r="P78" s="216">
        <f>'LEVEL 3'!I80</f>
        <v>0</v>
      </c>
      <c r="Q78" s="185">
        <f>'LEVEL 3'!J80</f>
        <v>5800</v>
      </c>
      <c r="R78" s="217">
        <f>'LEVEL 3'!K80</f>
        <v>23200</v>
      </c>
      <c r="S78" s="259"/>
      <c r="U78" s="429">
        <f t="shared" si="10"/>
        <v>0</v>
      </c>
      <c r="W78" s="432">
        <f t="shared" si="11"/>
        <v>0</v>
      </c>
      <c r="Y78" s="504"/>
    </row>
    <row r="79" spans="1:25" hidden="1" outlineLevel="1">
      <c r="A79" s="512" t="s">
        <v>221</v>
      </c>
      <c r="B79" s="290"/>
      <c r="C79" s="483" t="s">
        <v>116</v>
      </c>
      <c r="D79" s="164" t="s">
        <v>15</v>
      </c>
      <c r="E79" s="161">
        <v>196333</v>
      </c>
      <c r="F79" s="185">
        <v>0.08</v>
      </c>
      <c r="G79" s="216">
        <v>0</v>
      </c>
      <c r="H79" s="185">
        <v>0.08</v>
      </c>
      <c r="I79" s="217">
        <v>15706.64</v>
      </c>
      <c r="J79" s="259"/>
      <c r="L79" s="483" t="s">
        <v>116</v>
      </c>
      <c r="M79" s="164" t="str">
        <f>'LEVEL 3'!F81</f>
        <v>SF</v>
      </c>
      <c r="N79" s="161">
        <f>'LEVEL 3'!G81</f>
        <v>196289</v>
      </c>
      <c r="O79" s="185">
        <f>'LEVEL 3'!H81</f>
        <v>0.08</v>
      </c>
      <c r="P79" s="216">
        <f>'LEVEL 3'!I81</f>
        <v>0</v>
      </c>
      <c r="Q79" s="185">
        <f>'LEVEL 3'!J81</f>
        <v>0.08</v>
      </c>
      <c r="R79" s="217">
        <f>'LEVEL 3'!K81</f>
        <v>15703.12</v>
      </c>
      <c r="S79" s="259"/>
      <c r="U79" s="429">
        <f t="shared" si="10"/>
        <v>-3.5199999999986176</v>
      </c>
      <c r="W79" s="432">
        <f t="shared" si="11"/>
        <v>-2.2410903923427401E-4</v>
      </c>
      <c r="Y79" s="504"/>
    </row>
    <row r="80" spans="1:25" hidden="1" outlineLevel="1">
      <c r="A80" s="512" t="s">
        <v>223</v>
      </c>
      <c r="B80" s="290"/>
      <c r="C80" s="483" t="s">
        <v>116</v>
      </c>
      <c r="D80" s="164" t="s">
        <v>15</v>
      </c>
      <c r="E80" s="161">
        <v>196333</v>
      </c>
      <c r="F80" s="185">
        <v>0.05</v>
      </c>
      <c r="G80" s="216">
        <v>0</v>
      </c>
      <c r="H80" s="185">
        <v>0.05</v>
      </c>
      <c r="I80" s="217">
        <v>9816.65</v>
      </c>
      <c r="J80" s="259"/>
      <c r="L80" s="483" t="s">
        <v>116</v>
      </c>
      <c r="M80" s="164" t="str">
        <f>'LEVEL 3'!F82</f>
        <v>SF</v>
      </c>
      <c r="N80" s="161">
        <f>'LEVEL 3'!G82</f>
        <v>196289</v>
      </c>
      <c r="O80" s="185">
        <f>'LEVEL 3'!H82</f>
        <v>0.05</v>
      </c>
      <c r="P80" s="216">
        <f>'LEVEL 3'!I82</f>
        <v>0</v>
      </c>
      <c r="Q80" s="185">
        <f>'LEVEL 3'!J82</f>
        <v>0.05</v>
      </c>
      <c r="R80" s="217">
        <f>'LEVEL 3'!K82</f>
        <v>9814.4500000000007</v>
      </c>
      <c r="S80" s="259"/>
      <c r="U80" s="429">
        <f t="shared" si="10"/>
        <v>-2.1999999999989086</v>
      </c>
      <c r="W80" s="432">
        <f t="shared" si="11"/>
        <v>-2.2410903923425086E-4</v>
      </c>
      <c r="Y80" s="504"/>
    </row>
    <row r="81" spans="1:25" hidden="1" outlineLevel="1">
      <c r="A81" s="512" t="s">
        <v>225</v>
      </c>
      <c r="B81" s="290"/>
      <c r="C81" s="483" t="s">
        <v>116</v>
      </c>
      <c r="D81" s="164" t="s">
        <v>32</v>
      </c>
      <c r="E81" s="161">
        <v>2</v>
      </c>
      <c r="F81" s="185">
        <v>1550</v>
      </c>
      <c r="G81" s="216">
        <v>0</v>
      </c>
      <c r="H81" s="185">
        <v>1550</v>
      </c>
      <c r="I81" s="217">
        <v>3100</v>
      </c>
      <c r="J81" s="259"/>
      <c r="L81" s="483" t="s">
        <v>116</v>
      </c>
      <c r="M81" s="164" t="str">
        <f>'LEVEL 3'!F83</f>
        <v>Count</v>
      </c>
      <c r="N81" s="161">
        <f>'LEVEL 3'!G83</f>
        <v>2</v>
      </c>
      <c r="O81" s="185">
        <f>'LEVEL 3'!H83</f>
        <v>1550</v>
      </c>
      <c r="P81" s="216">
        <f>'LEVEL 3'!I83</f>
        <v>0</v>
      </c>
      <c r="Q81" s="185">
        <f>'LEVEL 3'!J83</f>
        <v>1550</v>
      </c>
      <c r="R81" s="217">
        <f>'LEVEL 3'!K83</f>
        <v>3100</v>
      </c>
      <c r="S81" s="259"/>
      <c r="U81" s="429">
        <f t="shared" si="10"/>
        <v>0</v>
      </c>
      <c r="W81" s="432">
        <f t="shared" si="11"/>
        <v>0</v>
      </c>
      <c r="Y81" s="504"/>
    </row>
    <row r="82" spans="1:25" hidden="1" outlineLevel="1">
      <c r="A82" s="512" t="s">
        <v>228</v>
      </c>
      <c r="B82" s="290"/>
      <c r="C82" s="483" t="s">
        <v>116</v>
      </c>
      <c r="D82" s="164" t="s">
        <v>32</v>
      </c>
      <c r="E82" s="161">
        <v>2</v>
      </c>
      <c r="F82" s="185">
        <v>2500</v>
      </c>
      <c r="G82" s="216">
        <v>0</v>
      </c>
      <c r="H82" s="185">
        <v>2500</v>
      </c>
      <c r="I82" s="217">
        <v>5000</v>
      </c>
      <c r="J82" s="259"/>
      <c r="L82" s="483" t="s">
        <v>116</v>
      </c>
      <c r="M82" s="164" t="str">
        <f>'LEVEL 3'!F84</f>
        <v>Count</v>
      </c>
      <c r="N82" s="161">
        <f>'LEVEL 3'!G84</f>
        <v>2</v>
      </c>
      <c r="O82" s="185">
        <f>'LEVEL 3'!H84</f>
        <v>2500</v>
      </c>
      <c r="P82" s="216">
        <f>'LEVEL 3'!I84</f>
        <v>0</v>
      </c>
      <c r="Q82" s="185">
        <f>'LEVEL 3'!J84</f>
        <v>2500</v>
      </c>
      <c r="R82" s="217">
        <f>'LEVEL 3'!K84</f>
        <v>5000</v>
      </c>
      <c r="S82" s="259"/>
      <c r="U82" s="429">
        <f t="shared" si="10"/>
        <v>0</v>
      </c>
      <c r="W82" s="432">
        <f t="shared" si="11"/>
        <v>0</v>
      </c>
      <c r="Y82" s="504"/>
    </row>
    <row r="83" spans="1:25" hidden="1" outlineLevel="1">
      <c r="A83" s="512" t="s">
        <v>230</v>
      </c>
      <c r="B83" s="290"/>
      <c r="C83" s="483" t="s">
        <v>118</v>
      </c>
      <c r="D83" s="164"/>
      <c r="E83" s="161"/>
      <c r="F83" s="185"/>
      <c r="G83" s="216">
        <v>0</v>
      </c>
      <c r="H83" s="185">
        <v>0</v>
      </c>
      <c r="I83" s="217">
        <v>0</v>
      </c>
      <c r="J83" s="486"/>
      <c r="L83" s="483" t="s">
        <v>118</v>
      </c>
      <c r="M83" s="164">
        <f>'LEVEL 3'!F85</f>
        <v>0</v>
      </c>
      <c r="N83" s="161">
        <f>'LEVEL 3'!G85</f>
        <v>0</v>
      </c>
      <c r="O83" s="185">
        <f>'LEVEL 3'!H85</f>
        <v>0</v>
      </c>
      <c r="P83" s="216">
        <f>'LEVEL 3'!I85</f>
        <v>0</v>
      </c>
      <c r="Q83" s="185">
        <f>'LEVEL 3'!J85</f>
        <v>0</v>
      </c>
      <c r="R83" s="217">
        <f>'LEVEL 3'!K85</f>
        <v>0</v>
      </c>
      <c r="S83" s="486"/>
      <c r="U83" s="493">
        <f t="shared" si="10"/>
        <v>0</v>
      </c>
      <c r="W83" s="499">
        <f t="shared" si="11"/>
        <v>0</v>
      </c>
      <c r="Y83" s="504"/>
    </row>
    <row r="84" spans="1:25" collapsed="1">
      <c r="A84" s="509" t="s">
        <v>232</v>
      </c>
      <c r="B84" s="290"/>
      <c r="C84" s="479"/>
      <c r="D84" s="305"/>
      <c r="E84" s="306"/>
      <c r="F84" s="307"/>
      <c r="G84" s="308"/>
      <c r="H84" s="307"/>
      <c r="I84" s="421"/>
      <c r="J84" s="480">
        <v>292564</v>
      </c>
      <c r="L84" s="479"/>
      <c r="M84" s="305"/>
      <c r="N84" s="306"/>
      <c r="O84" s="307"/>
      <c r="P84" s="308"/>
      <c r="Q84" s="307"/>
      <c r="R84" s="421"/>
      <c r="S84" s="480">
        <f>'LEVEL 3'!L86</f>
        <v>279109.57894736843</v>
      </c>
      <c r="U84" s="491">
        <f>S84-J84</f>
        <v>-13454.421052631573</v>
      </c>
      <c r="W84" s="497">
        <f>IF(J84=0,0,U84/J84)</f>
        <v>-4.5987958370242318E-2</v>
      </c>
      <c r="Y84" s="504"/>
    </row>
    <row r="85" spans="1:25" hidden="1" outlineLevel="1">
      <c r="A85" s="511" t="s">
        <v>184</v>
      </c>
      <c r="B85" s="290"/>
      <c r="C85" s="482" t="s">
        <v>274</v>
      </c>
      <c r="D85" s="176" t="s">
        <v>235</v>
      </c>
      <c r="E85" s="167">
        <v>194</v>
      </c>
      <c r="F85" s="413">
        <v>79</v>
      </c>
      <c r="G85" s="414">
        <v>0</v>
      </c>
      <c r="H85" s="415">
        <v>79</v>
      </c>
      <c r="I85" s="416">
        <v>15326</v>
      </c>
      <c r="J85" s="259"/>
      <c r="L85" s="482"/>
      <c r="M85" s="176" t="e">
        <f>'LEVEL 3'!#REF!</f>
        <v>#REF!</v>
      </c>
      <c r="N85" s="167" t="e">
        <f>'LEVEL 3'!#REF!</f>
        <v>#REF!</v>
      </c>
      <c r="O85" s="413" t="e">
        <f>'LEVEL 3'!#REF!</f>
        <v>#REF!</v>
      </c>
      <c r="P85" s="414" t="e">
        <f>'LEVEL 3'!#REF!</f>
        <v>#REF!</v>
      </c>
      <c r="Q85" s="415" t="e">
        <f>'LEVEL 3'!#REF!</f>
        <v>#REF!</v>
      </c>
      <c r="R85" s="416" t="e">
        <f>'LEVEL 3'!#REF!</f>
        <v>#REF!</v>
      </c>
      <c r="S85" s="259"/>
      <c r="U85" s="429" t="e">
        <f t="shared" ref="U85:U99" si="12">R85-I85</f>
        <v>#REF!</v>
      </c>
      <c r="W85" s="432" t="e">
        <f t="shared" ref="W85:W99" si="13">IF(I85=0,0,U85/I85)</f>
        <v>#REF!</v>
      </c>
      <c r="Y85" s="504"/>
    </row>
    <row r="86" spans="1:25" hidden="1" outlineLevel="1">
      <c r="A86" s="512" t="s">
        <v>236</v>
      </c>
      <c r="B86" s="290"/>
      <c r="C86" s="483" t="s">
        <v>32</v>
      </c>
      <c r="D86" s="164" t="s">
        <v>32</v>
      </c>
      <c r="E86" s="161">
        <v>1</v>
      </c>
      <c r="F86" s="185">
        <v>7954</v>
      </c>
      <c r="G86" s="216">
        <v>0</v>
      </c>
      <c r="H86" s="185">
        <v>7954</v>
      </c>
      <c r="I86" s="217">
        <v>7954</v>
      </c>
      <c r="J86" s="259"/>
      <c r="L86" s="483" t="s">
        <v>110</v>
      </c>
      <c r="M86" s="164" t="str">
        <f>'LEVEL 3'!F87</f>
        <v>Count</v>
      </c>
      <c r="N86" s="161">
        <f>'LEVEL 3'!G87</f>
        <v>1</v>
      </c>
      <c r="O86" s="185">
        <f>'LEVEL 3'!H87</f>
        <v>8000</v>
      </c>
      <c r="P86" s="216">
        <f>'LEVEL 3'!I87</f>
        <v>0</v>
      </c>
      <c r="Q86" s="185">
        <f>'LEVEL 3'!J87</f>
        <v>8000</v>
      </c>
      <c r="R86" s="217">
        <f>'LEVEL 3'!K87</f>
        <v>8000</v>
      </c>
      <c r="S86" s="259"/>
      <c r="U86" s="429">
        <f t="shared" si="12"/>
        <v>46</v>
      </c>
      <c r="W86" s="432">
        <f t="shared" si="13"/>
        <v>5.7832537088257484E-3</v>
      </c>
      <c r="Y86" s="504"/>
    </row>
    <row r="87" spans="1:25" hidden="1" outlineLevel="1">
      <c r="A87" s="512" t="s">
        <v>238</v>
      </c>
      <c r="B87" s="290"/>
      <c r="C87" s="483" t="s">
        <v>240</v>
      </c>
      <c r="D87" s="164"/>
      <c r="E87" s="161"/>
      <c r="F87" s="185"/>
      <c r="G87" s="216">
        <v>0</v>
      </c>
      <c r="H87" s="185">
        <v>0</v>
      </c>
      <c r="I87" s="217">
        <v>0</v>
      </c>
      <c r="J87" s="259"/>
      <c r="L87" s="483" t="s">
        <v>240</v>
      </c>
      <c r="M87" s="164">
        <f>'LEVEL 3'!F88</f>
        <v>0</v>
      </c>
      <c r="N87" s="161">
        <f>'LEVEL 3'!G88</f>
        <v>0</v>
      </c>
      <c r="O87" s="185">
        <f>'LEVEL 3'!H88</f>
        <v>0</v>
      </c>
      <c r="P87" s="216">
        <f>'LEVEL 3'!I88</f>
        <v>0</v>
      </c>
      <c r="Q87" s="185">
        <f>'LEVEL 3'!J88</f>
        <v>0</v>
      </c>
      <c r="R87" s="217">
        <f>'LEVEL 3'!K88</f>
        <v>0</v>
      </c>
      <c r="S87" s="259"/>
      <c r="U87" s="429">
        <f t="shared" si="12"/>
        <v>0</v>
      </c>
      <c r="W87" s="432">
        <f t="shared" si="13"/>
        <v>0</v>
      </c>
      <c r="Y87" s="504"/>
    </row>
    <row r="88" spans="1:25" hidden="1" outlineLevel="1">
      <c r="A88" s="512" t="s">
        <v>241</v>
      </c>
      <c r="B88" s="290"/>
      <c r="C88" s="483" t="s">
        <v>118</v>
      </c>
      <c r="D88" s="164"/>
      <c r="E88" s="161"/>
      <c r="F88" s="185"/>
      <c r="G88" s="216">
        <v>0</v>
      </c>
      <c r="H88" s="185">
        <v>0</v>
      </c>
      <c r="I88" s="217">
        <v>0</v>
      </c>
      <c r="J88" s="259"/>
      <c r="L88" s="483" t="s">
        <v>118</v>
      </c>
      <c r="M88" s="164">
        <f>'LEVEL 3'!F89</f>
        <v>0</v>
      </c>
      <c r="N88" s="161">
        <f>'LEVEL 3'!G89</f>
        <v>0</v>
      </c>
      <c r="O88" s="185">
        <f>'LEVEL 3'!H89</f>
        <v>0</v>
      </c>
      <c r="P88" s="216">
        <f>'LEVEL 3'!I89</f>
        <v>0</v>
      </c>
      <c r="Q88" s="185">
        <f>'LEVEL 3'!J89</f>
        <v>0</v>
      </c>
      <c r="R88" s="217">
        <f>'LEVEL 3'!K89</f>
        <v>0</v>
      </c>
      <c r="S88" s="259"/>
      <c r="U88" s="429">
        <f t="shared" si="12"/>
        <v>0</v>
      </c>
      <c r="W88" s="432">
        <f t="shared" si="13"/>
        <v>0</v>
      </c>
      <c r="Y88" s="504"/>
    </row>
    <row r="89" spans="1:25" hidden="1" outlineLevel="1">
      <c r="A89" s="512" t="s">
        <v>242</v>
      </c>
      <c r="B89" s="290"/>
      <c r="C89" s="483" t="s">
        <v>118</v>
      </c>
      <c r="D89" s="164"/>
      <c r="E89" s="161"/>
      <c r="F89" s="185"/>
      <c r="G89" s="216">
        <v>0</v>
      </c>
      <c r="H89" s="185">
        <v>0</v>
      </c>
      <c r="I89" s="217">
        <v>0</v>
      </c>
      <c r="J89" s="259"/>
      <c r="L89" s="483" t="s">
        <v>118</v>
      </c>
      <c r="M89" s="164">
        <f>'LEVEL 3'!F90</f>
        <v>0</v>
      </c>
      <c r="N89" s="161">
        <f>'LEVEL 3'!G90</f>
        <v>0</v>
      </c>
      <c r="O89" s="185">
        <f>'LEVEL 3'!H90</f>
        <v>0</v>
      </c>
      <c r="P89" s="216">
        <f>'LEVEL 3'!I90</f>
        <v>0</v>
      </c>
      <c r="Q89" s="185">
        <f>'LEVEL 3'!J90</f>
        <v>0</v>
      </c>
      <c r="R89" s="217">
        <f>'LEVEL 3'!K90</f>
        <v>0</v>
      </c>
      <c r="S89" s="259"/>
      <c r="U89" s="429">
        <f t="shared" si="12"/>
        <v>0</v>
      </c>
      <c r="W89" s="432">
        <f t="shared" si="13"/>
        <v>0</v>
      </c>
      <c r="Y89" s="504"/>
    </row>
    <row r="90" spans="1:25" hidden="1" outlineLevel="1">
      <c r="A90" s="512" t="s">
        <v>244</v>
      </c>
      <c r="B90" s="290"/>
      <c r="C90" s="483" t="s">
        <v>246</v>
      </c>
      <c r="D90" s="164" t="s">
        <v>235</v>
      </c>
      <c r="E90" s="167">
        <v>194</v>
      </c>
      <c r="F90" s="185">
        <v>1131</v>
      </c>
      <c r="G90" s="216">
        <v>0</v>
      </c>
      <c r="H90" s="185">
        <v>1357.2</v>
      </c>
      <c r="I90" s="217">
        <v>219414</v>
      </c>
      <c r="J90" s="259"/>
      <c r="L90" s="483" t="s">
        <v>116</v>
      </c>
      <c r="M90" s="164" t="str">
        <f>'LEVEL 3'!F91</f>
        <v>Per Unit</v>
      </c>
      <c r="N90" s="167">
        <f>'LEVEL 3'!G91</f>
        <v>194</v>
      </c>
      <c r="O90" s="185">
        <f>'LEVEL 3'!H91</f>
        <v>1157.8947368421052</v>
      </c>
      <c r="P90" s="216">
        <f>'LEVEL 3'!I91</f>
        <v>0</v>
      </c>
      <c r="Q90" s="185">
        <f>'LEVEL 3'!J91</f>
        <v>1157.8947368421052</v>
      </c>
      <c r="R90" s="217">
        <f>'LEVEL 3'!K91</f>
        <v>224631.5789473684</v>
      </c>
      <c r="S90" s="259"/>
      <c r="U90" s="429">
        <f t="shared" si="12"/>
        <v>5217.5789473683981</v>
      </c>
      <c r="W90" s="432">
        <f t="shared" si="13"/>
        <v>2.3779608171622585E-2</v>
      </c>
      <c r="Y90" s="504"/>
    </row>
    <row r="91" spans="1:25" hidden="1" outlineLevel="1">
      <c r="A91" s="512" t="s">
        <v>248</v>
      </c>
      <c r="B91" s="290"/>
      <c r="C91" s="483" t="s">
        <v>110</v>
      </c>
      <c r="D91" s="164" t="s">
        <v>235</v>
      </c>
      <c r="E91" s="167">
        <v>194</v>
      </c>
      <c r="F91" s="185">
        <v>75</v>
      </c>
      <c r="G91" s="216">
        <v>0</v>
      </c>
      <c r="H91" s="185">
        <v>75</v>
      </c>
      <c r="I91" s="217">
        <v>14550</v>
      </c>
      <c r="J91" s="259"/>
      <c r="L91" s="483" t="s">
        <v>110</v>
      </c>
      <c r="M91" s="164" t="str">
        <f>'LEVEL 3'!F92</f>
        <v>Per Unit</v>
      </c>
      <c r="N91" s="167">
        <f>'LEVEL 3'!G92</f>
        <v>194</v>
      </c>
      <c r="O91" s="185">
        <f>'LEVEL 3'!H92</f>
        <v>75</v>
      </c>
      <c r="P91" s="216">
        <f>'LEVEL 3'!I92</f>
        <v>0</v>
      </c>
      <c r="Q91" s="185">
        <f>'LEVEL 3'!J92</f>
        <v>75</v>
      </c>
      <c r="R91" s="217">
        <f>'LEVEL 3'!K92</f>
        <v>14550</v>
      </c>
      <c r="S91" s="259"/>
      <c r="U91" s="429">
        <f t="shared" si="12"/>
        <v>0</v>
      </c>
      <c r="W91" s="432">
        <f t="shared" si="13"/>
        <v>0</v>
      </c>
      <c r="Y91" s="504"/>
    </row>
    <row r="92" spans="1:25" hidden="1" outlineLevel="1">
      <c r="A92" s="512" t="s">
        <v>249</v>
      </c>
      <c r="B92" s="290"/>
      <c r="C92" s="483" t="s">
        <v>118</v>
      </c>
      <c r="D92" s="164"/>
      <c r="E92" s="161"/>
      <c r="F92" s="185"/>
      <c r="G92" s="216">
        <v>0</v>
      </c>
      <c r="H92" s="185">
        <v>0</v>
      </c>
      <c r="I92" s="217">
        <v>0</v>
      </c>
      <c r="J92" s="259"/>
      <c r="L92" s="483" t="s">
        <v>118</v>
      </c>
      <c r="M92" s="164">
        <f>'LEVEL 3'!F93</f>
        <v>0</v>
      </c>
      <c r="N92" s="161">
        <f>'LEVEL 3'!G93</f>
        <v>0</v>
      </c>
      <c r="O92" s="185">
        <f>'LEVEL 3'!H93</f>
        <v>0</v>
      </c>
      <c r="P92" s="216">
        <f>'LEVEL 3'!I93</f>
        <v>0</v>
      </c>
      <c r="Q92" s="185">
        <f>'LEVEL 3'!J93</f>
        <v>0</v>
      </c>
      <c r="R92" s="217">
        <f>'LEVEL 3'!K93</f>
        <v>0</v>
      </c>
      <c r="S92" s="259"/>
      <c r="U92" s="429">
        <f t="shared" si="12"/>
        <v>0</v>
      </c>
      <c r="W92" s="432">
        <f t="shared" si="13"/>
        <v>0</v>
      </c>
      <c r="Y92" s="504"/>
    </row>
    <row r="93" spans="1:25" hidden="1" outlineLevel="1">
      <c r="A93" s="512" t="s">
        <v>251</v>
      </c>
      <c r="B93" s="290"/>
      <c r="C93" s="483" t="s">
        <v>118</v>
      </c>
      <c r="D93" s="164"/>
      <c r="E93" s="161"/>
      <c r="F93" s="185"/>
      <c r="G93" s="216">
        <v>0</v>
      </c>
      <c r="H93" s="185">
        <v>0</v>
      </c>
      <c r="I93" s="217">
        <v>0</v>
      </c>
      <c r="J93" s="259"/>
      <c r="L93" s="483" t="s">
        <v>118</v>
      </c>
      <c r="M93" s="164">
        <f>'LEVEL 3'!F94</f>
        <v>0</v>
      </c>
      <c r="N93" s="161">
        <f>'LEVEL 3'!G94</f>
        <v>0</v>
      </c>
      <c r="O93" s="185">
        <f>'LEVEL 3'!H94</f>
        <v>0</v>
      </c>
      <c r="P93" s="216">
        <f>'LEVEL 3'!I94</f>
        <v>0</v>
      </c>
      <c r="Q93" s="185">
        <f>'LEVEL 3'!J94</f>
        <v>0</v>
      </c>
      <c r="R93" s="217">
        <f>'LEVEL 3'!K94</f>
        <v>0</v>
      </c>
      <c r="S93" s="259"/>
      <c r="U93" s="429">
        <f t="shared" si="12"/>
        <v>0</v>
      </c>
      <c r="W93" s="432">
        <f t="shared" si="13"/>
        <v>0</v>
      </c>
      <c r="Y93" s="504"/>
    </row>
    <row r="94" spans="1:25" hidden="1" outlineLevel="1">
      <c r="A94" s="512" t="s">
        <v>253</v>
      </c>
      <c r="B94" s="290"/>
      <c r="C94" s="483" t="s">
        <v>118</v>
      </c>
      <c r="D94" s="164"/>
      <c r="E94" s="161"/>
      <c r="F94" s="185"/>
      <c r="G94" s="216">
        <v>0</v>
      </c>
      <c r="H94" s="185">
        <v>0</v>
      </c>
      <c r="I94" s="217">
        <v>0</v>
      </c>
      <c r="J94" s="259"/>
      <c r="L94" s="483" t="s">
        <v>118</v>
      </c>
      <c r="M94" s="164">
        <f>'LEVEL 3'!F95</f>
        <v>0</v>
      </c>
      <c r="N94" s="161">
        <f>'LEVEL 3'!G95</f>
        <v>0</v>
      </c>
      <c r="O94" s="185">
        <f>'LEVEL 3'!H95</f>
        <v>0</v>
      </c>
      <c r="P94" s="216">
        <f>'LEVEL 3'!I95</f>
        <v>0</v>
      </c>
      <c r="Q94" s="185">
        <f>'LEVEL 3'!J95</f>
        <v>0</v>
      </c>
      <c r="R94" s="217">
        <f>'LEVEL 3'!K95</f>
        <v>0</v>
      </c>
      <c r="S94" s="259"/>
      <c r="U94" s="429">
        <f t="shared" si="12"/>
        <v>0</v>
      </c>
      <c r="W94" s="432">
        <f t="shared" si="13"/>
        <v>0</v>
      </c>
      <c r="Y94" s="504"/>
    </row>
    <row r="95" spans="1:25" hidden="1" outlineLevel="1">
      <c r="A95" s="512" t="s">
        <v>255</v>
      </c>
      <c r="B95" s="290"/>
      <c r="C95" s="483" t="s">
        <v>118</v>
      </c>
      <c r="D95" s="164"/>
      <c r="E95" s="161"/>
      <c r="F95" s="185"/>
      <c r="G95" s="216">
        <v>0</v>
      </c>
      <c r="H95" s="185">
        <v>0</v>
      </c>
      <c r="I95" s="217">
        <v>0</v>
      </c>
      <c r="J95" s="259"/>
      <c r="L95" s="483" t="s">
        <v>118</v>
      </c>
      <c r="M95" s="164">
        <f>'LEVEL 3'!F96</f>
        <v>0</v>
      </c>
      <c r="N95" s="161">
        <f>'LEVEL 3'!G96</f>
        <v>0</v>
      </c>
      <c r="O95" s="185">
        <f>'LEVEL 3'!H96</f>
        <v>0</v>
      </c>
      <c r="P95" s="216">
        <f>'LEVEL 3'!I96</f>
        <v>0</v>
      </c>
      <c r="Q95" s="185">
        <f>'LEVEL 3'!J96</f>
        <v>0</v>
      </c>
      <c r="R95" s="217">
        <f>'LEVEL 3'!K96</f>
        <v>0</v>
      </c>
      <c r="S95" s="259"/>
      <c r="U95" s="429">
        <f t="shared" si="12"/>
        <v>0</v>
      </c>
      <c r="W95" s="432">
        <f t="shared" si="13"/>
        <v>0</v>
      </c>
      <c r="Y95" s="504"/>
    </row>
    <row r="96" spans="1:25" hidden="1" outlineLevel="1">
      <c r="A96" s="512" t="s">
        <v>257</v>
      </c>
      <c r="B96" s="290"/>
      <c r="C96" s="483" t="s">
        <v>118</v>
      </c>
      <c r="D96" s="164"/>
      <c r="E96" s="161"/>
      <c r="F96" s="185"/>
      <c r="G96" s="216">
        <v>0</v>
      </c>
      <c r="H96" s="185">
        <v>0</v>
      </c>
      <c r="I96" s="217">
        <v>0</v>
      </c>
      <c r="J96" s="259"/>
      <c r="L96" s="483" t="s">
        <v>118</v>
      </c>
      <c r="M96" s="164">
        <f>'LEVEL 3'!F97</f>
        <v>0</v>
      </c>
      <c r="N96" s="161">
        <f>'LEVEL 3'!G97</f>
        <v>0</v>
      </c>
      <c r="O96" s="185">
        <f>'LEVEL 3'!H97</f>
        <v>0</v>
      </c>
      <c r="P96" s="216">
        <f>'LEVEL 3'!I97</f>
        <v>0</v>
      </c>
      <c r="Q96" s="185">
        <f>'LEVEL 3'!J97</f>
        <v>0</v>
      </c>
      <c r="R96" s="217">
        <f>'LEVEL 3'!K97</f>
        <v>0</v>
      </c>
      <c r="S96" s="259"/>
      <c r="U96" s="429">
        <f t="shared" si="12"/>
        <v>0</v>
      </c>
      <c r="W96" s="432">
        <f t="shared" si="13"/>
        <v>0</v>
      </c>
      <c r="Y96" s="504"/>
    </row>
    <row r="97" spans="1:25" hidden="1" outlineLevel="1">
      <c r="A97" s="512" t="s">
        <v>259</v>
      </c>
      <c r="B97" s="290"/>
      <c r="C97" s="483" t="s">
        <v>118</v>
      </c>
      <c r="D97" s="164"/>
      <c r="E97" s="161"/>
      <c r="F97" s="185"/>
      <c r="G97" s="216">
        <v>0</v>
      </c>
      <c r="H97" s="185">
        <v>0</v>
      </c>
      <c r="I97" s="217">
        <v>0</v>
      </c>
      <c r="J97" s="259"/>
      <c r="L97" s="483" t="s">
        <v>118</v>
      </c>
      <c r="M97" s="164">
        <f>'LEVEL 3'!F98</f>
        <v>0</v>
      </c>
      <c r="N97" s="161">
        <f>'LEVEL 3'!G98</f>
        <v>0</v>
      </c>
      <c r="O97" s="185">
        <f>'LEVEL 3'!H98</f>
        <v>0</v>
      </c>
      <c r="P97" s="216">
        <f>'LEVEL 3'!I98</f>
        <v>0</v>
      </c>
      <c r="Q97" s="185">
        <f>'LEVEL 3'!J98</f>
        <v>0</v>
      </c>
      <c r="R97" s="217">
        <f>'LEVEL 3'!K98</f>
        <v>0</v>
      </c>
      <c r="S97" s="259"/>
      <c r="U97" s="429">
        <f t="shared" si="12"/>
        <v>0</v>
      </c>
      <c r="W97" s="432">
        <f t="shared" si="13"/>
        <v>0</v>
      </c>
      <c r="Y97" s="504"/>
    </row>
    <row r="98" spans="1:25" hidden="1" outlineLevel="1">
      <c r="A98" s="512" t="s">
        <v>260</v>
      </c>
      <c r="B98" s="290"/>
      <c r="C98" s="483" t="s">
        <v>127</v>
      </c>
      <c r="D98" s="164" t="s">
        <v>187</v>
      </c>
      <c r="E98" s="167">
        <v>194</v>
      </c>
      <c r="F98" s="185">
        <v>180</v>
      </c>
      <c r="G98" s="216">
        <v>0</v>
      </c>
      <c r="H98" s="185">
        <v>180</v>
      </c>
      <c r="I98" s="217">
        <v>34920</v>
      </c>
      <c r="J98" s="259"/>
      <c r="L98" s="483" t="s">
        <v>195</v>
      </c>
      <c r="M98" s="164" t="str">
        <f>'LEVEL 3'!F99</f>
        <v xml:space="preserve">Unit </v>
      </c>
      <c r="N98" s="167">
        <f>'LEVEL 3'!G99</f>
        <v>194</v>
      </c>
      <c r="O98" s="185">
        <f>'LEVEL 3'!H99</f>
        <v>162</v>
      </c>
      <c r="P98" s="216">
        <f>'LEVEL 3'!I99</f>
        <v>0</v>
      </c>
      <c r="Q98" s="185">
        <f>'LEVEL 3'!J99</f>
        <v>162</v>
      </c>
      <c r="R98" s="217">
        <f>'LEVEL 3'!K99</f>
        <v>31428</v>
      </c>
      <c r="S98" s="259"/>
      <c r="U98" s="429">
        <f t="shared" si="12"/>
        <v>-3492</v>
      </c>
      <c r="W98" s="432">
        <f t="shared" si="13"/>
        <v>-0.1</v>
      </c>
      <c r="Y98" s="504"/>
    </row>
    <row r="99" spans="1:25" hidden="1" outlineLevel="1">
      <c r="A99" s="512" t="s">
        <v>261</v>
      </c>
      <c r="B99" s="290"/>
      <c r="C99" s="483" t="s">
        <v>127</v>
      </c>
      <c r="D99" s="164" t="s">
        <v>32</v>
      </c>
      <c r="E99" s="161">
        <v>2</v>
      </c>
      <c r="F99" s="185">
        <v>200</v>
      </c>
      <c r="G99" s="216">
        <v>0</v>
      </c>
      <c r="H99" s="185">
        <v>200</v>
      </c>
      <c r="I99" s="217">
        <v>400</v>
      </c>
      <c r="J99" s="259"/>
      <c r="L99" s="483" t="s">
        <v>110</v>
      </c>
      <c r="M99" s="164" t="str">
        <f>'LEVEL 3'!F100</f>
        <v>Count</v>
      </c>
      <c r="N99" s="161">
        <f>'LEVEL 3'!G100</f>
        <v>2</v>
      </c>
      <c r="O99" s="185">
        <f>'LEVEL 3'!H100</f>
        <v>250</v>
      </c>
      <c r="P99" s="216">
        <f>'LEVEL 3'!I100</f>
        <v>0</v>
      </c>
      <c r="Q99" s="185">
        <f>'LEVEL 3'!J100</f>
        <v>250</v>
      </c>
      <c r="R99" s="217">
        <f>'LEVEL 3'!K100</f>
        <v>500</v>
      </c>
      <c r="S99" s="259"/>
      <c r="U99" s="429">
        <f t="shared" si="12"/>
        <v>100</v>
      </c>
      <c r="W99" s="432">
        <f t="shared" si="13"/>
        <v>0.25</v>
      </c>
      <c r="Y99" s="504"/>
    </row>
    <row r="100" spans="1:25" collapsed="1">
      <c r="A100" s="509" t="s">
        <v>262</v>
      </c>
      <c r="B100" s="290"/>
      <c r="C100" s="479"/>
      <c r="D100" s="305"/>
      <c r="E100" s="306"/>
      <c r="F100" s="307"/>
      <c r="G100" s="308"/>
      <c r="H100" s="307"/>
      <c r="I100" s="421"/>
      <c r="J100" s="480">
        <v>3322642</v>
      </c>
      <c r="L100" s="479"/>
      <c r="M100" s="305"/>
      <c r="N100" s="306"/>
      <c r="O100" s="307"/>
      <c r="P100" s="308"/>
      <c r="Q100" s="307"/>
      <c r="R100" s="421"/>
      <c r="S100" s="480">
        <f>'LEVEL 3'!L101</f>
        <v>3261602.3529548887</v>
      </c>
      <c r="U100" s="491">
        <f>S100-J100</f>
        <v>-61039.647045111284</v>
      </c>
      <c r="W100" s="497">
        <f>IF(J100=0,0,U100/J100)</f>
        <v>-1.8370816670923707E-2</v>
      </c>
      <c r="Y100" s="504"/>
    </row>
    <row r="101" spans="1:25" hidden="1" outlineLevel="1">
      <c r="A101" s="511" t="s">
        <v>264</v>
      </c>
      <c r="B101" s="290"/>
      <c r="C101" s="482" t="s">
        <v>266</v>
      </c>
      <c r="D101" s="176" t="s">
        <v>15</v>
      </c>
      <c r="E101" s="167">
        <v>196333</v>
      </c>
      <c r="F101" s="413">
        <v>0.05</v>
      </c>
      <c r="G101" s="414">
        <v>0</v>
      </c>
      <c r="H101" s="415">
        <v>0.05</v>
      </c>
      <c r="I101" s="416">
        <v>9816.65</v>
      </c>
      <c r="J101" s="259"/>
      <c r="L101" s="482" t="s">
        <v>118</v>
      </c>
      <c r="M101" s="176" t="e">
        <f>'LEVEL 3'!#REF!</f>
        <v>#REF!</v>
      </c>
      <c r="N101" s="167" t="e">
        <f>'LEVEL 3'!#REF!</f>
        <v>#REF!</v>
      </c>
      <c r="O101" s="413" t="e">
        <f>'LEVEL 3'!#REF!</f>
        <v>#REF!</v>
      </c>
      <c r="P101" s="414" t="e">
        <f>'LEVEL 3'!#REF!</f>
        <v>#REF!</v>
      </c>
      <c r="Q101" s="415" t="e">
        <f>'LEVEL 3'!#REF!</f>
        <v>#REF!</v>
      </c>
      <c r="R101" s="416" t="e">
        <f>'LEVEL 3'!#REF!</f>
        <v>#REF!</v>
      </c>
      <c r="S101" s="259"/>
      <c r="U101" s="429" t="e">
        <f t="shared" ref="U101:U136" si="14">R101-I101</f>
        <v>#REF!</v>
      </c>
      <c r="W101" s="432" t="e">
        <f t="shared" ref="W101:W136" si="15">IF(I101=0,0,U101/I101)</f>
        <v>#REF!</v>
      </c>
      <c r="Y101" s="504"/>
    </row>
    <row r="102" spans="1:25" hidden="1" outlineLevel="1">
      <c r="A102" s="512" t="s">
        <v>267</v>
      </c>
      <c r="B102" s="290"/>
      <c r="C102" s="483" t="s">
        <v>266</v>
      </c>
      <c r="D102" s="164" t="s">
        <v>15</v>
      </c>
      <c r="E102" s="161">
        <v>196333</v>
      </c>
      <c r="F102" s="185">
        <v>0.08</v>
      </c>
      <c r="G102" s="216">
        <v>0</v>
      </c>
      <c r="H102" s="185">
        <v>0.08</v>
      </c>
      <c r="I102" s="217">
        <v>15706.64</v>
      </c>
      <c r="J102" s="259"/>
      <c r="L102" s="483" t="s">
        <v>118</v>
      </c>
      <c r="M102" s="164" t="str">
        <f>'LEVEL 3'!F102</f>
        <v>LS</v>
      </c>
      <c r="N102" s="161">
        <f>'LEVEL 3'!G102</f>
        <v>1</v>
      </c>
      <c r="O102" s="185">
        <f>'LEVEL 3'!H102</f>
        <v>10000</v>
      </c>
      <c r="P102" s="216">
        <f>'LEVEL 3'!I102</f>
        <v>0</v>
      </c>
      <c r="Q102" s="185">
        <f>'LEVEL 3'!J102</f>
        <v>10000</v>
      </c>
      <c r="R102" s="217">
        <f>'LEVEL 3'!K102</f>
        <v>10000</v>
      </c>
      <c r="S102" s="259"/>
      <c r="U102" s="429">
        <f t="shared" si="14"/>
        <v>-5706.6399999999994</v>
      </c>
      <c r="W102" s="432">
        <f t="shared" si="15"/>
        <v>-0.36332659308419873</v>
      </c>
      <c r="Y102" s="504"/>
    </row>
    <row r="103" spans="1:25" hidden="1" outlineLevel="1">
      <c r="A103" s="512" t="s">
        <v>269</v>
      </c>
      <c r="B103" s="290"/>
      <c r="C103" s="483" t="s">
        <v>266</v>
      </c>
      <c r="D103" s="164" t="s">
        <v>15</v>
      </c>
      <c r="E103" s="161">
        <v>196333</v>
      </c>
      <c r="F103" s="185">
        <v>0.6</v>
      </c>
      <c r="G103" s="216">
        <v>0</v>
      </c>
      <c r="H103" s="185">
        <v>0.6</v>
      </c>
      <c r="I103" s="217">
        <v>117799.8</v>
      </c>
      <c r="J103" s="259"/>
      <c r="L103" s="483" t="s">
        <v>116</v>
      </c>
      <c r="M103" s="164" t="str">
        <f>'LEVEL 3'!F103</f>
        <v>SF</v>
      </c>
      <c r="N103" s="161">
        <f>'LEVEL 3'!G103</f>
        <v>196289</v>
      </c>
      <c r="O103" s="185">
        <f>'LEVEL 3'!H103</f>
        <v>0.85</v>
      </c>
      <c r="P103" s="216">
        <f>'LEVEL 3'!I103</f>
        <v>0</v>
      </c>
      <c r="Q103" s="185">
        <f>'LEVEL 3'!J103</f>
        <v>0.85</v>
      </c>
      <c r="R103" s="217">
        <f>'LEVEL 3'!K103</f>
        <v>166845.65</v>
      </c>
      <c r="S103" s="259"/>
      <c r="U103" s="429">
        <f t="shared" si="14"/>
        <v>49045.849999999991</v>
      </c>
      <c r="W103" s="432">
        <f t="shared" si="15"/>
        <v>0.41634917886108458</v>
      </c>
      <c r="Y103" s="504"/>
    </row>
    <row r="104" spans="1:25" hidden="1" outlineLevel="1">
      <c r="A104" s="512" t="s">
        <v>271</v>
      </c>
      <c r="B104" s="290"/>
      <c r="C104" s="483" t="s">
        <v>266</v>
      </c>
      <c r="D104" s="164" t="s">
        <v>15</v>
      </c>
      <c r="E104" s="161">
        <v>196333</v>
      </c>
      <c r="F104" s="185">
        <v>0.36</v>
      </c>
      <c r="G104" s="216">
        <v>0</v>
      </c>
      <c r="H104" s="185">
        <v>0.36</v>
      </c>
      <c r="I104" s="217">
        <v>70679.88</v>
      </c>
      <c r="J104" s="259"/>
      <c r="L104" s="483" t="s">
        <v>110</v>
      </c>
      <c r="M104" s="164" t="str">
        <f>'LEVEL 3'!F104</f>
        <v>LS</v>
      </c>
      <c r="N104" s="161">
        <f>'LEVEL 3'!G104</f>
        <v>1</v>
      </c>
      <c r="O104" s="185">
        <f>'LEVEL 3'!H104</f>
        <v>50000</v>
      </c>
      <c r="P104" s="216">
        <f>'LEVEL 3'!I104</f>
        <v>0</v>
      </c>
      <c r="Q104" s="185">
        <f>'LEVEL 3'!J104</f>
        <v>50000</v>
      </c>
      <c r="R104" s="217">
        <f>'LEVEL 3'!K104</f>
        <v>50000</v>
      </c>
      <c r="S104" s="259"/>
      <c r="U104" s="429">
        <f t="shared" si="14"/>
        <v>-20679.880000000005</v>
      </c>
      <c r="W104" s="432">
        <f t="shared" si="15"/>
        <v>-0.29258510342688759</v>
      </c>
      <c r="Y104" s="504"/>
    </row>
    <row r="105" spans="1:25" hidden="1" outlineLevel="1">
      <c r="A105" s="512" t="s">
        <v>184</v>
      </c>
      <c r="B105" s="290"/>
      <c r="C105" s="483" t="s">
        <v>274</v>
      </c>
      <c r="D105" s="164" t="s">
        <v>187</v>
      </c>
      <c r="E105" s="167">
        <v>194</v>
      </c>
      <c r="F105" s="185">
        <v>79</v>
      </c>
      <c r="G105" s="216">
        <v>0</v>
      </c>
      <c r="H105" s="185">
        <v>79</v>
      </c>
      <c r="I105" s="217">
        <v>15326</v>
      </c>
      <c r="J105" s="259"/>
      <c r="L105" s="483" t="s">
        <v>110</v>
      </c>
      <c r="M105" s="164" t="str">
        <f>'LEVEL 3'!F105</f>
        <v xml:space="preserve">Unit </v>
      </c>
      <c r="N105" s="167">
        <f>'LEVEL 3'!G105</f>
        <v>194</v>
      </c>
      <c r="O105" s="185">
        <f>'LEVEL 3'!H105</f>
        <v>79</v>
      </c>
      <c r="P105" s="216">
        <f>'LEVEL 3'!I105</f>
        <v>0</v>
      </c>
      <c r="Q105" s="185">
        <f>'LEVEL 3'!J105</f>
        <v>79</v>
      </c>
      <c r="R105" s="342">
        <f>'LEVEL 3'!K105</f>
        <v>15326</v>
      </c>
      <c r="S105" s="259"/>
      <c r="U105" s="429">
        <f t="shared" si="14"/>
        <v>0</v>
      </c>
      <c r="W105" s="432">
        <f t="shared" si="15"/>
        <v>0</v>
      </c>
      <c r="Y105" s="504"/>
    </row>
    <row r="106" spans="1:25" hidden="1" outlineLevel="1">
      <c r="A106" s="512" t="s">
        <v>275</v>
      </c>
      <c r="B106" s="290"/>
      <c r="C106" s="483" t="s">
        <v>266</v>
      </c>
      <c r="D106" s="164" t="s">
        <v>15</v>
      </c>
      <c r="E106" s="161">
        <v>196333</v>
      </c>
      <c r="F106" s="185">
        <v>0.11</v>
      </c>
      <c r="G106" s="216">
        <v>0</v>
      </c>
      <c r="H106" s="185">
        <v>0.11</v>
      </c>
      <c r="I106" s="217">
        <v>21596.63</v>
      </c>
      <c r="J106" s="259"/>
      <c r="L106" s="483" t="s">
        <v>118</v>
      </c>
      <c r="M106" s="164" t="str">
        <f>'LEVEL 3'!F106</f>
        <v>LS</v>
      </c>
      <c r="N106" s="161">
        <f>'LEVEL 3'!G106</f>
        <v>1</v>
      </c>
      <c r="O106" s="185">
        <f>'LEVEL 3'!H106</f>
        <v>10000</v>
      </c>
      <c r="P106" s="216">
        <f>'LEVEL 3'!I106</f>
        <v>0</v>
      </c>
      <c r="Q106" s="185">
        <f>'LEVEL 3'!J106</f>
        <v>10000</v>
      </c>
      <c r="R106" s="217">
        <f>'LEVEL 3'!K106</f>
        <v>10000</v>
      </c>
      <c r="S106" s="259"/>
      <c r="U106" s="429">
        <f t="shared" si="14"/>
        <v>-11596.630000000001</v>
      </c>
      <c r="W106" s="432">
        <f t="shared" si="15"/>
        <v>-0.53696479497032645</v>
      </c>
      <c r="Y106" s="504"/>
    </row>
    <row r="107" spans="1:25" hidden="1" outlineLevel="1">
      <c r="A107" s="512" t="s">
        <v>58</v>
      </c>
      <c r="B107" s="290"/>
      <c r="C107" s="483" t="s">
        <v>116</v>
      </c>
      <c r="D107" s="164" t="s">
        <v>278</v>
      </c>
      <c r="E107" s="161">
        <v>11824</v>
      </c>
      <c r="F107" s="185">
        <v>40.82</v>
      </c>
      <c r="G107" s="216">
        <v>0.05</v>
      </c>
      <c r="H107" s="185">
        <v>42</v>
      </c>
      <c r="I107" s="217">
        <v>496608</v>
      </c>
      <c r="J107" s="259"/>
      <c r="L107" s="483" t="s">
        <v>116</v>
      </c>
      <c r="M107" s="164" t="str">
        <f>'LEVEL 3'!F107</f>
        <v>SY</v>
      </c>
      <c r="N107" s="161">
        <f>'LEVEL 3'!G107</f>
        <v>11824</v>
      </c>
      <c r="O107" s="185">
        <f>'LEVEL 3'!H107</f>
        <v>40.82</v>
      </c>
      <c r="P107" s="216">
        <f>'LEVEL 3'!I107</f>
        <v>0</v>
      </c>
      <c r="Q107" s="185">
        <f>'LEVEL 3'!J107</f>
        <v>40.82</v>
      </c>
      <c r="R107" s="217">
        <f>'LEVEL 3'!K107</f>
        <v>482655.68</v>
      </c>
      <c r="S107" s="259"/>
      <c r="U107" s="429">
        <f t="shared" si="14"/>
        <v>-13952.320000000007</v>
      </c>
      <c r="W107" s="432">
        <f t="shared" si="15"/>
        <v>-2.8095238095238111E-2</v>
      </c>
      <c r="Y107" s="504"/>
    </row>
    <row r="108" spans="1:25" hidden="1" outlineLevel="1">
      <c r="A108" s="512" t="s">
        <v>280</v>
      </c>
      <c r="B108" s="290"/>
      <c r="C108" s="483" t="s">
        <v>110</v>
      </c>
      <c r="D108" s="164" t="s">
        <v>121</v>
      </c>
      <c r="E108" s="161">
        <v>1</v>
      </c>
      <c r="F108" s="185">
        <v>6000</v>
      </c>
      <c r="G108" s="216">
        <v>0</v>
      </c>
      <c r="H108" s="185">
        <v>6000</v>
      </c>
      <c r="I108" s="217">
        <v>6000</v>
      </c>
      <c r="J108" s="259"/>
      <c r="L108" s="483" t="s">
        <v>110</v>
      </c>
      <c r="M108" s="164" t="str">
        <f>'LEVEL 3'!F108</f>
        <v>LS</v>
      </c>
      <c r="N108" s="161">
        <f>'LEVEL 3'!G108</f>
        <v>1</v>
      </c>
      <c r="O108" s="185">
        <f>'LEVEL 3'!H108</f>
        <v>6000</v>
      </c>
      <c r="P108" s="216">
        <f>'LEVEL 3'!I108</f>
        <v>0</v>
      </c>
      <c r="Q108" s="185">
        <f>'LEVEL 3'!J108</f>
        <v>6000</v>
      </c>
      <c r="R108" s="217">
        <f>'LEVEL 3'!K108</f>
        <v>6000</v>
      </c>
      <c r="S108" s="259"/>
      <c r="U108" s="429">
        <f t="shared" si="14"/>
        <v>0</v>
      </c>
      <c r="W108" s="432">
        <f t="shared" si="15"/>
        <v>0</v>
      </c>
      <c r="Y108" s="504"/>
    </row>
    <row r="109" spans="1:25" hidden="1" outlineLevel="1">
      <c r="A109" s="512" t="s">
        <v>282</v>
      </c>
      <c r="B109" s="290"/>
      <c r="C109" s="483" t="s">
        <v>118</v>
      </c>
      <c r="D109" s="164"/>
      <c r="E109" s="161"/>
      <c r="F109" s="185"/>
      <c r="G109" s="216">
        <v>0</v>
      </c>
      <c r="H109" s="185">
        <v>0</v>
      </c>
      <c r="I109" s="217">
        <v>0</v>
      </c>
      <c r="J109" s="259"/>
      <c r="L109" s="483" t="s">
        <v>118</v>
      </c>
      <c r="M109" s="164">
        <f>'LEVEL 3'!F109</f>
        <v>0</v>
      </c>
      <c r="N109" s="161">
        <f>'LEVEL 3'!G109</f>
        <v>0</v>
      </c>
      <c r="O109" s="185">
        <f>'LEVEL 3'!H109</f>
        <v>0</v>
      </c>
      <c r="P109" s="216">
        <f>'LEVEL 3'!I109</f>
        <v>0</v>
      </c>
      <c r="Q109" s="185">
        <f>'LEVEL 3'!J109</f>
        <v>0</v>
      </c>
      <c r="R109" s="217">
        <f>'LEVEL 3'!K109</f>
        <v>0</v>
      </c>
      <c r="S109" s="259"/>
      <c r="U109" s="429">
        <f t="shared" si="14"/>
        <v>0</v>
      </c>
      <c r="W109" s="432">
        <f t="shared" si="15"/>
        <v>0</v>
      </c>
      <c r="Y109" s="504"/>
    </row>
    <row r="110" spans="1:25" hidden="1" outlineLevel="1">
      <c r="A110" s="512" t="s">
        <v>284</v>
      </c>
      <c r="B110" s="290"/>
      <c r="C110" s="483" t="s">
        <v>110</v>
      </c>
      <c r="D110" s="164" t="s">
        <v>121</v>
      </c>
      <c r="E110" s="161">
        <v>1</v>
      </c>
      <c r="F110" s="185">
        <v>2000</v>
      </c>
      <c r="G110" s="216">
        <v>0</v>
      </c>
      <c r="H110" s="185">
        <v>2000</v>
      </c>
      <c r="I110" s="217">
        <v>2000</v>
      </c>
      <c r="J110" s="259"/>
      <c r="L110" s="483" t="s">
        <v>110</v>
      </c>
      <c r="M110" s="164" t="str">
        <f>'LEVEL 3'!F110</f>
        <v>LS</v>
      </c>
      <c r="N110" s="161">
        <f>'LEVEL 3'!G110</f>
        <v>1</v>
      </c>
      <c r="O110" s="185">
        <f>'LEVEL 3'!H110</f>
        <v>2000</v>
      </c>
      <c r="P110" s="216">
        <f>'LEVEL 3'!I110</f>
        <v>0</v>
      </c>
      <c r="Q110" s="185">
        <f>'LEVEL 3'!J110</f>
        <v>2000</v>
      </c>
      <c r="R110" s="217">
        <f>'LEVEL 3'!K110</f>
        <v>2000</v>
      </c>
      <c r="S110" s="259"/>
      <c r="U110" s="429">
        <f t="shared" si="14"/>
        <v>0</v>
      </c>
      <c r="W110" s="432">
        <f t="shared" si="15"/>
        <v>0</v>
      </c>
      <c r="Y110" s="504"/>
    </row>
    <row r="111" spans="1:25" hidden="1" outlineLevel="1">
      <c r="A111" s="512" t="s">
        <v>286</v>
      </c>
      <c r="B111" s="290"/>
      <c r="C111" s="483" t="s">
        <v>118</v>
      </c>
      <c r="D111" s="164"/>
      <c r="E111" s="161"/>
      <c r="F111" s="185"/>
      <c r="G111" s="216">
        <v>0</v>
      </c>
      <c r="H111" s="185">
        <v>0</v>
      </c>
      <c r="I111" s="217">
        <v>0</v>
      </c>
      <c r="J111" s="259"/>
      <c r="L111" s="483" t="s">
        <v>118</v>
      </c>
      <c r="M111" s="164">
        <f>'LEVEL 3'!F111</f>
        <v>0</v>
      </c>
      <c r="N111" s="161">
        <f>'LEVEL 3'!G111</f>
        <v>0</v>
      </c>
      <c r="O111" s="185">
        <f>'LEVEL 3'!H111</f>
        <v>0</v>
      </c>
      <c r="P111" s="216">
        <f>'LEVEL 3'!I111</f>
        <v>0</v>
      </c>
      <c r="Q111" s="185">
        <f>'LEVEL 3'!J111</f>
        <v>0</v>
      </c>
      <c r="R111" s="217">
        <f>'LEVEL 3'!K111</f>
        <v>0</v>
      </c>
      <c r="S111" s="259"/>
      <c r="U111" s="429">
        <f t="shared" si="14"/>
        <v>0</v>
      </c>
      <c r="W111" s="432">
        <f t="shared" si="15"/>
        <v>0</v>
      </c>
      <c r="Y111" s="504"/>
    </row>
    <row r="112" spans="1:25" hidden="1" outlineLevel="1">
      <c r="A112" s="512" t="s">
        <v>288</v>
      </c>
      <c r="B112" s="290"/>
      <c r="C112" s="483" t="s">
        <v>118</v>
      </c>
      <c r="D112" s="164"/>
      <c r="E112" s="161"/>
      <c r="F112" s="185"/>
      <c r="G112" s="216">
        <v>0</v>
      </c>
      <c r="H112" s="185">
        <v>0</v>
      </c>
      <c r="I112" s="217">
        <v>0</v>
      </c>
      <c r="J112" s="259"/>
      <c r="L112" s="483" t="s">
        <v>118</v>
      </c>
      <c r="M112" s="164" t="str">
        <f>'LEVEL 3'!F112</f>
        <v>LS</v>
      </c>
      <c r="N112" s="161">
        <f>'LEVEL 3'!G112</f>
        <v>1</v>
      </c>
      <c r="O112" s="185">
        <f>'LEVEL 3'!H112</f>
        <v>5000</v>
      </c>
      <c r="P112" s="216">
        <f>'LEVEL 3'!I112</f>
        <v>0</v>
      </c>
      <c r="Q112" s="185">
        <f>'LEVEL 3'!J112</f>
        <v>5000</v>
      </c>
      <c r="R112" s="217">
        <f>'LEVEL 3'!K112</f>
        <v>5000</v>
      </c>
      <c r="S112" s="259"/>
      <c r="U112" s="429">
        <f t="shared" si="14"/>
        <v>5000</v>
      </c>
      <c r="W112" s="432">
        <f t="shared" si="15"/>
        <v>0</v>
      </c>
      <c r="Y112" s="504"/>
    </row>
    <row r="113" spans="1:25" hidden="1" outlineLevel="1">
      <c r="A113" s="512" t="s">
        <v>290</v>
      </c>
      <c r="B113" s="290"/>
      <c r="C113" s="483" t="s">
        <v>110</v>
      </c>
      <c r="D113" s="164" t="s">
        <v>121</v>
      </c>
      <c r="E113" s="161">
        <v>1</v>
      </c>
      <c r="F113" s="185">
        <v>1500</v>
      </c>
      <c r="G113" s="216">
        <v>0</v>
      </c>
      <c r="H113" s="185">
        <v>1500</v>
      </c>
      <c r="I113" s="217">
        <v>1500</v>
      </c>
      <c r="J113" s="259"/>
      <c r="L113" s="483" t="s">
        <v>110</v>
      </c>
      <c r="M113" s="164" t="str">
        <f>'LEVEL 3'!F113</f>
        <v>LS</v>
      </c>
      <c r="N113" s="161">
        <f>'LEVEL 3'!G113</f>
        <v>1</v>
      </c>
      <c r="O113" s="185">
        <f>'LEVEL 3'!H113</f>
        <v>1500</v>
      </c>
      <c r="P113" s="216">
        <f>'LEVEL 3'!I113</f>
        <v>0</v>
      </c>
      <c r="Q113" s="185">
        <f>'LEVEL 3'!J113</f>
        <v>1500</v>
      </c>
      <c r="R113" s="217">
        <f>'LEVEL 3'!K113</f>
        <v>1500</v>
      </c>
      <c r="S113" s="259"/>
      <c r="U113" s="429">
        <f t="shared" si="14"/>
        <v>0</v>
      </c>
      <c r="W113" s="432">
        <f t="shared" si="15"/>
        <v>0</v>
      </c>
      <c r="Y113" s="504"/>
    </row>
    <row r="114" spans="1:25" hidden="1" outlineLevel="1">
      <c r="A114" s="512" t="s">
        <v>292</v>
      </c>
      <c r="B114" s="290"/>
      <c r="C114" s="483" t="s">
        <v>116</v>
      </c>
      <c r="D114" s="164" t="s">
        <v>15</v>
      </c>
      <c r="E114" s="161">
        <v>196333</v>
      </c>
      <c r="F114" s="185">
        <v>8.02</v>
      </c>
      <c r="G114" s="216">
        <v>0</v>
      </c>
      <c r="H114" s="185">
        <v>8.02</v>
      </c>
      <c r="I114" s="217">
        <v>1574590.66</v>
      </c>
      <c r="J114" s="259"/>
      <c r="L114" s="483" t="s">
        <v>116</v>
      </c>
      <c r="M114" s="164" t="str">
        <f>'LEVEL 3'!F114</f>
        <v>SF</v>
      </c>
      <c r="N114" s="161">
        <f>'LEVEL 3'!G114</f>
        <v>196289</v>
      </c>
      <c r="O114" s="185">
        <f>'LEVEL 3'!H114</f>
        <v>8.0021691485513706</v>
      </c>
      <c r="P114" s="216">
        <f>'LEVEL 3'!I114</f>
        <v>0</v>
      </c>
      <c r="Q114" s="185">
        <f>'LEVEL 3'!J114</f>
        <v>8.0021691485513706</v>
      </c>
      <c r="R114" s="217">
        <f>'LEVEL 3'!K114</f>
        <v>1570737.78</v>
      </c>
      <c r="S114" s="259"/>
      <c r="U114" s="429">
        <f t="shared" si="14"/>
        <v>-3852.8799999998882</v>
      </c>
      <c r="W114" s="432">
        <f t="shared" si="15"/>
        <v>-2.4469089636286094E-3</v>
      </c>
      <c r="Y114" s="504"/>
    </row>
    <row r="115" spans="1:25" hidden="1" outlineLevel="1">
      <c r="A115" s="512" t="s">
        <v>294</v>
      </c>
      <c r="B115" s="290"/>
      <c r="C115" s="483" t="s">
        <v>110</v>
      </c>
      <c r="D115" s="164" t="s">
        <v>187</v>
      </c>
      <c r="E115" s="167">
        <v>194</v>
      </c>
      <c r="F115" s="185">
        <v>85</v>
      </c>
      <c r="G115" s="216">
        <v>0</v>
      </c>
      <c r="H115" s="185">
        <v>85</v>
      </c>
      <c r="I115" s="217">
        <v>16490</v>
      </c>
      <c r="J115" s="259"/>
      <c r="L115" s="483" t="s">
        <v>110</v>
      </c>
      <c r="M115" s="164" t="str">
        <f>'LEVEL 3'!F116</f>
        <v xml:space="preserve">Unit </v>
      </c>
      <c r="N115" s="167">
        <f>'LEVEL 3'!G116</f>
        <v>194</v>
      </c>
      <c r="O115" s="185">
        <f>'LEVEL 3'!H116</f>
        <v>85</v>
      </c>
      <c r="P115" s="216">
        <f>'LEVEL 3'!I116</f>
        <v>0</v>
      </c>
      <c r="Q115" s="185">
        <f>'LEVEL 3'!J116</f>
        <v>85</v>
      </c>
      <c r="R115" s="217">
        <f>'LEVEL 3'!K116</f>
        <v>16490</v>
      </c>
      <c r="S115" s="259"/>
      <c r="U115" s="429">
        <f t="shared" si="14"/>
        <v>0</v>
      </c>
      <c r="W115" s="432">
        <f t="shared" si="15"/>
        <v>0</v>
      </c>
      <c r="Y115" s="504"/>
    </row>
    <row r="116" spans="1:25" hidden="1" outlineLevel="1">
      <c r="A116" s="512" t="s">
        <v>296</v>
      </c>
      <c r="B116" s="290"/>
      <c r="C116" s="483" t="s">
        <v>118</v>
      </c>
      <c r="D116" s="164"/>
      <c r="E116" s="161"/>
      <c r="F116" s="185"/>
      <c r="G116" s="216">
        <v>0</v>
      </c>
      <c r="H116" s="185">
        <v>0</v>
      </c>
      <c r="I116" s="217">
        <v>0</v>
      </c>
      <c r="J116" s="259"/>
      <c r="L116" s="483" t="s">
        <v>118</v>
      </c>
      <c r="M116" s="164">
        <f>'LEVEL 3'!F117</f>
        <v>0</v>
      </c>
      <c r="N116" s="161">
        <f>'LEVEL 3'!G117</f>
        <v>0</v>
      </c>
      <c r="O116" s="185">
        <f>'LEVEL 3'!H117</f>
        <v>0</v>
      </c>
      <c r="P116" s="216">
        <f>'LEVEL 3'!I117</f>
        <v>0</v>
      </c>
      <c r="Q116" s="185">
        <f>'LEVEL 3'!J117</f>
        <v>0</v>
      </c>
      <c r="R116" s="217">
        <f>'LEVEL 3'!K117</f>
        <v>0</v>
      </c>
      <c r="S116" s="259"/>
      <c r="U116" s="429">
        <f t="shared" si="14"/>
        <v>0</v>
      </c>
      <c r="W116" s="432">
        <f t="shared" si="15"/>
        <v>0</v>
      </c>
      <c r="Y116" s="504"/>
    </row>
    <row r="117" spans="1:25" hidden="1" outlineLevel="1">
      <c r="A117" s="512" t="s">
        <v>298</v>
      </c>
      <c r="B117" s="290"/>
      <c r="C117" s="483" t="s">
        <v>127</v>
      </c>
      <c r="D117" s="164" t="s">
        <v>121</v>
      </c>
      <c r="E117" s="161">
        <v>1</v>
      </c>
      <c r="F117" s="185">
        <v>17191</v>
      </c>
      <c r="G117" s="216">
        <v>0</v>
      </c>
      <c r="H117" s="185">
        <v>17191</v>
      </c>
      <c r="I117" s="217">
        <v>17191</v>
      </c>
      <c r="J117" s="259"/>
      <c r="L117" s="483" t="s">
        <v>195</v>
      </c>
      <c r="M117" s="164" t="str">
        <f>'LEVEL 3'!F118</f>
        <v>LS</v>
      </c>
      <c r="N117" s="161">
        <f>'LEVEL 3'!G118</f>
        <v>1</v>
      </c>
      <c r="O117" s="185">
        <f>'LEVEL 3'!H118</f>
        <v>67657</v>
      </c>
      <c r="P117" s="216">
        <f>'LEVEL 3'!I118</f>
        <v>0</v>
      </c>
      <c r="Q117" s="185">
        <f>'LEVEL 3'!J118</f>
        <v>67657</v>
      </c>
      <c r="R117" s="217">
        <f>'LEVEL 3'!K118</f>
        <v>67657</v>
      </c>
      <c r="S117" s="259"/>
      <c r="U117" s="429">
        <f t="shared" si="14"/>
        <v>50466</v>
      </c>
      <c r="W117" s="432">
        <f t="shared" si="15"/>
        <v>2.935605840265255</v>
      </c>
      <c r="Y117" s="504"/>
    </row>
    <row r="118" spans="1:25" hidden="1" outlineLevel="1">
      <c r="A118" s="512" t="s">
        <v>300</v>
      </c>
      <c r="B118" s="290"/>
      <c r="C118" s="483" t="s">
        <v>118</v>
      </c>
      <c r="D118" s="164"/>
      <c r="E118" s="161"/>
      <c r="F118" s="185"/>
      <c r="G118" s="216">
        <v>0</v>
      </c>
      <c r="H118" s="185">
        <v>0</v>
      </c>
      <c r="I118" s="217">
        <v>0</v>
      </c>
      <c r="J118" s="259"/>
      <c r="L118" s="483" t="s">
        <v>118</v>
      </c>
      <c r="M118" s="164">
        <f>'LEVEL 3'!F119</f>
        <v>0</v>
      </c>
      <c r="N118" s="161">
        <f>'LEVEL 3'!G119</f>
        <v>0</v>
      </c>
      <c r="O118" s="185">
        <f>'LEVEL 3'!H119</f>
        <v>0</v>
      </c>
      <c r="P118" s="216">
        <f>'LEVEL 3'!I119</f>
        <v>0</v>
      </c>
      <c r="Q118" s="185">
        <f>'LEVEL 3'!J119</f>
        <v>0</v>
      </c>
      <c r="R118" s="217">
        <f>'LEVEL 3'!K119</f>
        <v>0</v>
      </c>
      <c r="S118" s="259"/>
      <c r="U118" s="429">
        <f t="shared" si="14"/>
        <v>0</v>
      </c>
      <c r="W118" s="432">
        <f t="shared" si="15"/>
        <v>0</v>
      </c>
      <c r="Y118" s="504"/>
    </row>
    <row r="119" spans="1:25" hidden="1" outlineLevel="1">
      <c r="A119" s="512" t="s">
        <v>302</v>
      </c>
      <c r="B119" s="290"/>
      <c r="C119" s="483" t="s">
        <v>118</v>
      </c>
      <c r="D119" s="164"/>
      <c r="E119" s="161"/>
      <c r="F119" s="185"/>
      <c r="G119" s="216">
        <v>0</v>
      </c>
      <c r="H119" s="185">
        <v>0</v>
      </c>
      <c r="I119" s="217">
        <v>0</v>
      </c>
      <c r="J119" s="259"/>
      <c r="L119" s="483" t="s">
        <v>118</v>
      </c>
      <c r="M119" s="164">
        <f>'LEVEL 3'!F120</f>
        <v>0</v>
      </c>
      <c r="N119" s="161">
        <f>'LEVEL 3'!G120</f>
        <v>0</v>
      </c>
      <c r="O119" s="185">
        <f>'LEVEL 3'!H120</f>
        <v>0</v>
      </c>
      <c r="P119" s="216">
        <f>'LEVEL 3'!I120</f>
        <v>0</v>
      </c>
      <c r="Q119" s="185">
        <f>'LEVEL 3'!J120</f>
        <v>0</v>
      </c>
      <c r="R119" s="217">
        <f>'LEVEL 3'!K120</f>
        <v>0</v>
      </c>
      <c r="S119" s="259"/>
      <c r="U119" s="429">
        <f t="shared" si="14"/>
        <v>0</v>
      </c>
      <c r="W119" s="432">
        <f t="shared" si="15"/>
        <v>0</v>
      </c>
      <c r="Y119" s="504"/>
    </row>
    <row r="120" spans="1:25" hidden="1" outlineLevel="1">
      <c r="A120" s="512" t="s">
        <v>304</v>
      </c>
      <c r="B120" s="290"/>
      <c r="C120" s="483" t="s">
        <v>306</v>
      </c>
      <c r="D120" s="164" t="s">
        <v>278</v>
      </c>
      <c r="E120" s="161">
        <v>16642</v>
      </c>
      <c r="F120" s="185">
        <v>16.71</v>
      </c>
      <c r="G120" s="216">
        <v>0</v>
      </c>
      <c r="H120" s="185">
        <v>16.71</v>
      </c>
      <c r="I120" s="217">
        <v>278087.82</v>
      </c>
      <c r="J120" s="259"/>
      <c r="L120" s="483" t="s">
        <v>859</v>
      </c>
      <c r="M120" s="164" t="str">
        <f>'LEVEL 3'!F121</f>
        <v>SY</v>
      </c>
      <c r="N120" s="161">
        <f>'LEVEL 3'!G121</f>
        <v>16642</v>
      </c>
      <c r="O120" s="185">
        <f>'LEVEL 3'!H121</f>
        <v>18.36</v>
      </c>
      <c r="P120" s="216">
        <f>'LEVEL 3'!I121</f>
        <v>0</v>
      </c>
      <c r="Q120" s="185">
        <f>'LEVEL 3'!J121</f>
        <v>18.36</v>
      </c>
      <c r="R120" s="217">
        <f>'LEVEL 3'!K121</f>
        <v>305547.12</v>
      </c>
      <c r="S120" s="259"/>
      <c r="U120" s="429">
        <f t="shared" si="14"/>
        <v>27459.299999999988</v>
      </c>
      <c r="W120" s="432">
        <f t="shared" si="15"/>
        <v>9.874326750448828E-2</v>
      </c>
      <c r="Y120" s="504"/>
    </row>
    <row r="121" spans="1:25" hidden="1" outlineLevel="1">
      <c r="A121" s="512" t="s">
        <v>307</v>
      </c>
      <c r="B121" s="290"/>
      <c r="C121" s="483" t="s">
        <v>266</v>
      </c>
      <c r="D121" s="164" t="s">
        <v>121</v>
      </c>
      <c r="E121" s="161">
        <v>1</v>
      </c>
      <c r="F121" s="185">
        <v>33202.400000000001</v>
      </c>
      <c r="G121" s="216">
        <v>0</v>
      </c>
      <c r="H121" s="185">
        <v>33202.400000000001</v>
      </c>
      <c r="I121" s="217">
        <v>33202.400000000001</v>
      </c>
      <c r="J121" s="259"/>
      <c r="L121" s="483" t="s">
        <v>118</v>
      </c>
      <c r="M121" s="164">
        <f>'LEVEL 3'!F122</f>
        <v>0</v>
      </c>
      <c r="N121" s="161">
        <f>'LEVEL 3'!G122</f>
        <v>0</v>
      </c>
      <c r="O121" s="185">
        <f>'LEVEL 3'!H122</f>
        <v>0</v>
      </c>
      <c r="P121" s="216">
        <f>'LEVEL 3'!I122</f>
        <v>0</v>
      </c>
      <c r="Q121" s="185">
        <f>'LEVEL 3'!J122</f>
        <v>0</v>
      </c>
      <c r="R121" s="217">
        <f>'LEVEL 3'!K122</f>
        <v>0</v>
      </c>
      <c r="S121" s="259"/>
      <c r="U121" s="429">
        <f t="shared" si="14"/>
        <v>-33202.400000000001</v>
      </c>
      <c r="W121" s="432">
        <f t="shared" si="15"/>
        <v>-1</v>
      </c>
      <c r="Y121" s="504"/>
    </row>
    <row r="122" spans="1:25" hidden="1" outlineLevel="1">
      <c r="A122" s="512" t="s">
        <v>309</v>
      </c>
      <c r="B122" s="290"/>
      <c r="C122" s="483" t="s">
        <v>266</v>
      </c>
      <c r="D122" s="164" t="s">
        <v>121</v>
      </c>
      <c r="E122" s="161">
        <v>1</v>
      </c>
      <c r="F122" s="185">
        <v>2193.4</v>
      </c>
      <c r="G122" s="216">
        <v>0</v>
      </c>
      <c r="H122" s="185">
        <v>2193.4</v>
      </c>
      <c r="I122" s="217">
        <v>2193.4</v>
      </c>
      <c r="J122" s="259"/>
      <c r="L122" s="483" t="s">
        <v>118</v>
      </c>
      <c r="M122" s="164">
        <f>'LEVEL 3'!F123</f>
        <v>0</v>
      </c>
      <c r="N122" s="161">
        <f>'LEVEL 3'!G123</f>
        <v>0</v>
      </c>
      <c r="O122" s="185">
        <f>'LEVEL 3'!H123</f>
        <v>0</v>
      </c>
      <c r="P122" s="216">
        <f>'LEVEL 3'!I123</f>
        <v>0</v>
      </c>
      <c r="Q122" s="185">
        <f>'LEVEL 3'!J123</f>
        <v>0</v>
      </c>
      <c r="R122" s="217">
        <f>'LEVEL 3'!K123</f>
        <v>0</v>
      </c>
      <c r="S122" s="259"/>
      <c r="U122" s="429">
        <f t="shared" si="14"/>
        <v>-2193.4</v>
      </c>
      <c r="W122" s="432">
        <f t="shared" si="15"/>
        <v>-1</v>
      </c>
      <c r="Y122" s="504"/>
    </row>
    <row r="123" spans="1:25" hidden="1" outlineLevel="1">
      <c r="A123" s="512" t="s">
        <v>311</v>
      </c>
      <c r="B123" s="290"/>
      <c r="C123" s="483" t="s">
        <v>266</v>
      </c>
      <c r="D123" s="164" t="s">
        <v>15</v>
      </c>
      <c r="E123" s="161">
        <v>196333</v>
      </c>
      <c r="F123" s="185">
        <v>0.55000000000000004</v>
      </c>
      <c r="G123" s="216">
        <v>0</v>
      </c>
      <c r="H123" s="185">
        <v>0.55000000000000004</v>
      </c>
      <c r="I123" s="217">
        <v>107983.15000000001</v>
      </c>
      <c r="J123" s="259"/>
      <c r="L123" s="483" t="s">
        <v>195</v>
      </c>
      <c r="M123" s="164" t="str">
        <f>'LEVEL 3'!F124</f>
        <v>SF</v>
      </c>
      <c r="N123" s="161">
        <f>'LEVEL 3'!G124</f>
        <v>196289</v>
      </c>
      <c r="O123" s="185">
        <f>'LEVEL 3'!H124</f>
        <v>0.37</v>
      </c>
      <c r="P123" s="216">
        <f>'LEVEL 3'!I124</f>
        <v>0</v>
      </c>
      <c r="Q123" s="185">
        <f>'LEVEL 3'!J124</f>
        <v>0.37</v>
      </c>
      <c r="R123" s="217">
        <f>'LEVEL 3'!K124</f>
        <v>72626.929999999993</v>
      </c>
      <c r="S123" s="259"/>
      <c r="U123" s="429">
        <f t="shared" si="14"/>
        <v>-35356.220000000016</v>
      </c>
      <c r="W123" s="432">
        <f t="shared" si="15"/>
        <v>-0.32742349153548506</v>
      </c>
      <c r="Y123" s="504"/>
    </row>
    <row r="124" spans="1:25" hidden="1" outlineLevel="1">
      <c r="A124" s="512" t="s">
        <v>313</v>
      </c>
      <c r="B124" s="290"/>
      <c r="C124" s="483" t="s">
        <v>110</v>
      </c>
      <c r="D124" s="164" t="s">
        <v>32</v>
      </c>
      <c r="E124" s="161">
        <v>2</v>
      </c>
      <c r="F124" s="185">
        <v>500</v>
      </c>
      <c r="G124" s="216">
        <v>0</v>
      </c>
      <c r="H124" s="185">
        <v>500</v>
      </c>
      <c r="I124" s="217">
        <v>1000</v>
      </c>
      <c r="J124" s="259"/>
      <c r="L124" s="483" t="s">
        <v>110</v>
      </c>
      <c r="M124" s="164" t="str">
        <f>'LEVEL 3'!F125</f>
        <v>Count</v>
      </c>
      <c r="N124" s="161">
        <f>'LEVEL 3'!G125</f>
        <v>2</v>
      </c>
      <c r="O124" s="185">
        <f>'LEVEL 3'!H125</f>
        <v>750</v>
      </c>
      <c r="P124" s="216">
        <f>'LEVEL 3'!I125</f>
        <v>0</v>
      </c>
      <c r="Q124" s="185">
        <f>'LEVEL 3'!J125</f>
        <v>750</v>
      </c>
      <c r="R124" s="217">
        <f>'LEVEL 3'!K125</f>
        <v>1500</v>
      </c>
      <c r="S124" s="259"/>
      <c r="U124" s="429">
        <f t="shared" si="14"/>
        <v>500</v>
      </c>
      <c r="W124" s="432">
        <f t="shared" si="15"/>
        <v>0.5</v>
      </c>
      <c r="Y124" s="504"/>
    </row>
    <row r="125" spans="1:25" hidden="1" outlineLevel="1">
      <c r="A125" s="512" t="s">
        <v>315</v>
      </c>
      <c r="B125" s="290"/>
      <c r="C125" s="483" t="s">
        <v>266</v>
      </c>
      <c r="D125" s="164" t="s">
        <v>15</v>
      </c>
      <c r="E125" s="161">
        <v>196333</v>
      </c>
      <c r="F125" s="185">
        <v>9.9999999999999992E-2</v>
      </c>
      <c r="G125" s="216">
        <v>0</v>
      </c>
      <c r="H125" s="185">
        <v>9.9999999999999992E-2</v>
      </c>
      <c r="I125" s="217">
        <v>19633.3</v>
      </c>
      <c r="J125" s="259"/>
      <c r="L125" s="483" t="s">
        <v>118</v>
      </c>
      <c r="M125" s="164">
        <f>'LEVEL 3'!F126</f>
        <v>0</v>
      </c>
      <c r="N125" s="161">
        <f>'LEVEL 3'!G126</f>
        <v>0</v>
      </c>
      <c r="O125" s="185">
        <f>'LEVEL 3'!H126</f>
        <v>0</v>
      </c>
      <c r="P125" s="216">
        <f>'LEVEL 3'!I126</f>
        <v>0</v>
      </c>
      <c r="Q125" s="185">
        <f>'LEVEL 3'!J126</f>
        <v>0</v>
      </c>
      <c r="R125" s="217">
        <f>'LEVEL 3'!K126</f>
        <v>0</v>
      </c>
      <c r="S125" s="259"/>
      <c r="U125" s="429">
        <f t="shared" si="14"/>
        <v>-19633.3</v>
      </c>
      <c r="W125" s="432">
        <f t="shared" si="15"/>
        <v>-1</v>
      </c>
      <c r="Y125" s="504"/>
    </row>
    <row r="126" spans="1:25" hidden="1" outlineLevel="1">
      <c r="A126" s="512" t="s">
        <v>317</v>
      </c>
      <c r="B126" s="290"/>
      <c r="C126" s="483" t="s">
        <v>266</v>
      </c>
      <c r="D126" s="164" t="s">
        <v>15</v>
      </c>
      <c r="E126" s="161">
        <v>196333</v>
      </c>
      <c r="F126" s="185">
        <v>0.20020000000000002</v>
      </c>
      <c r="G126" s="216">
        <v>0</v>
      </c>
      <c r="H126" s="185">
        <v>0.20020000000000002</v>
      </c>
      <c r="I126" s="217">
        <v>39305.866600000001</v>
      </c>
      <c r="J126" s="259"/>
      <c r="L126" s="483" t="s">
        <v>118</v>
      </c>
      <c r="M126" s="164" t="str">
        <f>'LEVEL 3'!F127</f>
        <v>SF</v>
      </c>
      <c r="N126" s="161">
        <f>'LEVEL 3'!G127</f>
        <v>0</v>
      </c>
      <c r="O126" s="185">
        <f>'LEVEL 3'!H127</f>
        <v>0</v>
      </c>
      <c r="P126" s="216">
        <f>'LEVEL 3'!I127</f>
        <v>0</v>
      </c>
      <c r="Q126" s="185">
        <f>'LEVEL 3'!J127</f>
        <v>0</v>
      </c>
      <c r="R126" s="217">
        <f>'LEVEL 3'!K127</f>
        <v>0</v>
      </c>
      <c r="S126" s="259"/>
      <c r="U126" s="429">
        <f t="shared" si="14"/>
        <v>-39305.866600000001</v>
      </c>
      <c r="W126" s="432">
        <f t="shared" si="15"/>
        <v>-1</v>
      </c>
      <c r="Y126" s="504"/>
    </row>
    <row r="127" spans="1:25" hidden="1" outlineLevel="1">
      <c r="A127" s="512" t="s">
        <v>319</v>
      </c>
      <c r="B127" s="290"/>
      <c r="C127" s="483" t="s">
        <v>127</v>
      </c>
      <c r="D127" s="164" t="s">
        <v>15</v>
      </c>
      <c r="E127" s="161">
        <v>1260</v>
      </c>
      <c r="F127" s="185">
        <v>15.91</v>
      </c>
      <c r="G127" s="216">
        <v>0</v>
      </c>
      <c r="H127" s="185">
        <v>15.91</v>
      </c>
      <c r="I127" s="217">
        <v>20046.599999999999</v>
      </c>
      <c r="J127" s="259"/>
      <c r="L127" s="483" t="s">
        <v>195</v>
      </c>
      <c r="M127" s="164" t="str">
        <f>'LEVEL 3'!F128</f>
        <v>SF</v>
      </c>
      <c r="N127" s="161">
        <f>'LEVEL 3'!G128</f>
        <v>1316</v>
      </c>
      <c r="O127" s="185">
        <f>'LEVEL 3'!H128</f>
        <v>16.53336114421931</v>
      </c>
      <c r="P127" s="216">
        <f>'LEVEL 3'!I128</f>
        <v>0</v>
      </c>
      <c r="Q127" s="185">
        <f>'LEVEL 3'!J128</f>
        <v>16.53336114421931</v>
      </c>
      <c r="R127" s="217">
        <f>'LEVEL 3'!K128</f>
        <v>21757.903265792611</v>
      </c>
      <c r="S127" s="259"/>
      <c r="U127" s="429">
        <f t="shared" si="14"/>
        <v>1711.3032657926124</v>
      </c>
      <c r="W127" s="432">
        <f t="shared" si="15"/>
        <v>8.5366259904054179E-2</v>
      </c>
      <c r="Y127" s="504"/>
    </row>
    <row r="128" spans="1:25" hidden="1" outlineLevel="1">
      <c r="A128" s="512" t="s">
        <v>322</v>
      </c>
      <c r="B128" s="290"/>
      <c r="C128" s="483" t="s">
        <v>266</v>
      </c>
      <c r="D128" s="164" t="s">
        <v>15</v>
      </c>
      <c r="E128" s="161">
        <v>196333</v>
      </c>
      <c r="F128" s="185">
        <v>7.9970000000000013E-2</v>
      </c>
      <c r="G128" s="216">
        <v>0</v>
      </c>
      <c r="H128" s="185">
        <v>7.9970000000000013E-2</v>
      </c>
      <c r="I128" s="217">
        <v>15700.750010000003</v>
      </c>
      <c r="J128" s="259"/>
      <c r="L128" s="483" t="s">
        <v>195</v>
      </c>
      <c r="M128" s="164" t="str">
        <f>'LEVEL 3'!F129</f>
        <v>Count</v>
      </c>
      <c r="N128" s="161">
        <f>'LEVEL 3'!G129</f>
        <v>7</v>
      </c>
      <c r="O128" s="185">
        <f>'LEVEL 3'!H129</f>
        <v>1848.1428571428571</v>
      </c>
      <c r="P128" s="216">
        <f>'LEVEL 3'!I129</f>
        <v>0</v>
      </c>
      <c r="Q128" s="185">
        <f>'LEVEL 3'!J129</f>
        <v>1848.1428571428571</v>
      </c>
      <c r="R128" s="217">
        <f>'LEVEL 3'!K129</f>
        <v>12937</v>
      </c>
      <c r="S128" s="259"/>
      <c r="U128" s="429">
        <f t="shared" si="14"/>
        <v>-2763.7500100000034</v>
      </c>
      <c r="W128" s="432">
        <f t="shared" si="15"/>
        <v>-0.17602662345682446</v>
      </c>
      <c r="Y128" s="504"/>
    </row>
    <row r="129" spans="1:25" hidden="1" outlineLevel="1">
      <c r="A129" s="512" t="s">
        <v>324</v>
      </c>
      <c r="B129" s="290"/>
      <c r="C129" s="483" t="s">
        <v>127</v>
      </c>
      <c r="D129" s="164" t="s">
        <v>15</v>
      </c>
      <c r="E129" s="161">
        <v>5429.76</v>
      </c>
      <c r="F129" s="185">
        <v>1.5</v>
      </c>
      <c r="G129" s="216">
        <v>0</v>
      </c>
      <c r="H129" s="185">
        <v>1.5</v>
      </c>
      <c r="I129" s="217">
        <v>8144.64</v>
      </c>
      <c r="J129" s="259"/>
      <c r="L129" s="483" t="s">
        <v>195</v>
      </c>
      <c r="M129" s="164" t="str">
        <f>'LEVEL 3'!F130</f>
        <v>SF</v>
      </c>
      <c r="N129" s="161">
        <f>'LEVEL 3'!G130</f>
        <v>196289</v>
      </c>
      <c r="O129" s="185">
        <f>'LEVEL 3'!H130</f>
        <v>5.1209072935450933E-2</v>
      </c>
      <c r="P129" s="216">
        <f>'LEVEL 3'!I130</f>
        <v>0</v>
      </c>
      <c r="Q129" s="185">
        <f>'LEVEL 3'!J130</f>
        <v>5.1209072935450933E-2</v>
      </c>
      <c r="R129" s="217">
        <f>'LEVEL 3'!K130</f>
        <v>10051.777717426728</v>
      </c>
      <c r="S129" s="259"/>
      <c r="U129" s="429">
        <f t="shared" si="14"/>
        <v>1907.1377174267282</v>
      </c>
      <c r="W129" s="432">
        <f t="shared" si="15"/>
        <v>0.23415862670746995</v>
      </c>
      <c r="Y129" s="504"/>
    </row>
    <row r="130" spans="1:25" hidden="1" outlineLevel="1">
      <c r="A130" s="512" t="s">
        <v>327</v>
      </c>
      <c r="B130" s="290"/>
      <c r="C130" s="483" t="s">
        <v>127</v>
      </c>
      <c r="D130" s="164" t="s">
        <v>15</v>
      </c>
      <c r="E130" s="161">
        <v>5429.76</v>
      </c>
      <c r="F130" s="185">
        <v>10</v>
      </c>
      <c r="G130" s="216">
        <v>0</v>
      </c>
      <c r="H130" s="185">
        <v>10</v>
      </c>
      <c r="I130" s="217">
        <v>54297.600000000006</v>
      </c>
      <c r="J130" s="259"/>
      <c r="L130" s="483" t="s">
        <v>195</v>
      </c>
      <c r="M130" s="164" t="str">
        <f>'LEVEL 3'!F131</f>
        <v>SF</v>
      </c>
      <c r="N130" s="161">
        <f>'LEVEL 3'!G131</f>
        <v>196289</v>
      </c>
      <c r="O130" s="185">
        <f>'LEVEL 3'!H131</f>
        <v>0.29699958719881808</v>
      </c>
      <c r="P130" s="216">
        <f>'LEVEL 3'!I131</f>
        <v>0</v>
      </c>
      <c r="Q130" s="185">
        <f>'LEVEL 3'!J131</f>
        <v>0.29699958719881808</v>
      </c>
      <c r="R130" s="217">
        <f>'LEVEL 3'!K131</f>
        <v>58297.751971668804</v>
      </c>
      <c r="S130" s="259"/>
      <c r="U130" s="429">
        <f t="shared" si="14"/>
        <v>4000.1519716687981</v>
      </c>
      <c r="W130" s="432">
        <f t="shared" si="15"/>
        <v>7.367087995912891E-2</v>
      </c>
      <c r="Y130" s="504"/>
    </row>
    <row r="131" spans="1:25" hidden="1" outlineLevel="1">
      <c r="A131" s="512" t="s">
        <v>329</v>
      </c>
      <c r="B131" s="290"/>
      <c r="C131" s="483" t="s">
        <v>110</v>
      </c>
      <c r="D131" s="164" t="s">
        <v>187</v>
      </c>
      <c r="E131" s="167">
        <v>194</v>
      </c>
      <c r="F131" s="185">
        <v>85</v>
      </c>
      <c r="G131" s="216">
        <v>0</v>
      </c>
      <c r="H131" s="185">
        <v>85</v>
      </c>
      <c r="I131" s="217">
        <v>16490</v>
      </c>
      <c r="J131" s="259"/>
      <c r="L131" s="483" t="s">
        <v>110</v>
      </c>
      <c r="M131" s="164" t="str">
        <f>'LEVEL 3'!F132</f>
        <v>LS</v>
      </c>
      <c r="N131" s="167">
        <f>'LEVEL 3'!G132</f>
        <v>1</v>
      </c>
      <c r="O131" s="185">
        <f>'LEVEL 3'!H132</f>
        <v>10000</v>
      </c>
      <c r="P131" s="216">
        <f>'LEVEL 3'!I132</f>
        <v>0</v>
      </c>
      <c r="Q131" s="185">
        <f>'LEVEL 3'!J132</f>
        <v>10000</v>
      </c>
      <c r="R131" s="217">
        <f>'LEVEL 3'!K132</f>
        <v>10000</v>
      </c>
      <c r="S131" s="259"/>
      <c r="U131" s="429">
        <f t="shared" si="14"/>
        <v>-6490</v>
      </c>
      <c r="W131" s="432">
        <f t="shared" si="15"/>
        <v>-0.39357186173438446</v>
      </c>
      <c r="Y131" s="504"/>
    </row>
    <row r="132" spans="1:25" hidden="1" outlineLevel="1">
      <c r="A132" s="512" t="s">
        <v>331</v>
      </c>
      <c r="B132" s="290"/>
      <c r="C132" s="483" t="s">
        <v>116</v>
      </c>
      <c r="D132" s="164" t="s">
        <v>15</v>
      </c>
      <c r="E132" s="161">
        <v>196333</v>
      </c>
      <c r="F132" s="185">
        <v>1.84</v>
      </c>
      <c r="G132" s="216">
        <v>0</v>
      </c>
      <c r="H132" s="185">
        <v>1.84</v>
      </c>
      <c r="I132" s="217">
        <v>361252.72000000003</v>
      </c>
      <c r="J132" s="259"/>
      <c r="L132" s="483" t="s">
        <v>116</v>
      </c>
      <c r="M132" s="164" t="str">
        <f>'LEVEL 3'!F133</f>
        <v>SF</v>
      </c>
      <c r="N132" s="161">
        <f>'LEVEL 3'!G133</f>
        <v>196289</v>
      </c>
      <c r="O132" s="185">
        <f>'LEVEL 3'!H133</f>
        <v>1.8349054710146775</v>
      </c>
      <c r="P132" s="216">
        <f>'LEVEL 3'!I133</f>
        <v>0</v>
      </c>
      <c r="Q132" s="185">
        <f>'LEVEL 3'!J133</f>
        <v>1.8349054710146775</v>
      </c>
      <c r="R132" s="217">
        <f>'LEVEL 3'!K133</f>
        <v>360171.76</v>
      </c>
      <c r="S132" s="259"/>
      <c r="U132" s="429">
        <f t="shared" si="14"/>
        <v>-1080.960000000021</v>
      </c>
      <c r="W132" s="432">
        <f t="shared" si="15"/>
        <v>-2.9922542866944249E-3</v>
      </c>
      <c r="Y132" s="504"/>
    </row>
    <row r="133" spans="1:25" hidden="1" outlineLevel="1">
      <c r="A133" s="512" t="s">
        <v>333</v>
      </c>
      <c r="B133" s="290"/>
      <c r="C133" s="483" t="s">
        <v>118</v>
      </c>
      <c r="D133" s="164"/>
      <c r="E133" s="161"/>
      <c r="F133" s="185"/>
      <c r="G133" s="216">
        <v>0</v>
      </c>
      <c r="H133" s="185">
        <v>0</v>
      </c>
      <c r="I133" s="217">
        <v>0</v>
      </c>
      <c r="J133" s="259"/>
      <c r="L133" s="483" t="s">
        <v>118</v>
      </c>
      <c r="M133" s="164">
        <f>'LEVEL 3'!F135</f>
        <v>0</v>
      </c>
      <c r="N133" s="161">
        <f>'LEVEL 3'!G135</f>
        <v>0</v>
      </c>
      <c r="O133" s="185">
        <f>'LEVEL 3'!H135</f>
        <v>0</v>
      </c>
      <c r="P133" s="216">
        <f>'LEVEL 3'!I135</f>
        <v>0</v>
      </c>
      <c r="Q133" s="185">
        <f>'LEVEL 3'!J135</f>
        <v>0</v>
      </c>
      <c r="R133" s="217">
        <f>'LEVEL 3'!K135</f>
        <v>0</v>
      </c>
      <c r="S133" s="259"/>
      <c r="U133" s="429">
        <f t="shared" si="14"/>
        <v>0</v>
      </c>
      <c r="W133" s="432">
        <f t="shared" si="15"/>
        <v>0</v>
      </c>
      <c r="Y133" s="504"/>
    </row>
    <row r="134" spans="1:25" hidden="1" outlineLevel="1">
      <c r="A134" s="512" t="s">
        <v>335</v>
      </c>
      <c r="B134" s="290"/>
      <c r="C134" s="483" t="s">
        <v>118</v>
      </c>
      <c r="D134" s="164"/>
      <c r="E134" s="161"/>
      <c r="F134" s="185"/>
      <c r="G134" s="216">
        <v>0</v>
      </c>
      <c r="H134" s="185">
        <v>0</v>
      </c>
      <c r="I134" s="217">
        <v>0</v>
      </c>
      <c r="J134" s="259"/>
      <c r="L134" s="483" t="s">
        <v>118</v>
      </c>
      <c r="M134" s="164">
        <f>'LEVEL 3'!F136</f>
        <v>0</v>
      </c>
      <c r="N134" s="161">
        <f>'LEVEL 3'!G136</f>
        <v>0</v>
      </c>
      <c r="O134" s="185">
        <f>'LEVEL 3'!H136</f>
        <v>0</v>
      </c>
      <c r="P134" s="216">
        <f>'LEVEL 3'!I136</f>
        <v>0</v>
      </c>
      <c r="Q134" s="185">
        <f>'LEVEL 3'!J136</f>
        <v>0</v>
      </c>
      <c r="R134" s="217">
        <f>'LEVEL 3'!K136</f>
        <v>0</v>
      </c>
      <c r="S134" s="259"/>
      <c r="U134" s="429">
        <f t="shared" si="14"/>
        <v>0</v>
      </c>
      <c r="W134" s="432">
        <f t="shared" si="15"/>
        <v>0</v>
      </c>
      <c r="Y134" s="504"/>
    </row>
    <row r="135" spans="1:25" hidden="1" outlineLevel="1">
      <c r="A135" s="512" t="s">
        <v>337</v>
      </c>
      <c r="B135" s="290"/>
      <c r="C135" s="483" t="s">
        <v>118</v>
      </c>
      <c r="D135" s="164"/>
      <c r="E135" s="161"/>
      <c r="F135" s="185"/>
      <c r="G135" s="216">
        <v>0</v>
      </c>
      <c r="H135" s="185">
        <v>0</v>
      </c>
      <c r="I135" s="217">
        <v>0</v>
      </c>
      <c r="J135" s="259"/>
      <c r="L135" s="483" t="s">
        <v>118</v>
      </c>
      <c r="M135" s="164">
        <f>'LEVEL 3'!F137</f>
        <v>0</v>
      </c>
      <c r="N135" s="161">
        <f>'LEVEL 3'!G137</f>
        <v>0</v>
      </c>
      <c r="O135" s="185">
        <f>'LEVEL 3'!H137</f>
        <v>0</v>
      </c>
      <c r="P135" s="216">
        <f>'LEVEL 3'!I137</f>
        <v>0</v>
      </c>
      <c r="Q135" s="185">
        <f>'LEVEL 3'!J137</f>
        <v>0</v>
      </c>
      <c r="R135" s="217">
        <f>'LEVEL 3'!K137</f>
        <v>0</v>
      </c>
      <c r="S135" s="259"/>
      <c r="U135" s="429">
        <f t="shared" si="14"/>
        <v>0</v>
      </c>
      <c r="W135" s="432">
        <f t="shared" si="15"/>
        <v>0</v>
      </c>
      <c r="Y135" s="504"/>
    </row>
    <row r="136" spans="1:25" hidden="1" outlineLevel="1">
      <c r="A136" s="512" t="s">
        <v>338</v>
      </c>
      <c r="B136" s="290"/>
      <c r="C136" s="483" t="s">
        <v>118</v>
      </c>
      <c r="D136" s="164"/>
      <c r="E136" s="161"/>
      <c r="F136" s="185"/>
      <c r="G136" s="216">
        <v>0</v>
      </c>
      <c r="H136" s="185">
        <v>0</v>
      </c>
      <c r="I136" s="217">
        <v>0</v>
      </c>
      <c r="J136" s="259"/>
      <c r="L136" s="483" t="s">
        <v>118</v>
      </c>
      <c r="M136" s="164">
        <f>'LEVEL 3'!F138</f>
        <v>0</v>
      </c>
      <c r="N136" s="161">
        <f>'LEVEL 3'!G138</f>
        <v>0</v>
      </c>
      <c r="O136" s="185">
        <f>'LEVEL 3'!H138</f>
        <v>0</v>
      </c>
      <c r="P136" s="216">
        <f>'LEVEL 3'!I138</f>
        <v>0</v>
      </c>
      <c r="Q136" s="185">
        <f>'LEVEL 3'!J138</f>
        <v>0</v>
      </c>
      <c r="R136" s="217">
        <f>'LEVEL 3'!K138</f>
        <v>0</v>
      </c>
      <c r="S136" s="259"/>
      <c r="U136" s="429">
        <f t="shared" si="14"/>
        <v>0</v>
      </c>
      <c r="W136" s="432">
        <f t="shared" si="15"/>
        <v>0</v>
      </c>
      <c r="Y136" s="504"/>
    </row>
    <row r="137" spans="1:25" collapsed="1">
      <c r="A137" s="509" t="s">
        <v>340</v>
      </c>
      <c r="B137" s="290"/>
      <c r="C137" s="479"/>
      <c r="D137" s="305"/>
      <c r="E137" s="306"/>
      <c r="F137" s="307"/>
      <c r="G137" s="308"/>
      <c r="H137" s="307"/>
      <c r="I137" s="421"/>
      <c r="J137" s="480">
        <v>229816</v>
      </c>
      <c r="L137" s="479"/>
      <c r="M137" s="305"/>
      <c r="N137" s="306"/>
      <c r="O137" s="307"/>
      <c r="P137" s="308"/>
      <c r="Q137" s="307"/>
      <c r="R137" s="421"/>
      <c r="S137" s="480">
        <f>'LEVEL 3'!L139</f>
        <v>233950</v>
      </c>
      <c r="U137" s="491">
        <f>S137-J137</f>
        <v>4134</v>
      </c>
      <c r="W137" s="497">
        <f>IF(J137=0,0,U137/J137)</f>
        <v>1.7988303686427402E-2</v>
      </c>
      <c r="Y137" s="504"/>
    </row>
    <row r="138" spans="1:25" hidden="1" outlineLevel="1">
      <c r="A138" s="511" t="s">
        <v>342</v>
      </c>
      <c r="B138" s="290"/>
      <c r="C138" s="482" t="s">
        <v>118</v>
      </c>
      <c r="D138" s="176"/>
      <c r="E138" s="167"/>
      <c r="F138" s="413">
        <v>5478</v>
      </c>
      <c r="G138" s="414">
        <v>0</v>
      </c>
      <c r="H138" s="415">
        <v>5478</v>
      </c>
      <c r="I138" s="416">
        <v>0</v>
      </c>
      <c r="J138" s="259"/>
      <c r="L138" s="482" t="s">
        <v>118</v>
      </c>
      <c r="M138" s="176">
        <f>'LEVEL 3'!F140</f>
        <v>0</v>
      </c>
      <c r="N138" s="167">
        <f>'LEVEL 3'!G140</f>
        <v>0</v>
      </c>
      <c r="O138" s="413">
        <f>'LEVEL 3'!H140</f>
        <v>5478</v>
      </c>
      <c r="P138" s="414">
        <f>'LEVEL 3'!I140</f>
        <v>0</v>
      </c>
      <c r="Q138" s="415">
        <f>'LEVEL 3'!J140</f>
        <v>5478</v>
      </c>
      <c r="R138" s="416">
        <f>'LEVEL 3'!K140</f>
        <v>0</v>
      </c>
      <c r="S138" s="259"/>
      <c r="U138" s="429">
        <f t="shared" ref="U138:U153" si="16">R138-I138</f>
        <v>0</v>
      </c>
      <c r="W138" s="432">
        <f t="shared" ref="W138:W153" si="17">IF(I138=0,0,U138/I138)</f>
        <v>0</v>
      </c>
      <c r="Y138" s="504"/>
    </row>
    <row r="139" spans="1:25" hidden="1" outlineLevel="1">
      <c r="A139" s="512" t="s">
        <v>344</v>
      </c>
      <c r="B139" s="290"/>
      <c r="C139" s="483" t="s">
        <v>127</v>
      </c>
      <c r="D139" s="164" t="s">
        <v>10</v>
      </c>
      <c r="E139" s="167">
        <v>194</v>
      </c>
      <c r="F139" s="185">
        <v>155</v>
      </c>
      <c r="G139" s="216">
        <v>0</v>
      </c>
      <c r="H139" s="185">
        <v>155</v>
      </c>
      <c r="I139" s="217">
        <v>30070</v>
      </c>
      <c r="J139" s="259"/>
      <c r="L139" s="483" t="s">
        <v>127</v>
      </c>
      <c r="M139" s="164" t="str">
        <f>'LEVEL 3'!F141</f>
        <v>Unit</v>
      </c>
      <c r="N139" s="167">
        <f>'LEVEL 3'!G141</f>
        <v>194</v>
      </c>
      <c r="O139" s="185">
        <f>'LEVEL 3'!H141</f>
        <v>155</v>
      </c>
      <c r="P139" s="216">
        <f>'LEVEL 3'!I141</f>
        <v>0</v>
      </c>
      <c r="Q139" s="185">
        <f>'LEVEL 3'!J141</f>
        <v>155</v>
      </c>
      <c r="R139" s="217">
        <f>'LEVEL 3'!K141</f>
        <v>30070</v>
      </c>
      <c r="S139" s="259"/>
      <c r="U139" s="429">
        <f t="shared" si="16"/>
        <v>0</v>
      </c>
      <c r="W139" s="432">
        <f t="shared" si="17"/>
        <v>0</v>
      </c>
      <c r="Y139" s="504"/>
    </row>
    <row r="140" spans="1:25" hidden="1" outlineLevel="1">
      <c r="A140" s="512" t="s">
        <v>347</v>
      </c>
      <c r="B140" s="290"/>
      <c r="C140" s="478" t="s">
        <v>127</v>
      </c>
      <c r="D140" s="164" t="s">
        <v>121</v>
      </c>
      <c r="E140" s="161">
        <v>1</v>
      </c>
      <c r="F140" s="185">
        <v>5688</v>
      </c>
      <c r="G140" s="216">
        <v>0</v>
      </c>
      <c r="H140" s="185">
        <v>5688</v>
      </c>
      <c r="I140" s="217">
        <v>5688</v>
      </c>
      <c r="J140" s="259"/>
      <c r="L140" s="478" t="s">
        <v>110</v>
      </c>
      <c r="M140" s="164" t="str">
        <f>'LEVEL 3'!F142</f>
        <v>LS</v>
      </c>
      <c r="N140" s="161">
        <f>'LEVEL 3'!G142</f>
        <v>1</v>
      </c>
      <c r="O140" s="185">
        <f>'LEVEL 3'!H142</f>
        <v>6000</v>
      </c>
      <c r="P140" s="216">
        <f>'LEVEL 3'!I142</f>
        <v>0</v>
      </c>
      <c r="Q140" s="185">
        <f>'LEVEL 3'!J142</f>
        <v>6000</v>
      </c>
      <c r="R140" s="217">
        <f>'LEVEL 3'!K142</f>
        <v>6000</v>
      </c>
      <c r="S140" s="259"/>
      <c r="U140" s="429">
        <f t="shared" si="16"/>
        <v>312</v>
      </c>
      <c r="W140" s="432">
        <f t="shared" si="17"/>
        <v>5.4852320675105488E-2</v>
      </c>
      <c r="Y140" s="504"/>
    </row>
    <row r="141" spans="1:25" hidden="1" outlineLevel="1">
      <c r="A141" s="512" t="s">
        <v>349</v>
      </c>
      <c r="B141" s="290"/>
      <c r="C141" s="483" t="s">
        <v>127</v>
      </c>
      <c r="D141" s="164" t="s">
        <v>121</v>
      </c>
      <c r="E141" s="161">
        <v>1</v>
      </c>
      <c r="F141" s="185">
        <v>4500</v>
      </c>
      <c r="G141" s="216">
        <v>0</v>
      </c>
      <c r="H141" s="185">
        <v>4500</v>
      </c>
      <c r="I141" s="217">
        <v>4500</v>
      </c>
      <c r="J141" s="259"/>
      <c r="L141" s="483" t="s">
        <v>110</v>
      </c>
      <c r="M141" s="164" t="str">
        <f>'LEVEL 3'!F143</f>
        <v>LS</v>
      </c>
      <c r="N141" s="161">
        <f>'LEVEL 3'!G143</f>
        <v>1</v>
      </c>
      <c r="O141" s="185">
        <f>'LEVEL 3'!H143</f>
        <v>5000</v>
      </c>
      <c r="P141" s="216">
        <f>'LEVEL 3'!I143</f>
        <v>0</v>
      </c>
      <c r="Q141" s="185">
        <f>'LEVEL 3'!J143</f>
        <v>5000</v>
      </c>
      <c r="R141" s="217">
        <f>'LEVEL 3'!K143</f>
        <v>5000</v>
      </c>
      <c r="S141" s="259"/>
      <c r="U141" s="429">
        <f t="shared" si="16"/>
        <v>500</v>
      </c>
      <c r="W141" s="432">
        <f t="shared" si="17"/>
        <v>0.1111111111111111</v>
      </c>
      <c r="Y141" s="504"/>
    </row>
    <row r="142" spans="1:25" hidden="1" outlineLevel="1">
      <c r="A142" s="512" t="s">
        <v>351</v>
      </c>
      <c r="B142" s="290"/>
      <c r="C142" s="483" t="s">
        <v>110</v>
      </c>
      <c r="D142" s="164" t="s">
        <v>121</v>
      </c>
      <c r="E142" s="161">
        <v>1</v>
      </c>
      <c r="F142" s="185">
        <v>7000</v>
      </c>
      <c r="G142" s="216">
        <v>0</v>
      </c>
      <c r="H142" s="185">
        <v>7000</v>
      </c>
      <c r="I142" s="217">
        <v>7000</v>
      </c>
      <c r="J142" s="259"/>
      <c r="L142" s="483" t="s">
        <v>110</v>
      </c>
      <c r="M142" s="164" t="str">
        <f>'LEVEL 3'!F144</f>
        <v>LS</v>
      </c>
      <c r="N142" s="161">
        <f>'LEVEL 3'!G144</f>
        <v>1</v>
      </c>
      <c r="O142" s="185">
        <f>'LEVEL 3'!H144</f>
        <v>7000</v>
      </c>
      <c r="P142" s="216">
        <f>'LEVEL 3'!I144</f>
        <v>0</v>
      </c>
      <c r="Q142" s="185">
        <f>'LEVEL 3'!J144</f>
        <v>7000</v>
      </c>
      <c r="R142" s="217">
        <f>'LEVEL 3'!K144</f>
        <v>7000</v>
      </c>
      <c r="S142" s="259"/>
      <c r="U142" s="429">
        <f t="shared" si="16"/>
        <v>0</v>
      </c>
      <c r="W142" s="432">
        <f t="shared" si="17"/>
        <v>0</v>
      </c>
      <c r="Y142" s="504"/>
    </row>
    <row r="143" spans="1:25" hidden="1" outlineLevel="1">
      <c r="A143" s="512" t="s">
        <v>354</v>
      </c>
      <c r="B143" s="290"/>
      <c r="C143" s="483" t="s">
        <v>127</v>
      </c>
      <c r="D143" s="164" t="s">
        <v>979</v>
      </c>
      <c r="E143" s="167">
        <v>194</v>
      </c>
      <c r="F143" s="185">
        <v>17</v>
      </c>
      <c r="G143" s="216">
        <v>0</v>
      </c>
      <c r="H143" s="185">
        <v>17</v>
      </c>
      <c r="I143" s="217">
        <v>3298</v>
      </c>
      <c r="J143" s="259"/>
      <c r="L143" s="483" t="s">
        <v>127</v>
      </c>
      <c r="M143" s="164" t="str">
        <f>'LEVEL 3'!F145</f>
        <v>Unit</v>
      </c>
      <c r="N143" s="167">
        <f>'LEVEL 3'!G145</f>
        <v>194</v>
      </c>
      <c r="O143" s="185">
        <f>'LEVEL 3'!H145</f>
        <v>17</v>
      </c>
      <c r="P143" s="216">
        <f>'LEVEL 3'!I145</f>
        <v>0</v>
      </c>
      <c r="Q143" s="185">
        <f>'LEVEL 3'!J145</f>
        <v>17</v>
      </c>
      <c r="R143" s="217">
        <f>'LEVEL 3'!K145</f>
        <v>3298</v>
      </c>
      <c r="S143" s="259"/>
      <c r="U143" s="429">
        <f t="shared" si="16"/>
        <v>0</v>
      </c>
      <c r="W143" s="432">
        <f t="shared" si="17"/>
        <v>0</v>
      </c>
      <c r="Y143" s="504"/>
    </row>
    <row r="144" spans="1:25" hidden="1" outlineLevel="1">
      <c r="A144" s="512" t="s">
        <v>356</v>
      </c>
      <c r="B144" s="290"/>
      <c r="C144" s="483" t="s">
        <v>118</v>
      </c>
      <c r="D144" s="164"/>
      <c r="E144" s="161"/>
      <c r="F144" s="185">
        <v>0</v>
      </c>
      <c r="G144" s="216">
        <v>0</v>
      </c>
      <c r="H144" s="185">
        <v>0</v>
      </c>
      <c r="I144" s="217">
        <v>0</v>
      </c>
      <c r="J144" s="259"/>
      <c r="L144" s="483" t="s">
        <v>118</v>
      </c>
      <c r="M144" s="164">
        <f>'LEVEL 3'!F146</f>
        <v>0</v>
      </c>
      <c r="N144" s="161">
        <f>'LEVEL 3'!G146</f>
        <v>0</v>
      </c>
      <c r="O144" s="185">
        <f>'LEVEL 3'!H146</f>
        <v>0</v>
      </c>
      <c r="P144" s="216">
        <f>'LEVEL 3'!I146</f>
        <v>0</v>
      </c>
      <c r="Q144" s="185">
        <f>'LEVEL 3'!J146</f>
        <v>0</v>
      </c>
      <c r="R144" s="217">
        <f>'LEVEL 3'!K146</f>
        <v>0</v>
      </c>
      <c r="S144" s="259"/>
      <c r="U144" s="429">
        <f t="shared" si="16"/>
        <v>0</v>
      </c>
      <c r="W144" s="432">
        <f t="shared" si="17"/>
        <v>0</v>
      </c>
      <c r="Y144" s="504"/>
    </row>
    <row r="145" spans="1:25" hidden="1" outlineLevel="1">
      <c r="A145" s="512" t="s">
        <v>358</v>
      </c>
      <c r="B145" s="290"/>
      <c r="C145" s="483" t="s">
        <v>118</v>
      </c>
      <c r="D145" s="164"/>
      <c r="E145" s="161"/>
      <c r="F145" s="185">
        <v>0</v>
      </c>
      <c r="G145" s="216">
        <v>0</v>
      </c>
      <c r="H145" s="185">
        <v>0</v>
      </c>
      <c r="I145" s="217">
        <v>0</v>
      </c>
      <c r="J145" s="259"/>
      <c r="L145" s="483" t="s">
        <v>118</v>
      </c>
      <c r="M145" s="164">
        <f>'LEVEL 3'!F147</f>
        <v>0</v>
      </c>
      <c r="N145" s="161">
        <f>'LEVEL 3'!G147</f>
        <v>0</v>
      </c>
      <c r="O145" s="185">
        <f>'LEVEL 3'!H147</f>
        <v>0</v>
      </c>
      <c r="P145" s="216">
        <f>'LEVEL 3'!I147</f>
        <v>0</v>
      </c>
      <c r="Q145" s="185">
        <f>'LEVEL 3'!J147</f>
        <v>0</v>
      </c>
      <c r="R145" s="217">
        <f>'LEVEL 3'!K147</f>
        <v>0</v>
      </c>
      <c r="S145" s="259"/>
      <c r="U145" s="429">
        <f t="shared" si="16"/>
        <v>0</v>
      </c>
      <c r="W145" s="432">
        <f t="shared" si="17"/>
        <v>0</v>
      </c>
      <c r="Y145" s="504"/>
    </row>
    <row r="146" spans="1:25" hidden="1" outlineLevel="1">
      <c r="A146" s="512" t="s">
        <v>360</v>
      </c>
      <c r="B146" s="290"/>
      <c r="C146" s="483" t="s">
        <v>118</v>
      </c>
      <c r="D146" s="164"/>
      <c r="E146" s="161"/>
      <c r="F146" s="185">
        <v>0</v>
      </c>
      <c r="G146" s="216">
        <v>0</v>
      </c>
      <c r="H146" s="185">
        <v>0</v>
      </c>
      <c r="I146" s="217">
        <v>0</v>
      </c>
      <c r="J146" s="259"/>
      <c r="L146" s="483" t="s">
        <v>118</v>
      </c>
      <c r="M146" s="164">
        <f>'LEVEL 3'!F148</f>
        <v>0</v>
      </c>
      <c r="N146" s="161">
        <f>'LEVEL 3'!G148</f>
        <v>0</v>
      </c>
      <c r="O146" s="185">
        <f>'LEVEL 3'!H148</f>
        <v>0</v>
      </c>
      <c r="P146" s="216">
        <f>'LEVEL 3'!I148</f>
        <v>0</v>
      </c>
      <c r="Q146" s="185">
        <f>'LEVEL 3'!J148</f>
        <v>0</v>
      </c>
      <c r="R146" s="217">
        <f>'LEVEL 3'!K148</f>
        <v>0</v>
      </c>
      <c r="S146" s="259"/>
      <c r="U146" s="429">
        <f t="shared" si="16"/>
        <v>0</v>
      </c>
      <c r="W146" s="432">
        <f t="shared" si="17"/>
        <v>0</v>
      </c>
      <c r="Y146" s="504"/>
    </row>
    <row r="147" spans="1:25" hidden="1" outlineLevel="1">
      <c r="A147" s="512" t="s">
        <v>362</v>
      </c>
      <c r="B147" s="290"/>
      <c r="C147" s="483" t="s">
        <v>306</v>
      </c>
      <c r="D147" s="164" t="s">
        <v>121</v>
      </c>
      <c r="E147" s="161">
        <v>2</v>
      </c>
      <c r="F147" s="185">
        <v>3360</v>
      </c>
      <c r="G147" s="216">
        <v>0</v>
      </c>
      <c r="H147" s="185">
        <v>3360</v>
      </c>
      <c r="I147" s="217">
        <v>6720</v>
      </c>
      <c r="J147" s="259"/>
      <c r="L147" s="483" t="s">
        <v>306</v>
      </c>
      <c r="M147" s="164" t="str">
        <f>'LEVEL 3'!F149</f>
        <v>LS</v>
      </c>
      <c r="N147" s="161">
        <f>'LEVEL 3'!G149</f>
        <v>2</v>
      </c>
      <c r="O147" s="185">
        <f>'LEVEL 3'!H149</f>
        <v>3360</v>
      </c>
      <c r="P147" s="216">
        <f>'LEVEL 3'!I149</f>
        <v>0</v>
      </c>
      <c r="Q147" s="185">
        <f>'LEVEL 3'!J149</f>
        <v>3360</v>
      </c>
      <c r="R147" s="217">
        <f>'LEVEL 3'!K149</f>
        <v>6720</v>
      </c>
      <c r="S147" s="259"/>
      <c r="U147" s="429">
        <f t="shared" si="16"/>
        <v>0</v>
      </c>
      <c r="W147" s="432">
        <f t="shared" si="17"/>
        <v>0</v>
      </c>
      <c r="Y147" s="504"/>
    </row>
    <row r="148" spans="1:25" hidden="1" outlineLevel="1">
      <c r="A148" s="512" t="s">
        <v>364</v>
      </c>
      <c r="B148" s="290"/>
      <c r="C148" s="483" t="s">
        <v>110</v>
      </c>
      <c r="D148" s="164" t="s">
        <v>32</v>
      </c>
      <c r="E148" s="161">
        <v>3</v>
      </c>
      <c r="F148" s="185">
        <v>550</v>
      </c>
      <c r="G148" s="216">
        <v>0</v>
      </c>
      <c r="H148" s="185">
        <v>550</v>
      </c>
      <c r="I148" s="217">
        <v>1650</v>
      </c>
      <c r="J148" s="259"/>
      <c r="L148" s="483" t="s">
        <v>110</v>
      </c>
      <c r="M148" s="164" t="str">
        <f>'LEVEL 3'!F150</f>
        <v>LS</v>
      </c>
      <c r="N148" s="161">
        <f>'LEVEL 3'!G150</f>
        <v>1</v>
      </c>
      <c r="O148" s="185">
        <f>'LEVEL 3'!H150</f>
        <v>2000</v>
      </c>
      <c r="P148" s="216">
        <f>'LEVEL 3'!I150</f>
        <v>0</v>
      </c>
      <c r="Q148" s="185">
        <f>'LEVEL 3'!J150</f>
        <v>2000</v>
      </c>
      <c r="R148" s="217">
        <f>'LEVEL 3'!K150</f>
        <v>2000</v>
      </c>
      <c r="S148" s="259"/>
      <c r="U148" s="429">
        <f t="shared" si="16"/>
        <v>350</v>
      </c>
      <c r="W148" s="432">
        <f t="shared" si="17"/>
        <v>0.21212121212121213</v>
      </c>
      <c r="Y148" s="504"/>
    </row>
    <row r="149" spans="1:25" hidden="1" outlineLevel="1">
      <c r="A149" s="512" t="s">
        <v>366</v>
      </c>
      <c r="B149" s="290"/>
      <c r="C149" s="483" t="s">
        <v>127</v>
      </c>
      <c r="D149" s="164" t="s">
        <v>10</v>
      </c>
      <c r="E149" s="167">
        <v>194</v>
      </c>
      <c r="F149" s="185">
        <v>79</v>
      </c>
      <c r="G149" s="216">
        <v>0</v>
      </c>
      <c r="H149" s="185">
        <v>79</v>
      </c>
      <c r="I149" s="217">
        <v>15326</v>
      </c>
      <c r="J149" s="259"/>
      <c r="L149" s="483" t="s">
        <v>110</v>
      </c>
      <c r="M149" s="164" t="str">
        <f>'LEVEL 3'!F151</f>
        <v>LS</v>
      </c>
      <c r="N149" s="167">
        <f>'LEVEL 3'!G151</f>
        <v>1</v>
      </c>
      <c r="O149" s="185">
        <f>'LEVEL 3'!H151</f>
        <v>15000</v>
      </c>
      <c r="P149" s="216">
        <f>'LEVEL 3'!I151</f>
        <v>0</v>
      </c>
      <c r="Q149" s="185">
        <f>'LEVEL 3'!J151</f>
        <v>15000</v>
      </c>
      <c r="R149" s="217">
        <f>'LEVEL 3'!K151</f>
        <v>15000</v>
      </c>
      <c r="S149" s="259"/>
      <c r="U149" s="429">
        <f t="shared" si="16"/>
        <v>-326</v>
      </c>
      <c r="W149" s="432">
        <f t="shared" si="17"/>
        <v>-2.1271042672582539E-2</v>
      </c>
      <c r="Y149" s="504"/>
    </row>
    <row r="150" spans="1:25" hidden="1" outlineLevel="1">
      <c r="A150" s="512" t="s">
        <v>368</v>
      </c>
      <c r="B150" s="290"/>
      <c r="C150" s="483" t="s">
        <v>370</v>
      </c>
      <c r="D150" s="164" t="s">
        <v>10</v>
      </c>
      <c r="E150" s="167">
        <v>194</v>
      </c>
      <c r="F150" s="185">
        <v>153</v>
      </c>
      <c r="G150" s="216">
        <v>0</v>
      </c>
      <c r="H150" s="185">
        <v>153</v>
      </c>
      <c r="I150" s="217">
        <v>29682</v>
      </c>
      <c r="J150" s="259"/>
      <c r="L150" s="483" t="s">
        <v>370</v>
      </c>
      <c r="M150" s="164" t="str">
        <f>'LEVEL 3'!F152</f>
        <v>Unit</v>
      </c>
      <c r="N150" s="167">
        <f>'LEVEL 3'!G152</f>
        <v>194</v>
      </c>
      <c r="O150" s="185">
        <f>'LEVEL 3'!H152</f>
        <v>153</v>
      </c>
      <c r="P150" s="216">
        <f>'LEVEL 3'!I152</f>
        <v>0</v>
      </c>
      <c r="Q150" s="185">
        <f>'LEVEL 3'!J152</f>
        <v>153</v>
      </c>
      <c r="R150" s="217">
        <f>'LEVEL 3'!K152</f>
        <v>29682</v>
      </c>
      <c r="S150" s="259"/>
      <c r="U150" s="429">
        <f t="shared" si="16"/>
        <v>0</v>
      </c>
      <c r="W150" s="432">
        <f t="shared" si="17"/>
        <v>0</v>
      </c>
      <c r="Y150" s="504"/>
    </row>
    <row r="151" spans="1:25" hidden="1" outlineLevel="1">
      <c r="A151" s="512" t="s">
        <v>371</v>
      </c>
      <c r="B151" s="290"/>
      <c r="C151" s="483" t="s">
        <v>116</v>
      </c>
      <c r="D151" s="164" t="s">
        <v>10</v>
      </c>
      <c r="E151" s="167">
        <v>194</v>
      </c>
      <c r="F151" s="185">
        <v>203</v>
      </c>
      <c r="G151" s="216">
        <v>0</v>
      </c>
      <c r="H151" s="185">
        <v>203</v>
      </c>
      <c r="I151" s="217">
        <v>39382</v>
      </c>
      <c r="J151" s="259"/>
      <c r="L151" s="483" t="s">
        <v>116</v>
      </c>
      <c r="M151" s="164" t="str">
        <f>'LEVEL 3'!F153</f>
        <v>Unit</v>
      </c>
      <c r="N151" s="167">
        <f>'LEVEL 3'!G153</f>
        <v>194</v>
      </c>
      <c r="O151" s="185">
        <f>'LEVEL 3'!H153</f>
        <v>220</v>
      </c>
      <c r="P151" s="216">
        <f>'LEVEL 3'!I153</f>
        <v>0</v>
      </c>
      <c r="Q151" s="185">
        <f>'LEVEL 3'!J153</f>
        <v>220</v>
      </c>
      <c r="R151" s="217">
        <f>'LEVEL 3'!K153</f>
        <v>42680</v>
      </c>
      <c r="S151" s="259"/>
      <c r="U151" s="429">
        <f t="shared" si="16"/>
        <v>3298</v>
      </c>
      <c r="W151" s="432">
        <f t="shared" si="17"/>
        <v>8.3743842364532015E-2</v>
      </c>
      <c r="Y151" s="504"/>
    </row>
    <row r="152" spans="1:25" hidden="1" outlineLevel="1">
      <c r="A152" s="512" t="s">
        <v>373</v>
      </c>
      <c r="B152" s="290"/>
      <c r="C152" s="483" t="s">
        <v>375</v>
      </c>
      <c r="D152" s="164" t="s">
        <v>32</v>
      </c>
      <c r="E152" s="161">
        <v>21</v>
      </c>
      <c r="F152" s="185">
        <v>2500</v>
      </c>
      <c r="G152" s="216">
        <v>0</v>
      </c>
      <c r="H152" s="185">
        <v>2500</v>
      </c>
      <c r="I152" s="217">
        <v>52500</v>
      </c>
      <c r="J152" s="259"/>
      <c r="L152" s="483" t="s">
        <v>116</v>
      </c>
      <c r="M152" s="164" t="str">
        <f>'LEVEL 3'!F154</f>
        <v>Count</v>
      </c>
      <c r="N152" s="161">
        <f>'LEVEL 3'!G154</f>
        <v>21</v>
      </c>
      <c r="O152" s="185">
        <f>'LEVEL 3'!H154</f>
        <v>2500</v>
      </c>
      <c r="P152" s="216">
        <f>'LEVEL 3'!I154</f>
        <v>0</v>
      </c>
      <c r="Q152" s="185">
        <f>'LEVEL 3'!J154</f>
        <v>2500</v>
      </c>
      <c r="R152" s="217">
        <f>'LEVEL 3'!K154</f>
        <v>52500</v>
      </c>
      <c r="S152" s="259"/>
      <c r="U152" s="429">
        <f t="shared" si="16"/>
        <v>0</v>
      </c>
      <c r="W152" s="432">
        <f t="shared" si="17"/>
        <v>0</v>
      </c>
      <c r="Y152" s="504"/>
    </row>
    <row r="153" spans="1:25" hidden="1" outlineLevel="1">
      <c r="A153" s="512" t="s">
        <v>377</v>
      </c>
      <c r="B153" s="290"/>
      <c r="C153" s="483" t="s">
        <v>375</v>
      </c>
      <c r="D153" s="164" t="s">
        <v>32</v>
      </c>
      <c r="E153" s="161">
        <v>4</v>
      </c>
      <c r="F153" s="185">
        <v>8500</v>
      </c>
      <c r="G153" s="216">
        <v>0</v>
      </c>
      <c r="H153" s="185">
        <v>8500</v>
      </c>
      <c r="I153" s="217">
        <v>34000</v>
      </c>
      <c r="J153" s="259"/>
      <c r="L153" s="483" t="s">
        <v>116</v>
      </c>
      <c r="M153" s="164" t="str">
        <f>'LEVEL 3'!F155</f>
        <v>Count</v>
      </c>
      <c r="N153" s="161">
        <f>'LEVEL 3'!G155</f>
        <v>4</v>
      </c>
      <c r="O153" s="185">
        <f>'LEVEL 3'!H155</f>
        <v>8500</v>
      </c>
      <c r="P153" s="216">
        <f>'LEVEL 3'!I155</f>
        <v>0</v>
      </c>
      <c r="Q153" s="185">
        <f>'LEVEL 3'!J155</f>
        <v>8500</v>
      </c>
      <c r="R153" s="217">
        <f>'LEVEL 3'!K155</f>
        <v>34000</v>
      </c>
      <c r="S153" s="259"/>
      <c r="U153" s="429">
        <f t="shared" si="16"/>
        <v>0</v>
      </c>
      <c r="W153" s="432">
        <f t="shared" si="17"/>
        <v>0</v>
      </c>
      <c r="Y153" s="504"/>
    </row>
    <row r="154" spans="1:25" collapsed="1">
      <c r="A154" s="509" t="s">
        <v>378</v>
      </c>
      <c r="B154" s="290"/>
      <c r="C154" s="479"/>
      <c r="D154" s="305"/>
      <c r="E154" s="306"/>
      <c r="F154" s="307"/>
      <c r="G154" s="308"/>
      <c r="H154" s="307"/>
      <c r="I154" s="421"/>
      <c r="J154" s="480">
        <v>682453</v>
      </c>
      <c r="L154" s="479"/>
      <c r="M154" s="305"/>
      <c r="N154" s="306"/>
      <c r="O154" s="307"/>
      <c r="P154" s="308"/>
      <c r="Q154" s="307"/>
      <c r="R154" s="421"/>
      <c r="S154" s="480">
        <f>'LEVEL 3'!L156</f>
        <v>621090.50256410253</v>
      </c>
      <c r="U154" s="491">
        <f>S154-J154</f>
        <v>-61362.497435897472</v>
      </c>
      <c r="W154" s="497">
        <f>IF(J154=0,0,U154/J154)</f>
        <v>-8.9914613073570598E-2</v>
      </c>
      <c r="Y154" s="504"/>
    </row>
    <row r="155" spans="1:25" hidden="1" outlineLevel="1">
      <c r="A155" s="510" t="s">
        <v>380</v>
      </c>
      <c r="B155" s="290"/>
      <c r="C155" s="481" t="s">
        <v>127</v>
      </c>
      <c r="D155" s="226" t="s">
        <v>10</v>
      </c>
      <c r="E155" s="168">
        <v>194</v>
      </c>
      <c r="F155" s="225">
        <f>H155/(1+G155)</f>
        <v>3198</v>
      </c>
      <c r="G155" s="311">
        <v>0.1</v>
      </c>
      <c r="H155" s="312">
        <v>3517.8</v>
      </c>
      <c r="I155" s="313">
        <f>H155*E155</f>
        <v>682453.20000000007</v>
      </c>
      <c r="J155" s="259"/>
      <c r="L155" s="481" t="s">
        <v>195</v>
      </c>
      <c r="M155" s="226" t="str">
        <f>'LEVEL 3'!F157</f>
        <v>Unit</v>
      </c>
      <c r="N155" s="168">
        <f>'LEVEL 3'!G157</f>
        <v>194</v>
      </c>
      <c r="O155" s="225">
        <f>'LEVEL 3'!H157</f>
        <v>3201.4974358974359</v>
      </c>
      <c r="P155" s="311">
        <f>'LEVEL 3'!I157</f>
        <v>0</v>
      </c>
      <c r="Q155" s="312">
        <f>'LEVEL 3'!J157</f>
        <v>3201.4974358974359</v>
      </c>
      <c r="R155" s="313">
        <f>'LEVEL 3'!K157</f>
        <v>621090.50256410253</v>
      </c>
      <c r="S155" s="259"/>
      <c r="U155" s="429">
        <f>R155-I155</f>
        <v>-61362.697435897542</v>
      </c>
      <c r="W155" s="432">
        <f>IF(I155=0,0,U155/I155)</f>
        <v>-8.9914879783547841E-2</v>
      </c>
      <c r="Y155" s="504"/>
    </row>
    <row r="156" spans="1:25" collapsed="1">
      <c r="A156" s="509" t="s">
        <v>382</v>
      </c>
      <c r="B156" s="290"/>
      <c r="C156" s="479"/>
      <c r="D156" s="305"/>
      <c r="E156" s="306"/>
      <c r="F156" s="307"/>
      <c r="G156" s="308"/>
      <c r="H156" s="307"/>
      <c r="I156" s="421"/>
      <c r="J156" s="480">
        <v>1059147</v>
      </c>
      <c r="L156" s="479"/>
      <c r="M156" s="305"/>
      <c r="N156" s="306"/>
      <c r="O156" s="307"/>
      <c r="P156" s="308"/>
      <c r="Q156" s="307"/>
      <c r="R156" s="421"/>
      <c r="S156" s="480">
        <f>'LEVEL 3'!L158</f>
        <v>1046615.3613445379</v>
      </c>
      <c r="U156" s="491">
        <f>S156-J156</f>
        <v>-12531.638655462069</v>
      </c>
      <c r="W156" s="497">
        <f>IF(J156=0,0,U156/J156)</f>
        <v>-1.1831821886350119E-2</v>
      </c>
      <c r="Y156" s="504"/>
    </row>
    <row r="157" spans="1:25" hidden="1" outlineLevel="1">
      <c r="A157" s="511" t="s">
        <v>184</v>
      </c>
      <c r="B157" s="290"/>
      <c r="C157" s="482" t="s">
        <v>274</v>
      </c>
      <c r="D157" s="176" t="s">
        <v>10</v>
      </c>
      <c r="E157" s="167">
        <v>194</v>
      </c>
      <c r="F157" s="413">
        <v>79</v>
      </c>
      <c r="G157" s="414">
        <v>0</v>
      </c>
      <c r="H157" s="415">
        <v>79</v>
      </c>
      <c r="I157" s="416">
        <v>15326</v>
      </c>
      <c r="J157" s="259"/>
      <c r="L157" s="482" t="s">
        <v>118</v>
      </c>
      <c r="M157" s="176">
        <f>'LEVEL 3'!F159</f>
        <v>0</v>
      </c>
      <c r="N157" s="167">
        <f>'LEVEL 3'!G159</f>
        <v>0</v>
      </c>
      <c r="O157" s="413">
        <f>'LEVEL 3'!H159</f>
        <v>0</v>
      </c>
      <c r="P157" s="414">
        <f>'LEVEL 3'!I159</f>
        <v>0</v>
      </c>
      <c r="Q157" s="415">
        <f>'LEVEL 3'!J159</f>
        <v>0</v>
      </c>
      <c r="R157" s="416">
        <f>'LEVEL 3'!K159</f>
        <v>0</v>
      </c>
      <c r="S157" s="259"/>
      <c r="U157" s="429">
        <f t="shared" ref="U157:U164" si="18">R157-I157</f>
        <v>-15326</v>
      </c>
      <c r="W157" s="432">
        <f t="shared" ref="W157:W164" si="19">IF(I157=0,0,U157/I157)</f>
        <v>-1</v>
      </c>
      <c r="Y157" s="504"/>
    </row>
    <row r="158" spans="1:25" hidden="1" outlineLevel="1">
      <c r="A158" s="512" t="s">
        <v>385</v>
      </c>
      <c r="B158" s="290"/>
      <c r="C158" s="483" t="s">
        <v>195</v>
      </c>
      <c r="D158" s="164" t="s">
        <v>235</v>
      </c>
      <c r="E158" s="167">
        <v>194</v>
      </c>
      <c r="F158" s="185">
        <v>334</v>
      </c>
      <c r="G158" s="216">
        <v>0</v>
      </c>
      <c r="H158" s="185">
        <v>334</v>
      </c>
      <c r="I158" s="217">
        <v>46170</v>
      </c>
      <c r="J158" s="259"/>
      <c r="L158" s="483" t="s">
        <v>246</v>
      </c>
      <c r="M158" s="164" t="str">
        <f>'LEVEL 3'!F160</f>
        <v>Per Unit</v>
      </c>
      <c r="N158" s="167">
        <f>'LEVEL 3'!G160</f>
        <v>194</v>
      </c>
      <c r="O158" s="185">
        <f>'LEVEL 3'!H160</f>
        <v>377.77731092436977</v>
      </c>
      <c r="P158" s="216">
        <f>'LEVEL 3'!I160</f>
        <v>0</v>
      </c>
      <c r="Q158" s="185">
        <f>'LEVEL 3'!J160</f>
        <v>377.77731092436977</v>
      </c>
      <c r="R158" s="217">
        <f>'LEVEL 3'!K160</f>
        <v>73288.798319327732</v>
      </c>
      <c r="S158" s="259"/>
      <c r="U158" s="429">
        <f t="shared" si="18"/>
        <v>27118.798319327732</v>
      </c>
      <c r="W158" s="432">
        <f t="shared" si="19"/>
        <v>0.58736838465080643</v>
      </c>
      <c r="Y158" s="504"/>
    </row>
    <row r="159" spans="1:25" hidden="1" outlineLevel="1">
      <c r="A159" s="512" t="s">
        <v>387</v>
      </c>
      <c r="B159" s="290"/>
      <c r="C159" s="483" t="s">
        <v>195</v>
      </c>
      <c r="D159" s="164" t="s">
        <v>10</v>
      </c>
      <c r="E159" s="167">
        <v>194</v>
      </c>
      <c r="F159" s="185">
        <v>3106</v>
      </c>
      <c r="G159" s="216">
        <v>0</v>
      </c>
      <c r="H159" s="185">
        <v>3106</v>
      </c>
      <c r="I159" s="217">
        <v>602564</v>
      </c>
      <c r="J159" s="259"/>
      <c r="L159" s="483" t="s">
        <v>246</v>
      </c>
      <c r="M159" s="164" t="str">
        <f>'LEVEL 3'!F161</f>
        <v>Unit</v>
      </c>
      <c r="N159" s="167">
        <f>'LEVEL 3'!G161</f>
        <v>194</v>
      </c>
      <c r="O159" s="185">
        <f>'LEVEL 3'!H161</f>
        <v>3148</v>
      </c>
      <c r="P159" s="216">
        <f>'LEVEL 3'!I161</f>
        <v>0</v>
      </c>
      <c r="Q159" s="185">
        <f>'LEVEL 3'!J161</f>
        <v>3148</v>
      </c>
      <c r="R159" s="217">
        <f>'LEVEL 3'!K161</f>
        <v>610712</v>
      </c>
      <c r="S159" s="259"/>
      <c r="U159" s="429">
        <f t="shared" si="18"/>
        <v>8148</v>
      </c>
      <c r="W159" s="432">
        <f t="shared" si="19"/>
        <v>1.3522215067611075E-2</v>
      </c>
      <c r="Y159" s="504"/>
    </row>
    <row r="160" spans="1:25" hidden="1" outlineLevel="1">
      <c r="A160" s="512" t="s">
        <v>389</v>
      </c>
      <c r="B160" s="290"/>
      <c r="C160" s="483" t="s">
        <v>195</v>
      </c>
      <c r="D160" s="164" t="s">
        <v>121</v>
      </c>
      <c r="E160" s="161">
        <v>1</v>
      </c>
      <c r="F160" s="185">
        <v>15700</v>
      </c>
      <c r="G160" s="216">
        <v>0</v>
      </c>
      <c r="H160" s="185">
        <v>15700</v>
      </c>
      <c r="I160" s="217">
        <v>15700</v>
      </c>
      <c r="J160" s="259"/>
      <c r="L160" s="483" t="s">
        <v>110</v>
      </c>
      <c r="M160" s="164" t="str">
        <f>'LEVEL 3'!F162</f>
        <v>LS</v>
      </c>
      <c r="N160" s="161">
        <f>'LEVEL 3'!G162</f>
        <v>1</v>
      </c>
      <c r="O160" s="185">
        <f>'LEVEL 3'!H162</f>
        <v>17500</v>
      </c>
      <c r="P160" s="216">
        <f>'LEVEL 3'!I162</f>
        <v>0</v>
      </c>
      <c r="Q160" s="185">
        <f>'LEVEL 3'!J162</f>
        <v>17500</v>
      </c>
      <c r="R160" s="217">
        <f>'LEVEL 3'!K162</f>
        <v>17500</v>
      </c>
      <c r="S160" s="259"/>
      <c r="U160" s="429">
        <f t="shared" si="18"/>
        <v>1800</v>
      </c>
      <c r="W160" s="432">
        <f t="shared" si="19"/>
        <v>0.11464968152866242</v>
      </c>
      <c r="Y160" s="504"/>
    </row>
    <row r="161" spans="1:25" hidden="1" outlineLevel="1">
      <c r="A161" s="512" t="s">
        <v>391</v>
      </c>
      <c r="B161" s="290"/>
      <c r="C161" s="483" t="s">
        <v>306</v>
      </c>
      <c r="D161" s="164" t="s">
        <v>15</v>
      </c>
      <c r="E161" s="167">
        <v>11437.45</v>
      </c>
      <c r="F161" s="185">
        <v>29.62</v>
      </c>
      <c r="G161" s="216">
        <v>0</v>
      </c>
      <c r="H161" s="185">
        <v>29.62</v>
      </c>
      <c r="I161" s="217">
        <v>338777.26900000003</v>
      </c>
      <c r="J161" s="259"/>
      <c r="L161" s="483" t="s">
        <v>246</v>
      </c>
      <c r="M161" s="164" t="str">
        <f>'LEVEL 3'!F163</f>
        <v>Unit</v>
      </c>
      <c r="N161" s="167">
        <f>'LEVEL 3'!G163</f>
        <v>194</v>
      </c>
      <c r="O161" s="185">
        <f>'LEVEL 3'!H163</f>
        <v>1567.6008403361345</v>
      </c>
      <c r="P161" s="216">
        <f>'LEVEL 3'!I163</f>
        <v>0</v>
      </c>
      <c r="Q161" s="185">
        <f>'LEVEL 3'!J163</f>
        <v>1567.6008403361345</v>
      </c>
      <c r="R161" s="217">
        <f>'LEVEL 3'!K163</f>
        <v>304114.56302521011</v>
      </c>
      <c r="S161" s="259"/>
      <c r="U161" s="429">
        <f t="shared" si="18"/>
        <v>-34662.705974789918</v>
      </c>
      <c r="W161" s="432">
        <f t="shared" si="19"/>
        <v>-0.10231709487802121</v>
      </c>
      <c r="Y161" s="504"/>
    </row>
    <row r="162" spans="1:25" hidden="1" outlineLevel="1">
      <c r="A162" s="512" t="s">
        <v>394</v>
      </c>
      <c r="B162" s="290"/>
      <c r="C162" s="483" t="s">
        <v>110</v>
      </c>
      <c r="D162" s="164" t="s">
        <v>121</v>
      </c>
      <c r="E162" s="161">
        <v>1</v>
      </c>
      <c r="F162" s="185">
        <v>35000</v>
      </c>
      <c r="G162" s="216">
        <v>0</v>
      </c>
      <c r="H162" s="185">
        <v>35000</v>
      </c>
      <c r="I162" s="217">
        <v>35000</v>
      </c>
      <c r="J162" s="259"/>
      <c r="L162" s="483" t="s">
        <v>110</v>
      </c>
      <c r="M162" s="164" t="str">
        <f>'LEVEL 3'!F164</f>
        <v>LS</v>
      </c>
      <c r="N162" s="161">
        <f>'LEVEL 3'!G164</f>
        <v>1</v>
      </c>
      <c r="O162" s="185">
        <f>'LEVEL 3'!H164</f>
        <v>35000</v>
      </c>
      <c r="P162" s="216">
        <f>'LEVEL 3'!I164</f>
        <v>0</v>
      </c>
      <c r="Q162" s="185">
        <f>'LEVEL 3'!J164</f>
        <v>35000</v>
      </c>
      <c r="R162" s="217">
        <f>'LEVEL 3'!K164</f>
        <v>35000</v>
      </c>
      <c r="S162" s="259"/>
      <c r="U162" s="429">
        <f t="shared" si="18"/>
        <v>0</v>
      </c>
      <c r="W162" s="432">
        <f t="shared" si="19"/>
        <v>0</v>
      </c>
      <c r="Y162" s="504"/>
    </row>
    <row r="163" spans="1:25" hidden="1" outlineLevel="1">
      <c r="A163" s="512" t="s">
        <v>397</v>
      </c>
      <c r="B163" s="290"/>
      <c r="C163" s="483" t="s">
        <v>118</v>
      </c>
      <c r="D163" s="164"/>
      <c r="E163" s="161"/>
      <c r="F163" s="185"/>
      <c r="G163" s="216">
        <v>0</v>
      </c>
      <c r="H163" s="185">
        <v>0</v>
      </c>
      <c r="I163" s="217">
        <v>0</v>
      </c>
      <c r="J163" s="259"/>
      <c r="L163" s="483" t="s">
        <v>118</v>
      </c>
      <c r="M163" s="164">
        <f>'LEVEL 3'!F165</f>
        <v>0</v>
      </c>
      <c r="N163" s="161">
        <f>'LEVEL 3'!G165</f>
        <v>0</v>
      </c>
      <c r="O163" s="185">
        <f>'LEVEL 3'!H165</f>
        <v>0</v>
      </c>
      <c r="P163" s="216">
        <f>'LEVEL 3'!I165</f>
        <v>0</v>
      </c>
      <c r="Q163" s="185">
        <f>'LEVEL 3'!J165</f>
        <v>0</v>
      </c>
      <c r="R163" s="217">
        <f>'LEVEL 3'!K165</f>
        <v>0</v>
      </c>
      <c r="S163" s="259"/>
      <c r="U163" s="429">
        <f t="shared" si="18"/>
        <v>0</v>
      </c>
      <c r="W163" s="432">
        <f t="shared" si="19"/>
        <v>0</v>
      </c>
      <c r="Y163" s="504"/>
    </row>
    <row r="164" spans="1:25" hidden="1" outlineLevel="1">
      <c r="A164" s="512" t="s">
        <v>399</v>
      </c>
      <c r="B164" s="290"/>
      <c r="C164" s="483" t="s">
        <v>127</v>
      </c>
      <c r="D164" s="164" t="s">
        <v>121</v>
      </c>
      <c r="E164" s="161">
        <v>1</v>
      </c>
      <c r="F164" s="185">
        <v>5610</v>
      </c>
      <c r="G164" s="216">
        <v>0</v>
      </c>
      <c r="H164" s="185">
        <v>5610</v>
      </c>
      <c r="I164" s="217">
        <v>5610</v>
      </c>
      <c r="J164" s="259"/>
      <c r="L164" s="483" t="s">
        <v>110</v>
      </c>
      <c r="M164" s="164" t="str">
        <f>'LEVEL 3'!F166</f>
        <v>LS</v>
      </c>
      <c r="N164" s="161">
        <f>'LEVEL 3'!G166</f>
        <v>1</v>
      </c>
      <c r="O164" s="185">
        <f>'LEVEL 3'!H166</f>
        <v>6000</v>
      </c>
      <c r="P164" s="216">
        <f>'LEVEL 3'!I166</f>
        <v>0</v>
      </c>
      <c r="Q164" s="185">
        <f>'LEVEL 3'!J166</f>
        <v>6000</v>
      </c>
      <c r="R164" s="217">
        <f>'LEVEL 3'!K166</f>
        <v>6000</v>
      </c>
      <c r="S164" s="259"/>
      <c r="U164" s="429">
        <f t="shared" si="18"/>
        <v>390</v>
      </c>
      <c r="W164" s="432">
        <f t="shared" si="19"/>
        <v>6.9518716577540107E-2</v>
      </c>
      <c r="Y164" s="504"/>
    </row>
    <row r="165" spans="1:25" collapsed="1">
      <c r="A165" s="509" t="s">
        <v>402</v>
      </c>
      <c r="B165" s="290"/>
      <c r="C165" s="479"/>
      <c r="D165" s="305"/>
      <c r="E165" s="306"/>
      <c r="F165" s="307"/>
      <c r="G165" s="308"/>
      <c r="H165" s="307"/>
      <c r="I165" s="421"/>
      <c r="J165" s="480">
        <v>554071</v>
      </c>
      <c r="L165" s="479"/>
      <c r="M165" s="305"/>
      <c r="N165" s="306"/>
      <c r="O165" s="307"/>
      <c r="P165" s="308"/>
      <c r="Q165" s="307"/>
      <c r="R165" s="421"/>
      <c r="S165" s="480">
        <f>'LEVEL 3'!L167</f>
        <v>572485</v>
      </c>
      <c r="U165" s="491">
        <f>S165-J165</f>
        <v>18414</v>
      </c>
      <c r="W165" s="497">
        <f>IF(J165=0,0,U165/J165)</f>
        <v>3.3234007915953011E-2</v>
      </c>
      <c r="Y165" s="504"/>
    </row>
    <row r="166" spans="1:25" hidden="1" outlineLevel="1">
      <c r="A166" s="511" t="s">
        <v>404</v>
      </c>
      <c r="B166" s="290"/>
      <c r="C166" s="482" t="s">
        <v>116</v>
      </c>
      <c r="D166" s="176" t="s">
        <v>121</v>
      </c>
      <c r="E166" s="167">
        <v>1</v>
      </c>
      <c r="F166" s="413">
        <v>276771</v>
      </c>
      <c r="G166" s="414">
        <v>0</v>
      </c>
      <c r="H166" s="415">
        <v>276771</v>
      </c>
      <c r="I166" s="416">
        <v>276771</v>
      </c>
      <c r="J166" s="259"/>
      <c r="L166" s="482" t="s">
        <v>116</v>
      </c>
      <c r="M166" s="176" t="str">
        <f>'LEVEL 3'!F168</f>
        <v>LS</v>
      </c>
      <c r="N166" s="167">
        <f>'LEVEL 3'!G168</f>
        <v>1</v>
      </c>
      <c r="O166" s="413">
        <f>'LEVEL 3'!H168</f>
        <v>245000</v>
      </c>
      <c r="P166" s="414">
        <f>'LEVEL 3'!I168</f>
        <v>0</v>
      </c>
      <c r="Q166" s="415">
        <f>'LEVEL 3'!J168</f>
        <v>245000</v>
      </c>
      <c r="R166" s="416">
        <f>'LEVEL 3'!K168</f>
        <v>245000</v>
      </c>
      <c r="S166" s="259"/>
      <c r="U166" s="429">
        <f>R166-I166</f>
        <v>-31771</v>
      </c>
      <c r="W166" s="432">
        <f>IF(I166=0,0,U166/I166)</f>
        <v>-0.11479165085937472</v>
      </c>
      <c r="Y166" s="504"/>
    </row>
    <row r="167" spans="1:25" hidden="1" outlineLevel="1">
      <c r="A167" s="512" t="s">
        <v>68</v>
      </c>
      <c r="B167" s="290"/>
      <c r="C167" s="483" t="s">
        <v>195</v>
      </c>
      <c r="D167" s="164" t="s">
        <v>121</v>
      </c>
      <c r="E167" s="161">
        <v>1</v>
      </c>
      <c r="F167" s="185">
        <v>270319.91559999995</v>
      </c>
      <c r="G167" s="216">
        <v>0</v>
      </c>
      <c r="H167" s="185">
        <v>270319.91559999995</v>
      </c>
      <c r="I167" s="217">
        <v>270319.91559999995</v>
      </c>
      <c r="J167" s="259"/>
      <c r="L167" s="483" t="s">
        <v>195</v>
      </c>
      <c r="M167" s="164" t="str">
        <f>'LEVEL 3'!F169</f>
        <v>LS</v>
      </c>
      <c r="N167" s="161">
        <f>'LEVEL 3'!G169</f>
        <v>1</v>
      </c>
      <c r="O167" s="185">
        <f>'LEVEL 3'!H169</f>
        <v>320436</v>
      </c>
      <c r="P167" s="216">
        <f>'LEVEL 3'!I169</f>
        <v>0</v>
      </c>
      <c r="Q167" s="185">
        <f>'LEVEL 3'!J169</f>
        <v>320436</v>
      </c>
      <c r="R167" s="217">
        <f>'LEVEL 3'!K169</f>
        <v>320436</v>
      </c>
      <c r="S167" s="259"/>
      <c r="U167" s="429">
        <f>R167-I167</f>
        <v>50116.084400000051</v>
      </c>
      <c r="W167" s="432">
        <f>IF(I167=0,0,U167/I167)</f>
        <v>0.18539545741113</v>
      </c>
      <c r="Y167" s="504"/>
    </row>
    <row r="168" spans="1:25" hidden="1" outlineLevel="1">
      <c r="A168" s="512" t="s">
        <v>408</v>
      </c>
      <c r="B168" s="290"/>
      <c r="C168" s="483" t="s">
        <v>127</v>
      </c>
      <c r="D168" s="164" t="s">
        <v>32</v>
      </c>
      <c r="E168" s="161">
        <v>1</v>
      </c>
      <c r="F168" s="185">
        <v>6980</v>
      </c>
      <c r="G168" s="216">
        <v>0</v>
      </c>
      <c r="H168" s="185">
        <v>6980</v>
      </c>
      <c r="I168" s="217">
        <v>6980</v>
      </c>
      <c r="J168" s="259"/>
      <c r="L168" s="483" t="s">
        <v>246</v>
      </c>
      <c r="M168" s="164" t="str">
        <f>'LEVEL 3'!F170</f>
        <v>Count</v>
      </c>
      <c r="N168" s="161">
        <f>'LEVEL 3'!G170</f>
        <v>1</v>
      </c>
      <c r="O168" s="185">
        <f>'LEVEL 3'!H170</f>
        <v>7049</v>
      </c>
      <c r="P168" s="216">
        <f>'LEVEL 3'!I170</f>
        <v>0</v>
      </c>
      <c r="Q168" s="185">
        <f>'LEVEL 3'!J170</f>
        <v>7049</v>
      </c>
      <c r="R168" s="217">
        <f>'LEVEL 3'!K170</f>
        <v>7049</v>
      </c>
      <c r="S168" s="259"/>
      <c r="U168" s="429">
        <f>R168-I168</f>
        <v>69</v>
      </c>
      <c r="W168" s="432">
        <f>IF(I168=0,0,U168/I168)</f>
        <v>9.8853868194842404E-3</v>
      </c>
      <c r="Y168" s="504"/>
    </row>
    <row r="169" spans="1:25" hidden="1" collapsed="1">
      <c r="A169" s="509" t="s">
        <v>410</v>
      </c>
      <c r="B169" s="290"/>
      <c r="C169" s="479"/>
      <c r="D169" s="305"/>
      <c r="E169" s="306"/>
      <c r="F169" s="307"/>
      <c r="G169" s="308"/>
      <c r="H169" s="307"/>
      <c r="I169" s="421"/>
      <c r="J169" s="480">
        <v>0</v>
      </c>
      <c r="L169" s="479"/>
      <c r="M169" s="305"/>
      <c r="N169" s="306"/>
      <c r="O169" s="307"/>
      <c r="P169" s="308"/>
      <c r="Q169" s="307"/>
      <c r="R169" s="421"/>
      <c r="S169" s="480">
        <f>'LEVEL 3'!L171</f>
        <v>0</v>
      </c>
      <c r="U169" s="491">
        <f>S169-J169</f>
        <v>0</v>
      </c>
      <c r="W169" s="497">
        <f>IF(J169=0,0,U169/J169)</f>
        <v>0</v>
      </c>
      <c r="Y169" s="504"/>
    </row>
    <row r="170" spans="1:25" hidden="1" outlineLevel="1">
      <c r="A170" s="510" t="s">
        <v>410</v>
      </c>
      <c r="B170" s="290"/>
      <c r="C170" s="481" t="s">
        <v>118</v>
      </c>
      <c r="D170" s="226"/>
      <c r="E170" s="168"/>
      <c r="F170" s="225"/>
      <c r="G170" s="311">
        <v>0</v>
      </c>
      <c r="H170" s="312">
        <v>0</v>
      </c>
      <c r="I170" s="313">
        <v>0</v>
      </c>
      <c r="J170" s="259"/>
      <c r="L170" s="481" t="s">
        <v>118</v>
      </c>
      <c r="M170" s="226">
        <f>'LEVEL 3'!F172</f>
        <v>0</v>
      </c>
      <c r="N170" s="168">
        <f>'LEVEL 3'!G172</f>
        <v>0</v>
      </c>
      <c r="O170" s="225">
        <f>'LEVEL 3'!H172</f>
        <v>0</v>
      </c>
      <c r="P170" s="311">
        <f>'LEVEL 3'!I172</f>
        <v>0</v>
      </c>
      <c r="Q170" s="312">
        <f>'LEVEL 3'!J172</f>
        <v>0</v>
      </c>
      <c r="R170" s="313">
        <f>'LEVEL 3'!K172</f>
        <v>0</v>
      </c>
      <c r="S170" s="259"/>
      <c r="U170" s="429">
        <f>R170-I170</f>
        <v>0</v>
      </c>
      <c r="W170" s="432">
        <f>IF(I170=0,0,U170/I170)</f>
        <v>0</v>
      </c>
      <c r="Y170" s="504"/>
    </row>
    <row r="171" spans="1:25" collapsed="1">
      <c r="A171" s="509" t="s">
        <v>412</v>
      </c>
      <c r="B171" s="290"/>
      <c r="C171" s="479"/>
      <c r="D171" s="305"/>
      <c r="E171" s="306"/>
      <c r="F171" s="307"/>
      <c r="G171" s="308"/>
      <c r="H171" s="307"/>
      <c r="I171" s="421"/>
      <c r="J171" s="480">
        <v>337551</v>
      </c>
      <c r="L171" s="479"/>
      <c r="M171" s="305"/>
      <c r="N171" s="306"/>
      <c r="O171" s="307"/>
      <c r="P171" s="308"/>
      <c r="Q171" s="307"/>
      <c r="R171" s="421"/>
      <c r="S171" s="480">
        <f>'LEVEL 3'!L173</f>
        <v>323200</v>
      </c>
      <c r="U171" s="491">
        <f>S171-J171</f>
        <v>-14351</v>
      </c>
      <c r="W171" s="497">
        <f>IF(J171=0,0,U171/J171)</f>
        <v>-4.2515056983981676E-2</v>
      </c>
      <c r="Y171" s="504"/>
    </row>
    <row r="172" spans="1:25" hidden="1" outlineLevel="1">
      <c r="A172" s="511" t="s">
        <v>414</v>
      </c>
      <c r="B172" s="290"/>
      <c r="C172" s="482" t="s">
        <v>246</v>
      </c>
      <c r="D172" s="176" t="s">
        <v>416</v>
      </c>
      <c r="E172" s="167">
        <v>8</v>
      </c>
      <c r="F172" s="413">
        <v>40568.85</v>
      </c>
      <c r="G172" s="414">
        <v>0</v>
      </c>
      <c r="H172" s="415">
        <v>40568.85</v>
      </c>
      <c r="I172" s="416">
        <v>324550.8</v>
      </c>
      <c r="J172" s="259"/>
      <c r="L172" s="482" t="s">
        <v>116</v>
      </c>
      <c r="M172" s="176" t="str">
        <f>'LEVEL 3'!F174</f>
        <v>Stop</v>
      </c>
      <c r="N172" s="167">
        <f>'LEVEL 3'!G174</f>
        <v>8</v>
      </c>
      <c r="O172" s="413">
        <f>'LEVEL 3'!H174</f>
        <v>38775</v>
      </c>
      <c r="P172" s="414">
        <f>'LEVEL 3'!I174</f>
        <v>0</v>
      </c>
      <c r="Q172" s="415">
        <f>'LEVEL 3'!J174</f>
        <v>38775</v>
      </c>
      <c r="R172" s="416">
        <f>'LEVEL 3'!K174</f>
        <v>310200</v>
      </c>
      <c r="S172" s="259"/>
      <c r="U172" s="429">
        <f>R172-I172</f>
        <v>-14350.799999999988</v>
      </c>
      <c r="W172" s="432">
        <f>IF(I172=0,0,U172/I172)</f>
        <v>-4.4217422973537542E-2</v>
      </c>
      <c r="Y172" s="504"/>
    </row>
    <row r="173" spans="1:25" hidden="1" outlineLevel="1">
      <c r="A173" s="512" t="s">
        <v>417</v>
      </c>
      <c r="B173" s="290"/>
      <c r="C173" s="483" t="s">
        <v>127</v>
      </c>
      <c r="D173" s="164" t="s">
        <v>32</v>
      </c>
      <c r="E173" s="161">
        <v>2</v>
      </c>
      <c r="F173" s="185">
        <v>6500</v>
      </c>
      <c r="G173" s="216">
        <v>0</v>
      </c>
      <c r="H173" s="185">
        <v>6500</v>
      </c>
      <c r="I173" s="217">
        <v>13000</v>
      </c>
      <c r="J173" s="259"/>
      <c r="L173" s="483" t="s">
        <v>110</v>
      </c>
      <c r="M173" s="164" t="str">
        <f>'LEVEL 3'!F175</f>
        <v>Count</v>
      </c>
      <c r="N173" s="161">
        <f>'LEVEL 3'!G175</f>
        <v>2</v>
      </c>
      <c r="O173" s="185">
        <f>'LEVEL 3'!H175</f>
        <v>6500</v>
      </c>
      <c r="P173" s="216">
        <f>'LEVEL 3'!I175</f>
        <v>0</v>
      </c>
      <c r="Q173" s="185">
        <f>'LEVEL 3'!J175</f>
        <v>6500</v>
      </c>
      <c r="R173" s="217">
        <f>'LEVEL 3'!K175</f>
        <v>13000</v>
      </c>
      <c r="S173" s="259"/>
      <c r="U173" s="429"/>
      <c r="W173" s="432">
        <f>IF(I173=0,0,U173/I173)</f>
        <v>0</v>
      </c>
      <c r="Y173" s="504"/>
    </row>
    <row r="174" spans="1:25" collapsed="1">
      <c r="A174" s="509" t="s">
        <v>419</v>
      </c>
      <c r="B174" s="290"/>
      <c r="C174" s="479"/>
      <c r="D174" s="305"/>
      <c r="E174" s="306"/>
      <c r="F174" s="307"/>
      <c r="G174" s="308"/>
      <c r="H174" s="307"/>
      <c r="I174" s="421"/>
      <c r="J174" s="480">
        <v>625796</v>
      </c>
      <c r="L174" s="479"/>
      <c r="M174" s="305"/>
      <c r="N174" s="306"/>
      <c r="O174" s="307"/>
      <c r="P174" s="308"/>
      <c r="Q174" s="307"/>
      <c r="R174" s="421"/>
      <c r="S174" s="480">
        <f>'LEVEL 3'!L176</f>
        <v>623908.05000000005</v>
      </c>
      <c r="U174" s="491">
        <f>S174-J174</f>
        <v>-1887.9499999999534</v>
      </c>
      <c r="W174" s="497">
        <f>IF(J174=0,0,U174/J174)</f>
        <v>-3.0168777045554039E-3</v>
      </c>
      <c r="Y174" s="504"/>
    </row>
    <row r="175" spans="1:25" hidden="1" outlineLevel="1">
      <c r="A175" s="511" t="s">
        <v>421</v>
      </c>
      <c r="B175" s="290"/>
      <c r="C175" s="482" t="s">
        <v>110</v>
      </c>
      <c r="D175" s="176" t="s">
        <v>15</v>
      </c>
      <c r="E175" s="167">
        <v>196333</v>
      </c>
      <c r="F175" s="413">
        <v>0.06</v>
      </c>
      <c r="G175" s="414">
        <v>0</v>
      </c>
      <c r="H175" s="415">
        <v>0.06</v>
      </c>
      <c r="I175" s="416">
        <v>11779.98</v>
      </c>
      <c r="J175" s="259"/>
      <c r="L175" s="482" t="s">
        <v>110</v>
      </c>
      <c r="M175" s="176" t="str">
        <f>'LEVEL 3'!F177</f>
        <v>LS</v>
      </c>
      <c r="N175" s="167">
        <f>'LEVEL 3'!G177</f>
        <v>1</v>
      </c>
      <c r="O175" s="413">
        <f>'LEVEL 3'!H177</f>
        <v>10000</v>
      </c>
      <c r="P175" s="414">
        <f>'LEVEL 3'!I177</f>
        <v>0</v>
      </c>
      <c r="Q175" s="415">
        <f>'LEVEL 3'!J177</f>
        <v>10000</v>
      </c>
      <c r="R175" s="416">
        <f>'LEVEL 3'!K177</f>
        <v>10000</v>
      </c>
      <c r="S175" s="259"/>
      <c r="U175" s="429">
        <f>R175-I175</f>
        <v>-1779.9799999999996</v>
      </c>
      <c r="W175" s="432">
        <f>IF(I175=0,0,U175/I175)</f>
        <v>-0.15110212411226501</v>
      </c>
      <c r="Y175" s="504"/>
    </row>
    <row r="176" spans="1:25" hidden="1" outlineLevel="1">
      <c r="A176" s="512" t="s">
        <v>423</v>
      </c>
      <c r="B176" s="290"/>
      <c r="C176" s="483" t="s">
        <v>116</v>
      </c>
      <c r="D176" s="164" t="s">
        <v>15</v>
      </c>
      <c r="E176" s="161">
        <v>196333</v>
      </c>
      <c r="F176" s="185">
        <v>2.4500000000000002</v>
      </c>
      <c r="G176" s="216">
        <v>0</v>
      </c>
      <c r="H176" s="185">
        <v>2.4500000000000002</v>
      </c>
      <c r="I176" s="217">
        <v>481015.85000000003</v>
      </c>
      <c r="J176" s="259"/>
      <c r="L176" s="483" t="s">
        <v>116</v>
      </c>
      <c r="M176" s="164" t="str">
        <f>'LEVEL 3'!F178</f>
        <v>SF</v>
      </c>
      <c r="N176" s="161">
        <f>'LEVEL 3'!G178</f>
        <v>196289</v>
      </c>
      <c r="O176" s="185">
        <f>'LEVEL 3'!H178</f>
        <v>2.4500000000000002</v>
      </c>
      <c r="P176" s="216">
        <f>'LEVEL 3'!I178</f>
        <v>0</v>
      </c>
      <c r="Q176" s="185">
        <f>'LEVEL 3'!J178</f>
        <v>2.4500000000000002</v>
      </c>
      <c r="R176" s="217">
        <f>'LEVEL 3'!K178</f>
        <v>480908.05000000005</v>
      </c>
      <c r="S176" s="259"/>
      <c r="U176" s="429">
        <f>R176-I176</f>
        <v>-107.79999999998836</v>
      </c>
      <c r="W176" s="432">
        <f>IF(I176=0,0,U176/I176)</f>
        <v>-2.2410903923433782E-4</v>
      </c>
      <c r="Y176" s="504"/>
    </row>
    <row r="177" spans="1:25" hidden="1" outlineLevel="1">
      <c r="A177" s="512" t="s">
        <v>425</v>
      </c>
      <c r="B177" s="290"/>
      <c r="C177" s="483" t="s">
        <v>116</v>
      </c>
      <c r="D177" s="164" t="s">
        <v>32</v>
      </c>
      <c r="E177" s="161">
        <v>1</v>
      </c>
      <c r="F177" s="185">
        <v>133000</v>
      </c>
      <c r="G177" s="216">
        <v>0</v>
      </c>
      <c r="H177" s="185">
        <v>133000</v>
      </c>
      <c r="I177" s="217">
        <v>133000</v>
      </c>
      <c r="J177" s="259"/>
      <c r="L177" s="483" t="s">
        <v>116</v>
      </c>
      <c r="M177" s="164" t="str">
        <f>'LEVEL 3'!F179</f>
        <v>Count</v>
      </c>
      <c r="N177" s="161">
        <f>'LEVEL 3'!G179</f>
        <v>1</v>
      </c>
      <c r="O177" s="185">
        <f>'LEVEL 3'!H179</f>
        <v>133000</v>
      </c>
      <c r="P177" s="216">
        <f>'LEVEL 3'!I179</f>
        <v>0</v>
      </c>
      <c r="Q177" s="185">
        <f>'LEVEL 3'!J179</f>
        <v>133000</v>
      </c>
      <c r="R177" s="217">
        <f>'LEVEL 3'!K179</f>
        <v>133000</v>
      </c>
      <c r="S177" s="259"/>
      <c r="U177" s="429">
        <f>R177-I177</f>
        <v>0</v>
      </c>
      <c r="W177" s="432">
        <f>IF(I177=0,0,U177/I177)</f>
        <v>0</v>
      </c>
      <c r="Y177" s="504"/>
    </row>
    <row r="178" spans="1:25" collapsed="1">
      <c r="A178" s="509" t="s">
        <v>427</v>
      </c>
      <c r="B178" s="290"/>
      <c r="C178" s="479"/>
      <c r="D178" s="305"/>
      <c r="E178" s="306"/>
      <c r="F178" s="307"/>
      <c r="G178" s="308"/>
      <c r="H178" s="307"/>
      <c r="I178" s="421"/>
      <c r="J178" s="480">
        <v>2174758</v>
      </c>
      <c r="L178" s="479"/>
      <c r="M178" s="305"/>
      <c r="N178" s="306"/>
      <c r="O178" s="307"/>
      <c r="P178" s="308"/>
      <c r="Q178" s="307"/>
      <c r="R178" s="421"/>
      <c r="S178" s="480">
        <f>'LEVEL 3'!L180</f>
        <v>2072717.2631578948</v>
      </c>
      <c r="U178" s="491">
        <f>S178-J178</f>
        <v>-102040.73684210517</v>
      </c>
      <c r="W178" s="497">
        <f>IF(J178=0,0,U178/J178)</f>
        <v>-4.6920501886695054E-2</v>
      </c>
      <c r="Y178" s="504" t="s">
        <v>980</v>
      </c>
    </row>
    <row r="179" spans="1:25" hidden="1" outlineLevel="1">
      <c r="A179" s="511" t="s">
        <v>429</v>
      </c>
      <c r="B179" s="290"/>
      <c r="C179" s="482" t="s">
        <v>116</v>
      </c>
      <c r="D179" s="176" t="s">
        <v>32</v>
      </c>
      <c r="E179" s="167">
        <v>194</v>
      </c>
      <c r="F179" s="413">
        <v>10526.315789473685</v>
      </c>
      <c r="G179" s="414">
        <v>0.05</v>
      </c>
      <c r="H179" s="415">
        <f>F179*(1+G179)</f>
        <v>11052.63157894737</v>
      </c>
      <c r="I179" s="416">
        <v>2144146.2000000002</v>
      </c>
      <c r="J179" s="259"/>
      <c r="L179" s="482" t="s">
        <v>116</v>
      </c>
      <c r="M179" s="176" t="str">
        <f>'LEVEL 3'!F181</f>
        <v>Unit</v>
      </c>
      <c r="N179" s="167">
        <f>'LEVEL 3'!G181</f>
        <v>194</v>
      </c>
      <c r="O179" s="413">
        <f>'LEVEL 3'!H181</f>
        <v>10521.161150298427</v>
      </c>
      <c r="P179" s="414">
        <f>'LEVEL 3'!I181</f>
        <v>0</v>
      </c>
      <c r="Q179" s="415">
        <f>'LEVEL 3'!J181</f>
        <v>10521.161150298427</v>
      </c>
      <c r="R179" s="416">
        <f>'LEVEL 3'!K181</f>
        <v>2041105.2631578948</v>
      </c>
      <c r="S179" s="259"/>
      <c r="U179" s="429">
        <f>R179-I179</f>
        <v>-103040.93684210535</v>
      </c>
      <c r="W179" s="432">
        <f>IF(I179=0,0,U179/I179)</f>
        <v>-4.8056861440747528E-2</v>
      </c>
      <c r="Y179" s="504"/>
    </row>
    <row r="180" spans="1:25" hidden="1" outlineLevel="1">
      <c r="A180" s="512" t="s">
        <v>431</v>
      </c>
      <c r="B180" s="290"/>
      <c r="C180" s="482"/>
      <c r="D180" s="164"/>
      <c r="E180" s="161">
        <v>0</v>
      </c>
      <c r="F180" s="185">
        <v>13713</v>
      </c>
      <c r="G180" s="216">
        <v>0</v>
      </c>
      <c r="H180" s="185">
        <v>13713</v>
      </c>
      <c r="I180" s="217">
        <v>0</v>
      </c>
      <c r="J180" s="259"/>
      <c r="L180" s="482" t="s">
        <v>118</v>
      </c>
      <c r="M180" s="164">
        <f>'LEVEL 3'!F182</f>
        <v>0</v>
      </c>
      <c r="N180" s="161">
        <f>'LEVEL 3'!G182</f>
        <v>0</v>
      </c>
      <c r="O180" s="185">
        <f>'LEVEL 3'!H182</f>
        <v>0</v>
      </c>
      <c r="P180" s="216">
        <f>'LEVEL 3'!I182</f>
        <v>0</v>
      </c>
      <c r="Q180" s="185">
        <f>'LEVEL 3'!J182</f>
        <v>0</v>
      </c>
      <c r="R180" s="217">
        <f>'LEVEL 3'!K182</f>
        <v>0</v>
      </c>
      <c r="S180" s="259"/>
      <c r="U180" s="429">
        <f>R180-I180</f>
        <v>0</v>
      </c>
      <c r="W180" s="432">
        <f>IF(I180=0,0,U180/I180)</f>
        <v>0</v>
      </c>
      <c r="Y180" s="504"/>
    </row>
    <row r="181" spans="1:25" hidden="1" outlineLevel="1">
      <c r="A181" s="512" t="s">
        <v>432</v>
      </c>
      <c r="B181" s="290"/>
      <c r="C181" s="483" t="s">
        <v>118</v>
      </c>
      <c r="D181" s="164"/>
      <c r="E181" s="161"/>
      <c r="F181" s="185"/>
      <c r="G181" s="216">
        <v>0</v>
      </c>
      <c r="H181" s="185">
        <v>0</v>
      </c>
      <c r="I181" s="217">
        <v>0</v>
      </c>
      <c r="J181" s="259"/>
      <c r="L181" s="483" t="s">
        <v>118</v>
      </c>
      <c r="M181" s="164">
        <f>'LEVEL 3'!F184</f>
        <v>0</v>
      </c>
      <c r="N181" s="161">
        <f>'LEVEL 3'!G184</f>
        <v>0</v>
      </c>
      <c r="O181" s="185">
        <f>'LEVEL 3'!H184</f>
        <v>0</v>
      </c>
      <c r="P181" s="216">
        <f>'LEVEL 3'!I184</f>
        <v>0</v>
      </c>
      <c r="Q181" s="185">
        <f>'LEVEL 3'!J184</f>
        <v>0</v>
      </c>
      <c r="R181" s="217">
        <f>'LEVEL 3'!K184</f>
        <v>0</v>
      </c>
      <c r="S181" s="259"/>
      <c r="U181" s="429">
        <f>R181-I181</f>
        <v>0</v>
      </c>
      <c r="W181" s="432">
        <f>IF(I181=0,0,U181/I181)</f>
        <v>0</v>
      </c>
      <c r="Y181" s="504"/>
    </row>
    <row r="182" spans="1:25" hidden="1" outlineLevel="1">
      <c r="A182" s="512" t="s">
        <v>433</v>
      </c>
      <c r="B182" s="290"/>
      <c r="C182" s="483" t="s">
        <v>116</v>
      </c>
      <c r="D182" s="164" t="s">
        <v>121</v>
      </c>
      <c r="E182" s="161">
        <v>1</v>
      </c>
      <c r="F182" s="185">
        <v>24612</v>
      </c>
      <c r="G182" s="216">
        <v>0</v>
      </c>
      <c r="H182" s="185">
        <v>24612</v>
      </c>
      <c r="I182" s="217">
        <v>24612</v>
      </c>
      <c r="J182" s="259"/>
      <c r="L182" s="483" t="s">
        <v>116</v>
      </c>
      <c r="M182" s="164" t="str">
        <f>'LEVEL 3'!F185</f>
        <v>LS</v>
      </c>
      <c r="N182" s="161">
        <f>'LEVEL 3'!G185</f>
        <v>1</v>
      </c>
      <c r="O182" s="185">
        <f>'LEVEL 3'!H185</f>
        <v>24612</v>
      </c>
      <c r="P182" s="216">
        <f>'LEVEL 3'!I185</f>
        <v>0</v>
      </c>
      <c r="Q182" s="185">
        <f>'LEVEL 3'!J185</f>
        <v>24612</v>
      </c>
      <c r="R182" s="217">
        <f>'LEVEL 3'!K185</f>
        <v>24612</v>
      </c>
      <c r="S182" s="259"/>
      <c r="U182" s="429">
        <f>R182-I182</f>
        <v>0</v>
      </c>
      <c r="W182" s="432">
        <f>IF(I182=0,0,U182/I182)</f>
        <v>0</v>
      </c>
      <c r="Y182" s="504"/>
    </row>
    <row r="183" spans="1:25" hidden="1" outlineLevel="1">
      <c r="A183" s="512" t="s">
        <v>435</v>
      </c>
      <c r="B183" s="290"/>
      <c r="C183" s="483" t="s">
        <v>110</v>
      </c>
      <c r="D183" s="164" t="s">
        <v>121</v>
      </c>
      <c r="E183" s="161">
        <v>1</v>
      </c>
      <c r="F183" s="185">
        <v>6000</v>
      </c>
      <c r="G183" s="216">
        <v>0</v>
      </c>
      <c r="H183" s="185">
        <v>6000</v>
      </c>
      <c r="I183" s="217">
        <v>6000</v>
      </c>
      <c r="J183" s="259"/>
      <c r="L183" s="483" t="s">
        <v>110</v>
      </c>
      <c r="M183" s="164" t="str">
        <f>'LEVEL 3'!F186</f>
        <v>LS</v>
      </c>
      <c r="N183" s="161">
        <f>'LEVEL 3'!G186</f>
        <v>1</v>
      </c>
      <c r="O183" s="185">
        <f>'LEVEL 3'!H186</f>
        <v>6000</v>
      </c>
      <c r="P183" s="216">
        <f>'LEVEL 3'!I186</f>
        <v>0</v>
      </c>
      <c r="Q183" s="185">
        <f>'LEVEL 3'!J186</f>
        <v>6000</v>
      </c>
      <c r="R183" s="217">
        <f>'LEVEL 3'!K186</f>
        <v>6000</v>
      </c>
      <c r="S183" s="259"/>
      <c r="U183" s="429">
        <f>R183-I183</f>
        <v>0</v>
      </c>
      <c r="W183" s="432">
        <f>IF(I183=0,0,U183/I183)</f>
        <v>0</v>
      </c>
      <c r="Y183" s="504"/>
    </row>
    <row r="184" spans="1:25" collapsed="1">
      <c r="A184" s="509" t="s">
        <v>437</v>
      </c>
      <c r="B184" s="290"/>
      <c r="C184" s="479"/>
      <c r="D184" s="305"/>
      <c r="E184" s="306"/>
      <c r="F184" s="307"/>
      <c r="G184" s="308"/>
      <c r="H184" s="307"/>
      <c r="I184" s="421"/>
      <c r="J184" s="480">
        <v>2017484</v>
      </c>
      <c r="L184" s="479"/>
      <c r="M184" s="305"/>
      <c r="N184" s="306"/>
      <c r="O184" s="307"/>
      <c r="P184" s="308"/>
      <c r="Q184" s="307"/>
      <c r="R184" s="421"/>
      <c r="S184" s="480">
        <f>'LEVEL 3'!L187</f>
        <v>2078302.5999999999</v>
      </c>
      <c r="U184" s="491">
        <f>S184-J184</f>
        <v>60818.59999999986</v>
      </c>
      <c r="W184" s="497">
        <f>IF(J184=0,0,U184/J184)</f>
        <v>3.0145765716109701E-2</v>
      </c>
      <c r="Y184" s="504"/>
    </row>
    <row r="185" spans="1:25" hidden="1" outlineLevel="1">
      <c r="A185" s="510" t="s">
        <v>439</v>
      </c>
      <c r="B185" s="290"/>
      <c r="C185" s="481" t="s">
        <v>116</v>
      </c>
      <c r="D185" s="226" t="s">
        <v>10</v>
      </c>
      <c r="E185" s="168">
        <v>194</v>
      </c>
      <c r="F185" s="225">
        <f>H185/(1+G185)</f>
        <v>9454</v>
      </c>
      <c r="G185" s="311">
        <v>0.1</v>
      </c>
      <c r="H185" s="312">
        <v>10399.400000000001</v>
      </c>
      <c r="I185" s="313">
        <v>2017483.6000000003</v>
      </c>
      <c r="J185" s="259"/>
      <c r="L185" s="481" t="s">
        <v>116</v>
      </c>
      <c r="M185" s="226" t="str">
        <f>'LEVEL 3'!F189</f>
        <v>LS</v>
      </c>
      <c r="N185" s="168">
        <f>'LEVEL 3'!G189</f>
        <v>1</v>
      </c>
      <c r="O185" s="225">
        <f>'LEVEL 3'!H189</f>
        <v>15000</v>
      </c>
      <c r="P185" s="311">
        <f>'LEVEL 3'!I189</f>
        <v>0.1</v>
      </c>
      <c r="Q185" s="312">
        <f>'LEVEL 3'!J189</f>
        <v>16500</v>
      </c>
      <c r="R185" s="313">
        <f>'LEVEL 3'!K189</f>
        <v>16500</v>
      </c>
      <c r="S185" s="259"/>
      <c r="U185" s="429">
        <f>R185-I185</f>
        <v>-2000983.6000000003</v>
      </c>
      <c r="W185" s="432">
        <f>IF(I185=0,0,U185/I185)</f>
        <v>-0.99182149485626547</v>
      </c>
      <c r="Y185" s="504"/>
    </row>
    <row r="186" spans="1:25" collapsed="1">
      <c r="A186" s="509" t="s">
        <v>442</v>
      </c>
      <c r="B186" s="290"/>
      <c r="C186" s="479"/>
      <c r="D186" s="305"/>
      <c r="E186" s="306"/>
      <c r="F186" s="307"/>
      <c r="G186" s="308"/>
      <c r="H186" s="307"/>
      <c r="I186" s="421"/>
      <c r="J186" s="480">
        <v>2403699</v>
      </c>
      <c r="L186" s="479"/>
      <c r="M186" s="305"/>
      <c r="N186" s="306"/>
      <c r="O186" s="307"/>
      <c r="P186" s="308"/>
      <c r="Q186" s="307"/>
      <c r="R186" s="421"/>
      <c r="S186" s="480">
        <f>'LEVEL 3'!L190</f>
        <v>2246065.4308303986</v>
      </c>
      <c r="U186" s="491">
        <f>S186-J186</f>
        <v>-157633.56916960143</v>
      </c>
      <c r="W186" s="497">
        <f>IF(J186=0,0,U186/J186)</f>
        <v>-6.5579579294080259E-2</v>
      </c>
      <c r="Y186" s="504" t="s">
        <v>981</v>
      </c>
    </row>
    <row r="187" spans="1:25" hidden="1" outlineLevel="1">
      <c r="A187" s="511" t="s">
        <v>444</v>
      </c>
      <c r="B187" s="290"/>
      <c r="C187" s="482" t="s">
        <v>116</v>
      </c>
      <c r="D187" s="176" t="s">
        <v>446</v>
      </c>
      <c r="E187" s="167">
        <v>196333</v>
      </c>
      <c r="F187" s="413">
        <v>9.9499999999999993</v>
      </c>
      <c r="G187" s="414">
        <v>0.05</v>
      </c>
      <c r="H187" s="415">
        <v>10.29</v>
      </c>
      <c r="I187" s="416">
        <v>2020006.91</v>
      </c>
      <c r="J187" s="259"/>
      <c r="L187" s="482" t="s">
        <v>116</v>
      </c>
      <c r="M187" s="176" t="str">
        <f>'LEVEL 3'!F191</f>
        <v>SqFt</v>
      </c>
      <c r="N187" s="167">
        <f>'LEVEL 3'!G191</f>
        <v>196289</v>
      </c>
      <c r="O187" s="413">
        <f>'LEVEL 3'!H191</f>
        <v>9.2699536607970341</v>
      </c>
      <c r="P187" s="414">
        <f>'LEVEL 3'!I191</f>
        <v>0.05</v>
      </c>
      <c r="Q187" s="415">
        <f>'LEVEL 3'!J191</f>
        <v>9.7334513438368866</v>
      </c>
      <c r="R187" s="416">
        <f>'LEVEL 3'!K191</f>
        <v>1910569.4308303986</v>
      </c>
      <c r="S187" s="259"/>
      <c r="U187" s="429">
        <f t="shared" ref="U187:U202" si="20">R187-I187</f>
        <v>-109437.47916960134</v>
      </c>
      <c r="W187" s="432">
        <f t="shared" ref="W187:W202" si="21">IF(I187=0,0,U187/I187)</f>
        <v>-5.417678455842577E-2</v>
      </c>
      <c r="Y187" s="504"/>
    </row>
    <row r="188" spans="1:25" hidden="1" outlineLevel="1">
      <c r="A188" s="512" t="s">
        <v>447</v>
      </c>
      <c r="B188" s="290"/>
      <c r="C188" s="483" t="s">
        <v>127</v>
      </c>
      <c r="D188" s="164" t="s">
        <v>10</v>
      </c>
      <c r="E188" s="161">
        <v>194</v>
      </c>
      <c r="F188" s="185">
        <v>594</v>
      </c>
      <c r="G188" s="216">
        <v>0</v>
      </c>
      <c r="H188" s="185">
        <v>594</v>
      </c>
      <c r="I188" s="217">
        <v>115236</v>
      </c>
      <c r="J188" s="259"/>
      <c r="L188" s="483" t="s">
        <v>195</v>
      </c>
      <c r="M188" s="164" t="str">
        <f>'LEVEL 3'!F192</f>
        <v>Unit</v>
      </c>
      <c r="N188" s="161">
        <f>'LEVEL 3'!G192</f>
        <v>194</v>
      </c>
      <c r="O188" s="185">
        <f>'LEVEL 3'!H192</f>
        <v>594</v>
      </c>
      <c r="P188" s="216">
        <f>'LEVEL 3'!I192</f>
        <v>0</v>
      </c>
      <c r="Q188" s="185">
        <f>'LEVEL 3'!J192</f>
        <v>594</v>
      </c>
      <c r="R188" s="217">
        <f>'LEVEL 3'!K192</f>
        <v>115236</v>
      </c>
      <c r="S188" s="259"/>
      <c r="U188" s="429">
        <f t="shared" si="20"/>
        <v>0</v>
      </c>
      <c r="W188" s="432">
        <f t="shared" si="21"/>
        <v>0</v>
      </c>
      <c r="Y188" s="504"/>
    </row>
    <row r="189" spans="1:25" hidden="1" outlineLevel="1">
      <c r="A189" s="512" t="s">
        <v>449</v>
      </c>
      <c r="B189" s="290"/>
      <c r="C189" s="483" t="s">
        <v>127</v>
      </c>
      <c r="D189" s="164" t="s">
        <v>10</v>
      </c>
      <c r="E189" s="161">
        <v>194</v>
      </c>
      <c r="F189" s="185">
        <v>119</v>
      </c>
      <c r="G189" s="216">
        <v>0</v>
      </c>
      <c r="H189" s="185">
        <v>119</v>
      </c>
      <c r="I189" s="217">
        <v>23086</v>
      </c>
      <c r="J189" s="259"/>
      <c r="L189" s="483" t="s">
        <v>127</v>
      </c>
      <c r="M189" s="164" t="str">
        <f>'LEVEL 3'!F193</f>
        <v>Unit</v>
      </c>
      <c r="N189" s="161">
        <f>'LEVEL 3'!G193</f>
        <v>194</v>
      </c>
      <c r="O189" s="185">
        <f>'LEVEL 3'!H193</f>
        <v>119</v>
      </c>
      <c r="P189" s="216">
        <f>'LEVEL 3'!I193</f>
        <v>0</v>
      </c>
      <c r="Q189" s="185">
        <f>'LEVEL 3'!J193</f>
        <v>119</v>
      </c>
      <c r="R189" s="217">
        <f>'LEVEL 3'!K193</f>
        <v>23086</v>
      </c>
      <c r="S189" s="259"/>
      <c r="U189" s="429">
        <f t="shared" si="20"/>
        <v>0</v>
      </c>
      <c r="W189" s="432">
        <f t="shared" si="21"/>
        <v>0</v>
      </c>
      <c r="Y189" s="504"/>
    </row>
    <row r="190" spans="1:25" hidden="1" outlineLevel="1">
      <c r="A190" s="512" t="s">
        <v>451</v>
      </c>
      <c r="B190" s="290"/>
      <c r="C190" s="483" t="s">
        <v>127</v>
      </c>
      <c r="D190" s="164" t="s">
        <v>10</v>
      </c>
      <c r="E190" s="161">
        <v>194</v>
      </c>
      <c r="F190" s="185">
        <v>112</v>
      </c>
      <c r="G190" s="216">
        <v>0</v>
      </c>
      <c r="H190" s="185">
        <v>112</v>
      </c>
      <c r="I190" s="217">
        <v>21728</v>
      </c>
      <c r="J190" s="259"/>
      <c r="L190" s="483" t="s">
        <v>127</v>
      </c>
      <c r="M190" s="164" t="str">
        <f>'LEVEL 3'!F194</f>
        <v>Unit</v>
      </c>
      <c r="N190" s="161">
        <f>'LEVEL 3'!G194</f>
        <v>194</v>
      </c>
      <c r="O190" s="185">
        <f>'LEVEL 3'!H194</f>
        <v>112</v>
      </c>
      <c r="P190" s="216">
        <f>'LEVEL 3'!I194</f>
        <v>0</v>
      </c>
      <c r="Q190" s="185">
        <f>'LEVEL 3'!J194</f>
        <v>112</v>
      </c>
      <c r="R190" s="217">
        <f>'LEVEL 3'!K194</f>
        <v>21728</v>
      </c>
      <c r="S190" s="259"/>
      <c r="U190" s="429">
        <f t="shared" si="20"/>
        <v>0</v>
      </c>
      <c r="W190" s="432">
        <f t="shared" si="21"/>
        <v>0</v>
      </c>
      <c r="Y190" s="504"/>
    </row>
    <row r="191" spans="1:25" hidden="1" outlineLevel="1">
      <c r="A191" s="512" t="s">
        <v>453</v>
      </c>
      <c r="B191" s="290"/>
      <c r="C191" s="483" t="s">
        <v>127</v>
      </c>
      <c r="D191" s="164" t="s">
        <v>454</v>
      </c>
      <c r="E191" s="161">
        <v>116</v>
      </c>
      <c r="F191" s="185">
        <v>138</v>
      </c>
      <c r="G191" s="216">
        <v>0</v>
      </c>
      <c r="H191" s="185">
        <v>138</v>
      </c>
      <c r="I191" s="217">
        <v>16008</v>
      </c>
      <c r="J191" s="259"/>
      <c r="L191" s="483" t="s">
        <v>127</v>
      </c>
      <c r="M191" s="164" t="str">
        <f>'LEVEL 3'!F195</f>
        <v>Space</v>
      </c>
      <c r="N191" s="161">
        <f>'LEVEL 3'!G195</f>
        <v>127</v>
      </c>
      <c r="O191" s="185">
        <f>'LEVEL 3'!H195</f>
        <v>138</v>
      </c>
      <c r="P191" s="216">
        <f>'LEVEL 3'!I195</f>
        <v>0</v>
      </c>
      <c r="Q191" s="185">
        <f>'LEVEL 3'!J195</f>
        <v>138</v>
      </c>
      <c r="R191" s="217">
        <f>'LEVEL 3'!K195</f>
        <v>17526</v>
      </c>
      <c r="S191" s="259"/>
      <c r="U191" s="429">
        <f t="shared" si="20"/>
        <v>1518</v>
      </c>
      <c r="W191" s="432">
        <f t="shared" si="21"/>
        <v>9.4827586206896547E-2</v>
      </c>
      <c r="Y191" s="504"/>
    </row>
    <row r="192" spans="1:25" hidden="1" outlineLevel="1">
      <c r="A192" s="512" t="s">
        <v>455</v>
      </c>
      <c r="B192" s="290"/>
      <c r="C192" s="483" t="s">
        <v>127</v>
      </c>
      <c r="D192" s="164" t="s">
        <v>454</v>
      </c>
      <c r="E192" s="161">
        <v>116</v>
      </c>
      <c r="F192" s="185">
        <v>24</v>
      </c>
      <c r="G192" s="216">
        <v>0</v>
      </c>
      <c r="H192" s="185">
        <v>24</v>
      </c>
      <c r="I192" s="217">
        <v>2784</v>
      </c>
      <c r="J192" s="259"/>
      <c r="L192" s="483" t="s">
        <v>127</v>
      </c>
      <c r="M192" s="164" t="str">
        <f>'LEVEL 3'!F196</f>
        <v>Space</v>
      </c>
      <c r="N192" s="161">
        <f>'LEVEL 3'!G196</f>
        <v>130</v>
      </c>
      <c r="O192" s="185">
        <f>'LEVEL 3'!H196</f>
        <v>24</v>
      </c>
      <c r="P192" s="216">
        <f>'LEVEL 3'!I196</f>
        <v>0</v>
      </c>
      <c r="Q192" s="185">
        <f>'LEVEL 3'!J196</f>
        <v>24</v>
      </c>
      <c r="R192" s="217">
        <f>'LEVEL 3'!K196</f>
        <v>3120</v>
      </c>
      <c r="S192" s="259"/>
      <c r="U192" s="429">
        <f t="shared" si="20"/>
        <v>336</v>
      </c>
      <c r="W192" s="432">
        <f t="shared" si="21"/>
        <v>0.1206896551724138</v>
      </c>
      <c r="Y192" s="504"/>
    </row>
    <row r="193" spans="1:25" hidden="1" outlineLevel="1">
      <c r="A193" s="512" t="s">
        <v>456</v>
      </c>
      <c r="B193" s="290"/>
      <c r="C193" s="483" t="s">
        <v>118</v>
      </c>
      <c r="D193" s="164"/>
      <c r="E193" s="161"/>
      <c r="F193" s="185"/>
      <c r="G193" s="216">
        <v>0</v>
      </c>
      <c r="H193" s="185">
        <v>0</v>
      </c>
      <c r="I193" s="217">
        <v>0</v>
      </c>
      <c r="J193" s="259"/>
      <c r="L193" s="483" t="s">
        <v>118</v>
      </c>
      <c r="M193" s="164">
        <f>'LEVEL 3'!F197</f>
        <v>0</v>
      </c>
      <c r="N193" s="161">
        <f>'LEVEL 3'!G197</f>
        <v>0</v>
      </c>
      <c r="O193" s="185">
        <f>'LEVEL 3'!H197</f>
        <v>0</v>
      </c>
      <c r="P193" s="216">
        <f>'LEVEL 3'!I197</f>
        <v>0</v>
      </c>
      <c r="Q193" s="185">
        <f>'LEVEL 3'!J197</f>
        <v>0</v>
      </c>
      <c r="R193" s="217">
        <f>'LEVEL 3'!K197</f>
        <v>0</v>
      </c>
      <c r="S193" s="259"/>
      <c r="U193" s="429">
        <f t="shared" si="20"/>
        <v>0</v>
      </c>
      <c r="W193" s="432">
        <f t="shared" si="21"/>
        <v>0</v>
      </c>
      <c r="Y193" s="504"/>
    </row>
    <row r="194" spans="1:25" hidden="1" outlineLevel="1">
      <c r="A194" s="512" t="s">
        <v>457</v>
      </c>
      <c r="B194" s="290"/>
      <c r="C194" s="483" t="s">
        <v>118</v>
      </c>
      <c r="D194" s="164"/>
      <c r="E194" s="161"/>
      <c r="F194" s="185"/>
      <c r="G194" s="216">
        <v>0</v>
      </c>
      <c r="H194" s="185">
        <v>0</v>
      </c>
      <c r="I194" s="217">
        <v>0</v>
      </c>
      <c r="J194" s="259"/>
      <c r="L194" s="483" t="s">
        <v>118</v>
      </c>
      <c r="M194" s="164">
        <f>'LEVEL 3'!F198</f>
        <v>0</v>
      </c>
      <c r="N194" s="161">
        <f>'LEVEL 3'!G198</f>
        <v>0</v>
      </c>
      <c r="O194" s="185">
        <f>'LEVEL 3'!H198</f>
        <v>0</v>
      </c>
      <c r="P194" s="216">
        <f>'LEVEL 3'!I198</f>
        <v>0</v>
      </c>
      <c r="Q194" s="185">
        <f>'LEVEL 3'!J198</f>
        <v>0</v>
      </c>
      <c r="R194" s="217">
        <f>'LEVEL 3'!K198</f>
        <v>0</v>
      </c>
      <c r="S194" s="259"/>
      <c r="U194" s="429">
        <f t="shared" si="20"/>
        <v>0</v>
      </c>
      <c r="W194" s="432">
        <f t="shared" si="21"/>
        <v>0</v>
      </c>
      <c r="Y194" s="504"/>
    </row>
    <row r="195" spans="1:25" hidden="1" outlineLevel="1">
      <c r="A195" s="512" t="s">
        <v>459</v>
      </c>
      <c r="B195" s="290"/>
      <c r="C195" s="483" t="s">
        <v>461</v>
      </c>
      <c r="D195" s="164" t="s">
        <v>32</v>
      </c>
      <c r="E195" s="161">
        <v>6</v>
      </c>
      <c r="F195" s="185">
        <v>25000</v>
      </c>
      <c r="G195" s="216">
        <v>0</v>
      </c>
      <c r="H195" s="185">
        <v>25000</v>
      </c>
      <c r="I195" s="217">
        <v>150000</v>
      </c>
      <c r="J195" s="259"/>
      <c r="L195" s="483" t="s">
        <v>461</v>
      </c>
      <c r="M195" s="164" t="str">
        <f>'LEVEL 3'!F199</f>
        <v>Count</v>
      </c>
      <c r="N195" s="161">
        <f>'LEVEL 3'!G199</f>
        <v>4</v>
      </c>
      <c r="O195" s="185">
        <f>'LEVEL 3'!H199</f>
        <v>25000</v>
      </c>
      <c r="P195" s="216">
        <f>'LEVEL 3'!I199</f>
        <v>0</v>
      </c>
      <c r="Q195" s="185">
        <f>'LEVEL 3'!J199</f>
        <v>25000</v>
      </c>
      <c r="R195" s="217">
        <f>'LEVEL 3'!K199</f>
        <v>100000</v>
      </c>
      <c r="S195" s="259"/>
      <c r="U195" s="429">
        <f t="shared" si="20"/>
        <v>-50000</v>
      </c>
      <c r="W195" s="432">
        <f t="shared" si="21"/>
        <v>-0.33333333333333331</v>
      </c>
      <c r="Y195" s="504"/>
    </row>
    <row r="196" spans="1:25" hidden="1" outlineLevel="1">
      <c r="A196" s="512" t="s">
        <v>462</v>
      </c>
      <c r="B196" s="290"/>
      <c r="C196" s="483" t="s">
        <v>127</v>
      </c>
      <c r="D196" s="164" t="s">
        <v>464</v>
      </c>
      <c r="E196" s="422">
        <v>4.9000000000000004</v>
      </c>
      <c r="F196" s="185">
        <v>1000</v>
      </c>
      <c r="G196" s="216">
        <v>0</v>
      </c>
      <c r="H196" s="185">
        <v>1000</v>
      </c>
      <c r="I196" s="217">
        <v>4900</v>
      </c>
      <c r="J196" s="259"/>
      <c r="L196" s="483" t="s">
        <v>127</v>
      </c>
      <c r="M196" s="164" t="str">
        <f>'LEVEL 3'!F200</f>
        <v>Acre</v>
      </c>
      <c r="N196" s="422">
        <f>'LEVEL 3'!G200</f>
        <v>4.9000000000000004</v>
      </c>
      <c r="O196" s="185">
        <f>'LEVEL 3'!H200</f>
        <v>1000</v>
      </c>
      <c r="P196" s="216">
        <f>'LEVEL 3'!I200</f>
        <v>0</v>
      </c>
      <c r="Q196" s="185">
        <f>'LEVEL 3'!J200</f>
        <v>1000</v>
      </c>
      <c r="R196" s="217">
        <f>'LEVEL 3'!K200</f>
        <v>4900</v>
      </c>
      <c r="S196" s="259"/>
      <c r="U196" s="429">
        <f t="shared" si="20"/>
        <v>0</v>
      </c>
      <c r="W196" s="432">
        <f t="shared" si="21"/>
        <v>0</v>
      </c>
      <c r="Y196" s="504"/>
    </row>
    <row r="197" spans="1:25" hidden="1" outlineLevel="1">
      <c r="A197" s="512" t="s">
        <v>465</v>
      </c>
      <c r="B197" s="290"/>
      <c r="C197" s="483" t="s">
        <v>127</v>
      </c>
      <c r="D197" s="164" t="s">
        <v>464</v>
      </c>
      <c r="E197" s="422">
        <v>4.9000000000000004</v>
      </c>
      <c r="F197" s="185">
        <v>1000</v>
      </c>
      <c r="G197" s="216">
        <v>0</v>
      </c>
      <c r="H197" s="185">
        <v>1000</v>
      </c>
      <c r="I197" s="217">
        <v>4900</v>
      </c>
      <c r="J197" s="259"/>
      <c r="L197" s="483" t="s">
        <v>127</v>
      </c>
      <c r="M197" s="164" t="str">
        <f>'LEVEL 3'!F201</f>
        <v>Acre</v>
      </c>
      <c r="N197" s="422">
        <f>'LEVEL 3'!G201</f>
        <v>4.9000000000000004</v>
      </c>
      <c r="O197" s="185">
        <f>'LEVEL 3'!H201</f>
        <v>1000</v>
      </c>
      <c r="P197" s="216">
        <f>'LEVEL 3'!I201</f>
        <v>0</v>
      </c>
      <c r="Q197" s="185">
        <f>'LEVEL 3'!J201</f>
        <v>1000</v>
      </c>
      <c r="R197" s="217">
        <f>'LEVEL 3'!K201</f>
        <v>4900</v>
      </c>
      <c r="S197" s="259"/>
      <c r="U197" s="429">
        <f t="shared" si="20"/>
        <v>0</v>
      </c>
      <c r="W197" s="432">
        <f t="shared" si="21"/>
        <v>0</v>
      </c>
      <c r="Y197" s="504"/>
    </row>
    <row r="198" spans="1:25" hidden="1" outlineLevel="1">
      <c r="A198" s="512" t="s">
        <v>467</v>
      </c>
      <c r="B198" s="290"/>
      <c r="C198" s="483" t="s">
        <v>127</v>
      </c>
      <c r="D198" s="164" t="s">
        <v>121</v>
      </c>
      <c r="E198" s="161">
        <v>1</v>
      </c>
      <c r="F198" s="185">
        <v>17000</v>
      </c>
      <c r="G198" s="216">
        <v>0</v>
      </c>
      <c r="H198" s="185">
        <v>17000</v>
      </c>
      <c r="I198" s="217">
        <v>17000</v>
      </c>
      <c r="J198" s="259"/>
      <c r="L198" s="483" t="s">
        <v>127</v>
      </c>
      <c r="M198" s="164" t="str">
        <f>'LEVEL 3'!F202</f>
        <v>LS</v>
      </c>
      <c r="N198" s="161">
        <f>'LEVEL 3'!G202</f>
        <v>1</v>
      </c>
      <c r="O198" s="185">
        <f>'LEVEL 3'!H202</f>
        <v>17000</v>
      </c>
      <c r="P198" s="216">
        <f>'LEVEL 3'!I202</f>
        <v>0</v>
      </c>
      <c r="Q198" s="185">
        <f>'LEVEL 3'!J202</f>
        <v>17000</v>
      </c>
      <c r="R198" s="217">
        <f>'LEVEL 3'!K202</f>
        <v>17000</v>
      </c>
      <c r="S198" s="259"/>
      <c r="U198" s="429">
        <f t="shared" si="20"/>
        <v>0</v>
      </c>
      <c r="W198" s="432">
        <f t="shared" si="21"/>
        <v>0</v>
      </c>
      <c r="Y198" s="504"/>
    </row>
    <row r="199" spans="1:25" hidden="1" outlineLevel="1">
      <c r="A199" s="512" t="s">
        <v>469</v>
      </c>
      <c r="B199" s="290"/>
      <c r="C199" s="483" t="s">
        <v>127</v>
      </c>
      <c r="D199" s="164" t="s">
        <v>121</v>
      </c>
      <c r="E199" s="161">
        <v>1</v>
      </c>
      <c r="F199" s="185">
        <v>11000</v>
      </c>
      <c r="G199" s="216">
        <v>0</v>
      </c>
      <c r="H199" s="185">
        <v>11000</v>
      </c>
      <c r="I199" s="217">
        <v>11000</v>
      </c>
      <c r="J199" s="259"/>
      <c r="L199" s="483" t="s">
        <v>127</v>
      </c>
      <c r="M199" s="164" t="str">
        <f>'LEVEL 3'!F203</f>
        <v>LS</v>
      </c>
      <c r="N199" s="161">
        <f>'LEVEL 3'!G203</f>
        <v>1</v>
      </c>
      <c r="O199" s="185">
        <f>'LEVEL 3'!H203</f>
        <v>11000</v>
      </c>
      <c r="P199" s="216">
        <f>'LEVEL 3'!I203</f>
        <v>0</v>
      </c>
      <c r="Q199" s="185">
        <f>'LEVEL 3'!J203</f>
        <v>11000</v>
      </c>
      <c r="R199" s="217">
        <f>'LEVEL 3'!K203</f>
        <v>11000</v>
      </c>
      <c r="S199" s="259"/>
      <c r="U199" s="429">
        <f t="shared" si="20"/>
        <v>0</v>
      </c>
      <c r="W199" s="432">
        <f t="shared" si="21"/>
        <v>0</v>
      </c>
      <c r="Y199" s="504"/>
    </row>
    <row r="200" spans="1:25" hidden="1" outlineLevel="1">
      <c r="A200" s="512" t="s">
        <v>471</v>
      </c>
      <c r="B200" s="290"/>
      <c r="C200" s="483" t="s">
        <v>127</v>
      </c>
      <c r="D200" s="164" t="s">
        <v>121</v>
      </c>
      <c r="E200" s="161">
        <v>1</v>
      </c>
      <c r="F200" s="185">
        <v>2000</v>
      </c>
      <c r="G200" s="216">
        <v>0</v>
      </c>
      <c r="H200" s="185">
        <v>2000</v>
      </c>
      <c r="I200" s="217">
        <v>2000</v>
      </c>
      <c r="J200" s="259"/>
      <c r="L200" s="483" t="s">
        <v>127</v>
      </c>
      <c r="M200" s="164" t="str">
        <f>'LEVEL 3'!F204</f>
        <v>LS</v>
      </c>
      <c r="N200" s="161">
        <f>'LEVEL 3'!G204</f>
        <v>1</v>
      </c>
      <c r="O200" s="185">
        <f>'LEVEL 3'!H204</f>
        <v>2000</v>
      </c>
      <c r="P200" s="216">
        <f>'LEVEL 3'!I204</f>
        <v>0</v>
      </c>
      <c r="Q200" s="185">
        <f>'LEVEL 3'!J204</f>
        <v>2000</v>
      </c>
      <c r="R200" s="217">
        <f>'LEVEL 3'!K204</f>
        <v>2000</v>
      </c>
      <c r="S200" s="259"/>
      <c r="U200" s="429">
        <f t="shared" si="20"/>
        <v>0</v>
      </c>
      <c r="W200" s="432">
        <f t="shared" si="21"/>
        <v>0</v>
      </c>
      <c r="Y200" s="504"/>
    </row>
    <row r="201" spans="1:25" hidden="1" outlineLevel="1">
      <c r="A201" s="512" t="s">
        <v>473</v>
      </c>
      <c r="B201" s="290"/>
      <c r="C201" s="483" t="s">
        <v>127</v>
      </c>
      <c r="D201" s="164" t="s">
        <v>121</v>
      </c>
      <c r="E201" s="161">
        <v>1</v>
      </c>
      <c r="F201" s="185">
        <v>14250</v>
      </c>
      <c r="G201" s="216">
        <v>0</v>
      </c>
      <c r="H201" s="185">
        <v>14250</v>
      </c>
      <c r="I201" s="217">
        <v>14250</v>
      </c>
      <c r="J201" s="259"/>
      <c r="L201" s="483" t="s">
        <v>127</v>
      </c>
      <c r="M201" s="164" t="str">
        <f>'LEVEL 3'!F205</f>
        <v>LS</v>
      </c>
      <c r="N201" s="161">
        <f>'LEVEL 3'!G205</f>
        <v>1</v>
      </c>
      <c r="O201" s="185">
        <f>'LEVEL 3'!H205</f>
        <v>14250</v>
      </c>
      <c r="P201" s="216">
        <f>'LEVEL 3'!I205</f>
        <v>0</v>
      </c>
      <c r="Q201" s="185">
        <f>'LEVEL 3'!J205</f>
        <v>14250</v>
      </c>
      <c r="R201" s="217">
        <f>'LEVEL 3'!K205</f>
        <v>14250</v>
      </c>
      <c r="S201" s="259"/>
      <c r="U201" s="429">
        <f t="shared" si="20"/>
        <v>0</v>
      </c>
      <c r="W201" s="432">
        <f t="shared" si="21"/>
        <v>0</v>
      </c>
      <c r="Y201" s="504"/>
    </row>
    <row r="202" spans="1:25" hidden="1" outlineLevel="1">
      <c r="A202" s="512" t="s">
        <v>474</v>
      </c>
      <c r="B202" s="290"/>
      <c r="C202" s="483" t="s">
        <v>127</v>
      </c>
      <c r="D202" s="164" t="s">
        <v>121</v>
      </c>
      <c r="E202" s="161">
        <v>1</v>
      </c>
      <c r="F202" s="185">
        <v>600</v>
      </c>
      <c r="G202" s="216">
        <v>0</v>
      </c>
      <c r="H202" s="185">
        <v>600</v>
      </c>
      <c r="I202" s="217">
        <v>600</v>
      </c>
      <c r="J202" s="259"/>
      <c r="L202" s="483" t="s">
        <v>110</v>
      </c>
      <c r="M202" s="164" t="str">
        <f>'LEVEL 3'!F206</f>
        <v>LS</v>
      </c>
      <c r="N202" s="161">
        <f>'LEVEL 3'!G206</f>
        <v>1</v>
      </c>
      <c r="O202" s="185">
        <f>'LEVEL 3'!H206</f>
        <v>750</v>
      </c>
      <c r="P202" s="216">
        <f>'LEVEL 3'!I206</f>
        <v>0</v>
      </c>
      <c r="Q202" s="185">
        <f>'LEVEL 3'!J206</f>
        <v>750</v>
      </c>
      <c r="R202" s="217">
        <f>'LEVEL 3'!K206</f>
        <v>750</v>
      </c>
      <c r="S202" s="259"/>
      <c r="U202" s="429">
        <f t="shared" si="20"/>
        <v>150</v>
      </c>
      <c r="W202" s="432">
        <f t="shared" si="21"/>
        <v>0.25</v>
      </c>
      <c r="Y202" s="504"/>
    </row>
    <row r="203" spans="1:25" collapsed="1">
      <c r="A203" s="509" t="s">
        <v>475</v>
      </c>
      <c r="B203" s="290"/>
      <c r="C203" s="479"/>
      <c r="D203" s="305"/>
      <c r="E203" s="306"/>
      <c r="F203" s="307"/>
      <c r="G203" s="308"/>
      <c r="H203" s="307"/>
      <c r="I203" s="421"/>
      <c r="J203" s="480">
        <v>900</v>
      </c>
      <c r="L203" s="479"/>
      <c r="M203" s="305"/>
      <c r="N203" s="306"/>
      <c r="O203" s="307"/>
      <c r="P203" s="308"/>
      <c r="Q203" s="307"/>
      <c r="R203" s="421"/>
      <c r="S203" s="480">
        <f>'LEVEL 3'!L207</f>
        <v>117610.51</v>
      </c>
      <c r="U203" s="491">
        <f>S203-J203</f>
        <v>116710.51</v>
      </c>
      <c r="W203" s="497">
        <f>IF(J203=0,0,U203/J203)</f>
        <v>129.67834444444443</v>
      </c>
      <c r="Y203" s="504" t="s">
        <v>982</v>
      </c>
    </row>
    <row r="204" spans="1:25" hidden="1" outlineLevel="1">
      <c r="A204" s="511" t="s">
        <v>477</v>
      </c>
      <c r="B204" s="290"/>
      <c r="C204" s="482" t="s">
        <v>110</v>
      </c>
      <c r="D204" s="176" t="s">
        <v>121</v>
      </c>
      <c r="E204" s="167">
        <v>1</v>
      </c>
      <c r="F204" s="413">
        <v>900</v>
      </c>
      <c r="G204" s="414">
        <v>0</v>
      </c>
      <c r="H204" s="415">
        <v>900</v>
      </c>
      <c r="I204" s="416">
        <v>900</v>
      </c>
      <c r="J204" s="259"/>
      <c r="L204" s="482" t="s">
        <v>110</v>
      </c>
      <c r="M204" s="176" t="str">
        <f>'LEVEL 3'!F208</f>
        <v>LS</v>
      </c>
      <c r="N204" s="167">
        <f>'LEVEL 3'!G208</f>
        <v>1</v>
      </c>
      <c r="O204" s="413">
        <f>'LEVEL 3'!H208</f>
        <v>1000</v>
      </c>
      <c r="P204" s="414">
        <f>'LEVEL 3'!I208</f>
        <v>0</v>
      </c>
      <c r="Q204" s="415">
        <f>'LEVEL 3'!J208</f>
        <v>1000</v>
      </c>
      <c r="R204" s="416">
        <f>'LEVEL 3'!K208</f>
        <v>1000</v>
      </c>
      <c r="S204" s="259"/>
      <c r="U204" s="429">
        <f>R204-I204</f>
        <v>100</v>
      </c>
      <c r="W204" s="432">
        <f>IF(I204=0,0,U204/I204)</f>
        <v>0.1111111111111111</v>
      </c>
      <c r="Y204" s="504"/>
    </row>
    <row r="205" spans="1:25" hidden="1" outlineLevel="1">
      <c r="A205" s="512" t="s">
        <v>480</v>
      </c>
      <c r="B205" s="290"/>
      <c r="C205" s="483" t="s">
        <v>195</v>
      </c>
      <c r="D205" s="164" t="s">
        <v>15</v>
      </c>
      <c r="E205" s="161">
        <v>0</v>
      </c>
      <c r="F205" s="185">
        <v>0</v>
      </c>
      <c r="G205" s="216">
        <v>0</v>
      </c>
      <c r="H205" s="185">
        <v>0</v>
      </c>
      <c r="I205" s="217">
        <v>0</v>
      </c>
      <c r="J205" s="259"/>
      <c r="L205" s="483" t="s">
        <v>195</v>
      </c>
      <c r="M205" s="164" t="str">
        <f>'LEVEL 3'!F209</f>
        <v>SF</v>
      </c>
      <c r="N205" s="161">
        <f>'LEVEL 3'!G209</f>
        <v>196289</v>
      </c>
      <c r="O205" s="185">
        <f>'LEVEL 3'!H209</f>
        <v>0.59</v>
      </c>
      <c r="P205" s="216">
        <f>'LEVEL 3'!I209</f>
        <v>0</v>
      </c>
      <c r="Q205" s="185">
        <f>'LEVEL 3'!J209</f>
        <v>0.59</v>
      </c>
      <c r="R205" s="217">
        <f>'LEVEL 3'!K209</f>
        <v>115810.51</v>
      </c>
      <c r="S205" s="259"/>
      <c r="U205" s="429">
        <f>R205-I205</f>
        <v>115810.51</v>
      </c>
      <c r="W205" s="432">
        <f>IF(I205=0,0,U205/I205)</f>
        <v>0</v>
      </c>
      <c r="Y205" s="504"/>
    </row>
    <row r="206" spans="1:25" hidden="1" outlineLevel="1">
      <c r="A206" s="512" t="s">
        <v>482</v>
      </c>
      <c r="B206" s="290"/>
      <c r="C206" s="483" t="s">
        <v>118</v>
      </c>
      <c r="D206" s="164" t="s">
        <v>121</v>
      </c>
      <c r="E206" s="161">
        <v>0</v>
      </c>
      <c r="F206" s="185">
        <v>0</v>
      </c>
      <c r="G206" s="216">
        <v>0</v>
      </c>
      <c r="H206" s="185">
        <v>0</v>
      </c>
      <c r="I206" s="217">
        <v>0</v>
      </c>
      <c r="J206" s="259"/>
      <c r="L206" s="483" t="s">
        <v>110</v>
      </c>
      <c r="M206" s="164" t="str">
        <f>'LEVEL 3'!F210</f>
        <v>LS</v>
      </c>
      <c r="N206" s="161">
        <f>'LEVEL 3'!G210</f>
        <v>1</v>
      </c>
      <c r="O206" s="185">
        <f>'LEVEL 3'!H210</f>
        <v>800</v>
      </c>
      <c r="P206" s="216">
        <f>'LEVEL 3'!I210</f>
        <v>0</v>
      </c>
      <c r="Q206" s="185">
        <f>'LEVEL 3'!J210</f>
        <v>800</v>
      </c>
      <c r="R206" s="217">
        <f>'LEVEL 3'!K210</f>
        <v>800</v>
      </c>
      <c r="S206" s="259"/>
      <c r="U206" s="429">
        <f>R206-I206</f>
        <v>800</v>
      </c>
      <c r="W206" s="432">
        <f>IF(I206=0,0,U206/I206)</f>
        <v>0</v>
      </c>
      <c r="Y206" s="504"/>
    </row>
    <row r="207" spans="1:25" collapsed="1">
      <c r="A207" s="509" t="s">
        <v>485</v>
      </c>
      <c r="B207" s="290"/>
      <c r="C207" s="479"/>
      <c r="D207" s="305"/>
      <c r="E207" s="306"/>
      <c r="F207" s="307"/>
      <c r="G207" s="308"/>
      <c r="H207" s="307"/>
      <c r="I207" s="421"/>
      <c r="J207" s="480">
        <v>498580</v>
      </c>
      <c r="L207" s="479"/>
      <c r="M207" s="305"/>
      <c r="N207" s="306"/>
      <c r="O207" s="307"/>
      <c r="P207" s="308"/>
      <c r="Q207" s="307"/>
      <c r="R207" s="421"/>
      <c r="S207" s="480">
        <f>'LEVEL 3'!L211</f>
        <v>521084</v>
      </c>
      <c r="U207" s="491">
        <f>S207-J207</f>
        <v>22504</v>
      </c>
      <c r="W207" s="497">
        <f>IF(J207=0,0,U207/J207)</f>
        <v>4.5136186770428015E-2</v>
      </c>
      <c r="Y207" s="504"/>
    </row>
    <row r="208" spans="1:25" hidden="1" outlineLevel="1">
      <c r="A208" s="515" t="s">
        <v>487</v>
      </c>
      <c r="B208" s="290"/>
      <c r="C208" s="482" t="s">
        <v>127</v>
      </c>
      <c r="D208" s="176" t="s">
        <v>10</v>
      </c>
      <c r="E208" s="167">
        <v>194</v>
      </c>
      <c r="F208" s="413">
        <v>580</v>
      </c>
      <c r="G208" s="414">
        <v>0</v>
      </c>
      <c r="H208" s="415">
        <v>580</v>
      </c>
      <c r="I208" s="416">
        <v>112520</v>
      </c>
      <c r="J208" s="259"/>
      <c r="L208" s="482" t="s">
        <v>246</v>
      </c>
      <c r="M208" s="176" t="str">
        <f>'LEVEL 3'!F212</f>
        <v>Unit</v>
      </c>
      <c r="N208" s="167">
        <f>'LEVEL 3'!G212</f>
        <v>194</v>
      </c>
      <c r="O208" s="413">
        <f>'LEVEL 3'!H212</f>
        <v>581</v>
      </c>
      <c r="P208" s="414">
        <f>'LEVEL 3'!I212</f>
        <v>0</v>
      </c>
      <c r="Q208" s="415">
        <f>'LEVEL 3'!J212</f>
        <v>581</v>
      </c>
      <c r="R208" s="416">
        <f>'LEVEL 3'!K212</f>
        <v>112714</v>
      </c>
      <c r="S208" s="259"/>
      <c r="U208" s="429">
        <f>R208-I208</f>
        <v>194</v>
      </c>
      <c r="W208" s="432">
        <f>IF(I208=0,0,U208/I208)</f>
        <v>1.7241379310344827E-3</v>
      </c>
      <c r="Y208" s="504"/>
    </row>
    <row r="209" spans="1:25" hidden="1" outlineLevel="1">
      <c r="A209" s="516" t="s">
        <v>489</v>
      </c>
      <c r="B209" s="290"/>
      <c r="C209" s="483" t="s">
        <v>127</v>
      </c>
      <c r="D209" s="164" t="s">
        <v>10</v>
      </c>
      <c r="E209" s="161">
        <v>194</v>
      </c>
      <c r="F209" s="185">
        <v>327</v>
      </c>
      <c r="G209" s="216">
        <v>0</v>
      </c>
      <c r="H209" s="185">
        <v>327</v>
      </c>
      <c r="I209" s="217">
        <v>63438</v>
      </c>
      <c r="J209" s="259"/>
      <c r="L209" s="483" t="s">
        <v>195</v>
      </c>
      <c r="M209" s="164" t="str">
        <f>'LEVEL 3'!F213</f>
        <v>Unit</v>
      </c>
      <c r="N209" s="161">
        <f>'LEVEL 3'!G213</f>
        <v>194</v>
      </c>
      <c r="O209" s="185">
        <f>'LEVEL 3'!H213</f>
        <v>442</v>
      </c>
      <c r="P209" s="216">
        <f>'LEVEL 3'!I213</f>
        <v>0</v>
      </c>
      <c r="Q209" s="185">
        <f>'LEVEL 3'!J213</f>
        <v>442</v>
      </c>
      <c r="R209" s="217">
        <f>'LEVEL 3'!K213</f>
        <v>85748</v>
      </c>
      <c r="S209" s="259"/>
      <c r="U209" s="429">
        <f>R209-I209</f>
        <v>22310</v>
      </c>
      <c r="W209" s="432">
        <f>IF(I209=0,0,U209/I209)</f>
        <v>0.35168195718654433</v>
      </c>
      <c r="Y209" s="504"/>
    </row>
    <row r="210" spans="1:25" hidden="1" outlineLevel="1">
      <c r="A210" s="512" t="s">
        <v>491</v>
      </c>
      <c r="B210" s="290"/>
      <c r="C210" s="483" t="s">
        <v>246</v>
      </c>
      <c r="D210" s="164" t="s">
        <v>10</v>
      </c>
      <c r="E210" s="161">
        <v>194</v>
      </c>
      <c r="F210" s="185">
        <v>1663</v>
      </c>
      <c r="G210" s="216">
        <v>0</v>
      </c>
      <c r="H210" s="185">
        <v>1663</v>
      </c>
      <c r="I210" s="217">
        <v>322622</v>
      </c>
      <c r="J210" s="259"/>
      <c r="L210" s="483" t="s">
        <v>116</v>
      </c>
      <c r="M210" s="164" t="str">
        <f>'LEVEL 3'!F215</f>
        <v>LS</v>
      </c>
      <c r="N210" s="161">
        <f>'LEVEL 3'!G215</f>
        <v>1</v>
      </c>
      <c r="O210" s="185">
        <f>'LEVEL 3'!H215</f>
        <v>7500</v>
      </c>
      <c r="P210" s="216">
        <f>'LEVEL 3'!I215</f>
        <v>0</v>
      </c>
      <c r="Q210" s="185">
        <f>'LEVEL 3'!J215</f>
        <v>7500</v>
      </c>
      <c r="R210" s="217">
        <f>'LEVEL 3'!K215</f>
        <v>7500</v>
      </c>
      <c r="S210" s="259"/>
      <c r="U210" s="429">
        <f>R210-I210</f>
        <v>-315122</v>
      </c>
      <c r="W210" s="432">
        <f>IF(I210=0,0,U210/I210)</f>
        <v>-0.97675298026792967</v>
      </c>
      <c r="Y210" s="504"/>
    </row>
    <row r="211" spans="1:25" collapsed="1">
      <c r="A211" s="509" t="s">
        <v>493</v>
      </c>
      <c r="B211" s="290"/>
      <c r="C211" s="479"/>
      <c r="D211" s="305"/>
      <c r="E211" s="306"/>
      <c r="F211" s="307"/>
      <c r="G211" s="308"/>
      <c r="H211" s="307"/>
      <c r="I211" s="421"/>
      <c r="J211" s="480">
        <v>517319</v>
      </c>
      <c r="L211" s="479"/>
      <c r="M211" s="305"/>
      <c r="N211" s="306"/>
      <c r="O211" s="307"/>
      <c r="P211" s="308"/>
      <c r="Q211" s="307"/>
      <c r="R211" s="421"/>
      <c r="S211" s="480">
        <f>'LEVEL 3'!L216</f>
        <v>347262</v>
      </c>
      <c r="U211" s="491">
        <f>S211-J211</f>
        <v>-170057</v>
      </c>
      <c r="W211" s="497">
        <f>IF(J211=0,0,U211/J211)</f>
        <v>-0.32872753562115448</v>
      </c>
      <c r="Y211" s="504" t="s">
        <v>983</v>
      </c>
    </row>
    <row r="212" spans="1:25" hidden="1" outlineLevel="1">
      <c r="A212" s="511" t="s">
        <v>495</v>
      </c>
      <c r="B212" s="290"/>
      <c r="C212" s="482" t="s">
        <v>266</v>
      </c>
      <c r="D212" s="176" t="s">
        <v>464</v>
      </c>
      <c r="E212" s="423">
        <v>4.9000000000000004</v>
      </c>
      <c r="F212" s="413">
        <v>6331.5499999999993</v>
      </c>
      <c r="G212" s="414">
        <v>0</v>
      </c>
      <c r="H212" s="415">
        <v>6331.5499999999993</v>
      </c>
      <c r="I212" s="416">
        <v>31024.594999999998</v>
      </c>
      <c r="J212" s="259"/>
      <c r="L212" s="482" t="s">
        <v>110</v>
      </c>
      <c r="M212" s="176" t="str">
        <f>'LEVEL 3'!F217</f>
        <v>Acre</v>
      </c>
      <c r="N212" s="423">
        <f>'LEVEL 3'!G217</f>
        <v>4.9000000000000004</v>
      </c>
      <c r="O212" s="413">
        <f>'LEVEL 3'!H217</f>
        <v>6500</v>
      </c>
      <c r="P212" s="414">
        <f>'LEVEL 3'!I217</f>
        <v>0</v>
      </c>
      <c r="Q212" s="415">
        <f>'LEVEL 3'!J217</f>
        <v>6500</v>
      </c>
      <c r="R212" s="416">
        <f>'LEVEL 3'!K217</f>
        <v>31850.000000000004</v>
      </c>
      <c r="S212" s="259"/>
      <c r="U212" s="429">
        <f t="shared" ref="U212:U220" si="22">R212-I212</f>
        <v>825.40500000000611</v>
      </c>
      <c r="W212" s="432">
        <f t="shared" ref="W212:W220" si="23">IF(I212=0,0,U212/I212)</f>
        <v>2.6604859789467233E-2</v>
      </c>
      <c r="Y212" s="504"/>
    </row>
    <row r="213" spans="1:25" hidden="1" outlineLevel="1">
      <c r="A213" s="512" t="s">
        <v>497</v>
      </c>
      <c r="B213" s="290"/>
      <c r="C213" s="483" t="s">
        <v>266</v>
      </c>
      <c r="D213" s="164" t="s">
        <v>464</v>
      </c>
      <c r="E213" s="422">
        <v>4.9000000000000004</v>
      </c>
      <c r="F213" s="185">
        <v>3485.6</v>
      </c>
      <c r="G213" s="216">
        <v>0</v>
      </c>
      <c r="H213" s="185">
        <v>3485.6</v>
      </c>
      <c r="I213" s="217">
        <v>17079.440000000002</v>
      </c>
      <c r="J213" s="259"/>
      <c r="L213" s="483" t="s">
        <v>110</v>
      </c>
      <c r="M213" s="164" t="str">
        <f>'LEVEL 3'!F218</f>
        <v>Acre</v>
      </c>
      <c r="N213" s="422">
        <f>'LEVEL 3'!G218</f>
        <v>4.9000000000000004</v>
      </c>
      <c r="O213" s="185">
        <f>'LEVEL 3'!H218</f>
        <v>3500</v>
      </c>
      <c r="P213" s="216">
        <f>'LEVEL 3'!I218</f>
        <v>0</v>
      </c>
      <c r="Q213" s="185">
        <f>'LEVEL 3'!J218</f>
        <v>3500</v>
      </c>
      <c r="R213" s="217">
        <f>'LEVEL 3'!K218</f>
        <v>17150</v>
      </c>
      <c r="S213" s="259"/>
      <c r="U213" s="429">
        <f t="shared" si="22"/>
        <v>70.559999999997672</v>
      </c>
      <c r="W213" s="432">
        <f t="shared" si="23"/>
        <v>4.1312829928848759E-3</v>
      </c>
      <c r="Y213" s="504"/>
    </row>
    <row r="214" spans="1:25" hidden="1" outlineLevel="1">
      <c r="A214" s="512" t="s">
        <v>499</v>
      </c>
      <c r="B214" s="290"/>
      <c r="C214" s="483" t="s">
        <v>118</v>
      </c>
      <c r="D214" s="164"/>
      <c r="E214" s="161"/>
      <c r="F214" s="185"/>
      <c r="G214" s="216">
        <v>0</v>
      </c>
      <c r="H214" s="185">
        <v>0</v>
      </c>
      <c r="I214" s="217">
        <v>0</v>
      </c>
      <c r="J214" s="259"/>
      <c r="L214" s="483" t="s">
        <v>110</v>
      </c>
      <c r="M214" s="164" t="str">
        <f>'LEVEL 3'!F219</f>
        <v>LS</v>
      </c>
      <c r="N214" s="161">
        <f>'LEVEL 3'!G219</f>
        <v>0</v>
      </c>
      <c r="O214" s="185">
        <f>'LEVEL 3'!H219</f>
        <v>10000</v>
      </c>
      <c r="P214" s="216">
        <f>'LEVEL 3'!I219</f>
        <v>0</v>
      </c>
      <c r="Q214" s="185">
        <f>'LEVEL 3'!J219</f>
        <v>10000</v>
      </c>
      <c r="R214" s="217">
        <f>'LEVEL 3'!K219</f>
        <v>0</v>
      </c>
      <c r="S214" s="259"/>
      <c r="U214" s="429">
        <f t="shared" si="22"/>
        <v>0</v>
      </c>
      <c r="W214" s="432">
        <f t="shared" si="23"/>
        <v>0</v>
      </c>
      <c r="Y214" s="504"/>
    </row>
    <row r="215" spans="1:25" hidden="1" outlineLevel="1">
      <c r="A215" s="512" t="s">
        <v>501</v>
      </c>
      <c r="B215" s="290"/>
      <c r="C215" s="483" t="s">
        <v>461</v>
      </c>
      <c r="D215" s="164" t="s">
        <v>121</v>
      </c>
      <c r="E215" s="161">
        <v>1</v>
      </c>
      <c r="F215" s="185">
        <v>50000</v>
      </c>
      <c r="G215" s="216">
        <v>0</v>
      </c>
      <c r="H215" s="185">
        <v>50000</v>
      </c>
      <c r="I215" s="217">
        <v>50000</v>
      </c>
      <c r="J215" s="259"/>
      <c r="L215" s="483" t="s">
        <v>110</v>
      </c>
      <c r="M215" s="164" t="str">
        <f>'LEVEL 3'!F220</f>
        <v>LS</v>
      </c>
      <c r="N215" s="161">
        <f>'LEVEL 3'!G220</f>
        <v>1</v>
      </c>
      <c r="O215" s="185">
        <f>'LEVEL 3'!H220</f>
        <v>25000</v>
      </c>
      <c r="P215" s="216">
        <f>'LEVEL 3'!I220</f>
        <v>0</v>
      </c>
      <c r="Q215" s="185">
        <f>'LEVEL 3'!J220</f>
        <v>25000</v>
      </c>
      <c r="R215" s="217">
        <f>'LEVEL 3'!K220</f>
        <v>25000</v>
      </c>
      <c r="S215" s="259"/>
      <c r="U215" s="429">
        <f t="shared" si="22"/>
        <v>-25000</v>
      </c>
      <c r="W215" s="432">
        <f t="shared" si="23"/>
        <v>-0.5</v>
      </c>
      <c r="Y215" s="504"/>
    </row>
    <row r="216" spans="1:25" hidden="1" outlineLevel="1">
      <c r="A216" s="512" t="s">
        <v>504</v>
      </c>
      <c r="B216" s="290"/>
      <c r="C216" s="483" t="s">
        <v>461</v>
      </c>
      <c r="D216" s="164" t="s">
        <v>121</v>
      </c>
      <c r="E216" s="161">
        <v>1</v>
      </c>
      <c r="F216" s="185">
        <v>201586</v>
      </c>
      <c r="G216" s="216">
        <v>0</v>
      </c>
      <c r="H216" s="185">
        <v>201586</v>
      </c>
      <c r="I216" s="217">
        <v>201586</v>
      </c>
      <c r="J216" s="259"/>
      <c r="L216" s="483" t="s">
        <v>116</v>
      </c>
      <c r="M216" s="164" t="str">
        <f>'LEVEL 3'!F221</f>
        <v>LS</v>
      </c>
      <c r="N216" s="161">
        <f>'LEVEL 3'!G221</f>
        <v>1</v>
      </c>
      <c r="O216" s="185">
        <f>'LEVEL 3'!H221</f>
        <v>156000</v>
      </c>
      <c r="P216" s="216">
        <f>'LEVEL 3'!I221</f>
        <v>0</v>
      </c>
      <c r="Q216" s="185">
        <f>'LEVEL 3'!J221</f>
        <v>156000</v>
      </c>
      <c r="R216" s="217">
        <f>'LEVEL 3'!K221</f>
        <v>156000</v>
      </c>
      <c r="S216" s="259"/>
      <c r="U216" s="429">
        <f t="shared" si="22"/>
        <v>-45586</v>
      </c>
      <c r="W216" s="432">
        <f t="shared" si="23"/>
        <v>-0.22613673568600995</v>
      </c>
      <c r="Y216" s="504"/>
    </row>
    <row r="217" spans="1:25" hidden="1" outlineLevel="1">
      <c r="A217" s="512" t="s">
        <v>506</v>
      </c>
      <c r="B217" s="290"/>
      <c r="C217" s="483" t="s">
        <v>461</v>
      </c>
      <c r="D217" s="164" t="s">
        <v>121</v>
      </c>
      <c r="E217" s="161">
        <v>1</v>
      </c>
      <c r="F217" s="185">
        <v>4938</v>
      </c>
      <c r="G217" s="216">
        <v>0</v>
      </c>
      <c r="H217" s="185">
        <v>4938</v>
      </c>
      <c r="I217" s="217">
        <v>4938</v>
      </c>
      <c r="J217" s="259"/>
      <c r="L217" s="483" t="s">
        <v>116</v>
      </c>
      <c r="M217" s="164" t="str">
        <f>'LEVEL 3'!F222</f>
        <v>LS</v>
      </c>
      <c r="N217" s="161">
        <f>'LEVEL 3'!G222</f>
        <v>1</v>
      </c>
      <c r="O217" s="185">
        <f>'LEVEL 3'!H222</f>
        <v>5012</v>
      </c>
      <c r="P217" s="216">
        <f>'LEVEL 3'!I222</f>
        <v>0</v>
      </c>
      <c r="Q217" s="185">
        <f>'LEVEL 3'!J222</f>
        <v>5012</v>
      </c>
      <c r="R217" s="217">
        <f>'LEVEL 3'!K222</f>
        <v>5012</v>
      </c>
      <c r="S217" s="259"/>
      <c r="U217" s="429">
        <f t="shared" si="22"/>
        <v>74</v>
      </c>
      <c r="W217" s="432">
        <f t="shared" si="23"/>
        <v>1.4985824220332119E-2</v>
      </c>
      <c r="Y217" s="504"/>
    </row>
    <row r="218" spans="1:25" hidden="1" outlineLevel="1">
      <c r="A218" s="512" t="s">
        <v>508</v>
      </c>
      <c r="B218" s="290"/>
      <c r="C218" s="483" t="s">
        <v>461</v>
      </c>
      <c r="D218" s="164" t="s">
        <v>121</v>
      </c>
      <c r="E218" s="161">
        <v>1</v>
      </c>
      <c r="F218" s="185">
        <v>200000</v>
      </c>
      <c r="G218" s="216">
        <v>0</v>
      </c>
      <c r="H218" s="185">
        <v>200000</v>
      </c>
      <c r="I218" s="217">
        <v>200000</v>
      </c>
      <c r="J218" s="259"/>
      <c r="L218" s="483" t="s">
        <v>110</v>
      </c>
      <c r="M218" s="164" t="str">
        <f>'LEVEL 3'!F223</f>
        <v>LS</v>
      </c>
      <c r="N218" s="161">
        <f>'LEVEL 3'!G223</f>
        <v>1</v>
      </c>
      <c r="O218" s="185">
        <f>'LEVEL 3'!H223</f>
        <v>100000</v>
      </c>
      <c r="P218" s="216">
        <f>'LEVEL 3'!I223</f>
        <v>0</v>
      </c>
      <c r="Q218" s="185">
        <f>'LEVEL 3'!J223</f>
        <v>100000</v>
      </c>
      <c r="R218" s="217">
        <f>'LEVEL 3'!K223</f>
        <v>100000</v>
      </c>
      <c r="S218" s="259"/>
      <c r="U218" s="429">
        <f t="shared" si="22"/>
        <v>-100000</v>
      </c>
      <c r="W218" s="432">
        <f t="shared" si="23"/>
        <v>-0.5</v>
      </c>
      <c r="Y218" s="504"/>
    </row>
    <row r="219" spans="1:25" hidden="1" outlineLevel="1">
      <c r="A219" s="512" t="s">
        <v>510</v>
      </c>
      <c r="B219" s="290"/>
      <c r="C219" s="483" t="s">
        <v>118</v>
      </c>
      <c r="D219" s="164"/>
      <c r="E219" s="161"/>
      <c r="F219" s="185"/>
      <c r="G219" s="216">
        <v>0</v>
      </c>
      <c r="H219" s="185">
        <v>0</v>
      </c>
      <c r="I219" s="217">
        <v>0</v>
      </c>
      <c r="J219" s="259"/>
      <c r="L219" s="483" t="s">
        <v>118</v>
      </c>
      <c r="M219" s="164">
        <f>'LEVEL 3'!F224</f>
        <v>0</v>
      </c>
      <c r="N219" s="161">
        <f>'LEVEL 3'!G224</f>
        <v>0</v>
      </c>
      <c r="O219" s="185">
        <f>'LEVEL 3'!H224</f>
        <v>0</v>
      </c>
      <c r="P219" s="216">
        <f>'LEVEL 3'!I224</f>
        <v>0</v>
      </c>
      <c r="Q219" s="185">
        <f>'LEVEL 3'!J224</f>
        <v>0</v>
      </c>
      <c r="R219" s="217">
        <f>'LEVEL 3'!K224</f>
        <v>0</v>
      </c>
      <c r="S219" s="259"/>
      <c r="U219" s="429">
        <f t="shared" si="22"/>
        <v>0</v>
      </c>
      <c r="W219" s="432">
        <f t="shared" si="23"/>
        <v>0</v>
      </c>
      <c r="Y219" s="504"/>
    </row>
    <row r="220" spans="1:25" hidden="1" outlineLevel="1">
      <c r="A220" s="512" t="s">
        <v>512</v>
      </c>
      <c r="B220" s="290"/>
      <c r="C220" s="483" t="s">
        <v>266</v>
      </c>
      <c r="D220" s="164" t="s">
        <v>464</v>
      </c>
      <c r="E220" s="422">
        <v>4.9000000000000004</v>
      </c>
      <c r="F220" s="185">
        <v>2590</v>
      </c>
      <c r="G220" s="216">
        <v>0</v>
      </c>
      <c r="H220" s="185">
        <v>2590</v>
      </c>
      <c r="I220" s="217">
        <v>12691.000000000002</v>
      </c>
      <c r="J220" s="259"/>
      <c r="L220" s="483" t="s">
        <v>110</v>
      </c>
      <c r="M220" s="164" t="str">
        <f>'LEVEL 3'!F225</f>
        <v>Acre</v>
      </c>
      <c r="N220" s="422">
        <f>'LEVEL 3'!G225</f>
        <v>4.9000000000000004</v>
      </c>
      <c r="O220" s="185">
        <f>'LEVEL 3'!H225</f>
        <v>2500</v>
      </c>
      <c r="P220" s="216">
        <f>'LEVEL 3'!I225</f>
        <v>0</v>
      </c>
      <c r="Q220" s="185">
        <f>'LEVEL 3'!J225</f>
        <v>2500</v>
      </c>
      <c r="R220" s="217">
        <f>'LEVEL 3'!K225</f>
        <v>12250</v>
      </c>
      <c r="S220" s="259"/>
      <c r="U220" s="429">
        <f t="shared" si="22"/>
        <v>-441.00000000000182</v>
      </c>
      <c r="W220" s="432">
        <f t="shared" si="23"/>
        <v>-3.4749034749034888E-2</v>
      </c>
      <c r="Y220" s="504"/>
    </row>
    <row r="221" spans="1:25" collapsed="1">
      <c r="A221" s="509" t="s">
        <v>514</v>
      </c>
      <c r="B221" s="290"/>
      <c r="C221" s="479"/>
      <c r="D221" s="305"/>
      <c r="E221" s="306"/>
      <c r="F221" s="307"/>
      <c r="G221" s="308"/>
      <c r="H221" s="307"/>
      <c r="I221" s="421"/>
      <c r="J221" s="480">
        <v>1874943</v>
      </c>
      <c r="L221" s="479"/>
      <c r="M221" s="305"/>
      <c r="N221" s="306"/>
      <c r="O221" s="307"/>
      <c r="P221" s="308"/>
      <c r="Q221" s="307"/>
      <c r="R221" s="421"/>
      <c r="S221" s="480">
        <f>'LEVEL 3'!L226</f>
        <v>2005246.9073471352</v>
      </c>
      <c r="U221" s="491">
        <f>S221-J221</f>
        <v>130303.90734713525</v>
      </c>
      <c r="W221" s="497">
        <f>IF(J221=0,0,U221/J221)</f>
        <v>6.9497529976716751E-2</v>
      </c>
      <c r="Y221" s="504" t="s">
        <v>984</v>
      </c>
    </row>
    <row r="222" spans="1:25" hidden="1" outlineLevel="1">
      <c r="A222" s="511" t="s">
        <v>516</v>
      </c>
      <c r="B222" s="290"/>
      <c r="C222" s="482" t="s">
        <v>127</v>
      </c>
      <c r="D222" s="176" t="s">
        <v>121</v>
      </c>
      <c r="E222" s="167">
        <v>1</v>
      </c>
      <c r="F222" s="413">
        <v>5000</v>
      </c>
      <c r="G222" s="414">
        <v>0</v>
      </c>
      <c r="H222" s="415">
        <v>5000</v>
      </c>
      <c r="I222" s="416">
        <v>5000</v>
      </c>
      <c r="J222" s="259"/>
      <c r="L222" s="482" t="s">
        <v>110</v>
      </c>
      <c r="M222" s="176" t="str">
        <f>'LEVEL 3'!F227</f>
        <v>LS</v>
      </c>
      <c r="N222" s="167">
        <f>'LEVEL 3'!G227</f>
        <v>1</v>
      </c>
      <c r="O222" s="413">
        <f>'LEVEL 3'!H227</f>
        <v>5000</v>
      </c>
      <c r="P222" s="414">
        <f>'LEVEL 3'!I227</f>
        <v>0</v>
      </c>
      <c r="Q222" s="415">
        <f>'LEVEL 3'!J227</f>
        <v>5000</v>
      </c>
      <c r="R222" s="416">
        <f>'LEVEL 3'!K227</f>
        <v>5000</v>
      </c>
      <c r="S222" s="259"/>
      <c r="U222" s="429">
        <f t="shared" ref="U222:U258" si="24">R222-I222</f>
        <v>0</v>
      </c>
      <c r="W222" s="432">
        <f t="shared" ref="W222:W258" si="25">IF(I222=0,0,U222/I222)</f>
        <v>0</v>
      </c>
      <c r="Y222" s="504"/>
    </row>
    <row r="223" spans="1:25" hidden="1" outlineLevel="1">
      <c r="A223" s="512" t="s">
        <v>518</v>
      </c>
      <c r="B223" s="290"/>
      <c r="C223" s="483" t="s">
        <v>127</v>
      </c>
      <c r="D223" s="164" t="s">
        <v>121</v>
      </c>
      <c r="E223" s="161">
        <v>1</v>
      </c>
      <c r="F223" s="185">
        <v>2500</v>
      </c>
      <c r="G223" s="216">
        <v>0</v>
      </c>
      <c r="H223" s="185">
        <v>2500</v>
      </c>
      <c r="I223" s="217">
        <v>2500</v>
      </c>
      <c r="J223" s="259"/>
      <c r="L223" s="483" t="s">
        <v>110</v>
      </c>
      <c r="M223" s="164" t="str">
        <f>'LEVEL 3'!F228</f>
        <v>LS</v>
      </c>
      <c r="N223" s="161">
        <f>'LEVEL 3'!G228</f>
        <v>1</v>
      </c>
      <c r="O223" s="185">
        <f>'LEVEL 3'!H228</f>
        <v>2500</v>
      </c>
      <c r="P223" s="216">
        <f>'LEVEL 3'!I228</f>
        <v>0</v>
      </c>
      <c r="Q223" s="185">
        <f>'LEVEL 3'!J228</f>
        <v>2500</v>
      </c>
      <c r="R223" s="217">
        <f>'LEVEL 3'!K228</f>
        <v>2500</v>
      </c>
      <c r="S223" s="259"/>
      <c r="U223" s="429">
        <f t="shared" si="24"/>
        <v>0</v>
      </c>
      <c r="W223" s="432">
        <f t="shared" si="25"/>
        <v>0</v>
      </c>
      <c r="Y223" s="504"/>
    </row>
    <row r="224" spans="1:25" hidden="1" outlineLevel="1">
      <c r="A224" s="512" t="s">
        <v>520</v>
      </c>
      <c r="B224" s="290"/>
      <c r="C224" s="483" t="s">
        <v>461</v>
      </c>
      <c r="D224" s="164" t="s">
        <v>121</v>
      </c>
      <c r="E224" s="161">
        <v>1</v>
      </c>
      <c r="F224" s="185">
        <v>15000</v>
      </c>
      <c r="G224" s="216">
        <v>0</v>
      </c>
      <c r="H224" s="185">
        <v>15000</v>
      </c>
      <c r="I224" s="217">
        <v>15000</v>
      </c>
      <c r="J224" s="259"/>
      <c r="L224" s="483" t="s">
        <v>110</v>
      </c>
      <c r="M224" s="164" t="str">
        <f>'LEVEL 3'!F229</f>
        <v>LS</v>
      </c>
      <c r="N224" s="161">
        <f>'LEVEL 3'!G229</f>
        <v>1</v>
      </c>
      <c r="O224" s="185">
        <f>'LEVEL 3'!H229</f>
        <v>20000</v>
      </c>
      <c r="P224" s="216">
        <f>'LEVEL 3'!I229</f>
        <v>0</v>
      </c>
      <c r="Q224" s="185">
        <f>'LEVEL 3'!J229</f>
        <v>20000</v>
      </c>
      <c r="R224" s="217">
        <f>'LEVEL 3'!K229</f>
        <v>20000</v>
      </c>
      <c r="S224" s="259"/>
      <c r="U224" s="429">
        <f t="shared" si="24"/>
        <v>5000</v>
      </c>
      <c r="W224" s="432">
        <f t="shared" si="25"/>
        <v>0.33333333333333331</v>
      </c>
      <c r="Y224" s="504"/>
    </row>
    <row r="225" spans="1:25" hidden="1" outlineLevel="1">
      <c r="A225" s="512" t="s">
        <v>522</v>
      </c>
      <c r="B225" s="290"/>
      <c r="C225" s="483" t="s">
        <v>461</v>
      </c>
      <c r="D225" s="164" t="s">
        <v>121</v>
      </c>
      <c r="E225" s="161">
        <v>1</v>
      </c>
      <c r="F225" s="185">
        <v>218861</v>
      </c>
      <c r="G225" s="216">
        <v>0</v>
      </c>
      <c r="H225" s="185">
        <v>218861</v>
      </c>
      <c r="I225" s="217">
        <v>218861</v>
      </c>
      <c r="J225" s="259"/>
      <c r="L225" s="483" t="s">
        <v>116</v>
      </c>
      <c r="M225" s="164" t="str">
        <f>'LEVEL 3'!F230</f>
        <v>LS</v>
      </c>
      <c r="N225" s="161">
        <f>'LEVEL 3'!G230</f>
        <v>1</v>
      </c>
      <c r="O225" s="185">
        <f>'LEVEL 3'!H230</f>
        <v>225069</v>
      </c>
      <c r="P225" s="216">
        <f>'LEVEL 3'!I230</f>
        <v>0</v>
      </c>
      <c r="Q225" s="185">
        <f>'LEVEL 3'!J230</f>
        <v>225069</v>
      </c>
      <c r="R225" s="217">
        <f>'LEVEL 3'!K230</f>
        <v>225069</v>
      </c>
      <c r="S225" s="259"/>
      <c r="U225" s="429">
        <f t="shared" si="24"/>
        <v>6208</v>
      </c>
      <c r="W225" s="432">
        <f t="shared" si="25"/>
        <v>2.8365035342066424E-2</v>
      </c>
      <c r="Y225" s="504"/>
    </row>
    <row r="226" spans="1:25" hidden="1" outlineLevel="1">
      <c r="A226" s="512" t="s">
        <v>73</v>
      </c>
      <c r="B226" s="290"/>
      <c r="C226" s="483" t="s">
        <v>127</v>
      </c>
      <c r="D226" s="164" t="s">
        <v>15</v>
      </c>
      <c r="E226" s="161">
        <v>75608</v>
      </c>
      <c r="F226" s="185">
        <v>0.15</v>
      </c>
      <c r="G226" s="216">
        <v>0</v>
      </c>
      <c r="H226" s="185">
        <v>0.15</v>
      </c>
      <c r="I226" s="217">
        <v>11341.199999999999</v>
      </c>
      <c r="J226" s="259"/>
      <c r="L226" s="483" t="s">
        <v>110</v>
      </c>
      <c r="M226" s="164" t="str">
        <f>'LEVEL 3'!F231</f>
        <v>SF</v>
      </c>
      <c r="N226" s="161">
        <f>'LEVEL 3'!G231</f>
        <v>75608</v>
      </c>
      <c r="O226" s="185">
        <f>'LEVEL 3'!H231</f>
        <v>0.2</v>
      </c>
      <c r="P226" s="216">
        <f>'LEVEL 3'!I231</f>
        <v>0</v>
      </c>
      <c r="Q226" s="185">
        <f>'LEVEL 3'!J231</f>
        <v>0.2</v>
      </c>
      <c r="R226" s="217">
        <f>'LEVEL 3'!K231</f>
        <v>15121.6</v>
      </c>
      <c r="S226" s="259"/>
      <c r="U226" s="429">
        <f t="shared" si="24"/>
        <v>3780.4000000000015</v>
      </c>
      <c r="W226" s="432">
        <f t="shared" si="25"/>
        <v>0.33333333333333348</v>
      </c>
      <c r="Y226" s="504"/>
    </row>
    <row r="227" spans="1:25" hidden="1" outlineLevel="1">
      <c r="A227" s="512" t="s">
        <v>47</v>
      </c>
      <c r="B227" s="290"/>
      <c r="C227" s="483" t="s">
        <v>127</v>
      </c>
      <c r="D227" s="164" t="s">
        <v>15</v>
      </c>
      <c r="E227" s="161">
        <v>266</v>
      </c>
      <c r="F227" s="185">
        <v>7.5</v>
      </c>
      <c r="G227" s="216">
        <v>0</v>
      </c>
      <c r="H227" s="185">
        <v>7.5</v>
      </c>
      <c r="I227" s="217">
        <v>1995</v>
      </c>
      <c r="J227" s="259"/>
      <c r="L227" s="483" t="s">
        <v>195</v>
      </c>
      <c r="M227" s="164" t="str">
        <f>'LEVEL 3'!F232</f>
        <v>SF</v>
      </c>
      <c r="N227" s="161">
        <f>'LEVEL 3'!G232</f>
        <v>350</v>
      </c>
      <c r="O227" s="185">
        <f>'LEVEL 3'!H232</f>
        <v>8.5</v>
      </c>
      <c r="P227" s="216">
        <f>'LEVEL 3'!I232</f>
        <v>0</v>
      </c>
      <c r="Q227" s="185">
        <f>'LEVEL 3'!J232</f>
        <v>8.5</v>
      </c>
      <c r="R227" s="217">
        <f>'LEVEL 3'!K232</f>
        <v>2975</v>
      </c>
      <c r="S227" s="259"/>
      <c r="U227" s="429">
        <f t="shared" si="24"/>
        <v>980</v>
      </c>
      <c r="W227" s="432">
        <f t="shared" si="25"/>
        <v>0.49122807017543857</v>
      </c>
      <c r="Y227" s="504"/>
    </row>
    <row r="228" spans="1:25" hidden="1" outlineLevel="1">
      <c r="A228" s="512" t="s">
        <v>526</v>
      </c>
      <c r="B228" s="290"/>
      <c r="C228" s="483" t="s">
        <v>127</v>
      </c>
      <c r="D228" s="164" t="s">
        <v>15</v>
      </c>
      <c r="E228" s="161">
        <v>4172</v>
      </c>
      <c r="F228" s="185">
        <v>7.5</v>
      </c>
      <c r="G228" s="216">
        <v>0</v>
      </c>
      <c r="H228" s="185">
        <v>7.5</v>
      </c>
      <c r="I228" s="217">
        <v>31290</v>
      </c>
      <c r="J228" s="259"/>
      <c r="L228" s="483" t="s">
        <v>195</v>
      </c>
      <c r="M228" s="164" t="str">
        <f>'LEVEL 3'!F233</f>
        <v>SF</v>
      </c>
      <c r="N228" s="161">
        <f>'LEVEL 3'!G233</f>
        <v>4500</v>
      </c>
      <c r="O228" s="185">
        <f>'LEVEL 3'!H233</f>
        <v>8.5</v>
      </c>
      <c r="P228" s="216">
        <f>'LEVEL 3'!I233</f>
        <v>0</v>
      </c>
      <c r="Q228" s="185">
        <f>'LEVEL 3'!J233</f>
        <v>8.5</v>
      </c>
      <c r="R228" s="217">
        <f>'LEVEL 3'!K233</f>
        <v>38250</v>
      </c>
      <c r="S228" s="259"/>
      <c r="U228" s="429">
        <f t="shared" si="24"/>
        <v>6960</v>
      </c>
      <c r="W228" s="432">
        <f t="shared" si="25"/>
        <v>0.2224352828379674</v>
      </c>
      <c r="Y228" s="504"/>
    </row>
    <row r="229" spans="1:25" hidden="1" outlineLevel="1">
      <c r="A229" s="512" t="s">
        <v>528</v>
      </c>
      <c r="B229" s="290"/>
      <c r="C229" s="483" t="s">
        <v>461</v>
      </c>
      <c r="D229" s="164" t="s">
        <v>121</v>
      </c>
      <c r="E229" s="161">
        <v>1</v>
      </c>
      <c r="F229" s="185">
        <v>28606</v>
      </c>
      <c r="G229" s="216">
        <v>0</v>
      </c>
      <c r="H229" s="185">
        <v>28606</v>
      </c>
      <c r="I229" s="217">
        <v>28606</v>
      </c>
      <c r="J229" s="259"/>
      <c r="L229" s="483" t="s">
        <v>116</v>
      </c>
      <c r="M229" s="164" t="str">
        <f>'LEVEL 3'!F234</f>
        <v>LS</v>
      </c>
      <c r="N229" s="161">
        <f>'LEVEL 3'!G234</f>
        <v>1</v>
      </c>
      <c r="O229" s="185">
        <f>'LEVEL 3'!H234</f>
        <v>66295</v>
      </c>
      <c r="P229" s="216">
        <f>'LEVEL 3'!I234</f>
        <v>0</v>
      </c>
      <c r="Q229" s="185">
        <f>'LEVEL 3'!J234</f>
        <v>66295</v>
      </c>
      <c r="R229" s="217">
        <f>'LEVEL 3'!K234</f>
        <v>66295</v>
      </c>
      <c r="S229" s="259"/>
      <c r="U229" s="429">
        <f t="shared" si="24"/>
        <v>37689</v>
      </c>
      <c r="W229" s="432">
        <f t="shared" si="25"/>
        <v>1.3175207998322029</v>
      </c>
      <c r="Y229" s="504"/>
    </row>
    <row r="230" spans="1:25" hidden="1" outlineLevel="1">
      <c r="A230" s="512" t="s">
        <v>530</v>
      </c>
      <c r="B230" s="290"/>
      <c r="C230" s="483" t="s">
        <v>461</v>
      </c>
      <c r="D230" s="164" t="s">
        <v>121</v>
      </c>
      <c r="E230" s="161">
        <v>1</v>
      </c>
      <c r="F230" s="185">
        <v>23128</v>
      </c>
      <c r="G230" s="216">
        <v>0</v>
      </c>
      <c r="H230" s="185">
        <v>23128</v>
      </c>
      <c r="I230" s="217">
        <v>23128</v>
      </c>
      <c r="J230" s="259"/>
      <c r="L230" s="483" t="s">
        <v>116</v>
      </c>
      <c r="M230" s="164" t="str">
        <f>'LEVEL 3'!F235</f>
        <v>LS</v>
      </c>
      <c r="N230" s="161">
        <f>'LEVEL 3'!G235</f>
        <v>1</v>
      </c>
      <c r="O230" s="185">
        <f>'LEVEL 3'!H235</f>
        <v>42120</v>
      </c>
      <c r="P230" s="216">
        <f>'LEVEL 3'!I235</f>
        <v>0</v>
      </c>
      <c r="Q230" s="185">
        <f>'LEVEL 3'!J235</f>
        <v>42120</v>
      </c>
      <c r="R230" s="217">
        <f>'LEVEL 3'!K235</f>
        <v>42120</v>
      </c>
      <c r="S230" s="259"/>
      <c r="U230" s="429">
        <f t="shared" si="24"/>
        <v>18992</v>
      </c>
      <c r="W230" s="432">
        <f t="shared" si="25"/>
        <v>0.82116914562435139</v>
      </c>
      <c r="Y230" s="504"/>
    </row>
    <row r="231" spans="1:25" hidden="1" outlineLevel="1">
      <c r="A231" s="514" t="s">
        <v>532</v>
      </c>
      <c r="B231" s="290"/>
      <c r="C231" s="483" t="s">
        <v>461</v>
      </c>
      <c r="D231" s="164" t="s">
        <v>121</v>
      </c>
      <c r="E231" s="161">
        <v>1</v>
      </c>
      <c r="F231" s="185">
        <v>74895</v>
      </c>
      <c r="G231" s="216">
        <v>0</v>
      </c>
      <c r="H231" s="185">
        <v>74895</v>
      </c>
      <c r="I231" s="217">
        <v>74895</v>
      </c>
      <c r="J231" s="259"/>
      <c r="L231" s="483" t="s">
        <v>116</v>
      </c>
      <c r="M231" s="164" t="str">
        <f>'LEVEL 3'!F236</f>
        <v>LS</v>
      </c>
      <c r="N231" s="161">
        <f>'LEVEL 3'!G236</f>
        <v>1</v>
      </c>
      <c r="O231" s="185">
        <f>'LEVEL 3'!H236</f>
        <v>89086</v>
      </c>
      <c r="P231" s="216">
        <f>'LEVEL 3'!I236</f>
        <v>0</v>
      </c>
      <c r="Q231" s="185">
        <f>'LEVEL 3'!J236</f>
        <v>89086</v>
      </c>
      <c r="R231" s="217">
        <f>'LEVEL 3'!K236</f>
        <v>89086</v>
      </c>
      <c r="S231" s="259"/>
      <c r="U231" s="429">
        <f t="shared" si="24"/>
        <v>14191</v>
      </c>
      <c r="W231" s="432">
        <f t="shared" si="25"/>
        <v>0.18947860337806263</v>
      </c>
      <c r="Y231" s="504"/>
    </row>
    <row r="232" spans="1:25" hidden="1" outlineLevel="1">
      <c r="A232" s="512" t="s">
        <v>534</v>
      </c>
      <c r="B232" s="290"/>
      <c r="C232" s="483" t="s">
        <v>118</v>
      </c>
      <c r="D232" s="164"/>
      <c r="E232" s="161"/>
      <c r="F232" s="185"/>
      <c r="G232" s="216">
        <v>0</v>
      </c>
      <c r="H232" s="185">
        <v>0</v>
      </c>
      <c r="I232" s="217">
        <v>0</v>
      </c>
      <c r="J232" s="259"/>
      <c r="L232" s="483" t="s">
        <v>118</v>
      </c>
      <c r="M232" s="164">
        <f>'LEVEL 3'!F237</f>
        <v>0</v>
      </c>
      <c r="N232" s="161">
        <f>'LEVEL 3'!G237</f>
        <v>0</v>
      </c>
      <c r="O232" s="185">
        <f>'LEVEL 3'!H237</f>
        <v>0</v>
      </c>
      <c r="P232" s="216">
        <f>'LEVEL 3'!I237</f>
        <v>0</v>
      </c>
      <c r="Q232" s="185">
        <f>'LEVEL 3'!J237</f>
        <v>0</v>
      </c>
      <c r="R232" s="217">
        <f>'LEVEL 3'!K237</f>
        <v>0</v>
      </c>
      <c r="S232" s="259"/>
      <c r="U232" s="429">
        <f t="shared" si="24"/>
        <v>0</v>
      </c>
      <c r="W232" s="432">
        <f t="shared" si="25"/>
        <v>0</v>
      </c>
      <c r="Y232" s="504"/>
    </row>
    <row r="233" spans="1:25" hidden="1" outlineLevel="1">
      <c r="A233" s="512" t="s">
        <v>536</v>
      </c>
      <c r="B233" s="290"/>
      <c r="C233" s="483" t="s">
        <v>127</v>
      </c>
      <c r="D233" s="164" t="s">
        <v>121</v>
      </c>
      <c r="E233" s="161">
        <v>1</v>
      </c>
      <c r="F233" s="185">
        <v>9660</v>
      </c>
      <c r="G233" s="216">
        <v>0</v>
      </c>
      <c r="H233" s="185">
        <v>9660</v>
      </c>
      <c r="I233" s="217">
        <v>9660</v>
      </c>
      <c r="J233" s="259"/>
      <c r="L233" s="483" t="s">
        <v>110</v>
      </c>
      <c r="M233" s="164" t="str">
        <f>'LEVEL 3'!F238</f>
        <v>LS</v>
      </c>
      <c r="N233" s="161">
        <f>'LEVEL 3'!G238</f>
        <v>1</v>
      </c>
      <c r="O233" s="185">
        <f>'LEVEL 3'!H238</f>
        <v>10000</v>
      </c>
      <c r="P233" s="216">
        <f>'LEVEL 3'!I238</f>
        <v>0</v>
      </c>
      <c r="Q233" s="185">
        <f>'LEVEL 3'!J238</f>
        <v>10000</v>
      </c>
      <c r="R233" s="217">
        <f>'LEVEL 3'!K238</f>
        <v>10000</v>
      </c>
      <c r="S233" s="259"/>
      <c r="U233" s="429">
        <f t="shared" si="24"/>
        <v>340</v>
      </c>
      <c r="W233" s="432">
        <f t="shared" si="25"/>
        <v>3.5196687370600416E-2</v>
      </c>
      <c r="Y233" s="504"/>
    </row>
    <row r="234" spans="1:25" hidden="1" outlineLevel="1">
      <c r="A234" s="512" t="s">
        <v>538</v>
      </c>
      <c r="B234" s="290"/>
      <c r="C234" s="483" t="s">
        <v>127</v>
      </c>
      <c r="D234" s="164" t="s">
        <v>464</v>
      </c>
      <c r="E234" s="422">
        <v>4.9000000000000004</v>
      </c>
      <c r="F234" s="185">
        <v>2476</v>
      </c>
      <c r="G234" s="216">
        <v>0</v>
      </c>
      <c r="H234" s="185">
        <v>2476</v>
      </c>
      <c r="I234" s="217">
        <v>12132.400000000001</v>
      </c>
      <c r="J234" s="259"/>
      <c r="L234" s="483" t="s">
        <v>110</v>
      </c>
      <c r="M234" s="164" t="str">
        <f>'LEVEL 3'!F239</f>
        <v>Acre</v>
      </c>
      <c r="N234" s="422">
        <f>'LEVEL 3'!G239</f>
        <v>4.9000000000000004</v>
      </c>
      <c r="O234" s="185">
        <f>'LEVEL 3'!H239</f>
        <v>2500</v>
      </c>
      <c r="P234" s="216">
        <f>'LEVEL 3'!I239</f>
        <v>0</v>
      </c>
      <c r="Q234" s="185">
        <f>'LEVEL 3'!J239</f>
        <v>2500</v>
      </c>
      <c r="R234" s="217">
        <f>'LEVEL 3'!K239</f>
        <v>12250</v>
      </c>
      <c r="S234" s="259"/>
      <c r="U234" s="429">
        <f t="shared" si="24"/>
        <v>117.59999999999854</v>
      </c>
      <c r="W234" s="432">
        <f t="shared" si="25"/>
        <v>9.6930533117930932E-3</v>
      </c>
      <c r="Y234" s="504"/>
    </row>
    <row r="235" spans="1:25" hidden="1" outlineLevel="1">
      <c r="A235" s="512" t="s">
        <v>540</v>
      </c>
      <c r="B235" s="290"/>
      <c r="C235" s="483" t="s">
        <v>461</v>
      </c>
      <c r="D235" s="164" t="s">
        <v>121</v>
      </c>
      <c r="E235" s="161">
        <v>1</v>
      </c>
      <c r="F235" s="185">
        <v>65375</v>
      </c>
      <c r="G235" s="216">
        <v>0</v>
      </c>
      <c r="H235" s="185">
        <v>65375</v>
      </c>
      <c r="I235" s="217">
        <v>65375</v>
      </c>
      <c r="J235" s="259"/>
      <c r="L235" s="483" t="s">
        <v>116</v>
      </c>
      <c r="M235" s="164" t="str">
        <f>'LEVEL 3'!F240</f>
        <v>LS</v>
      </c>
      <c r="N235" s="161">
        <f>'LEVEL 3'!G240</f>
        <v>1</v>
      </c>
      <c r="O235" s="185">
        <f>'LEVEL 3'!H240</f>
        <v>92505</v>
      </c>
      <c r="P235" s="216">
        <f>'LEVEL 3'!I240</f>
        <v>0</v>
      </c>
      <c r="Q235" s="185">
        <f>'LEVEL 3'!J240</f>
        <v>92505</v>
      </c>
      <c r="R235" s="217">
        <f>'LEVEL 3'!K240</f>
        <v>92505</v>
      </c>
      <c r="S235" s="259"/>
      <c r="U235" s="429">
        <f t="shared" si="24"/>
        <v>27130</v>
      </c>
      <c r="W235" s="432">
        <f t="shared" si="25"/>
        <v>0.4149904397705545</v>
      </c>
      <c r="Y235" s="504"/>
    </row>
    <row r="236" spans="1:25" hidden="1" outlineLevel="1">
      <c r="A236" s="512" t="s">
        <v>543</v>
      </c>
      <c r="B236" s="290"/>
      <c r="C236" s="483" t="s">
        <v>461</v>
      </c>
      <c r="D236" s="164" t="s">
        <v>32</v>
      </c>
      <c r="E236" s="161">
        <v>4</v>
      </c>
      <c r="F236" s="185">
        <v>2485</v>
      </c>
      <c r="G236" s="216">
        <v>0</v>
      </c>
      <c r="H236" s="185">
        <v>2485</v>
      </c>
      <c r="I236" s="217">
        <v>9940</v>
      </c>
      <c r="J236" s="259"/>
      <c r="L236" s="483" t="s">
        <v>116</v>
      </c>
      <c r="M236" s="164" t="str">
        <f>'LEVEL 3'!F241</f>
        <v>Count</v>
      </c>
      <c r="N236" s="161">
        <f>'LEVEL 3'!G241</f>
        <v>4</v>
      </c>
      <c r="O236" s="185">
        <f>'LEVEL 3'!H241</f>
        <v>2485</v>
      </c>
      <c r="P236" s="216">
        <f>'LEVEL 3'!I241</f>
        <v>0</v>
      </c>
      <c r="Q236" s="185">
        <f>'LEVEL 3'!J241</f>
        <v>2485</v>
      </c>
      <c r="R236" s="217">
        <f>'LEVEL 3'!K241</f>
        <v>9940</v>
      </c>
      <c r="S236" s="259"/>
      <c r="U236" s="429">
        <f t="shared" si="24"/>
        <v>0</v>
      </c>
      <c r="W236" s="432">
        <f t="shared" si="25"/>
        <v>0</v>
      </c>
      <c r="Y236" s="504"/>
    </row>
    <row r="237" spans="1:25" hidden="1" outlineLevel="1">
      <c r="A237" s="512" t="s">
        <v>545</v>
      </c>
      <c r="B237" s="290"/>
      <c r="C237" s="483" t="s">
        <v>110</v>
      </c>
      <c r="D237" s="164" t="s">
        <v>121</v>
      </c>
      <c r="E237" s="161">
        <v>1</v>
      </c>
      <c r="F237" s="185">
        <v>10000</v>
      </c>
      <c r="G237" s="216">
        <v>0</v>
      </c>
      <c r="H237" s="185">
        <v>10000</v>
      </c>
      <c r="I237" s="217">
        <v>10000</v>
      </c>
      <c r="J237" s="259"/>
      <c r="L237" s="483" t="s">
        <v>110</v>
      </c>
      <c r="M237" s="164" t="str">
        <f>'LEVEL 3'!F242</f>
        <v>LS</v>
      </c>
      <c r="N237" s="161">
        <f>'LEVEL 3'!G242</f>
        <v>1</v>
      </c>
      <c r="O237" s="185">
        <f>'LEVEL 3'!H242</f>
        <v>10000</v>
      </c>
      <c r="P237" s="216">
        <f>'LEVEL 3'!I242</f>
        <v>0</v>
      </c>
      <c r="Q237" s="185">
        <f>'LEVEL 3'!J242</f>
        <v>10000</v>
      </c>
      <c r="R237" s="217">
        <f>'LEVEL 3'!K242</f>
        <v>10000</v>
      </c>
      <c r="S237" s="259"/>
      <c r="U237" s="429">
        <f t="shared" si="24"/>
        <v>0</v>
      </c>
      <c r="W237" s="432">
        <f t="shared" si="25"/>
        <v>0</v>
      </c>
      <c r="Y237" s="504"/>
    </row>
    <row r="238" spans="1:25" hidden="1" outlineLevel="1">
      <c r="A238" s="512" t="s">
        <v>547</v>
      </c>
      <c r="B238" s="290"/>
      <c r="C238" s="483" t="s">
        <v>116</v>
      </c>
      <c r="D238" s="164" t="s">
        <v>549</v>
      </c>
      <c r="E238" s="161">
        <v>150</v>
      </c>
      <c r="F238" s="185">
        <v>70</v>
      </c>
      <c r="G238" s="216">
        <v>0</v>
      </c>
      <c r="H238" s="185">
        <v>70</v>
      </c>
      <c r="I238" s="217">
        <v>10500</v>
      </c>
      <c r="J238" s="259"/>
      <c r="L238" s="483" t="s">
        <v>110</v>
      </c>
      <c r="M238" s="164" t="str">
        <f>'LEVEL 3'!F243</f>
        <v>LF</v>
      </c>
      <c r="N238" s="161">
        <f>'LEVEL 3'!G243</f>
        <v>150</v>
      </c>
      <c r="O238" s="185">
        <f>'LEVEL 3'!H243</f>
        <v>70</v>
      </c>
      <c r="P238" s="216">
        <f>'LEVEL 3'!I243</f>
        <v>0</v>
      </c>
      <c r="Q238" s="185">
        <f>'LEVEL 3'!J243</f>
        <v>70</v>
      </c>
      <c r="R238" s="217">
        <f>'LEVEL 3'!K243</f>
        <v>10500</v>
      </c>
      <c r="S238" s="259"/>
      <c r="U238" s="429">
        <f t="shared" si="24"/>
        <v>0</v>
      </c>
      <c r="W238" s="432">
        <f t="shared" si="25"/>
        <v>0</v>
      </c>
      <c r="Y238" s="504"/>
    </row>
    <row r="239" spans="1:25" hidden="1" outlineLevel="1">
      <c r="A239" s="512" t="s">
        <v>70</v>
      </c>
      <c r="B239" s="290"/>
      <c r="C239" s="483" t="s">
        <v>461</v>
      </c>
      <c r="D239" s="164" t="s">
        <v>549</v>
      </c>
      <c r="E239" s="161">
        <v>900</v>
      </c>
      <c r="F239" s="185">
        <v>75</v>
      </c>
      <c r="G239" s="216">
        <v>0</v>
      </c>
      <c r="H239" s="185">
        <v>75</v>
      </c>
      <c r="I239" s="217">
        <v>67500</v>
      </c>
      <c r="J239" s="259"/>
      <c r="L239" s="483" t="s">
        <v>116</v>
      </c>
      <c r="M239" s="164" t="str">
        <f>'LEVEL 3'!F244</f>
        <v>LF</v>
      </c>
      <c r="N239" s="161">
        <f>'LEVEL 3'!G244</f>
        <v>300</v>
      </c>
      <c r="O239" s="185">
        <f>'LEVEL 3'!H244</f>
        <v>70</v>
      </c>
      <c r="P239" s="216">
        <f>'LEVEL 3'!I244</f>
        <v>0</v>
      </c>
      <c r="Q239" s="185">
        <f>'LEVEL 3'!J244</f>
        <v>70</v>
      </c>
      <c r="R239" s="217">
        <f>'LEVEL 3'!K244</f>
        <v>21000</v>
      </c>
      <c r="S239" s="259"/>
      <c r="U239" s="429">
        <f t="shared" si="24"/>
        <v>-46500</v>
      </c>
      <c r="W239" s="432">
        <f t="shared" si="25"/>
        <v>-0.68888888888888888</v>
      </c>
      <c r="Y239" s="504"/>
    </row>
    <row r="240" spans="1:25" hidden="1" outlineLevel="1">
      <c r="A240" s="512" t="s">
        <v>553</v>
      </c>
      <c r="B240" s="290"/>
      <c r="C240" s="483" t="s">
        <v>461</v>
      </c>
      <c r="D240" s="164" t="s">
        <v>32</v>
      </c>
      <c r="E240" s="161">
        <v>2</v>
      </c>
      <c r="F240" s="185">
        <v>1950</v>
      </c>
      <c r="G240" s="216">
        <v>0</v>
      </c>
      <c r="H240" s="185">
        <v>1950</v>
      </c>
      <c r="I240" s="217">
        <v>3900</v>
      </c>
      <c r="J240" s="259"/>
      <c r="L240" s="483" t="s">
        <v>116</v>
      </c>
      <c r="M240" s="164" t="str">
        <f>'LEVEL 3'!F245</f>
        <v>Count</v>
      </c>
      <c r="N240" s="161">
        <f>'LEVEL 3'!G245</f>
        <v>2</v>
      </c>
      <c r="O240" s="185">
        <f>'LEVEL 3'!H245</f>
        <v>1950</v>
      </c>
      <c r="P240" s="216">
        <f>'LEVEL 3'!I245</f>
        <v>0</v>
      </c>
      <c r="Q240" s="185">
        <f>'LEVEL 3'!J245</f>
        <v>1950</v>
      </c>
      <c r="R240" s="217">
        <f>'LEVEL 3'!K245</f>
        <v>3900</v>
      </c>
      <c r="S240" s="259"/>
      <c r="U240" s="429">
        <f t="shared" si="24"/>
        <v>0</v>
      </c>
      <c r="W240" s="432">
        <f t="shared" si="25"/>
        <v>0</v>
      </c>
      <c r="Y240" s="504"/>
    </row>
    <row r="241" spans="1:25" hidden="1" outlineLevel="1">
      <c r="A241" s="512" t="s">
        <v>554</v>
      </c>
      <c r="B241" s="290"/>
      <c r="C241" s="483" t="s">
        <v>118</v>
      </c>
      <c r="D241" s="164"/>
      <c r="E241" s="161"/>
      <c r="F241" s="185">
        <v>96000</v>
      </c>
      <c r="G241" s="216">
        <v>0</v>
      </c>
      <c r="H241" s="185">
        <v>96000</v>
      </c>
      <c r="I241" s="217">
        <v>0</v>
      </c>
      <c r="J241" s="259"/>
      <c r="L241" s="483" t="s">
        <v>116</v>
      </c>
      <c r="M241" s="164" t="str">
        <f>'LEVEL 3'!F246</f>
        <v>LS</v>
      </c>
      <c r="N241" s="161">
        <f>'LEVEL 3'!G246</f>
        <v>1</v>
      </c>
      <c r="O241" s="185">
        <f>'LEVEL 3'!H246</f>
        <v>6000</v>
      </c>
      <c r="P241" s="216">
        <f>'LEVEL 3'!I246</f>
        <v>0</v>
      </c>
      <c r="Q241" s="185">
        <f>'LEVEL 3'!J246</f>
        <v>6000</v>
      </c>
      <c r="R241" s="217">
        <f>'LEVEL 3'!K246</f>
        <v>6000</v>
      </c>
      <c r="S241" s="259"/>
      <c r="U241" s="429">
        <f t="shared" si="24"/>
        <v>6000</v>
      </c>
      <c r="W241" s="432">
        <f t="shared" si="25"/>
        <v>0</v>
      </c>
      <c r="Y241" s="504"/>
    </row>
    <row r="242" spans="1:25" hidden="1" outlineLevel="1">
      <c r="A242" s="512" t="s">
        <v>556</v>
      </c>
      <c r="B242" s="290"/>
      <c r="C242" s="483" t="s">
        <v>118</v>
      </c>
      <c r="D242" s="164"/>
      <c r="E242" s="161"/>
      <c r="F242" s="185">
        <v>3555</v>
      </c>
      <c r="G242" s="216">
        <v>0</v>
      </c>
      <c r="H242" s="185">
        <v>3555</v>
      </c>
      <c r="I242" s="217">
        <v>0</v>
      </c>
      <c r="J242" s="259"/>
      <c r="L242" s="483" t="s">
        <v>118</v>
      </c>
      <c r="M242" s="164" t="str">
        <f>'LEVEL 3'!F247</f>
        <v>LS</v>
      </c>
      <c r="N242" s="161">
        <f>'LEVEL 3'!G247</f>
        <v>1</v>
      </c>
      <c r="O242" s="185">
        <f>'LEVEL 3'!H247</f>
        <v>0</v>
      </c>
      <c r="P242" s="216">
        <f>'LEVEL 3'!I247</f>
        <v>0</v>
      </c>
      <c r="Q242" s="185">
        <f>'LEVEL 3'!J247</f>
        <v>0</v>
      </c>
      <c r="R242" s="217">
        <f>'LEVEL 3'!K247</f>
        <v>0</v>
      </c>
      <c r="S242" s="259"/>
      <c r="U242" s="429">
        <f t="shared" si="24"/>
        <v>0</v>
      </c>
      <c r="W242" s="432">
        <f t="shared" si="25"/>
        <v>0</v>
      </c>
      <c r="Y242" s="504"/>
    </row>
    <row r="243" spans="1:25" hidden="1" outlineLevel="1">
      <c r="A243" s="512" t="s">
        <v>558</v>
      </c>
      <c r="B243" s="290"/>
      <c r="C243" s="483" t="s">
        <v>118</v>
      </c>
      <c r="D243" s="164"/>
      <c r="E243" s="161"/>
      <c r="F243" s="185">
        <v>44</v>
      </c>
      <c r="G243" s="216">
        <v>0</v>
      </c>
      <c r="H243" s="185">
        <v>44</v>
      </c>
      <c r="I243" s="217">
        <v>0</v>
      </c>
      <c r="J243" s="259"/>
      <c r="L243" s="483" t="s">
        <v>118</v>
      </c>
      <c r="M243" s="164">
        <f>'LEVEL 3'!F248</f>
        <v>0</v>
      </c>
      <c r="N243" s="161">
        <f>'LEVEL 3'!G248</f>
        <v>0</v>
      </c>
      <c r="O243" s="185">
        <f>'LEVEL 3'!H248</f>
        <v>44</v>
      </c>
      <c r="P243" s="216">
        <f>'LEVEL 3'!I248</f>
        <v>0</v>
      </c>
      <c r="Q243" s="185">
        <f>'LEVEL 3'!J248</f>
        <v>44</v>
      </c>
      <c r="R243" s="217">
        <f>'LEVEL 3'!K248</f>
        <v>0</v>
      </c>
      <c r="S243" s="259"/>
      <c r="U243" s="429">
        <f t="shared" si="24"/>
        <v>0</v>
      </c>
      <c r="W243" s="432">
        <f t="shared" si="25"/>
        <v>0</v>
      </c>
      <c r="Y243" s="504"/>
    </row>
    <row r="244" spans="1:25" hidden="1" outlineLevel="1">
      <c r="A244" s="512" t="s">
        <v>560</v>
      </c>
      <c r="B244" s="290"/>
      <c r="C244" s="483" t="s">
        <v>461</v>
      </c>
      <c r="D244" s="164" t="s">
        <v>121</v>
      </c>
      <c r="E244" s="161">
        <v>1</v>
      </c>
      <c r="F244" s="185">
        <v>3900</v>
      </c>
      <c r="G244" s="216">
        <v>0</v>
      </c>
      <c r="H244" s="185">
        <v>3900</v>
      </c>
      <c r="I244" s="217">
        <v>3900</v>
      </c>
      <c r="J244" s="259"/>
      <c r="L244" s="483" t="s">
        <v>461</v>
      </c>
      <c r="M244" s="164" t="str">
        <f>'LEVEL 3'!F249</f>
        <v>LS</v>
      </c>
      <c r="N244" s="161">
        <f>'LEVEL 3'!G249</f>
        <v>2</v>
      </c>
      <c r="O244" s="185">
        <f>'LEVEL 3'!H249</f>
        <v>1950</v>
      </c>
      <c r="P244" s="216">
        <f>'LEVEL 3'!I249</f>
        <v>0</v>
      </c>
      <c r="Q244" s="185">
        <f>'LEVEL 3'!J249</f>
        <v>1950</v>
      </c>
      <c r="R244" s="217">
        <f>'LEVEL 3'!K249</f>
        <v>3900</v>
      </c>
      <c r="S244" s="259"/>
      <c r="U244" s="429">
        <f t="shared" si="24"/>
        <v>0</v>
      </c>
      <c r="W244" s="432">
        <f t="shared" si="25"/>
        <v>0</v>
      </c>
      <c r="Y244" s="504"/>
    </row>
    <row r="245" spans="1:25" hidden="1" outlineLevel="1">
      <c r="A245" s="512" t="s">
        <v>562</v>
      </c>
      <c r="B245" s="290"/>
      <c r="C245" s="483" t="s">
        <v>127</v>
      </c>
      <c r="D245" s="164" t="s">
        <v>464</v>
      </c>
      <c r="E245" s="422">
        <v>4.9000000000000004</v>
      </c>
      <c r="F245" s="185">
        <v>12500</v>
      </c>
      <c r="G245" s="216">
        <v>0</v>
      </c>
      <c r="H245" s="185">
        <v>12500</v>
      </c>
      <c r="I245" s="217">
        <v>12500</v>
      </c>
      <c r="J245" s="259"/>
      <c r="L245" s="483" t="s">
        <v>110</v>
      </c>
      <c r="M245" s="164" t="str">
        <f>'LEVEL 3'!F250</f>
        <v>LS</v>
      </c>
      <c r="N245" s="422">
        <f>'LEVEL 3'!G250</f>
        <v>1</v>
      </c>
      <c r="O245" s="185">
        <f>'LEVEL 3'!H250</f>
        <v>15000</v>
      </c>
      <c r="P245" s="216">
        <f>'LEVEL 3'!I250</f>
        <v>0</v>
      </c>
      <c r="Q245" s="185">
        <f>'LEVEL 3'!J250</f>
        <v>15000</v>
      </c>
      <c r="R245" s="217">
        <f>'LEVEL 3'!K250</f>
        <v>15000</v>
      </c>
      <c r="S245" s="259"/>
      <c r="U245" s="429">
        <f t="shared" si="24"/>
        <v>2500</v>
      </c>
      <c r="W245" s="432">
        <f t="shared" si="25"/>
        <v>0.2</v>
      </c>
      <c r="Y245" s="504"/>
    </row>
    <row r="246" spans="1:25" hidden="1" outlineLevel="1">
      <c r="A246" s="512" t="s">
        <v>564</v>
      </c>
      <c r="B246" s="290"/>
      <c r="C246" s="483" t="s">
        <v>461</v>
      </c>
      <c r="D246" s="164" t="s">
        <v>121</v>
      </c>
      <c r="E246" s="161">
        <v>1</v>
      </c>
      <c r="F246" s="185">
        <v>98343</v>
      </c>
      <c r="G246" s="216">
        <v>0</v>
      </c>
      <c r="H246" s="185">
        <v>98343</v>
      </c>
      <c r="I246" s="217">
        <v>98343</v>
      </c>
      <c r="J246" s="259"/>
      <c r="L246" s="483" t="s">
        <v>461</v>
      </c>
      <c r="M246" s="164" t="str">
        <f>'LEVEL 3'!F251</f>
        <v>LS</v>
      </c>
      <c r="N246" s="161">
        <f>'LEVEL 3'!G251</f>
        <v>1</v>
      </c>
      <c r="O246" s="185">
        <f>'LEVEL 3'!H251</f>
        <v>98343</v>
      </c>
      <c r="P246" s="216">
        <f>'LEVEL 3'!I251</f>
        <v>0</v>
      </c>
      <c r="Q246" s="185">
        <f>'LEVEL 3'!J251</f>
        <v>98343</v>
      </c>
      <c r="R246" s="217">
        <f>'LEVEL 3'!K251</f>
        <v>98343</v>
      </c>
      <c r="S246" s="259"/>
      <c r="U246" s="429">
        <f t="shared" si="24"/>
        <v>0</v>
      </c>
      <c r="W246" s="432">
        <f t="shared" si="25"/>
        <v>0</v>
      </c>
      <c r="Y246" s="504"/>
    </row>
    <row r="247" spans="1:25" hidden="1" outlineLevel="1">
      <c r="A247" s="512" t="s">
        <v>566</v>
      </c>
      <c r="B247" s="290"/>
      <c r="C247" s="483" t="s">
        <v>240</v>
      </c>
      <c r="D247" s="164" t="s">
        <v>121</v>
      </c>
      <c r="E247" s="161">
        <v>1</v>
      </c>
      <c r="F247" s="185">
        <v>0</v>
      </c>
      <c r="G247" s="216">
        <v>0</v>
      </c>
      <c r="H247" s="185">
        <v>0</v>
      </c>
      <c r="I247" s="217">
        <v>0</v>
      </c>
      <c r="J247" s="259"/>
      <c r="L247" s="483" t="s">
        <v>240</v>
      </c>
      <c r="M247" s="164" t="str">
        <f>'LEVEL 3'!F252</f>
        <v>LS</v>
      </c>
      <c r="N247" s="161">
        <f>'LEVEL 3'!G252</f>
        <v>1</v>
      </c>
      <c r="O247" s="185">
        <f>'LEVEL 3'!H252</f>
        <v>0</v>
      </c>
      <c r="P247" s="216">
        <f>'LEVEL 3'!I252</f>
        <v>0</v>
      </c>
      <c r="Q247" s="185">
        <f>'LEVEL 3'!J252</f>
        <v>0</v>
      </c>
      <c r="R247" s="217">
        <f>'LEVEL 3'!K252</f>
        <v>0</v>
      </c>
      <c r="S247" s="259"/>
      <c r="U247" s="429">
        <f t="shared" si="24"/>
        <v>0</v>
      </c>
      <c r="W247" s="432">
        <f t="shared" si="25"/>
        <v>0</v>
      </c>
      <c r="Y247" s="504"/>
    </row>
    <row r="248" spans="1:25" hidden="1" outlineLevel="1">
      <c r="A248" s="512" t="s">
        <v>568</v>
      </c>
      <c r="B248" s="290"/>
      <c r="C248" s="483" t="s">
        <v>110</v>
      </c>
      <c r="D248" s="164" t="s">
        <v>121</v>
      </c>
      <c r="E248" s="161">
        <v>1</v>
      </c>
      <c r="F248" s="185">
        <v>50000</v>
      </c>
      <c r="G248" s="216">
        <v>0</v>
      </c>
      <c r="H248" s="185">
        <v>50000</v>
      </c>
      <c r="I248" s="217">
        <v>50000</v>
      </c>
      <c r="J248" s="259"/>
      <c r="L248" s="483" t="s">
        <v>110</v>
      </c>
      <c r="M248" s="164" t="str">
        <f>'LEVEL 3'!F253</f>
        <v>LS</v>
      </c>
      <c r="N248" s="161">
        <f>'LEVEL 3'!G253</f>
        <v>1</v>
      </c>
      <c r="O248" s="185">
        <f>'LEVEL 3'!H253</f>
        <v>15000</v>
      </c>
      <c r="P248" s="216">
        <f>'LEVEL 3'!I253</f>
        <v>0</v>
      </c>
      <c r="Q248" s="185">
        <f>'LEVEL 3'!J253</f>
        <v>15000</v>
      </c>
      <c r="R248" s="217">
        <f>'LEVEL 3'!K253</f>
        <v>15000</v>
      </c>
      <c r="S248" s="259"/>
      <c r="U248" s="429">
        <f t="shared" si="24"/>
        <v>-35000</v>
      </c>
      <c r="W248" s="432">
        <f t="shared" si="25"/>
        <v>-0.7</v>
      </c>
      <c r="Y248" s="504"/>
    </row>
    <row r="249" spans="1:25" hidden="1" outlineLevel="1">
      <c r="A249" s="512" t="s">
        <v>570</v>
      </c>
      <c r="B249" s="290"/>
      <c r="C249" s="483" t="s">
        <v>110</v>
      </c>
      <c r="D249" s="164" t="s">
        <v>121</v>
      </c>
      <c r="E249" s="161">
        <v>1</v>
      </c>
      <c r="F249" s="185">
        <v>11000</v>
      </c>
      <c r="G249" s="216">
        <v>0</v>
      </c>
      <c r="H249" s="185">
        <v>11000</v>
      </c>
      <c r="I249" s="217">
        <v>11000</v>
      </c>
      <c r="J249" s="259"/>
      <c r="L249" s="483" t="s">
        <v>110</v>
      </c>
      <c r="M249" s="164" t="str">
        <f>'LEVEL 3'!F254</f>
        <v>LS</v>
      </c>
      <c r="N249" s="161">
        <f>'LEVEL 3'!G254</f>
        <v>1</v>
      </c>
      <c r="O249" s="185">
        <f>'LEVEL 3'!H254</f>
        <v>11000</v>
      </c>
      <c r="P249" s="216">
        <f>'LEVEL 3'!I254</f>
        <v>0</v>
      </c>
      <c r="Q249" s="185">
        <f>'LEVEL 3'!J254</f>
        <v>11000</v>
      </c>
      <c r="R249" s="217">
        <f>'LEVEL 3'!K254</f>
        <v>11000</v>
      </c>
      <c r="S249" s="259"/>
      <c r="U249" s="429">
        <f t="shared" si="24"/>
        <v>0</v>
      </c>
      <c r="W249" s="432">
        <f t="shared" si="25"/>
        <v>0</v>
      </c>
      <c r="Y249" s="504"/>
    </row>
    <row r="250" spans="1:25" hidden="1" outlineLevel="1">
      <c r="A250" s="512" t="s">
        <v>572</v>
      </c>
      <c r="B250" s="290"/>
      <c r="C250" s="483" t="s">
        <v>110</v>
      </c>
      <c r="D250" s="164" t="s">
        <v>121</v>
      </c>
      <c r="E250" s="161">
        <v>1</v>
      </c>
      <c r="F250" s="185">
        <v>7000</v>
      </c>
      <c r="G250" s="216">
        <v>0</v>
      </c>
      <c r="H250" s="185">
        <v>7000</v>
      </c>
      <c r="I250" s="217">
        <v>7000</v>
      </c>
      <c r="J250" s="259"/>
      <c r="L250" s="483" t="s">
        <v>110</v>
      </c>
      <c r="M250" s="164" t="str">
        <f>'LEVEL 3'!F255</f>
        <v>LS</v>
      </c>
      <c r="N250" s="161">
        <f>'LEVEL 3'!G255</f>
        <v>1</v>
      </c>
      <c r="O250" s="185">
        <f>'LEVEL 3'!H255</f>
        <v>7000</v>
      </c>
      <c r="P250" s="216">
        <f>'LEVEL 3'!I255</f>
        <v>0</v>
      </c>
      <c r="Q250" s="185">
        <f>'LEVEL 3'!J255</f>
        <v>7000</v>
      </c>
      <c r="R250" s="217">
        <f>'LEVEL 3'!K255</f>
        <v>7000</v>
      </c>
      <c r="S250" s="259"/>
      <c r="U250" s="429">
        <f t="shared" si="24"/>
        <v>0</v>
      </c>
      <c r="W250" s="432">
        <f t="shared" si="25"/>
        <v>0</v>
      </c>
      <c r="Y250" s="504"/>
    </row>
    <row r="251" spans="1:25" hidden="1" outlineLevel="1">
      <c r="A251" s="512" t="s">
        <v>53</v>
      </c>
      <c r="B251" s="290"/>
      <c r="C251" s="483" t="s">
        <v>985</v>
      </c>
      <c r="D251" s="164" t="s">
        <v>15</v>
      </c>
      <c r="E251" s="167">
        <v>40023</v>
      </c>
      <c r="F251" s="185">
        <v>21.39</v>
      </c>
      <c r="G251" s="216">
        <v>0</v>
      </c>
      <c r="H251" s="185">
        <v>21.39</v>
      </c>
      <c r="I251" s="217">
        <v>856091.97</v>
      </c>
      <c r="J251" s="259"/>
      <c r="L251" s="483" t="s">
        <v>195</v>
      </c>
      <c r="M251" s="164" t="str">
        <f>'LEVEL 3'!F256</f>
        <v>SF</v>
      </c>
      <c r="N251" s="167">
        <f>'LEVEL 3'!G256</f>
        <v>39274</v>
      </c>
      <c r="O251" s="185">
        <f>'LEVEL 3'!H256</f>
        <v>17.056708470190106</v>
      </c>
      <c r="P251" s="216">
        <f>'LEVEL 3'!I256</f>
        <v>0</v>
      </c>
      <c r="Q251" s="185">
        <f>'LEVEL 3'!J256</f>
        <v>17.056708470190106</v>
      </c>
      <c r="R251" s="217">
        <f>'LEVEL 3'!K256</f>
        <v>669885.16845824628</v>
      </c>
      <c r="S251" s="259"/>
      <c r="U251" s="429">
        <f t="shared" si="24"/>
        <v>-186206.8015417537</v>
      </c>
      <c r="W251" s="432">
        <f t="shared" si="25"/>
        <v>-0.2175079408135947</v>
      </c>
      <c r="Y251" s="504"/>
    </row>
    <row r="252" spans="1:25" hidden="1" outlineLevel="1">
      <c r="A252" s="512" t="s">
        <v>575</v>
      </c>
      <c r="B252" s="290"/>
      <c r="C252" s="483" t="s">
        <v>118</v>
      </c>
      <c r="D252" s="164"/>
      <c r="E252" s="161"/>
      <c r="F252" s="185"/>
      <c r="G252" s="216">
        <v>0</v>
      </c>
      <c r="H252" s="185">
        <v>0</v>
      </c>
      <c r="I252" s="217">
        <v>0</v>
      </c>
      <c r="J252" s="259"/>
      <c r="L252" s="483" t="s">
        <v>118</v>
      </c>
      <c r="M252" s="164">
        <f>'LEVEL 3'!F257</f>
        <v>0</v>
      </c>
      <c r="N252" s="161">
        <f>'LEVEL 3'!G257</f>
        <v>0</v>
      </c>
      <c r="O252" s="185">
        <f>'LEVEL 3'!H257</f>
        <v>0</v>
      </c>
      <c r="P252" s="216">
        <f>'LEVEL 3'!I257</f>
        <v>0</v>
      </c>
      <c r="Q252" s="185">
        <f>'LEVEL 3'!J257</f>
        <v>0</v>
      </c>
      <c r="R252" s="217">
        <f>'LEVEL 3'!K257</f>
        <v>0</v>
      </c>
      <c r="S252" s="259"/>
      <c r="U252" s="429">
        <f t="shared" si="24"/>
        <v>0</v>
      </c>
      <c r="W252" s="432">
        <f t="shared" si="25"/>
        <v>0</v>
      </c>
      <c r="Y252" s="504"/>
    </row>
    <row r="253" spans="1:25" hidden="1" outlineLevel="1">
      <c r="A253" s="512" t="s">
        <v>576</v>
      </c>
      <c r="B253" s="290"/>
      <c r="C253" s="483" t="s">
        <v>118</v>
      </c>
      <c r="D253" s="164"/>
      <c r="E253" s="161"/>
      <c r="F253" s="185"/>
      <c r="G253" s="216">
        <v>0</v>
      </c>
      <c r="H253" s="185">
        <v>0</v>
      </c>
      <c r="I253" s="217">
        <v>0</v>
      </c>
      <c r="J253" s="259"/>
      <c r="L253" s="483" t="s">
        <v>118</v>
      </c>
      <c r="M253" s="164">
        <f>'LEVEL 3'!F258</f>
        <v>0</v>
      </c>
      <c r="N253" s="161">
        <f>'LEVEL 3'!G258</f>
        <v>0</v>
      </c>
      <c r="O253" s="185">
        <f>'LEVEL 3'!H258</f>
        <v>0</v>
      </c>
      <c r="P253" s="216">
        <f>'LEVEL 3'!I258</f>
        <v>0</v>
      </c>
      <c r="Q253" s="185">
        <f>'LEVEL 3'!J258</f>
        <v>0</v>
      </c>
      <c r="R253" s="217">
        <f>'LEVEL 3'!K258</f>
        <v>0</v>
      </c>
      <c r="S253" s="259"/>
      <c r="U253" s="429">
        <f t="shared" si="24"/>
        <v>0</v>
      </c>
      <c r="W253" s="432">
        <f t="shared" si="25"/>
        <v>0</v>
      </c>
      <c r="Y253" s="504"/>
    </row>
    <row r="254" spans="1:25" hidden="1" outlineLevel="1">
      <c r="A254" s="512" t="s">
        <v>578</v>
      </c>
      <c r="B254" s="290"/>
      <c r="C254" s="483" t="s">
        <v>880</v>
      </c>
      <c r="D254" s="164" t="s">
        <v>121</v>
      </c>
      <c r="E254" s="161">
        <v>1</v>
      </c>
      <c r="F254" s="185">
        <v>9864</v>
      </c>
      <c r="G254" s="216">
        <v>0</v>
      </c>
      <c r="H254" s="185">
        <v>9864</v>
      </c>
      <c r="I254" s="217">
        <v>9864</v>
      </c>
      <c r="J254" s="259"/>
      <c r="L254" s="483" t="s">
        <v>880</v>
      </c>
      <c r="M254" s="164" t="str">
        <f>'LEVEL 3'!F259</f>
        <v>LS</v>
      </c>
      <c r="N254" s="161">
        <f>'LEVEL 3'!G259</f>
        <v>1</v>
      </c>
      <c r="O254" s="185">
        <f>'LEVEL 3'!H259</f>
        <v>5000</v>
      </c>
      <c r="P254" s="216">
        <f>'LEVEL 3'!I259</f>
        <v>0</v>
      </c>
      <c r="Q254" s="185">
        <f>'LEVEL 3'!J259</f>
        <v>5000</v>
      </c>
      <c r="R254" s="217">
        <f>'LEVEL 3'!K259</f>
        <v>5000</v>
      </c>
      <c r="S254" s="259"/>
      <c r="U254" s="429">
        <f t="shared" si="24"/>
        <v>-4864</v>
      </c>
      <c r="W254" s="432">
        <f t="shared" si="25"/>
        <v>-0.49310624493106248</v>
      </c>
      <c r="Y254" s="504"/>
    </row>
    <row r="255" spans="1:25" hidden="1" outlineLevel="1">
      <c r="A255" s="512" t="s">
        <v>579</v>
      </c>
      <c r="B255" s="290"/>
      <c r="C255" s="483" t="s">
        <v>461</v>
      </c>
      <c r="D255" s="164" t="s">
        <v>121</v>
      </c>
      <c r="E255" s="161">
        <v>1</v>
      </c>
      <c r="F255" s="185">
        <v>164664</v>
      </c>
      <c r="G255" s="216">
        <v>0</v>
      </c>
      <c r="H255" s="185">
        <v>164664</v>
      </c>
      <c r="I255" s="217">
        <v>164664</v>
      </c>
      <c r="J255" s="259"/>
      <c r="L255" s="483" t="s">
        <v>116</v>
      </c>
      <c r="M255" s="164" t="str">
        <f>'LEVEL 3'!F260</f>
        <v>LS</v>
      </c>
      <c r="N255" s="161">
        <f>'LEVEL 3'!G260</f>
        <v>1</v>
      </c>
      <c r="O255" s="185">
        <f>'LEVEL 3'!H260</f>
        <v>414871.13888888888</v>
      </c>
      <c r="P255" s="216">
        <f>'LEVEL 3'!I260</f>
        <v>0</v>
      </c>
      <c r="Q255" s="185">
        <f>'LEVEL 3'!J260</f>
        <v>414871.13888888888</v>
      </c>
      <c r="R255" s="217">
        <f>'LEVEL 3'!K260</f>
        <v>414871.13888888888</v>
      </c>
      <c r="S255" s="259"/>
      <c r="U255" s="429">
        <f t="shared" si="24"/>
        <v>250207.13888888888</v>
      </c>
      <c r="W255" s="432">
        <f t="shared" si="25"/>
        <v>1.5195011592630379</v>
      </c>
      <c r="Y255" s="504"/>
    </row>
    <row r="256" spans="1:25" hidden="1" outlineLevel="1">
      <c r="A256" s="512" t="s">
        <v>580</v>
      </c>
      <c r="B256" s="290"/>
      <c r="C256" s="483" t="s">
        <v>461</v>
      </c>
      <c r="D256" s="164" t="s">
        <v>121</v>
      </c>
      <c r="E256" s="161">
        <v>1</v>
      </c>
      <c r="F256" s="185">
        <v>15977</v>
      </c>
      <c r="G256" s="216">
        <v>0</v>
      </c>
      <c r="H256" s="185">
        <v>15977</v>
      </c>
      <c r="I256" s="217">
        <v>15977</v>
      </c>
      <c r="J256" s="259"/>
      <c r="L256" s="483" t="s">
        <v>116</v>
      </c>
      <c r="M256" s="164" t="str">
        <f>'LEVEL 3'!F261</f>
        <v>LS</v>
      </c>
      <c r="N256" s="161">
        <f>'LEVEL 3'!G261</f>
        <v>1</v>
      </c>
      <c r="O256" s="185">
        <f>'LEVEL 3'!H261</f>
        <v>50205</v>
      </c>
      <c r="P256" s="216">
        <f>'LEVEL 3'!I261</f>
        <v>0</v>
      </c>
      <c r="Q256" s="185">
        <f>'LEVEL 3'!J261</f>
        <v>50205</v>
      </c>
      <c r="R256" s="217">
        <f>'LEVEL 3'!K261</f>
        <v>50205</v>
      </c>
      <c r="S256" s="259"/>
      <c r="U256" s="429">
        <f t="shared" si="24"/>
        <v>34228</v>
      </c>
      <c r="W256" s="432">
        <f t="shared" si="25"/>
        <v>2.1423295987982724</v>
      </c>
      <c r="Y256" s="504"/>
    </row>
    <row r="257" spans="1:25" hidden="1" outlineLevel="1">
      <c r="A257" s="512" t="s">
        <v>581</v>
      </c>
      <c r="B257" s="290"/>
      <c r="C257" s="483" t="s">
        <v>461</v>
      </c>
      <c r="D257" s="164" t="s">
        <v>121</v>
      </c>
      <c r="E257" s="161">
        <v>1</v>
      </c>
      <c r="F257" s="185">
        <v>43979</v>
      </c>
      <c r="G257" s="216">
        <v>0</v>
      </c>
      <c r="H257" s="185">
        <v>43979</v>
      </c>
      <c r="I257" s="217">
        <v>43979</v>
      </c>
      <c r="J257" s="259"/>
      <c r="L257" s="483" t="s">
        <v>116</v>
      </c>
      <c r="M257" s="164" t="str">
        <f>'LEVEL 3'!F262</f>
        <v>LS</v>
      </c>
      <c r="N257" s="161">
        <f>'LEVEL 3'!G262</f>
        <v>1</v>
      </c>
      <c r="O257" s="185">
        <f>'LEVEL 3'!H262</f>
        <v>32531</v>
      </c>
      <c r="P257" s="216">
        <f>'LEVEL 3'!I262</f>
        <v>0</v>
      </c>
      <c r="Q257" s="185">
        <f>'LEVEL 3'!J262</f>
        <v>32531</v>
      </c>
      <c r="R257" s="217">
        <f>'LEVEL 3'!K262</f>
        <v>32531</v>
      </c>
      <c r="S257" s="259"/>
      <c r="U257" s="429">
        <f t="shared" si="24"/>
        <v>-11448</v>
      </c>
      <c r="W257" s="432">
        <f t="shared" si="25"/>
        <v>-0.26030605516269129</v>
      </c>
      <c r="Y257" s="504"/>
    </row>
    <row r="258" spans="1:25" s="329" customFormat="1" hidden="1" outlineLevel="1">
      <c r="A258" s="517" t="s">
        <v>882</v>
      </c>
      <c r="B258" s="290"/>
      <c r="C258" s="483" t="s">
        <v>461</v>
      </c>
      <c r="D258" s="164" t="s">
        <v>121</v>
      </c>
      <c r="E258" s="161">
        <v>1</v>
      </c>
      <c r="F258" s="185">
        <v>0</v>
      </c>
      <c r="G258" s="216">
        <v>0</v>
      </c>
      <c r="H258" s="185">
        <v>0</v>
      </c>
      <c r="I258" s="217">
        <v>0</v>
      </c>
      <c r="J258" s="259"/>
      <c r="L258" s="483" t="s">
        <v>461</v>
      </c>
      <c r="M258" s="164" t="str">
        <f>'LEVEL 3'!F263</f>
        <v>LS</v>
      </c>
      <c r="N258" s="161">
        <f>'LEVEL 3'!G263</f>
        <v>1</v>
      </c>
      <c r="O258" s="185">
        <f>'LEVEL 3'!H263</f>
        <v>0</v>
      </c>
      <c r="P258" s="216">
        <f>'LEVEL 3'!I263</f>
        <v>0</v>
      </c>
      <c r="Q258" s="185">
        <f>'LEVEL 3'!J263</f>
        <v>0</v>
      </c>
      <c r="R258" s="217">
        <f>'LEVEL 3'!K263</f>
        <v>0</v>
      </c>
      <c r="S258" s="259"/>
      <c r="U258" s="429">
        <f t="shared" si="24"/>
        <v>0</v>
      </c>
      <c r="W258" s="432">
        <f t="shared" si="25"/>
        <v>0</v>
      </c>
      <c r="Y258" s="504"/>
    </row>
    <row r="259" spans="1:25" collapsed="1">
      <c r="A259" s="509" t="s">
        <v>582</v>
      </c>
      <c r="B259" s="290"/>
      <c r="C259" s="479"/>
      <c r="D259" s="305"/>
      <c r="E259" s="306"/>
      <c r="F259" s="307"/>
      <c r="G259" s="308"/>
      <c r="H259" s="307"/>
      <c r="I259" s="421"/>
      <c r="J259" s="487">
        <v>1283167</v>
      </c>
      <c r="L259" s="479"/>
      <c r="M259" s="305"/>
      <c r="N259" s="306"/>
      <c r="O259" s="307"/>
      <c r="P259" s="308"/>
      <c r="Q259" s="307"/>
      <c r="R259" s="421"/>
      <c r="S259" s="487">
        <f>'LEVEL 3'!L264</f>
        <v>1619983</v>
      </c>
      <c r="U259" s="494">
        <f>S259-J259</f>
        <v>336816</v>
      </c>
      <c r="W259" s="500">
        <f>IF(J259=0,0,U259/J259)</f>
        <v>0.2624880471520854</v>
      </c>
      <c r="Y259" s="504" t="s">
        <v>986</v>
      </c>
    </row>
    <row r="260" spans="1:25" hidden="1" outlineLevel="1">
      <c r="A260" s="515" t="s">
        <v>584</v>
      </c>
      <c r="B260" s="290"/>
      <c r="C260" s="482" t="s">
        <v>375</v>
      </c>
      <c r="D260" s="176" t="s">
        <v>10</v>
      </c>
      <c r="E260" s="167">
        <v>0</v>
      </c>
      <c r="F260" s="413">
        <v>0</v>
      </c>
      <c r="G260" s="414">
        <v>0</v>
      </c>
      <c r="H260" s="415">
        <v>0</v>
      </c>
      <c r="I260" s="416">
        <v>0</v>
      </c>
      <c r="J260" s="259"/>
      <c r="L260" s="482" t="s">
        <v>110</v>
      </c>
      <c r="M260" s="176" t="str">
        <f>'LEVEL 3'!F265</f>
        <v>Unit</v>
      </c>
      <c r="N260" s="167">
        <f>'LEVEL 3'!G265</f>
        <v>194</v>
      </c>
      <c r="O260" s="413">
        <f>'LEVEL 3'!H265</f>
        <v>375</v>
      </c>
      <c r="P260" s="414">
        <f>'LEVEL 3'!I265</f>
        <v>0</v>
      </c>
      <c r="Q260" s="415">
        <f>'LEVEL 3'!J265</f>
        <v>375</v>
      </c>
      <c r="R260" s="416">
        <f>'LEVEL 3'!K265</f>
        <v>72750</v>
      </c>
      <c r="S260" s="259"/>
      <c r="U260" s="429">
        <f t="shared" ref="U260:U275" si="26">R260-I260</f>
        <v>72750</v>
      </c>
      <c r="W260" s="432">
        <f t="shared" ref="W260:W275" si="27">IF(I260=0,0,U260/I260)</f>
        <v>0</v>
      </c>
      <c r="Y260" s="504"/>
    </row>
    <row r="261" spans="1:25" hidden="1" outlineLevel="1">
      <c r="A261" s="514" t="s">
        <v>587</v>
      </c>
      <c r="B261" s="290"/>
      <c r="C261" s="483" t="s">
        <v>118</v>
      </c>
      <c r="D261" s="164"/>
      <c r="E261" s="161"/>
      <c r="F261" s="185"/>
      <c r="G261" s="216">
        <v>0</v>
      </c>
      <c r="H261" s="185">
        <v>0</v>
      </c>
      <c r="I261" s="217">
        <v>0</v>
      </c>
      <c r="J261" s="259"/>
      <c r="L261" s="483" t="s">
        <v>110</v>
      </c>
      <c r="M261" s="164" t="str">
        <f>'LEVEL 3'!F266</f>
        <v>LS</v>
      </c>
      <c r="N261" s="161">
        <f>'LEVEL 3'!G266</f>
        <v>1</v>
      </c>
      <c r="O261" s="185">
        <f>'LEVEL 3'!H266</f>
        <v>10000</v>
      </c>
      <c r="P261" s="216">
        <f>'LEVEL 3'!I266</f>
        <v>0</v>
      </c>
      <c r="Q261" s="185">
        <f>'LEVEL 3'!J266</f>
        <v>10000</v>
      </c>
      <c r="R261" s="217">
        <f>'LEVEL 3'!K266</f>
        <v>10000</v>
      </c>
      <c r="S261" s="259"/>
      <c r="U261" s="429">
        <f t="shared" si="26"/>
        <v>10000</v>
      </c>
      <c r="W261" s="432">
        <f t="shared" si="27"/>
        <v>0</v>
      </c>
      <c r="Y261" s="504"/>
    </row>
    <row r="262" spans="1:25" hidden="1" outlineLevel="1">
      <c r="A262" s="514" t="s">
        <v>589</v>
      </c>
      <c r="B262" s="290"/>
      <c r="C262" s="483" t="s">
        <v>461</v>
      </c>
      <c r="D262" s="164" t="s">
        <v>121</v>
      </c>
      <c r="E262" s="161">
        <v>1</v>
      </c>
      <c r="F262" s="185">
        <v>390082</v>
      </c>
      <c r="G262" s="216">
        <v>0</v>
      </c>
      <c r="H262" s="185">
        <v>390082</v>
      </c>
      <c r="I262" s="217">
        <v>441633</v>
      </c>
      <c r="J262" s="259"/>
      <c r="L262" s="483" t="s">
        <v>116</v>
      </c>
      <c r="M262" s="164" t="str">
        <f>'LEVEL 3'!F267</f>
        <v>LS</v>
      </c>
      <c r="N262" s="161">
        <f>'LEVEL 3'!G267</f>
        <v>1</v>
      </c>
      <c r="O262" s="185">
        <f>'LEVEL 3'!H267</f>
        <v>424224</v>
      </c>
      <c r="P262" s="216">
        <f>'LEVEL 3'!I267</f>
        <v>0</v>
      </c>
      <c r="Q262" s="185">
        <f>'LEVEL 3'!J267</f>
        <v>424224</v>
      </c>
      <c r="R262" s="217">
        <f>'LEVEL 3'!K267</f>
        <v>424224</v>
      </c>
      <c r="S262" s="259"/>
      <c r="U262" s="429">
        <f t="shared" si="26"/>
        <v>-17409</v>
      </c>
      <c r="W262" s="432">
        <f t="shared" si="27"/>
        <v>-3.9419608589032068E-2</v>
      </c>
      <c r="Y262" s="504"/>
    </row>
    <row r="263" spans="1:25" hidden="1" outlineLevel="1">
      <c r="A263" s="514" t="s">
        <v>590</v>
      </c>
      <c r="B263" s="290"/>
      <c r="C263" s="483" t="s">
        <v>461</v>
      </c>
      <c r="D263" s="164" t="s">
        <v>121</v>
      </c>
      <c r="E263" s="161">
        <v>1</v>
      </c>
      <c r="F263" s="185">
        <v>82586</v>
      </c>
      <c r="G263" s="216">
        <v>0</v>
      </c>
      <c r="H263" s="185">
        <v>82586</v>
      </c>
      <c r="I263" s="217">
        <v>101548</v>
      </c>
      <c r="J263" s="259"/>
      <c r="L263" s="483" t="s">
        <v>116</v>
      </c>
      <c r="M263" s="164" t="str">
        <f>'LEVEL 3'!F268</f>
        <v>LS</v>
      </c>
      <c r="N263" s="161">
        <f>'LEVEL 3'!G268</f>
        <v>1</v>
      </c>
      <c r="O263" s="185">
        <f>'LEVEL 3'!H268</f>
        <v>68283</v>
      </c>
      <c r="P263" s="216">
        <f>'LEVEL 3'!I268</f>
        <v>0</v>
      </c>
      <c r="Q263" s="185">
        <f>'LEVEL 3'!J268</f>
        <v>68283</v>
      </c>
      <c r="R263" s="217">
        <f>'LEVEL 3'!K268</f>
        <v>68283</v>
      </c>
      <c r="S263" s="259"/>
      <c r="U263" s="429">
        <f t="shared" si="26"/>
        <v>-33265</v>
      </c>
      <c r="W263" s="432">
        <f t="shared" si="27"/>
        <v>-0.32757907590499075</v>
      </c>
      <c r="Y263" s="504"/>
    </row>
    <row r="264" spans="1:25" hidden="1" outlineLevel="1">
      <c r="A264" s="514" t="s">
        <v>592</v>
      </c>
      <c r="B264" s="290"/>
      <c r="C264" s="483" t="s">
        <v>118</v>
      </c>
      <c r="D264" s="164"/>
      <c r="E264" s="161"/>
      <c r="F264" s="185"/>
      <c r="G264" s="216">
        <v>0</v>
      </c>
      <c r="H264" s="185">
        <v>0</v>
      </c>
      <c r="I264" s="217">
        <v>0</v>
      </c>
      <c r="J264" s="259"/>
      <c r="L264" s="483" t="s">
        <v>118</v>
      </c>
      <c r="M264" s="164">
        <f>'LEVEL 3'!F269</f>
        <v>0</v>
      </c>
      <c r="N264" s="161">
        <f>'LEVEL 3'!G269</f>
        <v>0</v>
      </c>
      <c r="O264" s="185">
        <f>'LEVEL 3'!H269</f>
        <v>0</v>
      </c>
      <c r="P264" s="216">
        <f>'LEVEL 3'!I269</f>
        <v>0</v>
      </c>
      <c r="Q264" s="185">
        <f>'LEVEL 3'!J269</f>
        <v>0</v>
      </c>
      <c r="R264" s="217">
        <f>'LEVEL 3'!K269</f>
        <v>0</v>
      </c>
      <c r="S264" s="259"/>
      <c r="U264" s="429">
        <f t="shared" si="26"/>
        <v>0</v>
      </c>
      <c r="W264" s="432">
        <f t="shared" si="27"/>
        <v>0</v>
      </c>
      <c r="Y264" s="504"/>
    </row>
    <row r="265" spans="1:25" hidden="1" outlineLevel="1">
      <c r="A265" s="514" t="s">
        <v>594</v>
      </c>
      <c r="B265" s="290"/>
      <c r="C265" s="483" t="s">
        <v>110</v>
      </c>
      <c r="D265" s="164" t="s">
        <v>121</v>
      </c>
      <c r="E265" s="161">
        <v>1</v>
      </c>
      <c r="F265" s="185">
        <v>5000</v>
      </c>
      <c r="G265" s="216">
        <v>0</v>
      </c>
      <c r="H265" s="185">
        <v>5000</v>
      </c>
      <c r="I265" s="217">
        <v>5000</v>
      </c>
      <c r="J265" s="259"/>
      <c r="L265" s="483" t="s">
        <v>110</v>
      </c>
      <c r="M265" s="164" t="str">
        <f>'LEVEL 3'!F270</f>
        <v>LS</v>
      </c>
      <c r="N265" s="161">
        <f>'LEVEL 3'!G270</f>
        <v>1</v>
      </c>
      <c r="O265" s="185">
        <f>'LEVEL 3'!H270</f>
        <v>5000</v>
      </c>
      <c r="P265" s="216">
        <f>'LEVEL 3'!I270</f>
        <v>0</v>
      </c>
      <c r="Q265" s="185">
        <f>'LEVEL 3'!J270</f>
        <v>5000</v>
      </c>
      <c r="R265" s="217">
        <f>'LEVEL 3'!K270</f>
        <v>5000</v>
      </c>
      <c r="S265" s="259"/>
      <c r="U265" s="429">
        <f t="shared" si="26"/>
        <v>0</v>
      </c>
      <c r="W265" s="432">
        <f t="shared" si="27"/>
        <v>0</v>
      </c>
      <c r="Y265" s="504"/>
    </row>
    <row r="266" spans="1:25" s="329" customFormat="1" hidden="1" outlineLevel="1">
      <c r="A266" s="514" t="s">
        <v>886</v>
      </c>
      <c r="B266" s="290"/>
      <c r="C266" s="483" t="s">
        <v>461</v>
      </c>
      <c r="D266" s="164" t="s">
        <v>121</v>
      </c>
      <c r="E266" s="161">
        <v>1</v>
      </c>
      <c r="F266" s="185">
        <v>0</v>
      </c>
      <c r="G266" s="216">
        <v>0</v>
      </c>
      <c r="H266" s="185">
        <v>0</v>
      </c>
      <c r="I266" s="217">
        <v>0</v>
      </c>
      <c r="J266" s="259"/>
      <c r="L266" s="483" t="s">
        <v>461</v>
      </c>
      <c r="M266" s="164" t="str">
        <f>'LEVEL 3'!F271</f>
        <v>LS</v>
      </c>
      <c r="N266" s="161">
        <f>'LEVEL 3'!G271</f>
        <v>1</v>
      </c>
      <c r="O266" s="185">
        <f>'LEVEL 3'!H271</f>
        <v>350000</v>
      </c>
      <c r="P266" s="216">
        <f>'LEVEL 3'!I271</f>
        <v>0.15</v>
      </c>
      <c r="Q266" s="185">
        <f>'LEVEL 3'!J271</f>
        <v>402499.99999999994</v>
      </c>
      <c r="R266" s="217">
        <f>'LEVEL 3'!K271</f>
        <v>402499.99999999994</v>
      </c>
      <c r="S266" s="259"/>
      <c r="U266" s="429">
        <f t="shared" si="26"/>
        <v>402499.99999999994</v>
      </c>
      <c r="W266" s="432">
        <f t="shared" si="27"/>
        <v>0</v>
      </c>
      <c r="Y266" s="504"/>
    </row>
    <row r="267" spans="1:25" hidden="1" outlineLevel="1">
      <c r="A267" s="512" t="s">
        <v>596</v>
      </c>
      <c r="B267" s="290"/>
      <c r="C267" s="483" t="s">
        <v>461</v>
      </c>
      <c r="D267" s="164" t="s">
        <v>121</v>
      </c>
      <c r="E267" s="161">
        <v>1</v>
      </c>
      <c r="F267" s="185">
        <v>100000</v>
      </c>
      <c r="G267" s="216">
        <v>0</v>
      </c>
      <c r="H267" s="185">
        <v>100000</v>
      </c>
      <c r="I267" s="217">
        <v>100000</v>
      </c>
      <c r="J267" s="259"/>
      <c r="L267" s="483" t="s">
        <v>116</v>
      </c>
      <c r="M267" s="164" t="str">
        <f>'LEVEL 3'!F272</f>
        <v>LS</v>
      </c>
      <c r="N267" s="161">
        <f>'LEVEL 3'!G272</f>
        <v>1</v>
      </c>
      <c r="O267" s="185">
        <f>'LEVEL 3'!H272</f>
        <v>136424</v>
      </c>
      <c r="P267" s="216">
        <f>'LEVEL 3'!I272</f>
        <v>0</v>
      </c>
      <c r="Q267" s="185">
        <f>'LEVEL 3'!J272</f>
        <v>136424</v>
      </c>
      <c r="R267" s="217">
        <f>'LEVEL 3'!K272</f>
        <v>136424</v>
      </c>
      <c r="S267" s="259"/>
      <c r="U267" s="429">
        <f t="shared" si="26"/>
        <v>36424</v>
      </c>
      <c r="W267" s="432">
        <f t="shared" si="27"/>
        <v>0.36424000000000001</v>
      </c>
      <c r="Y267" s="504"/>
    </row>
    <row r="268" spans="1:25" hidden="1" outlineLevel="1">
      <c r="A268" s="512" t="s">
        <v>598</v>
      </c>
      <c r="B268" s="290"/>
      <c r="C268" s="483" t="s">
        <v>110</v>
      </c>
      <c r="D268" s="164" t="s">
        <v>121</v>
      </c>
      <c r="E268" s="161">
        <v>1</v>
      </c>
      <c r="F268" s="185">
        <v>10000</v>
      </c>
      <c r="G268" s="216">
        <v>0</v>
      </c>
      <c r="H268" s="185">
        <v>10000</v>
      </c>
      <c r="I268" s="217">
        <v>10000</v>
      </c>
      <c r="J268" s="259"/>
      <c r="L268" s="483" t="s">
        <v>110</v>
      </c>
      <c r="M268" s="164" t="str">
        <f>'LEVEL 3'!F273</f>
        <v>LS</v>
      </c>
      <c r="N268" s="161">
        <f>'LEVEL 3'!G273</f>
        <v>0</v>
      </c>
      <c r="O268" s="185">
        <f>'LEVEL 3'!H273</f>
        <v>10000</v>
      </c>
      <c r="P268" s="216">
        <f>'LEVEL 3'!I273</f>
        <v>0</v>
      </c>
      <c r="Q268" s="185">
        <f>'LEVEL 3'!J273</f>
        <v>10000</v>
      </c>
      <c r="R268" s="217">
        <f>'LEVEL 3'!K273</f>
        <v>0</v>
      </c>
      <c r="S268" s="259"/>
      <c r="U268" s="429">
        <f t="shared" si="26"/>
        <v>-10000</v>
      </c>
      <c r="W268" s="432">
        <f t="shared" si="27"/>
        <v>-1</v>
      </c>
      <c r="Y268" s="504"/>
    </row>
    <row r="269" spans="1:25" hidden="1" outlineLevel="1">
      <c r="A269" s="512" t="s">
        <v>600</v>
      </c>
      <c r="B269" s="290"/>
      <c r="C269" s="483" t="s">
        <v>118</v>
      </c>
      <c r="D269" s="164"/>
      <c r="E269" s="161"/>
      <c r="F269" s="185"/>
      <c r="G269" s="216">
        <v>0</v>
      </c>
      <c r="H269" s="185">
        <v>0</v>
      </c>
      <c r="I269" s="217">
        <v>0</v>
      </c>
      <c r="J269" s="259"/>
      <c r="L269" s="483" t="s">
        <v>118</v>
      </c>
      <c r="M269" s="164">
        <f>'LEVEL 3'!F274</f>
        <v>0</v>
      </c>
      <c r="N269" s="161">
        <f>'LEVEL 3'!G274</f>
        <v>0</v>
      </c>
      <c r="O269" s="185">
        <f>'LEVEL 3'!H274</f>
        <v>0</v>
      </c>
      <c r="P269" s="216">
        <f>'LEVEL 3'!I274</f>
        <v>0</v>
      </c>
      <c r="Q269" s="185">
        <f>'LEVEL 3'!J274</f>
        <v>0</v>
      </c>
      <c r="R269" s="217">
        <f>'LEVEL 3'!K274</f>
        <v>0</v>
      </c>
      <c r="S269" s="259"/>
      <c r="U269" s="429">
        <f t="shared" si="26"/>
        <v>0</v>
      </c>
      <c r="W269" s="432">
        <f t="shared" si="27"/>
        <v>0</v>
      </c>
      <c r="Y269" s="504"/>
    </row>
    <row r="270" spans="1:25" hidden="1" outlineLevel="1">
      <c r="A270" s="512" t="s">
        <v>602</v>
      </c>
      <c r="B270" s="290"/>
      <c r="C270" s="483" t="s">
        <v>118</v>
      </c>
      <c r="D270" s="164"/>
      <c r="E270" s="161"/>
      <c r="F270" s="185"/>
      <c r="G270" s="216">
        <v>0</v>
      </c>
      <c r="H270" s="185">
        <v>0</v>
      </c>
      <c r="I270" s="217">
        <v>0</v>
      </c>
      <c r="J270" s="259"/>
      <c r="L270" s="483" t="s">
        <v>118</v>
      </c>
      <c r="M270" s="164">
        <f>'LEVEL 3'!F275</f>
        <v>0</v>
      </c>
      <c r="N270" s="161">
        <f>'LEVEL 3'!G275</f>
        <v>0</v>
      </c>
      <c r="O270" s="185">
        <f>'LEVEL 3'!H275</f>
        <v>0</v>
      </c>
      <c r="P270" s="216">
        <f>'LEVEL 3'!I275</f>
        <v>0</v>
      </c>
      <c r="Q270" s="185">
        <f>'LEVEL 3'!J275</f>
        <v>0</v>
      </c>
      <c r="R270" s="217">
        <f>'LEVEL 3'!K275</f>
        <v>0</v>
      </c>
      <c r="S270" s="259"/>
      <c r="U270" s="429">
        <f t="shared" si="26"/>
        <v>0</v>
      </c>
      <c r="W270" s="432">
        <f t="shared" si="27"/>
        <v>0</v>
      </c>
      <c r="Y270" s="504"/>
    </row>
    <row r="271" spans="1:25" hidden="1" outlineLevel="1">
      <c r="A271" s="512" t="s">
        <v>604</v>
      </c>
      <c r="B271" s="290"/>
      <c r="C271" s="483" t="s">
        <v>118</v>
      </c>
      <c r="D271" s="164"/>
      <c r="E271" s="161"/>
      <c r="F271" s="185"/>
      <c r="G271" s="216">
        <v>0</v>
      </c>
      <c r="H271" s="185">
        <v>0</v>
      </c>
      <c r="I271" s="217">
        <v>0</v>
      </c>
      <c r="J271" s="259"/>
      <c r="L271" s="483" t="s">
        <v>118</v>
      </c>
      <c r="M271" s="164">
        <f>'LEVEL 3'!F276</f>
        <v>0</v>
      </c>
      <c r="N271" s="161">
        <f>'LEVEL 3'!G276</f>
        <v>0</v>
      </c>
      <c r="O271" s="185">
        <f>'LEVEL 3'!H276</f>
        <v>0</v>
      </c>
      <c r="P271" s="216">
        <f>'LEVEL 3'!I276</f>
        <v>0</v>
      </c>
      <c r="Q271" s="185">
        <f>'LEVEL 3'!J276</f>
        <v>0</v>
      </c>
      <c r="R271" s="217">
        <f>'LEVEL 3'!K276</f>
        <v>0</v>
      </c>
      <c r="S271" s="259"/>
      <c r="U271" s="429">
        <f t="shared" si="26"/>
        <v>0</v>
      </c>
      <c r="W271" s="432">
        <f t="shared" si="27"/>
        <v>0</v>
      </c>
      <c r="Y271" s="504"/>
    </row>
    <row r="272" spans="1:25" hidden="1" outlineLevel="1">
      <c r="A272" s="512" t="s">
        <v>606</v>
      </c>
      <c r="B272" s="290"/>
      <c r="C272" s="483" t="s">
        <v>461</v>
      </c>
      <c r="D272" s="164" t="s">
        <v>121</v>
      </c>
      <c r="E272" s="161">
        <v>1</v>
      </c>
      <c r="F272" s="185">
        <v>311928</v>
      </c>
      <c r="G272" s="216">
        <v>0</v>
      </c>
      <c r="H272" s="185">
        <v>311928</v>
      </c>
      <c r="I272" s="217">
        <v>311928</v>
      </c>
      <c r="J272" s="259"/>
      <c r="L272" s="483" t="s">
        <v>116</v>
      </c>
      <c r="M272" s="164" t="str">
        <f>'LEVEL 3'!F277</f>
        <v>LS</v>
      </c>
      <c r="N272" s="161">
        <f>'LEVEL 3'!G277</f>
        <v>1</v>
      </c>
      <c r="O272" s="185">
        <f>'LEVEL 3'!H277</f>
        <v>299756</v>
      </c>
      <c r="P272" s="216">
        <f>'LEVEL 3'!I277</f>
        <v>0</v>
      </c>
      <c r="Q272" s="185">
        <f>'LEVEL 3'!J277</f>
        <v>299756</v>
      </c>
      <c r="R272" s="217">
        <f>'LEVEL 3'!K277</f>
        <v>299756</v>
      </c>
      <c r="S272" s="259"/>
      <c r="U272" s="429">
        <f t="shared" si="26"/>
        <v>-12172</v>
      </c>
      <c r="W272" s="432">
        <f t="shared" si="27"/>
        <v>-3.9021825549485779E-2</v>
      </c>
      <c r="Y272" s="504"/>
    </row>
    <row r="273" spans="1:25" hidden="1" outlineLevel="1">
      <c r="A273" s="512" t="s">
        <v>607</v>
      </c>
      <c r="B273" s="290"/>
      <c r="C273" s="483" t="s">
        <v>461</v>
      </c>
      <c r="D273" s="164" t="s">
        <v>121</v>
      </c>
      <c r="E273" s="161">
        <v>1</v>
      </c>
      <c r="F273" s="185">
        <v>73889</v>
      </c>
      <c r="G273" s="216">
        <v>0</v>
      </c>
      <c r="H273" s="185">
        <v>73889</v>
      </c>
      <c r="I273" s="217">
        <v>73889</v>
      </c>
      <c r="J273" s="259"/>
      <c r="L273" s="483" t="s">
        <v>116</v>
      </c>
      <c r="M273" s="164" t="str">
        <f>'LEVEL 3'!F278</f>
        <v>LS</v>
      </c>
      <c r="N273" s="161">
        <f>'LEVEL 3'!G278</f>
        <v>1</v>
      </c>
      <c r="O273" s="185">
        <f>'LEVEL 3'!H278</f>
        <v>51885</v>
      </c>
      <c r="P273" s="216">
        <f>'LEVEL 3'!I278</f>
        <v>0</v>
      </c>
      <c r="Q273" s="185">
        <f>'LEVEL 3'!J278</f>
        <v>51885</v>
      </c>
      <c r="R273" s="217">
        <f>'LEVEL 3'!K278</f>
        <v>51885</v>
      </c>
      <c r="S273" s="259"/>
      <c r="U273" s="429">
        <f t="shared" si="26"/>
        <v>-22004</v>
      </c>
      <c r="W273" s="432">
        <f t="shared" si="27"/>
        <v>-0.29779804842398733</v>
      </c>
      <c r="Y273" s="504"/>
    </row>
    <row r="274" spans="1:25" hidden="1" outlineLevel="1">
      <c r="A274" s="512" t="s">
        <v>891</v>
      </c>
      <c r="B274" s="290"/>
      <c r="C274" s="483" t="s">
        <v>118</v>
      </c>
      <c r="D274" s="164"/>
      <c r="E274" s="161"/>
      <c r="F274" s="185"/>
      <c r="G274" s="216">
        <v>0</v>
      </c>
      <c r="H274" s="185">
        <v>0</v>
      </c>
      <c r="I274" s="217">
        <v>0</v>
      </c>
      <c r="J274" s="259"/>
      <c r="L274" s="483" t="s">
        <v>118</v>
      </c>
      <c r="M274" s="164">
        <f>'LEVEL 3'!F279</f>
        <v>0</v>
      </c>
      <c r="N274" s="161">
        <f>'LEVEL 3'!G279</f>
        <v>0</v>
      </c>
      <c r="O274" s="185">
        <f>'LEVEL 3'!H279</f>
        <v>0</v>
      </c>
      <c r="P274" s="216">
        <f>'LEVEL 3'!I279</f>
        <v>0</v>
      </c>
      <c r="Q274" s="185">
        <f>'LEVEL 3'!J279</f>
        <v>0</v>
      </c>
      <c r="R274" s="217">
        <f>'LEVEL 3'!K279</f>
        <v>0</v>
      </c>
      <c r="S274" s="259"/>
      <c r="U274" s="429">
        <f t="shared" si="26"/>
        <v>0</v>
      </c>
      <c r="W274" s="432">
        <f t="shared" si="27"/>
        <v>0</v>
      </c>
      <c r="Y274" s="504"/>
    </row>
    <row r="275" spans="1:25" hidden="1" outlineLevel="1">
      <c r="A275" s="512" t="s">
        <v>608</v>
      </c>
      <c r="B275" s="290"/>
      <c r="C275" s="483" t="s">
        <v>461</v>
      </c>
      <c r="D275" s="164" t="s">
        <v>121</v>
      </c>
      <c r="E275" s="161">
        <v>1</v>
      </c>
      <c r="F275" s="185">
        <v>239169</v>
      </c>
      <c r="G275" s="216">
        <v>0</v>
      </c>
      <c r="H275" s="185">
        <v>239169</v>
      </c>
      <c r="I275" s="217">
        <v>239169</v>
      </c>
      <c r="J275" s="259"/>
      <c r="L275" s="483" t="s">
        <v>116</v>
      </c>
      <c r="M275" s="164" t="str">
        <f>'LEVEL 3'!F280</f>
        <v>LS</v>
      </c>
      <c r="N275" s="161">
        <f>'LEVEL 3'!G280</f>
        <v>1</v>
      </c>
      <c r="O275" s="185">
        <f>'LEVEL 3'!H280</f>
        <v>149161</v>
      </c>
      <c r="P275" s="216">
        <f>'LEVEL 3'!I280</f>
        <v>0</v>
      </c>
      <c r="Q275" s="185">
        <f>'LEVEL 3'!J280</f>
        <v>149161</v>
      </c>
      <c r="R275" s="217">
        <f>'LEVEL 3'!K280</f>
        <v>149161</v>
      </c>
      <c r="S275" s="259"/>
      <c r="U275" s="429">
        <f t="shared" si="26"/>
        <v>-90008</v>
      </c>
      <c r="W275" s="432">
        <f t="shared" si="27"/>
        <v>-0.37633639811179542</v>
      </c>
      <c r="Y275" s="504"/>
    </row>
    <row r="276" spans="1:25" collapsed="1">
      <c r="A276" s="509" t="s">
        <v>609</v>
      </c>
      <c r="B276" s="290"/>
      <c r="C276" s="479"/>
      <c r="D276" s="305"/>
      <c r="E276" s="306"/>
      <c r="F276" s="307"/>
      <c r="G276" s="308"/>
      <c r="H276" s="307"/>
      <c r="I276" s="421"/>
      <c r="J276" s="480">
        <v>7500</v>
      </c>
      <c r="L276" s="479"/>
      <c r="M276" s="305"/>
      <c r="N276" s="306"/>
      <c r="O276" s="307"/>
      <c r="P276" s="308"/>
      <c r="Q276" s="307"/>
      <c r="R276" s="421"/>
      <c r="S276" s="480">
        <f>'LEVEL 3'!L281</f>
        <v>7500</v>
      </c>
      <c r="U276" s="491">
        <f>S276-J276</f>
        <v>0</v>
      </c>
      <c r="W276" s="497">
        <f>IF(J276=0,0,U276/J276)</f>
        <v>0</v>
      </c>
      <c r="Y276" s="504"/>
    </row>
    <row r="277" spans="1:25" hidden="1" outlineLevel="1">
      <c r="A277" s="510" t="s">
        <v>611</v>
      </c>
      <c r="B277" s="290"/>
      <c r="C277" s="481" t="s">
        <v>110</v>
      </c>
      <c r="D277" s="226" t="s">
        <v>121</v>
      </c>
      <c r="E277" s="168">
        <v>1</v>
      </c>
      <c r="F277" s="225">
        <v>7500</v>
      </c>
      <c r="G277" s="311">
        <v>0</v>
      </c>
      <c r="H277" s="312">
        <v>7500</v>
      </c>
      <c r="I277" s="313">
        <v>7500</v>
      </c>
      <c r="J277" s="259"/>
      <c r="L277" s="481" t="s">
        <v>110</v>
      </c>
      <c r="M277" s="226" t="str">
        <f>'LEVEL 3'!F282</f>
        <v>LS</v>
      </c>
      <c r="N277" s="168">
        <f>'LEVEL 3'!G282</f>
        <v>1</v>
      </c>
      <c r="O277" s="225">
        <f>'LEVEL 3'!H282</f>
        <v>7500</v>
      </c>
      <c r="P277" s="311">
        <f>'LEVEL 3'!I282</f>
        <v>0</v>
      </c>
      <c r="Q277" s="312">
        <f>'LEVEL 3'!J282</f>
        <v>7500</v>
      </c>
      <c r="R277" s="313">
        <f>'LEVEL 3'!K282</f>
        <v>7500</v>
      </c>
      <c r="S277" s="259"/>
      <c r="U277" s="429">
        <f>R277-I277</f>
        <v>0</v>
      </c>
      <c r="W277" s="432">
        <f>IF(I277=0,0,U277/I277)</f>
        <v>0</v>
      </c>
      <c r="Y277" s="504"/>
    </row>
    <row r="278" spans="1:25" collapsed="1">
      <c r="A278" s="509" t="s">
        <v>613</v>
      </c>
      <c r="B278" s="290"/>
      <c r="C278" s="479"/>
      <c r="D278" s="305"/>
      <c r="E278" s="306"/>
      <c r="F278" s="307"/>
      <c r="G278" s="308"/>
      <c r="H278" s="307"/>
      <c r="I278" s="421"/>
      <c r="J278" s="480">
        <v>231780.07692307691</v>
      </c>
      <c r="L278" s="479"/>
      <c r="M278" s="305"/>
      <c r="N278" s="306"/>
      <c r="O278" s="307"/>
      <c r="P278" s="308"/>
      <c r="Q278" s="307"/>
      <c r="R278" s="421"/>
      <c r="S278" s="480">
        <f>'LEVEL 2 (Match)'!L278</f>
        <v>392850</v>
      </c>
      <c r="U278" s="491">
        <f>S278-J278</f>
        <v>161069.92307692309</v>
      </c>
      <c r="W278" s="497">
        <f>IF(J278=0,0,U278/J278)</f>
        <v>0.69492566063121519</v>
      </c>
      <c r="Y278" s="504" t="s">
        <v>987</v>
      </c>
    </row>
    <row r="279" spans="1:25" hidden="1" outlineLevel="1">
      <c r="A279" s="511" t="s">
        <v>615</v>
      </c>
      <c r="B279" s="290"/>
      <c r="C279" s="482" t="s">
        <v>266</v>
      </c>
      <c r="D279" s="176" t="s">
        <v>10</v>
      </c>
      <c r="E279" s="167">
        <v>194</v>
      </c>
      <c r="F279" s="413">
        <v>906.92307692307691</v>
      </c>
      <c r="G279" s="414">
        <v>0</v>
      </c>
      <c r="H279" s="415">
        <v>906.92307692307691</v>
      </c>
      <c r="I279" s="416">
        <v>175943.07692307691</v>
      </c>
      <c r="J279" s="259"/>
      <c r="L279" s="482" t="s">
        <v>195</v>
      </c>
      <c r="M279" s="176" t="str">
        <f>'LEVEL 3'!F284</f>
        <v>LS</v>
      </c>
      <c r="N279" s="167">
        <f>'LEVEL 3'!G284</f>
        <v>1</v>
      </c>
      <c r="O279" s="413">
        <f>'LEVEL 3'!H284</f>
        <v>326850</v>
      </c>
      <c r="P279" s="414">
        <f>'LEVEL 3'!I284</f>
        <v>0</v>
      </c>
      <c r="Q279" s="415">
        <f>'LEVEL 3'!J284</f>
        <v>326850</v>
      </c>
      <c r="R279" s="416">
        <f>'LEVEL 2 (Match)'!K279</f>
        <v>326850</v>
      </c>
      <c r="S279" s="259"/>
      <c r="U279" s="429">
        <f>R279-I279</f>
        <v>150906.92307692309</v>
      </c>
      <c r="W279" s="432">
        <f>IF(I279=0,0,U279/I279)</f>
        <v>0.85770310327640953</v>
      </c>
      <c r="Y279" s="504"/>
    </row>
    <row r="280" spans="1:25" hidden="1" outlineLevel="1">
      <c r="A280" s="512" t="s">
        <v>617</v>
      </c>
      <c r="B280" s="290"/>
      <c r="C280" s="483" t="s">
        <v>110</v>
      </c>
      <c r="D280" s="164" t="s">
        <v>121</v>
      </c>
      <c r="E280" s="161">
        <v>1</v>
      </c>
      <c r="F280" s="185">
        <v>20837</v>
      </c>
      <c r="G280" s="216">
        <v>0</v>
      </c>
      <c r="H280" s="185">
        <v>20837</v>
      </c>
      <c r="I280" s="217">
        <v>20837</v>
      </c>
      <c r="J280" s="259"/>
      <c r="L280" s="483" t="s">
        <v>110</v>
      </c>
      <c r="M280" s="164" t="str">
        <f>'LEVEL 3'!F285</f>
        <v>LS</v>
      </c>
      <c r="N280" s="161">
        <f>'LEVEL 3'!G285</f>
        <v>1</v>
      </c>
      <c r="O280" s="185">
        <f>'LEVEL 3'!H285</f>
        <v>31000</v>
      </c>
      <c r="P280" s="216">
        <f>'LEVEL 3'!I285</f>
        <v>0</v>
      </c>
      <c r="Q280" s="185">
        <f>'LEVEL 3'!J285</f>
        <v>31000</v>
      </c>
      <c r="R280" s="217">
        <f>'LEVEL 3'!K285</f>
        <v>31000</v>
      </c>
      <c r="S280" s="259"/>
      <c r="U280" s="429">
        <f>R280-I280</f>
        <v>10163</v>
      </c>
      <c r="W280" s="432">
        <f>IF(I280=0,0,U280/I280)</f>
        <v>0.4877381580841772</v>
      </c>
      <c r="Y280" s="504"/>
    </row>
    <row r="281" spans="1:25" hidden="1" outlineLevel="1">
      <c r="A281" s="512" t="s">
        <v>619</v>
      </c>
      <c r="B281" s="290"/>
      <c r="C281" s="483" t="s">
        <v>110</v>
      </c>
      <c r="D281" s="164" t="s">
        <v>121</v>
      </c>
      <c r="E281" s="161">
        <v>1</v>
      </c>
      <c r="F281" s="185">
        <v>35000</v>
      </c>
      <c r="G281" s="216">
        <v>0</v>
      </c>
      <c r="H281" s="185">
        <v>35000</v>
      </c>
      <c r="I281" s="217">
        <v>35000</v>
      </c>
      <c r="J281" s="259"/>
      <c r="L281" s="483" t="s">
        <v>110</v>
      </c>
      <c r="M281" s="164" t="str">
        <f>'LEVEL 3'!F286</f>
        <v>LS</v>
      </c>
      <c r="N281" s="161">
        <f>'LEVEL 3'!G286</f>
        <v>1</v>
      </c>
      <c r="O281" s="185">
        <f>'LEVEL 3'!H286</f>
        <v>35000</v>
      </c>
      <c r="P281" s="216">
        <f>'LEVEL 3'!I286</f>
        <v>0</v>
      </c>
      <c r="Q281" s="185">
        <f>'LEVEL 3'!J286</f>
        <v>35000</v>
      </c>
      <c r="R281" s="217">
        <f>'LEVEL 3'!K286</f>
        <v>35000</v>
      </c>
      <c r="S281" s="259"/>
      <c r="U281" s="429">
        <f>R281-I281</f>
        <v>0</v>
      </c>
      <c r="W281" s="432">
        <f>IF(I281=0,0,U281/I281)</f>
        <v>0</v>
      </c>
      <c r="Y281" s="504"/>
    </row>
    <row r="282" spans="1:25" collapsed="1">
      <c r="A282" s="509" t="s">
        <v>621</v>
      </c>
      <c r="B282" s="290"/>
      <c r="C282" s="479"/>
      <c r="D282" s="305"/>
      <c r="E282" s="306"/>
      <c r="F282" s="307"/>
      <c r="G282" s="308"/>
      <c r="H282" s="307"/>
      <c r="I282" s="421"/>
      <c r="J282" s="480">
        <v>149353</v>
      </c>
      <c r="L282" s="479"/>
      <c r="M282" s="305"/>
      <c r="N282" s="306"/>
      <c r="O282" s="307"/>
      <c r="P282" s="308"/>
      <c r="Q282" s="307"/>
      <c r="R282" s="421"/>
      <c r="S282" s="480">
        <f>'LEVEL 3'!L287</f>
        <v>234787.5</v>
      </c>
      <c r="U282" s="491">
        <f>S282-J282</f>
        <v>85434.5</v>
      </c>
      <c r="W282" s="497">
        <f>IF(J282=0,0,U282/J282)</f>
        <v>0.57203069238649373</v>
      </c>
      <c r="Y282" s="504" t="s">
        <v>988</v>
      </c>
    </row>
    <row r="283" spans="1:25" hidden="1" outlineLevel="1">
      <c r="A283" s="511" t="s">
        <v>623</v>
      </c>
      <c r="B283" s="290"/>
      <c r="C283" s="482" t="s">
        <v>266</v>
      </c>
      <c r="D283" s="176" t="s">
        <v>121</v>
      </c>
      <c r="E283" s="423">
        <v>4.9000000000000004</v>
      </c>
      <c r="F283" s="413">
        <v>2914</v>
      </c>
      <c r="G283" s="414">
        <v>0</v>
      </c>
      <c r="H283" s="415">
        <v>2914</v>
      </c>
      <c r="I283" s="416">
        <v>14278.6</v>
      </c>
      <c r="J283" s="259"/>
      <c r="L283" s="482" t="s">
        <v>195</v>
      </c>
      <c r="M283" s="176" t="str">
        <f>'LEVEL 3'!F288</f>
        <v>LS</v>
      </c>
      <c r="N283" s="423">
        <f>'LEVEL 3'!G288</f>
        <v>4.9000000000000004</v>
      </c>
      <c r="O283" s="413">
        <f>'LEVEL 3'!H288</f>
        <v>10000</v>
      </c>
      <c r="P283" s="414">
        <f>'LEVEL 3'!I288</f>
        <v>0</v>
      </c>
      <c r="Q283" s="415">
        <f>'LEVEL 3'!J288</f>
        <v>10000</v>
      </c>
      <c r="R283" s="416">
        <f>'LEVEL 3'!K288</f>
        <v>49000</v>
      </c>
      <c r="S283" s="259"/>
      <c r="U283" s="429">
        <f t="shared" ref="U283:U291" si="28">R283-I283</f>
        <v>34721.4</v>
      </c>
      <c r="W283" s="432">
        <f t="shared" ref="W283:W291" si="29">IF(I283=0,0,U283/I283)</f>
        <v>2.4317089910775564</v>
      </c>
      <c r="Y283" s="504"/>
    </row>
    <row r="284" spans="1:25" hidden="1" outlineLevel="1">
      <c r="A284" s="512" t="s">
        <v>625</v>
      </c>
      <c r="B284" s="290"/>
      <c r="C284" s="483" t="s">
        <v>266</v>
      </c>
      <c r="D284" s="164" t="s">
        <v>121</v>
      </c>
      <c r="E284" s="422">
        <v>4.9000000000000004</v>
      </c>
      <c r="F284" s="185">
        <v>1542</v>
      </c>
      <c r="G284" s="216">
        <v>0</v>
      </c>
      <c r="H284" s="185">
        <v>1542</v>
      </c>
      <c r="I284" s="217">
        <v>7555.8</v>
      </c>
      <c r="J284" s="259"/>
      <c r="L284" s="483" t="s">
        <v>110</v>
      </c>
      <c r="M284" s="164" t="str">
        <f>'LEVEL 3'!F289</f>
        <v>LS</v>
      </c>
      <c r="N284" s="422">
        <f>'LEVEL 3'!G289</f>
        <v>1</v>
      </c>
      <c r="O284" s="185">
        <f>'LEVEL 3'!H289</f>
        <v>5000</v>
      </c>
      <c r="P284" s="216">
        <f>'LEVEL 3'!I289</f>
        <v>0</v>
      </c>
      <c r="Q284" s="185">
        <f>'LEVEL 3'!J289</f>
        <v>5000</v>
      </c>
      <c r="R284" s="217">
        <f>'LEVEL 3'!K289</f>
        <v>5000</v>
      </c>
      <c r="S284" s="259"/>
      <c r="U284" s="429">
        <f t="shared" si="28"/>
        <v>-2555.8000000000002</v>
      </c>
      <c r="W284" s="432">
        <f t="shared" si="29"/>
        <v>-0.33825670345959397</v>
      </c>
      <c r="Y284" s="504"/>
    </row>
    <row r="285" spans="1:25" hidden="1" outlineLevel="1">
      <c r="A285" s="512" t="s">
        <v>627</v>
      </c>
      <c r="B285" s="290"/>
      <c r="C285" s="483" t="s">
        <v>266</v>
      </c>
      <c r="D285" s="164" t="s">
        <v>121</v>
      </c>
      <c r="E285" s="422">
        <v>4.9000000000000004</v>
      </c>
      <c r="F285" s="185">
        <v>1870</v>
      </c>
      <c r="G285" s="216">
        <v>0</v>
      </c>
      <c r="H285" s="185">
        <v>1870</v>
      </c>
      <c r="I285" s="217">
        <v>9163</v>
      </c>
      <c r="J285" s="259"/>
      <c r="L285" s="483" t="s">
        <v>110</v>
      </c>
      <c r="M285" s="164" t="str">
        <f>'LEVEL 3'!F290</f>
        <v>LS</v>
      </c>
      <c r="N285" s="422">
        <f>'LEVEL 3'!G290</f>
        <v>1</v>
      </c>
      <c r="O285" s="185">
        <f>'LEVEL 3'!H290</f>
        <v>5000</v>
      </c>
      <c r="P285" s="216">
        <f>'LEVEL 3'!I290</f>
        <v>0</v>
      </c>
      <c r="Q285" s="185">
        <f>'LEVEL 3'!J290</f>
        <v>5000</v>
      </c>
      <c r="R285" s="217">
        <f>'LEVEL 3'!K290</f>
        <v>5000</v>
      </c>
      <c r="S285" s="259"/>
      <c r="U285" s="429">
        <f t="shared" si="28"/>
        <v>-4163</v>
      </c>
      <c r="W285" s="432">
        <f t="shared" si="29"/>
        <v>-0.45432718541962241</v>
      </c>
      <c r="Y285" s="504"/>
    </row>
    <row r="286" spans="1:25" hidden="1" outlineLevel="1">
      <c r="A286" s="512" t="s">
        <v>629</v>
      </c>
      <c r="B286" s="290"/>
      <c r="C286" s="483" t="s">
        <v>266</v>
      </c>
      <c r="D286" s="164" t="s">
        <v>121</v>
      </c>
      <c r="E286" s="422">
        <v>4.9000000000000004</v>
      </c>
      <c r="F286" s="185">
        <v>6618.4</v>
      </c>
      <c r="G286" s="216">
        <v>0</v>
      </c>
      <c r="H286" s="185">
        <v>6618.4</v>
      </c>
      <c r="I286" s="217">
        <v>32430.16</v>
      </c>
      <c r="J286" s="259"/>
      <c r="L286" s="483" t="s">
        <v>195</v>
      </c>
      <c r="M286" s="164" t="str">
        <f>'LEVEL 3'!F291</f>
        <v>LS</v>
      </c>
      <c r="N286" s="422">
        <f>'LEVEL 3'!G291</f>
        <v>4.9000000000000004</v>
      </c>
      <c r="O286" s="185">
        <f>'LEVEL 3'!H291</f>
        <v>5775</v>
      </c>
      <c r="P286" s="216">
        <f>'LEVEL 3'!I291</f>
        <v>0</v>
      </c>
      <c r="Q286" s="185">
        <f>'LEVEL 3'!J291</f>
        <v>5775</v>
      </c>
      <c r="R286" s="217">
        <f>'LEVEL 3'!K291</f>
        <v>28297.500000000004</v>
      </c>
      <c r="S286" s="259"/>
      <c r="U286" s="429">
        <f t="shared" si="28"/>
        <v>-4132.6599999999962</v>
      </c>
      <c r="W286" s="432">
        <f t="shared" si="29"/>
        <v>-0.12743261211168852</v>
      </c>
      <c r="Y286" s="504"/>
    </row>
    <row r="287" spans="1:25" hidden="1" outlineLevel="1">
      <c r="A287" s="512" t="s">
        <v>631</v>
      </c>
      <c r="B287" s="290"/>
      <c r="C287" s="483" t="s">
        <v>266</v>
      </c>
      <c r="D287" s="164" t="s">
        <v>121</v>
      </c>
      <c r="E287" s="422">
        <v>4.9000000000000004</v>
      </c>
      <c r="F287" s="185">
        <v>4006</v>
      </c>
      <c r="G287" s="216">
        <v>0</v>
      </c>
      <c r="H287" s="185">
        <v>4006</v>
      </c>
      <c r="I287" s="217">
        <v>19629.400000000001</v>
      </c>
      <c r="J287" s="259"/>
      <c r="L287" s="483" t="s">
        <v>195</v>
      </c>
      <c r="M287" s="164" t="str">
        <f>'LEVEL 3'!F292</f>
        <v>LS</v>
      </c>
      <c r="N287" s="422">
        <f>'LEVEL 3'!G292</f>
        <v>4.9000000000000004</v>
      </c>
      <c r="O287" s="185">
        <f>'LEVEL 3'!H292</f>
        <v>7600</v>
      </c>
      <c r="P287" s="216">
        <f>'LEVEL 3'!I292</f>
        <v>0</v>
      </c>
      <c r="Q287" s="185">
        <f>'LEVEL 3'!J292</f>
        <v>7600</v>
      </c>
      <c r="R287" s="217">
        <f>'LEVEL 3'!K292</f>
        <v>37240</v>
      </c>
      <c r="S287" s="259"/>
      <c r="U287" s="429">
        <f t="shared" si="28"/>
        <v>17610.599999999999</v>
      </c>
      <c r="W287" s="432">
        <f t="shared" si="29"/>
        <v>0.89715426859710423</v>
      </c>
      <c r="Y287" s="504"/>
    </row>
    <row r="288" spans="1:25" hidden="1" outlineLevel="1">
      <c r="A288" s="512" t="s">
        <v>633</v>
      </c>
      <c r="B288" s="290"/>
      <c r="C288" s="483" t="s">
        <v>266</v>
      </c>
      <c r="D288" s="164" t="s">
        <v>121</v>
      </c>
      <c r="E288" s="422">
        <v>4.9000000000000004</v>
      </c>
      <c r="F288" s="185">
        <v>3544.2</v>
      </c>
      <c r="G288" s="216">
        <v>0</v>
      </c>
      <c r="H288" s="185">
        <v>3544.2</v>
      </c>
      <c r="I288" s="217">
        <v>17366.580000000002</v>
      </c>
      <c r="J288" s="259"/>
      <c r="L288" s="483" t="s">
        <v>195</v>
      </c>
      <c r="M288" s="164" t="str">
        <f>'LEVEL 3'!F293</f>
        <v>LS</v>
      </c>
      <c r="N288" s="422">
        <f>'LEVEL 3'!G293</f>
        <v>4.9000000000000004</v>
      </c>
      <c r="O288" s="185">
        <f>'LEVEL 3'!H293</f>
        <v>11500</v>
      </c>
      <c r="P288" s="216">
        <f>'LEVEL 3'!I293</f>
        <v>0</v>
      </c>
      <c r="Q288" s="185">
        <f>'LEVEL 3'!J293</f>
        <v>11500</v>
      </c>
      <c r="R288" s="217">
        <f>'LEVEL 3'!K293</f>
        <v>56350.000000000007</v>
      </c>
      <c r="S288" s="259"/>
      <c r="U288" s="429">
        <f t="shared" si="28"/>
        <v>38983.420000000006</v>
      </c>
      <c r="W288" s="432">
        <f t="shared" si="29"/>
        <v>2.2447378816093901</v>
      </c>
      <c r="Y288" s="504"/>
    </row>
    <row r="289" spans="1:25" hidden="1" outlineLevel="1">
      <c r="A289" s="512" t="s">
        <v>635</v>
      </c>
      <c r="B289" s="290"/>
      <c r="C289" s="483" t="s">
        <v>266</v>
      </c>
      <c r="D289" s="164" t="s">
        <v>121</v>
      </c>
      <c r="E289" s="422">
        <v>4.9000000000000004</v>
      </c>
      <c r="F289" s="185">
        <v>816</v>
      </c>
      <c r="G289" s="216">
        <v>0</v>
      </c>
      <c r="H289" s="185">
        <v>816</v>
      </c>
      <c r="I289" s="217">
        <v>3998.4</v>
      </c>
      <c r="J289" s="259"/>
      <c r="L289" s="483" t="s">
        <v>110</v>
      </c>
      <c r="M289" s="164" t="str">
        <f>'LEVEL 3'!F294</f>
        <v>LS</v>
      </c>
      <c r="N289" s="422">
        <f>'LEVEL 3'!G294</f>
        <v>4.9000000000000004</v>
      </c>
      <c r="O289" s="185">
        <f>'LEVEL 3'!H294</f>
        <v>4000</v>
      </c>
      <c r="P289" s="216">
        <f>'LEVEL 3'!I294</f>
        <v>0</v>
      </c>
      <c r="Q289" s="185">
        <f>'LEVEL 3'!J294</f>
        <v>4000</v>
      </c>
      <c r="R289" s="217">
        <f>'LEVEL 3'!K294</f>
        <v>19600</v>
      </c>
      <c r="S289" s="259"/>
      <c r="U289" s="429">
        <f t="shared" si="28"/>
        <v>15601.6</v>
      </c>
      <c r="W289" s="432">
        <f t="shared" si="29"/>
        <v>3.9019607843137254</v>
      </c>
      <c r="Y289" s="504"/>
    </row>
    <row r="290" spans="1:25" hidden="1" outlineLevel="1">
      <c r="A290" s="512" t="s">
        <v>637</v>
      </c>
      <c r="B290" s="290"/>
      <c r="C290" s="483" t="s">
        <v>266</v>
      </c>
      <c r="D290" s="164" t="s">
        <v>121</v>
      </c>
      <c r="E290" s="422">
        <v>4.9000000000000004</v>
      </c>
      <c r="F290" s="185">
        <v>716.4</v>
      </c>
      <c r="G290" s="216">
        <v>0</v>
      </c>
      <c r="H290" s="185">
        <v>716.4</v>
      </c>
      <c r="I290" s="217">
        <v>3510.36</v>
      </c>
      <c r="J290" s="259"/>
      <c r="L290" s="483" t="s">
        <v>110</v>
      </c>
      <c r="M290" s="164" t="str">
        <f>'LEVEL 3'!F295</f>
        <v>LS</v>
      </c>
      <c r="N290" s="422">
        <f>'LEVEL 3'!G295</f>
        <v>4.9000000000000004</v>
      </c>
      <c r="O290" s="185">
        <f>'LEVEL 3'!H295</f>
        <v>3000</v>
      </c>
      <c r="P290" s="216">
        <f>'LEVEL 3'!I295</f>
        <v>0</v>
      </c>
      <c r="Q290" s="185">
        <f>'LEVEL 3'!J295</f>
        <v>3000</v>
      </c>
      <c r="R290" s="217">
        <f>'LEVEL 3'!K295</f>
        <v>14700.000000000002</v>
      </c>
      <c r="S290" s="259"/>
      <c r="U290" s="429">
        <f t="shared" si="28"/>
        <v>11189.640000000001</v>
      </c>
      <c r="W290" s="432">
        <f t="shared" si="29"/>
        <v>3.187604690117253</v>
      </c>
      <c r="Y290" s="504"/>
    </row>
    <row r="291" spans="1:25" hidden="1" outlineLevel="1">
      <c r="A291" s="512" t="s">
        <v>639</v>
      </c>
      <c r="B291" s="290"/>
      <c r="C291" s="483" t="s">
        <v>266</v>
      </c>
      <c r="D291" s="164" t="s">
        <v>121</v>
      </c>
      <c r="E291" s="422">
        <v>4.9000000000000004</v>
      </c>
      <c r="F291" s="185">
        <v>4976.6000000000004</v>
      </c>
      <c r="G291" s="216">
        <v>0</v>
      </c>
      <c r="H291" s="185">
        <v>4976.6000000000004</v>
      </c>
      <c r="I291" s="217">
        <v>24385.340000000004</v>
      </c>
      <c r="J291" s="259"/>
      <c r="L291" s="483" t="s">
        <v>195</v>
      </c>
      <c r="M291" s="164" t="str">
        <f>'LEVEL 3'!F296</f>
        <v>LS</v>
      </c>
      <c r="N291" s="422">
        <f>'LEVEL 3'!G296</f>
        <v>4.9000000000000004</v>
      </c>
      <c r="O291" s="185">
        <f>'LEVEL 3'!H296</f>
        <v>4000</v>
      </c>
      <c r="P291" s="216">
        <f>'LEVEL 3'!I296</f>
        <v>0</v>
      </c>
      <c r="Q291" s="185">
        <f>'LEVEL 3'!J296</f>
        <v>4000</v>
      </c>
      <c r="R291" s="217">
        <f>'LEVEL 3'!K296</f>
        <v>19600</v>
      </c>
      <c r="S291" s="259"/>
      <c r="U291" s="429">
        <f t="shared" si="28"/>
        <v>-4785.3400000000038</v>
      </c>
      <c r="W291" s="432">
        <f t="shared" si="29"/>
        <v>-0.19623839569183793</v>
      </c>
      <c r="Y291" s="504"/>
    </row>
    <row r="292" spans="1:25" hidden="1" collapsed="1">
      <c r="A292" s="509" t="s">
        <v>696</v>
      </c>
      <c r="B292" s="290"/>
      <c r="C292" s="479"/>
      <c r="D292" s="305"/>
      <c r="E292" s="306"/>
      <c r="F292" s="307"/>
      <c r="G292" s="308"/>
      <c r="H292" s="307"/>
      <c r="I292" s="421"/>
      <c r="J292" s="480">
        <v>0</v>
      </c>
      <c r="L292" s="479"/>
      <c r="M292" s="305"/>
      <c r="N292" s="306"/>
      <c r="O292" s="307"/>
      <c r="P292" s="308"/>
      <c r="Q292" s="307"/>
      <c r="R292" s="421"/>
      <c r="S292" s="480">
        <f>'LEVEL 3'!L297</f>
        <v>0</v>
      </c>
      <c r="U292" s="491">
        <f>S292-J292</f>
        <v>0</v>
      </c>
      <c r="W292" s="497">
        <f>IF(J292=0,0,U292/J292)</f>
        <v>0</v>
      </c>
      <c r="Y292" s="504"/>
    </row>
    <row r="293" spans="1:25" hidden="1">
      <c r="A293" s="511" t="s">
        <v>696</v>
      </c>
      <c r="B293" s="290"/>
      <c r="C293" s="482" t="s">
        <v>118</v>
      </c>
      <c r="D293" s="176"/>
      <c r="E293" s="167"/>
      <c r="F293" s="413"/>
      <c r="G293" s="414">
        <v>0</v>
      </c>
      <c r="H293" s="415">
        <v>0</v>
      </c>
      <c r="I293" s="416">
        <v>0</v>
      </c>
      <c r="J293" s="259"/>
      <c r="L293" s="482" t="s">
        <v>118</v>
      </c>
      <c r="M293" s="176">
        <f>'LEVEL 3'!F298</f>
        <v>0</v>
      </c>
      <c r="N293" s="167">
        <f>'LEVEL 3'!G298</f>
        <v>0</v>
      </c>
      <c r="O293" s="413">
        <f>'LEVEL 3'!H298</f>
        <v>0</v>
      </c>
      <c r="P293" s="414">
        <f>'LEVEL 3'!I298</f>
        <v>0</v>
      </c>
      <c r="Q293" s="415">
        <f>'LEVEL 3'!J298</f>
        <v>0</v>
      </c>
      <c r="R293" s="416">
        <f>'LEVEL 3'!K298</f>
        <v>0</v>
      </c>
      <c r="S293" s="259"/>
      <c r="U293" s="429">
        <f t="shared" ref="U293:U300" si="30">R293-I293</f>
        <v>0</v>
      </c>
      <c r="W293" s="432">
        <f t="shared" ref="W293:W300" si="31">IF(I293=0,0,U293/I293)</f>
        <v>0</v>
      </c>
      <c r="Y293" s="504"/>
    </row>
    <row r="294" spans="1:25" hidden="1">
      <c r="A294" s="512" t="s">
        <v>895</v>
      </c>
      <c r="B294" s="290"/>
      <c r="C294" s="483" t="s">
        <v>118</v>
      </c>
      <c r="D294" s="164"/>
      <c r="E294" s="161"/>
      <c r="F294" s="185"/>
      <c r="G294" s="216">
        <v>0</v>
      </c>
      <c r="H294" s="185">
        <v>0</v>
      </c>
      <c r="I294" s="217">
        <v>0</v>
      </c>
      <c r="J294" s="259"/>
      <c r="L294" s="483" t="s">
        <v>118</v>
      </c>
      <c r="M294" s="164">
        <f>'LEVEL 3'!F299</f>
        <v>0</v>
      </c>
      <c r="N294" s="161">
        <f>'LEVEL 3'!G299</f>
        <v>0</v>
      </c>
      <c r="O294" s="185">
        <f>'LEVEL 3'!H299</f>
        <v>0</v>
      </c>
      <c r="P294" s="216">
        <f>'LEVEL 3'!I299</f>
        <v>0</v>
      </c>
      <c r="Q294" s="185">
        <f>'LEVEL 3'!J299</f>
        <v>0</v>
      </c>
      <c r="R294" s="217">
        <f>'LEVEL 3'!K299</f>
        <v>0</v>
      </c>
      <c r="S294" s="259"/>
      <c r="U294" s="429">
        <f t="shared" si="30"/>
        <v>0</v>
      </c>
      <c r="W294" s="432">
        <f t="shared" si="31"/>
        <v>0</v>
      </c>
      <c r="Y294" s="504"/>
    </row>
    <row r="295" spans="1:25" hidden="1">
      <c r="A295" s="512" t="s">
        <v>896</v>
      </c>
      <c r="B295" s="290"/>
      <c r="C295" s="483" t="s">
        <v>118</v>
      </c>
      <c r="D295" s="164"/>
      <c r="E295" s="161"/>
      <c r="F295" s="185"/>
      <c r="G295" s="216">
        <v>0</v>
      </c>
      <c r="H295" s="185">
        <v>0</v>
      </c>
      <c r="I295" s="217">
        <v>0</v>
      </c>
      <c r="J295" s="259"/>
      <c r="L295" s="483" t="s">
        <v>118</v>
      </c>
      <c r="M295" s="164">
        <f>'LEVEL 3'!F300</f>
        <v>0</v>
      </c>
      <c r="N295" s="161">
        <f>'LEVEL 3'!G300</f>
        <v>0</v>
      </c>
      <c r="O295" s="185">
        <f>'LEVEL 3'!H300</f>
        <v>0</v>
      </c>
      <c r="P295" s="216">
        <f>'LEVEL 3'!I300</f>
        <v>0</v>
      </c>
      <c r="Q295" s="185">
        <f>'LEVEL 3'!J300</f>
        <v>0</v>
      </c>
      <c r="R295" s="217">
        <f>'LEVEL 3'!K300</f>
        <v>0</v>
      </c>
      <c r="S295" s="259"/>
      <c r="U295" s="429">
        <f t="shared" si="30"/>
        <v>0</v>
      </c>
      <c r="W295" s="432">
        <f t="shared" si="31"/>
        <v>0</v>
      </c>
      <c r="Y295" s="504"/>
    </row>
    <row r="296" spans="1:25" hidden="1">
      <c r="A296" s="512" t="s">
        <v>897</v>
      </c>
      <c r="B296" s="290"/>
      <c r="C296" s="483" t="s">
        <v>118</v>
      </c>
      <c r="D296" s="164"/>
      <c r="E296" s="161"/>
      <c r="F296" s="185"/>
      <c r="G296" s="216">
        <v>0</v>
      </c>
      <c r="H296" s="185">
        <v>0</v>
      </c>
      <c r="I296" s="217">
        <v>0</v>
      </c>
      <c r="J296" s="259"/>
      <c r="L296" s="483" t="s">
        <v>118</v>
      </c>
      <c r="M296" s="164">
        <f>'LEVEL 3'!F301</f>
        <v>0</v>
      </c>
      <c r="N296" s="161">
        <f>'LEVEL 3'!G301</f>
        <v>0</v>
      </c>
      <c r="O296" s="185">
        <f>'LEVEL 3'!H301</f>
        <v>0</v>
      </c>
      <c r="P296" s="216">
        <f>'LEVEL 3'!I301</f>
        <v>0</v>
      </c>
      <c r="Q296" s="185">
        <f>'LEVEL 3'!J301</f>
        <v>0</v>
      </c>
      <c r="R296" s="217">
        <f>'LEVEL 3'!K301</f>
        <v>0</v>
      </c>
      <c r="S296" s="259"/>
      <c r="U296" s="429">
        <f t="shared" si="30"/>
        <v>0</v>
      </c>
      <c r="W296" s="432">
        <f t="shared" si="31"/>
        <v>0</v>
      </c>
      <c r="Y296" s="504"/>
    </row>
    <row r="297" spans="1:25" hidden="1">
      <c r="A297" s="512" t="s">
        <v>898</v>
      </c>
      <c r="B297" s="290"/>
      <c r="C297" s="483" t="s">
        <v>118</v>
      </c>
      <c r="D297" s="164"/>
      <c r="E297" s="161"/>
      <c r="F297" s="185"/>
      <c r="G297" s="216">
        <v>0</v>
      </c>
      <c r="H297" s="185">
        <v>0</v>
      </c>
      <c r="I297" s="217">
        <v>0</v>
      </c>
      <c r="J297" s="259"/>
      <c r="L297" s="483" t="s">
        <v>118</v>
      </c>
      <c r="M297" s="164">
        <f>'LEVEL 3'!F302</f>
        <v>0</v>
      </c>
      <c r="N297" s="161">
        <f>'LEVEL 3'!G302</f>
        <v>0</v>
      </c>
      <c r="O297" s="185">
        <f>'LEVEL 3'!H302</f>
        <v>0</v>
      </c>
      <c r="P297" s="216">
        <f>'LEVEL 3'!I302</f>
        <v>0</v>
      </c>
      <c r="Q297" s="185">
        <f>'LEVEL 3'!J302</f>
        <v>0</v>
      </c>
      <c r="R297" s="217">
        <f>'LEVEL 3'!K302</f>
        <v>0</v>
      </c>
      <c r="S297" s="259"/>
      <c r="U297" s="429">
        <f t="shared" si="30"/>
        <v>0</v>
      </c>
      <c r="W297" s="432">
        <f t="shared" si="31"/>
        <v>0</v>
      </c>
      <c r="Y297" s="504"/>
    </row>
    <row r="298" spans="1:25" hidden="1">
      <c r="A298" s="512" t="s">
        <v>899</v>
      </c>
      <c r="B298" s="290"/>
      <c r="C298" s="483" t="s">
        <v>118</v>
      </c>
      <c r="D298" s="164"/>
      <c r="E298" s="161"/>
      <c r="F298" s="185"/>
      <c r="G298" s="216">
        <v>0</v>
      </c>
      <c r="H298" s="185">
        <v>0</v>
      </c>
      <c r="I298" s="217">
        <v>0</v>
      </c>
      <c r="J298" s="259"/>
      <c r="L298" s="483" t="s">
        <v>118</v>
      </c>
      <c r="M298" s="164">
        <f>'LEVEL 3'!F303</f>
        <v>0</v>
      </c>
      <c r="N298" s="161">
        <f>'LEVEL 3'!G303</f>
        <v>0</v>
      </c>
      <c r="O298" s="185">
        <f>'LEVEL 3'!H303</f>
        <v>0</v>
      </c>
      <c r="P298" s="216">
        <f>'LEVEL 3'!I303</f>
        <v>0</v>
      </c>
      <c r="Q298" s="185">
        <f>'LEVEL 3'!J303</f>
        <v>0</v>
      </c>
      <c r="R298" s="217">
        <f>'LEVEL 3'!K303</f>
        <v>0</v>
      </c>
      <c r="S298" s="259"/>
      <c r="U298" s="429">
        <f t="shared" si="30"/>
        <v>0</v>
      </c>
      <c r="W298" s="432">
        <f t="shared" si="31"/>
        <v>0</v>
      </c>
      <c r="Y298" s="504"/>
    </row>
    <row r="299" spans="1:25" hidden="1">
      <c r="A299" s="512" t="s">
        <v>900</v>
      </c>
      <c r="B299" s="290"/>
      <c r="C299" s="483" t="s">
        <v>118</v>
      </c>
      <c r="D299" s="164"/>
      <c r="E299" s="161"/>
      <c r="F299" s="185"/>
      <c r="G299" s="216">
        <v>0</v>
      </c>
      <c r="H299" s="185">
        <v>0</v>
      </c>
      <c r="I299" s="217">
        <v>0</v>
      </c>
      <c r="J299" s="259"/>
      <c r="L299" s="483" t="s">
        <v>118</v>
      </c>
      <c r="M299" s="164">
        <f>'LEVEL 3'!F304</f>
        <v>0</v>
      </c>
      <c r="N299" s="161">
        <f>'LEVEL 3'!G304</f>
        <v>0</v>
      </c>
      <c r="O299" s="185">
        <f>'LEVEL 3'!H304</f>
        <v>0</v>
      </c>
      <c r="P299" s="216">
        <f>'LEVEL 3'!I304</f>
        <v>0</v>
      </c>
      <c r="Q299" s="185">
        <f>'LEVEL 3'!J304</f>
        <v>0</v>
      </c>
      <c r="R299" s="217">
        <f>'LEVEL 3'!K304</f>
        <v>0</v>
      </c>
      <c r="S299" s="259"/>
      <c r="U299" s="429">
        <f t="shared" si="30"/>
        <v>0</v>
      </c>
      <c r="W299" s="432">
        <f t="shared" si="31"/>
        <v>0</v>
      </c>
      <c r="Y299" s="504"/>
    </row>
    <row r="300" spans="1:25" ht="0.75" customHeight="1">
      <c r="A300" s="512" t="s">
        <v>901</v>
      </c>
      <c r="B300" s="290"/>
      <c r="C300" s="483" t="s">
        <v>118</v>
      </c>
      <c r="D300" s="164"/>
      <c r="E300" s="161"/>
      <c r="F300" s="185"/>
      <c r="G300" s="216">
        <v>0</v>
      </c>
      <c r="H300" s="185">
        <v>0</v>
      </c>
      <c r="I300" s="217">
        <v>0</v>
      </c>
      <c r="J300" s="259"/>
      <c r="L300" s="483" t="s">
        <v>118</v>
      </c>
      <c r="M300" s="164">
        <f>'LEVEL 3'!F305</f>
        <v>0</v>
      </c>
      <c r="N300" s="161">
        <f>'LEVEL 3'!G305</f>
        <v>0</v>
      </c>
      <c r="O300" s="185">
        <f>'LEVEL 3'!H305</f>
        <v>0</v>
      </c>
      <c r="P300" s="216">
        <f>'LEVEL 3'!I305</f>
        <v>0</v>
      </c>
      <c r="Q300" s="185">
        <f>'LEVEL 3'!J305</f>
        <v>0</v>
      </c>
      <c r="R300" s="217">
        <f>'LEVEL 3'!K305</f>
        <v>0</v>
      </c>
      <c r="S300" s="259"/>
      <c r="U300" s="429">
        <f t="shared" si="30"/>
        <v>0</v>
      </c>
      <c r="W300" s="432">
        <f t="shared" si="31"/>
        <v>0</v>
      </c>
      <c r="Y300" s="504"/>
    </row>
    <row r="301" spans="1:25">
      <c r="A301" s="509" t="s">
        <v>902</v>
      </c>
      <c r="B301" s="290"/>
      <c r="C301" s="479"/>
      <c r="D301" s="305"/>
      <c r="E301" s="306"/>
      <c r="F301" s="307"/>
      <c r="G301" s="308"/>
      <c r="H301" s="307"/>
      <c r="I301" s="421"/>
      <c r="J301" s="480">
        <v>519855</v>
      </c>
      <c r="L301" s="479"/>
      <c r="M301" s="305"/>
      <c r="N301" s="306"/>
      <c r="O301" s="307"/>
      <c r="P301" s="308"/>
      <c r="Q301" s="307"/>
      <c r="R301" s="421"/>
      <c r="S301" s="480">
        <f>'LEVEL 2 (Match)'!L301</f>
        <v>522853.48930080794</v>
      </c>
      <c r="U301" s="491">
        <f>S301-J301</f>
        <v>2998.489300807938</v>
      </c>
      <c r="W301" s="497">
        <f>IF(J301=0,0,U301/J301)</f>
        <v>5.7679339446729148E-3</v>
      </c>
      <c r="Y301" s="504" t="s">
        <v>989</v>
      </c>
    </row>
    <row r="302" spans="1:25" hidden="1" outlineLevel="1">
      <c r="A302" s="511" t="s">
        <v>903</v>
      </c>
      <c r="B302" s="290"/>
      <c r="C302" s="482"/>
      <c r="D302" s="176"/>
      <c r="E302" s="424">
        <v>0</v>
      </c>
      <c r="F302" s="413"/>
      <c r="G302" s="414"/>
      <c r="H302" s="415"/>
      <c r="I302" s="416">
        <v>0</v>
      </c>
      <c r="J302" s="259"/>
      <c r="L302" s="482"/>
      <c r="M302" s="176">
        <f>'LEVEL 3'!F307</f>
        <v>0</v>
      </c>
      <c r="N302" s="424">
        <f>'LEVEL 3'!G307</f>
        <v>0</v>
      </c>
      <c r="O302" s="413">
        <f>'LEVEL 3'!H307</f>
        <v>0</v>
      </c>
      <c r="P302" s="414"/>
      <c r="Q302" s="415"/>
      <c r="R302" s="416">
        <f>'LEVEL 3'!K307</f>
        <v>0</v>
      </c>
      <c r="S302" s="259"/>
      <c r="U302" s="429">
        <f>R302-I302</f>
        <v>0</v>
      </c>
      <c r="W302" s="432">
        <f>IF(I302=0,0,U302/I302)</f>
        <v>0</v>
      </c>
      <c r="Y302" s="504"/>
    </row>
    <row r="303" spans="1:25" hidden="1" outlineLevel="1">
      <c r="A303" s="510" t="s">
        <v>644</v>
      </c>
      <c r="B303" s="290"/>
      <c r="C303" s="481"/>
      <c r="D303" s="226"/>
      <c r="E303" s="425">
        <v>0.02</v>
      </c>
      <c r="F303" s="225"/>
      <c r="G303" s="311"/>
      <c r="H303" s="312"/>
      <c r="I303" s="313">
        <v>519855</v>
      </c>
      <c r="J303" s="259"/>
      <c r="L303" s="481"/>
      <c r="M303" s="226">
        <f>'LEVEL 3'!F308</f>
        <v>0</v>
      </c>
      <c r="N303" s="425">
        <f>'LEVEL 2 (Match)'!G303</f>
        <v>0.02</v>
      </c>
      <c r="O303" s="225">
        <f>'LEVEL 3'!H308</f>
        <v>0</v>
      </c>
      <c r="P303" s="311"/>
      <c r="Q303" s="312"/>
      <c r="R303" s="313">
        <f>'LEVEL 2 (Match)'!K303</f>
        <v>522853.48930080794</v>
      </c>
      <c r="S303" s="259"/>
      <c r="U303" s="429">
        <f>R303-I303</f>
        <v>2998.489300807938</v>
      </c>
      <c r="W303" s="432">
        <f>IF(I303=0,0,U303/I303)</f>
        <v>5.7679339446729148E-3</v>
      </c>
      <c r="Y303" s="504"/>
    </row>
    <row r="304" spans="1:25" collapsed="1">
      <c r="A304" s="509" t="s">
        <v>645</v>
      </c>
      <c r="B304" s="290"/>
      <c r="C304" s="479"/>
      <c r="D304" s="305"/>
      <c r="E304" s="306"/>
      <c r="F304" s="307"/>
      <c r="G304" s="308"/>
      <c r="H304" s="307"/>
      <c r="I304" s="421"/>
      <c r="J304" s="480">
        <v>1036093.6</v>
      </c>
      <c r="L304" s="479"/>
      <c r="M304" s="305"/>
      <c r="N304" s="306"/>
      <c r="O304" s="307"/>
      <c r="P304" s="308"/>
      <c r="Q304" s="307"/>
      <c r="R304" s="421"/>
      <c r="S304" s="480">
        <f>'LEVEL 3'!L309</f>
        <v>691024.09</v>
      </c>
      <c r="U304" s="491">
        <f>S304-J304</f>
        <v>-345069.51</v>
      </c>
      <c r="W304" s="497">
        <f>IF(J304=0,0,U304/J304)</f>
        <v>-0.33304858750213301</v>
      </c>
      <c r="Y304" s="504" t="s">
        <v>990</v>
      </c>
    </row>
    <row r="305" spans="1:25" hidden="1" outlineLevel="1">
      <c r="A305" s="511" t="s">
        <v>647</v>
      </c>
      <c r="B305" s="290"/>
      <c r="C305" s="482" t="s">
        <v>649</v>
      </c>
      <c r="D305" s="176" t="s">
        <v>121</v>
      </c>
      <c r="E305" s="167">
        <v>1</v>
      </c>
      <c r="F305" s="413">
        <v>10000</v>
      </c>
      <c r="G305" s="414">
        <v>0</v>
      </c>
      <c r="H305" s="415">
        <v>10000</v>
      </c>
      <c r="I305" s="416">
        <v>10000</v>
      </c>
      <c r="J305" s="259"/>
      <c r="L305" s="482" t="s">
        <v>110</v>
      </c>
      <c r="M305" s="176" t="str">
        <f>'LEVEL 3'!F310</f>
        <v>LS</v>
      </c>
      <c r="N305" s="167">
        <f>'LEVEL 3'!G310</f>
        <v>1</v>
      </c>
      <c r="O305" s="413">
        <f>'LEVEL 3'!H310</f>
        <v>10000</v>
      </c>
      <c r="P305" s="414">
        <f>'LEVEL 3'!I310</f>
        <v>0</v>
      </c>
      <c r="Q305" s="415">
        <f>'LEVEL 3'!J310</f>
        <v>10000</v>
      </c>
      <c r="R305" s="416">
        <f>'LEVEL 3'!K310</f>
        <v>10000</v>
      </c>
      <c r="S305" s="259"/>
      <c r="U305" s="429">
        <f t="shared" ref="U305:U318" si="32">R305-I305</f>
        <v>0</v>
      </c>
      <c r="W305" s="432">
        <f t="shared" ref="W305:W318" si="33">IF(I305=0,0,U305/I305)</f>
        <v>0</v>
      </c>
      <c r="Y305" s="504"/>
    </row>
    <row r="306" spans="1:25" hidden="1" outlineLevel="1">
      <c r="A306" s="512" t="s">
        <v>650</v>
      </c>
      <c r="B306" s="290"/>
      <c r="C306" s="483" t="s">
        <v>118</v>
      </c>
      <c r="D306" s="164"/>
      <c r="E306" s="161"/>
      <c r="F306" s="185"/>
      <c r="G306" s="216">
        <v>0</v>
      </c>
      <c r="H306" s="185">
        <v>0</v>
      </c>
      <c r="I306" s="217">
        <v>0</v>
      </c>
      <c r="J306" s="259"/>
      <c r="L306" s="483" t="s">
        <v>118</v>
      </c>
      <c r="M306" s="164">
        <f>'LEVEL 3'!F311</f>
        <v>0</v>
      </c>
      <c r="N306" s="161">
        <f>'LEVEL 3'!G311</f>
        <v>0</v>
      </c>
      <c r="O306" s="185">
        <f>'LEVEL 3'!H311</f>
        <v>0</v>
      </c>
      <c r="P306" s="216">
        <f>'LEVEL 3'!I311</f>
        <v>0</v>
      </c>
      <c r="Q306" s="185">
        <f>'LEVEL 3'!J311</f>
        <v>0</v>
      </c>
      <c r="R306" s="217">
        <f>'LEVEL 3'!K311</f>
        <v>0</v>
      </c>
      <c r="S306" s="259"/>
      <c r="U306" s="429">
        <f t="shared" si="32"/>
        <v>0</v>
      </c>
      <c r="W306" s="432">
        <f t="shared" si="33"/>
        <v>0</v>
      </c>
      <c r="Y306" s="504"/>
    </row>
    <row r="307" spans="1:25" hidden="1" outlineLevel="1">
      <c r="A307" s="512" t="s">
        <v>652</v>
      </c>
      <c r="B307" s="290"/>
      <c r="C307" s="483" t="s">
        <v>649</v>
      </c>
      <c r="D307" s="164" t="s">
        <v>121</v>
      </c>
      <c r="E307" s="161">
        <v>1</v>
      </c>
      <c r="F307" s="185">
        <v>21000</v>
      </c>
      <c r="G307" s="216">
        <v>0</v>
      </c>
      <c r="H307" s="185">
        <v>21000</v>
      </c>
      <c r="I307" s="217">
        <v>21000</v>
      </c>
      <c r="J307" s="259"/>
      <c r="L307" s="483" t="s">
        <v>118</v>
      </c>
      <c r="M307" s="164" t="str">
        <f>'LEVEL 3'!F312</f>
        <v>LS</v>
      </c>
      <c r="N307" s="161">
        <f>'LEVEL 3'!G312</f>
        <v>0</v>
      </c>
      <c r="O307" s="185">
        <f>'LEVEL 3'!H312</f>
        <v>21000</v>
      </c>
      <c r="P307" s="216">
        <f>'LEVEL 3'!I312</f>
        <v>0</v>
      </c>
      <c r="Q307" s="185">
        <f>'LEVEL 3'!J312</f>
        <v>21000</v>
      </c>
      <c r="R307" s="217">
        <f>'LEVEL 3'!K312</f>
        <v>0</v>
      </c>
      <c r="S307" s="259"/>
      <c r="U307" s="429">
        <f t="shared" si="32"/>
        <v>-21000</v>
      </c>
      <c r="W307" s="432">
        <f t="shared" si="33"/>
        <v>-1</v>
      </c>
      <c r="Y307" s="504"/>
    </row>
    <row r="308" spans="1:25" hidden="1" outlineLevel="1">
      <c r="A308" s="512" t="s">
        <v>654</v>
      </c>
      <c r="B308" s="290"/>
      <c r="C308" s="483" t="s">
        <v>127</v>
      </c>
      <c r="D308" s="164" t="s">
        <v>121</v>
      </c>
      <c r="E308" s="161">
        <v>1</v>
      </c>
      <c r="F308" s="185">
        <v>21900</v>
      </c>
      <c r="G308" s="216">
        <v>0</v>
      </c>
      <c r="H308" s="185">
        <v>21900</v>
      </c>
      <c r="I308" s="217">
        <v>21900</v>
      </c>
      <c r="J308" s="259"/>
      <c r="L308" s="483" t="s">
        <v>110</v>
      </c>
      <c r="M308" s="164" t="str">
        <f>'LEVEL 3'!F313</f>
        <v>LS</v>
      </c>
      <c r="N308" s="161">
        <f>'LEVEL 3'!G313</f>
        <v>1</v>
      </c>
      <c r="O308" s="185">
        <f>'LEVEL 3'!H313</f>
        <v>22000</v>
      </c>
      <c r="P308" s="216">
        <f>'LEVEL 3'!I313</f>
        <v>0</v>
      </c>
      <c r="Q308" s="185">
        <f>'LEVEL 3'!J313</f>
        <v>22000</v>
      </c>
      <c r="R308" s="217">
        <f>'LEVEL 3'!K313</f>
        <v>22000</v>
      </c>
      <c r="S308" s="259"/>
      <c r="U308" s="429">
        <f t="shared" si="32"/>
        <v>100</v>
      </c>
      <c r="W308" s="432">
        <f t="shared" si="33"/>
        <v>4.5662100456621002E-3</v>
      </c>
      <c r="Y308" s="504"/>
    </row>
    <row r="309" spans="1:25" hidden="1" outlineLevel="1">
      <c r="A309" s="518" t="s">
        <v>656</v>
      </c>
      <c r="B309" s="290"/>
      <c r="C309" s="483" t="s">
        <v>127</v>
      </c>
      <c r="D309" s="164" t="s">
        <v>121</v>
      </c>
      <c r="E309" s="161">
        <v>1</v>
      </c>
      <c r="F309" s="184">
        <v>45146</v>
      </c>
      <c r="G309" s="216">
        <v>0</v>
      </c>
      <c r="H309" s="185">
        <v>45146</v>
      </c>
      <c r="I309" s="217">
        <v>45146</v>
      </c>
      <c r="J309" s="259"/>
      <c r="L309" s="483" t="s">
        <v>195</v>
      </c>
      <c r="M309" s="164" t="str">
        <f>'LEVEL 3'!F314</f>
        <v>LS</v>
      </c>
      <c r="N309" s="161">
        <f>'LEVEL 3'!G314</f>
        <v>1</v>
      </c>
      <c r="O309" s="184">
        <f>'LEVEL 3'!H314</f>
        <v>43676.49</v>
      </c>
      <c r="P309" s="216">
        <f>'LEVEL 3'!I314</f>
        <v>0</v>
      </c>
      <c r="Q309" s="185">
        <f>'LEVEL 3'!J314</f>
        <v>43676.49</v>
      </c>
      <c r="R309" s="217">
        <f>'LEVEL 3'!K314</f>
        <v>43676.49</v>
      </c>
      <c r="S309" s="259"/>
      <c r="U309" s="429">
        <f t="shared" si="32"/>
        <v>-1469.510000000002</v>
      </c>
      <c r="W309" s="432">
        <f t="shared" si="33"/>
        <v>-3.2550170557746026E-2</v>
      </c>
      <c r="Y309" s="504"/>
    </row>
    <row r="310" spans="1:25" hidden="1" outlineLevel="1">
      <c r="A310" s="518" t="s">
        <v>659</v>
      </c>
      <c r="B310" s="290"/>
      <c r="C310" s="483" t="s">
        <v>118</v>
      </c>
      <c r="D310" s="164"/>
      <c r="E310" s="161"/>
      <c r="F310" s="185"/>
      <c r="G310" s="216">
        <v>0</v>
      </c>
      <c r="H310" s="185">
        <v>0</v>
      </c>
      <c r="I310" s="217">
        <v>0</v>
      </c>
      <c r="J310" s="259"/>
      <c r="L310" s="483" t="s">
        <v>118</v>
      </c>
      <c r="M310" s="164">
        <f>'LEVEL 3'!F315</f>
        <v>0</v>
      </c>
      <c r="N310" s="161">
        <f>'LEVEL 3'!G315</f>
        <v>0</v>
      </c>
      <c r="O310" s="185">
        <f>'LEVEL 3'!H315</f>
        <v>0</v>
      </c>
      <c r="P310" s="216">
        <f>'LEVEL 3'!I315</f>
        <v>0</v>
      </c>
      <c r="Q310" s="185">
        <f>'LEVEL 3'!J315</f>
        <v>0</v>
      </c>
      <c r="R310" s="217">
        <f>'LEVEL 3'!K315</f>
        <v>0</v>
      </c>
      <c r="S310" s="259"/>
      <c r="U310" s="429">
        <f t="shared" si="32"/>
        <v>0</v>
      </c>
      <c r="W310" s="432">
        <f t="shared" si="33"/>
        <v>0</v>
      </c>
      <c r="Y310" s="504"/>
    </row>
    <row r="311" spans="1:25" hidden="1" outlineLevel="1">
      <c r="A311" s="518" t="s">
        <v>661</v>
      </c>
      <c r="B311" s="290"/>
      <c r="C311" s="483" t="s">
        <v>127</v>
      </c>
      <c r="D311" s="164" t="s">
        <v>121</v>
      </c>
      <c r="E311" s="161">
        <v>1</v>
      </c>
      <c r="F311" s="185">
        <v>15000</v>
      </c>
      <c r="G311" s="216">
        <v>0</v>
      </c>
      <c r="H311" s="185">
        <v>15000</v>
      </c>
      <c r="I311" s="217">
        <v>15000</v>
      </c>
      <c r="J311" s="259"/>
      <c r="L311" s="483" t="s">
        <v>110</v>
      </c>
      <c r="M311" s="164" t="str">
        <f>'LEVEL 3'!F316</f>
        <v>LS</v>
      </c>
      <c r="N311" s="161">
        <f>'LEVEL 3'!G316</f>
        <v>1</v>
      </c>
      <c r="O311" s="185">
        <f>'LEVEL 3'!H316</f>
        <v>15000</v>
      </c>
      <c r="P311" s="216">
        <f>'LEVEL 3'!I316</f>
        <v>0</v>
      </c>
      <c r="Q311" s="185">
        <f>'LEVEL 3'!J316</f>
        <v>15000</v>
      </c>
      <c r="R311" s="217">
        <f>'LEVEL 3'!K316</f>
        <v>15000</v>
      </c>
      <c r="S311" s="259"/>
      <c r="U311" s="429">
        <f t="shared" si="32"/>
        <v>0</v>
      </c>
      <c r="W311" s="432">
        <f t="shared" si="33"/>
        <v>0</v>
      </c>
      <c r="Y311" s="504"/>
    </row>
    <row r="312" spans="1:25" hidden="1" outlineLevel="1">
      <c r="A312" s="518" t="s">
        <v>663</v>
      </c>
      <c r="B312" s="290"/>
      <c r="C312" s="483" t="s">
        <v>127</v>
      </c>
      <c r="D312" s="164" t="s">
        <v>121</v>
      </c>
      <c r="E312" s="161">
        <v>1</v>
      </c>
      <c r="F312" s="185">
        <v>5000</v>
      </c>
      <c r="G312" s="216">
        <v>0</v>
      </c>
      <c r="H312" s="185">
        <v>5000</v>
      </c>
      <c r="I312" s="217">
        <v>5000</v>
      </c>
      <c r="J312" s="259"/>
      <c r="L312" s="483" t="s">
        <v>904</v>
      </c>
      <c r="M312" s="164" t="str">
        <f>'LEVEL 3'!F317</f>
        <v>LS</v>
      </c>
      <c r="N312" s="161">
        <f>'LEVEL 3'!G317</f>
        <v>1</v>
      </c>
      <c r="O312" s="185">
        <f>'LEVEL 3'!H317</f>
        <v>5000</v>
      </c>
      <c r="P312" s="216">
        <f>'LEVEL 3'!I317</f>
        <v>0</v>
      </c>
      <c r="Q312" s="185">
        <f>'LEVEL 3'!J317</f>
        <v>5000</v>
      </c>
      <c r="R312" s="217">
        <f>'LEVEL 3'!K317</f>
        <v>5000</v>
      </c>
      <c r="S312" s="259"/>
      <c r="U312" s="429">
        <f t="shared" si="32"/>
        <v>0</v>
      </c>
      <c r="W312" s="432">
        <f t="shared" si="33"/>
        <v>0</v>
      </c>
      <c r="Y312" s="504"/>
    </row>
    <row r="313" spans="1:25" hidden="1" outlineLevel="1">
      <c r="A313" s="518" t="s">
        <v>665</v>
      </c>
      <c r="B313" s="290"/>
      <c r="C313" s="483" t="s">
        <v>118</v>
      </c>
      <c r="D313" s="164"/>
      <c r="E313" s="161"/>
      <c r="F313" s="185"/>
      <c r="G313" s="216">
        <v>0</v>
      </c>
      <c r="H313" s="185">
        <v>0</v>
      </c>
      <c r="I313" s="217">
        <v>0</v>
      </c>
      <c r="J313" s="259"/>
      <c r="L313" s="483" t="s">
        <v>118</v>
      </c>
      <c r="M313" s="164">
        <f>'LEVEL 3'!F318</f>
        <v>0</v>
      </c>
      <c r="N313" s="161">
        <f>'LEVEL 3'!G318</f>
        <v>0</v>
      </c>
      <c r="O313" s="185">
        <f>'LEVEL 3'!H318</f>
        <v>0</v>
      </c>
      <c r="P313" s="216">
        <f>'LEVEL 3'!I318</f>
        <v>0</v>
      </c>
      <c r="Q313" s="185">
        <f>'LEVEL 3'!J318</f>
        <v>0</v>
      </c>
      <c r="R313" s="217">
        <f>'LEVEL 3'!K318</f>
        <v>0</v>
      </c>
      <c r="S313" s="259"/>
      <c r="U313" s="429">
        <f t="shared" si="32"/>
        <v>0</v>
      </c>
      <c r="W313" s="432">
        <f t="shared" si="33"/>
        <v>0</v>
      </c>
      <c r="Y313" s="504"/>
    </row>
    <row r="314" spans="1:25" hidden="1" outlineLevel="1">
      <c r="A314" s="512" t="s">
        <v>667</v>
      </c>
      <c r="B314" s="290"/>
      <c r="C314" s="483" t="s">
        <v>110</v>
      </c>
      <c r="D314" s="164" t="s">
        <v>121</v>
      </c>
      <c r="E314" s="161">
        <v>1</v>
      </c>
      <c r="F314" s="185">
        <v>823200</v>
      </c>
      <c r="G314" s="216">
        <v>0</v>
      </c>
      <c r="H314" s="185">
        <v>823200</v>
      </c>
      <c r="I314" s="217">
        <v>823200</v>
      </c>
      <c r="J314" s="259"/>
      <c r="L314" s="483" t="s">
        <v>246</v>
      </c>
      <c r="M314" s="164" t="str">
        <f>'LEVEL 3'!F319</f>
        <v>LS</v>
      </c>
      <c r="N314" s="161">
        <f>'LEVEL 3'!G319</f>
        <v>1</v>
      </c>
      <c r="O314" s="185">
        <f>'LEVEL 3'!H319</f>
        <v>500000</v>
      </c>
      <c r="P314" s="216">
        <f>'LEVEL 3'!I319</f>
        <v>0</v>
      </c>
      <c r="Q314" s="185">
        <f>'LEVEL 3'!J319</f>
        <v>500000</v>
      </c>
      <c r="R314" s="217">
        <f>'LEVEL 3'!K319</f>
        <v>500000</v>
      </c>
      <c r="S314" s="259"/>
      <c r="U314" s="429">
        <f t="shared" si="32"/>
        <v>-323200</v>
      </c>
      <c r="W314" s="432">
        <f t="shared" si="33"/>
        <v>-0.39261418853255586</v>
      </c>
      <c r="Y314" s="504"/>
    </row>
    <row r="315" spans="1:25" hidden="1" outlineLevel="1">
      <c r="A315" s="512" t="s">
        <v>670</v>
      </c>
      <c r="B315" s="290"/>
      <c r="C315" s="483" t="s">
        <v>880</v>
      </c>
      <c r="D315" s="164" t="s">
        <v>121</v>
      </c>
      <c r="E315" s="161">
        <v>1</v>
      </c>
      <c r="F315" s="185">
        <v>72147.600000000006</v>
      </c>
      <c r="G315" s="216">
        <v>0</v>
      </c>
      <c r="H315" s="185">
        <v>72147.600000000006</v>
      </c>
      <c r="I315" s="217">
        <v>72147.600000000006</v>
      </c>
      <c r="J315" s="259"/>
      <c r="L315" s="483" t="s">
        <v>880</v>
      </c>
      <c r="M315" s="164" t="str">
        <f>'LEVEL 3'!F320</f>
        <v>LS</v>
      </c>
      <c r="N315" s="161">
        <f>'LEVEL 3'!G320</f>
        <v>1</v>
      </c>
      <c r="O315" s="185">
        <f>'LEVEL 3'!H320</f>
        <v>72147.600000000006</v>
      </c>
      <c r="P315" s="216">
        <f>'LEVEL 3'!I320</f>
        <v>0</v>
      </c>
      <c r="Q315" s="185">
        <f>'LEVEL 3'!J320</f>
        <v>72147.600000000006</v>
      </c>
      <c r="R315" s="217">
        <f>'LEVEL 3'!K320</f>
        <v>72147.600000000006</v>
      </c>
      <c r="S315" s="259"/>
      <c r="U315" s="429">
        <f t="shared" si="32"/>
        <v>0</v>
      </c>
      <c r="W315" s="432">
        <f t="shared" si="33"/>
        <v>0</v>
      </c>
      <c r="Y315" s="504"/>
    </row>
    <row r="316" spans="1:25" hidden="1" outlineLevel="1">
      <c r="A316" s="518" t="s">
        <v>672</v>
      </c>
      <c r="B316" s="290"/>
      <c r="C316" s="483" t="s">
        <v>127</v>
      </c>
      <c r="D316" s="164" t="s">
        <v>121</v>
      </c>
      <c r="E316" s="161">
        <v>1</v>
      </c>
      <c r="F316" s="185">
        <v>19500</v>
      </c>
      <c r="G316" s="216">
        <v>0</v>
      </c>
      <c r="H316" s="185">
        <v>19500</v>
      </c>
      <c r="I316" s="217">
        <v>19500</v>
      </c>
      <c r="J316" s="259"/>
      <c r="L316" s="483" t="s">
        <v>110</v>
      </c>
      <c r="M316" s="164" t="str">
        <f>'LEVEL 3'!F321</f>
        <v>LS</v>
      </c>
      <c r="N316" s="161">
        <f>'LEVEL 3'!G321</f>
        <v>1</v>
      </c>
      <c r="O316" s="185">
        <f>'LEVEL 3'!H321</f>
        <v>20000</v>
      </c>
      <c r="P316" s="216">
        <f>'LEVEL 3'!I321</f>
        <v>0</v>
      </c>
      <c r="Q316" s="185">
        <f>'LEVEL 3'!J321</f>
        <v>20000</v>
      </c>
      <c r="R316" s="217">
        <f>'LEVEL 3'!K321</f>
        <v>20000</v>
      </c>
      <c r="S316" s="259"/>
      <c r="U316" s="429">
        <f t="shared" si="32"/>
        <v>500</v>
      </c>
      <c r="W316" s="432">
        <f t="shared" si="33"/>
        <v>2.564102564102564E-2</v>
      </c>
      <c r="Y316" s="504"/>
    </row>
    <row r="317" spans="1:25" hidden="1" outlineLevel="1">
      <c r="A317" s="518" t="s">
        <v>673</v>
      </c>
      <c r="B317" s="290"/>
      <c r="C317" s="483" t="s">
        <v>127</v>
      </c>
      <c r="D317" s="164" t="s">
        <v>121</v>
      </c>
      <c r="E317" s="161">
        <v>1</v>
      </c>
      <c r="F317" s="185">
        <v>2000</v>
      </c>
      <c r="G317" s="216">
        <v>0</v>
      </c>
      <c r="H317" s="185">
        <v>2000</v>
      </c>
      <c r="I317" s="217">
        <v>2000</v>
      </c>
      <c r="J317" s="259"/>
      <c r="L317" s="483" t="s">
        <v>110</v>
      </c>
      <c r="M317" s="164" t="str">
        <f>'LEVEL 3'!F322</f>
        <v>LS</v>
      </c>
      <c r="N317" s="161">
        <f>'LEVEL 3'!G322</f>
        <v>1</v>
      </c>
      <c r="O317" s="185">
        <f>'LEVEL 3'!H322</f>
        <v>2000</v>
      </c>
      <c r="P317" s="216">
        <f>'LEVEL 3'!I322</f>
        <v>0</v>
      </c>
      <c r="Q317" s="185">
        <f>'LEVEL 3'!J322</f>
        <v>2000</v>
      </c>
      <c r="R317" s="217">
        <f>'LEVEL 3'!K322</f>
        <v>2000</v>
      </c>
      <c r="S317" s="259"/>
      <c r="U317" s="429">
        <f t="shared" si="32"/>
        <v>0</v>
      </c>
      <c r="W317" s="432">
        <f t="shared" si="33"/>
        <v>0</v>
      </c>
      <c r="Y317" s="504"/>
    </row>
    <row r="318" spans="1:25" hidden="1" outlineLevel="1">
      <c r="A318" s="518" t="s">
        <v>675</v>
      </c>
      <c r="B318" s="290"/>
      <c r="C318" s="483" t="s">
        <v>127</v>
      </c>
      <c r="D318" s="164" t="s">
        <v>121</v>
      </c>
      <c r="E318" s="161">
        <v>1</v>
      </c>
      <c r="F318" s="185">
        <v>1200</v>
      </c>
      <c r="G318" s="216">
        <v>0</v>
      </c>
      <c r="H318" s="185">
        <v>1200</v>
      </c>
      <c r="I318" s="217">
        <v>1200</v>
      </c>
      <c r="J318" s="259"/>
      <c r="L318" s="483" t="s">
        <v>110</v>
      </c>
      <c r="M318" s="164" t="str">
        <f>'LEVEL 3'!F323</f>
        <v>LS</v>
      </c>
      <c r="N318" s="161">
        <f>'LEVEL 3'!G323</f>
        <v>1</v>
      </c>
      <c r="O318" s="185">
        <f>'LEVEL 3'!H323</f>
        <v>1200</v>
      </c>
      <c r="P318" s="216">
        <f>'LEVEL 3'!I323</f>
        <v>0</v>
      </c>
      <c r="Q318" s="185">
        <f>'LEVEL 3'!J323</f>
        <v>1200</v>
      </c>
      <c r="R318" s="217">
        <f>'LEVEL 3'!K323</f>
        <v>1200</v>
      </c>
      <c r="S318" s="259"/>
      <c r="U318" s="429">
        <f t="shared" si="32"/>
        <v>0</v>
      </c>
      <c r="W318" s="432">
        <f t="shared" si="33"/>
        <v>0</v>
      </c>
      <c r="Y318" s="504"/>
    </row>
    <row r="319" spans="1:25" collapsed="1">
      <c r="A319" s="509" t="s">
        <v>677</v>
      </c>
      <c r="B319" s="290"/>
      <c r="C319" s="479"/>
      <c r="D319" s="305"/>
      <c r="E319" s="306"/>
      <c r="F319" s="307"/>
      <c r="G319" s="308"/>
      <c r="H319" s="307"/>
      <c r="I319" s="421"/>
      <c r="J319" s="480">
        <v>1615091</v>
      </c>
      <c r="L319" s="479"/>
      <c r="M319" s="305"/>
      <c r="N319" s="306"/>
      <c r="O319" s="307"/>
      <c r="P319" s="308"/>
      <c r="Q319" s="307"/>
      <c r="R319" s="421"/>
      <c r="S319" s="480">
        <f>'LEVEL 2 (Match)'!L319</f>
        <v>1607491</v>
      </c>
      <c r="U319" s="491">
        <f>S319-J319</f>
        <v>-7600</v>
      </c>
      <c r="W319" s="497">
        <f>IF(J319=0,0,U319/J319)</f>
        <v>-4.7056172067084763E-3</v>
      </c>
      <c r="Y319" s="504"/>
    </row>
    <row r="320" spans="1:25" hidden="1" outlineLevel="1">
      <c r="A320" s="510" t="s">
        <v>677</v>
      </c>
      <c r="B320" s="290"/>
      <c r="C320" s="481"/>
      <c r="D320" s="226"/>
      <c r="E320" s="425">
        <v>0.05</v>
      </c>
      <c r="F320" s="225"/>
      <c r="G320" s="311"/>
      <c r="H320" s="312"/>
      <c r="I320" s="313">
        <v>1615091</v>
      </c>
      <c r="J320" s="259"/>
      <c r="L320" s="481"/>
      <c r="M320" s="226">
        <f>'LEVEL 3'!F325</f>
        <v>0</v>
      </c>
      <c r="N320" s="425">
        <f>'LEVEL 3'!G325</f>
        <v>0</v>
      </c>
      <c r="O320" s="225">
        <f>'LEVEL 3'!H325</f>
        <v>0</v>
      </c>
      <c r="P320" s="311">
        <f>'LEVEL 3'!I325</f>
        <v>0</v>
      </c>
      <c r="Q320" s="312">
        <f>'LEVEL 3'!J325</f>
        <v>0</v>
      </c>
      <c r="R320" s="313">
        <f>'LEVEL 2 (Match)'!K320</f>
        <v>1607491</v>
      </c>
      <c r="S320" s="259"/>
      <c r="U320" s="429">
        <f>R320-I320</f>
        <v>-7600</v>
      </c>
      <c r="W320" s="432">
        <f>IF(I320=0,0,U320/I320)</f>
        <v>-4.7056172067084763E-3</v>
      </c>
      <c r="Y320" s="504"/>
    </row>
    <row r="321" spans="1:25" collapsed="1">
      <c r="A321" s="509" t="s">
        <v>680</v>
      </c>
      <c r="B321" s="290"/>
      <c r="C321" s="479"/>
      <c r="D321" s="305"/>
      <c r="E321" s="306"/>
      <c r="F321" s="307"/>
      <c r="G321" s="308"/>
      <c r="H321" s="307"/>
      <c r="I321" s="421"/>
      <c r="J321" s="480">
        <v>346052.51546726329</v>
      </c>
      <c r="L321" s="479"/>
      <c r="M321" s="305"/>
      <c r="N321" s="306"/>
      <c r="O321" s="307"/>
      <c r="P321" s="308"/>
      <c r="Q321" s="307"/>
      <c r="R321" s="421"/>
      <c r="S321" s="480">
        <f>'LEVEL 2 (Match)'!L321</f>
        <v>339854.76804552512</v>
      </c>
      <c r="U321" s="491">
        <f>S321-J321</f>
        <v>-6197.7474217381678</v>
      </c>
      <c r="W321" s="497">
        <f>IF(J321=0,0,U321/J321)</f>
        <v>-1.7909846467578927E-2</v>
      </c>
      <c r="Y321" s="504"/>
    </row>
    <row r="322" spans="1:25" hidden="1" outlineLevel="1">
      <c r="A322" s="510" t="s">
        <v>680</v>
      </c>
      <c r="B322" s="290"/>
      <c r="C322" s="481"/>
      <c r="D322" s="226"/>
      <c r="E322" s="425">
        <v>1.2999999999999999E-2</v>
      </c>
      <c r="F322" s="225"/>
      <c r="G322" s="311"/>
      <c r="H322" s="312"/>
      <c r="I322" s="313">
        <v>346052.51546726329</v>
      </c>
      <c r="J322" s="259"/>
      <c r="L322" s="481"/>
      <c r="M322" s="226">
        <f>'LEVEL 3'!F327</f>
        <v>0</v>
      </c>
      <c r="N322" s="425">
        <f>'LEVEL 3'!G327</f>
        <v>1.2999999999999999E-2</v>
      </c>
      <c r="O322" s="225">
        <f>'LEVEL 3'!H327</f>
        <v>0</v>
      </c>
      <c r="P322" s="311">
        <f>'LEVEL 3'!I327</f>
        <v>0</v>
      </c>
      <c r="Q322" s="312">
        <f>'LEVEL 3'!J327</f>
        <v>0</v>
      </c>
      <c r="R322" s="313">
        <f>'LEVEL 2 (Match)'!K322</f>
        <v>339854.76804552512</v>
      </c>
      <c r="S322" s="259"/>
      <c r="U322" s="429">
        <f>R322-I322</f>
        <v>-6197.7474217381678</v>
      </c>
      <c r="W322" s="432">
        <f>IF(I322=0,0,U322/I322)</f>
        <v>-1.7909846467578927E-2</v>
      </c>
      <c r="Y322" s="504"/>
    </row>
    <row r="323" spans="1:25" collapsed="1">
      <c r="A323" s="509" t="s">
        <v>684</v>
      </c>
      <c r="B323" s="290"/>
      <c r="C323" s="479"/>
      <c r="D323" s="305"/>
      <c r="E323" s="306"/>
      <c r="F323" s="307"/>
      <c r="G323" s="308"/>
      <c r="H323" s="307"/>
      <c r="I323" s="421"/>
      <c r="J323" s="480">
        <f>786249-J321</f>
        <v>440196.48453273671</v>
      </c>
      <c r="L323" s="479"/>
      <c r="M323" s="305"/>
      <c r="N323" s="306"/>
      <c r="O323" s="307"/>
      <c r="P323" s="308"/>
      <c r="Q323" s="307"/>
      <c r="R323" s="421"/>
      <c r="S323" s="480">
        <f>R324+R325+R326</f>
        <v>505187.23195447482</v>
      </c>
      <c r="U323" s="491">
        <f>S323-J323</f>
        <v>64990.74742173811</v>
      </c>
      <c r="W323" s="497">
        <f>IF(J323=0,0,U323/J323)</f>
        <v>0.14764031450802023</v>
      </c>
      <c r="Y323" s="504"/>
    </row>
    <row r="324" spans="1:25" hidden="1" outlineLevel="1">
      <c r="A324" s="511" t="s">
        <v>685</v>
      </c>
      <c r="B324" s="290"/>
      <c r="C324" s="482"/>
      <c r="D324" s="176" t="s">
        <v>687</v>
      </c>
      <c r="E324" s="426">
        <v>3.03</v>
      </c>
      <c r="F324" s="413"/>
      <c r="G324" s="414"/>
      <c r="H324" s="415"/>
      <c r="I324" s="416">
        <v>95896.599006483433</v>
      </c>
      <c r="J324" s="259"/>
      <c r="L324" s="482"/>
      <c r="M324" s="176">
        <f>'LEVEL 3'!F329</f>
        <v>0</v>
      </c>
      <c r="N324" s="426">
        <f>'LEVEL 3'!G329</f>
        <v>9</v>
      </c>
      <c r="O324" s="413">
        <f>'LEVEL 3'!H329</f>
        <v>0</v>
      </c>
      <c r="P324" s="414">
        <f>'LEVEL 3'!I329</f>
        <v>0</v>
      </c>
      <c r="Q324" s="415">
        <f>'LEVEL 3'!J329</f>
        <v>0</v>
      </c>
      <c r="R324" s="416">
        <f>845042-R322-R325-R326</f>
        <v>247607.08666799424</v>
      </c>
      <c r="S324" s="259"/>
      <c r="U324" s="429">
        <f>R324-I324</f>
        <v>151710.48766151082</v>
      </c>
      <c r="W324" s="432">
        <f>IF(I324=0,0,U324/I324)</f>
        <v>1.5820215652408476</v>
      </c>
      <c r="Y324" s="504"/>
    </row>
    <row r="325" spans="1:25" hidden="1" outlineLevel="1">
      <c r="A325" s="518" t="s">
        <v>688</v>
      </c>
      <c r="B325" s="290"/>
      <c r="C325" s="483"/>
      <c r="D325" s="164" t="s">
        <v>689</v>
      </c>
      <c r="E325" s="216">
        <v>0.05</v>
      </c>
      <c r="F325" s="185"/>
      <c r="G325" s="216"/>
      <c r="H325" s="185"/>
      <c r="I325" s="217">
        <v>4794.8299503241715</v>
      </c>
      <c r="J325" s="259"/>
      <c r="L325" s="483"/>
      <c r="M325" s="164" t="str">
        <f>'LEVEL 3'!F330</f>
        <v>5% of GL Ins.</v>
      </c>
      <c r="N325" s="216">
        <f>'LEVEL 3'!G330</f>
        <v>0.05</v>
      </c>
      <c r="O325" s="185">
        <f>'LEVEL 3'!H330</f>
        <v>0</v>
      </c>
      <c r="P325" s="216">
        <f>'LEVEL 3'!I330</f>
        <v>0</v>
      </c>
      <c r="Q325" s="185">
        <f>'LEVEL 3'!J330</f>
        <v>0</v>
      </c>
      <c r="R325" s="217">
        <f>'LEVEL 3'!K330</f>
        <v>12879.007264324031</v>
      </c>
      <c r="S325" s="259"/>
      <c r="U325" s="429">
        <f>R325-I325</f>
        <v>8084.1773139998595</v>
      </c>
      <c r="W325" s="432">
        <f>IF(I325=0,0,U325/I325)</f>
        <v>1.6860196081517551</v>
      </c>
      <c r="Y325" s="504"/>
    </row>
    <row r="326" spans="1:25" hidden="1" outlineLevel="1">
      <c r="A326" s="518" t="s">
        <v>690</v>
      </c>
      <c r="B326" s="290"/>
      <c r="C326" s="483"/>
      <c r="D326" s="164" t="s">
        <v>691</v>
      </c>
      <c r="E326" s="216">
        <v>0.95</v>
      </c>
      <c r="F326" s="185"/>
      <c r="G326" s="216"/>
      <c r="H326" s="185"/>
      <c r="I326" s="217">
        <v>91101.769056159261</v>
      </c>
      <c r="J326" s="259"/>
      <c r="L326" s="483"/>
      <c r="M326" s="164" t="str">
        <f>'LEVEL 3'!F331</f>
        <v>95% of GL Ins.</v>
      </c>
      <c r="N326" s="216">
        <f>'LEVEL 3'!G331</f>
        <v>0.95</v>
      </c>
      <c r="O326" s="185">
        <f>'LEVEL 3'!H331</f>
        <v>0</v>
      </c>
      <c r="P326" s="216">
        <f>'LEVEL 3'!I331</f>
        <v>0</v>
      </c>
      <c r="Q326" s="185">
        <f>'LEVEL 3'!J331</f>
        <v>0</v>
      </c>
      <c r="R326" s="217">
        <f>'LEVEL 3'!K331</f>
        <v>244701.13802215658</v>
      </c>
      <c r="S326" s="259"/>
      <c r="U326" s="429">
        <f>R326-I326</f>
        <v>153599.3689659973</v>
      </c>
      <c r="W326" s="432">
        <f>IF(I326=0,0,U326/I326)</f>
        <v>1.6860196081517549</v>
      </c>
      <c r="Y326" s="504"/>
    </row>
    <row r="327" spans="1:25" collapsed="1">
      <c r="A327" s="509" t="s">
        <v>692</v>
      </c>
      <c r="B327" s="290"/>
      <c r="C327" s="479"/>
      <c r="D327" s="305"/>
      <c r="E327" s="306"/>
      <c r="F327" s="307"/>
      <c r="G327" s="308"/>
      <c r="H327" s="307"/>
      <c r="I327" s="421"/>
      <c r="J327" s="480">
        <f>I328+I329</f>
        <v>2266795</v>
      </c>
      <c r="L327" s="479"/>
      <c r="M327" s="305"/>
      <c r="N327" s="306"/>
      <c r="O327" s="307"/>
      <c r="P327" s="308"/>
      <c r="Q327" s="307"/>
      <c r="R327" s="421"/>
      <c r="S327" s="480">
        <f>'LEVEL 2 (Match)'!L327</f>
        <v>2256128</v>
      </c>
      <c r="U327" s="491">
        <f>S327-J327</f>
        <v>-10667</v>
      </c>
      <c r="W327" s="497">
        <f>IF(J327=0,0,U327/J327)</f>
        <v>-4.7057629825370184E-3</v>
      </c>
      <c r="Y327" s="504"/>
    </row>
    <row r="328" spans="1:25" hidden="1" outlineLevel="1">
      <c r="A328" s="508" t="s">
        <v>906</v>
      </c>
      <c r="B328" s="290"/>
      <c r="C328" s="478"/>
      <c r="D328" s="223"/>
      <c r="E328" s="427">
        <v>0.02</v>
      </c>
      <c r="F328" s="428"/>
      <c r="G328" s="302"/>
      <c r="H328" s="303"/>
      <c r="I328" s="304">
        <v>566699</v>
      </c>
      <c r="J328" s="259"/>
      <c r="L328" s="478"/>
      <c r="M328" s="223">
        <f>'LEVEL 3'!F333</f>
        <v>0</v>
      </c>
      <c r="N328" s="427">
        <f>'LEVEL 3'!G333</f>
        <v>0.02</v>
      </c>
      <c r="O328" s="428">
        <f>'LEVEL 3'!H333</f>
        <v>0</v>
      </c>
      <c r="P328" s="302">
        <f>'LEVEL 3'!I333</f>
        <v>0</v>
      </c>
      <c r="Q328" s="303">
        <f>'LEVEL 3'!J333</f>
        <v>0</v>
      </c>
      <c r="R328" s="304">
        <f>'LEVEL 2 (Match)'!K328</f>
        <v>564032</v>
      </c>
      <c r="S328" s="259"/>
      <c r="U328" s="429">
        <f>R328-I328</f>
        <v>-2667</v>
      </c>
      <c r="W328" s="432">
        <f>IF(I328=0,0,U328/I328)</f>
        <v>-4.7062020578825794E-3</v>
      </c>
      <c r="Y328" s="504"/>
    </row>
    <row r="329" spans="1:25" hidden="1" outlineLevel="1">
      <c r="A329" s="508" t="s">
        <v>692</v>
      </c>
      <c r="B329" s="290"/>
      <c r="C329" s="478"/>
      <c r="D329" s="223"/>
      <c r="E329" s="427">
        <v>0.06</v>
      </c>
      <c r="F329" s="428"/>
      <c r="G329" s="302"/>
      <c r="H329" s="303"/>
      <c r="I329" s="304">
        <v>1700096</v>
      </c>
      <c r="J329" s="259"/>
      <c r="L329" s="478"/>
      <c r="M329" s="223">
        <f>'LEVEL 3'!F334</f>
        <v>0</v>
      </c>
      <c r="N329" s="427">
        <f>'LEVEL 3'!G334</f>
        <v>0.06</v>
      </c>
      <c r="O329" s="428">
        <f>'LEVEL 3'!H334</f>
        <v>0</v>
      </c>
      <c r="P329" s="302">
        <f>'LEVEL 3'!I334</f>
        <v>0</v>
      </c>
      <c r="Q329" s="303">
        <f>'LEVEL 3'!J334</f>
        <v>0</v>
      </c>
      <c r="R329" s="304">
        <f>'LEVEL 2 (Match)'!K329</f>
        <v>1692096</v>
      </c>
      <c r="S329" s="259"/>
      <c r="U329" s="429">
        <f>R329-I329</f>
        <v>-8000</v>
      </c>
      <c r="W329" s="432">
        <f>IF(I329=0,0,U329/I329)</f>
        <v>-4.7056166240024089E-3</v>
      </c>
      <c r="Y329" s="504"/>
    </row>
    <row r="330" spans="1:25" ht="15.75" collapsed="1" thickBot="1">
      <c r="A330" s="519" t="s">
        <v>695</v>
      </c>
      <c r="B330" s="290"/>
      <c r="C330" s="488"/>
      <c r="D330" s="119"/>
      <c r="E330" s="119"/>
      <c r="F330" s="120"/>
      <c r="G330" s="121"/>
      <c r="H330" s="122"/>
      <c r="I330" s="122"/>
      <c r="J330" s="489">
        <f>SUM(J20:J329)</f>
        <v>33916914.676923081</v>
      </c>
      <c r="L330" s="488"/>
      <c r="M330" s="119"/>
      <c r="N330" s="119"/>
      <c r="O330" s="120"/>
      <c r="P330" s="121"/>
      <c r="Q330" s="122"/>
      <c r="R330" s="122"/>
      <c r="S330" s="489">
        <f>SUM(S20:S329)</f>
        <v>33460484.04434121</v>
      </c>
      <c r="U330" s="495">
        <f>S330-J330</f>
        <v>-456430.632581871</v>
      </c>
      <c r="W330" s="501">
        <f>IF(J330=0,0,U330/J330)</f>
        <v>-1.3457315823966276E-2</v>
      </c>
      <c r="Y330" s="505"/>
    </row>
    <row r="331" spans="1:25">
      <c r="B331" s="290"/>
      <c r="N331" s="219"/>
      <c r="O331" s="219"/>
      <c r="P331" s="316"/>
    </row>
  </sheetData>
  <mergeCells count="1">
    <mergeCell ref="A1:A18"/>
  </mergeCells>
  <conditionalFormatting sqref="A20:A330 L330:S330">
    <cfRule type="expression" dxfId="73" priority="24">
      <formula>MOD(ROW(),2)</formula>
    </cfRule>
  </conditionalFormatting>
  <conditionalFormatting sqref="C3:D12">
    <cfRule type="expression" dxfId="72" priority="8">
      <formula>MOD(ROW(),2)</formula>
    </cfRule>
  </conditionalFormatting>
  <conditionalFormatting sqref="C45:I49">
    <cfRule type="expression" dxfId="71" priority="4">
      <formula>MOD(ROW(),2)</formula>
    </cfRule>
  </conditionalFormatting>
  <conditionalFormatting sqref="C51:I58">
    <cfRule type="expression" dxfId="70" priority="3">
      <formula>MOD(ROW(),2)</formula>
    </cfRule>
  </conditionalFormatting>
  <conditionalFormatting sqref="C85:I99">
    <cfRule type="expression" dxfId="69" priority="2">
      <formula>MOD(ROW(),2)</formula>
    </cfRule>
  </conditionalFormatting>
  <conditionalFormatting sqref="C185:I185">
    <cfRule type="expression" dxfId="68" priority="1">
      <formula>MOD(ROW(),2)</formula>
    </cfRule>
  </conditionalFormatting>
  <conditionalFormatting sqref="C222:I258 C302:I303 C328:I329 C330:J330">
    <cfRule type="expression" dxfId="67" priority="5">
      <formula>MOD(ROW(),2)</formula>
    </cfRule>
  </conditionalFormatting>
  <conditionalFormatting sqref="C20:J20 C21:I21 C22:J22 C23:I23 C24:J24 C25:I33 C34:J35 C36:I43 C44:J44 C50:J50 C59:J59 C60:I71 C72:J72 C73:I83 C84:J84 C100:J100 C101:I136 C137:J137 C138:I153 C154:J154 C155:I155 C156:J156 C157:I164 C165:J165 C166:I168 C169:J169 C170:I170 C171:J171 C172:I173 C174:J174 C175:I177 C178:J178 C179:I183 C184:J184 C186:J186 C187:I202 C203:J203 C204:I206 C207:J207 C208:I210 C211:J211 C212:I220 C221:J221 C259:J259 C260:I275 C276:J276 C277:I277 C278:J278 C279:I281 C282:J282 C283:I291 C292:J292 C293:I300 C301:J301 C304:J304 C305:I318 C319:J319 C320:I320 C321:J321 C322:I322 C323:J323 C324:I326 C327:J327">
    <cfRule type="expression" dxfId="66" priority="6">
      <formula>MOD(ROW(),2)</formula>
    </cfRule>
  </conditionalFormatting>
  <conditionalFormatting sqref="H4:J8">
    <cfRule type="expression" dxfId="65" priority="22">
      <formula>MOD(ROW(),2)=0</formula>
    </cfRule>
  </conditionalFormatting>
  <conditionalFormatting sqref="H11:J17">
    <cfRule type="expression" dxfId="64" priority="10">
      <formula>MOD(ROW(),2)</formula>
    </cfRule>
  </conditionalFormatting>
  <conditionalFormatting sqref="H16:J16">
    <cfRule type="expression" dxfId="63" priority="11">
      <formula>MOD(ROW(),2)=0</formula>
    </cfRule>
  </conditionalFormatting>
  <conditionalFormatting sqref="L3:M12">
    <cfRule type="expression" dxfId="62" priority="9">
      <formula>MOD(ROW(),2)</formula>
    </cfRule>
  </conditionalFormatting>
  <conditionalFormatting sqref="L45:R49">
    <cfRule type="expression" dxfId="61" priority="28">
      <formula>MOD(ROW(),2)</formula>
    </cfRule>
  </conditionalFormatting>
  <conditionalFormatting sqref="L51:R58">
    <cfRule type="expression" dxfId="60" priority="27">
      <formula>MOD(ROW(),2)</formula>
    </cfRule>
  </conditionalFormatting>
  <conditionalFormatting sqref="L85:R99">
    <cfRule type="expression" dxfId="59" priority="26">
      <formula>MOD(ROW(),2)</formula>
    </cfRule>
  </conditionalFormatting>
  <conditionalFormatting sqref="L185:R185">
    <cfRule type="expression" dxfId="58" priority="25">
      <formula>MOD(ROW(),2)</formula>
    </cfRule>
  </conditionalFormatting>
  <conditionalFormatting sqref="L222:R258 L302:R303 L328:R329">
    <cfRule type="expression" dxfId="57" priority="29">
      <formula>MOD(ROW(),2)</formula>
    </cfRule>
  </conditionalFormatting>
  <conditionalFormatting sqref="L20:S20 L21:R21 L22:S22 L23:R23 L24:S24 L25:R33 L34:S35 L36:R43 L44:S44 L50:S50 L59:S59 L60:R71 L72:S72 L73:R83 L84:S84 L100:S100 L101:R136 L137:S137 L138:R153 L154:S154 L155:R155 L156:S156 L157:R164 L165:S165 L166:R168 L169:S169 L170:R170 L171:S171 L172:R173 L174:S174 L175:R177 L178:S178 L179:R183 L184:S184 L186:S186 L187:R202 L203:S203 L204:R206 L207:S207 L208:R210 L211:S211 L212:R220 L221:S221 L259:S259 L260:R275 L276:S276 L277:R277 L278:S278 L279:R281 L282:S282 L283:R291 L292:S292 L293:R300 L301:S301 L304:S304 L305:R318 L319:S319 L320:R320 L321:S321 L322:R322 L323:S323 L324:R326 L327:S327">
    <cfRule type="expression" dxfId="56" priority="31">
      <formula>MOD(ROW(),2)</formula>
    </cfRule>
  </conditionalFormatting>
  <conditionalFormatting sqref="Q4:S8">
    <cfRule type="expression" dxfId="55" priority="23">
      <formula>MOD(ROW(),2)=0</formula>
    </cfRule>
  </conditionalFormatting>
  <conditionalFormatting sqref="Q11:S17">
    <cfRule type="expression" dxfId="54" priority="12">
      <formula>MOD(ROW(),2)</formula>
    </cfRule>
  </conditionalFormatting>
  <conditionalFormatting sqref="Q16:S16">
    <cfRule type="expression" dxfId="53" priority="13">
      <formula>MOD(ROW(),2)=0</formula>
    </cfRule>
  </conditionalFormatting>
  <conditionalFormatting sqref="U20 U22 U24 U34:U35 U44 U50 U59 U72 U84 U100 U137 U154 U156 U165 U169 U171 U174 U178 U184 U186 U203 U207 U211 U221 U259 U276 U278 U282 U292 U301 U304 U319 U321 U323 U327">
    <cfRule type="expression" dxfId="52" priority="21">
      <formula>MOD(ROW(),2)</formula>
    </cfRule>
  </conditionalFormatting>
  <conditionalFormatting sqref="U20:U330">
    <cfRule type="cellIs" dxfId="51" priority="16" operator="lessThan">
      <formula>-$U$18</formula>
    </cfRule>
    <cfRule type="cellIs" dxfId="50" priority="17" operator="greaterThan">
      <formula>$U$18</formula>
    </cfRule>
  </conditionalFormatting>
  <conditionalFormatting sqref="U330">
    <cfRule type="expression" dxfId="49" priority="20">
      <formula>MOD(ROW(),2)</formula>
    </cfRule>
  </conditionalFormatting>
  <conditionalFormatting sqref="W20 W22 W24 W34:W35 W44 W50 W59 W72 W84 W100 W137 W154 W156 W165 W169 W171 W174 W178 W184 W186 W203 W207 W211 W221 W259 W276 W278 W282 W292 W301 W304 W319 W321 W323 W327">
    <cfRule type="expression" dxfId="48" priority="19">
      <formula>MOD(ROW(),2)</formula>
    </cfRule>
  </conditionalFormatting>
  <conditionalFormatting sqref="W20:W330">
    <cfRule type="cellIs" dxfId="47" priority="14" operator="lessThan">
      <formula>-$W$18</formula>
    </cfRule>
    <cfRule type="cellIs" dxfId="46" priority="15" operator="greaterThan">
      <formula>$W$18</formula>
    </cfRule>
  </conditionalFormatting>
  <conditionalFormatting sqref="W330">
    <cfRule type="expression" dxfId="45" priority="18">
      <formula>MOD(ROW(),2)</formula>
    </cfRule>
  </conditionalFormatting>
  <conditionalFormatting sqref="Y20:Y330">
    <cfRule type="expression" dxfId="44" priority="7">
      <formula>MOD(ROW(),2)</formula>
    </cfRule>
  </conditionalFormatting>
  <dataValidations count="2">
    <dataValidation type="list" allowBlank="1" showInputMessage="1" showErrorMessage="1" sqref="M4 D4" xr:uid="{82065EDA-46F3-4E50-B85F-172D6C4BF432}">
      <formula1>"Level 1, Level 2, Level 3"</formula1>
    </dataValidation>
    <dataValidation type="list" allowBlank="1" showInputMessage="1" showErrorMessage="1" sqref="M5 D5" xr:uid="{38786CCB-6E05-4294-B617-52106DFDB42C}">
      <formula1>"Urban, Market, Senior, Afforable"</formula1>
    </dataValidation>
  </dataValidations>
  <pageMargins left="0.1" right="0.1" top="0.75" bottom="0.25" header="0.15" footer="0"/>
  <pageSetup paperSize="3" scale="65" orientation="landscape" r:id="rId1"/>
  <headerFooter>
    <oddHeader>&amp;R&amp;G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8D190-BFFE-4408-85F3-68335BBB7EA0}">
  <dimension ref="A2:I36"/>
  <sheetViews>
    <sheetView workbookViewId="0">
      <selection activeCell="B29" sqref="B29"/>
    </sheetView>
  </sheetViews>
  <sheetFormatPr defaultColWidth="9.140625" defaultRowHeight="15"/>
  <cols>
    <col min="1" max="1" width="34.5703125" style="109" customWidth="1"/>
    <col min="2" max="3" width="32.140625" style="109" customWidth="1"/>
    <col min="4" max="4" width="4.140625" style="109" customWidth="1"/>
    <col min="5" max="6" width="17.42578125" style="109" customWidth="1"/>
    <col min="7" max="7" width="4.140625" style="109" customWidth="1"/>
    <col min="8" max="9" width="17.140625" style="109" customWidth="1"/>
    <col min="10" max="11" width="32.140625" style="109" customWidth="1"/>
    <col min="12" max="16384" width="9.140625" style="109"/>
  </cols>
  <sheetData>
    <row r="2" spans="1:9">
      <c r="E2" s="109" t="s">
        <v>10</v>
      </c>
      <c r="F2" s="109">
        <f>'LEVEL 3'!E8</f>
        <v>194</v>
      </c>
      <c r="H2" s="109" t="s">
        <v>991</v>
      </c>
      <c r="I2" s="236">
        <f>'LEVEL 3'!B8</f>
        <v>196289</v>
      </c>
    </row>
    <row r="3" spans="1:9" ht="15.75" thickBot="1">
      <c r="A3" s="140" t="s">
        <v>88</v>
      </c>
      <c r="B3" s="140" t="s">
        <v>992</v>
      </c>
      <c r="C3" s="140" t="s">
        <v>993</v>
      </c>
      <c r="E3" s="140" t="s">
        <v>992</v>
      </c>
      <c r="F3" s="140" t="s">
        <v>993</v>
      </c>
      <c r="H3" s="140" t="s">
        <v>992</v>
      </c>
      <c r="I3" s="140" t="s">
        <v>993</v>
      </c>
    </row>
    <row r="4" spans="1:9">
      <c r="A4" s="232" t="s">
        <v>101</v>
      </c>
      <c r="B4" s="233">
        <v>2175943.9</v>
      </c>
      <c r="C4" s="233">
        <v>2708450</v>
      </c>
      <c r="E4" s="233">
        <f t="shared" ref="E4:E36" si="0">B4/$F$2</f>
        <v>11216.205670103092</v>
      </c>
      <c r="F4" s="233">
        <f t="shared" ref="F4:F36" si="1">C4/$F$2</f>
        <v>13961.082474226803</v>
      </c>
      <c r="H4" s="233">
        <f t="shared" ref="H4:H36" si="2">B4/$I$2</f>
        <v>11.085409268986036</v>
      </c>
      <c r="I4" s="233">
        <f t="shared" ref="I4:I36" si="3">C4/$I$2</f>
        <v>13.798277030297164</v>
      </c>
    </row>
    <row r="5" spans="1:9">
      <c r="A5" s="234" t="s">
        <v>105</v>
      </c>
      <c r="B5" s="235">
        <v>12000</v>
      </c>
      <c r="C5" s="235">
        <v>17374</v>
      </c>
      <c r="E5" s="235">
        <f t="shared" si="0"/>
        <v>61.855670103092784</v>
      </c>
      <c r="F5" s="235">
        <f t="shared" si="1"/>
        <v>89.55670103092784</v>
      </c>
      <c r="H5" s="235">
        <f t="shared" si="2"/>
        <v>6.1134347823871941E-2</v>
      </c>
      <c r="I5" s="235">
        <f t="shared" si="3"/>
        <v>8.8512346590995925E-2</v>
      </c>
    </row>
    <row r="6" spans="1:9">
      <c r="A6" s="234" t="s">
        <v>111</v>
      </c>
      <c r="B6" s="235">
        <v>2933768.7</v>
      </c>
      <c r="C6" s="235">
        <v>2862222</v>
      </c>
      <c r="E6" s="235">
        <f t="shared" si="0"/>
        <v>15122.519072164949</v>
      </c>
      <c r="F6" s="235">
        <f t="shared" si="1"/>
        <v>14753.721649484536</v>
      </c>
      <c r="H6" s="235">
        <f t="shared" si="2"/>
        <v>14.946169678382386</v>
      </c>
      <c r="I6" s="235">
        <f t="shared" si="3"/>
        <v>14.5816729414282</v>
      </c>
    </row>
    <row r="7" spans="1:9">
      <c r="A7" s="234" t="s">
        <v>150</v>
      </c>
      <c r="B7" s="235">
        <v>205500</v>
      </c>
      <c r="C7" s="235">
        <v>365194</v>
      </c>
      <c r="E7" s="235">
        <f t="shared" si="0"/>
        <v>1059.2783505154639</v>
      </c>
      <c r="F7" s="235">
        <f t="shared" si="1"/>
        <v>1882.4432989690722</v>
      </c>
      <c r="H7" s="235">
        <f t="shared" si="2"/>
        <v>1.0469257064838071</v>
      </c>
      <c r="I7" s="235">
        <f t="shared" si="3"/>
        <v>1.8604914182659242</v>
      </c>
    </row>
    <row r="8" spans="1:9">
      <c r="A8" s="234" t="s">
        <v>162</v>
      </c>
      <c r="B8" s="235">
        <v>526095.76</v>
      </c>
      <c r="C8" s="235">
        <v>438859</v>
      </c>
      <c r="E8" s="235">
        <f t="shared" si="0"/>
        <v>2711.8338144329896</v>
      </c>
      <c r="F8" s="235">
        <f t="shared" si="1"/>
        <v>2262.1597938144332</v>
      </c>
      <c r="H8" s="235">
        <f t="shared" si="2"/>
        <v>2.6802100983753547</v>
      </c>
      <c r="I8" s="235">
        <f t="shared" si="3"/>
        <v>2.2357798959697179</v>
      </c>
    </row>
    <row r="9" spans="1:9">
      <c r="A9" s="234" t="s">
        <v>182</v>
      </c>
      <c r="B9" s="235">
        <v>10813330.880000001</v>
      </c>
      <c r="C9" s="235">
        <v>11191767</v>
      </c>
      <c r="E9" s="235">
        <f t="shared" si="0"/>
        <v>55738.81896907217</v>
      </c>
      <c r="F9" s="235">
        <f t="shared" si="1"/>
        <v>57689.5206185567</v>
      </c>
      <c r="H9" s="235">
        <f t="shared" si="2"/>
        <v>55.088827596044609</v>
      </c>
      <c r="I9" s="235">
        <f t="shared" si="3"/>
        <v>57.016781378477653</v>
      </c>
    </row>
    <row r="10" spans="1:9">
      <c r="A10" s="234" t="s">
        <v>208</v>
      </c>
      <c r="B10" s="235">
        <v>2357905.8099999996</v>
      </c>
      <c r="C10" s="235">
        <v>2147257</v>
      </c>
      <c r="E10" s="235">
        <f t="shared" si="0"/>
        <v>12154.153659793812</v>
      </c>
      <c r="F10" s="235">
        <f t="shared" si="1"/>
        <v>11068.335051546392</v>
      </c>
      <c r="H10" s="235">
        <f t="shared" si="2"/>
        <v>12.012419493705707</v>
      </c>
      <c r="I10" s="235">
        <f t="shared" si="3"/>
        <v>10.939263025436983</v>
      </c>
    </row>
    <row r="11" spans="1:9">
      <c r="A11" s="234" t="s">
        <v>232</v>
      </c>
      <c r="B11" s="235">
        <v>648077.10000000009</v>
      </c>
      <c r="C11" s="235">
        <v>968281</v>
      </c>
      <c r="E11" s="235">
        <f t="shared" si="0"/>
        <v>3340.6036082474234</v>
      </c>
      <c r="F11" s="235">
        <f t="shared" si="1"/>
        <v>4991.1391752577319</v>
      </c>
      <c r="H11" s="235">
        <f t="shared" si="2"/>
        <v>3.3016475706738539</v>
      </c>
      <c r="I11" s="235">
        <f t="shared" si="3"/>
        <v>4.9329356204372123</v>
      </c>
    </row>
    <row r="12" spans="1:9">
      <c r="A12" s="234" t="s">
        <v>262</v>
      </c>
      <c r="B12" s="235">
        <v>7174763.1638598926</v>
      </c>
      <c r="C12" s="235">
        <v>7630096</v>
      </c>
      <c r="E12" s="235">
        <f t="shared" si="0"/>
        <v>36983.31527762831</v>
      </c>
      <c r="F12" s="235">
        <f t="shared" si="1"/>
        <v>39330.391752577321</v>
      </c>
      <c r="H12" s="235">
        <f t="shared" si="2"/>
        <v>36.552038901109547</v>
      </c>
      <c r="I12" s="235">
        <f t="shared" si="3"/>
        <v>38.871745232794503</v>
      </c>
    </row>
    <row r="13" spans="1:9">
      <c r="A13" s="234" t="s">
        <v>340</v>
      </c>
      <c r="B13" s="235">
        <v>582625.36</v>
      </c>
      <c r="C13" s="235">
        <v>422978</v>
      </c>
      <c r="E13" s="235">
        <f t="shared" si="0"/>
        <v>3003.223505154639</v>
      </c>
      <c r="F13" s="235">
        <f t="shared" si="1"/>
        <v>2180.2989690721652</v>
      </c>
      <c r="H13" s="235">
        <f t="shared" si="2"/>
        <v>2.9682017841040507</v>
      </c>
      <c r="I13" s="235">
        <f t="shared" si="3"/>
        <v>2.1548736811538087</v>
      </c>
    </row>
    <row r="14" spans="1:9">
      <c r="A14" s="234" t="s">
        <v>378</v>
      </c>
      <c r="B14" s="235">
        <v>1290418</v>
      </c>
      <c r="C14" s="235">
        <v>1608724</v>
      </c>
      <c r="E14" s="235">
        <f t="shared" si="0"/>
        <v>6651.6391752577319</v>
      </c>
      <c r="F14" s="235">
        <f t="shared" si="1"/>
        <v>8292.3917525773195</v>
      </c>
      <c r="H14" s="235">
        <f t="shared" si="2"/>
        <v>6.574071904182099</v>
      </c>
      <c r="I14" s="235">
        <f t="shared" si="3"/>
        <v>8.1956910473842139</v>
      </c>
    </row>
    <row r="15" spans="1:9">
      <c r="A15" s="234" t="s">
        <v>382</v>
      </c>
      <c r="B15" s="235">
        <v>1990135.5686000001</v>
      </c>
      <c r="C15" s="235">
        <v>4165522</v>
      </c>
      <c r="E15" s="235">
        <f t="shared" si="0"/>
        <v>10258.430765979381</v>
      </c>
      <c r="F15" s="235">
        <f t="shared" si="1"/>
        <v>21471.762886597939</v>
      </c>
      <c r="H15" s="235">
        <f t="shared" si="2"/>
        <v>10.138803338954297</v>
      </c>
      <c r="I15" s="235">
        <f t="shared" si="3"/>
        <v>21.221372567999225</v>
      </c>
    </row>
    <row r="16" spans="1:9">
      <c r="A16" s="234" t="s">
        <v>402</v>
      </c>
      <c r="B16" s="235">
        <v>1156153.5107999998</v>
      </c>
      <c r="C16" s="235">
        <v>555046</v>
      </c>
      <c r="E16" s="235">
        <f t="shared" si="0"/>
        <v>5959.5541793814427</v>
      </c>
      <c r="F16" s="235">
        <f t="shared" si="1"/>
        <v>2861.0618556701029</v>
      </c>
      <c r="H16" s="235">
        <f t="shared" si="2"/>
        <v>5.8900575722531565</v>
      </c>
      <c r="I16" s="235">
        <f t="shared" si="3"/>
        <v>2.8276979351874023</v>
      </c>
    </row>
    <row r="17" spans="1:9">
      <c r="A17" s="234" t="s">
        <v>412</v>
      </c>
      <c r="B17" s="235">
        <v>565396</v>
      </c>
      <c r="C17" s="235">
        <v>1023652</v>
      </c>
      <c r="E17" s="235">
        <f t="shared" si="0"/>
        <v>2914.4123711340208</v>
      </c>
      <c r="F17" s="235">
        <f t="shared" si="1"/>
        <v>5276.5567010309278</v>
      </c>
      <c r="H17" s="235">
        <f t="shared" si="2"/>
        <v>2.8804263101854919</v>
      </c>
      <c r="I17" s="235">
        <f t="shared" si="3"/>
        <v>5.2150247848835134</v>
      </c>
    </row>
    <row r="18" spans="1:9">
      <c r="A18" s="234" t="s">
        <v>419</v>
      </c>
      <c r="B18" s="235">
        <v>1217096.6100000001</v>
      </c>
      <c r="C18" s="235">
        <v>1685532</v>
      </c>
      <c r="E18" s="235">
        <f t="shared" si="0"/>
        <v>6273.6938659793823</v>
      </c>
      <c r="F18" s="235">
        <f t="shared" si="1"/>
        <v>8688.3092783505163</v>
      </c>
      <c r="H18" s="235">
        <f t="shared" si="2"/>
        <v>6.2005339575829526</v>
      </c>
      <c r="I18" s="235">
        <f t="shared" si="3"/>
        <v>8.5869916296888764</v>
      </c>
    </row>
    <row r="19" spans="1:9">
      <c r="A19" s="234" t="s">
        <v>427</v>
      </c>
      <c r="B19" s="235">
        <v>4681770.43624161</v>
      </c>
      <c r="C19" s="235">
        <v>7168519</v>
      </c>
      <c r="E19" s="235">
        <f t="shared" si="0"/>
        <v>24132.837300214484</v>
      </c>
      <c r="F19" s="235">
        <f t="shared" si="1"/>
        <v>36951.128865979379</v>
      </c>
      <c r="H19" s="235">
        <f t="shared" si="2"/>
        <v>23.851415190059605</v>
      </c>
      <c r="I19" s="235">
        <f t="shared" si="3"/>
        <v>36.520227827336221</v>
      </c>
    </row>
    <row r="20" spans="1:9">
      <c r="A20" s="234" t="s">
        <v>437</v>
      </c>
      <c r="B20" s="235">
        <v>4309171.9000000004</v>
      </c>
      <c r="C20" s="235">
        <v>3929427</v>
      </c>
      <c r="E20" s="235">
        <f t="shared" si="0"/>
        <v>22212.226288659796</v>
      </c>
      <c r="F20" s="235">
        <f t="shared" si="1"/>
        <v>20254.778350515466</v>
      </c>
      <c r="H20" s="235">
        <f t="shared" si="2"/>
        <v>21.953201147287931</v>
      </c>
      <c r="I20" s="235">
        <f t="shared" si="3"/>
        <v>20.018579747209472</v>
      </c>
    </row>
    <row r="21" spans="1:9">
      <c r="A21" s="234" t="s">
        <v>442</v>
      </c>
      <c r="B21" s="235">
        <v>4584539.97</v>
      </c>
      <c r="C21" s="235">
        <v>4915143</v>
      </c>
      <c r="E21" s="235">
        <f t="shared" si="0"/>
        <v>23631.649329896907</v>
      </c>
      <c r="F21" s="235">
        <f t="shared" si="1"/>
        <v>25335.788659793816</v>
      </c>
      <c r="H21" s="235">
        <f t="shared" si="2"/>
        <v>23.356071761535286</v>
      </c>
      <c r="I21" s="235">
        <f t="shared" si="3"/>
        <v>25.040338480505785</v>
      </c>
    </row>
    <row r="22" spans="1:9">
      <c r="A22" s="234" t="s">
        <v>475</v>
      </c>
      <c r="B22" s="235">
        <v>260127.49</v>
      </c>
      <c r="C22" s="235">
        <v>231</v>
      </c>
      <c r="E22" s="235">
        <f t="shared" si="0"/>
        <v>1340.8633505154639</v>
      </c>
      <c r="F22" s="235">
        <f t="shared" si="1"/>
        <v>1.1907216494845361</v>
      </c>
      <c r="H22" s="235">
        <f t="shared" si="2"/>
        <v>1.3252270376842308</v>
      </c>
      <c r="I22" s="235">
        <f t="shared" si="3"/>
        <v>1.176836195609535E-3</v>
      </c>
    </row>
    <row r="23" spans="1:9">
      <c r="A23" s="234" t="s">
        <v>485</v>
      </c>
      <c r="B23" s="235">
        <v>1177692</v>
      </c>
      <c r="C23" s="235"/>
      <c r="E23" s="235">
        <f t="shared" si="0"/>
        <v>6070.5773195876291</v>
      </c>
      <c r="F23" s="235">
        <f t="shared" si="1"/>
        <v>0</v>
      </c>
      <c r="H23" s="235">
        <f t="shared" si="2"/>
        <v>5.9997860297826167</v>
      </c>
      <c r="I23" s="235">
        <f t="shared" si="3"/>
        <v>0</v>
      </c>
    </row>
    <row r="24" spans="1:9">
      <c r="A24" s="234" t="s">
        <v>493</v>
      </c>
      <c r="B24" s="235">
        <v>2238333.5559</v>
      </c>
      <c r="C24" s="235"/>
      <c r="E24" s="235">
        <f t="shared" si="0"/>
        <v>11537.801834536083</v>
      </c>
      <c r="F24" s="235">
        <f t="shared" si="1"/>
        <v>0</v>
      </c>
      <c r="H24" s="235">
        <f t="shared" si="2"/>
        <v>11.403255179352893</v>
      </c>
      <c r="I24" s="235">
        <f t="shared" si="3"/>
        <v>0</v>
      </c>
    </row>
    <row r="25" spans="1:9">
      <c r="A25" s="234" t="s">
        <v>514</v>
      </c>
      <c r="B25" s="235">
        <v>7660331.216</v>
      </c>
      <c r="C25" s="235"/>
      <c r="E25" s="235">
        <f t="shared" si="0"/>
        <v>39486.243381443302</v>
      </c>
      <c r="F25" s="235">
        <f t="shared" si="1"/>
        <v>0</v>
      </c>
      <c r="H25" s="235">
        <f t="shared" si="2"/>
        <v>39.025779417083996</v>
      </c>
      <c r="I25" s="235">
        <f t="shared" si="3"/>
        <v>0</v>
      </c>
    </row>
    <row r="26" spans="1:9">
      <c r="A26" s="234" t="s">
        <v>582</v>
      </c>
      <c r="B26" s="235">
        <v>5948000.115384616</v>
      </c>
      <c r="C26" s="235"/>
      <c r="E26" s="235">
        <f t="shared" si="0"/>
        <v>30659.79440919905</v>
      </c>
      <c r="F26" s="235">
        <f t="shared" si="1"/>
        <v>0</v>
      </c>
      <c r="H26" s="235">
        <f t="shared" si="2"/>
        <v>30.302258992529463</v>
      </c>
      <c r="I26" s="235">
        <f t="shared" si="3"/>
        <v>0</v>
      </c>
    </row>
    <row r="27" spans="1:9">
      <c r="A27" s="234" t="s">
        <v>609</v>
      </c>
      <c r="B27" s="235">
        <v>15000</v>
      </c>
      <c r="C27" s="235"/>
      <c r="E27" s="235">
        <f t="shared" si="0"/>
        <v>77.319587628865975</v>
      </c>
      <c r="F27" s="235">
        <f t="shared" si="1"/>
        <v>0</v>
      </c>
      <c r="H27" s="235">
        <f t="shared" si="2"/>
        <v>7.6417934779839936E-2</v>
      </c>
      <c r="I27" s="235">
        <f t="shared" si="3"/>
        <v>0</v>
      </c>
    </row>
    <row r="28" spans="1:9">
      <c r="A28" s="234" t="s">
        <v>613</v>
      </c>
      <c r="B28" s="235">
        <v>445775</v>
      </c>
      <c r="C28" s="235"/>
      <c r="E28" s="235">
        <f t="shared" si="0"/>
        <v>2297.8092783505153</v>
      </c>
      <c r="F28" s="235">
        <f t="shared" si="1"/>
        <v>0</v>
      </c>
      <c r="H28" s="235">
        <f t="shared" si="2"/>
        <v>2.2710136584322096</v>
      </c>
      <c r="I28" s="235">
        <f t="shared" si="3"/>
        <v>0</v>
      </c>
    </row>
    <row r="29" spans="1:9">
      <c r="A29" s="234" t="s">
        <v>621</v>
      </c>
      <c r="B29" s="235">
        <v>427358.97360000003</v>
      </c>
      <c r="C29" s="235"/>
      <c r="E29" s="235">
        <f t="shared" si="0"/>
        <v>2202.8813072164949</v>
      </c>
      <c r="F29" s="235">
        <f t="shared" si="1"/>
        <v>0</v>
      </c>
      <c r="H29" s="235">
        <f t="shared" si="2"/>
        <v>2.1771926781429425</v>
      </c>
      <c r="I29" s="235">
        <f t="shared" si="3"/>
        <v>0</v>
      </c>
    </row>
    <row r="30" spans="1:9">
      <c r="A30" s="234" t="s">
        <v>644</v>
      </c>
      <c r="B30" s="235">
        <v>1264427.3424077227</v>
      </c>
      <c r="C30" s="235"/>
      <c r="E30" s="235">
        <f t="shared" si="0"/>
        <v>6517.6667134418694</v>
      </c>
      <c r="F30" s="235">
        <f t="shared" si="1"/>
        <v>0</v>
      </c>
      <c r="H30" s="235">
        <f t="shared" si="2"/>
        <v>6.441661745730646</v>
      </c>
      <c r="I30" s="235">
        <f t="shared" si="3"/>
        <v>0</v>
      </c>
    </row>
    <row r="31" spans="1:9">
      <c r="A31" s="234" t="s">
        <v>645</v>
      </c>
      <c r="B31" s="235">
        <v>1498772</v>
      </c>
      <c r="C31" s="235"/>
      <c r="E31" s="235">
        <f t="shared" si="0"/>
        <v>7725.6288659793818</v>
      </c>
      <c r="F31" s="235">
        <f t="shared" si="1"/>
        <v>0</v>
      </c>
      <c r="H31" s="235">
        <f t="shared" si="2"/>
        <v>7.6355373963900171</v>
      </c>
      <c r="I31" s="235">
        <f t="shared" si="3"/>
        <v>0</v>
      </c>
    </row>
    <row r="32" spans="1:9">
      <c r="A32" s="234" t="s">
        <v>677</v>
      </c>
      <c r="B32" s="235">
        <v>3333086.9181396924</v>
      </c>
      <c r="C32" s="235"/>
      <c r="E32" s="235">
        <f t="shared" si="0"/>
        <v>17180.86040278192</v>
      </c>
      <c r="F32" s="235">
        <f t="shared" si="1"/>
        <v>0</v>
      </c>
      <c r="H32" s="235">
        <f t="shared" si="2"/>
        <v>16.980507915062447</v>
      </c>
      <c r="I32" s="235">
        <f t="shared" si="3"/>
        <v>0</v>
      </c>
    </row>
    <row r="33" spans="1:9">
      <c r="A33" s="234" t="s">
        <v>680</v>
      </c>
      <c r="B33" s="235">
        <v>821877.77256501967</v>
      </c>
      <c r="C33" s="235"/>
      <c r="E33" s="235">
        <f t="shared" si="0"/>
        <v>4236.4833637372149</v>
      </c>
      <c r="F33" s="235">
        <f t="shared" si="1"/>
        <v>0</v>
      </c>
      <c r="H33" s="235">
        <f t="shared" si="2"/>
        <v>4.1870801347249191</v>
      </c>
      <c r="I33" s="235">
        <f t="shared" si="3"/>
        <v>0</v>
      </c>
    </row>
    <row r="34" spans="1:9">
      <c r="A34" s="234" t="s">
        <v>684</v>
      </c>
      <c r="B34" s="235">
        <v>438231.77882420126</v>
      </c>
      <c r="C34" s="235"/>
      <c r="E34" s="235">
        <f t="shared" si="0"/>
        <v>2258.9266949701096</v>
      </c>
      <c r="F34" s="235">
        <f t="shared" si="1"/>
        <v>0</v>
      </c>
      <c r="H34" s="235">
        <f t="shared" si="2"/>
        <v>2.2325844995094033</v>
      </c>
      <c r="I34" s="235">
        <f t="shared" si="3"/>
        <v>0</v>
      </c>
    </row>
    <row r="35" spans="1:9">
      <c r="A35" s="234" t="s">
        <v>692</v>
      </c>
      <c r="B35" s="235">
        <v>5820296.5465858225</v>
      </c>
      <c r="C35" s="235"/>
      <c r="E35" s="235">
        <f t="shared" si="0"/>
        <v>30001.52859064857</v>
      </c>
      <c r="F35" s="235">
        <f t="shared" si="1"/>
        <v>0</v>
      </c>
      <c r="H35" s="235">
        <f t="shared" si="2"/>
        <v>29.651669459754864</v>
      </c>
      <c r="I35" s="235">
        <f t="shared" si="3"/>
        <v>0</v>
      </c>
    </row>
    <row r="36" spans="1:9" ht="15.75" thickBot="1">
      <c r="A36" s="118" t="s">
        <v>695</v>
      </c>
      <c r="B36" s="123">
        <v>78574003.378908589</v>
      </c>
      <c r="C36" s="123"/>
      <c r="E36" s="123">
        <f t="shared" si="0"/>
        <v>405020.63597375562</v>
      </c>
      <c r="F36" s="123">
        <f t="shared" si="1"/>
        <v>0</v>
      </c>
      <c r="H36" s="123">
        <f t="shared" si="2"/>
        <v>400.2975377066906</v>
      </c>
      <c r="I36" s="123">
        <f t="shared" si="3"/>
        <v>0</v>
      </c>
    </row>
  </sheetData>
  <conditionalFormatting sqref="A4:C36">
    <cfRule type="expression" dxfId="43" priority="7">
      <formula>MOD(ROW(),2)</formula>
    </cfRule>
  </conditionalFormatting>
  <conditionalFormatting sqref="E4:F36">
    <cfRule type="expression" dxfId="42" priority="5">
      <formula>MOD(ROW(),2)</formula>
    </cfRule>
  </conditionalFormatting>
  <conditionalFormatting sqref="H4:I36">
    <cfRule type="expression" dxfId="41" priority="1">
      <formula>MOD(ROW(),2)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078D-0DFE-4D60-AA29-CEE535461AFA}">
  <dimension ref="A1:AA312"/>
  <sheetViews>
    <sheetView showGridLines="0" topLeftCell="A282" workbookViewId="0">
      <selection activeCell="M316" sqref="M316"/>
    </sheetView>
  </sheetViews>
  <sheetFormatPr defaultRowHeight="15"/>
  <cols>
    <col min="1" max="1" width="38.85546875" bestFit="1" customWidth="1"/>
    <col min="2" max="2" width="10.140625" bestFit="1" customWidth="1"/>
    <col min="3" max="3" width="11.140625" bestFit="1" customWidth="1"/>
    <col min="4" max="4" width="2.28515625" customWidth="1"/>
    <col min="5" max="5" width="10.140625" bestFit="1" customWidth="1"/>
    <col min="6" max="6" width="11.140625" bestFit="1" customWidth="1"/>
    <col min="7" max="7" width="1.85546875" customWidth="1"/>
    <col min="8" max="8" width="10.140625" bestFit="1" customWidth="1"/>
    <col min="9" max="9" width="11.140625" bestFit="1" customWidth="1"/>
    <col min="11" max="11" width="10.140625" bestFit="1" customWidth="1"/>
    <col min="12" max="12" width="11.140625" bestFit="1" customWidth="1"/>
    <col min="13" max="13" width="2.28515625" customWidth="1"/>
    <col min="14" max="14" width="10.140625" bestFit="1" customWidth="1"/>
    <col min="15" max="15" width="11.140625" bestFit="1" customWidth="1"/>
    <col min="16" max="16" width="1.85546875" customWidth="1"/>
    <col min="17" max="17" width="10.140625" bestFit="1" customWidth="1"/>
    <col min="18" max="18" width="11.140625" bestFit="1" customWidth="1"/>
    <col min="20" max="20" width="10.140625" bestFit="1" customWidth="1"/>
    <col min="21" max="21" width="11.140625" bestFit="1" customWidth="1"/>
    <col min="22" max="22" width="2.28515625" customWidth="1"/>
    <col min="23" max="23" width="10.140625" bestFit="1" customWidth="1"/>
    <col min="24" max="24" width="11.140625" bestFit="1" customWidth="1"/>
    <col min="25" max="25" width="1.85546875" customWidth="1"/>
    <col min="26" max="26" width="10.140625" bestFit="1" customWidth="1"/>
    <col min="27" max="27" width="11.140625" bestFit="1" customWidth="1"/>
  </cols>
  <sheetData>
    <row r="1" spans="1:27">
      <c r="B1" s="189" t="s">
        <v>44</v>
      </c>
      <c r="C1" s="189"/>
      <c r="D1" s="189"/>
      <c r="E1" s="189"/>
      <c r="F1" s="189"/>
      <c r="G1" s="189"/>
      <c r="H1" s="189"/>
      <c r="I1" s="189"/>
      <c r="K1" s="190" t="s">
        <v>50</v>
      </c>
      <c r="L1" s="190"/>
      <c r="M1" s="190"/>
      <c r="N1" s="190"/>
      <c r="O1" s="190"/>
      <c r="P1" s="190"/>
      <c r="Q1" s="190"/>
      <c r="R1" s="190"/>
      <c r="T1" s="188" t="s">
        <v>994</v>
      </c>
      <c r="U1" s="188"/>
      <c r="V1" s="188"/>
      <c r="W1" s="188"/>
      <c r="X1" s="188"/>
      <c r="Y1" s="188"/>
      <c r="Z1" s="188"/>
      <c r="AA1" s="188"/>
    </row>
    <row r="3" spans="1:27" ht="15.75" thickBot="1">
      <c r="B3" s="186" t="s">
        <v>995</v>
      </c>
      <c r="C3" s="144"/>
      <c r="E3" s="186" t="s">
        <v>996</v>
      </c>
      <c r="F3" s="144"/>
      <c r="H3" s="186" t="s">
        <v>997</v>
      </c>
      <c r="I3" s="144"/>
      <c r="K3" s="186" t="s">
        <v>995</v>
      </c>
      <c r="L3" s="144"/>
      <c r="N3" s="186" t="s">
        <v>996</v>
      </c>
      <c r="O3" s="144"/>
      <c r="Q3" s="186" t="s">
        <v>997</v>
      </c>
      <c r="R3" s="144"/>
      <c r="T3" s="186" t="s">
        <v>995</v>
      </c>
      <c r="U3" s="144"/>
      <c r="W3" s="186" t="s">
        <v>996</v>
      </c>
      <c r="X3" s="144"/>
      <c r="Z3" s="186" t="s">
        <v>997</v>
      </c>
      <c r="AA3" s="144"/>
    </row>
    <row r="4" spans="1:27" ht="15.75" thickBot="1">
      <c r="A4" s="140" t="s">
        <v>88</v>
      </c>
      <c r="B4" s="141" t="s">
        <v>98</v>
      </c>
      <c r="C4" s="140" t="s">
        <v>99</v>
      </c>
      <c r="E4" s="141" t="s">
        <v>98</v>
      </c>
      <c r="F4" s="140" t="s">
        <v>99</v>
      </c>
      <c r="H4" s="141" t="s">
        <v>98</v>
      </c>
      <c r="I4" s="140" t="s">
        <v>99</v>
      </c>
      <c r="K4" s="141" t="s">
        <v>98</v>
      </c>
      <c r="L4" s="140" t="s">
        <v>99</v>
      </c>
      <c r="N4" s="141" t="s">
        <v>98</v>
      </c>
      <c r="O4" s="140" t="s">
        <v>99</v>
      </c>
      <c r="Q4" s="141" t="s">
        <v>98</v>
      </c>
      <c r="R4" s="140" t="s">
        <v>99</v>
      </c>
      <c r="T4" s="141" t="s">
        <v>98</v>
      </c>
      <c r="U4" s="140" t="s">
        <v>99</v>
      </c>
      <c r="W4" s="141" t="s">
        <v>98</v>
      </c>
      <c r="X4" s="140" t="s">
        <v>99</v>
      </c>
      <c r="Z4" s="141" t="s">
        <v>98</v>
      </c>
      <c r="AA4" s="140" t="s">
        <v>99</v>
      </c>
    </row>
    <row r="5" spans="1:27">
      <c r="A5" s="30" t="s">
        <v>101</v>
      </c>
      <c r="B5" s="47"/>
      <c r="C5" s="101">
        <f>B6</f>
        <v>2008563.5999999999</v>
      </c>
      <c r="E5" s="47"/>
      <c r="F5" s="101">
        <f>E6</f>
        <v>1674318</v>
      </c>
      <c r="H5" s="47"/>
      <c r="I5" s="101">
        <f>H6</f>
        <v>3682881.5999999996</v>
      </c>
      <c r="K5" s="47"/>
      <c r="L5" s="101">
        <f>C5/'Scenario 1 - Phase 1'!$E$8</f>
        <v>5788.3677233429389</v>
      </c>
      <c r="N5" s="47"/>
      <c r="O5" s="101">
        <f>F5/'LEVEL 3'!$E$8</f>
        <v>8630.5051546391751</v>
      </c>
      <c r="Q5" s="47"/>
      <c r="R5" s="101">
        <f>I5/('Scenario 1 - Phase 1'!$E$8+'LEVEL 3'!$E$8)</f>
        <v>6807.5445471349349</v>
      </c>
      <c r="T5" s="47"/>
      <c r="U5" s="198">
        <f>C5/'Scenario 1 - Phase 1'!$B$8</f>
        <v>6.4554563511194241</v>
      </c>
      <c r="V5" s="199"/>
      <c r="W5" s="200"/>
      <c r="X5" s="198">
        <f>F5/'LEVEL 3'!$B$8</f>
        <v>8.5298615816474683</v>
      </c>
      <c r="Z5" s="47"/>
      <c r="AA5" s="198">
        <f>I5/('Scenario 1 - Phase 1'!$B$8+'LEVEL 3'!$B$8)</f>
        <v>7.2578963445276292</v>
      </c>
    </row>
    <row r="6" spans="1:27">
      <c r="A6" s="32" t="s">
        <v>101</v>
      </c>
      <c r="B6" s="53">
        <f>'Scenario 1 - Phase 1'!K21</f>
        <v>2008563.5999999999</v>
      </c>
      <c r="C6" s="1"/>
      <c r="E6" s="53">
        <f>'LEVEL 3'!K21</f>
        <v>1674318</v>
      </c>
      <c r="F6" s="1"/>
      <c r="H6" s="53">
        <f>B6+E6</f>
        <v>3682881.5999999996</v>
      </c>
      <c r="I6" s="1"/>
      <c r="K6" s="53">
        <f>B6/'Scenario 1 - Phase 1'!$E$8</f>
        <v>5788.3677233429389</v>
      </c>
      <c r="L6" s="1"/>
      <c r="N6" s="53">
        <f>E6/'LEVEL 3'!$E$8</f>
        <v>8630.5051546391751</v>
      </c>
      <c r="O6" s="1"/>
      <c r="Q6" s="53">
        <f>H6/('Scenario 1 - Phase 1'!$E$8+'LEVEL 3'!$E$8)</f>
        <v>6807.5445471349349</v>
      </c>
      <c r="R6" s="1"/>
      <c r="T6" s="191">
        <f>B6/'Scenario 1 - Phase 1'!$B$8</f>
        <v>6.4554563511194241</v>
      </c>
      <c r="U6" s="1"/>
      <c r="W6" s="191">
        <f>E6/'LEVEL 3'!$B$8</f>
        <v>8.5298615816474683</v>
      </c>
      <c r="X6" s="1"/>
      <c r="Z6" s="191">
        <f>H6/('Scenario 1 - Phase 1'!$B$8+'LEVEL 3'!$B$8)</f>
        <v>7.2578963445276292</v>
      </c>
      <c r="AA6" s="1"/>
    </row>
    <row r="7" spans="1:27">
      <c r="A7" s="33" t="s">
        <v>105</v>
      </c>
      <c r="B7" s="59"/>
      <c r="C7" s="102">
        <f>B8</f>
        <v>8000</v>
      </c>
      <c r="E7" s="59"/>
      <c r="F7" s="102">
        <f>E8</f>
        <v>3500</v>
      </c>
      <c r="H7" s="59"/>
      <c r="I7" s="102">
        <f>H8</f>
        <v>11500</v>
      </c>
      <c r="K7" s="59"/>
      <c r="L7" s="102">
        <f>K8</f>
        <v>23.054755043227665</v>
      </c>
      <c r="N7" s="59"/>
      <c r="O7" s="102">
        <f>N8</f>
        <v>18.041237113402062</v>
      </c>
      <c r="Q7" s="59"/>
      <c r="R7" s="102">
        <f>Q8</f>
        <v>21.256931608133087</v>
      </c>
      <c r="T7" s="59"/>
      <c r="U7" s="201">
        <f>C7/'Scenario 1 - Phase 1'!$B$8</f>
        <v>2.5711732906518566E-2</v>
      </c>
      <c r="V7" s="199"/>
      <c r="W7" s="202"/>
      <c r="X7" s="201">
        <f>F7/'LEVEL 3'!$B$8</f>
        <v>1.7830851448629316E-2</v>
      </c>
      <c r="Y7" s="199"/>
      <c r="Z7" s="202"/>
      <c r="AA7" s="201">
        <f>I7/('Scenario 1 - Phase 1'!$B$8+'LEVEL 3'!$B$8)</f>
        <v>2.2663179821492973E-2</v>
      </c>
    </row>
    <row r="8" spans="1:27">
      <c r="A8" s="34" t="s">
        <v>107</v>
      </c>
      <c r="B8" s="65">
        <f>'Scenario 1 - Phase 1'!K23</f>
        <v>8000</v>
      </c>
      <c r="C8" s="1"/>
      <c r="E8" s="65">
        <f>'LEVEL 3'!K23</f>
        <v>3500</v>
      </c>
      <c r="F8" s="1"/>
      <c r="H8" s="65">
        <f>B8+E8</f>
        <v>11500</v>
      </c>
      <c r="I8" s="1"/>
      <c r="K8" s="65">
        <f>B8/'Scenario 1 - Phase 1'!$E$8</f>
        <v>23.054755043227665</v>
      </c>
      <c r="L8" s="1"/>
      <c r="N8" s="65">
        <f>E8/'LEVEL 3'!$E$8</f>
        <v>18.041237113402062</v>
      </c>
      <c r="O8" s="1"/>
      <c r="Q8" s="65">
        <f>H8/('Scenario 1 - Phase 1'!$E$8+'LEVEL 3'!$E$8)</f>
        <v>21.256931608133087</v>
      </c>
      <c r="R8" s="1"/>
      <c r="T8" s="192">
        <f>B8/'Scenario 1 - Phase 1'!$B$8</f>
        <v>2.5711732906518566E-2</v>
      </c>
      <c r="U8" s="193"/>
      <c r="V8" s="194"/>
      <c r="W8" s="192">
        <f>E8/'LEVEL 3'!$B$8</f>
        <v>1.7830851448629316E-2</v>
      </c>
      <c r="X8" s="193"/>
      <c r="Y8" s="194"/>
      <c r="Z8" s="192">
        <f>H8/('Scenario 1 - Phase 1'!$B$8+'LEVEL 3'!$B$8)</f>
        <v>2.2663179821492973E-2</v>
      </c>
      <c r="AA8" s="1"/>
    </row>
    <row r="9" spans="1:27">
      <c r="A9" s="33" t="s">
        <v>111</v>
      </c>
      <c r="B9" s="59"/>
      <c r="C9" s="102">
        <f>SUM(B10:B19)</f>
        <v>1975170.0200000003</v>
      </c>
      <c r="E9" s="59"/>
      <c r="F9" s="102">
        <f>SUM(E10:E19)</f>
        <v>1089279.82</v>
      </c>
      <c r="H9" s="59"/>
      <c r="I9" s="102">
        <f>SUM(H10:H19)</f>
        <v>3064449.8400000003</v>
      </c>
      <c r="K9" s="59"/>
      <c r="L9" s="102">
        <f>SUM(K10:K19)</f>
        <v>5692.132622478387</v>
      </c>
      <c r="N9" s="59"/>
      <c r="O9" s="102">
        <f>SUM(N10:N19)</f>
        <v>5614.8444329896911</v>
      </c>
      <c r="Q9" s="59"/>
      <c r="R9" s="102">
        <f>SUM(Q10:Q19)</f>
        <v>5664.417449168207</v>
      </c>
      <c r="T9" s="59"/>
      <c r="U9" s="201">
        <f>C9/'Scenario 1 - Phase 1'!$B$8</f>
        <v>6.3481304999003676</v>
      </c>
      <c r="V9" s="199"/>
      <c r="W9" s="202"/>
      <c r="X9" s="201">
        <f>F9/'LEVEL 3'!$B$8</f>
        <v>5.5493676161170526</v>
      </c>
      <c r="Y9" s="199"/>
      <c r="Z9" s="202"/>
      <c r="AA9" s="201">
        <f>I9/('Scenario 1 - Phase 1'!$B$8+'LEVEL 3'!$B$8)</f>
        <v>6.0391458937274241</v>
      </c>
    </row>
    <row r="10" spans="1:27">
      <c r="A10" s="35" t="s">
        <v>113</v>
      </c>
      <c r="B10" s="71">
        <f>'Scenario 1 - Phase 1'!K25</f>
        <v>1243530.8600000001</v>
      </c>
      <c r="C10" s="1"/>
      <c r="E10" s="71">
        <f>'LEVEL 3'!K25</f>
        <v>576982.78</v>
      </c>
      <c r="F10" s="1"/>
      <c r="H10" s="71">
        <f t="shared" ref="H10:H19" si="0">B10+E10</f>
        <v>1820513.6400000001</v>
      </c>
      <c r="I10" s="1"/>
      <c r="K10" s="71">
        <f>B10/'Scenario 1 - Phase 1'!$E$8</f>
        <v>3583.66242074928</v>
      </c>
      <c r="L10" s="1"/>
      <c r="N10" s="71">
        <f>E10/'LEVEL 3'!$E$8</f>
        <v>2974.1380412371136</v>
      </c>
      <c r="O10" s="1"/>
      <c r="Q10" s="71">
        <f>H10/('Scenario 1 - Phase 1'!$E$8+'LEVEL 3'!$E$8)</f>
        <v>3365.0899075785583</v>
      </c>
      <c r="R10" s="1"/>
      <c r="T10" s="195">
        <f>B10/'Scenario 1 - Phase 1'!$B$8</f>
        <v>3.996666666666667</v>
      </c>
      <c r="U10" s="193"/>
      <c r="V10" s="194"/>
      <c r="W10" s="195">
        <f>E10/'LEVEL 3'!$B$8</f>
        <v>2.939455496742049</v>
      </c>
      <c r="X10" s="193"/>
      <c r="Y10" s="194"/>
      <c r="Z10" s="195">
        <f>H10/('Scenario 1 - Phase 1'!$B$8+'LEVEL 3'!$B$8)</f>
        <v>3.5877067818087585</v>
      </c>
      <c r="AA10" s="1"/>
    </row>
    <row r="11" spans="1:27">
      <c r="A11" s="37" t="s">
        <v>117</v>
      </c>
      <c r="B11" s="71">
        <f>'Scenario 1 - Phase 1'!K26</f>
        <v>0</v>
      </c>
      <c r="C11" s="1"/>
      <c r="E11" s="71">
        <f>'LEVEL 3'!K26</f>
        <v>0</v>
      </c>
      <c r="F11" s="1"/>
      <c r="H11" s="71">
        <f t="shared" si="0"/>
        <v>0</v>
      </c>
      <c r="I11" s="1"/>
      <c r="K11" s="71">
        <f>B11/'Scenario 1 - Phase 1'!$E$8</f>
        <v>0</v>
      </c>
      <c r="L11" s="1"/>
      <c r="N11" s="71">
        <f>E11/'LEVEL 3'!$E$8</f>
        <v>0</v>
      </c>
      <c r="O11" s="1"/>
      <c r="Q11" s="71">
        <f>H11/('Scenario 1 - Phase 1'!$E$8+'LEVEL 3'!$E$8)</f>
        <v>0</v>
      </c>
      <c r="R11" s="1"/>
      <c r="T11" s="195">
        <f>B11/'Scenario 1 - Phase 1'!$B$8</f>
        <v>0</v>
      </c>
      <c r="U11" s="193"/>
      <c r="V11" s="194"/>
      <c r="W11" s="195">
        <f>E11/'LEVEL 3'!$B$8</f>
        <v>0</v>
      </c>
      <c r="X11" s="193"/>
      <c r="Y11" s="194"/>
      <c r="Z11" s="195">
        <f>H11/('Scenario 1 - Phase 1'!$B$8+'LEVEL 3'!$B$8)</f>
        <v>0</v>
      </c>
      <c r="AA11" s="1"/>
    </row>
    <row r="12" spans="1:27">
      <c r="A12" s="37" t="s">
        <v>119</v>
      </c>
      <c r="B12" s="71">
        <f>'Scenario 1 - Phase 1'!K27</f>
        <v>7500</v>
      </c>
      <c r="C12" s="1"/>
      <c r="E12" s="71">
        <f>'LEVEL 3'!K27</f>
        <v>2500</v>
      </c>
      <c r="F12" s="1"/>
      <c r="H12" s="71">
        <f t="shared" si="0"/>
        <v>10000</v>
      </c>
      <c r="I12" s="1"/>
      <c r="K12" s="71">
        <f>B12/'Scenario 1 - Phase 1'!$E$8</f>
        <v>21.613832853025936</v>
      </c>
      <c r="L12" s="1"/>
      <c r="N12" s="71">
        <f>E12/'LEVEL 3'!$E$8</f>
        <v>12.88659793814433</v>
      </c>
      <c r="O12" s="1"/>
      <c r="Q12" s="71">
        <f>H12/('Scenario 1 - Phase 1'!$E$8+'LEVEL 3'!$E$8)</f>
        <v>18.484288354898336</v>
      </c>
      <c r="R12" s="1"/>
      <c r="T12" s="195">
        <f>B12/'Scenario 1 - Phase 1'!$B$8</f>
        <v>2.4104749599861156E-2</v>
      </c>
      <c r="U12" s="193"/>
      <c r="V12" s="194"/>
      <c r="W12" s="195">
        <f>E12/'LEVEL 3'!$B$8</f>
        <v>1.2736322463306655E-2</v>
      </c>
      <c r="X12" s="193"/>
      <c r="Y12" s="194"/>
      <c r="Z12" s="195">
        <f>H12/('Scenario 1 - Phase 1'!$B$8+'LEVEL 3'!$B$8)</f>
        <v>1.9707112888254757E-2</v>
      </c>
      <c r="AA12" s="1"/>
    </row>
    <row r="13" spans="1:27">
      <c r="A13" s="37" t="s">
        <v>122</v>
      </c>
      <c r="B13" s="71">
        <f>'Scenario 1 - Phase 1'!K28</f>
        <v>3597</v>
      </c>
      <c r="C13" s="1"/>
      <c r="E13" s="71">
        <f>'LEVEL 3'!K28</f>
        <v>3597</v>
      </c>
      <c r="F13" s="1"/>
      <c r="H13" s="71">
        <f t="shared" si="0"/>
        <v>7194</v>
      </c>
      <c r="I13" s="1"/>
      <c r="K13" s="71">
        <f>B13/'Scenario 1 - Phase 1'!$E$8</f>
        <v>10.36599423631124</v>
      </c>
      <c r="L13" s="1"/>
      <c r="N13" s="71">
        <f>E13/'LEVEL 3'!$E$8</f>
        <v>18.541237113402062</v>
      </c>
      <c r="O13" s="1"/>
      <c r="Q13" s="71">
        <f>H13/('Scenario 1 - Phase 1'!$E$8+'LEVEL 3'!$E$8)</f>
        <v>13.297597042513864</v>
      </c>
      <c r="R13" s="1"/>
      <c r="T13" s="195">
        <f>B13/'Scenario 1 - Phase 1'!$B$8</f>
        <v>1.1560637908093412E-2</v>
      </c>
      <c r="U13" s="193"/>
      <c r="V13" s="194"/>
      <c r="W13" s="195">
        <f>E13/'LEVEL 3'!$B$8</f>
        <v>1.8325020760205615E-2</v>
      </c>
      <c r="X13" s="193"/>
      <c r="Y13" s="194"/>
      <c r="Z13" s="195">
        <f>H13/('Scenario 1 - Phase 1'!$B$8+'LEVEL 3'!$B$8)</f>
        <v>1.4177297011810473E-2</v>
      </c>
      <c r="AA13" s="1"/>
    </row>
    <row r="14" spans="1:27">
      <c r="A14" s="37" t="s">
        <v>124</v>
      </c>
      <c r="B14" s="71">
        <f>'Scenario 1 - Phase 1'!K29</f>
        <v>26980</v>
      </c>
      <c r="C14" s="1"/>
      <c r="E14" s="71">
        <f>'LEVEL 3'!K29</f>
        <v>11030.800000000001</v>
      </c>
      <c r="F14" s="1"/>
      <c r="H14" s="71">
        <f t="shared" si="0"/>
        <v>38010.800000000003</v>
      </c>
      <c r="I14" s="1"/>
      <c r="K14" s="71">
        <f>B14/'Scenario 1 - Phase 1'!$E$8</f>
        <v>77.752161383285298</v>
      </c>
      <c r="L14" s="1"/>
      <c r="N14" s="71">
        <f>E14/'LEVEL 3'!$E$8</f>
        <v>56.859793814432997</v>
      </c>
      <c r="O14" s="1"/>
      <c r="Q14" s="71">
        <f>H14/('Scenario 1 - Phase 1'!$E$8+'LEVEL 3'!$E$8)</f>
        <v>70.260258780036978</v>
      </c>
      <c r="R14" s="1"/>
      <c r="T14" s="195">
        <f>B14/'Scenario 1 - Phase 1'!$B$8</f>
        <v>8.6712819227233867E-2</v>
      </c>
      <c r="U14" s="193"/>
      <c r="V14" s="194"/>
      <c r="W14" s="195">
        <f>E14/'LEVEL 3'!$B$8</f>
        <v>5.6196730331297226E-2</v>
      </c>
      <c r="X14" s="193"/>
      <c r="Y14" s="194"/>
      <c r="Z14" s="195">
        <f>H14/('Scenario 1 - Phase 1'!$B$8+'LEVEL 3'!$B$8)</f>
        <v>7.4908312657287396E-2</v>
      </c>
      <c r="AA14" s="1"/>
    </row>
    <row r="15" spans="1:27">
      <c r="A15" s="37" t="s">
        <v>128</v>
      </c>
      <c r="B15" s="71">
        <f>'Scenario 1 - Phase 1'!K30</f>
        <v>5000</v>
      </c>
      <c r="C15" s="1"/>
      <c r="E15" s="71">
        <f>'LEVEL 3'!K30</f>
        <v>2500</v>
      </c>
      <c r="F15" s="1"/>
      <c r="H15" s="71">
        <f t="shared" si="0"/>
        <v>7500</v>
      </c>
      <c r="I15" s="1"/>
      <c r="K15" s="71">
        <f>B15/'Scenario 1 - Phase 1'!$E$8</f>
        <v>14.409221902017292</v>
      </c>
      <c r="L15" s="1"/>
      <c r="N15" s="71">
        <f>E15/'LEVEL 3'!$E$8</f>
        <v>12.88659793814433</v>
      </c>
      <c r="O15" s="1"/>
      <c r="Q15" s="71">
        <f>H15/('Scenario 1 - Phase 1'!$E$8+'LEVEL 3'!$E$8)</f>
        <v>13.863216266173753</v>
      </c>
      <c r="R15" s="1"/>
      <c r="T15" s="195">
        <f>B15/'Scenario 1 - Phase 1'!$B$8</f>
        <v>1.6069833066574106E-2</v>
      </c>
      <c r="U15" s="193"/>
      <c r="V15" s="194"/>
      <c r="W15" s="195">
        <f>E15/'LEVEL 3'!$B$8</f>
        <v>1.2736322463306655E-2</v>
      </c>
      <c r="X15" s="193"/>
      <c r="Y15" s="194"/>
      <c r="Z15" s="195">
        <f>H15/('Scenario 1 - Phase 1'!$B$8+'LEVEL 3'!$B$8)</f>
        <v>1.4780334666191068E-2</v>
      </c>
      <c r="AA15" s="1"/>
    </row>
    <row r="16" spans="1:27">
      <c r="A16" s="37" t="s">
        <v>131</v>
      </c>
      <c r="B16" s="71">
        <f>'Scenario 1 - Phase 1'!K31</f>
        <v>0</v>
      </c>
      <c r="C16" s="1"/>
      <c r="E16" s="71">
        <f>'LEVEL 3'!K31</f>
        <v>0</v>
      </c>
      <c r="F16" s="1"/>
      <c r="H16" s="71">
        <f t="shared" si="0"/>
        <v>0</v>
      </c>
      <c r="I16" s="1"/>
      <c r="K16" s="71">
        <f>B16/'Scenario 1 - Phase 1'!$E$8</f>
        <v>0</v>
      </c>
      <c r="L16" s="1"/>
      <c r="N16" s="71">
        <f>E16/'LEVEL 3'!$E$8</f>
        <v>0</v>
      </c>
      <c r="O16" s="1"/>
      <c r="Q16" s="71">
        <f>H16/('Scenario 1 - Phase 1'!$E$8+'LEVEL 3'!$E$8)</f>
        <v>0</v>
      </c>
      <c r="R16" s="1"/>
      <c r="T16" s="195">
        <f>B16/'Scenario 1 - Phase 1'!$B$8</f>
        <v>0</v>
      </c>
      <c r="U16" s="193"/>
      <c r="V16" s="194"/>
      <c r="W16" s="195">
        <f>E16/'LEVEL 3'!$B$8</f>
        <v>0</v>
      </c>
      <c r="X16" s="193"/>
      <c r="Y16" s="194"/>
      <c r="Z16" s="195">
        <f>H16/('Scenario 1 - Phase 1'!$B$8+'LEVEL 3'!$B$8)</f>
        <v>0</v>
      </c>
      <c r="AA16" s="1"/>
    </row>
    <row r="17" spans="1:27">
      <c r="A17" s="37" t="s">
        <v>133</v>
      </c>
      <c r="B17" s="71">
        <f>'Scenario 1 - Phase 1'!K32</f>
        <v>0</v>
      </c>
      <c r="C17" s="1"/>
      <c r="E17" s="71">
        <f>'LEVEL 3'!K32</f>
        <v>0</v>
      </c>
      <c r="F17" s="1"/>
      <c r="H17" s="71">
        <f t="shared" si="0"/>
        <v>0</v>
      </c>
      <c r="I17" s="1"/>
      <c r="K17" s="71">
        <f>B17/'Scenario 1 - Phase 1'!$E$8</f>
        <v>0</v>
      </c>
      <c r="L17" s="1"/>
      <c r="N17" s="71">
        <f>E17/'LEVEL 3'!$E$8</f>
        <v>0</v>
      </c>
      <c r="O17" s="1"/>
      <c r="Q17" s="71">
        <f>H17/('Scenario 1 - Phase 1'!$E$8+'LEVEL 3'!$E$8)</f>
        <v>0</v>
      </c>
      <c r="R17" s="1"/>
      <c r="T17" s="195">
        <f>B17/'Scenario 1 - Phase 1'!$B$8</f>
        <v>0</v>
      </c>
      <c r="U17" s="193"/>
      <c r="V17" s="194"/>
      <c r="W17" s="195">
        <f>E17/'LEVEL 3'!$B$8</f>
        <v>0</v>
      </c>
      <c r="X17" s="193"/>
      <c r="Y17" s="194"/>
      <c r="Z17" s="195">
        <f>H17/('Scenario 1 - Phase 1'!$B$8+'LEVEL 3'!$B$8)</f>
        <v>0</v>
      </c>
      <c r="AA17" s="1"/>
    </row>
    <row r="18" spans="1:27">
      <c r="A18" s="37" t="s">
        <v>136</v>
      </c>
      <c r="B18" s="71">
        <f>'Scenario 1 - Phase 1'!K33</f>
        <v>609838.31999999995</v>
      </c>
      <c r="C18" s="1"/>
      <c r="E18" s="71">
        <f>'LEVEL 3'!K33</f>
        <v>432915</v>
      </c>
      <c r="F18" s="1"/>
      <c r="H18" s="71">
        <f t="shared" si="0"/>
        <v>1042753.32</v>
      </c>
      <c r="I18" s="1"/>
      <c r="K18" s="71">
        <f>B18/'Scenario 1 - Phase 1'!$E$8</f>
        <v>1757.4591354466857</v>
      </c>
      <c r="L18" s="1"/>
      <c r="N18" s="71">
        <f>E18/'LEVEL 3'!$E$8</f>
        <v>2231.5206185567008</v>
      </c>
      <c r="O18" s="1"/>
      <c r="Q18" s="71">
        <f>H18/('Scenario 1 - Phase 1'!$E$8+'LEVEL 3'!$E$8)</f>
        <v>1927.4553049907577</v>
      </c>
      <c r="R18" s="1"/>
      <c r="T18" s="195">
        <f>B18/'Scenario 1 - Phase 1'!$B$8</f>
        <v>1.9599999999999997</v>
      </c>
      <c r="U18" s="193"/>
      <c r="V18" s="194"/>
      <c r="W18" s="195">
        <f>E18/'LEVEL 3'!$B$8</f>
        <v>2.20549801568096</v>
      </c>
      <c r="X18" s="193"/>
      <c r="Y18" s="194"/>
      <c r="Z18" s="195">
        <f>H18/('Scenario 1 - Phase 1'!$B$8+'LEVEL 3'!$B$8)</f>
        <v>2.0549657391842437</v>
      </c>
      <c r="AA18" s="1"/>
    </row>
    <row r="19" spans="1:27">
      <c r="A19" s="38" t="s">
        <v>138</v>
      </c>
      <c r="B19" s="65">
        <f>'Scenario 1 - Phase 1'!K34</f>
        <v>78723.840000000011</v>
      </c>
      <c r="C19" s="103"/>
      <c r="E19" s="65">
        <f>'LEVEL 3'!K34</f>
        <v>59754.240000000005</v>
      </c>
      <c r="F19" s="103"/>
      <c r="H19" s="65">
        <f t="shared" si="0"/>
        <v>138478.08000000002</v>
      </c>
      <c r="I19" s="103"/>
      <c r="K19" s="65">
        <f>B19/'Scenario 1 - Phase 1'!$E$8</f>
        <v>226.86985590778102</v>
      </c>
      <c r="L19" s="103"/>
      <c r="N19" s="65">
        <f>E19/'LEVEL 3'!$E$8</f>
        <v>308.01154639175263</v>
      </c>
      <c r="O19" s="103"/>
      <c r="Q19" s="65">
        <f>H19/('Scenario 1 - Phase 1'!$E$8+'LEVEL 3'!$E$8)</f>
        <v>255.96687615526804</v>
      </c>
      <c r="R19" s="103"/>
      <c r="T19" s="192">
        <f>B19/'Scenario 1 - Phase 1'!$B$8</f>
        <v>0.25301579343193786</v>
      </c>
      <c r="U19" s="196"/>
      <c r="V19" s="194"/>
      <c r="W19" s="192">
        <f>E19/'LEVEL 3'!$B$8</f>
        <v>0.30441970767592685</v>
      </c>
      <c r="X19" s="196"/>
      <c r="Y19" s="194"/>
      <c r="Z19" s="192">
        <f>H19/('Scenario 1 - Phase 1'!$B$8+'LEVEL 3'!$B$8)</f>
        <v>0.2729003155108774</v>
      </c>
      <c r="AA19" s="103"/>
    </row>
    <row r="20" spans="1:27">
      <c r="A20" s="33" t="s">
        <v>140</v>
      </c>
      <c r="B20" s="59"/>
      <c r="C20" s="102">
        <f>SUM(B21:B28)</f>
        <v>0</v>
      </c>
      <c r="E20" s="59"/>
      <c r="F20" s="102">
        <f>SUM(E21:E28)</f>
        <v>0</v>
      </c>
      <c r="H20" s="59"/>
      <c r="I20" s="102">
        <f>SUM(H21:H28)</f>
        <v>0</v>
      </c>
      <c r="K20" s="59"/>
      <c r="L20" s="102">
        <f>SUM(K21:K28)</f>
        <v>0</v>
      </c>
      <c r="N20" s="59"/>
      <c r="O20" s="102">
        <f>SUM(N21:N28)</f>
        <v>0</v>
      </c>
      <c r="Q20" s="59"/>
      <c r="R20" s="102">
        <f>SUM(Q21:Q28)</f>
        <v>0</v>
      </c>
      <c r="T20" s="59"/>
      <c r="U20" s="201">
        <f>C20/'Scenario 1 - Phase 1'!$B$8</f>
        <v>0</v>
      </c>
      <c r="V20" s="199"/>
      <c r="W20" s="202"/>
      <c r="X20" s="201">
        <f>F20/'LEVEL 3'!$B$8</f>
        <v>0</v>
      </c>
      <c r="Y20" s="199"/>
      <c r="Z20" s="202"/>
      <c r="AA20" s="201">
        <f>I20/('Scenario 1 - Phase 1'!$B$8+'LEVEL 3'!$B$8)</f>
        <v>0</v>
      </c>
    </row>
    <row r="21" spans="1:27">
      <c r="A21" s="35" t="s">
        <v>142</v>
      </c>
      <c r="B21" s="71">
        <f>'Scenario 1 - Phase 1'!K36</f>
        <v>0</v>
      </c>
      <c r="C21" s="1"/>
      <c r="E21" s="71">
        <f>'LEVEL 3'!K36</f>
        <v>0</v>
      </c>
      <c r="F21" s="1"/>
      <c r="H21" s="71">
        <f t="shared" ref="H21:H28" si="1">B21+E21</f>
        <v>0</v>
      </c>
      <c r="I21" s="1"/>
      <c r="K21" s="71">
        <f>B21/'Scenario 1 - Phase 1'!$E$8</f>
        <v>0</v>
      </c>
      <c r="L21" s="1"/>
      <c r="N21" s="71">
        <f>E21/'LEVEL 3'!$E$8</f>
        <v>0</v>
      </c>
      <c r="O21" s="1"/>
      <c r="Q21" s="71">
        <f>H21/('Scenario 1 - Phase 1'!$E$8+'LEVEL 3'!$E$8)</f>
        <v>0</v>
      </c>
      <c r="R21" s="1"/>
      <c r="T21" s="195">
        <f>B21/'Scenario 1 - Phase 1'!$B$8</f>
        <v>0</v>
      </c>
      <c r="U21" s="193"/>
      <c r="V21" s="194"/>
      <c r="W21" s="195">
        <f>E21/'LEVEL 3'!$B$8</f>
        <v>0</v>
      </c>
      <c r="X21" s="193"/>
      <c r="Y21" s="194"/>
      <c r="Z21" s="195">
        <f>H21/('Scenario 1 - Phase 1'!$B$8+'LEVEL 3'!$B$8)</f>
        <v>0</v>
      </c>
      <c r="AA21" s="1"/>
    </row>
    <row r="22" spans="1:27">
      <c r="A22" s="37" t="s">
        <v>143</v>
      </c>
      <c r="B22" s="71">
        <f>'Scenario 1 - Phase 1'!K37</f>
        <v>0</v>
      </c>
      <c r="C22" s="1"/>
      <c r="E22" s="71">
        <f>'LEVEL 3'!K37</f>
        <v>0</v>
      </c>
      <c r="F22" s="1"/>
      <c r="H22" s="71">
        <f t="shared" si="1"/>
        <v>0</v>
      </c>
      <c r="I22" s="1"/>
      <c r="K22" s="71">
        <f>B22/'Scenario 1 - Phase 1'!$E$8</f>
        <v>0</v>
      </c>
      <c r="L22" s="1"/>
      <c r="N22" s="71">
        <f>E22/'LEVEL 3'!$E$8</f>
        <v>0</v>
      </c>
      <c r="O22" s="1"/>
      <c r="Q22" s="71">
        <f>H22/('Scenario 1 - Phase 1'!$E$8+'LEVEL 3'!$E$8)</f>
        <v>0</v>
      </c>
      <c r="R22" s="1"/>
      <c r="T22" s="195">
        <f>B22/'Scenario 1 - Phase 1'!$B$8</f>
        <v>0</v>
      </c>
      <c r="U22" s="193"/>
      <c r="V22" s="194"/>
      <c r="W22" s="195">
        <f>E22/'LEVEL 3'!$B$8</f>
        <v>0</v>
      </c>
      <c r="X22" s="193"/>
      <c r="Y22" s="194"/>
      <c r="Z22" s="195">
        <f>H22/('Scenario 1 - Phase 1'!$B$8+'LEVEL 3'!$B$8)</f>
        <v>0</v>
      </c>
      <c r="AA22" s="1"/>
    </row>
    <row r="23" spans="1:27">
      <c r="A23" s="37" t="s">
        <v>144</v>
      </c>
      <c r="B23" s="71">
        <f>'Scenario 1 - Phase 1'!K38</f>
        <v>0</v>
      </c>
      <c r="C23" s="1"/>
      <c r="E23" s="71">
        <f>'LEVEL 3'!K38</f>
        <v>0</v>
      </c>
      <c r="F23" s="1"/>
      <c r="H23" s="71">
        <f t="shared" si="1"/>
        <v>0</v>
      </c>
      <c r="I23" s="1"/>
      <c r="K23" s="71">
        <f>B23/'Scenario 1 - Phase 1'!$E$8</f>
        <v>0</v>
      </c>
      <c r="L23" s="1"/>
      <c r="N23" s="71">
        <f>E23/'LEVEL 3'!$E$8</f>
        <v>0</v>
      </c>
      <c r="O23" s="1"/>
      <c r="Q23" s="71">
        <f>H23/('Scenario 1 - Phase 1'!$E$8+'LEVEL 3'!$E$8)</f>
        <v>0</v>
      </c>
      <c r="R23" s="1"/>
      <c r="T23" s="195">
        <f>B23/'Scenario 1 - Phase 1'!$B$8</f>
        <v>0</v>
      </c>
      <c r="U23" s="193"/>
      <c r="V23" s="194"/>
      <c r="W23" s="195">
        <f>E23/'LEVEL 3'!$B$8</f>
        <v>0</v>
      </c>
      <c r="X23" s="193"/>
      <c r="Y23" s="194"/>
      <c r="Z23" s="195">
        <f>H23/('Scenario 1 - Phase 1'!$B$8+'LEVEL 3'!$B$8)</f>
        <v>0</v>
      </c>
      <c r="AA23" s="1"/>
    </row>
    <row r="24" spans="1:27">
      <c r="A24" s="37" t="s">
        <v>145</v>
      </c>
      <c r="B24" s="71">
        <f>'Scenario 1 - Phase 1'!K39</f>
        <v>0</v>
      </c>
      <c r="C24" s="1"/>
      <c r="E24" s="71">
        <f>'LEVEL 3'!K39</f>
        <v>0</v>
      </c>
      <c r="F24" s="1"/>
      <c r="H24" s="71">
        <f t="shared" si="1"/>
        <v>0</v>
      </c>
      <c r="I24" s="1"/>
      <c r="K24" s="71">
        <f>B24/'Scenario 1 - Phase 1'!$E$8</f>
        <v>0</v>
      </c>
      <c r="L24" s="1"/>
      <c r="N24" s="71">
        <f>E24/'LEVEL 3'!$E$8</f>
        <v>0</v>
      </c>
      <c r="O24" s="1"/>
      <c r="Q24" s="71">
        <f>H24/('Scenario 1 - Phase 1'!$E$8+'LEVEL 3'!$E$8)</f>
        <v>0</v>
      </c>
      <c r="R24" s="1"/>
      <c r="T24" s="195">
        <f>B24/'Scenario 1 - Phase 1'!$B$8</f>
        <v>0</v>
      </c>
      <c r="U24" s="193"/>
      <c r="V24" s="194"/>
      <c r="W24" s="195">
        <f>E24/'LEVEL 3'!$B$8</f>
        <v>0</v>
      </c>
      <c r="X24" s="193"/>
      <c r="Y24" s="194"/>
      <c r="Z24" s="195">
        <f>H24/('Scenario 1 - Phase 1'!$B$8+'LEVEL 3'!$B$8)</f>
        <v>0</v>
      </c>
      <c r="AA24" s="1"/>
    </row>
    <row r="25" spans="1:27">
      <c r="A25" s="37" t="s">
        <v>146</v>
      </c>
      <c r="B25" s="71">
        <f>'Scenario 1 - Phase 1'!K40</f>
        <v>0</v>
      </c>
      <c r="C25" s="1"/>
      <c r="E25" s="71">
        <f>'LEVEL 3'!K40</f>
        <v>0</v>
      </c>
      <c r="F25" s="1"/>
      <c r="H25" s="71">
        <f t="shared" si="1"/>
        <v>0</v>
      </c>
      <c r="I25" s="1"/>
      <c r="K25" s="71">
        <f>B25/'Scenario 1 - Phase 1'!$E$8</f>
        <v>0</v>
      </c>
      <c r="L25" s="1"/>
      <c r="N25" s="71">
        <f>E25/'LEVEL 3'!$E$8</f>
        <v>0</v>
      </c>
      <c r="O25" s="1"/>
      <c r="Q25" s="71">
        <f>H25/('Scenario 1 - Phase 1'!$E$8+'LEVEL 3'!$E$8)</f>
        <v>0</v>
      </c>
      <c r="R25" s="1"/>
      <c r="T25" s="195">
        <f>B25/'Scenario 1 - Phase 1'!$B$8</f>
        <v>0</v>
      </c>
      <c r="U25" s="193"/>
      <c r="V25" s="194"/>
      <c r="W25" s="195">
        <f>E25/'LEVEL 3'!$B$8</f>
        <v>0</v>
      </c>
      <c r="X25" s="193"/>
      <c r="Y25" s="194"/>
      <c r="Z25" s="195">
        <f>H25/('Scenario 1 - Phase 1'!$B$8+'LEVEL 3'!$B$8)</f>
        <v>0</v>
      </c>
      <c r="AA25" s="1"/>
    </row>
    <row r="26" spans="1:27">
      <c r="A26" s="37" t="s">
        <v>147</v>
      </c>
      <c r="B26" s="71">
        <f>'Scenario 1 - Phase 1'!K41</f>
        <v>0</v>
      </c>
      <c r="C26" s="1"/>
      <c r="E26" s="71">
        <f>'LEVEL 3'!K41</f>
        <v>0</v>
      </c>
      <c r="F26" s="1"/>
      <c r="H26" s="71">
        <f t="shared" si="1"/>
        <v>0</v>
      </c>
      <c r="I26" s="1"/>
      <c r="K26" s="71">
        <f>B26/'Scenario 1 - Phase 1'!$E$8</f>
        <v>0</v>
      </c>
      <c r="L26" s="1"/>
      <c r="N26" s="71">
        <f>E26/'LEVEL 3'!$E$8</f>
        <v>0</v>
      </c>
      <c r="O26" s="1"/>
      <c r="Q26" s="71">
        <f>H26/('Scenario 1 - Phase 1'!$E$8+'LEVEL 3'!$E$8)</f>
        <v>0</v>
      </c>
      <c r="R26" s="1"/>
      <c r="T26" s="195">
        <f>B26/'Scenario 1 - Phase 1'!$B$8</f>
        <v>0</v>
      </c>
      <c r="U26" s="193"/>
      <c r="V26" s="194"/>
      <c r="W26" s="195">
        <f>E26/'LEVEL 3'!$B$8</f>
        <v>0</v>
      </c>
      <c r="X26" s="193"/>
      <c r="Y26" s="194"/>
      <c r="Z26" s="195">
        <f>H26/('Scenario 1 - Phase 1'!$B$8+'LEVEL 3'!$B$8)</f>
        <v>0</v>
      </c>
      <c r="AA26" s="1"/>
    </row>
    <row r="27" spans="1:27">
      <c r="A27" s="37" t="s">
        <v>148</v>
      </c>
      <c r="B27" s="71">
        <f>'Scenario 1 - Phase 1'!K42</f>
        <v>0</v>
      </c>
      <c r="C27" s="1"/>
      <c r="E27" s="71">
        <f>'LEVEL 3'!K42</f>
        <v>0</v>
      </c>
      <c r="F27" s="1"/>
      <c r="H27" s="71">
        <f t="shared" si="1"/>
        <v>0</v>
      </c>
      <c r="I27" s="1"/>
      <c r="K27" s="71">
        <f>B27/'Scenario 1 - Phase 1'!$E$8</f>
        <v>0</v>
      </c>
      <c r="L27" s="1"/>
      <c r="N27" s="71">
        <f>E27/'LEVEL 3'!$E$8</f>
        <v>0</v>
      </c>
      <c r="O27" s="1"/>
      <c r="Q27" s="71">
        <f>H27/('Scenario 1 - Phase 1'!$E$8+'LEVEL 3'!$E$8)</f>
        <v>0</v>
      </c>
      <c r="R27" s="1"/>
      <c r="T27" s="195">
        <f>B27/'Scenario 1 - Phase 1'!$B$8</f>
        <v>0</v>
      </c>
      <c r="U27" s="193"/>
      <c r="V27" s="194"/>
      <c r="W27" s="195">
        <f>E27/'LEVEL 3'!$B$8</f>
        <v>0</v>
      </c>
      <c r="X27" s="193"/>
      <c r="Y27" s="194"/>
      <c r="Z27" s="195">
        <f>H27/('Scenario 1 - Phase 1'!$B$8+'LEVEL 3'!$B$8)</f>
        <v>0</v>
      </c>
      <c r="AA27" s="1"/>
    </row>
    <row r="28" spans="1:27">
      <c r="A28" s="38" t="s">
        <v>149</v>
      </c>
      <c r="B28" s="65">
        <f>'Scenario 1 - Phase 1'!K43</f>
        <v>0</v>
      </c>
      <c r="C28" s="1"/>
      <c r="E28" s="65">
        <f>'LEVEL 3'!K43</f>
        <v>0</v>
      </c>
      <c r="F28" s="1"/>
      <c r="H28" s="65">
        <f t="shared" si="1"/>
        <v>0</v>
      </c>
      <c r="I28" s="1"/>
      <c r="K28" s="65">
        <f>B28/'Scenario 1 - Phase 1'!$E$8</f>
        <v>0</v>
      </c>
      <c r="L28" s="1"/>
      <c r="N28" s="65">
        <f>E28/'LEVEL 3'!$E$8</f>
        <v>0</v>
      </c>
      <c r="O28" s="1"/>
      <c r="Q28" s="65">
        <f>H28/('Scenario 1 - Phase 1'!$E$8+'LEVEL 3'!$E$8)</f>
        <v>0</v>
      </c>
      <c r="R28" s="1"/>
      <c r="T28" s="192">
        <f>B28/'Scenario 1 - Phase 1'!$B$8</f>
        <v>0</v>
      </c>
      <c r="U28" s="193"/>
      <c r="V28" s="194"/>
      <c r="W28" s="192">
        <f>E28/'LEVEL 3'!$B$8</f>
        <v>0</v>
      </c>
      <c r="X28" s="193"/>
      <c r="Y28" s="194"/>
      <c r="Z28" s="192">
        <f>H28/('Scenario 1 - Phase 1'!$B$8+'LEVEL 3'!$B$8)</f>
        <v>0</v>
      </c>
      <c r="AA28" s="1"/>
    </row>
    <row r="29" spans="1:27">
      <c r="A29" s="33" t="s">
        <v>150</v>
      </c>
      <c r="B29" s="82"/>
      <c r="C29" s="102">
        <f>SUM(B30:B34)</f>
        <v>171000</v>
      </c>
      <c r="E29" s="82"/>
      <c r="F29" s="102">
        <f>SUM(E30:E34)</f>
        <v>112800</v>
      </c>
      <c r="H29" s="82"/>
      <c r="I29" s="102">
        <f>SUM(H30:H34)</f>
        <v>283800</v>
      </c>
      <c r="K29" s="82"/>
      <c r="L29" s="102">
        <f>SUM(K30:K34)</f>
        <v>492.79538904899141</v>
      </c>
      <c r="N29" s="82"/>
      <c r="O29" s="102">
        <f>SUM(N30:N34)</f>
        <v>581.4432989690722</v>
      </c>
      <c r="Q29" s="82"/>
      <c r="R29" s="102">
        <f>SUM(Q30:Q34)</f>
        <v>524.58410351201485</v>
      </c>
      <c r="T29" s="82"/>
      <c r="U29" s="201">
        <f>C29/'Scenario 1 - Phase 1'!$B$8</f>
        <v>0.54958829087683436</v>
      </c>
      <c r="V29" s="199"/>
      <c r="W29" s="203"/>
      <c r="X29" s="201">
        <f>F29/'LEVEL 3'!$B$8</f>
        <v>0.57466286954439627</v>
      </c>
      <c r="Y29" s="199"/>
      <c r="Z29" s="203"/>
      <c r="AA29" s="201">
        <f>I29/('Scenario 1 - Phase 1'!$B$8+'LEVEL 3'!$B$8)</f>
        <v>0.55928786376867001</v>
      </c>
    </row>
    <row r="30" spans="1:27">
      <c r="A30" s="35" t="s">
        <v>152</v>
      </c>
      <c r="B30" s="71">
        <f>'Scenario 1 - Phase 1'!K45</f>
        <v>114000</v>
      </c>
      <c r="C30" s="1"/>
      <c r="E30" s="71">
        <f>'LEVEL 3'!K45</f>
        <v>76000</v>
      </c>
      <c r="F30" s="1"/>
      <c r="H30" s="71">
        <f t="shared" ref="H30:H34" si="2">B30+E30</f>
        <v>190000</v>
      </c>
      <c r="I30" s="1"/>
      <c r="K30" s="71">
        <f>B30/'Scenario 1 - Phase 1'!$E$8</f>
        <v>328.53025936599425</v>
      </c>
      <c r="L30" s="1"/>
      <c r="N30" s="71">
        <f>E30/'LEVEL 3'!$E$8</f>
        <v>391.7525773195876</v>
      </c>
      <c r="O30" s="1"/>
      <c r="Q30" s="71">
        <f>H30/('Scenario 1 - Phase 1'!$E$8+'LEVEL 3'!$E$8)</f>
        <v>351.20147874306838</v>
      </c>
      <c r="R30" s="1"/>
      <c r="T30" s="195">
        <f>B30/'Scenario 1 - Phase 1'!$B$8</f>
        <v>0.36639219391788957</v>
      </c>
      <c r="U30" s="193"/>
      <c r="V30" s="194"/>
      <c r="W30" s="195">
        <f>E30/'LEVEL 3'!$B$8</f>
        <v>0.38718420288452232</v>
      </c>
      <c r="X30" s="193"/>
      <c r="Y30" s="194"/>
      <c r="Z30" s="195">
        <f>H30/('Scenario 1 - Phase 1'!$B$8+'LEVEL 3'!$B$8)</f>
        <v>0.37443514487684038</v>
      </c>
      <c r="AA30" s="1"/>
    </row>
    <row r="31" spans="1:27">
      <c r="A31" s="37" t="s">
        <v>154</v>
      </c>
      <c r="B31" s="71">
        <f>'Scenario 1 - Phase 1'!K46</f>
        <v>57000</v>
      </c>
      <c r="C31" s="1"/>
      <c r="E31" s="71">
        <f>'LEVEL 3'!K46</f>
        <v>22800</v>
      </c>
      <c r="F31" s="1"/>
      <c r="H31" s="71">
        <f t="shared" si="2"/>
        <v>79800</v>
      </c>
      <c r="I31" s="1"/>
      <c r="K31" s="71">
        <f>B31/'Scenario 1 - Phase 1'!$E$8</f>
        <v>164.26512968299713</v>
      </c>
      <c r="L31" s="1"/>
      <c r="N31" s="71">
        <f>E31/'LEVEL 3'!$E$8</f>
        <v>117.52577319587628</v>
      </c>
      <c r="O31" s="1"/>
      <c r="Q31" s="71">
        <f>H31/('Scenario 1 - Phase 1'!$E$8+'LEVEL 3'!$E$8)</f>
        <v>147.50462107208872</v>
      </c>
      <c r="R31" s="1"/>
      <c r="T31" s="195">
        <f>B31/'Scenario 1 - Phase 1'!$B$8</f>
        <v>0.18319609695894479</v>
      </c>
      <c r="U31" s="193"/>
      <c r="V31" s="194"/>
      <c r="W31" s="195">
        <f>E31/'LEVEL 3'!$B$8</f>
        <v>0.1161552608653567</v>
      </c>
      <c r="X31" s="193"/>
      <c r="Y31" s="194"/>
      <c r="Z31" s="195">
        <f>H31/('Scenario 1 - Phase 1'!$B$8+'LEVEL 3'!$B$8)</f>
        <v>0.15726276084827295</v>
      </c>
      <c r="AA31" s="1"/>
    </row>
    <row r="32" spans="1:27">
      <c r="A32" s="37" t="s">
        <v>156</v>
      </c>
      <c r="B32" s="71">
        <f>'Scenario 1 - Phase 1'!K47</f>
        <v>0</v>
      </c>
      <c r="C32" s="1"/>
      <c r="E32" s="71">
        <f>'LEVEL 3'!K47</f>
        <v>0</v>
      </c>
      <c r="F32" s="1"/>
      <c r="H32" s="71">
        <f t="shared" si="2"/>
        <v>0</v>
      </c>
      <c r="I32" s="1"/>
      <c r="K32" s="71">
        <f>B32/'Scenario 1 - Phase 1'!$E$8</f>
        <v>0</v>
      </c>
      <c r="L32" s="1"/>
      <c r="N32" s="71">
        <f>E32/'LEVEL 3'!$E$8</f>
        <v>0</v>
      </c>
      <c r="O32" s="1"/>
      <c r="Q32" s="71">
        <f>H32/('Scenario 1 - Phase 1'!$E$8+'LEVEL 3'!$E$8)</f>
        <v>0</v>
      </c>
      <c r="R32" s="1"/>
      <c r="T32" s="195">
        <f>B32/'Scenario 1 - Phase 1'!$B$8</f>
        <v>0</v>
      </c>
      <c r="U32" s="193"/>
      <c r="V32" s="194"/>
      <c r="W32" s="195">
        <f>E32/'LEVEL 3'!$B$8</f>
        <v>0</v>
      </c>
      <c r="X32" s="193"/>
      <c r="Y32" s="194"/>
      <c r="Z32" s="195">
        <f>H32/('Scenario 1 - Phase 1'!$B$8+'LEVEL 3'!$B$8)</f>
        <v>0</v>
      </c>
      <c r="AA32" s="1"/>
    </row>
    <row r="33" spans="1:27">
      <c r="A33" s="37" t="s">
        <v>158</v>
      </c>
      <c r="B33" s="71">
        <f>'Scenario 1 - Phase 1'!K48</f>
        <v>0</v>
      </c>
      <c r="C33" s="1"/>
      <c r="E33" s="71">
        <f>'LEVEL 3'!K48</f>
        <v>5000</v>
      </c>
      <c r="F33" s="1"/>
      <c r="H33" s="71">
        <f t="shared" si="2"/>
        <v>5000</v>
      </c>
      <c r="I33" s="1"/>
      <c r="K33" s="71">
        <f>B33/'Scenario 1 - Phase 1'!$E$8</f>
        <v>0</v>
      </c>
      <c r="L33" s="1"/>
      <c r="N33" s="71">
        <f>E33/'LEVEL 3'!$E$8</f>
        <v>25.773195876288661</v>
      </c>
      <c r="O33" s="1"/>
      <c r="Q33" s="71">
        <f>H33/('Scenario 1 - Phase 1'!$E$8+'LEVEL 3'!$E$8)</f>
        <v>9.2421441774491679</v>
      </c>
      <c r="R33" s="1"/>
      <c r="T33" s="195">
        <f>B33/'Scenario 1 - Phase 1'!$B$8</f>
        <v>0</v>
      </c>
      <c r="U33" s="193"/>
      <c r="V33" s="194"/>
      <c r="W33" s="195">
        <f>E33/'LEVEL 3'!$B$8</f>
        <v>2.547264492661331E-2</v>
      </c>
      <c r="X33" s="193"/>
      <c r="Y33" s="194"/>
      <c r="Z33" s="195">
        <f>H33/('Scenario 1 - Phase 1'!$B$8+'LEVEL 3'!$B$8)</f>
        <v>9.8535564441273784E-3</v>
      </c>
      <c r="AA33" s="1"/>
    </row>
    <row r="34" spans="1:27">
      <c r="A34" s="37" t="s">
        <v>160</v>
      </c>
      <c r="B34" s="71">
        <f>'Scenario 1 - Phase 1'!K49</f>
        <v>0</v>
      </c>
      <c r="C34" s="1"/>
      <c r="E34" s="71">
        <f>'LEVEL 3'!K49</f>
        <v>9000</v>
      </c>
      <c r="F34" s="1"/>
      <c r="H34" s="71">
        <f t="shared" si="2"/>
        <v>9000</v>
      </c>
      <c r="I34" s="1"/>
      <c r="K34" s="71">
        <f>B34/'Scenario 1 - Phase 1'!$E$8</f>
        <v>0</v>
      </c>
      <c r="L34" s="1"/>
      <c r="N34" s="71">
        <f>E34/'LEVEL 3'!$E$8</f>
        <v>46.391752577319586</v>
      </c>
      <c r="O34" s="1"/>
      <c r="Q34" s="71">
        <f>H34/('Scenario 1 - Phase 1'!$E$8+'LEVEL 3'!$E$8)</f>
        <v>16.635859519408502</v>
      </c>
      <c r="R34" s="1"/>
      <c r="T34" s="195">
        <f>B34/'Scenario 1 - Phase 1'!$B$8</f>
        <v>0</v>
      </c>
      <c r="U34" s="193"/>
      <c r="V34" s="194"/>
      <c r="W34" s="195">
        <f>E34/'LEVEL 3'!$B$8</f>
        <v>4.5850760867903961E-2</v>
      </c>
      <c r="X34" s="193"/>
      <c r="Y34" s="194"/>
      <c r="Z34" s="195">
        <f>H34/('Scenario 1 - Phase 1'!$B$8+'LEVEL 3'!$B$8)</f>
        <v>1.7736401599429283E-2</v>
      </c>
      <c r="AA34" s="1"/>
    </row>
    <row r="35" spans="1:27">
      <c r="A35" s="33" t="s">
        <v>162</v>
      </c>
      <c r="B35" s="82"/>
      <c r="C35" s="102">
        <f>SUM(B36:B43)</f>
        <v>392720.43443537259</v>
      </c>
      <c r="E35" s="82"/>
      <c r="F35" s="102">
        <f>SUM(E36:E43)</f>
        <v>325412.12789407256</v>
      </c>
      <c r="H35" s="82"/>
      <c r="I35" s="102">
        <f>SUM(H36:H43)</f>
        <v>718132.56232944515</v>
      </c>
      <c r="K35" s="82"/>
      <c r="L35" s="102">
        <f>SUM(K36:K43)</f>
        <v>1131.7591770471831</v>
      </c>
      <c r="N35" s="82"/>
      <c r="O35" s="102">
        <f>SUM(N36:N43)</f>
        <v>1677.382102546766</v>
      </c>
      <c r="Q35" s="82"/>
      <c r="R35" s="102">
        <f>SUM(Q36:Q43)</f>
        <v>1327.4169359139466</v>
      </c>
      <c r="T35" s="82"/>
      <c r="U35" s="201">
        <f>C35/'Scenario 1 - Phase 1'!$B$8</f>
        <v>1.2621903646417796</v>
      </c>
      <c r="V35" s="199"/>
      <c r="W35" s="203"/>
      <c r="X35" s="201">
        <f>F35/'LEVEL 3'!$B$8</f>
        <v>1.6578215177318778</v>
      </c>
      <c r="Y35" s="199"/>
      <c r="Z35" s="203"/>
      <c r="AA35" s="201">
        <f>I35/('Scenario 1 - Phase 1'!$B$8+'LEVEL 3'!$B$8)</f>
        <v>1.4152319474558022</v>
      </c>
    </row>
    <row r="36" spans="1:27">
      <c r="A36" s="35" t="s">
        <v>164</v>
      </c>
      <c r="B36" s="71">
        <f>'Scenario 1 - Phase 1'!K51</f>
        <v>0</v>
      </c>
      <c r="C36" s="1"/>
      <c r="E36" s="71">
        <f>'LEVEL 3'!K51</f>
        <v>112826.12789407259</v>
      </c>
      <c r="F36" s="1"/>
      <c r="H36" s="71">
        <f t="shared" ref="H36:H43" si="3">B36+E36</f>
        <v>112826.12789407259</v>
      </c>
      <c r="I36" s="1"/>
      <c r="K36" s="71">
        <f>B36/'Scenario 1 - Phase 1'!$E$8</f>
        <v>0</v>
      </c>
      <c r="L36" s="1"/>
      <c r="N36" s="71">
        <f>E36/'LEVEL 3'!$E$8</f>
        <v>581.57797883542571</v>
      </c>
      <c r="O36" s="1"/>
      <c r="Q36" s="71">
        <f>H36/('Scenario 1 - Phase 1'!$E$8+'LEVEL 3'!$E$8)</f>
        <v>208.55106819606763</v>
      </c>
      <c r="R36" s="1"/>
      <c r="T36" s="195">
        <f>B36/'Scenario 1 - Phase 1'!$B$8</f>
        <v>0</v>
      </c>
      <c r="U36" s="193"/>
      <c r="V36" s="194"/>
      <c r="W36" s="195">
        <f>E36/'LEVEL 3'!$B$8</f>
        <v>0.57479597885807454</v>
      </c>
      <c r="X36" s="193"/>
      <c r="Y36" s="194"/>
      <c r="Z36" s="195">
        <f>H36/('Scenario 1 - Phase 1'!$B$8+'LEVEL 3'!$B$8)</f>
        <v>0.22234772391531576</v>
      </c>
      <c r="AA36" s="1"/>
    </row>
    <row r="37" spans="1:27">
      <c r="A37" s="37" t="s">
        <v>167</v>
      </c>
      <c r="B37" s="71">
        <f>'Scenario 1 - Phase 1'!K52</f>
        <v>23960</v>
      </c>
      <c r="C37" s="1"/>
      <c r="E37" s="71">
        <f>'LEVEL 3'!K52</f>
        <v>8080</v>
      </c>
      <c r="F37" s="1"/>
      <c r="H37" s="71">
        <f t="shared" si="3"/>
        <v>32040</v>
      </c>
      <c r="I37" s="1"/>
      <c r="K37" s="71">
        <f>B37/'Scenario 1 - Phase 1'!$E$8</f>
        <v>69.048991354466864</v>
      </c>
      <c r="L37" s="1"/>
      <c r="N37" s="71">
        <f>E37/'LEVEL 3'!$E$8</f>
        <v>41.649484536082475</v>
      </c>
      <c r="O37" s="1"/>
      <c r="Q37" s="71">
        <f>H37/('Scenario 1 - Phase 1'!$E$8+'LEVEL 3'!$E$8)</f>
        <v>59.223659889094272</v>
      </c>
      <c r="R37" s="1"/>
      <c r="T37" s="195">
        <f>B37/'Scenario 1 - Phase 1'!$B$8</f>
        <v>7.7006640055023112E-2</v>
      </c>
      <c r="U37" s="193"/>
      <c r="V37" s="194"/>
      <c r="W37" s="195">
        <f>E37/'LEVEL 3'!$B$8</f>
        <v>4.116379420140711E-2</v>
      </c>
      <c r="X37" s="193"/>
      <c r="Y37" s="194"/>
      <c r="Z37" s="195">
        <f>H37/('Scenario 1 - Phase 1'!$B$8+'LEVEL 3'!$B$8)</f>
        <v>6.3141589693968242E-2</v>
      </c>
      <c r="AA37" s="1"/>
    </row>
    <row r="38" spans="1:27">
      <c r="A38" s="37" t="s">
        <v>169</v>
      </c>
      <c r="B38" s="71">
        <f>'Scenario 1 - Phase 1'!K53</f>
        <v>129250</v>
      </c>
      <c r="C38" s="1"/>
      <c r="E38" s="71">
        <f>'LEVEL 3'!K53</f>
        <v>56000</v>
      </c>
      <c r="F38" s="1"/>
      <c r="H38" s="71">
        <f t="shared" si="3"/>
        <v>185250</v>
      </c>
      <c r="I38" s="1"/>
      <c r="K38" s="71">
        <f>B38/'Scenario 1 - Phase 1'!$E$8</f>
        <v>372.47838616714699</v>
      </c>
      <c r="L38" s="1"/>
      <c r="N38" s="71">
        <f>E38/'LEVEL 3'!$E$8</f>
        <v>288.65979381443299</v>
      </c>
      <c r="O38" s="1"/>
      <c r="Q38" s="71">
        <f>H38/('Scenario 1 - Phase 1'!$E$8+'LEVEL 3'!$E$8)</f>
        <v>342.42144177449165</v>
      </c>
      <c r="R38" s="1"/>
      <c r="T38" s="195">
        <f>B38/'Scenario 1 - Phase 1'!$B$8</f>
        <v>0.41540518477094057</v>
      </c>
      <c r="U38" s="193"/>
      <c r="V38" s="194"/>
      <c r="W38" s="195">
        <f>E38/'LEVEL 3'!$B$8</f>
        <v>0.28529362317806906</v>
      </c>
      <c r="X38" s="193"/>
      <c r="Y38" s="194"/>
      <c r="Z38" s="195">
        <f>H38/('Scenario 1 - Phase 1'!$B$8+'LEVEL 3'!$B$8)</f>
        <v>0.3650742662549194</v>
      </c>
      <c r="AA38" s="1"/>
    </row>
    <row r="39" spans="1:27">
      <c r="A39" s="37" t="s">
        <v>171</v>
      </c>
      <c r="B39" s="71">
        <f>'Scenario 1 - Phase 1'!K54</f>
        <v>0</v>
      </c>
      <c r="C39" s="1"/>
      <c r="E39" s="71">
        <f>'LEVEL 3'!K54</f>
        <v>0</v>
      </c>
      <c r="F39" s="1"/>
      <c r="H39" s="71">
        <f t="shared" si="3"/>
        <v>0</v>
      </c>
      <c r="I39" s="1"/>
      <c r="K39" s="71">
        <f>B39/'Scenario 1 - Phase 1'!$E$8</f>
        <v>0</v>
      </c>
      <c r="L39" s="1"/>
      <c r="N39" s="71">
        <f>E39/'LEVEL 3'!$E$8</f>
        <v>0</v>
      </c>
      <c r="O39" s="1"/>
      <c r="Q39" s="71">
        <f>H39/('Scenario 1 - Phase 1'!$E$8+'LEVEL 3'!$E$8)</f>
        <v>0</v>
      </c>
      <c r="R39" s="1"/>
      <c r="T39" s="195">
        <f>B39/'Scenario 1 - Phase 1'!$B$8</f>
        <v>0</v>
      </c>
      <c r="U39" s="193"/>
      <c r="V39" s="194"/>
      <c r="W39" s="195">
        <f>E39/'LEVEL 3'!$B$8</f>
        <v>0</v>
      </c>
      <c r="X39" s="193"/>
      <c r="Y39" s="194"/>
      <c r="Z39" s="195">
        <f>H39/('Scenario 1 - Phase 1'!$B$8+'LEVEL 3'!$B$8)</f>
        <v>0</v>
      </c>
      <c r="AA39" s="1"/>
    </row>
    <row r="40" spans="1:27">
      <c r="A40" s="37" t="s">
        <v>172</v>
      </c>
      <c r="B40" s="71">
        <f>'Scenario 1 - Phase 1'!K55</f>
        <v>0</v>
      </c>
      <c r="C40" s="1"/>
      <c r="E40" s="71">
        <f>'LEVEL 3'!K55</f>
        <v>0</v>
      </c>
      <c r="F40" s="1"/>
      <c r="H40" s="71">
        <f t="shared" si="3"/>
        <v>0</v>
      </c>
      <c r="I40" s="1"/>
      <c r="K40" s="71">
        <f>B40/'Scenario 1 - Phase 1'!$E$8</f>
        <v>0</v>
      </c>
      <c r="L40" s="1"/>
      <c r="N40" s="71">
        <f>E40/'LEVEL 3'!$E$8</f>
        <v>0</v>
      </c>
      <c r="O40" s="1"/>
      <c r="Q40" s="71">
        <f>H40/('Scenario 1 - Phase 1'!$E$8+'LEVEL 3'!$E$8)</f>
        <v>0</v>
      </c>
      <c r="R40" s="1"/>
      <c r="T40" s="195">
        <f>B40/'Scenario 1 - Phase 1'!$B$8</f>
        <v>0</v>
      </c>
      <c r="U40" s="193"/>
      <c r="V40" s="194"/>
      <c r="W40" s="195">
        <f>E40/'LEVEL 3'!$B$8</f>
        <v>0</v>
      </c>
      <c r="X40" s="193"/>
      <c r="Y40" s="194"/>
      <c r="Z40" s="195">
        <f>H40/('Scenario 1 - Phase 1'!$B$8+'LEVEL 3'!$B$8)</f>
        <v>0</v>
      </c>
      <c r="AA40" s="1"/>
    </row>
    <row r="41" spans="1:27">
      <c r="A41" s="37" t="s">
        <v>174</v>
      </c>
      <c r="B41" s="71">
        <f>'Scenario 1 - Phase 1'!K56</f>
        <v>3900</v>
      </c>
      <c r="C41" s="1"/>
      <c r="E41" s="71">
        <f>'LEVEL 3'!K56</f>
        <v>1950</v>
      </c>
      <c r="F41" s="1"/>
      <c r="H41" s="71">
        <f t="shared" si="3"/>
        <v>5850</v>
      </c>
      <c r="I41" s="1"/>
      <c r="K41" s="71">
        <f>B41/'Scenario 1 - Phase 1'!$E$8</f>
        <v>11.239193083573488</v>
      </c>
      <c r="L41" s="1"/>
      <c r="N41" s="71">
        <f>E41/'LEVEL 3'!$E$8</f>
        <v>10.051546391752577</v>
      </c>
      <c r="O41" s="1"/>
      <c r="Q41" s="71">
        <f>H41/('Scenario 1 - Phase 1'!$E$8+'LEVEL 3'!$E$8)</f>
        <v>10.813308687615526</v>
      </c>
      <c r="R41" s="1"/>
      <c r="T41" s="195">
        <f>B41/'Scenario 1 - Phase 1'!$B$8</f>
        <v>1.2534469791927802E-2</v>
      </c>
      <c r="U41" s="193"/>
      <c r="V41" s="194"/>
      <c r="W41" s="195">
        <f>E41/'LEVEL 3'!$B$8</f>
        <v>9.9343315213791909E-3</v>
      </c>
      <c r="X41" s="193"/>
      <c r="Y41" s="194"/>
      <c r="Z41" s="195">
        <f>H41/('Scenario 1 - Phase 1'!$B$8+'LEVEL 3'!$B$8)</f>
        <v>1.1528661039629034E-2</v>
      </c>
      <c r="AA41" s="1"/>
    </row>
    <row r="42" spans="1:27">
      <c r="A42" s="37" t="s">
        <v>176</v>
      </c>
      <c r="B42" s="71">
        <f>'Scenario 1 - Phase 1'!K57</f>
        <v>235610.43443537259</v>
      </c>
      <c r="C42" s="1"/>
      <c r="E42" s="71">
        <f>'LEVEL 3'!K57</f>
        <v>146556</v>
      </c>
      <c r="F42" s="1"/>
      <c r="H42" s="71">
        <f t="shared" si="3"/>
        <v>382166.43443537259</v>
      </c>
      <c r="I42" s="1"/>
      <c r="K42" s="71">
        <f>B42/'Scenario 1 - Phase 1'!$E$8</f>
        <v>678.99260644199592</v>
      </c>
      <c r="L42" s="1"/>
      <c r="N42" s="71">
        <f>E42/'LEVEL 3'!$E$8</f>
        <v>755.4432989690722</v>
      </c>
      <c r="O42" s="1"/>
      <c r="Q42" s="71">
        <f>H42/('Scenario 1 - Phase 1'!$E$8+'LEVEL 3'!$E$8)</f>
        <v>706.40745736667759</v>
      </c>
      <c r="R42" s="1"/>
      <c r="T42" s="195">
        <f>B42/'Scenario 1 - Phase 1'!$B$8</f>
        <v>0.75724407002388805</v>
      </c>
      <c r="U42" s="193"/>
      <c r="V42" s="194"/>
      <c r="W42" s="195">
        <f>E42/'LEVEL 3'!$B$8</f>
        <v>0.74663378997294805</v>
      </c>
      <c r="X42" s="193"/>
      <c r="Y42" s="194"/>
      <c r="Z42" s="195">
        <f>H42/('Scenario 1 - Phase 1'!$B$8+'LEVEL 3'!$B$8)</f>
        <v>0.75313970655196982</v>
      </c>
      <c r="AA42" s="1"/>
    </row>
    <row r="43" spans="1:27">
      <c r="A43" s="37" t="s">
        <v>179</v>
      </c>
      <c r="B43" s="71">
        <f>'Scenario 1 - Phase 1'!K58</f>
        <v>0</v>
      </c>
      <c r="C43" s="1"/>
      <c r="E43" s="71">
        <f>'LEVEL 3'!K58</f>
        <v>0</v>
      </c>
      <c r="F43" s="1"/>
      <c r="H43" s="71">
        <f t="shared" si="3"/>
        <v>0</v>
      </c>
      <c r="I43" s="1"/>
      <c r="K43" s="71">
        <f>B43/'Scenario 1 - Phase 1'!$E$8</f>
        <v>0</v>
      </c>
      <c r="L43" s="1"/>
      <c r="N43" s="71">
        <f>E43/'LEVEL 3'!$E$8</f>
        <v>0</v>
      </c>
      <c r="O43" s="1"/>
      <c r="Q43" s="71">
        <f>H43/('Scenario 1 - Phase 1'!$E$8+'LEVEL 3'!$E$8)</f>
        <v>0</v>
      </c>
      <c r="R43" s="1"/>
      <c r="T43" s="195">
        <f>B43/'Scenario 1 - Phase 1'!$B$8</f>
        <v>0</v>
      </c>
      <c r="U43" s="193"/>
      <c r="V43" s="194"/>
      <c r="W43" s="195">
        <f>E43/'LEVEL 3'!$B$8</f>
        <v>0</v>
      </c>
      <c r="X43" s="193"/>
      <c r="Y43" s="194"/>
      <c r="Z43" s="195">
        <f>H43/('Scenario 1 - Phase 1'!$B$8+'LEVEL 3'!$B$8)</f>
        <v>0</v>
      </c>
      <c r="AA43" s="1"/>
    </row>
    <row r="44" spans="1:27">
      <c r="A44" s="33" t="s">
        <v>182</v>
      </c>
      <c r="B44" s="82"/>
      <c r="C44" s="102">
        <f>SUM(B45:B56)</f>
        <v>7663075.3600000003</v>
      </c>
      <c r="E44" s="82"/>
      <c r="F44" s="102" t="e">
        <f>SUM(E45:E56)</f>
        <v>#REF!</v>
      </c>
      <c r="H44" s="82"/>
      <c r="I44" s="102" t="e">
        <f>SUM(H45:H56)</f>
        <v>#REF!</v>
      </c>
      <c r="K44" s="82"/>
      <c r="L44" s="102">
        <f>SUM(K45:K56)</f>
        <v>22083.790662824213</v>
      </c>
      <c r="N44" s="82"/>
      <c r="O44" s="102" t="e">
        <f>SUM(N45:N56)</f>
        <v>#REF!</v>
      </c>
      <c r="Q44" s="82"/>
      <c r="R44" s="102" t="e">
        <f>SUM(Q45:Q56)</f>
        <v>#REF!</v>
      </c>
      <c r="T44" s="82"/>
      <c r="U44" s="201">
        <f>C44/'Scenario 1 - Phase 1'!$B$8</f>
        <v>24.628868362355451</v>
      </c>
      <c r="V44" s="199"/>
      <c r="W44" s="203"/>
      <c r="X44" s="201" t="e">
        <f>F44/'LEVEL 3'!$B$8</f>
        <v>#REF!</v>
      </c>
      <c r="Y44" s="199"/>
      <c r="Z44" s="203"/>
      <c r="AA44" s="201" t="e">
        <f>I44/('Scenario 1 - Phase 1'!$B$8+'LEVEL 3'!$B$8)</f>
        <v>#REF!</v>
      </c>
    </row>
    <row r="45" spans="1:27">
      <c r="A45" s="35" t="s">
        <v>184</v>
      </c>
      <c r="B45" s="71">
        <f>'Scenario 1 - Phase 1'!K60</f>
        <v>27413</v>
      </c>
      <c r="C45" s="1"/>
      <c r="E45" s="71" t="e">
        <f>'LEVEL 3'!#REF!</f>
        <v>#REF!</v>
      </c>
      <c r="F45" s="1"/>
      <c r="H45" s="71" t="e">
        <f t="shared" ref="H45:H56" si="4">B45+E45</f>
        <v>#REF!</v>
      </c>
      <c r="I45" s="1"/>
      <c r="K45" s="71">
        <f>B45/'Scenario 1 - Phase 1'!$E$8</f>
        <v>79</v>
      </c>
      <c r="L45" s="1"/>
      <c r="N45" s="71" t="e">
        <f>E45/'LEVEL 3'!$E$8</f>
        <v>#REF!</v>
      </c>
      <c r="O45" s="1"/>
      <c r="Q45" s="71" t="e">
        <f>H45/('Scenario 1 - Phase 1'!$E$8+'LEVEL 3'!$E$8)</f>
        <v>#REF!</v>
      </c>
      <c r="R45" s="1"/>
      <c r="T45" s="195">
        <f>B45/'Scenario 1 - Phase 1'!$B$8</f>
        <v>8.8104466770799181E-2</v>
      </c>
      <c r="U45" s="193"/>
      <c r="V45" s="194"/>
      <c r="W45" s="195" t="e">
        <f>E45/'LEVEL 3'!$B$8</f>
        <v>#REF!</v>
      </c>
      <c r="X45" s="193"/>
      <c r="Y45" s="194"/>
      <c r="Z45" s="195" t="e">
        <f>H45/('Scenario 1 - Phase 1'!$B$8+'LEVEL 3'!$B$8)</f>
        <v>#REF!</v>
      </c>
      <c r="AA45" s="1"/>
    </row>
    <row r="46" spans="1:27">
      <c r="A46" s="37" t="s">
        <v>188</v>
      </c>
      <c r="B46" s="71">
        <f>'Scenario 1 - Phase 1'!K61</f>
        <v>6197948.6400000006</v>
      </c>
      <c r="C46" s="1"/>
      <c r="E46" s="71">
        <f>'LEVEL 3'!K60</f>
        <v>4008924.5</v>
      </c>
      <c r="F46" s="1"/>
      <c r="H46" s="71">
        <f t="shared" si="4"/>
        <v>10206873.140000001</v>
      </c>
      <c r="I46" s="1"/>
      <c r="K46" s="71">
        <f>B46/'Scenario 1 - Phase 1'!$E$8</f>
        <v>17861.523458213258</v>
      </c>
      <c r="L46" s="1"/>
      <c r="N46" s="71">
        <f>E46/'LEVEL 3'!$E$8</f>
        <v>20664.559278350516</v>
      </c>
      <c r="O46" s="1"/>
      <c r="Q46" s="71">
        <f>H46/('Scenario 1 - Phase 1'!$E$8+'LEVEL 3'!$E$8)</f>
        <v>18866.678632162664</v>
      </c>
      <c r="R46" s="1"/>
      <c r="T46" s="195">
        <f>B46/'Scenario 1 - Phase 1'!$B$8</f>
        <v>19.920000000000002</v>
      </c>
      <c r="U46" s="193"/>
      <c r="V46" s="194"/>
      <c r="W46" s="195">
        <f>E46/'LEVEL 3'!$B$8</f>
        <v>20.42358206522016</v>
      </c>
      <c r="X46" s="193"/>
      <c r="Y46" s="194"/>
      <c r="Z46" s="195">
        <f>H46/('Scenario 1 - Phase 1'!$B$8+'LEVEL 3'!$B$8)</f>
        <v>20.114800120607534</v>
      </c>
      <c r="AA46" s="1"/>
    </row>
    <row r="47" spans="1:27">
      <c r="A47" s="37" t="s">
        <v>190</v>
      </c>
      <c r="B47" s="71">
        <f>'Scenario 1 - Phase 1'!K62</f>
        <v>0</v>
      </c>
      <c r="C47" s="1"/>
      <c r="E47" s="71">
        <f>'LEVEL 3'!K62</f>
        <v>0</v>
      </c>
      <c r="F47" s="1"/>
      <c r="H47" s="71">
        <f t="shared" si="4"/>
        <v>0</v>
      </c>
      <c r="I47" s="1"/>
      <c r="K47" s="71">
        <f>B47/'Scenario 1 - Phase 1'!$E$8</f>
        <v>0</v>
      </c>
      <c r="L47" s="1"/>
      <c r="N47" s="71">
        <f>E47/'LEVEL 3'!$E$8</f>
        <v>0</v>
      </c>
      <c r="O47" s="1"/>
      <c r="Q47" s="71">
        <f>H47/('Scenario 1 - Phase 1'!$E$8+'LEVEL 3'!$E$8)</f>
        <v>0</v>
      </c>
      <c r="R47" s="1"/>
      <c r="T47" s="195">
        <f>B47/'Scenario 1 - Phase 1'!$B$8</f>
        <v>0</v>
      </c>
      <c r="U47" s="193"/>
      <c r="V47" s="194"/>
      <c r="W47" s="195">
        <f>E47/'LEVEL 3'!$B$8</f>
        <v>0</v>
      </c>
      <c r="X47" s="193"/>
      <c r="Y47" s="194"/>
      <c r="Z47" s="195">
        <f>H47/('Scenario 1 - Phase 1'!$B$8+'LEVEL 3'!$B$8)</f>
        <v>0</v>
      </c>
      <c r="AA47" s="1"/>
    </row>
    <row r="48" spans="1:27">
      <c r="A48" s="37" t="s">
        <v>191</v>
      </c>
      <c r="B48" s="71">
        <f>'Scenario 1 - Phase 1'!K63</f>
        <v>0</v>
      </c>
      <c r="C48" s="1"/>
      <c r="E48" s="71">
        <f>'LEVEL 3'!K63</f>
        <v>0</v>
      </c>
      <c r="F48" s="1"/>
      <c r="H48" s="71">
        <f t="shared" si="4"/>
        <v>0</v>
      </c>
      <c r="I48" s="1"/>
      <c r="K48" s="71">
        <f>B48/'Scenario 1 - Phase 1'!$E$8</f>
        <v>0</v>
      </c>
      <c r="L48" s="1"/>
      <c r="N48" s="71">
        <f>E48/'LEVEL 3'!$E$8</f>
        <v>0</v>
      </c>
      <c r="O48" s="1"/>
      <c r="Q48" s="71">
        <f>H48/('Scenario 1 - Phase 1'!$E$8+'LEVEL 3'!$E$8)</f>
        <v>0</v>
      </c>
      <c r="R48" s="1"/>
      <c r="T48" s="195">
        <f>B48/'Scenario 1 - Phase 1'!$B$8</f>
        <v>0</v>
      </c>
      <c r="U48" s="193"/>
      <c r="V48" s="194"/>
      <c r="W48" s="195">
        <f>E48/'LEVEL 3'!$B$8</f>
        <v>0</v>
      </c>
      <c r="X48" s="193"/>
      <c r="Y48" s="194"/>
      <c r="Z48" s="195">
        <f>H48/('Scenario 1 - Phase 1'!$B$8+'LEVEL 3'!$B$8)</f>
        <v>0</v>
      </c>
      <c r="AA48" s="1"/>
    </row>
    <row r="49" spans="1:27">
      <c r="A49" s="37" t="s">
        <v>193</v>
      </c>
      <c r="B49" s="71">
        <f>'Scenario 1 - Phase 1'!K64</f>
        <v>5620</v>
      </c>
      <c r="C49" s="1"/>
      <c r="E49" s="71">
        <f>'LEVEL 3'!K64</f>
        <v>2500</v>
      </c>
      <c r="F49" s="1"/>
      <c r="H49" s="71">
        <f t="shared" si="4"/>
        <v>8120</v>
      </c>
      <c r="I49" s="1"/>
      <c r="K49" s="71">
        <f>B49/'Scenario 1 - Phase 1'!$E$8</f>
        <v>16.195965417867434</v>
      </c>
      <c r="L49" s="1"/>
      <c r="N49" s="71">
        <f>E49/'LEVEL 3'!$E$8</f>
        <v>12.88659793814433</v>
      </c>
      <c r="O49" s="1"/>
      <c r="Q49" s="71">
        <f>H49/('Scenario 1 - Phase 1'!$E$8+'LEVEL 3'!$E$8)</f>
        <v>15.009242144177449</v>
      </c>
      <c r="R49" s="1"/>
      <c r="T49" s="195">
        <f>B49/'Scenario 1 - Phase 1'!$B$8</f>
        <v>1.8062492366829292E-2</v>
      </c>
      <c r="U49" s="193"/>
      <c r="V49" s="194"/>
      <c r="W49" s="195">
        <f>E49/'LEVEL 3'!$B$8</f>
        <v>1.2736322463306655E-2</v>
      </c>
      <c r="X49" s="193"/>
      <c r="Y49" s="194"/>
      <c r="Z49" s="195">
        <f>H49/('Scenario 1 - Phase 1'!$B$8+'LEVEL 3'!$B$8)</f>
        <v>1.6002175665262863E-2</v>
      </c>
      <c r="AA49" s="1"/>
    </row>
    <row r="50" spans="1:27">
      <c r="A50" s="37" t="s">
        <v>196</v>
      </c>
      <c r="B50" s="71">
        <f>'Scenario 1 - Phase 1'!K65</f>
        <v>0</v>
      </c>
      <c r="C50" s="1"/>
      <c r="E50" s="71">
        <f>'LEVEL 3'!K65</f>
        <v>0</v>
      </c>
      <c r="F50" s="1"/>
      <c r="H50" s="71">
        <f t="shared" si="4"/>
        <v>0</v>
      </c>
      <c r="I50" s="1"/>
      <c r="K50" s="71">
        <f>B50/'Scenario 1 - Phase 1'!$E$8</f>
        <v>0</v>
      </c>
      <c r="L50" s="1"/>
      <c r="N50" s="71">
        <f>E50/'LEVEL 3'!$E$8</f>
        <v>0</v>
      </c>
      <c r="O50" s="1"/>
      <c r="Q50" s="71">
        <f>H50/('Scenario 1 - Phase 1'!$E$8+'LEVEL 3'!$E$8)</f>
        <v>0</v>
      </c>
      <c r="R50" s="1"/>
      <c r="T50" s="195">
        <f>B50/'Scenario 1 - Phase 1'!$B$8</f>
        <v>0</v>
      </c>
      <c r="U50" s="193"/>
      <c r="V50" s="194"/>
      <c r="W50" s="195">
        <f>E50/'LEVEL 3'!$B$8</f>
        <v>0</v>
      </c>
      <c r="X50" s="193"/>
      <c r="Y50" s="194"/>
      <c r="Z50" s="195">
        <f>H50/('Scenario 1 - Phase 1'!$B$8+'LEVEL 3'!$B$8)</f>
        <v>0</v>
      </c>
      <c r="AA50" s="1"/>
    </row>
    <row r="51" spans="1:27">
      <c r="A51" s="37" t="s">
        <v>198</v>
      </c>
      <c r="B51" s="71">
        <f>'Scenario 1 - Phase 1'!K66</f>
        <v>0</v>
      </c>
      <c r="C51" s="1"/>
      <c r="E51" s="71">
        <f>'LEVEL 3'!K66</f>
        <v>0</v>
      </c>
      <c r="F51" s="1"/>
      <c r="H51" s="71">
        <f t="shared" si="4"/>
        <v>0</v>
      </c>
      <c r="I51" s="1"/>
      <c r="K51" s="71">
        <f>B51/'Scenario 1 - Phase 1'!$E$8</f>
        <v>0</v>
      </c>
      <c r="L51" s="1"/>
      <c r="N51" s="71">
        <f>E51/'LEVEL 3'!$E$8</f>
        <v>0</v>
      </c>
      <c r="O51" s="1"/>
      <c r="Q51" s="71">
        <f>H51/('Scenario 1 - Phase 1'!$E$8+'LEVEL 3'!$E$8)</f>
        <v>0</v>
      </c>
      <c r="R51" s="1"/>
      <c r="T51" s="195">
        <f>B51/'Scenario 1 - Phase 1'!$B$8</f>
        <v>0</v>
      </c>
      <c r="U51" s="193"/>
      <c r="V51" s="194"/>
      <c r="W51" s="195">
        <f>E51/'LEVEL 3'!$B$8</f>
        <v>0</v>
      </c>
      <c r="X51" s="193"/>
      <c r="Y51" s="194"/>
      <c r="Z51" s="195">
        <f>H51/('Scenario 1 - Phase 1'!$B$8+'LEVEL 3'!$B$8)</f>
        <v>0</v>
      </c>
      <c r="AA51" s="1"/>
    </row>
    <row r="52" spans="1:27">
      <c r="A52" s="37" t="s">
        <v>200</v>
      </c>
      <c r="B52" s="71">
        <f>'Scenario 1 - Phase 1'!K67</f>
        <v>0</v>
      </c>
      <c r="C52" s="1"/>
      <c r="E52" s="71">
        <f>'LEVEL 3'!K67</f>
        <v>0</v>
      </c>
      <c r="F52" s="1"/>
      <c r="H52" s="71">
        <f t="shared" si="4"/>
        <v>0</v>
      </c>
      <c r="I52" s="1"/>
      <c r="K52" s="71">
        <f>B52/'Scenario 1 - Phase 1'!$E$8</f>
        <v>0</v>
      </c>
      <c r="L52" s="1"/>
      <c r="N52" s="71">
        <f>E52/'LEVEL 3'!$E$8</f>
        <v>0</v>
      </c>
      <c r="O52" s="1"/>
      <c r="Q52" s="71">
        <f>H52/('Scenario 1 - Phase 1'!$E$8+'LEVEL 3'!$E$8)</f>
        <v>0</v>
      </c>
      <c r="R52" s="1"/>
      <c r="T52" s="195">
        <f>B52/'Scenario 1 - Phase 1'!$B$8</f>
        <v>0</v>
      </c>
      <c r="U52" s="193"/>
      <c r="V52" s="194"/>
      <c r="W52" s="195">
        <f>E52/'LEVEL 3'!$B$8</f>
        <v>0</v>
      </c>
      <c r="X52" s="193"/>
      <c r="Y52" s="194"/>
      <c r="Z52" s="195">
        <f>H52/('Scenario 1 - Phase 1'!$B$8+'LEVEL 3'!$B$8)</f>
        <v>0</v>
      </c>
      <c r="AA52" s="1"/>
    </row>
    <row r="53" spans="1:27">
      <c r="A53" s="37" t="s">
        <v>201</v>
      </c>
      <c r="B53" s="71">
        <f>'Scenario 1 - Phase 1'!K68</f>
        <v>1069107</v>
      </c>
      <c r="C53" s="1"/>
      <c r="E53" s="71">
        <f>'LEVEL 3'!K68</f>
        <v>614845</v>
      </c>
      <c r="F53" s="1"/>
      <c r="H53" s="71">
        <f t="shared" si="4"/>
        <v>1683952</v>
      </c>
      <c r="I53" s="1"/>
      <c r="K53" s="71">
        <f>B53/'Scenario 1 - Phase 1'!$E$8</f>
        <v>3081</v>
      </c>
      <c r="L53" s="1"/>
      <c r="N53" s="71">
        <f>E53/'LEVEL 3'!$E$8</f>
        <v>3169.3041237113403</v>
      </c>
      <c r="O53" s="1"/>
      <c r="Q53" s="71">
        <f>H53/('Scenario 1 - Phase 1'!$E$8+'LEVEL 3'!$E$8)</f>
        <v>3112.6654343807763</v>
      </c>
      <c r="R53" s="1"/>
      <c r="T53" s="195">
        <f>B53/'Scenario 1 - Phase 1'!$B$8</f>
        <v>3.436074204061168</v>
      </c>
      <c r="U53" s="193"/>
      <c r="V53" s="194"/>
      <c r="W53" s="195">
        <f>E53/'LEVEL 3'!$B$8</f>
        <v>3.1323456739807121</v>
      </c>
      <c r="X53" s="193"/>
      <c r="Y53" s="194"/>
      <c r="Z53" s="195">
        <f>H53/('Scenario 1 - Phase 1'!$B$8+'LEVEL 3'!$B$8)</f>
        <v>3.3185832162402376</v>
      </c>
      <c r="AA53" s="1"/>
    </row>
    <row r="54" spans="1:27">
      <c r="A54" s="37" t="s">
        <v>203</v>
      </c>
      <c r="B54" s="71">
        <f>'Scenario 1 - Phase 1'!K69</f>
        <v>360924.72</v>
      </c>
      <c r="C54" s="1"/>
      <c r="E54" s="71">
        <f>'LEVEL 3'!K69</f>
        <v>157031.20000000001</v>
      </c>
      <c r="F54" s="1"/>
      <c r="H54" s="71">
        <f t="shared" si="4"/>
        <v>517955.92</v>
      </c>
      <c r="I54" s="1"/>
      <c r="K54" s="71">
        <f>B54/'Scenario 1 - Phase 1'!$E$8</f>
        <v>1040.1288760806915</v>
      </c>
      <c r="L54" s="1"/>
      <c r="N54" s="71">
        <f>E54/'LEVEL 3'!$E$8</f>
        <v>809.43917525773202</v>
      </c>
      <c r="O54" s="1"/>
      <c r="Q54" s="71">
        <f>H54/('Scenario 1 - Phase 1'!$E$8+'LEVEL 3'!$E$8)</f>
        <v>957.40465804066537</v>
      </c>
      <c r="R54" s="1"/>
      <c r="T54" s="195">
        <f>B54/'Scenario 1 - Phase 1'!$B$8</f>
        <v>1.1599999999999999</v>
      </c>
      <c r="U54" s="193"/>
      <c r="V54" s="194"/>
      <c r="W54" s="195">
        <f>E54/'LEVEL 3'!$B$8</f>
        <v>0.8</v>
      </c>
      <c r="X54" s="193"/>
      <c r="Y54" s="194"/>
      <c r="Z54" s="195">
        <f>H54/('Scenario 1 - Phase 1'!$B$8+'LEVEL 3'!$B$8)</f>
        <v>1.020741578657985</v>
      </c>
      <c r="AA54" s="1"/>
    </row>
    <row r="55" spans="1:27">
      <c r="A55" s="37" t="s">
        <v>204</v>
      </c>
      <c r="B55" s="71">
        <f>'Scenario 1 - Phase 1'!K70</f>
        <v>2062</v>
      </c>
      <c r="C55" s="1"/>
      <c r="E55" s="71">
        <f>'LEVEL 3'!K71</f>
        <v>1200</v>
      </c>
      <c r="F55" s="1"/>
      <c r="H55" s="71">
        <f t="shared" si="4"/>
        <v>3262</v>
      </c>
      <c r="I55" s="1"/>
      <c r="K55" s="71">
        <f>B55/'Scenario 1 - Phase 1'!$E$8</f>
        <v>5.9423631123919307</v>
      </c>
      <c r="L55" s="1"/>
      <c r="N55" s="71">
        <f>E55/'LEVEL 3'!$E$8</f>
        <v>6.1855670103092786</v>
      </c>
      <c r="O55" s="1"/>
      <c r="Q55" s="71">
        <f>H55/('Scenario 1 - Phase 1'!$E$8+'LEVEL 3'!$E$8)</f>
        <v>6.0295748613678377</v>
      </c>
      <c r="R55" s="1"/>
      <c r="T55" s="195">
        <f>B55/'Scenario 1 - Phase 1'!$B$8</f>
        <v>6.6271991566551605E-3</v>
      </c>
      <c r="U55" s="193"/>
      <c r="V55" s="194"/>
      <c r="W55" s="195">
        <f>E55/'LEVEL 3'!$B$8</f>
        <v>6.1134347823871941E-3</v>
      </c>
      <c r="X55" s="193"/>
      <c r="Y55" s="194"/>
      <c r="Z55" s="195">
        <f>H55/('Scenario 1 - Phase 1'!$B$8+'LEVEL 3'!$B$8)</f>
        <v>6.4284602241487018E-3</v>
      </c>
      <c r="AA55" s="1"/>
    </row>
    <row r="56" spans="1:27">
      <c r="A56" s="37" t="s">
        <v>206</v>
      </c>
      <c r="B56" s="71">
        <f>'Scenario 1 - Phase 1'!K71</f>
        <v>0</v>
      </c>
      <c r="C56" s="1"/>
      <c r="E56" s="71">
        <f>'LEVEL 3'!K72</f>
        <v>0</v>
      </c>
      <c r="F56" s="1"/>
      <c r="H56" s="71">
        <f t="shared" si="4"/>
        <v>0</v>
      </c>
      <c r="I56" s="1"/>
      <c r="K56" s="71">
        <f>B56/'Scenario 1 - Phase 1'!$E$8</f>
        <v>0</v>
      </c>
      <c r="L56" s="1"/>
      <c r="N56" s="71">
        <f>E56/'LEVEL 3'!$E$8</f>
        <v>0</v>
      </c>
      <c r="O56" s="1"/>
      <c r="Q56" s="71">
        <f>H56/('Scenario 1 - Phase 1'!$E$8+'LEVEL 3'!$E$8)</f>
        <v>0</v>
      </c>
      <c r="R56" s="1"/>
      <c r="T56" s="195">
        <f>B56/'Scenario 1 - Phase 1'!$B$8</f>
        <v>0</v>
      </c>
      <c r="U56" s="193"/>
      <c r="V56" s="194"/>
      <c r="W56" s="195">
        <f>E56/'LEVEL 3'!$B$8</f>
        <v>0</v>
      </c>
      <c r="X56" s="193"/>
      <c r="Y56" s="194"/>
      <c r="Z56" s="195">
        <f>H56/('Scenario 1 - Phase 1'!$B$8+'LEVEL 3'!$B$8)</f>
        <v>0</v>
      </c>
      <c r="AA56" s="1"/>
    </row>
    <row r="57" spans="1:27">
      <c r="A57" s="33" t="s">
        <v>208</v>
      </c>
      <c r="B57" s="82"/>
      <c r="C57" s="102">
        <f>SUM(B58:B68)</f>
        <v>1573821.8300000003</v>
      </c>
      <c r="E57" s="82"/>
      <c r="F57" s="102">
        <f>SUM(E58:E68)</f>
        <v>902986.76</v>
      </c>
      <c r="H57" s="82"/>
      <c r="I57" s="102">
        <f>SUM(H58:H68)</f>
        <v>2476808.59</v>
      </c>
      <c r="K57" s="82"/>
      <c r="L57" s="102">
        <f>SUM(K58:K68)</f>
        <v>4535.5095965417859</v>
      </c>
      <c r="N57" s="82"/>
      <c r="O57" s="102">
        <f>SUM(N58:N68)</f>
        <v>4654.5709278350514</v>
      </c>
      <c r="Q57" s="82"/>
      <c r="R57" s="102">
        <f>SUM(Q58:Q68)</f>
        <v>4578.2044177449161</v>
      </c>
      <c r="T57" s="82"/>
      <c r="U57" s="201">
        <f>C57/'Scenario 1 - Phase 1'!$B$8</f>
        <v>5.0582108169260351</v>
      </c>
      <c r="V57" s="199"/>
      <c r="W57" s="203"/>
      <c r="X57" s="201">
        <f>F57/'LEVEL 3'!$B$8</f>
        <v>4.6002922221825981</v>
      </c>
      <c r="Y57" s="199"/>
      <c r="Z57" s="203"/>
      <c r="AA57" s="201">
        <f>I57/('Scenario 1 - Phase 1'!$B$8+'LEVEL 3'!$B$8)</f>
        <v>4.8810746485729091</v>
      </c>
    </row>
    <row r="58" spans="1:27">
      <c r="A58" s="35" t="s">
        <v>210</v>
      </c>
      <c r="B58" s="71">
        <f>'Scenario 1 - Phase 1'!K73</f>
        <v>790300.68</v>
      </c>
      <c r="C58" s="1"/>
      <c r="E58" s="71">
        <f>'LEVEL 3'!K74</f>
        <v>527480.30000000005</v>
      </c>
      <c r="F58" s="1"/>
      <c r="H58" s="71">
        <f t="shared" ref="H58:H68" si="5">B58+E58</f>
        <v>1317780.98</v>
      </c>
      <c r="I58" s="1"/>
      <c r="K58" s="71">
        <f>B58/'Scenario 1 - Phase 1'!$E$8</f>
        <v>2277.5235734870316</v>
      </c>
      <c r="L58" s="1"/>
      <c r="N58" s="71">
        <f>E58/'LEVEL 3'!$E$8</f>
        <v>2718.9706185567011</v>
      </c>
      <c r="O58" s="1"/>
      <c r="Q58" s="71">
        <f>H58/('Scenario 1 - Phase 1'!$E$8+'LEVEL 3'!$E$8)</f>
        <v>2435.8243622920518</v>
      </c>
      <c r="R58" s="1"/>
      <c r="T58" s="195">
        <f>B58/'Scenario 1 - Phase 1'!$B$8</f>
        <v>2.54</v>
      </c>
      <c r="U58" s="193"/>
      <c r="V58" s="194"/>
      <c r="W58" s="195">
        <f>E58/'LEVEL 3'!$B$8</f>
        <v>2.6872636775366936</v>
      </c>
      <c r="X58" s="193"/>
      <c r="Y58" s="194"/>
      <c r="Z58" s="195">
        <f>H58/('Scenario 1 - Phase 1'!$B$8+'LEVEL 3'!$B$8)</f>
        <v>2.5969658534854987</v>
      </c>
      <c r="AA58" s="1"/>
    </row>
    <row r="59" spans="1:27">
      <c r="A59" s="37" t="s">
        <v>51</v>
      </c>
      <c r="B59" s="83">
        <f>'Scenario 1 - Phase 1'!K74</f>
        <v>650172.69000000006</v>
      </c>
      <c r="C59" s="1"/>
      <c r="E59" s="83">
        <f>'LEVEL 3'!K76</f>
        <v>303688.89</v>
      </c>
      <c r="F59" s="1"/>
      <c r="H59" s="83">
        <f t="shared" si="5"/>
        <v>953861.58000000007</v>
      </c>
      <c r="I59" s="1"/>
      <c r="K59" s="83">
        <f>B59/'Scenario 1 - Phase 1'!$E$8</f>
        <v>1873.6965129682999</v>
      </c>
      <c r="L59" s="1"/>
      <c r="N59" s="83">
        <f>E59/'LEVEL 3'!$E$8</f>
        <v>1565.406649484536</v>
      </c>
      <c r="O59" s="1"/>
      <c r="Q59" s="83">
        <f>H59/('Scenario 1 - Phase 1'!$E$8+'LEVEL 3'!$E$8)</f>
        <v>1763.1452495378928</v>
      </c>
      <c r="R59" s="1"/>
      <c r="T59" s="197">
        <f>B59/'Scenario 1 - Phase 1'!$B$8</f>
        <v>2.0896333185490872</v>
      </c>
      <c r="U59" s="193"/>
      <c r="V59" s="194"/>
      <c r="W59" s="197">
        <f>E59/'LEVEL 3'!$B$8</f>
        <v>1.5471518526254655</v>
      </c>
      <c r="X59" s="193"/>
      <c r="Y59" s="194"/>
      <c r="Z59" s="197">
        <f>H59/('Scenario 1 - Phase 1'!$B$8+'LEVEL 3'!$B$8)</f>
        <v>1.8797857836829048</v>
      </c>
      <c r="AA59" s="1"/>
    </row>
    <row r="60" spans="1:27">
      <c r="A60" s="37" t="s">
        <v>214</v>
      </c>
      <c r="B60" s="83">
        <f>'Scenario 1 - Phase 1'!K75</f>
        <v>0</v>
      </c>
      <c r="C60" s="1"/>
      <c r="E60" s="83">
        <f>'LEVEL 3'!K77</f>
        <v>0</v>
      </c>
      <c r="F60" s="1"/>
      <c r="H60" s="83">
        <f t="shared" si="5"/>
        <v>0</v>
      </c>
      <c r="I60" s="1"/>
      <c r="K60" s="83">
        <f>B60/'Scenario 1 - Phase 1'!$E$8</f>
        <v>0</v>
      </c>
      <c r="L60" s="1"/>
      <c r="N60" s="83">
        <f>E60/'LEVEL 3'!$E$8</f>
        <v>0</v>
      </c>
      <c r="O60" s="1"/>
      <c r="Q60" s="83">
        <f>H60/('Scenario 1 - Phase 1'!$E$8+'LEVEL 3'!$E$8)</f>
        <v>0</v>
      </c>
      <c r="R60" s="1"/>
      <c r="T60" s="197">
        <f>B60/'Scenario 1 - Phase 1'!$B$8</f>
        <v>0</v>
      </c>
      <c r="U60" s="193"/>
      <c r="V60" s="194"/>
      <c r="W60" s="197">
        <f>E60/'LEVEL 3'!$B$8</f>
        <v>0</v>
      </c>
      <c r="X60" s="193"/>
      <c r="Y60" s="194"/>
      <c r="Z60" s="197">
        <f>H60/('Scenario 1 - Phase 1'!$B$8+'LEVEL 3'!$B$8)</f>
        <v>0</v>
      </c>
      <c r="AA60" s="1"/>
    </row>
    <row r="61" spans="1:27">
      <c r="A61" s="37" t="s">
        <v>216</v>
      </c>
      <c r="B61" s="83">
        <f>'Scenario 1 - Phase 1'!K76</f>
        <v>6700</v>
      </c>
      <c r="C61" s="1"/>
      <c r="E61" s="83">
        <f>'LEVEL 3'!K78</f>
        <v>7500</v>
      </c>
      <c r="F61" s="1"/>
      <c r="H61" s="83">
        <f t="shared" si="5"/>
        <v>14200</v>
      </c>
      <c r="I61" s="1"/>
      <c r="K61" s="83">
        <f>B61/'Scenario 1 - Phase 1'!$E$8</f>
        <v>19.308357348703169</v>
      </c>
      <c r="L61" s="1"/>
      <c r="N61" s="83">
        <f>E61/'LEVEL 3'!$E$8</f>
        <v>38.659793814432987</v>
      </c>
      <c r="O61" s="1"/>
      <c r="Q61" s="83">
        <f>H61/('Scenario 1 - Phase 1'!$E$8+'LEVEL 3'!$E$8)</f>
        <v>26.247689463955638</v>
      </c>
      <c r="R61" s="1"/>
      <c r="T61" s="197">
        <f>B61/'Scenario 1 - Phase 1'!$B$8</f>
        <v>2.1533576309209299E-2</v>
      </c>
      <c r="U61" s="193"/>
      <c r="V61" s="194"/>
      <c r="W61" s="197">
        <f>E61/'LEVEL 3'!$B$8</f>
        <v>3.8208967389919968E-2</v>
      </c>
      <c r="X61" s="193"/>
      <c r="Y61" s="194"/>
      <c r="Z61" s="197">
        <f>H61/('Scenario 1 - Phase 1'!$B$8+'LEVEL 3'!$B$8)</f>
        <v>2.7984100301321757E-2</v>
      </c>
      <c r="AA61" s="1"/>
    </row>
    <row r="62" spans="1:27">
      <c r="A62" s="37" t="s">
        <v>217</v>
      </c>
      <c r="B62" s="83">
        <f>'Scenario 1 - Phase 1'!K77</f>
        <v>0</v>
      </c>
      <c r="C62" s="1"/>
      <c r="E62" s="83">
        <f>'LEVEL 3'!K79</f>
        <v>7500</v>
      </c>
      <c r="F62" s="1"/>
      <c r="H62" s="83">
        <f t="shared" si="5"/>
        <v>7500</v>
      </c>
      <c r="I62" s="1"/>
      <c r="K62" s="83">
        <f>B62/'Scenario 1 - Phase 1'!$E$8</f>
        <v>0</v>
      </c>
      <c r="L62" s="1"/>
      <c r="N62" s="83">
        <f>E62/'LEVEL 3'!$E$8</f>
        <v>38.659793814432987</v>
      </c>
      <c r="O62" s="1"/>
      <c r="Q62" s="83">
        <f>H62/('Scenario 1 - Phase 1'!$E$8+'LEVEL 3'!$E$8)</f>
        <v>13.863216266173753</v>
      </c>
      <c r="R62" s="1"/>
      <c r="T62" s="197">
        <f>B62/'Scenario 1 - Phase 1'!$B$8</f>
        <v>0</v>
      </c>
      <c r="U62" s="193"/>
      <c r="V62" s="194"/>
      <c r="W62" s="197">
        <f>E62/'LEVEL 3'!$B$8</f>
        <v>3.8208967389919968E-2</v>
      </c>
      <c r="X62" s="193"/>
      <c r="Y62" s="194"/>
      <c r="Z62" s="197">
        <f>H62/('Scenario 1 - Phase 1'!$B$8+'LEVEL 3'!$B$8)</f>
        <v>1.4780334666191068E-2</v>
      </c>
      <c r="AA62" s="1"/>
    </row>
    <row r="63" spans="1:27">
      <c r="A63" s="37" t="s">
        <v>219</v>
      </c>
      <c r="B63" s="83">
        <f>'Scenario 1 - Phase 1'!K78</f>
        <v>70000</v>
      </c>
      <c r="C63" s="1"/>
      <c r="E63" s="83">
        <f>'LEVEL 3'!K80</f>
        <v>23200</v>
      </c>
      <c r="F63" s="1"/>
      <c r="H63" s="83">
        <f t="shared" si="5"/>
        <v>93200</v>
      </c>
      <c r="I63" s="1"/>
      <c r="K63" s="83">
        <f>B63/'Scenario 1 - Phase 1'!$E$8</f>
        <v>201.72910662824208</v>
      </c>
      <c r="L63" s="1"/>
      <c r="N63" s="83">
        <f>E63/'LEVEL 3'!$E$8</f>
        <v>119.58762886597938</v>
      </c>
      <c r="O63" s="1"/>
      <c r="Q63" s="83">
        <f>H63/('Scenario 1 - Phase 1'!$E$8+'LEVEL 3'!$E$8)</f>
        <v>172.2735674676525</v>
      </c>
      <c r="R63" s="1"/>
      <c r="T63" s="197">
        <f>B63/'Scenario 1 - Phase 1'!$B$8</f>
        <v>0.22497766293203747</v>
      </c>
      <c r="U63" s="193"/>
      <c r="V63" s="194"/>
      <c r="W63" s="197">
        <f>E63/'LEVEL 3'!$B$8</f>
        <v>0.11819307245948577</v>
      </c>
      <c r="X63" s="193"/>
      <c r="Y63" s="194"/>
      <c r="Z63" s="197">
        <f>H63/('Scenario 1 - Phase 1'!$B$8+'LEVEL 3'!$B$8)</f>
        <v>0.18367029211853433</v>
      </c>
      <c r="AA63" s="1"/>
    </row>
    <row r="64" spans="1:27">
      <c r="A64" s="37" t="s">
        <v>221</v>
      </c>
      <c r="B64" s="83">
        <f>'Scenario 1 - Phase 1'!K79</f>
        <v>24891.360000000001</v>
      </c>
      <c r="C64" s="1"/>
      <c r="E64" s="83">
        <f>'LEVEL 3'!K81</f>
        <v>15703.12</v>
      </c>
      <c r="F64" s="1"/>
      <c r="H64" s="83">
        <f t="shared" si="5"/>
        <v>40594.480000000003</v>
      </c>
      <c r="I64" s="1"/>
      <c r="K64" s="83">
        <f>B64/'Scenario 1 - Phase 1'!$E$8</f>
        <v>71.733025936599432</v>
      </c>
      <c r="L64" s="1"/>
      <c r="N64" s="83">
        <f>E64/'LEVEL 3'!$E$8</f>
        <v>80.943917525773202</v>
      </c>
      <c r="O64" s="1"/>
      <c r="Q64" s="83">
        <f>H64/('Scenario 1 - Phase 1'!$E$8+'LEVEL 3'!$E$8)</f>
        <v>75.036007393715352</v>
      </c>
      <c r="R64" s="1"/>
      <c r="T64" s="197">
        <f>B64/'Scenario 1 - Phase 1'!$B$8</f>
        <v>0.08</v>
      </c>
      <c r="U64" s="193"/>
      <c r="V64" s="194"/>
      <c r="W64" s="197">
        <f>E64/'LEVEL 3'!$B$8</f>
        <v>0.08</v>
      </c>
      <c r="X64" s="193"/>
      <c r="Y64" s="194"/>
      <c r="Z64" s="197">
        <f>H64/('Scenario 1 - Phase 1'!$B$8+'LEVEL 3'!$B$8)</f>
        <v>0.08</v>
      </c>
      <c r="AA64" s="1"/>
    </row>
    <row r="65" spans="1:27">
      <c r="A65" s="37" t="s">
        <v>223</v>
      </c>
      <c r="B65" s="83">
        <f>'Scenario 1 - Phase 1'!K80</f>
        <v>15557.1</v>
      </c>
      <c r="C65" s="1"/>
      <c r="E65" s="83">
        <f>'LEVEL 3'!K82</f>
        <v>9814.4500000000007</v>
      </c>
      <c r="F65" s="1"/>
      <c r="H65" s="83">
        <f t="shared" si="5"/>
        <v>25371.550000000003</v>
      </c>
      <c r="I65" s="1"/>
      <c r="K65" s="83">
        <f>B65/'Scenario 1 - Phase 1'!$E$8</f>
        <v>44.833141210374642</v>
      </c>
      <c r="L65" s="1"/>
      <c r="N65" s="83">
        <f>E65/'LEVEL 3'!$E$8</f>
        <v>50.589948453608251</v>
      </c>
      <c r="O65" s="1"/>
      <c r="Q65" s="83">
        <f>H65/('Scenario 1 - Phase 1'!$E$8+'LEVEL 3'!$E$8)</f>
        <v>46.897504621072095</v>
      </c>
      <c r="R65" s="1"/>
      <c r="T65" s="197">
        <f>B65/'Scenario 1 - Phase 1'!$B$8</f>
        <v>0.05</v>
      </c>
      <c r="U65" s="193"/>
      <c r="V65" s="194"/>
      <c r="W65" s="197">
        <f>E65/'LEVEL 3'!$B$8</f>
        <v>0.05</v>
      </c>
      <c r="X65" s="193"/>
      <c r="Y65" s="194"/>
      <c r="Z65" s="197">
        <f>H65/('Scenario 1 - Phase 1'!$B$8+'LEVEL 3'!$B$8)</f>
        <v>0.05</v>
      </c>
      <c r="AA65" s="1"/>
    </row>
    <row r="66" spans="1:27">
      <c r="A66" s="37" t="s">
        <v>225</v>
      </c>
      <c r="B66" s="83">
        <f>'Scenario 1 - Phase 1'!K81</f>
        <v>6200</v>
      </c>
      <c r="C66" s="1"/>
      <c r="E66" s="83">
        <f>'LEVEL 3'!K83</f>
        <v>3100</v>
      </c>
      <c r="F66" s="1"/>
      <c r="H66" s="83">
        <f t="shared" si="5"/>
        <v>9300</v>
      </c>
      <c r="I66" s="1"/>
      <c r="K66" s="83">
        <f>B66/'Scenario 1 - Phase 1'!$E$8</f>
        <v>17.86743515850144</v>
      </c>
      <c r="L66" s="1"/>
      <c r="N66" s="83">
        <f>E66/'LEVEL 3'!$E$8</f>
        <v>15.979381443298969</v>
      </c>
      <c r="O66" s="1"/>
      <c r="Q66" s="83">
        <f>H66/('Scenario 1 - Phase 1'!$E$8+'LEVEL 3'!$E$8)</f>
        <v>17.190388170055453</v>
      </c>
      <c r="R66" s="1"/>
      <c r="T66" s="197">
        <f>B66/'Scenario 1 - Phase 1'!$B$8</f>
        <v>1.9926593002551889E-2</v>
      </c>
      <c r="U66" s="193"/>
      <c r="V66" s="194"/>
      <c r="W66" s="197">
        <f>E66/'LEVEL 3'!$B$8</f>
        <v>1.5793039854500254E-2</v>
      </c>
      <c r="X66" s="193"/>
      <c r="Y66" s="194"/>
      <c r="Z66" s="197">
        <f>H66/('Scenario 1 - Phase 1'!$B$8+'LEVEL 3'!$B$8)</f>
        <v>1.8327614986076924E-2</v>
      </c>
      <c r="AA66" s="1"/>
    </row>
    <row r="67" spans="1:27">
      <c r="A67" s="37" t="s">
        <v>228</v>
      </c>
      <c r="B67" s="83">
        <f>'Scenario 1 - Phase 1'!K82</f>
        <v>10000</v>
      </c>
      <c r="C67" s="1"/>
      <c r="E67" s="83">
        <f>'LEVEL 3'!K84</f>
        <v>5000</v>
      </c>
      <c r="F67" s="1"/>
      <c r="H67" s="83">
        <f t="shared" si="5"/>
        <v>15000</v>
      </c>
      <c r="I67" s="1"/>
      <c r="K67" s="83">
        <f>B67/'Scenario 1 - Phase 1'!$E$8</f>
        <v>28.818443804034583</v>
      </c>
      <c r="L67" s="1"/>
      <c r="N67" s="83">
        <f>E67/'LEVEL 3'!$E$8</f>
        <v>25.773195876288661</v>
      </c>
      <c r="O67" s="1"/>
      <c r="Q67" s="83">
        <f>H67/('Scenario 1 - Phase 1'!$E$8+'LEVEL 3'!$E$8)</f>
        <v>27.726432532347506</v>
      </c>
      <c r="R67" s="1"/>
      <c r="T67" s="197">
        <f>B67/'Scenario 1 - Phase 1'!$B$8</f>
        <v>3.2139666133148212E-2</v>
      </c>
      <c r="U67" s="193"/>
      <c r="V67" s="194"/>
      <c r="W67" s="197">
        <f>E67/'LEVEL 3'!$B$8</f>
        <v>2.547264492661331E-2</v>
      </c>
      <c r="X67" s="193"/>
      <c r="Y67" s="194"/>
      <c r="Z67" s="197">
        <f>H67/('Scenario 1 - Phase 1'!$B$8+'LEVEL 3'!$B$8)</f>
        <v>2.9560669332382137E-2</v>
      </c>
      <c r="AA67" s="1"/>
    </row>
    <row r="68" spans="1:27">
      <c r="A68" s="37" t="s">
        <v>230</v>
      </c>
      <c r="B68" s="83">
        <f>'Scenario 1 - Phase 1'!K83</f>
        <v>0</v>
      </c>
      <c r="C68" s="1"/>
      <c r="E68" s="83">
        <f>'LEVEL 3'!K85</f>
        <v>0</v>
      </c>
      <c r="F68" s="1"/>
      <c r="H68" s="83">
        <f t="shared" si="5"/>
        <v>0</v>
      </c>
      <c r="I68" s="1"/>
      <c r="K68" s="83">
        <f>B68/'Scenario 1 - Phase 1'!$E$8</f>
        <v>0</v>
      </c>
      <c r="L68" s="1"/>
      <c r="N68" s="83">
        <f>E68/'LEVEL 3'!$E$8</f>
        <v>0</v>
      </c>
      <c r="O68" s="1"/>
      <c r="Q68" s="83">
        <f>H68/('Scenario 1 - Phase 1'!$E$8+'LEVEL 3'!$E$8)</f>
        <v>0</v>
      </c>
      <c r="R68" s="1"/>
      <c r="T68" s="197">
        <f>B68/'Scenario 1 - Phase 1'!$B$8</f>
        <v>0</v>
      </c>
      <c r="U68" s="193"/>
      <c r="V68" s="194"/>
      <c r="W68" s="197">
        <f>E68/'LEVEL 3'!$B$8</f>
        <v>0</v>
      </c>
      <c r="X68" s="193"/>
      <c r="Y68" s="194"/>
      <c r="Z68" s="197">
        <f>H68/('Scenario 1 - Phase 1'!$B$8+'LEVEL 3'!$B$8)</f>
        <v>0</v>
      </c>
      <c r="AA68" s="1"/>
    </row>
    <row r="69" spans="1:27">
      <c r="A69" s="33" t="s">
        <v>232</v>
      </c>
      <c r="B69" s="82"/>
      <c r="C69" s="102">
        <f>SUM(B70:B84)</f>
        <v>548400.70000000007</v>
      </c>
      <c r="E69" s="82"/>
      <c r="F69" s="102" t="e">
        <f>SUM(E70:E84)</f>
        <v>#REF!</v>
      </c>
      <c r="H69" s="82"/>
      <c r="I69" s="102" t="e">
        <f>SUM(H70:H84)</f>
        <v>#REF!</v>
      </c>
      <c r="K69" s="82"/>
      <c r="L69" s="102">
        <f>SUM(K70:K84)</f>
        <v>1580.4054755043228</v>
      </c>
      <c r="N69" s="82"/>
      <c r="O69" s="102" t="e">
        <f>SUM(N70:N84)</f>
        <v>#REF!</v>
      </c>
      <c r="Q69" s="82"/>
      <c r="R69" s="102" t="e">
        <f>SUM(Q70:Q84)</f>
        <v>#REF!</v>
      </c>
      <c r="T69" s="82"/>
      <c r="U69" s="201">
        <f>C69/'Scenario 1 - Phase 1'!$B$8</f>
        <v>1.7625415405184772</v>
      </c>
      <c r="V69" s="199"/>
      <c r="W69" s="203"/>
      <c r="X69" s="201" t="e">
        <f>F69/'LEVEL 3'!$B$8</f>
        <v>#REF!</v>
      </c>
      <c r="Y69" s="199"/>
      <c r="Z69" s="203"/>
      <c r="AA69" s="201" t="e">
        <f>I69/('Scenario 1 - Phase 1'!$B$8+'LEVEL 3'!$B$8)</f>
        <v>#REF!</v>
      </c>
    </row>
    <row r="70" spans="1:27">
      <c r="A70" s="35" t="s">
        <v>184</v>
      </c>
      <c r="B70" s="71">
        <f>'Scenario 1 - Phase 1'!K85</f>
        <v>27413</v>
      </c>
      <c r="C70" s="1"/>
      <c r="E70" s="71" t="e">
        <f>'LEVEL 3'!#REF!</f>
        <v>#REF!</v>
      </c>
      <c r="F70" s="1"/>
      <c r="H70" s="71" t="e">
        <f t="shared" ref="H70:H84" si="6">B70+E70</f>
        <v>#REF!</v>
      </c>
      <c r="I70" s="1"/>
      <c r="K70" s="71">
        <f>B70/'Scenario 1 - Phase 1'!$E$8</f>
        <v>79</v>
      </c>
      <c r="L70" s="1"/>
      <c r="N70" s="71" t="e">
        <f>E70/'LEVEL 3'!$E$8</f>
        <v>#REF!</v>
      </c>
      <c r="O70" s="1"/>
      <c r="Q70" s="71" t="e">
        <f>H70/('Scenario 1 - Phase 1'!$E$8+'LEVEL 3'!$E$8)</f>
        <v>#REF!</v>
      </c>
      <c r="R70" s="1"/>
      <c r="T70" s="195">
        <f>B70/'Scenario 1 - Phase 1'!$B$8</f>
        <v>8.8104466770799181E-2</v>
      </c>
      <c r="U70" s="193"/>
      <c r="V70" s="194"/>
      <c r="W70" s="195" t="e">
        <f>E70/'LEVEL 3'!$B$8</f>
        <v>#REF!</v>
      </c>
      <c r="X70" s="193"/>
      <c r="Y70" s="194"/>
      <c r="Z70" s="195" t="e">
        <f>H70/('Scenario 1 - Phase 1'!$B$8+'LEVEL 3'!$B$8)</f>
        <v>#REF!</v>
      </c>
      <c r="AA70" s="1"/>
    </row>
    <row r="71" spans="1:27">
      <c r="A71" s="37" t="s">
        <v>236</v>
      </c>
      <c r="B71" s="83">
        <f>'Scenario 1 - Phase 1'!K86</f>
        <v>0</v>
      </c>
      <c r="C71" s="1"/>
      <c r="E71" s="83">
        <f>'LEVEL 3'!K87</f>
        <v>8000</v>
      </c>
      <c r="F71" s="1"/>
      <c r="H71" s="83">
        <f t="shared" si="6"/>
        <v>8000</v>
      </c>
      <c r="I71" s="1"/>
      <c r="K71" s="83">
        <f>B71/'Scenario 1 - Phase 1'!$E$8</f>
        <v>0</v>
      </c>
      <c r="L71" s="1"/>
      <c r="N71" s="83">
        <f>E71/'LEVEL 3'!$E$8</f>
        <v>41.237113402061858</v>
      </c>
      <c r="O71" s="1"/>
      <c r="Q71" s="83">
        <f>H71/('Scenario 1 - Phase 1'!$E$8+'LEVEL 3'!$E$8)</f>
        <v>14.78743068391867</v>
      </c>
      <c r="R71" s="1"/>
      <c r="T71" s="197">
        <f>B71/'Scenario 1 - Phase 1'!$B$8</f>
        <v>0</v>
      </c>
      <c r="U71" s="193"/>
      <c r="V71" s="194"/>
      <c r="W71" s="197">
        <f>E71/'LEVEL 3'!$B$8</f>
        <v>4.0756231882581297E-2</v>
      </c>
      <c r="X71" s="193"/>
      <c r="Y71" s="194"/>
      <c r="Z71" s="197">
        <f>H71/('Scenario 1 - Phase 1'!$B$8+'LEVEL 3'!$B$8)</f>
        <v>1.5765690310603805E-2</v>
      </c>
      <c r="AA71" s="1"/>
    </row>
    <row r="72" spans="1:27">
      <c r="A72" s="37" t="s">
        <v>238</v>
      </c>
      <c r="B72" s="83">
        <f>'Scenario 1 - Phase 1'!K87</f>
        <v>0</v>
      </c>
      <c r="C72" s="1"/>
      <c r="E72" s="83">
        <f>'LEVEL 3'!K88</f>
        <v>0</v>
      </c>
      <c r="F72" s="1"/>
      <c r="H72" s="83">
        <f t="shared" si="6"/>
        <v>0</v>
      </c>
      <c r="I72" s="1"/>
      <c r="K72" s="83">
        <f>B72/'Scenario 1 - Phase 1'!$E$8</f>
        <v>0</v>
      </c>
      <c r="L72" s="1"/>
      <c r="N72" s="83">
        <f>E72/'LEVEL 3'!$E$8</f>
        <v>0</v>
      </c>
      <c r="O72" s="1"/>
      <c r="Q72" s="83">
        <f>H72/('Scenario 1 - Phase 1'!$E$8+'LEVEL 3'!$E$8)</f>
        <v>0</v>
      </c>
      <c r="R72" s="1"/>
      <c r="T72" s="197">
        <f>B72/'Scenario 1 - Phase 1'!$B$8</f>
        <v>0</v>
      </c>
      <c r="U72" s="193"/>
      <c r="V72" s="194"/>
      <c r="W72" s="197">
        <f>E72/'LEVEL 3'!$B$8</f>
        <v>0</v>
      </c>
      <c r="X72" s="193"/>
      <c r="Y72" s="194"/>
      <c r="Z72" s="197">
        <f>H72/('Scenario 1 - Phase 1'!$B$8+'LEVEL 3'!$B$8)</f>
        <v>0</v>
      </c>
      <c r="AA72" s="1"/>
    </row>
    <row r="73" spans="1:27">
      <c r="A73" s="37" t="s">
        <v>241</v>
      </c>
      <c r="B73" s="83">
        <f>'Scenario 1 - Phase 1'!K88</f>
        <v>0</v>
      </c>
      <c r="C73" s="1"/>
      <c r="E73" s="83">
        <f>'LEVEL 3'!K89</f>
        <v>0</v>
      </c>
      <c r="F73" s="1"/>
      <c r="H73" s="83">
        <f t="shared" si="6"/>
        <v>0</v>
      </c>
      <c r="I73" s="1"/>
      <c r="K73" s="83">
        <f>B73/'Scenario 1 - Phase 1'!$E$8</f>
        <v>0</v>
      </c>
      <c r="L73" s="1"/>
      <c r="N73" s="83">
        <f>E73/'LEVEL 3'!$E$8</f>
        <v>0</v>
      </c>
      <c r="O73" s="1"/>
      <c r="Q73" s="83">
        <f>H73/('Scenario 1 - Phase 1'!$E$8+'LEVEL 3'!$E$8)</f>
        <v>0</v>
      </c>
      <c r="R73" s="1"/>
      <c r="T73" s="197">
        <f>B73/'Scenario 1 - Phase 1'!$B$8</f>
        <v>0</v>
      </c>
      <c r="U73" s="193"/>
      <c r="V73" s="194"/>
      <c r="W73" s="197">
        <f>E73/'LEVEL 3'!$B$8</f>
        <v>0</v>
      </c>
      <c r="X73" s="193"/>
      <c r="Y73" s="194"/>
      <c r="Z73" s="197">
        <f>H73/('Scenario 1 - Phase 1'!$B$8+'LEVEL 3'!$B$8)</f>
        <v>0</v>
      </c>
      <c r="AA73" s="1"/>
    </row>
    <row r="74" spans="1:27">
      <c r="A74" s="37" t="s">
        <v>242</v>
      </c>
      <c r="B74" s="83">
        <f>'Scenario 1 - Phase 1'!K89</f>
        <v>0</v>
      </c>
      <c r="C74" s="1"/>
      <c r="E74" s="83">
        <f>'LEVEL 3'!K90</f>
        <v>0</v>
      </c>
      <c r="F74" s="1"/>
      <c r="H74" s="83">
        <f t="shared" si="6"/>
        <v>0</v>
      </c>
      <c r="I74" s="1"/>
      <c r="K74" s="83">
        <f>B74/'Scenario 1 - Phase 1'!$E$8</f>
        <v>0</v>
      </c>
      <c r="L74" s="1"/>
      <c r="N74" s="83">
        <f>E74/'LEVEL 3'!$E$8</f>
        <v>0</v>
      </c>
      <c r="O74" s="1"/>
      <c r="Q74" s="83">
        <f>H74/('Scenario 1 - Phase 1'!$E$8+'LEVEL 3'!$E$8)</f>
        <v>0</v>
      </c>
      <c r="R74" s="1"/>
      <c r="T74" s="197">
        <f>B74/'Scenario 1 - Phase 1'!$B$8</f>
        <v>0</v>
      </c>
      <c r="U74" s="193"/>
      <c r="V74" s="194"/>
      <c r="W74" s="197">
        <f>E74/'LEVEL 3'!$B$8</f>
        <v>0</v>
      </c>
      <c r="X74" s="193"/>
      <c r="Y74" s="194"/>
      <c r="Z74" s="197">
        <f>H74/('Scenario 1 - Phase 1'!$B$8+'LEVEL 3'!$B$8)</f>
        <v>0</v>
      </c>
      <c r="AA74" s="1"/>
    </row>
    <row r="75" spans="1:27">
      <c r="A75" s="37" t="s">
        <v>244</v>
      </c>
      <c r="B75" s="83">
        <f>'Scenario 1 - Phase 1'!K90</f>
        <v>431702.70000000007</v>
      </c>
      <c r="C75" s="1"/>
      <c r="E75" s="83">
        <f>'LEVEL 3'!K91</f>
        <v>224631.5789473684</v>
      </c>
      <c r="F75" s="1"/>
      <c r="H75" s="83">
        <f t="shared" si="6"/>
        <v>656334.2789473685</v>
      </c>
      <c r="I75" s="1"/>
      <c r="K75" s="83">
        <f>B75/'Scenario 1 - Phase 1'!$E$8</f>
        <v>1244.1000000000001</v>
      </c>
      <c r="L75" s="1"/>
      <c r="N75" s="83">
        <f>E75/'LEVEL 3'!$E$8</f>
        <v>1157.8947368421052</v>
      </c>
      <c r="O75" s="1"/>
      <c r="Q75" s="83">
        <f>H75/('Scenario 1 - Phase 1'!$E$8+'LEVEL 3'!$E$8)</f>
        <v>1213.187206926744</v>
      </c>
      <c r="R75" s="1"/>
      <c r="T75" s="197">
        <f>B75/'Scenario 1 - Phase 1'!$B$8</f>
        <v>1.3874780646778644</v>
      </c>
      <c r="U75" s="193"/>
      <c r="V75" s="194"/>
      <c r="W75" s="197">
        <f>E75/'LEVEL 3'!$B$8</f>
        <v>1.1443920899661641</v>
      </c>
      <c r="X75" s="193"/>
      <c r="Y75" s="194"/>
      <c r="Z75" s="197">
        <f>H75/('Scenario 1 - Phase 1'!$B$8+'LEVEL 3'!$B$8)</f>
        <v>1.2934453727647079</v>
      </c>
      <c r="AA75" s="1"/>
    </row>
    <row r="76" spans="1:27">
      <c r="A76" s="37" t="s">
        <v>248</v>
      </c>
      <c r="B76" s="83">
        <f>'Scenario 1 - Phase 1'!K91</f>
        <v>26025</v>
      </c>
      <c r="C76" s="1"/>
      <c r="E76" s="83">
        <f>'LEVEL 3'!K92</f>
        <v>14550</v>
      </c>
      <c r="F76" s="1"/>
      <c r="H76" s="83">
        <f t="shared" si="6"/>
        <v>40575</v>
      </c>
      <c r="I76" s="1"/>
      <c r="K76" s="83">
        <f>B76/'Scenario 1 - Phase 1'!$E$8</f>
        <v>75</v>
      </c>
      <c r="L76" s="1"/>
      <c r="N76" s="83">
        <f>E76/'LEVEL 3'!$E$8</f>
        <v>75</v>
      </c>
      <c r="O76" s="1"/>
      <c r="Q76" s="83">
        <f>H76/('Scenario 1 - Phase 1'!$E$8+'LEVEL 3'!$E$8)</f>
        <v>75</v>
      </c>
      <c r="R76" s="1"/>
      <c r="T76" s="197">
        <f>B76/'Scenario 1 - Phase 1'!$B$8</f>
        <v>8.3643481111518217E-2</v>
      </c>
      <c r="U76" s="193"/>
      <c r="V76" s="194"/>
      <c r="W76" s="197">
        <f>E76/'LEVEL 3'!$B$8</f>
        <v>7.4125396736444735E-2</v>
      </c>
      <c r="X76" s="193"/>
      <c r="Y76" s="194"/>
      <c r="Z76" s="197">
        <f>H76/('Scenario 1 - Phase 1'!$B$8+'LEVEL 3'!$B$8)</f>
        <v>7.9961610544093675E-2</v>
      </c>
      <c r="AA76" s="1"/>
    </row>
    <row r="77" spans="1:27">
      <c r="A77" s="37" t="s">
        <v>249</v>
      </c>
      <c r="B77" s="83">
        <f>'Scenario 1 - Phase 1'!K92</f>
        <v>0</v>
      </c>
      <c r="C77" s="1"/>
      <c r="E77" s="83">
        <f>'LEVEL 3'!K93</f>
        <v>0</v>
      </c>
      <c r="F77" s="1"/>
      <c r="H77" s="83">
        <f t="shared" si="6"/>
        <v>0</v>
      </c>
      <c r="I77" s="1"/>
      <c r="K77" s="83">
        <f>B77/'Scenario 1 - Phase 1'!$E$8</f>
        <v>0</v>
      </c>
      <c r="L77" s="1"/>
      <c r="N77" s="83">
        <f>E77/'LEVEL 3'!$E$8</f>
        <v>0</v>
      </c>
      <c r="O77" s="1"/>
      <c r="Q77" s="83">
        <f>H77/('Scenario 1 - Phase 1'!$E$8+'LEVEL 3'!$E$8)</f>
        <v>0</v>
      </c>
      <c r="R77" s="1"/>
      <c r="T77" s="197">
        <f>B77/'Scenario 1 - Phase 1'!$B$8</f>
        <v>0</v>
      </c>
      <c r="U77" s="193"/>
      <c r="V77" s="194"/>
      <c r="W77" s="197">
        <f>E77/'LEVEL 3'!$B$8</f>
        <v>0</v>
      </c>
      <c r="X77" s="193"/>
      <c r="Y77" s="194"/>
      <c r="Z77" s="197">
        <f>H77/('Scenario 1 - Phase 1'!$B$8+'LEVEL 3'!$B$8)</f>
        <v>0</v>
      </c>
      <c r="AA77" s="1"/>
    </row>
    <row r="78" spans="1:27">
      <c r="A78" s="37" t="s">
        <v>251</v>
      </c>
      <c r="B78" s="83">
        <f>'Scenario 1 - Phase 1'!K93</f>
        <v>0</v>
      </c>
      <c r="C78" s="1"/>
      <c r="E78" s="83">
        <f>'LEVEL 3'!K94</f>
        <v>0</v>
      </c>
      <c r="F78" s="1"/>
      <c r="H78" s="83">
        <f t="shared" si="6"/>
        <v>0</v>
      </c>
      <c r="I78" s="1"/>
      <c r="K78" s="83">
        <f>B78/'Scenario 1 - Phase 1'!$E$8</f>
        <v>0</v>
      </c>
      <c r="L78" s="1"/>
      <c r="N78" s="83">
        <f>E78/'LEVEL 3'!$E$8</f>
        <v>0</v>
      </c>
      <c r="O78" s="1"/>
      <c r="Q78" s="83">
        <f>H78/('Scenario 1 - Phase 1'!$E$8+'LEVEL 3'!$E$8)</f>
        <v>0</v>
      </c>
      <c r="R78" s="1"/>
      <c r="T78" s="197">
        <f>B78/'Scenario 1 - Phase 1'!$B$8</f>
        <v>0</v>
      </c>
      <c r="U78" s="193"/>
      <c r="V78" s="194"/>
      <c r="W78" s="197">
        <f>E78/'LEVEL 3'!$B$8</f>
        <v>0</v>
      </c>
      <c r="X78" s="193"/>
      <c r="Y78" s="194"/>
      <c r="Z78" s="197">
        <f>H78/('Scenario 1 - Phase 1'!$B$8+'LEVEL 3'!$B$8)</f>
        <v>0</v>
      </c>
      <c r="AA78" s="1"/>
    </row>
    <row r="79" spans="1:27">
      <c r="A79" s="37" t="s">
        <v>253</v>
      </c>
      <c r="B79" s="83">
        <f>'Scenario 1 - Phase 1'!K94</f>
        <v>0</v>
      </c>
      <c r="C79" s="1"/>
      <c r="E79" s="83">
        <f>'LEVEL 3'!K95</f>
        <v>0</v>
      </c>
      <c r="F79" s="1"/>
      <c r="H79" s="83">
        <f t="shared" si="6"/>
        <v>0</v>
      </c>
      <c r="I79" s="1"/>
      <c r="K79" s="83">
        <f>B79/'Scenario 1 - Phase 1'!$E$8</f>
        <v>0</v>
      </c>
      <c r="L79" s="1"/>
      <c r="N79" s="83">
        <f>E79/'LEVEL 3'!$E$8</f>
        <v>0</v>
      </c>
      <c r="O79" s="1"/>
      <c r="Q79" s="83">
        <f>H79/('Scenario 1 - Phase 1'!$E$8+'LEVEL 3'!$E$8)</f>
        <v>0</v>
      </c>
      <c r="R79" s="1"/>
      <c r="T79" s="197">
        <f>B79/'Scenario 1 - Phase 1'!$B$8</f>
        <v>0</v>
      </c>
      <c r="U79" s="193"/>
      <c r="V79" s="194"/>
      <c r="W79" s="197">
        <f>E79/'LEVEL 3'!$B$8</f>
        <v>0</v>
      </c>
      <c r="X79" s="193"/>
      <c r="Y79" s="194"/>
      <c r="Z79" s="197">
        <f>H79/('Scenario 1 - Phase 1'!$B$8+'LEVEL 3'!$B$8)</f>
        <v>0</v>
      </c>
      <c r="AA79" s="1"/>
    </row>
    <row r="80" spans="1:27">
      <c r="A80" s="37" t="s">
        <v>255</v>
      </c>
      <c r="B80" s="83">
        <f>'Scenario 1 - Phase 1'!K95</f>
        <v>0</v>
      </c>
      <c r="C80" s="1"/>
      <c r="E80" s="83">
        <f>'LEVEL 3'!K96</f>
        <v>0</v>
      </c>
      <c r="F80" s="1"/>
      <c r="H80" s="83">
        <f t="shared" si="6"/>
        <v>0</v>
      </c>
      <c r="I80" s="1"/>
      <c r="K80" s="83">
        <f>B80/'Scenario 1 - Phase 1'!$E$8</f>
        <v>0</v>
      </c>
      <c r="L80" s="1"/>
      <c r="N80" s="83">
        <f>E80/'LEVEL 3'!$E$8</f>
        <v>0</v>
      </c>
      <c r="O80" s="1"/>
      <c r="Q80" s="83">
        <f>H80/('Scenario 1 - Phase 1'!$E$8+'LEVEL 3'!$E$8)</f>
        <v>0</v>
      </c>
      <c r="R80" s="1"/>
      <c r="T80" s="197">
        <f>B80/'Scenario 1 - Phase 1'!$B$8</f>
        <v>0</v>
      </c>
      <c r="U80" s="193"/>
      <c r="V80" s="194"/>
      <c r="W80" s="197">
        <f>E80/'LEVEL 3'!$B$8</f>
        <v>0</v>
      </c>
      <c r="X80" s="193"/>
      <c r="Y80" s="194"/>
      <c r="Z80" s="197">
        <f>H80/('Scenario 1 - Phase 1'!$B$8+'LEVEL 3'!$B$8)</f>
        <v>0</v>
      </c>
      <c r="AA80" s="1"/>
    </row>
    <row r="81" spans="1:27">
      <c r="A81" s="37" t="s">
        <v>257</v>
      </c>
      <c r="B81" s="83">
        <f>'Scenario 1 - Phase 1'!K96</f>
        <v>0</v>
      </c>
      <c r="C81" s="1"/>
      <c r="E81" s="83">
        <f>'LEVEL 3'!K97</f>
        <v>0</v>
      </c>
      <c r="F81" s="1"/>
      <c r="H81" s="83">
        <f t="shared" si="6"/>
        <v>0</v>
      </c>
      <c r="I81" s="1"/>
      <c r="K81" s="83">
        <f>B81/'Scenario 1 - Phase 1'!$E$8</f>
        <v>0</v>
      </c>
      <c r="L81" s="1"/>
      <c r="N81" s="83">
        <f>E81/'LEVEL 3'!$E$8</f>
        <v>0</v>
      </c>
      <c r="O81" s="1"/>
      <c r="Q81" s="83">
        <f>H81/('Scenario 1 - Phase 1'!$E$8+'LEVEL 3'!$E$8)</f>
        <v>0</v>
      </c>
      <c r="R81" s="1"/>
      <c r="T81" s="197">
        <f>B81/'Scenario 1 - Phase 1'!$B$8</f>
        <v>0</v>
      </c>
      <c r="U81" s="193"/>
      <c r="V81" s="194"/>
      <c r="W81" s="197">
        <f>E81/'LEVEL 3'!$B$8</f>
        <v>0</v>
      </c>
      <c r="X81" s="193"/>
      <c r="Y81" s="194"/>
      <c r="Z81" s="197">
        <f>H81/('Scenario 1 - Phase 1'!$B$8+'LEVEL 3'!$B$8)</f>
        <v>0</v>
      </c>
      <c r="AA81" s="1"/>
    </row>
    <row r="82" spans="1:27">
      <c r="A82" s="37" t="s">
        <v>259</v>
      </c>
      <c r="B82" s="83">
        <f>'Scenario 1 - Phase 1'!K97</f>
        <v>0</v>
      </c>
      <c r="C82" s="1"/>
      <c r="E82" s="83">
        <f>'LEVEL 3'!K98</f>
        <v>0</v>
      </c>
      <c r="F82" s="1"/>
      <c r="H82" s="83">
        <f t="shared" si="6"/>
        <v>0</v>
      </c>
      <c r="I82" s="1"/>
      <c r="K82" s="83">
        <f>B82/'Scenario 1 - Phase 1'!$E$8</f>
        <v>0</v>
      </c>
      <c r="L82" s="1"/>
      <c r="N82" s="83">
        <f>E82/'LEVEL 3'!$E$8</f>
        <v>0</v>
      </c>
      <c r="O82" s="1"/>
      <c r="Q82" s="83">
        <f>H82/('Scenario 1 - Phase 1'!$E$8+'LEVEL 3'!$E$8)</f>
        <v>0</v>
      </c>
      <c r="R82" s="1"/>
      <c r="T82" s="197">
        <f>B82/'Scenario 1 - Phase 1'!$B$8</f>
        <v>0</v>
      </c>
      <c r="U82" s="193"/>
      <c r="V82" s="194"/>
      <c r="W82" s="197">
        <f>E82/'LEVEL 3'!$B$8</f>
        <v>0</v>
      </c>
      <c r="X82" s="193"/>
      <c r="Y82" s="194"/>
      <c r="Z82" s="197">
        <f>H82/('Scenario 1 - Phase 1'!$B$8+'LEVEL 3'!$B$8)</f>
        <v>0</v>
      </c>
      <c r="AA82" s="1"/>
    </row>
    <row r="83" spans="1:27">
      <c r="A83" s="37" t="s">
        <v>260</v>
      </c>
      <c r="B83" s="83">
        <f>'Scenario 1 - Phase 1'!K98</f>
        <v>62460</v>
      </c>
      <c r="C83" s="1"/>
      <c r="E83" s="83">
        <f>'LEVEL 3'!K99</f>
        <v>31428</v>
      </c>
      <c r="F83" s="1"/>
      <c r="H83" s="83">
        <f t="shared" si="6"/>
        <v>93888</v>
      </c>
      <c r="I83" s="1"/>
      <c r="K83" s="83">
        <f>B83/'Scenario 1 - Phase 1'!$E$8</f>
        <v>180</v>
      </c>
      <c r="L83" s="1"/>
      <c r="N83" s="83">
        <f>E83/'LEVEL 3'!$E$8</f>
        <v>162</v>
      </c>
      <c r="O83" s="1"/>
      <c r="Q83" s="83">
        <f>H83/('Scenario 1 - Phase 1'!$E$8+'LEVEL 3'!$E$8)</f>
        <v>173.54528650646949</v>
      </c>
      <c r="R83" s="1"/>
      <c r="T83" s="197">
        <f>B83/'Scenario 1 - Phase 1'!$B$8</f>
        <v>0.2007443546676437</v>
      </c>
      <c r="U83" s="193"/>
      <c r="V83" s="194"/>
      <c r="W83" s="197">
        <f>E83/'LEVEL 3'!$B$8</f>
        <v>0.16011085695072061</v>
      </c>
      <c r="X83" s="193"/>
      <c r="Y83" s="194"/>
      <c r="Z83" s="197">
        <f>H83/('Scenario 1 - Phase 1'!$B$8+'LEVEL 3'!$B$8)</f>
        <v>0.18502614148524626</v>
      </c>
      <c r="AA83" s="1"/>
    </row>
    <row r="84" spans="1:27">
      <c r="A84" s="37" t="s">
        <v>261</v>
      </c>
      <c r="B84" s="83">
        <f>'Scenario 1 - Phase 1'!K99</f>
        <v>800</v>
      </c>
      <c r="C84" s="1"/>
      <c r="E84" s="83">
        <f>'LEVEL 3'!K100</f>
        <v>500</v>
      </c>
      <c r="F84" s="1"/>
      <c r="H84" s="83">
        <f t="shared" si="6"/>
        <v>1300</v>
      </c>
      <c r="I84" s="1"/>
      <c r="K84" s="83">
        <f>B84/'Scenario 1 - Phase 1'!$E$8</f>
        <v>2.3054755043227666</v>
      </c>
      <c r="L84" s="1"/>
      <c r="N84" s="83">
        <f>E84/'LEVEL 3'!$E$8</f>
        <v>2.5773195876288661</v>
      </c>
      <c r="O84" s="1"/>
      <c r="Q84" s="83">
        <f>H84/('Scenario 1 - Phase 1'!$E$8+'LEVEL 3'!$E$8)</f>
        <v>2.4029574861367839</v>
      </c>
      <c r="R84" s="1"/>
      <c r="T84" s="197">
        <f>B84/'Scenario 1 - Phase 1'!$B$8</f>
        <v>2.5711732906518567E-3</v>
      </c>
      <c r="U84" s="193"/>
      <c r="V84" s="194"/>
      <c r="W84" s="197">
        <f>E84/'LEVEL 3'!$B$8</f>
        <v>2.547264492661331E-3</v>
      </c>
      <c r="X84" s="193"/>
      <c r="Y84" s="194"/>
      <c r="Z84" s="197">
        <f>H84/('Scenario 1 - Phase 1'!$B$8+'LEVEL 3'!$B$8)</f>
        <v>2.5619246754731186E-3</v>
      </c>
      <c r="AA84" s="1"/>
    </row>
    <row r="85" spans="1:27">
      <c r="A85" s="33" t="s">
        <v>262</v>
      </c>
      <c r="B85" s="82"/>
      <c r="C85" s="102">
        <f>SUM(B86:B121)</f>
        <v>5170494.1965402467</v>
      </c>
      <c r="E85" s="82"/>
      <c r="F85" s="102" t="e">
        <f>SUM(E86:E121)</f>
        <v>#REF!</v>
      </c>
      <c r="H85" s="82"/>
      <c r="I85" s="102" t="e">
        <f>SUM(H86:H121)</f>
        <v>#REF!</v>
      </c>
      <c r="K85" s="82"/>
      <c r="L85" s="102">
        <f>SUM(K86:K121)</f>
        <v>14900.559644208204</v>
      </c>
      <c r="N85" s="82"/>
      <c r="O85" s="102" t="e">
        <f>SUM(N86:N121)</f>
        <v>#REF!</v>
      </c>
      <c r="Q85" s="82"/>
      <c r="R85" s="102" t="e">
        <f>SUM(Q86:Q121)</f>
        <v>#REF!</v>
      </c>
      <c r="T85" s="82"/>
      <c r="U85" s="201">
        <f>C85/'Scenario 1 - Phase 1'!$B$8</f>
        <v>16.617795722018393</v>
      </c>
      <c r="V85" s="199"/>
      <c r="W85" s="203"/>
      <c r="X85" s="201" t="e">
        <f>F85/'LEVEL 3'!$B$8</f>
        <v>#REF!</v>
      </c>
      <c r="Y85" s="199"/>
      <c r="Z85" s="203"/>
      <c r="AA85" s="201" t="e">
        <f>I85/('Scenario 1 - Phase 1'!$B$8+'LEVEL 3'!$B$8)</f>
        <v>#REF!</v>
      </c>
    </row>
    <row r="86" spans="1:27">
      <c r="A86" s="35" t="s">
        <v>264</v>
      </c>
      <c r="B86" s="71">
        <f>'Scenario 1 - Phase 1'!K101</f>
        <v>15557.1</v>
      </c>
      <c r="C86" s="1"/>
      <c r="E86" s="71" t="e">
        <f>'LEVEL 3'!#REF!</f>
        <v>#REF!</v>
      </c>
      <c r="F86" s="1"/>
      <c r="H86" s="71" t="e">
        <f t="shared" ref="H86:H121" si="7">B86+E86</f>
        <v>#REF!</v>
      </c>
      <c r="I86" s="1"/>
      <c r="K86" s="71">
        <f>B86/'Scenario 1 - Phase 1'!$E$8</f>
        <v>44.833141210374642</v>
      </c>
      <c r="L86" s="1"/>
      <c r="N86" s="71" t="e">
        <f>E86/'LEVEL 3'!$E$8</f>
        <v>#REF!</v>
      </c>
      <c r="O86" s="1"/>
      <c r="Q86" s="71" t="e">
        <f>H86/('Scenario 1 - Phase 1'!$E$8+'LEVEL 3'!$E$8)</f>
        <v>#REF!</v>
      </c>
      <c r="R86" s="1"/>
      <c r="T86" s="195">
        <f>B86/'Scenario 1 - Phase 1'!$B$8</f>
        <v>0.05</v>
      </c>
      <c r="U86" s="193"/>
      <c r="V86" s="194"/>
      <c r="W86" s="195" t="e">
        <f>E86/'LEVEL 3'!$B$8</f>
        <v>#REF!</v>
      </c>
      <c r="X86" s="193"/>
      <c r="Y86" s="194"/>
      <c r="Z86" s="195" t="e">
        <f>H86/('Scenario 1 - Phase 1'!$B$8+'LEVEL 3'!$B$8)</f>
        <v>#REF!</v>
      </c>
      <c r="AA86" s="1"/>
    </row>
    <row r="87" spans="1:27">
      <c r="A87" s="37" t="s">
        <v>267</v>
      </c>
      <c r="B87" s="83">
        <f>'Scenario 1 - Phase 1'!K102</f>
        <v>24891.360000000001</v>
      </c>
      <c r="C87" s="1"/>
      <c r="E87" s="83">
        <f>'LEVEL 3'!K102</f>
        <v>10000</v>
      </c>
      <c r="F87" s="1"/>
      <c r="H87" s="83">
        <f t="shared" si="7"/>
        <v>34891.360000000001</v>
      </c>
      <c r="I87" s="1"/>
      <c r="K87" s="83">
        <f>B87/'Scenario 1 - Phase 1'!$E$8</f>
        <v>71.733025936599432</v>
      </c>
      <c r="L87" s="1"/>
      <c r="N87" s="83">
        <f>E87/'LEVEL 3'!$E$8</f>
        <v>51.546391752577321</v>
      </c>
      <c r="O87" s="1"/>
      <c r="Q87" s="83">
        <f>H87/('Scenario 1 - Phase 1'!$E$8+'LEVEL 3'!$E$8)</f>
        <v>64.494195933456567</v>
      </c>
      <c r="R87" s="1"/>
      <c r="T87" s="197">
        <f>B87/'Scenario 1 - Phase 1'!$B$8</f>
        <v>0.08</v>
      </c>
      <c r="U87" s="193"/>
      <c r="V87" s="194"/>
      <c r="W87" s="197">
        <f>E87/'LEVEL 3'!$B$8</f>
        <v>5.0945289853226619E-2</v>
      </c>
      <c r="X87" s="193"/>
      <c r="Y87" s="194"/>
      <c r="Z87" s="197">
        <f>H87/('Scenario 1 - Phase 1'!$B$8+'LEVEL 3'!$B$8)</f>
        <v>6.8760797034473659E-2</v>
      </c>
      <c r="AA87" s="1"/>
    </row>
    <row r="88" spans="1:27">
      <c r="A88" s="37" t="s">
        <v>269</v>
      </c>
      <c r="B88" s="83">
        <f>'Scenario 1 - Phase 1'!K103</f>
        <v>186685.19999999998</v>
      </c>
      <c r="C88" s="1"/>
      <c r="E88" s="83">
        <f>'LEVEL 3'!K103</f>
        <v>166845.65</v>
      </c>
      <c r="F88" s="1"/>
      <c r="H88" s="83">
        <f t="shared" si="7"/>
        <v>353530.85</v>
      </c>
      <c r="I88" s="1"/>
      <c r="K88" s="83">
        <f>B88/'Scenario 1 - Phase 1'!$E$8</f>
        <v>537.99769452449561</v>
      </c>
      <c r="L88" s="1"/>
      <c r="N88" s="83">
        <f>E88/'LEVEL 3'!$E$8</f>
        <v>860.02912371134016</v>
      </c>
      <c r="O88" s="1"/>
      <c r="Q88" s="83">
        <f>H88/('Scenario 1 - Phase 1'!$E$8+'LEVEL 3'!$E$8)</f>
        <v>653.47661737523106</v>
      </c>
      <c r="R88" s="1"/>
      <c r="T88" s="197">
        <f>B88/'Scenario 1 - Phase 1'!$B$8</f>
        <v>0.6</v>
      </c>
      <c r="U88" s="193"/>
      <c r="V88" s="194"/>
      <c r="W88" s="197">
        <f>E88/'LEVEL 3'!$B$8</f>
        <v>0.85</v>
      </c>
      <c r="X88" s="193"/>
      <c r="Y88" s="194"/>
      <c r="Z88" s="197">
        <f>H88/('Scenario 1 - Phase 1'!$B$8+'LEVEL 3'!$B$8)</f>
        <v>0.69670723704306592</v>
      </c>
      <c r="AA88" s="1"/>
    </row>
    <row r="89" spans="1:27">
      <c r="A89" s="37" t="s">
        <v>271</v>
      </c>
      <c r="B89" s="83">
        <f>'Scenario 1 - Phase 1'!K104</f>
        <v>112011.12</v>
      </c>
      <c r="C89" s="1"/>
      <c r="E89" s="83">
        <f>'LEVEL 3'!K104</f>
        <v>50000</v>
      </c>
      <c r="F89" s="1"/>
      <c r="H89" s="83">
        <f t="shared" si="7"/>
        <v>162011.12</v>
      </c>
      <c r="I89" s="1"/>
      <c r="K89" s="83">
        <f>B89/'Scenario 1 - Phase 1'!$E$8</f>
        <v>322.7986167146974</v>
      </c>
      <c r="L89" s="1"/>
      <c r="N89" s="83">
        <f>E89/'LEVEL 3'!$E$8</f>
        <v>257.73195876288662</v>
      </c>
      <c r="O89" s="1"/>
      <c r="Q89" s="83">
        <f>H89/('Scenario 1 - Phase 1'!$E$8+'LEVEL 3'!$E$8)</f>
        <v>299.46602587800368</v>
      </c>
      <c r="R89" s="1"/>
      <c r="T89" s="197">
        <f>B89/'Scenario 1 - Phase 1'!$B$8</f>
        <v>0.36</v>
      </c>
      <c r="U89" s="193"/>
      <c r="V89" s="194"/>
      <c r="W89" s="197">
        <f>E89/'LEVEL 3'!$B$8</f>
        <v>0.25472644926613308</v>
      </c>
      <c r="X89" s="193"/>
      <c r="Y89" s="194"/>
      <c r="Z89" s="197">
        <f>H89/('Scenario 1 - Phase 1'!$B$8+'LEVEL 3'!$B$8)</f>
        <v>0.31927714309925881</v>
      </c>
      <c r="AA89" s="1"/>
    </row>
    <row r="90" spans="1:27">
      <c r="A90" s="37" t="s">
        <v>184</v>
      </c>
      <c r="B90" s="83">
        <f>'Scenario 1 - Phase 1'!K105</f>
        <v>27413</v>
      </c>
      <c r="C90" s="1"/>
      <c r="E90" s="83">
        <f>'LEVEL 3'!K105</f>
        <v>15326</v>
      </c>
      <c r="F90" s="1"/>
      <c r="H90" s="83">
        <f t="shared" si="7"/>
        <v>42739</v>
      </c>
      <c r="I90" s="1"/>
      <c r="K90" s="83">
        <f>B90/'Scenario 1 - Phase 1'!$E$8</f>
        <v>79</v>
      </c>
      <c r="L90" s="1"/>
      <c r="N90" s="83">
        <f>E90/'LEVEL 3'!$E$8</f>
        <v>79</v>
      </c>
      <c r="O90" s="1"/>
      <c r="Q90" s="83">
        <f>H90/('Scenario 1 - Phase 1'!$E$8+'LEVEL 3'!$E$8)</f>
        <v>79</v>
      </c>
      <c r="R90" s="1"/>
      <c r="T90" s="197">
        <f>B90/'Scenario 1 - Phase 1'!$B$8</f>
        <v>8.8104466770799181E-2</v>
      </c>
      <c r="U90" s="193"/>
      <c r="V90" s="194"/>
      <c r="W90" s="197">
        <f>E90/'LEVEL 3'!$B$8</f>
        <v>7.8078751229055124E-2</v>
      </c>
      <c r="X90" s="193"/>
      <c r="Y90" s="194"/>
      <c r="Z90" s="197">
        <f>H90/('Scenario 1 - Phase 1'!$B$8+'LEVEL 3'!$B$8)</f>
        <v>8.4226229773112005E-2</v>
      </c>
      <c r="AA90" s="1"/>
    </row>
    <row r="91" spans="1:27">
      <c r="A91" s="37" t="s">
        <v>275</v>
      </c>
      <c r="B91" s="83">
        <f>'Scenario 1 - Phase 1'!K106</f>
        <v>34225.620000000003</v>
      </c>
      <c r="C91" s="1"/>
      <c r="E91" s="83">
        <f>'LEVEL 3'!K106</f>
        <v>10000</v>
      </c>
      <c r="F91" s="1"/>
      <c r="H91" s="83">
        <f t="shared" si="7"/>
        <v>44225.62</v>
      </c>
      <c r="I91" s="1"/>
      <c r="K91" s="83">
        <f>B91/'Scenario 1 - Phase 1'!$E$8</f>
        <v>98.632910662824216</v>
      </c>
      <c r="L91" s="1"/>
      <c r="N91" s="83">
        <f>E91/'LEVEL 3'!$E$8</f>
        <v>51.546391752577321</v>
      </c>
      <c r="O91" s="1"/>
      <c r="Q91" s="83">
        <f>H91/('Scenario 1 - Phase 1'!$E$8+'LEVEL 3'!$E$8)</f>
        <v>81.747911275415902</v>
      </c>
      <c r="R91" s="1"/>
      <c r="T91" s="197">
        <f>B91/'Scenario 1 - Phase 1'!$B$8</f>
        <v>0.11000000000000001</v>
      </c>
      <c r="U91" s="193"/>
      <c r="V91" s="194"/>
      <c r="W91" s="197">
        <f>E91/'LEVEL 3'!$B$8</f>
        <v>5.0945289853226619E-2</v>
      </c>
      <c r="X91" s="193"/>
      <c r="Y91" s="194"/>
      <c r="Z91" s="197">
        <f>H91/('Scenario 1 - Phase 1'!$B$8+'LEVEL 3'!$B$8)</f>
        <v>8.7155928589305737E-2</v>
      </c>
      <c r="AA91" s="1"/>
    </row>
    <row r="92" spans="1:27">
      <c r="A92" s="37" t="s">
        <v>58</v>
      </c>
      <c r="B92" s="83">
        <f>'Scenario 1 - Phase 1'!K107</f>
        <v>637587.68606224644</v>
      </c>
      <c r="C92" s="1"/>
      <c r="E92" s="83">
        <f>'LEVEL 3'!K107</f>
        <v>482655.68</v>
      </c>
      <c r="F92" s="1"/>
      <c r="H92" s="83">
        <f t="shared" si="7"/>
        <v>1120243.3660622465</v>
      </c>
      <c r="I92" s="1"/>
      <c r="K92" s="83">
        <f>B92/'Scenario 1 - Phase 1'!$E$8</f>
        <v>1837.4284900929292</v>
      </c>
      <c r="L92" s="1"/>
      <c r="N92" s="83">
        <f>E92/'LEVEL 3'!$E$8</f>
        <v>2487.9158762886595</v>
      </c>
      <c r="O92" s="1"/>
      <c r="Q92" s="83">
        <f>H92/('Scenario 1 - Phase 1'!$E$8+'LEVEL 3'!$E$8)</f>
        <v>2070.6901405956496</v>
      </c>
      <c r="R92" s="1"/>
      <c r="T92" s="197">
        <f>B92/'Scenario 1 - Phase 1'!$B$8</f>
        <v>2.0491855360647113</v>
      </c>
      <c r="U92" s="193"/>
      <c r="V92" s="194"/>
      <c r="W92" s="197">
        <f>E92/'LEVEL 3'!$B$8</f>
        <v>2.4589033516906196</v>
      </c>
      <c r="X92" s="193"/>
      <c r="Y92" s="194"/>
      <c r="Z92" s="197">
        <f>H92/('Scenario 1 - Phase 1'!$B$8+'LEVEL 3'!$B$8)</f>
        <v>2.2076762477307192</v>
      </c>
      <c r="AA92" s="1"/>
    </row>
    <row r="93" spans="1:27">
      <c r="A93" s="37" t="s">
        <v>280</v>
      </c>
      <c r="B93" s="83">
        <f>'Scenario 1 - Phase 1'!K108</f>
        <v>6000</v>
      </c>
      <c r="C93" s="1"/>
      <c r="E93" s="83">
        <f>'LEVEL 3'!K108</f>
        <v>6000</v>
      </c>
      <c r="F93" s="1"/>
      <c r="H93" s="83">
        <f t="shared" si="7"/>
        <v>12000</v>
      </c>
      <c r="I93" s="1"/>
      <c r="K93" s="83">
        <f>B93/'Scenario 1 - Phase 1'!$E$8</f>
        <v>17.291066282420751</v>
      </c>
      <c r="L93" s="1"/>
      <c r="N93" s="83">
        <f>E93/'LEVEL 3'!$E$8</f>
        <v>30.927835051546392</v>
      </c>
      <c r="O93" s="1"/>
      <c r="Q93" s="83">
        <f>H93/('Scenario 1 - Phase 1'!$E$8+'LEVEL 3'!$E$8)</f>
        <v>22.181146025878004</v>
      </c>
      <c r="R93" s="1"/>
      <c r="T93" s="197">
        <f>B93/'Scenario 1 - Phase 1'!$B$8</f>
        <v>1.9283799679888924E-2</v>
      </c>
      <c r="U93" s="193"/>
      <c r="V93" s="194"/>
      <c r="W93" s="197">
        <f>E93/'LEVEL 3'!$B$8</f>
        <v>3.0567173911935971E-2</v>
      </c>
      <c r="X93" s="193"/>
      <c r="Y93" s="194"/>
      <c r="Z93" s="197">
        <f>H93/('Scenario 1 - Phase 1'!$B$8+'LEVEL 3'!$B$8)</f>
        <v>2.3648535465905708E-2</v>
      </c>
      <c r="AA93" s="1"/>
    </row>
    <row r="94" spans="1:27">
      <c r="A94" s="37" t="s">
        <v>282</v>
      </c>
      <c r="B94" s="83">
        <f>'Scenario 1 - Phase 1'!K109</f>
        <v>0</v>
      </c>
      <c r="C94" s="1"/>
      <c r="E94" s="83">
        <f>'LEVEL 3'!K109</f>
        <v>0</v>
      </c>
      <c r="F94" s="1"/>
      <c r="H94" s="83">
        <f t="shared" si="7"/>
        <v>0</v>
      </c>
      <c r="I94" s="1"/>
      <c r="K94" s="83">
        <f>B94/'Scenario 1 - Phase 1'!$E$8</f>
        <v>0</v>
      </c>
      <c r="L94" s="1"/>
      <c r="N94" s="83">
        <f>E94/'LEVEL 3'!$E$8</f>
        <v>0</v>
      </c>
      <c r="O94" s="1"/>
      <c r="Q94" s="83">
        <f>H94/('Scenario 1 - Phase 1'!$E$8+'LEVEL 3'!$E$8)</f>
        <v>0</v>
      </c>
      <c r="R94" s="1"/>
      <c r="T94" s="197">
        <f>B94/'Scenario 1 - Phase 1'!$B$8</f>
        <v>0</v>
      </c>
      <c r="U94" s="193"/>
      <c r="V94" s="194"/>
      <c r="W94" s="197">
        <f>E94/'LEVEL 3'!$B$8</f>
        <v>0</v>
      </c>
      <c r="X94" s="193"/>
      <c r="Y94" s="194"/>
      <c r="Z94" s="197">
        <f>H94/('Scenario 1 - Phase 1'!$B$8+'LEVEL 3'!$B$8)</f>
        <v>0</v>
      </c>
      <c r="AA94" s="1"/>
    </row>
    <row r="95" spans="1:27">
      <c r="A95" s="37" t="s">
        <v>284</v>
      </c>
      <c r="B95" s="83">
        <f>'Scenario 1 - Phase 1'!K110</f>
        <v>4000</v>
      </c>
      <c r="C95" s="1"/>
      <c r="E95" s="83">
        <f>'LEVEL 3'!K110</f>
        <v>2000</v>
      </c>
      <c r="F95" s="1"/>
      <c r="H95" s="83">
        <f t="shared" si="7"/>
        <v>6000</v>
      </c>
      <c r="I95" s="1"/>
      <c r="K95" s="83">
        <f>B95/'Scenario 1 - Phase 1'!$E$8</f>
        <v>11.527377521613833</v>
      </c>
      <c r="L95" s="1"/>
      <c r="N95" s="83">
        <f>E95/'LEVEL 3'!$E$8</f>
        <v>10.309278350515465</v>
      </c>
      <c r="O95" s="1"/>
      <c r="Q95" s="83">
        <f>H95/('Scenario 1 - Phase 1'!$E$8+'LEVEL 3'!$E$8)</f>
        <v>11.090573012939002</v>
      </c>
      <c r="R95" s="1"/>
      <c r="T95" s="197">
        <f>B95/'Scenario 1 - Phase 1'!$B$8</f>
        <v>1.2855866453259283E-2</v>
      </c>
      <c r="U95" s="193"/>
      <c r="V95" s="194"/>
      <c r="W95" s="197">
        <f>E95/'LEVEL 3'!$B$8</f>
        <v>1.0189057970645324E-2</v>
      </c>
      <c r="X95" s="193"/>
      <c r="Y95" s="194"/>
      <c r="Z95" s="197">
        <f>H95/('Scenario 1 - Phase 1'!$B$8+'LEVEL 3'!$B$8)</f>
        <v>1.1824267732952854E-2</v>
      </c>
      <c r="AA95" s="1"/>
    </row>
    <row r="96" spans="1:27">
      <c r="A96" s="37" t="s">
        <v>286</v>
      </c>
      <c r="B96" s="83">
        <f>'Scenario 1 - Phase 1'!K111</f>
        <v>0</v>
      </c>
      <c r="C96" s="1"/>
      <c r="E96" s="83">
        <f>'LEVEL 3'!K111</f>
        <v>0</v>
      </c>
      <c r="F96" s="1"/>
      <c r="H96" s="83">
        <f t="shared" si="7"/>
        <v>0</v>
      </c>
      <c r="I96" s="1"/>
      <c r="K96" s="83">
        <f>B96/'Scenario 1 - Phase 1'!$E$8</f>
        <v>0</v>
      </c>
      <c r="L96" s="1"/>
      <c r="N96" s="83">
        <f>E96/'LEVEL 3'!$E$8</f>
        <v>0</v>
      </c>
      <c r="O96" s="1"/>
      <c r="Q96" s="83">
        <f>H96/('Scenario 1 - Phase 1'!$E$8+'LEVEL 3'!$E$8)</f>
        <v>0</v>
      </c>
      <c r="R96" s="1"/>
      <c r="T96" s="197">
        <f>B96/'Scenario 1 - Phase 1'!$B$8</f>
        <v>0</v>
      </c>
      <c r="U96" s="193"/>
      <c r="V96" s="194"/>
      <c r="W96" s="197">
        <f>E96/'LEVEL 3'!$B$8</f>
        <v>0</v>
      </c>
      <c r="X96" s="193"/>
      <c r="Y96" s="194"/>
      <c r="Z96" s="197">
        <f>H96/('Scenario 1 - Phase 1'!$B$8+'LEVEL 3'!$B$8)</f>
        <v>0</v>
      </c>
      <c r="AA96" s="1"/>
    </row>
    <row r="97" spans="1:27">
      <c r="A97" s="37" t="s">
        <v>288</v>
      </c>
      <c r="B97" s="83">
        <f>'Scenario 1 - Phase 1'!K112</f>
        <v>0</v>
      </c>
      <c r="C97" s="1"/>
      <c r="E97" s="83">
        <f>'LEVEL 3'!K112</f>
        <v>5000</v>
      </c>
      <c r="F97" s="1"/>
      <c r="H97" s="83">
        <f t="shared" si="7"/>
        <v>5000</v>
      </c>
      <c r="I97" s="1"/>
      <c r="K97" s="83">
        <f>B97/'Scenario 1 - Phase 1'!$E$8</f>
        <v>0</v>
      </c>
      <c r="L97" s="1"/>
      <c r="N97" s="83">
        <f>E97/'LEVEL 3'!$E$8</f>
        <v>25.773195876288661</v>
      </c>
      <c r="O97" s="1"/>
      <c r="Q97" s="83">
        <f>H97/('Scenario 1 - Phase 1'!$E$8+'LEVEL 3'!$E$8)</f>
        <v>9.2421441774491679</v>
      </c>
      <c r="R97" s="1"/>
      <c r="T97" s="197">
        <f>B97/'Scenario 1 - Phase 1'!$B$8</f>
        <v>0</v>
      </c>
      <c r="U97" s="193"/>
      <c r="V97" s="194"/>
      <c r="W97" s="197">
        <f>E97/'LEVEL 3'!$B$8</f>
        <v>2.547264492661331E-2</v>
      </c>
      <c r="X97" s="193"/>
      <c r="Y97" s="194"/>
      <c r="Z97" s="197">
        <f>H97/('Scenario 1 - Phase 1'!$B$8+'LEVEL 3'!$B$8)</f>
        <v>9.8535564441273784E-3</v>
      </c>
      <c r="AA97" s="1"/>
    </row>
    <row r="98" spans="1:27">
      <c r="A98" s="37" t="s">
        <v>290</v>
      </c>
      <c r="B98" s="83">
        <f>'Scenario 1 - Phase 1'!K113</f>
        <v>4500</v>
      </c>
      <c r="C98" s="1"/>
      <c r="E98" s="83">
        <f>'LEVEL 3'!K113</f>
        <v>1500</v>
      </c>
      <c r="F98" s="1"/>
      <c r="H98" s="83">
        <f t="shared" si="7"/>
        <v>6000</v>
      </c>
      <c r="I98" s="1"/>
      <c r="K98" s="83">
        <f>B98/'Scenario 1 - Phase 1'!$E$8</f>
        <v>12.968299711815561</v>
      </c>
      <c r="L98" s="1"/>
      <c r="N98" s="83">
        <f>E98/'LEVEL 3'!$E$8</f>
        <v>7.731958762886598</v>
      </c>
      <c r="O98" s="1"/>
      <c r="Q98" s="83">
        <f>H98/('Scenario 1 - Phase 1'!$E$8+'LEVEL 3'!$E$8)</f>
        <v>11.090573012939002</v>
      </c>
      <c r="R98" s="1"/>
      <c r="T98" s="197">
        <f>B98/'Scenario 1 - Phase 1'!$B$8</f>
        <v>1.4462849759916694E-2</v>
      </c>
      <c r="U98" s="193"/>
      <c r="V98" s="194"/>
      <c r="W98" s="197">
        <f>E98/'LEVEL 3'!$B$8</f>
        <v>7.6417934779839927E-3</v>
      </c>
      <c r="X98" s="193"/>
      <c r="Y98" s="194"/>
      <c r="Z98" s="197">
        <f>H98/('Scenario 1 - Phase 1'!$B$8+'LEVEL 3'!$B$8)</f>
        <v>1.1824267732952854E-2</v>
      </c>
      <c r="AA98" s="1"/>
    </row>
    <row r="99" spans="1:27">
      <c r="A99" s="37" t="s">
        <v>292</v>
      </c>
      <c r="B99" s="83">
        <f>'Scenario 1 - Phase 1'!K114</f>
        <v>2495358.84</v>
      </c>
      <c r="C99" s="1"/>
      <c r="E99" s="83">
        <f>'LEVEL 3'!K114</f>
        <v>1570737.78</v>
      </c>
      <c r="F99" s="1"/>
      <c r="H99" s="83">
        <f t="shared" si="7"/>
        <v>4066096.62</v>
      </c>
      <c r="I99" s="1"/>
      <c r="K99" s="83">
        <f>B99/'Scenario 1 - Phase 1'!$E$8</f>
        <v>7191.2358501440922</v>
      </c>
      <c r="L99" s="1"/>
      <c r="N99" s="83">
        <f>E99/'LEVEL 3'!$E$8</f>
        <v>8096.5864948453609</v>
      </c>
      <c r="O99" s="1"/>
      <c r="Q99" s="83">
        <f>H99/('Scenario 1 - Phase 1'!$E$8+'LEVEL 3'!$E$8)</f>
        <v>7515.8902402957492</v>
      </c>
      <c r="R99" s="1"/>
      <c r="T99" s="197">
        <f>B99/'Scenario 1 - Phase 1'!$B$8</f>
        <v>8.02</v>
      </c>
      <c r="U99" s="193"/>
      <c r="V99" s="194"/>
      <c r="W99" s="197">
        <f>E99/'LEVEL 3'!$B$8</f>
        <v>8.0021691485513706</v>
      </c>
      <c r="X99" s="193"/>
      <c r="Y99" s="194"/>
      <c r="Z99" s="197">
        <f>H99/('Scenario 1 - Phase 1'!$B$8+'LEVEL 3'!$B$8)</f>
        <v>8.0131025104891105</v>
      </c>
      <c r="AA99" s="1"/>
    </row>
    <row r="100" spans="1:27">
      <c r="A100" s="37" t="s">
        <v>294</v>
      </c>
      <c r="B100" s="83">
        <f>'Scenario 1 - Phase 1'!K115</f>
        <v>29495</v>
      </c>
      <c r="C100" s="1"/>
      <c r="E100" s="83">
        <f>'LEVEL 3'!K116</f>
        <v>16490</v>
      </c>
      <c r="F100" s="1"/>
      <c r="H100" s="83">
        <f t="shared" si="7"/>
        <v>45985</v>
      </c>
      <c r="I100" s="1"/>
      <c r="K100" s="83">
        <f>B100/'Scenario 1 - Phase 1'!$E$8</f>
        <v>85</v>
      </c>
      <c r="L100" s="1"/>
      <c r="N100" s="83">
        <f>E100/'LEVEL 3'!$E$8</f>
        <v>85</v>
      </c>
      <c r="O100" s="1"/>
      <c r="Q100" s="83">
        <f>H100/('Scenario 1 - Phase 1'!$E$8+'LEVEL 3'!$E$8)</f>
        <v>85</v>
      </c>
      <c r="R100" s="1"/>
      <c r="T100" s="197">
        <f>B100/'Scenario 1 - Phase 1'!$B$8</f>
        <v>9.479594525972064E-2</v>
      </c>
      <c r="U100" s="193"/>
      <c r="V100" s="194"/>
      <c r="W100" s="197">
        <f>E100/'LEVEL 3'!$B$8</f>
        <v>8.4008782967970694E-2</v>
      </c>
      <c r="X100" s="193"/>
      <c r="Y100" s="194"/>
      <c r="Z100" s="197">
        <f>H100/('Scenario 1 - Phase 1'!$B$8+'LEVEL 3'!$B$8)</f>
        <v>9.0623158616639499E-2</v>
      </c>
      <c r="AA100" s="1"/>
    </row>
    <row r="101" spans="1:27">
      <c r="A101" s="37" t="s">
        <v>296</v>
      </c>
      <c r="B101" s="83">
        <f>'Scenario 1 - Phase 1'!K116</f>
        <v>0</v>
      </c>
      <c r="C101" s="1"/>
      <c r="E101" s="83">
        <f>'LEVEL 3'!K117</f>
        <v>0</v>
      </c>
      <c r="F101" s="1"/>
      <c r="H101" s="83">
        <f t="shared" si="7"/>
        <v>0</v>
      </c>
      <c r="I101" s="1"/>
      <c r="K101" s="83">
        <f>B101/'Scenario 1 - Phase 1'!$E$8</f>
        <v>0</v>
      </c>
      <c r="L101" s="1"/>
      <c r="N101" s="83">
        <f>E101/'LEVEL 3'!$E$8</f>
        <v>0</v>
      </c>
      <c r="O101" s="1"/>
      <c r="Q101" s="83">
        <f>H101/('Scenario 1 - Phase 1'!$E$8+'LEVEL 3'!$E$8)</f>
        <v>0</v>
      </c>
      <c r="R101" s="1"/>
      <c r="T101" s="197">
        <f>B101/'Scenario 1 - Phase 1'!$B$8</f>
        <v>0</v>
      </c>
      <c r="U101" s="193"/>
      <c r="V101" s="194"/>
      <c r="W101" s="197">
        <f>E101/'LEVEL 3'!$B$8</f>
        <v>0</v>
      </c>
      <c r="X101" s="193"/>
      <c r="Y101" s="194"/>
      <c r="Z101" s="197">
        <f>H101/('Scenario 1 - Phase 1'!$B$8+'LEVEL 3'!$B$8)</f>
        <v>0</v>
      </c>
      <c r="AA101" s="1"/>
    </row>
    <row r="102" spans="1:27">
      <c r="A102" s="37" t="s">
        <v>298</v>
      </c>
      <c r="B102" s="83">
        <f>'Scenario 1 - Phase 1'!K117</f>
        <v>51573</v>
      </c>
      <c r="C102" s="1"/>
      <c r="E102" s="83">
        <f>'LEVEL 3'!K118</f>
        <v>67657</v>
      </c>
      <c r="F102" s="1"/>
      <c r="H102" s="83">
        <f t="shared" si="7"/>
        <v>119230</v>
      </c>
      <c r="I102" s="1"/>
      <c r="K102" s="83">
        <f>B102/'Scenario 1 - Phase 1'!$E$8</f>
        <v>148.62536023054756</v>
      </c>
      <c r="L102" s="1"/>
      <c r="N102" s="83">
        <f>E102/'LEVEL 3'!$E$8</f>
        <v>348.7474226804124</v>
      </c>
      <c r="O102" s="1"/>
      <c r="Q102" s="83">
        <f>H102/('Scenario 1 - Phase 1'!$E$8+'LEVEL 3'!$E$8)</f>
        <v>220.38817005545286</v>
      </c>
      <c r="R102" s="1"/>
      <c r="T102" s="197">
        <f>B102/'Scenario 1 - Phase 1'!$B$8</f>
        <v>0.16575390014848526</v>
      </c>
      <c r="U102" s="193"/>
      <c r="V102" s="194"/>
      <c r="W102" s="197">
        <f>E102/'LEVEL 3'!$B$8</f>
        <v>0.34468054755997535</v>
      </c>
      <c r="X102" s="193"/>
      <c r="Y102" s="194"/>
      <c r="Z102" s="197">
        <f>H102/('Scenario 1 - Phase 1'!$B$8+'LEVEL 3'!$B$8)</f>
        <v>0.23496790696666148</v>
      </c>
      <c r="AA102" s="1"/>
    </row>
    <row r="103" spans="1:27">
      <c r="A103" s="37" t="s">
        <v>300</v>
      </c>
      <c r="B103" s="83">
        <f>'Scenario 1 - Phase 1'!K118</f>
        <v>0</v>
      </c>
      <c r="C103" s="1"/>
      <c r="E103" s="83">
        <f>'LEVEL 3'!K119</f>
        <v>0</v>
      </c>
      <c r="F103" s="1"/>
      <c r="H103" s="83">
        <f t="shared" si="7"/>
        <v>0</v>
      </c>
      <c r="I103" s="1"/>
      <c r="K103" s="83">
        <f>B103/'Scenario 1 - Phase 1'!$E$8</f>
        <v>0</v>
      </c>
      <c r="L103" s="1"/>
      <c r="N103" s="83">
        <f>E103/'LEVEL 3'!$E$8</f>
        <v>0</v>
      </c>
      <c r="O103" s="1"/>
      <c r="Q103" s="83">
        <f>H103/('Scenario 1 - Phase 1'!$E$8+'LEVEL 3'!$E$8)</f>
        <v>0</v>
      </c>
      <c r="R103" s="1"/>
      <c r="T103" s="197">
        <f>B103/'Scenario 1 - Phase 1'!$B$8</f>
        <v>0</v>
      </c>
      <c r="U103" s="193"/>
      <c r="V103" s="194"/>
      <c r="W103" s="197">
        <f>E103/'LEVEL 3'!$B$8</f>
        <v>0</v>
      </c>
      <c r="X103" s="193"/>
      <c r="Y103" s="194"/>
      <c r="Z103" s="197">
        <f>H103/('Scenario 1 - Phase 1'!$B$8+'LEVEL 3'!$B$8)</f>
        <v>0</v>
      </c>
      <c r="AA103" s="1"/>
    </row>
    <row r="104" spans="1:27">
      <c r="A104" s="37" t="s">
        <v>302</v>
      </c>
      <c r="B104" s="83">
        <f>'Scenario 1 - Phase 1'!K119</f>
        <v>0</v>
      </c>
      <c r="C104" s="1"/>
      <c r="E104" s="83">
        <f>'LEVEL 3'!K120</f>
        <v>0</v>
      </c>
      <c r="F104" s="1"/>
      <c r="H104" s="83">
        <f t="shared" si="7"/>
        <v>0</v>
      </c>
      <c r="I104" s="1"/>
      <c r="K104" s="83">
        <f>B104/'Scenario 1 - Phase 1'!$E$8</f>
        <v>0</v>
      </c>
      <c r="L104" s="1"/>
      <c r="N104" s="83">
        <f>E104/'LEVEL 3'!$E$8</f>
        <v>0</v>
      </c>
      <c r="O104" s="1"/>
      <c r="Q104" s="83">
        <f>H104/('Scenario 1 - Phase 1'!$E$8+'LEVEL 3'!$E$8)</f>
        <v>0</v>
      </c>
      <c r="R104" s="1"/>
      <c r="T104" s="197">
        <f>B104/'Scenario 1 - Phase 1'!$B$8</f>
        <v>0</v>
      </c>
      <c r="U104" s="193"/>
      <c r="V104" s="194"/>
      <c r="W104" s="197">
        <f>E104/'LEVEL 3'!$B$8</f>
        <v>0</v>
      </c>
      <c r="X104" s="193"/>
      <c r="Y104" s="194"/>
      <c r="Z104" s="197">
        <f>H104/('Scenario 1 - Phase 1'!$B$8+'LEVEL 3'!$B$8)</f>
        <v>0</v>
      </c>
      <c r="AA104" s="1"/>
    </row>
    <row r="105" spans="1:27">
      <c r="A105" s="37" t="s">
        <v>304</v>
      </c>
      <c r="B105" s="83">
        <f>'Scenario 1 - Phase 1'!K120</f>
        <v>490500.39</v>
      </c>
      <c r="C105" s="1"/>
      <c r="E105" s="83">
        <f>'LEVEL 3'!K121</f>
        <v>305547.12</v>
      </c>
      <c r="F105" s="1"/>
      <c r="H105" s="83">
        <f t="shared" si="7"/>
        <v>796047.51</v>
      </c>
      <c r="I105" s="1"/>
      <c r="K105" s="83">
        <f>B105/'Scenario 1 - Phase 1'!$E$8</f>
        <v>1413.5457925072046</v>
      </c>
      <c r="L105" s="1"/>
      <c r="N105" s="83">
        <f>E105/'LEVEL 3'!$E$8</f>
        <v>1574.9851546391753</v>
      </c>
      <c r="O105" s="1"/>
      <c r="Q105" s="83">
        <f>H105/('Scenario 1 - Phase 1'!$E$8+'LEVEL 3'!$E$8)</f>
        <v>1471.4371719038818</v>
      </c>
      <c r="R105" s="1"/>
      <c r="T105" s="197">
        <f>B105/'Scenario 1 - Phase 1'!$B$8</f>
        <v>1.5764518772778988</v>
      </c>
      <c r="U105" s="193"/>
      <c r="V105" s="194"/>
      <c r="W105" s="197">
        <f>E105/'LEVEL 3'!$B$8</f>
        <v>1.5566186592218616</v>
      </c>
      <c r="X105" s="193"/>
      <c r="Y105" s="194"/>
      <c r="Z105" s="197">
        <f>H105/('Scenario 1 - Phase 1'!$B$8+'LEVEL 3'!$B$8)</f>
        <v>1.5687798143984109</v>
      </c>
      <c r="AA105" s="1"/>
    </row>
    <row r="106" spans="1:27">
      <c r="A106" s="37" t="s">
        <v>307</v>
      </c>
      <c r="B106" s="83">
        <f>'Scenario 1 - Phase 1'!K121</f>
        <v>60368</v>
      </c>
      <c r="C106" s="1"/>
      <c r="E106" s="83">
        <f>'LEVEL 3'!K122</f>
        <v>0</v>
      </c>
      <c r="F106" s="1"/>
      <c r="H106" s="83">
        <f t="shared" si="7"/>
        <v>60368</v>
      </c>
      <c r="I106" s="1"/>
      <c r="K106" s="83">
        <f>B106/'Scenario 1 - Phase 1'!$E$8</f>
        <v>173.97118155619597</v>
      </c>
      <c r="L106" s="1"/>
      <c r="N106" s="83">
        <f>E106/'LEVEL 3'!$E$8</f>
        <v>0</v>
      </c>
      <c r="O106" s="1"/>
      <c r="Q106" s="83">
        <f>H106/('Scenario 1 - Phase 1'!$E$8+'LEVEL 3'!$E$8)</f>
        <v>111.58595194085028</v>
      </c>
      <c r="R106" s="1"/>
      <c r="T106" s="197">
        <f>B106/'Scenario 1 - Phase 1'!$B$8</f>
        <v>0.19402073651258911</v>
      </c>
      <c r="U106" s="193"/>
      <c r="V106" s="194"/>
      <c r="W106" s="197">
        <f>E106/'LEVEL 3'!$B$8</f>
        <v>0</v>
      </c>
      <c r="X106" s="193"/>
      <c r="Y106" s="194"/>
      <c r="Z106" s="197">
        <f>H106/('Scenario 1 - Phase 1'!$B$8+'LEVEL 3'!$B$8)</f>
        <v>0.11896789908381632</v>
      </c>
      <c r="AA106" s="1"/>
    </row>
    <row r="107" spans="1:27">
      <c r="A107" s="37" t="s">
        <v>309</v>
      </c>
      <c r="B107" s="83">
        <f>'Scenario 1 - Phase 1'!K122</f>
        <v>3988</v>
      </c>
      <c r="C107" s="1"/>
      <c r="E107" s="83">
        <f>'LEVEL 3'!K123</f>
        <v>0</v>
      </c>
      <c r="F107" s="1"/>
      <c r="H107" s="83">
        <f t="shared" si="7"/>
        <v>3988</v>
      </c>
      <c r="I107" s="1"/>
      <c r="K107" s="83">
        <f>B107/'Scenario 1 - Phase 1'!$E$8</f>
        <v>11.492795389048991</v>
      </c>
      <c r="L107" s="1"/>
      <c r="N107" s="83">
        <f>E107/'LEVEL 3'!$E$8</f>
        <v>0</v>
      </c>
      <c r="O107" s="1"/>
      <c r="Q107" s="83">
        <f>H107/('Scenario 1 - Phase 1'!$E$8+'LEVEL 3'!$E$8)</f>
        <v>7.3715341959334566</v>
      </c>
      <c r="R107" s="1"/>
      <c r="T107" s="197">
        <f>B107/'Scenario 1 - Phase 1'!$B$8</f>
        <v>1.2817298853899506E-2</v>
      </c>
      <c r="U107" s="193"/>
      <c r="V107" s="194"/>
      <c r="W107" s="197">
        <f>E107/'LEVEL 3'!$B$8</f>
        <v>0</v>
      </c>
      <c r="X107" s="193"/>
      <c r="Y107" s="194"/>
      <c r="Z107" s="197">
        <f>H107/('Scenario 1 - Phase 1'!$B$8+'LEVEL 3'!$B$8)</f>
        <v>7.8591966198359973E-3</v>
      </c>
      <c r="AA107" s="1"/>
    </row>
    <row r="108" spans="1:27">
      <c r="A108" s="37" t="s">
        <v>311</v>
      </c>
      <c r="B108" s="83">
        <f>'Scenario 1 - Phase 1'!K123</f>
        <v>155571</v>
      </c>
      <c r="C108" s="1"/>
      <c r="E108" s="83">
        <f>'LEVEL 3'!K124</f>
        <v>72626.929999999993</v>
      </c>
      <c r="F108" s="1"/>
      <c r="H108" s="83">
        <f t="shared" si="7"/>
        <v>228197.93</v>
      </c>
      <c r="I108" s="1"/>
      <c r="K108" s="83">
        <f>B108/'Scenario 1 - Phase 1'!$E$8</f>
        <v>448.3314121037464</v>
      </c>
      <c r="L108" s="1"/>
      <c r="N108" s="83">
        <f>E108/'LEVEL 3'!$E$8</f>
        <v>374.36561855670101</v>
      </c>
      <c r="O108" s="1"/>
      <c r="Q108" s="83">
        <f>H108/('Scenario 1 - Phase 1'!$E$8+'LEVEL 3'!$E$8)</f>
        <v>421.80763401109056</v>
      </c>
      <c r="R108" s="1"/>
      <c r="T108" s="197">
        <f>B108/'Scenario 1 - Phase 1'!$B$8</f>
        <v>0.5</v>
      </c>
      <c r="U108" s="193"/>
      <c r="V108" s="194"/>
      <c r="W108" s="197">
        <f>E108/'LEVEL 3'!$B$8</f>
        <v>0.36999999999999994</v>
      </c>
      <c r="X108" s="193"/>
      <c r="Y108" s="194"/>
      <c r="Z108" s="197">
        <f>H108/('Scenario 1 - Phase 1'!$B$8+'LEVEL 3'!$B$8)</f>
        <v>0.44971223673760569</v>
      </c>
      <c r="AA108" s="1"/>
    </row>
    <row r="109" spans="1:27">
      <c r="A109" s="37" t="s">
        <v>313</v>
      </c>
      <c r="B109" s="83">
        <f>'Scenario 1 - Phase 1'!K124</f>
        <v>6000</v>
      </c>
      <c r="C109" s="1"/>
      <c r="E109" s="83">
        <f>'LEVEL 3'!K125</f>
        <v>1500</v>
      </c>
      <c r="F109" s="1"/>
      <c r="H109" s="83">
        <f t="shared" si="7"/>
        <v>7500</v>
      </c>
      <c r="I109" s="1"/>
      <c r="K109" s="83">
        <f>B109/'Scenario 1 - Phase 1'!$E$8</f>
        <v>17.291066282420751</v>
      </c>
      <c r="L109" s="1"/>
      <c r="N109" s="83">
        <f>E109/'LEVEL 3'!$E$8</f>
        <v>7.731958762886598</v>
      </c>
      <c r="O109" s="1"/>
      <c r="Q109" s="83">
        <f>H109/('Scenario 1 - Phase 1'!$E$8+'LEVEL 3'!$E$8)</f>
        <v>13.863216266173753</v>
      </c>
      <c r="R109" s="1"/>
      <c r="T109" s="197">
        <f>B109/'Scenario 1 - Phase 1'!$B$8</f>
        <v>1.9283799679888924E-2</v>
      </c>
      <c r="U109" s="193"/>
      <c r="V109" s="194"/>
      <c r="W109" s="197">
        <f>E109/'LEVEL 3'!$B$8</f>
        <v>7.6417934779839927E-3</v>
      </c>
      <c r="X109" s="193"/>
      <c r="Y109" s="194"/>
      <c r="Z109" s="197">
        <f>H109/('Scenario 1 - Phase 1'!$B$8+'LEVEL 3'!$B$8)</f>
        <v>1.4780334666191068E-2</v>
      </c>
      <c r="AA109" s="1"/>
    </row>
    <row r="110" spans="1:27">
      <c r="A110" s="37" t="s">
        <v>315</v>
      </c>
      <c r="B110" s="83">
        <f>'Scenario 1 - Phase 1'!K125</f>
        <v>28285.608078000001</v>
      </c>
      <c r="C110" s="1"/>
      <c r="E110" s="83">
        <f>'LEVEL 3'!K126</f>
        <v>0</v>
      </c>
      <c r="F110" s="1"/>
      <c r="H110" s="83">
        <f t="shared" si="7"/>
        <v>28285.608078000001</v>
      </c>
      <c r="I110" s="1"/>
      <c r="K110" s="83">
        <f>B110/'Scenario 1 - Phase 1'!$E$8</f>
        <v>81.51472068587897</v>
      </c>
      <c r="L110" s="1"/>
      <c r="N110" s="83">
        <f>E110/'LEVEL 3'!$E$8</f>
        <v>0</v>
      </c>
      <c r="O110" s="1"/>
      <c r="Q110" s="83">
        <f>H110/('Scenario 1 - Phase 1'!$E$8+'LEVEL 3'!$E$8)</f>
        <v>52.283933600739374</v>
      </c>
      <c r="R110" s="1"/>
      <c r="T110" s="197">
        <f>B110/'Scenario 1 - Phase 1'!$B$8</f>
        <v>9.0909000000000004E-2</v>
      </c>
      <c r="U110" s="193"/>
      <c r="V110" s="194"/>
      <c r="W110" s="197">
        <f>E110/'LEVEL 3'!$B$8</f>
        <v>0</v>
      </c>
      <c r="X110" s="193"/>
      <c r="Y110" s="194"/>
      <c r="Z110" s="197">
        <f>H110/('Scenario 1 - Phase 1'!$B$8+'LEVEL 3'!$B$8)</f>
        <v>5.5742767150607671E-2</v>
      </c>
      <c r="AA110" s="1"/>
    </row>
    <row r="111" spans="1:27">
      <c r="A111" s="37" t="s">
        <v>317</v>
      </c>
      <c r="B111" s="83">
        <f>'Scenario 1 - Phase 1'!K126</f>
        <v>56627.843999999997</v>
      </c>
      <c r="C111" s="1"/>
      <c r="E111" s="83">
        <f>'LEVEL 3'!K127</f>
        <v>0</v>
      </c>
      <c r="F111" s="1"/>
      <c r="H111" s="83">
        <f t="shared" si="7"/>
        <v>56627.843999999997</v>
      </c>
      <c r="I111" s="1"/>
      <c r="K111" s="83">
        <f>B111/'Scenario 1 - Phase 1'!$E$8</f>
        <v>163.19263400576369</v>
      </c>
      <c r="L111" s="1"/>
      <c r="N111" s="83">
        <f>E111/'LEVEL 3'!$E$8</f>
        <v>0</v>
      </c>
      <c r="O111" s="1"/>
      <c r="Q111" s="83">
        <f>H111/('Scenario 1 - Phase 1'!$E$8+'LEVEL 3'!$E$8)</f>
        <v>104.67253974121996</v>
      </c>
      <c r="R111" s="1"/>
      <c r="T111" s="197">
        <f>B111/'Scenario 1 - Phase 1'!$B$8</f>
        <v>0.182</v>
      </c>
      <c r="U111" s="193"/>
      <c r="V111" s="194"/>
      <c r="W111" s="197">
        <f>E111/'LEVEL 3'!$B$8</f>
        <v>0</v>
      </c>
      <c r="X111" s="193"/>
      <c r="Y111" s="194"/>
      <c r="Z111" s="197">
        <f>H111/('Scenario 1 - Phase 1'!$B$8+'LEVEL 3'!$B$8)</f>
        <v>0.11159713143264798</v>
      </c>
      <c r="AA111" s="1"/>
    </row>
    <row r="112" spans="1:27">
      <c r="A112" s="37" t="s">
        <v>319</v>
      </c>
      <c r="B112" s="83">
        <f>'Scenario 1 - Phase 1'!K127</f>
        <v>41366</v>
      </c>
      <c r="C112" s="1"/>
      <c r="E112" s="83">
        <f>'LEVEL 3'!K128</f>
        <v>21757.903265792611</v>
      </c>
      <c r="F112" s="1"/>
      <c r="H112" s="83">
        <f t="shared" si="7"/>
        <v>63123.903265792615</v>
      </c>
      <c r="I112" s="1"/>
      <c r="K112" s="83">
        <f>B112/'Scenario 1 - Phase 1'!$E$8</f>
        <v>119.21037463976946</v>
      </c>
      <c r="L112" s="1"/>
      <c r="N112" s="83">
        <f>E112/'LEVEL 3'!$E$8</f>
        <v>112.15414054532273</v>
      </c>
      <c r="O112" s="1"/>
      <c r="Q112" s="83">
        <f>H112/('Scenario 1 - Phase 1'!$E$8+'LEVEL 3'!$E$8)</f>
        <v>116.68004300516195</v>
      </c>
      <c r="R112" s="1"/>
      <c r="T112" s="197">
        <f>B112/'Scenario 1 - Phase 1'!$B$8</f>
        <v>0.13294894292638088</v>
      </c>
      <c r="U112" s="193"/>
      <c r="V112" s="194"/>
      <c r="W112" s="197">
        <f>E112/'LEVEL 3'!$B$8</f>
        <v>0.11084626884742706</v>
      </c>
      <c r="X112" s="193"/>
      <c r="Y112" s="194"/>
      <c r="Z112" s="197">
        <f>H112/('Scenario 1 - Phase 1'!$B$8+'LEVEL 3'!$B$8)</f>
        <v>0.12439898876062483</v>
      </c>
      <c r="AA112" s="1"/>
    </row>
    <row r="113" spans="1:27">
      <c r="A113" s="37" t="s">
        <v>322</v>
      </c>
      <c r="B113" s="83">
        <f>'Scenario 1 - Phase 1'!K128</f>
        <v>22620.023400000002</v>
      </c>
      <c r="C113" s="1"/>
      <c r="E113" s="83">
        <f>'LEVEL 3'!K129</f>
        <v>12937</v>
      </c>
      <c r="F113" s="1"/>
      <c r="H113" s="83">
        <f t="shared" si="7"/>
        <v>35557.023400000005</v>
      </c>
      <c r="I113" s="1"/>
      <c r="K113" s="83">
        <f>B113/'Scenario 1 - Phase 1'!$E$8</f>
        <v>65.187387319884735</v>
      </c>
      <c r="L113" s="1"/>
      <c r="N113" s="83">
        <f>E113/'LEVEL 3'!$E$8</f>
        <v>66.685567010309285</v>
      </c>
      <c r="O113" s="1"/>
      <c r="Q113" s="83">
        <f>H113/('Scenario 1 - Phase 1'!$E$8+'LEVEL 3'!$E$8)</f>
        <v>65.72462735674678</v>
      </c>
      <c r="R113" s="1"/>
      <c r="T113" s="197">
        <f>B113/'Scenario 1 - Phase 1'!$B$8</f>
        <v>7.2700000000000001E-2</v>
      </c>
      <c r="U113" s="193"/>
      <c r="V113" s="194"/>
      <c r="W113" s="197">
        <f>E113/'LEVEL 3'!$B$8</f>
        <v>6.5907921483119275E-2</v>
      </c>
      <c r="X113" s="193"/>
      <c r="Y113" s="194"/>
      <c r="Z113" s="197">
        <f>H113/('Scenario 1 - Phase 1'!$B$8+'LEVEL 3'!$B$8)</f>
        <v>7.0072627411411612E-2</v>
      </c>
      <c r="AA113" s="1"/>
    </row>
    <row r="114" spans="1:27">
      <c r="A114" s="37" t="s">
        <v>324</v>
      </c>
      <c r="B114" s="83">
        <f>'Scenario 1 - Phase 1'!K129</f>
        <v>9635.625</v>
      </c>
      <c r="C114" s="1"/>
      <c r="E114" s="83">
        <f>'LEVEL 3'!K130</f>
        <v>10051.777717426728</v>
      </c>
      <c r="F114" s="1"/>
      <c r="H114" s="83">
        <f t="shared" si="7"/>
        <v>19687.402717426728</v>
      </c>
      <c r="I114" s="1"/>
      <c r="K114" s="83">
        <f>B114/'Scenario 1 - Phase 1'!$E$8</f>
        <v>27.76837175792507</v>
      </c>
      <c r="L114" s="1"/>
      <c r="N114" s="83">
        <f>E114/'LEVEL 3'!$E$8</f>
        <v>51.813287203230558</v>
      </c>
      <c r="O114" s="1"/>
      <c r="Q114" s="83">
        <f>H114/('Scenario 1 - Phase 1'!$E$8+'LEVEL 3'!$E$8)</f>
        <v>36.390762878792472</v>
      </c>
      <c r="R114" s="1"/>
      <c r="T114" s="197">
        <f>B114/'Scenario 1 - Phase 1'!$B$8</f>
        <v>3.0968577048421621E-2</v>
      </c>
      <c r="U114" s="193"/>
      <c r="V114" s="194"/>
      <c r="W114" s="197">
        <f>E114/'LEVEL 3'!$B$8</f>
        <v>5.1209072935450933E-2</v>
      </c>
      <c r="X114" s="193"/>
      <c r="Y114" s="194"/>
      <c r="Z114" s="197">
        <f>H114/('Scenario 1 - Phase 1'!$B$8+'LEVEL 3'!$B$8)</f>
        <v>3.8798186782886206E-2</v>
      </c>
      <c r="AA114" s="1"/>
    </row>
    <row r="115" spans="1:27">
      <c r="A115" s="37" t="s">
        <v>327</v>
      </c>
      <c r="B115" s="83">
        <f>'Scenario 1 - Phase 1'!K130</f>
        <v>64237.5</v>
      </c>
      <c r="C115" s="1"/>
      <c r="E115" s="83">
        <f>'LEVEL 3'!K131</f>
        <v>58297.751971668804</v>
      </c>
      <c r="F115" s="1"/>
      <c r="H115" s="83">
        <f t="shared" si="7"/>
        <v>122535.2519716688</v>
      </c>
      <c r="I115" s="1"/>
      <c r="K115" s="83">
        <f>B115/'Scenario 1 - Phase 1'!$E$8</f>
        <v>185.12247838616716</v>
      </c>
      <c r="L115" s="1"/>
      <c r="N115" s="83">
        <f>E115/'LEVEL 3'!$E$8</f>
        <v>300.50387614262269</v>
      </c>
      <c r="O115" s="1"/>
      <c r="Q115" s="83">
        <f>H115/('Scenario 1 - Phase 1'!$E$8+'LEVEL 3'!$E$8)</f>
        <v>226.49769310844511</v>
      </c>
      <c r="R115" s="1"/>
      <c r="T115" s="197">
        <f>B115/'Scenario 1 - Phase 1'!$B$8</f>
        <v>0.2064571803228108</v>
      </c>
      <c r="U115" s="193"/>
      <c r="V115" s="194"/>
      <c r="W115" s="197">
        <f>E115/'LEVEL 3'!$B$8</f>
        <v>0.29699958719881808</v>
      </c>
      <c r="X115" s="193"/>
      <c r="Y115" s="194"/>
      <c r="Z115" s="197">
        <f>H115/('Scenario 1 - Phase 1'!$B$8+'LEVEL 3'!$B$8)</f>
        <v>0.24148160433964183</v>
      </c>
      <c r="AA115" s="1"/>
    </row>
    <row r="116" spans="1:27">
      <c r="A116" s="37" t="s">
        <v>329</v>
      </c>
      <c r="B116" s="83">
        <f>'Scenario 1 - Phase 1'!K131</f>
        <v>29495</v>
      </c>
      <c r="C116" s="1"/>
      <c r="E116" s="83">
        <f>'LEVEL 3'!K132</f>
        <v>10000</v>
      </c>
      <c r="F116" s="1"/>
      <c r="H116" s="83">
        <f t="shared" si="7"/>
        <v>39495</v>
      </c>
      <c r="I116" s="1"/>
      <c r="K116" s="83">
        <f>B116/'Scenario 1 - Phase 1'!$E$8</f>
        <v>85</v>
      </c>
      <c r="L116" s="1"/>
      <c r="N116" s="83">
        <f>E116/'LEVEL 3'!$E$8</f>
        <v>51.546391752577321</v>
      </c>
      <c r="O116" s="1"/>
      <c r="Q116" s="83">
        <f>H116/('Scenario 1 - Phase 1'!$E$8+'LEVEL 3'!$E$8)</f>
        <v>73.003696857670974</v>
      </c>
      <c r="R116" s="1"/>
      <c r="T116" s="197">
        <f>B116/'Scenario 1 - Phase 1'!$B$8</f>
        <v>9.479594525972064E-2</v>
      </c>
      <c r="U116" s="193"/>
      <c r="V116" s="194"/>
      <c r="W116" s="197">
        <f>E116/'LEVEL 3'!$B$8</f>
        <v>5.0945289853226619E-2</v>
      </c>
      <c r="X116" s="193"/>
      <c r="Y116" s="194"/>
      <c r="Z116" s="197">
        <f>H116/('Scenario 1 - Phase 1'!$B$8+'LEVEL 3'!$B$8)</f>
        <v>7.7833242352162171E-2</v>
      </c>
      <c r="AA116" s="1"/>
    </row>
    <row r="117" spans="1:27">
      <c r="A117" s="37" t="s">
        <v>331</v>
      </c>
      <c r="B117" s="83">
        <f>'Scenario 1 - Phase 1'!K132</f>
        <v>572501.28</v>
      </c>
      <c r="C117" s="1"/>
      <c r="E117" s="83">
        <f>'LEVEL 3'!K133</f>
        <v>360171.76</v>
      </c>
      <c r="F117" s="1"/>
      <c r="H117" s="83">
        <f t="shared" si="7"/>
        <v>932673.04</v>
      </c>
      <c r="I117" s="1"/>
      <c r="K117" s="83">
        <f>B117/'Scenario 1 - Phase 1'!$E$8</f>
        <v>1649.8595965417869</v>
      </c>
      <c r="L117" s="1"/>
      <c r="N117" s="83">
        <f>E117/'LEVEL 3'!$E$8</f>
        <v>1856.5554639175259</v>
      </c>
      <c r="O117" s="1"/>
      <c r="Q117" s="83">
        <f>H117/('Scenario 1 - Phase 1'!$E$8+'LEVEL 3'!$E$8)</f>
        <v>1723.979741219963</v>
      </c>
      <c r="R117" s="1"/>
      <c r="T117" s="197">
        <f>B117/'Scenario 1 - Phase 1'!$B$8</f>
        <v>1.84</v>
      </c>
      <c r="U117" s="193"/>
      <c r="V117" s="194"/>
      <c r="W117" s="197">
        <f>E117/'LEVEL 3'!$B$8</f>
        <v>1.8349054710146775</v>
      </c>
      <c r="X117" s="193"/>
      <c r="Y117" s="194"/>
      <c r="Z117" s="197">
        <f>H117/('Scenario 1 - Phase 1'!$B$8+'LEVEL 3'!$B$8)</f>
        <v>1.8380292887111747</v>
      </c>
      <c r="AA117" s="1"/>
    </row>
    <row r="118" spans="1:27">
      <c r="A118" s="37" t="s">
        <v>333</v>
      </c>
      <c r="B118" s="83">
        <f>'Scenario 1 - Phase 1'!K133</f>
        <v>0</v>
      </c>
      <c r="C118" s="1"/>
      <c r="E118" s="83">
        <f>'LEVEL 3'!K135</f>
        <v>0</v>
      </c>
      <c r="F118" s="1"/>
      <c r="H118" s="83">
        <f t="shared" si="7"/>
        <v>0</v>
      </c>
      <c r="I118" s="1"/>
      <c r="K118" s="83">
        <f>B118/'Scenario 1 - Phase 1'!$E$8</f>
        <v>0</v>
      </c>
      <c r="L118" s="1"/>
      <c r="N118" s="83">
        <f>E118/'LEVEL 3'!$E$8</f>
        <v>0</v>
      </c>
      <c r="O118" s="1"/>
      <c r="Q118" s="83">
        <f>H118/('Scenario 1 - Phase 1'!$E$8+'LEVEL 3'!$E$8)</f>
        <v>0</v>
      </c>
      <c r="R118" s="1"/>
      <c r="T118" s="197">
        <f>B118/'Scenario 1 - Phase 1'!$B$8</f>
        <v>0</v>
      </c>
      <c r="U118" s="193"/>
      <c r="V118" s="194"/>
      <c r="W118" s="197">
        <f>E118/'LEVEL 3'!$B$8</f>
        <v>0</v>
      </c>
      <c r="X118" s="193"/>
      <c r="Y118" s="194"/>
      <c r="Z118" s="197">
        <f>H118/('Scenario 1 - Phase 1'!$B$8+'LEVEL 3'!$B$8)</f>
        <v>0</v>
      </c>
      <c r="AA118" s="1"/>
    </row>
    <row r="119" spans="1:27">
      <c r="A119" s="37" t="s">
        <v>335</v>
      </c>
      <c r="B119" s="83">
        <f>'Scenario 1 - Phase 1'!K134</f>
        <v>0</v>
      </c>
      <c r="C119" s="1"/>
      <c r="E119" s="83">
        <f>'LEVEL 3'!K136</f>
        <v>0</v>
      </c>
      <c r="F119" s="1"/>
      <c r="H119" s="83">
        <f t="shared" si="7"/>
        <v>0</v>
      </c>
      <c r="I119" s="1"/>
      <c r="K119" s="83">
        <f>B119/'Scenario 1 - Phase 1'!$E$8</f>
        <v>0</v>
      </c>
      <c r="L119" s="1"/>
      <c r="N119" s="83">
        <f>E119/'LEVEL 3'!$E$8</f>
        <v>0</v>
      </c>
      <c r="O119" s="1"/>
      <c r="Q119" s="83">
        <f>H119/('Scenario 1 - Phase 1'!$E$8+'LEVEL 3'!$E$8)</f>
        <v>0</v>
      </c>
      <c r="R119" s="1"/>
      <c r="T119" s="197">
        <f>B119/'Scenario 1 - Phase 1'!$B$8</f>
        <v>0</v>
      </c>
      <c r="U119" s="193"/>
      <c r="V119" s="194"/>
      <c r="W119" s="197">
        <f>E119/'LEVEL 3'!$B$8</f>
        <v>0</v>
      </c>
      <c r="X119" s="193"/>
      <c r="Y119" s="194"/>
      <c r="Z119" s="197">
        <f>H119/('Scenario 1 - Phase 1'!$B$8+'LEVEL 3'!$B$8)</f>
        <v>0</v>
      </c>
      <c r="AA119" s="1"/>
    </row>
    <row r="120" spans="1:27">
      <c r="A120" s="37" t="s">
        <v>337</v>
      </c>
      <c r="B120" s="83">
        <f>'Scenario 1 - Phase 1'!K135</f>
        <v>0</v>
      </c>
      <c r="C120" s="1"/>
      <c r="E120" s="83">
        <f>'LEVEL 3'!K137</f>
        <v>0</v>
      </c>
      <c r="F120" s="1"/>
      <c r="H120" s="83">
        <f t="shared" si="7"/>
        <v>0</v>
      </c>
      <c r="I120" s="1"/>
      <c r="K120" s="83">
        <f>B120/'Scenario 1 - Phase 1'!$E$8</f>
        <v>0</v>
      </c>
      <c r="L120" s="1"/>
      <c r="N120" s="83">
        <f>E120/'LEVEL 3'!$E$8</f>
        <v>0</v>
      </c>
      <c r="O120" s="1"/>
      <c r="Q120" s="83">
        <f>H120/('Scenario 1 - Phase 1'!$E$8+'LEVEL 3'!$E$8)</f>
        <v>0</v>
      </c>
      <c r="R120" s="1"/>
      <c r="T120" s="197">
        <f>B120/'Scenario 1 - Phase 1'!$B$8</f>
        <v>0</v>
      </c>
      <c r="U120" s="193"/>
      <c r="V120" s="194"/>
      <c r="W120" s="197">
        <f>E120/'LEVEL 3'!$B$8</f>
        <v>0</v>
      </c>
      <c r="X120" s="193"/>
      <c r="Y120" s="194"/>
      <c r="Z120" s="197">
        <f>H120/('Scenario 1 - Phase 1'!$B$8+'LEVEL 3'!$B$8)</f>
        <v>0</v>
      </c>
      <c r="AA120" s="1"/>
    </row>
    <row r="121" spans="1:27">
      <c r="A121" s="37" t="s">
        <v>338</v>
      </c>
      <c r="B121" s="83">
        <f>'Scenario 1 - Phase 1'!K136</f>
        <v>0</v>
      </c>
      <c r="C121" s="1"/>
      <c r="E121" s="83">
        <f>'LEVEL 3'!K138</f>
        <v>0</v>
      </c>
      <c r="F121" s="1"/>
      <c r="H121" s="83">
        <f t="shared" si="7"/>
        <v>0</v>
      </c>
      <c r="I121" s="1"/>
      <c r="K121" s="83">
        <f>B121/'Scenario 1 - Phase 1'!$E$8</f>
        <v>0</v>
      </c>
      <c r="L121" s="1"/>
      <c r="N121" s="83">
        <f>E121/'LEVEL 3'!$E$8</f>
        <v>0</v>
      </c>
      <c r="O121" s="1"/>
      <c r="Q121" s="83">
        <f>H121/('Scenario 1 - Phase 1'!$E$8+'LEVEL 3'!$E$8)</f>
        <v>0</v>
      </c>
      <c r="R121" s="1"/>
      <c r="T121" s="197">
        <f>B121/'Scenario 1 - Phase 1'!$B$8</f>
        <v>0</v>
      </c>
      <c r="U121" s="193"/>
      <c r="V121" s="194"/>
      <c r="W121" s="197">
        <f>E121/'LEVEL 3'!$B$8</f>
        <v>0</v>
      </c>
      <c r="X121" s="193"/>
      <c r="Y121" s="194"/>
      <c r="Z121" s="197">
        <f>H121/('Scenario 1 - Phase 1'!$B$8+'LEVEL 3'!$B$8)</f>
        <v>0</v>
      </c>
      <c r="AA121" s="1"/>
    </row>
    <row r="122" spans="1:27">
      <c r="A122" s="33" t="s">
        <v>340</v>
      </c>
      <c r="B122" s="82"/>
      <c r="C122" s="102">
        <f>SUM(B123:B138)</f>
        <v>328837</v>
      </c>
      <c r="E122" s="82"/>
      <c r="F122" s="102">
        <f>SUM(E123:E138)</f>
        <v>233950</v>
      </c>
      <c r="H122" s="82"/>
      <c r="I122" s="102">
        <f>SUM(H123:H138)</f>
        <v>562787</v>
      </c>
      <c r="K122" s="82"/>
      <c r="L122" s="102">
        <f>SUM(K123:K138)</f>
        <v>947.65706051873201</v>
      </c>
      <c r="N122" s="82"/>
      <c r="O122" s="102">
        <f>SUM(N123:N138)</f>
        <v>1205.9278350515463</v>
      </c>
      <c r="Q122" s="82"/>
      <c r="R122" s="102">
        <f>SUM(Q123:Q138)</f>
        <v>1040.2717190388169</v>
      </c>
      <c r="T122" s="82"/>
      <c r="U122" s="201">
        <f>C122/'Scenario 1 - Phase 1'!$B$8</f>
        <v>1.0568711392226058</v>
      </c>
      <c r="V122" s="199"/>
      <c r="W122" s="203"/>
      <c r="X122" s="201">
        <f>F122/'LEVEL 3'!$B$8</f>
        <v>1.1918650561162367</v>
      </c>
      <c r="Y122" s="199"/>
      <c r="Z122" s="203"/>
      <c r="AA122" s="201">
        <f>I122/('Scenario 1 - Phase 1'!$B$8+'LEVEL 3'!$B$8)</f>
        <v>1.1090906941042231</v>
      </c>
    </row>
    <row r="123" spans="1:27">
      <c r="A123" s="35" t="s">
        <v>342</v>
      </c>
      <c r="B123" s="71">
        <f>'Scenario 1 - Phase 1'!K138</f>
        <v>0</v>
      </c>
      <c r="C123" s="1"/>
      <c r="E123" s="71">
        <f>'LEVEL 3'!K140</f>
        <v>0</v>
      </c>
      <c r="F123" s="1"/>
      <c r="H123" s="71">
        <f t="shared" ref="H123:H138" si="8">B123+E123</f>
        <v>0</v>
      </c>
      <c r="I123" s="1"/>
      <c r="K123" s="71">
        <f>B123/'Scenario 1 - Phase 1'!$E$8</f>
        <v>0</v>
      </c>
      <c r="L123" s="1"/>
      <c r="N123" s="71">
        <f>E123/'LEVEL 3'!$E$8</f>
        <v>0</v>
      </c>
      <c r="O123" s="1"/>
      <c r="Q123" s="71">
        <f>H123/('Scenario 1 - Phase 1'!$E$8+'LEVEL 3'!$E$8)</f>
        <v>0</v>
      </c>
      <c r="R123" s="1"/>
      <c r="T123" s="195">
        <f>B123/'Scenario 1 - Phase 1'!$B$8</f>
        <v>0</v>
      </c>
      <c r="U123" s="193"/>
      <c r="V123" s="194"/>
      <c r="W123" s="195">
        <f>E123/'LEVEL 3'!$B$8</f>
        <v>0</v>
      </c>
      <c r="X123" s="193"/>
      <c r="Y123" s="194"/>
      <c r="Z123" s="195">
        <f>H123/('Scenario 1 - Phase 1'!$B$8+'LEVEL 3'!$B$8)</f>
        <v>0</v>
      </c>
      <c r="AA123" s="1"/>
    </row>
    <row r="124" spans="1:27">
      <c r="A124" s="37" t="s">
        <v>344</v>
      </c>
      <c r="B124" s="83">
        <f>'Scenario 1 - Phase 1'!K139</f>
        <v>53785</v>
      </c>
      <c r="C124" s="1"/>
      <c r="E124" s="83">
        <f>'LEVEL 3'!K141</f>
        <v>30070</v>
      </c>
      <c r="F124" s="1"/>
      <c r="H124" s="83">
        <f t="shared" si="8"/>
        <v>83855</v>
      </c>
      <c r="I124" s="1"/>
      <c r="K124" s="83">
        <f>B124/'Scenario 1 - Phase 1'!$E$8</f>
        <v>155</v>
      </c>
      <c r="L124" s="1"/>
      <c r="N124" s="83">
        <f>E124/'LEVEL 3'!$E$8</f>
        <v>155</v>
      </c>
      <c r="O124" s="1"/>
      <c r="Q124" s="83">
        <f>H124/('Scenario 1 - Phase 1'!$E$8+'LEVEL 3'!$E$8)</f>
        <v>155</v>
      </c>
      <c r="R124" s="1"/>
      <c r="T124" s="197">
        <f>B124/'Scenario 1 - Phase 1'!$B$8</f>
        <v>0.17286319429713765</v>
      </c>
      <c r="U124" s="193"/>
      <c r="V124" s="194"/>
      <c r="W124" s="197">
        <f>E124/'LEVEL 3'!$B$8</f>
        <v>0.15319248658865245</v>
      </c>
      <c r="X124" s="193"/>
      <c r="Y124" s="194"/>
      <c r="Z124" s="197">
        <f>H124/('Scenario 1 - Phase 1'!$B$8+'LEVEL 3'!$B$8)</f>
        <v>0.16525399512446026</v>
      </c>
      <c r="AA124" s="1"/>
    </row>
    <row r="125" spans="1:27">
      <c r="A125" s="37" t="s">
        <v>347</v>
      </c>
      <c r="B125" s="83">
        <f>'Scenario 1 - Phase 1'!K140</f>
        <v>5688</v>
      </c>
      <c r="C125" s="1"/>
      <c r="E125" s="83">
        <f>'LEVEL 3'!K142</f>
        <v>6000</v>
      </c>
      <c r="F125" s="1"/>
      <c r="H125" s="83">
        <f t="shared" si="8"/>
        <v>11688</v>
      </c>
      <c r="I125" s="1"/>
      <c r="K125" s="83">
        <f>B125/'Scenario 1 - Phase 1'!$E$8</f>
        <v>16.391930835734872</v>
      </c>
      <c r="L125" s="1"/>
      <c r="N125" s="83">
        <f>E125/'LEVEL 3'!$E$8</f>
        <v>30.927835051546392</v>
      </c>
      <c r="O125" s="1"/>
      <c r="Q125" s="83">
        <f>H125/('Scenario 1 - Phase 1'!$E$8+'LEVEL 3'!$E$8)</f>
        <v>21.604436229205177</v>
      </c>
      <c r="R125" s="1"/>
      <c r="T125" s="197">
        <f>B125/'Scenario 1 - Phase 1'!$B$8</f>
        <v>1.8281042096534701E-2</v>
      </c>
      <c r="U125" s="193"/>
      <c r="V125" s="194"/>
      <c r="W125" s="197">
        <f>E125/'LEVEL 3'!$B$8</f>
        <v>3.0567173911935971E-2</v>
      </c>
      <c r="X125" s="193"/>
      <c r="Y125" s="194"/>
      <c r="Z125" s="197">
        <f>H125/('Scenario 1 - Phase 1'!$B$8+'LEVEL 3'!$B$8)</f>
        <v>2.3033673543792162E-2</v>
      </c>
      <c r="AA125" s="1"/>
    </row>
    <row r="126" spans="1:27">
      <c r="A126" s="37" t="s">
        <v>349</v>
      </c>
      <c r="B126" s="83">
        <f>'Scenario 1 - Phase 1'!K141</f>
        <v>4500</v>
      </c>
      <c r="C126" s="1"/>
      <c r="E126" s="83">
        <f>'LEVEL 3'!K143</f>
        <v>5000</v>
      </c>
      <c r="F126" s="1"/>
      <c r="H126" s="83">
        <f t="shared" si="8"/>
        <v>9500</v>
      </c>
      <c r="I126" s="1"/>
      <c r="K126" s="83">
        <f>B126/'Scenario 1 - Phase 1'!$E$8</f>
        <v>12.968299711815561</v>
      </c>
      <c r="L126" s="1"/>
      <c r="N126" s="83">
        <f>E126/'LEVEL 3'!$E$8</f>
        <v>25.773195876288661</v>
      </c>
      <c r="O126" s="1"/>
      <c r="Q126" s="83">
        <f>H126/('Scenario 1 - Phase 1'!$E$8+'LEVEL 3'!$E$8)</f>
        <v>17.560073937153419</v>
      </c>
      <c r="R126" s="1"/>
      <c r="T126" s="197">
        <f>B126/'Scenario 1 - Phase 1'!$B$8</f>
        <v>1.4462849759916694E-2</v>
      </c>
      <c r="U126" s="193"/>
      <c r="V126" s="194"/>
      <c r="W126" s="197">
        <f>E126/'LEVEL 3'!$B$8</f>
        <v>2.547264492661331E-2</v>
      </c>
      <c r="X126" s="193"/>
      <c r="Y126" s="194"/>
      <c r="Z126" s="197">
        <f>H126/('Scenario 1 - Phase 1'!$B$8+'LEVEL 3'!$B$8)</f>
        <v>1.8721757243842022E-2</v>
      </c>
      <c r="AA126" s="1"/>
    </row>
    <row r="127" spans="1:27">
      <c r="A127" s="37" t="s">
        <v>351</v>
      </c>
      <c r="B127" s="83">
        <f>'Scenario 1 - Phase 1'!K142</f>
        <v>7000</v>
      </c>
      <c r="C127" s="1"/>
      <c r="E127" s="83">
        <f>'LEVEL 3'!K144</f>
        <v>7000</v>
      </c>
      <c r="F127" s="1"/>
      <c r="H127" s="83">
        <f t="shared" si="8"/>
        <v>14000</v>
      </c>
      <c r="I127" s="1"/>
      <c r="K127" s="83">
        <f>B127/'Scenario 1 - Phase 1'!$E$8</f>
        <v>20.172910662824208</v>
      </c>
      <c r="L127" s="1"/>
      <c r="N127" s="83">
        <f>E127/'LEVEL 3'!$E$8</f>
        <v>36.082474226804123</v>
      </c>
      <c r="O127" s="1"/>
      <c r="Q127" s="83">
        <f>H127/('Scenario 1 - Phase 1'!$E$8+'LEVEL 3'!$E$8)</f>
        <v>25.878003696857672</v>
      </c>
      <c r="R127" s="1"/>
      <c r="T127" s="197">
        <f>B127/'Scenario 1 - Phase 1'!$B$8</f>
        <v>2.2497766293203745E-2</v>
      </c>
      <c r="U127" s="193"/>
      <c r="V127" s="194"/>
      <c r="W127" s="197">
        <f>E127/'LEVEL 3'!$B$8</f>
        <v>3.5661702897258632E-2</v>
      </c>
      <c r="X127" s="193"/>
      <c r="Y127" s="194"/>
      <c r="Z127" s="197">
        <f>H127/('Scenario 1 - Phase 1'!$B$8+'LEVEL 3'!$B$8)</f>
        <v>2.758995804355666E-2</v>
      </c>
      <c r="AA127" s="1"/>
    </row>
    <row r="128" spans="1:27">
      <c r="A128" s="37" t="s">
        <v>354</v>
      </c>
      <c r="B128" s="83">
        <f>'Scenario 1 - Phase 1'!K143</f>
        <v>5899</v>
      </c>
      <c r="C128" s="1"/>
      <c r="E128" s="83">
        <f>'LEVEL 3'!K145</f>
        <v>3298</v>
      </c>
      <c r="F128" s="1"/>
      <c r="H128" s="83">
        <f t="shared" si="8"/>
        <v>9197</v>
      </c>
      <c r="I128" s="1"/>
      <c r="K128" s="83">
        <f>B128/'Scenario 1 - Phase 1'!$E$8</f>
        <v>17</v>
      </c>
      <c r="L128" s="1"/>
      <c r="N128" s="83">
        <f>E128/'LEVEL 3'!$E$8</f>
        <v>17</v>
      </c>
      <c r="O128" s="1"/>
      <c r="Q128" s="83">
        <f>H128/('Scenario 1 - Phase 1'!$E$8+'LEVEL 3'!$E$8)</f>
        <v>17</v>
      </c>
      <c r="R128" s="1"/>
      <c r="T128" s="197">
        <f>B128/'Scenario 1 - Phase 1'!$B$8</f>
        <v>1.8959189051944127E-2</v>
      </c>
      <c r="U128" s="193"/>
      <c r="V128" s="194"/>
      <c r="W128" s="197">
        <f>E128/'LEVEL 3'!$B$8</f>
        <v>1.680175659359414E-2</v>
      </c>
      <c r="X128" s="193"/>
      <c r="Y128" s="194"/>
      <c r="Z128" s="197">
        <f>H128/('Scenario 1 - Phase 1'!$B$8+'LEVEL 3'!$B$8)</f>
        <v>1.81246317233279E-2</v>
      </c>
      <c r="AA128" s="1"/>
    </row>
    <row r="129" spans="1:27">
      <c r="A129" s="37" t="s">
        <v>356</v>
      </c>
      <c r="B129" s="83">
        <f>'Scenario 1 - Phase 1'!K144</f>
        <v>0</v>
      </c>
      <c r="C129" s="1"/>
      <c r="E129" s="83">
        <f>'LEVEL 3'!K146</f>
        <v>0</v>
      </c>
      <c r="F129" s="1"/>
      <c r="H129" s="83">
        <f t="shared" si="8"/>
        <v>0</v>
      </c>
      <c r="I129" s="1"/>
      <c r="K129" s="83">
        <f>B129/'Scenario 1 - Phase 1'!$E$8</f>
        <v>0</v>
      </c>
      <c r="L129" s="1"/>
      <c r="N129" s="83">
        <f>E129/'LEVEL 3'!$E$8</f>
        <v>0</v>
      </c>
      <c r="O129" s="1"/>
      <c r="Q129" s="83">
        <f>H129/('Scenario 1 - Phase 1'!$E$8+'LEVEL 3'!$E$8)</f>
        <v>0</v>
      </c>
      <c r="R129" s="1"/>
      <c r="T129" s="197">
        <f>B129/'Scenario 1 - Phase 1'!$B$8</f>
        <v>0</v>
      </c>
      <c r="U129" s="193"/>
      <c r="V129" s="194"/>
      <c r="W129" s="197">
        <f>E129/'LEVEL 3'!$B$8</f>
        <v>0</v>
      </c>
      <c r="X129" s="193"/>
      <c r="Y129" s="194"/>
      <c r="Z129" s="197">
        <f>H129/('Scenario 1 - Phase 1'!$B$8+'LEVEL 3'!$B$8)</f>
        <v>0</v>
      </c>
      <c r="AA129" s="1"/>
    </row>
    <row r="130" spans="1:27">
      <c r="A130" s="37" t="s">
        <v>358</v>
      </c>
      <c r="B130" s="83">
        <f>'Scenario 1 - Phase 1'!K145</f>
        <v>0</v>
      </c>
      <c r="C130" s="1"/>
      <c r="E130" s="83">
        <f>'LEVEL 3'!K147</f>
        <v>0</v>
      </c>
      <c r="F130" s="1"/>
      <c r="H130" s="83">
        <f t="shared" si="8"/>
        <v>0</v>
      </c>
      <c r="I130" s="1"/>
      <c r="K130" s="83">
        <f>B130/'Scenario 1 - Phase 1'!$E$8</f>
        <v>0</v>
      </c>
      <c r="L130" s="1"/>
      <c r="N130" s="83">
        <f>E130/'LEVEL 3'!$E$8</f>
        <v>0</v>
      </c>
      <c r="O130" s="1"/>
      <c r="Q130" s="83">
        <f>H130/('Scenario 1 - Phase 1'!$E$8+'LEVEL 3'!$E$8)</f>
        <v>0</v>
      </c>
      <c r="R130" s="1"/>
      <c r="T130" s="197">
        <f>B130/'Scenario 1 - Phase 1'!$B$8</f>
        <v>0</v>
      </c>
      <c r="U130" s="193"/>
      <c r="V130" s="194"/>
      <c r="W130" s="197">
        <f>E130/'LEVEL 3'!$B$8</f>
        <v>0</v>
      </c>
      <c r="X130" s="193"/>
      <c r="Y130" s="194"/>
      <c r="Z130" s="197">
        <f>H130/('Scenario 1 - Phase 1'!$B$8+'LEVEL 3'!$B$8)</f>
        <v>0</v>
      </c>
      <c r="AA130" s="1"/>
    </row>
    <row r="131" spans="1:27">
      <c r="A131" s="37" t="s">
        <v>360</v>
      </c>
      <c r="B131" s="83">
        <f>'Scenario 1 - Phase 1'!K146</f>
        <v>0</v>
      </c>
      <c r="C131" s="1"/>
      <c r="E131" s="83">
        <f>'LEVEL 3'!K148</f>
        <v>0</v>
      </c>
      <c r="F131" s="1"/>
      <c r="H131" s="83">
        <f t="shared" si="8"/>
        <v>0</v>
      </c>
      <c r="I131" s="1"/>
      <c r="K131" s="83">
        <f>B131/'Scenario 1 - Phase 1'!$E$8</f>
        <v>0</v>
      </c>
      <c r="L131" s="1"/>
      <c r="N131" s="83">
        <f>E131/'LEVEL 3'!$E$8</f>
        <v>0</v>
      </c>
      <c r="O131" s="1"/>
      <c r="Q131" s="83">
        <f>H131/('Scenario 1 - Phase 1'!$E$8+'LEVEL 3'!$E$8)</f>
        <v>0</v>
      </c>
      <c r="R131" s="1"/>
      <c r="T131" s="197">
        <f>B131/'Scenario 1 - Phase 1'!$B$8</f>
        <v>0</v>
      </c>
      <c r="U131" s="193"/>
      <c r="V131" s="194"/>
      <c r="W131" s="197">
        <f>E131/'LEVEL 3'!$B$8</f>
        <v>0</v>
      </c>
      <c r="X131" s="193"/>
      <c r="Y131" s="194"/>
      <c r="Z131" s="197">
        <f>H131/('Scenario 1 - Phase 1'!$B$8+'LEVEL 3'!$B$8)</f>
        <v>0</v>
      </c>
      <c r="AA131" s="1"/>
    </row>
    <row r="132" spans="1:27">
      <c r="A132" s="37" t="s">
        <v>362</v>
      </c>
      <c r="B132" s="83">
        <f>'Scenario 1 - Phase 1'!K147</f>
        <v>6720</v>
      </c>
      <c r="C132" s="1"/>
      <c r="E132" s="83">
        <f>'LEVEL 3'!K149</f>
        <v>6720</v>
      </c>
      <c r="F132" s="1"/>
      <c r="H132" s="83">
        <f t="shared" si="8"/>
        <v>13440</v>
      </c>
      <c r="I132" s="1"/>
      <c r="K132" s="83">
        <f>B132/'Scenario 1 - Phase 1'!$E$8</f>
        <v>19.365994236311238</v>
      </c>
      <c r="L132" s="1"/>
      <c r="N132" s="83">
        <f>E132/'LEVEL 3'!$E$8</f>
        <v>34.639175257731956</v>
      </c>
      <c r="O132" s="1"/>
      <c r="Q132" s="83">
        <f>H132/('Scenario 1 - Phase 1'!$E$8+'LEVEL 3'!$E$8)</f>
        <v>24.842883548983362</v>
      </c>
      <c r="R132" s="1"/>
      <c r="T132" s="197">
        <f>B132/'Scenario 1 - Phase 1'!$B$8</f>
        <v>2.1597855641475597E-2</v>
      </c>
      <c r="U132" s="193"/>
      <c r="V132" s="194"/>
      <c r="W132" s="197">
        <f>E132/'LEVEL 3'!$B$8</f>
        <v>3.4235234781368286E-2</v>
      </c>
      <c r="X132" s="193"/>
      <c r="Y132" s="194"/>
      <c r="Z132" s="197">
        <f>H132/('Scenario 1 - Phase 1'!$B$8+'LEVEL 3'!$B$8)</f>
        <v>2.6486359721814394E-2</v>
      </c>
      <c r="AA132" s="1"/>
    </row>
    <row r="133" spans="1:27">
      <c r="A133" s="37" t="s">
        <v>364</v>
      </c>
      <c r="B133" s="83">
        <f>'Scenario 1 - Phase 1'!K148</f>
        <v>3300</v>
      </c>
      <c r="C133" s="1"/>
      <c r="E133" s="83">
        <f>'LEVEL 3'!K150</f>
        <v>2000</v>
      </c>
      <c r="F133" s="1"/>
      <c r="H133" s="83">
        <f t="shared" si="8"/>
        <v>5300</v>
      </c>
      <c r="I133" s="1"/>
      <c r="K133" s="83">
        <f>B133/'Scenario 1 - Phase 1'!$E$8</f>
        <v>9.5100864553314128</v>
      </c>
      <c r="L133" s="1"/>
      <c r="N133" s="83">
        <f>E133/'LEVEL 3'!$E$8</f>
        <v>10.309278350515465</v>
      </c>
      <c r="O133" s="1"/>
      <c r="Q133" s="83">
        <f>H133/('Scenario 1 - Phase 1'!$E$8+'LEVEL 3'!$E$8)</f>
        <v>9.7966728280961188</v>
      </c>
      <c r="R133" s="1"/>
      <c r="T133" s="197">
        <f>B133/'Scenario 1 - Phase 1'!$B$8</f>
        <v>1.0606089823938909E-2</v>
      </c>
      <c r="U133" s="193"/>
      <c r="V133" s="194"/>
      <c r="W133" s="197">
        <f>E133/'LEVEL 3'!$B$8</f>
        <v>1.0189057970645324E-2</v>
      </c>
      <c r="X133" s="193"/>
      <c r="Y133" s="194"/>
      <c r="Z133" s="197">
        <f>H133/('Scenario 1 - Phase 1'!$B$8+'LEVEL 3'!$B$8)</f>
        <v>1.0444769830775021E-2</v>
      </c>
      <c r="AA133" s="1"/>
    </row>
    <row r="134" spans="1:27">
      <c r="A134" s="37" t="s">
        <v>366</v>
      </c>
      <c r="B134" s="83">
        <f>'Scenario 1 - Phase 1'!K149</f>
        <v>27413</v>
      </c>
      <c r="C134" s="1"/>
      <c r="E134" s="83">
        <f>'LEVEL 3'!K151</f>
        <v>15000</v>
      </c>
      <c r="F134" s="1"/>
      <c r="H134" s="83">
        <f t="shared" si="8"/>
        <v>42413</v>
      </c>
      <c r="I134" s="1"/>
      <c r="K134" s="83">
        <f>B134/'Scenario 1 - Phase 1'!$E$8</f>
        <v>79</v>
      </c>
      <c r="L134" s="1"/>
      <c r="N134" s="83">
        <f>E134/'LEVEL 3'!$E$8</f>
        <v>77.319587628865975</v>
      </c>
      <c r="O134" s="1"/>
      <c r="Q134" s="83">
        <f>H134/('Scenario 1 - Phase 1'!$E$8+'LEVEL 3'!$E$8)</f>
        <v>78.39741219963031</v>
      </c>
      <c r="R134" s="1"/>
      <c r="T134" s="197">
        <f>B134/'Scenario 1 - Phase 1'!$B$8</f>
        <v>8.8104466770799181E-2</v>
      </c>
      <c r="U134" s="193"/>
      <c r="V134" s="194"/>
      <c r="W134" s="197">
        <f>E134/'LEVEL 3'!$B$8</f>
        <v>7.6417934779839936E-2</v>
      </c>
      <c r="X134" s="193"/>
      <c r="Y134" s="194"/>
      <c r="Z134" s="197">
        <f>H134/('Scenario 1 - Phase 1'!$B$8+'LEVEL 3'!$B$8)</f>
        <v>8.3583777892954902E-2</v>
      </c>
      <c r="AA134" s="1"/>
    </row>
    <row r="135" spans="1:27">
      <c r="A135" s="37" t="s">
        <v>368</v>
      </c>
      <c r="B135" s="83">
        <f>'Scenario 1 - Phase 1'!K150</f>
        <v>53091</v>
      </c>
      <c r="C135" s="1"/>
      <c r="E135" s="83">
        <f>'LEVEL 3'!K152</f>
        <v>29682</v>
      </c>
      <c r="F135" s="1"/>
      <c r="H135" s="83">
        <f t="shared" si="8"/>
        <v>82773</v>
      </c>
      <c r="I135" s="1"/>
      <c r="K135" s="83">
        <f>B135/'Scenario 1 - Phase 1'!$E$8</f>
        <v>153</v>
      </c>
      <c r="L135" s="1"/>
      <c r="N135" s="83">
        <f>E135/'LEVEL 3'!$E$8</f>
        <v>153</v>
      </c>
      <c r="O135" s="1"/>
      <c r="Q135" s="83">
        <f>H135/('Scenario 1 - Phase 1'!$E$8+'LEVEL 3'!$E$8)</f>
        <v>153</v>
      </c>
      <c r="R135" s="1"/>
      <c r="T135" s="197">
        <f>B135/'Scenario 1 - Phase 1'!$B$8</f>
        <v>0.17063270146749715</v>
      </c>
      <c r="U135" s="193"/>
      <c r="V135" s="194"/>
      <c r="W135" s="197">
        <f>E135/'LEVEL 3'!$B$8</f>
        <v>0.15121580934234724</v>
      </c>
      <c r="X135" s="193"/>
      <c r="Y135" s="194"/>
      <c r="Z135" s="197">
        <f>H135/('Scenario 1 - Phase 1'!$B$8+'LEVEL 3'!$B$8)</f>
        <v>0.1631216855099511</v>
      </c>
      <c r="AA135" s="1"/>
    </row>
    <row r="136" spans="1:27">
      <c r="A136" s="37" t="s">
        <v>371</v>
      </c>
      <c r="B136" s="83">
        <f>'Scenario 1 - Phase 1'!K151</f>
        <v>70441</v>
      </c>
      <c r="C136" s="1"/>
      <c r="E136" s="83">
        <f>'LEVEL 3'!K153</f>
        <v>42680</v>
      </c>
      <c r="F136" s="1"/>
      <c r="H136" s="83">
        <f t="shared" si="8"/>
        <v>113121</v>
      </c>
      <c r="I136" s="1"/>
      <c r="K136" s="83">
        <f>B136/'Scenario 1 - Phase 1'!$E$8</f>
        <v>203</v>
      </c>
      <c r="L136" s="1"/>
      <c r="N136" s="83">
        <f>E136/'LEVEL 3'!$E$8</f>
        <v>220</v>
      </c>
      <c r="O136" s="1"/>
      <c r="Q136" s="83">
        <f>H136/('Scenario 1 - Phase 1'!$E$8+'LEVEL 3'!$E$8)</f>
        <v>209.09611829944546</v>
      </c>
      <c r="R136" s="1"/>
      <c r="T136" s="197">
        <f>B136/'Scenario 1 - Phase 1'!$B$8</f>
        <v>0.22639502220850929</v>
      </c>
      <c r="U136" s="193"/>
      <c r="V136" s="194"/>
      <c r="W136" s="197">
        <f>E136/'LEVEL 3'!$B$8</f>
        <v>0.21743449709357121</v>
      </c>
      <c r="X136" s="193"/>
      <c r="Y136" s="194"/>
      <c r="Z136" s="197">
        <f>H136/('Scenario 1 - Phase 1'!$B$8+'LEVEL 3'!$B$8)</f>
        <v>0.22292883170322664</v>
      </c>
      <c r="AA136" s="1"/>
    </row>
    <row r="137" spans="1:27">
      <c r="A137" s="37" t="s">
        <v>373</v>
      </c>
      <c r="B137" s="83">
        <f>'Scenario 1 - Phase 1'!K152</f>
        <v>40000</v>
      </c>
      <c r="C137" s="1"/>
      <c r="E137" s="83">
        <f>'LEVEL 3'!K154</f>
        <v>52500</v>
      </c>
      <c r="F137" s="1"/>
      <c r="H137" s="83">
        <f t="shared" si="8"/>
        <v>92500</v>
      </c>
      <c r="I137" s="1"/>
      <c r="K137" s="83">
        <f>B137/'Scenario 1 - Phase 1'!$E$8</f>
        <v>115.27377521613833</v>
      </c>
      <c r="L137" s="1"/>
      <c r="N137" s="83">
        <f>E137/'LEVEL 3'!$E$8</f>
        <v>270.61855670103091</v>
      </c>
      <c r="O137" s="1"/>
      <c r="Q137" s="83">
        <f>H137/('Scenario 1 - Phase 1'!$E$8+'LEVEL 3'!$E$8)</f>
        <v>170.9796672828096</v>
      </c>
      <c r="R137" s="1"/>
      <c r="T137" s="197">
        <f>B137/'Scenario 1 - Phase 1'!$B$8</f>
        <v>0.12855866453259285</v>
      </c>
      <c r="U137" s="193"/>
      <c r="V137" s="194"/>
      <c r="W137" s="197">
        <f>E137/'LEVEL 3'!$B$8</f>
        <v>0.26746277172943977</v>
      </c>
      <c r="X137" s="193"/>
      <c r="Y137" s="194"/>
      <c r="Z137" s="197">
        <f>H137/('Scenario 1 - Phase 1'!$B$8+'LEVEL 3'!$B$8)</f>
        <v>0.18229079421635652</v>
      </c>
      <c r="AA137" s="1"/>
    </row>
    <row r="138" spans="1:27">
      <c r="A138" s="37" t="s">
        <v>377</v>
      </c>
      <c r="B138" s="83">
        <f>'Scenario 1 - Phase 1'!K153</f>
        <v>51000</v>
      </c>
      <c r="C138" s="1"/>
      <c r="E138" s="83">
        <f>'LEVEL 3'!K155</f>
        <v>34000</v>
      </c>
      <c r="F138" s="1"/>
      <c r="H138" s="83">
        <f t="shared" si="8"/>
        <v>85000</v>
      </c>
      <c r="I138" s="1"/>
      <c r="K138" s="83">
        <f>B138/'Scenario 1 - Phase 1'!$E$8</f>
        <v>146.97406340057637</v>
      </c>
      <c r="L138" s="1"/>
      <c r="N138" s="83">
        <f>E138/'LEVEL 3'!$E$8</f>
        <v>175.25773195876289</v>
      </c>
      <c r="O138" s="1"/>
      <c r="Q138" s="83">
        <f>H138/('Scenario 1 - Phase 1'!$E$8+'LEVEL 3'!$E$8)</f>
        <v>157.11645101663586</v>
      </c>
      <c r="R138" s="1"/>
      <c r="T138" s="197">
        <f>B138/'Scenario 1 - Phase 1'!$B$8</f>
        <v>0.16391229727905587</v>
      </c>
      <c r="U138" s="193"/>
      <c r="V138" s="194"/>
      <c r="W138" s="197">
        <f>E138/'LEVEL 3'!$B$8</f>
        <v>0.1732139855009705</v>
      </c>
      <c r="X138" s="193"/>
      <c r="Y138" s="194"/>
      <c r="Z138" s="197">
        <f>H138/('Scenario 1 - Phase 1'!$B$8+'LEVEL 3'!$B$8)</f>
        <v>0.16751045955016544</v>
      </c>
      <c r="AA138" s="1"/>
    </row>
    <row r="139" spans="1:27">
      <c r="A139" s="33" t="s">
        <v>378</v>
      </c>
      <c r="B139" s="82"/>
      <c r="C139" s="102">
        <f>SUM(B140)</f>
        <v>1109706</v>
      </c>
      <c r="E139" s="82"/>
      <c r="F139" s="102">
        <f>SUM(E140)</f>
        <v>621090.50256410253</v>
      </c>
      <c r="H139" s="82"/>
      <c r="I139" s="102">
        <f>SUM(H140)</f>
        <v>1730796.5025641024</v>
      </c>
      <c r="K139" s="82"/>
      <c r="L139" s="102">
        <f>SUM(K140)</f>
        <v>3198</v>
      </c>
      <c r="N139" s="82"/>
      <c r="O139" s="102">
        <f>SUM(N140)</f>
        <v>3201.4974358974359</v>
      </c>
      <c r="Q139" s="82"/>
      <c r="R139" s="102">
        <f>SUM(Q140)</f>
        <v>3199.2541637044405</v>
      </c>
      <c r="T139" s="82"/>
      <c r="U139" s="201">
        <f>C139/'Scenario 1 - Phase 1'!$B$8</f>
        <v>3.5665580345951367</v>
      </c>
      <c r="V139" s="199"/>
      <c r="W139" s="203"/>
      <c r="X139" s="201">
        <f>F139/'LEVEL 3'!$B$8</f>
        <v>3.1641635678214395</v>
      </c>
      <c r="Y139" s="199"/>
      <c r="Z139" s="203"/>
      <c r="AA139" s="201">
        <f>I139/('Scenario 1 - Phase 1'!$B$8+'LEVEL 3'!$B$8)</f>
        <v>3.4109002062627281</v>
      </c>
    </row>
    <row r="140" spans="1:27">
      <c r="A140" s="34" t="s">
        <v>380</v>
      </c>
      <c r="B140" s="65">
        <f>'Scenario 1 - Phase 1'!K155</f>
        <v>1109706</v>
      </c>
      <c r="C140" s="1"/>
      <c r="E140" s="65">
        <f>'LEVEL 3'!K157</f>
        <v>621090.50256410253</v>
      </c>
      <c r="F140" s="1"/>
      <c r="H140" s="65">
        <f>B140+E140</f>
        <v>1730796.5025641024</v>
      </c>
      <c r="I140" s="1"/>
      <c r="K140" s="65">
        <f>B140/'Scenario 1 - Phase 1'!$E$8</f>
        <v>3198</v>
      </c>
      <c r="L140" s="1"/>
      <c r="N140" s="65">
        <f>E140/'LEVEL 3'!$E$8</f>
        <v>3201.4974358974359</v>
      </c>
      <c r="O140" s="1"/>
      <c r="Q140" s="65">
        <f>H140/('Scenario 1 - Phase 1'!$E$8+'LEVEL 3'!$E$8)</f>
        <v>3199.2541637044405</v>
      </c>
      <c r="R140" s="1"/>
      <c r="T140" s="192">
        <f>B140/'Scenario 1 - Phase 1'!$B$8</f>
        <v>3.5665580345951367</v>
      </c>
      <c r="U140" s="193"/>
      <c r="V140" s="194"/>
      <c r="W140" s="192">
        <f>E140/'LEVEL 3'!$B$8</f>
        <v>3.1641635678214395</v>
      </c>
      <c r="X140" s="193"/>
      <c r="Y140" s="194"/>
      <c r="Z140" s="192">
        <f>H140/('Scenario 1 - Phase 1'!$B$8+'LEVEL 3'!$B$8)</f>
        <v>3.4109002062627281</v>
      </c>
      <c r="AA140" s="1"/>
    </row>
    <row r="141" spans="1:27">
      <c r="A141" s="33" t="s">
        <v>382</v>
      </c>
      <c r="B141" s="82"/>
      <c r="C141" s="102">
        <f>SUM(B142:B149)</f>
        <v>2002881.62</v>
      </c>
      <c r="E141" s="82"/>
      <c r="F141" s="102">
        <f>SUM(E142:E149)</f>
        <v>1046615.3613445379</v>
      </c>
      <c r="H141" s="82"/>
      <c r="I141" s="102">
        <f>SUM(H142:H149)</f>
        <v>3049496.9813445378</v>
      </c>
      <c r="K141" s="82"/>
      <c r="L141" s="102">
        <f>SUM(K142:K149)</f>
        <v>5771.9931412103742</v>
      </c>
      <c r="N141" s="82"/>
      <c r="O141" s="102">
        <f>SUM(N142:N149)</f>
        <v>5394.9245430130813</v>
      </c>
      <c r="Q141" s="82"/>
      <c r="R141" s="102">
        <f>SUM(Q142:Q149)</f>
        <v>5636.7781540564465</v>
      </c>
      <c r="T141" s="82"/>
      <c r="U141" s="201">
        <f>C141/'Scenario 1 - Phase 1'!$B$8</f>
        <v>6.4371946571019025</v>
      </c>
      <c r="V141" s="199"/>
      <c r="W141" s="203"/>
      <c r="X141" s="201">
        <f>F141/'LEVEL 3'!$B$8</f>
        <v>5.3320122948537003</v>
      </c>
      <c r="Y141" s="199"/>
      <c r="Z141" s="203"/>
      <c r="AA141" s="201">
        <f>I141/('Scenario 1 - Phase 1'!$B$8+'LEVEL 3'!$B$8)</f>
        <v>6.009678126374892</v>
      </c>
    </row>
    <row r="142" spans="1:27">
      <c r="A142" s="35" t="s">
        <v>184</v>
      </c>
      <c r="B142" s="71">
        <f>'Scenario 1 - Phase 1'!K157</f>
        <v>27413</v>
      </c>
      <c r="C142" s="1"/>
      <c r="E142" s="71">
        <f>'LEVEL 3'!K159</f>
        <v>0</v>
      </c>
      <c r="F142" s="1"/>
      <c r="H142" s="71">
        <f t="shared" ref="H142:H149" si="9">B142+E142</f>
        <v>27413</v>
      </c>
      <c r="I142" s="1"/>
      <c r="K142" s="71">
        <f>B142/'Scenario 1 - Phase 1'!$E$8</f>
        <v>79</v>
      </c>
      <c r="L142" s="1"/>
      <c r="N142" s="71">
        <f>E142/'LEVEL 3'!$E$8</f>
        <v>0</v>
      </c>
      <c r="O142" s="1"/>
      <c r="Q142" s="71">
        <f>H142/('Scenario 1 - Phase 1'!$E$8+'LEVEL 3'!$E$8)</f>
        <v>50.670979667282808</v>
      </c>
      <c r="R142" s="1"/>
      <c r="T142" s="195">
        <f>B142/'Scenario 1 - Phase 1'!$B$8</f>
        <v>8.8104466770799181E-2</v>
      </c>
      <c r="U142" s="193"/>
      <c r="V142" s="194"/>
      <c r="W142" s="195">
        <f>E142/'LEVEL 3'!$B$8</f>
        <v>0</v>
      </c>
      <c r="X142" s="193"/>
      <c r="Y142" s="194"/>
      <c r="Z142" s="195">
        <f>H142/('Scenario 1 - Phase 1'!$B$8+'LEVEL 3'!$B$8)</f>
        <v>5.4023108560572769E-2</v>
      </c>
      <c r="AA142" s="1"/>
    </row>
    <row r="143" spans="1:27">
      <c r="A143" s="37" t="s">
        <v>385</v>
      </c>
      <c r="B143" s="83">
        <f>'Scenario 1 - Phase 1'!K158</f>
        <v>87728.54</v>
      </c>
      <c r="C143" s="1"/>
      <c r="E143" s="83">
        <f>'LEVEL 3'!K160</f>
        <v>73288.798319327732</v>
      </c>
      <c r="F143" s="1"/>
      <c r="H143" s="83">
        <f t="shared" si="9"/>
        <v>161017.33831932774</v>
      </c>
      <c r="I143" s="1"/>
      <c r="K143" s="83">
        <f>B143/'Scenario 1 - Phase 1'!$E$8</f>
        <v>252.82</v>
      </c>
      <c r="L143" s="1"/>
      <c r="N143" s="83">
        <f>E143/'LEVEL 3'!$E$8</f>
        <v>377.77731092436977</v>
      </c>
      <c r="O143" s="1"/>
      <c r="Q143" s="83">
        <f>H143/('Scenario 1 - Phase 1'!$E$8+'LEVEL 3'!$E$8)</f>
        <v>297.62909116326756</v>
      </c>
      <c r="R143" s="1"/>
      <c r="T143" s="197">
        <f>B143/'Scenario 1 - Phase 1'!$B$8</f>
        <v>0.28195659859485378</v>
      </c>
      <c r="U143" s="193"/>
      <c r="V143" s="194"/>
      <c r="W143" s="197">
        <f>E143/'LEVEL 3'!$B$8</f>
        <v>0.37337190733728193</v>
      </c>
      <c r="X143" s="193"/>
      <c r="Y143" s="194"/>
      <c r="Z143" s="197">
        <f>H143/('Scenario 1 - Phase 1'!$B$8+'LEVEL 3'!$B$8)</f>
        <v>0.31731868632253002</v>
      </c>
      <c r="AA143" s="1"/>
    </row>
    <row r="144" spans="1:27">
      <c r="A144" s="37" t="s">
        <v>387</v>
      </c>
      <c r="B144" s="83">
        <f>'Scenario 1 - Phase 1'!K159</f>
        <v>1080558</v>
      </c>
      <c r="C144" s="1"/>
      <c r="E144" s="83">
        <f>'LEVEL 3'!K161</f>
        <v>610712</v>
      </c>
      <c r="F144" s="1"/>
      <c r="H144" s="83">
        <f t="shared" si="9"/>
        <v>1691270</v>
      </c>
      <c r="I144" s="1"/>
      <c r="K144" s="83">
        <f>B144/'Scenario 1 - Phase 1'!$E$8</f>
        <v>3114</v>
      </c>
      <c r="L144" s="1"/>
      <c r="N144" s="83">
        <f>E144/'LEVEL 3'!$E$8</f>
        <v>3148</v>
      </c>
      <c r="O144" s="1"/>
      <c r="Q144" s="83">
        <f>H144/('Scenario 1 - Phase 1'!$E$8+'LEVEL 3'!$E$8)</f>
        <v>3126.1922365988908</v>
      </c>
      <c r="R144" s="1"/>
      <c r="T144" s="197">
        <f>B144/'Scenario 1 - Phase 1'!$B$8</f>
        <v>3.472877335750236</v>
      </c>
      <c r="U144" s="193"/>
      <c r="V144" s="194"/>
      <c r="W144" s="197">
        <f>E144/'LEVEL 3'!$B$8</f>
        <v>3.1112899856843734</v>
      </c>
      <c r="X144" s="193"/>
      <c r="Y144" s="194"/>
      <c r="Z144" s="197">
        <f>H144/('Scenario 1 - Phase 1'!$B$8+'LEVEL 3'!$B$8)</f>
        <v>3.3330048814518625</v>
      </c>
      <c r="AA144" s="1"/>
    </row>
    <row r="145" spans="1:27">
      <c r="A145" s="37" t="s">
        <v>389</v>
      </c>
      <c r="B145" s="83">
        <f>'Scenario 1 - Phase 1'!K160</f>
        <v>31400</v>
      </c>
      <c r="C145" s="1"/>
      <c r="E145" s="83">
        <f>'LEVEL 3'!K162</f>
        <v>17500</v>
      </c>
      <c r="F145" s="1"/>
      <c r="H145" s="83">
        <f t="shared" si="9"/>
        <v>48900</v>
      </c>
      <c r="I145" s="1"/>
      <c r="K145" s="83">
        <f>B145/'Scenario 1 - Phase 1'!$E$8</f>
        <v>90.489913544668582</v>
      </c>
      <c r="L145" s="1"/>
      <c r="N145" s="83">
        <f>E145/'LEVEL 3'!$E$8</f>
        <v>90.206185567010309</v>
      </c>
      <c r="O145" s="1"/>
      <c r="Q145" s="83">
        <f>H145/('Scenario 1 - Phase 1'!$E$8+'LEVEL 3'!$E$8)</f>
        <v>90.388170055452861</v>
      </c>
      <c r="R145" s="1"/>
      <c r="T145" s="197">
        <f>B145/'Scenario 1 - Phase 1'!$B$8</f>
        <v>0.10091855165808537</v>
      </c>
      <c r="U145" s="193"/>
      <c r="V145" s="194"/>
      <c r="W145" s="197">
        <f>E145/'LEVEL 3'!$B$8</f>
        <v>8.9154257243146587E-2</v>
      </c>
      <c r="X145" s="193"/>
      <c r="Y145" s="194"/>
      <c r="Z145" s="197">
        <f>H145/('Scenario 1 - Phase 1'!$B$8+'LEVEL 3'!$B$8)</f>
        <v>9.636778202356576E-2</v>
      </c>
      <c r="AA145" s="1"/>
    </row>
    <row r="146" spans="1:27">
      <c r="A146" s="37" t="s">
        <v>391</v>
      </c>
      <c r="B146" s="83">
        <f>'Scenario 1 - Phase 1'!K161</f>
        <v>704482.08000000007</v>
      </c>
      <c r="C146" s="1"/>
      <c r="E146" s="83">
        <f>'LEVEL 3'!K163</f>
        <v>304114.56302521011</v>
      </c>
      <c r="F146" s="1"/>
      <c r="H146" s="83">
        <f t="shared" si="9"/>
        <v>1008596.6430252101</v>
      </c>
      <c r="I146" s="1"/>
      <c r="K146" s="83">
        <f>B146/'Scenario 1 - Phase 1'!$E$8</f>
        <v>2030.2077233429397</v>
      </c>
      <c r="L146" s="1"/>
      <c r="N146" s="83">
        <f>E146/'LEVEL 3'!$E$8</f>
        <v>1567.6008403361345</v>
      </c>
      <c r="O146" s="1"/>
      <c r="Q146" s="83">
        <f>H146/('Scenario 1 - Phase 1'!$E$8+'LEVEL 3'!$E$8)</f>
        <v>1864.3191183460447</v>
      </c>
      <c r="R146" s="1"/>
      <c r="T146" s="197">
        <f>B146/'Scenario 1 - Phase 1'!$B$8</f>
        <v>2.2641818847985808</v>
      </c>
      <c r="U146" s="193"/>
      <c r="V146" s="194"/>
      <c r="W146" s="197">
        <f>E146/'LEVEL 3'!$B$8</f>
        <v>1.5493204561906684</v>
      </c>
      <c r="X146" s="193"/>
      <c r="Y146" s="194"/>
      <c r="Z146" s="197">
        <f>H146/('Scenario 1 - Phase 1'!$B$8+'LEVEL 3'!$B$8)</f>
        <v>1.9876527902812602</v>
      </c>
      <c r="AA146" s="1"/>
    </row>
    <row r="147" spans="1:27">
      <c r="A147" s="37" t="s">
        <v>394</v>
      </c>
      <c r="B147" s="83">
        <f>'Scenario 1 - Phase 1'!K162</f>
        <v>50000</v>
      </c>
      <c r="C147" s="1"/>
      <c r="E147" s="83">
        <f>'LEVEL 3'!K164</f>
        <v>35000</v>
      </c>
      <c r="F147" s="1"/>
      <c r="H147" s="83">
        <f t="shared" si="9"/>
        <v>85000</v>
      </c>
      <c r="I147" s="1"/>
      <c r="K147" s="83">
        <f>B147/'Scenario 1 - Phase 1'!$E$8</f>
        <v>144.09221902017291</v>
      </c>
      <c r="L147" s="1"/>
      <c r="N147" s="83">
        <f>E147/'LEVEL 3'!$E$8</f>
        <v>180.41237113402062</v>
      </c>
      <c r="O147" s="1"/>
      <c r="Q147" s="83">
        <f>H147/('Scenario 1 - Phase 1'!$E$8+'LEVEL 3'!$E$8)</f>
        <v>157.11645101663586</v>
      </c>
      <c r="R147" s="1"/>
      <c r="T147" s="197">
        <f>B147/'Scenario 1 - Phase 1'!$B$8</f>
        <v>0.16069833066574105</v>
      </c>
      <c r="U147" s="193"/>
      <c r="V147" s="194"/>
      <c r="W147" s="197">
        <f>E147/'LEVEL 3'!$B$8</f>
        <v>0.17830851448629317</v>
      </c>
      <c r="X147" s="193"/>
      <c r="Y147" s="194"/>
      <c r="Z147" s="197">
        <f>H147/('Scenario 1 - Phase 1'!$B$8+'LEVEL 3'!$B$8)</f>
        <v>0.16751045955016544</v>
      </c>
      <c r="AA147" s="1"/>
    </row>
    <row r="148" spans="1:27">
      <c r="A148" s="37" t="s">
        <v>397</v>
      </c>
      <c r="B148" s="83">
        <f>'Scenario 1 - Phase 1'!K163</f>
        <v>0</v>
      </c>
      <c r="C148" s="1"/>
      <c r="E148" s="83">
        <f>'LEVEL 3'!K165</f>
        <v>0</v>
      </c>
      <c r="F148" s="1"/>
      <c r="H148" s="83">
        <f t="shared" si="9"/>
        <v>0</v>
      </c>
      <c r="I148" s="1"/>
      <c r="K148" s="83">
        <f>B148/'Scenario 1 - Phase 1'!$E$8</f>
        <v>0</v>
      </c>
      <c r="L148" s="1"/>
      <c r="N148" s="83">
        <f>E148/'LEVEL 3'!$E$8</f>
        <v>0</v>
      </c>
      <c r="O148" s="1"/>
      <c r="Q148" s="83">
        <f>H148/('Scenario 1 - Phase 1'!$E$8+'LEVEL 3'!$E$8)</f>
        <v>0</v>
      </c>
      <c r="R148" s="1"/>
      <c r="T148" s="197">
        <f>B148/'Scenario 1 - Phase 1'!$B$8</f>
        <v>0</v>
      </c>
      <c r="U148" s="193"/>
      <c r="V148" s="194"/>
      <c r="W148" s="197">
        <f>E148/'LEVEL 3'!$B$8</f>
        <v>0</v>
      </c>
      <c r="X148" s="193"/>
      <c r="Y148" s="194"/>
      <c r="Z148" s="197">
        <f>H148/('Scenario 1 - Phase 1'!$B$8+'LEVEL 3'!$B$8)</f>
        <v>0</v>
      </c>
      <c r="AA148" s="1"/>
    </row>
    <row r="149" spans="1:27">
      <c r="A149" s="37" t="s">
        <v>399</v>
      </c>
      <c r="B149" s="83">
        <f>'Scenario 1 - Phase 1'!K164</f>
        <v>21300</v>
      </c>
      <c r="C149" s="1"/>
      <c r="E149" s="83">
        <f>'LEVEL 3'!K166</f>
        <v>6000</v>
      </c>
      <c r="F149" s="1"/>
      <c r="H149" s="83">
        <f t="shared" si="9"/>
        <v>27300</v>
      </c>
      <c r="I149" s="1"/>
      <c r="K149" s="83">
        <f>B149/'Scenario 1 - Phase 1'!$E$8</f>
        <v>61.383285302593663</v>
      </c>
      <c r="L149" s="1"/>
      <c r="N149" s="83">
        <f>E149/'LEVEL 3'!$E$8</f>
        <v>30.927835051546392</v>
      </c>
      <c r="O149" s="1"/>
      <c r="Q149" s="83">
        <f>H149/('Scenario 1 - Phase 1'!$E$8+'LEVEL 3'!$E$8)</f>
        <v>50.46210720887246</v>
      </c>
      <c r="R149" s="1"/>
      <c r="T149" s="197">
        <f>B149/'Scenario 1 - Phase 1'!$B$8</f>
        <v>6.8457488863605684E-2</v>
      </c>
      <c r="U149" s="193"/>
      <c r="V149" s="194"/>
      <c r="W149" s="197">
        <f>E149/'LEVEL 3'!$B$8</f>
        <v>3.0567173911935971E-2</v>
      </c>
      <c r="X149" s="193"/>
      <c r="Y149" s="194"/>
      <c r="Z149" s="197">
        <f>H149/('Scenario 1 - Phase 1'!$B$8+'LEVEL 3'!$B$8)</f>
        <v>5.3800418184935486E-2</v>
      </c>
      <c r="AA149" s="1"/>
    </row>
    <row r="150" spans="1:27">
      <c r="A150" s="33" t="s">
        <v>402</v>
      </c>
      <c r="B150" s="82"/>
      <c r="C150" s="102">
        <f>SUM(B151:B153)</f>
        <v>1225434.5333599998</v>
      </c>
      <c r="E150" s="82"/>
      <c r="F150" s="102">
        <f>SUM(E151:E153)</f>
        <v>572485</v>
      </c>
      <c r="H150" s="82"/>
      <c r="I150" s="102">
        <f>SUM(H151:H153)</f>
        <v>1797919.5333599998</v>
      </c>
      <c r="K150" s="82"/>
      <c r="L150" s="102">
        <f>SUM(K151:K153)</f>
        <v>3531.5116235158498</v>
      </c>
      <c r="N150" s="82"/>
      <c r="O150" s="102">
        <f>SUM(N151:N153)</f>
        <v>2950.9536082474224</v>
      </c>
      <c r="Q150" s="82"/>
      <c r="R150" s="102">
        <f>SUM(Q151:Q153)</f>
        <v>3323.3263093530495</v>
      </c>
      <c r="T150" s="82"/>
      <c r="U150" s="201">
        <f>C150/'Scenario 1 - Phase 1'!$B$8</f>
        <v>3.9385056770220666</v>
      </c>
      <c r="V150" s="199"/>
      <c r="W150" s="203"/>
      <c r="X150" s="201">
        <f>F150/'LEVEL 3'!$B$8</f>
        <v>2.9165414261624441</v>
      </c>
      <c r="Y150" s="199"/>
      <c r="Z150" s="203"/>
      <c r="AA150" s="201">
        <f>I150/('Scenario 1 - Phase 1'!$B$8+'LEVEL 3'!$B$8)</f>
        <v>3.5431803207923833</v>
      </c>
    </row>
    <row r="151" spans="1:27">
      <c r="A151" s="35" t="s">
        <v>404</v>
      </c>
      <c r="B151" s="71">
        <f>'Scenario 1 - Phase 1'!K166</f>
        <v>490000</v>
      </c>
      <c r="C151" s="1"/>
      <c r="E151" s="71">
        <f>'LEVEL 3'!K168</f>
        <v>245000</v>
      </c>
      <c r="F151" s="1"/>
      <c r="H151" s="71">
        <f t="shared" ref="H151:H153" si="10">B151+E151</f>
        <v>735000</v>
      </c>
      <c r="I151" s="1"/>
      <c r="K151" s="71">
        <f>B151/'Scenario 1 - Phase 1'!$E$8</f>
        <v>1412.1037463976945</v>
      </c>
      <c r="L151" s="1"/>
      <c r="N151" s="71">
        <f>E151/'LEVEL 3'!$E$8</f>
        <v>1262.8865979381444</v>
      </c>
      <c r="O151" s="1"/>
      <c r="Q151" s="71">
        <f>H151/('Scenario 1 - Phase 1'!$E$8+'LEVEL 3'!$E$8)</f>
        <v>1358.5951940850277</v>
      </c>
      <c r="R151" s="1"/>
      <c r="T151" s="195">
        <f>B151/'Scenario 1 - Phase 1'!$B$8</f>
        <v>1.5748436405242623</v>
      </c>
      <c r="U151" s="193"/>
      <c r="V151" s="194"/>
      <c r="W151" s="195">
        <f>E151/'LEVEL 3'!$B$8</f>
        <v>1.2481596014040521</v>
      </c>
      <c r="X151" s="193"/>
      <c r="Y151" s="194"/>
      <c r="Z151" s="195">
        <f>H151/('Scenario 1 - Phase 1'!$B$8+'LEVEL 3'!$B$8)</f>
        <v>1.4484727972867246</v>
      </c>
      <c r="AA151" s="1"/>
    </row>
    <row r="152" spans="1:27">
      <c r="A152" s="37" t="s">
        <v>68</v>
      </c>
      <c r="B152" s="83">
        <f>'Scenario 1 - Phase 1'!K167</f>
        <v>721474.53335999988</v>
      </c>
      <c r="C152" s="1"/>
      <c r="E152" s="83">
        <f>'LEVEL 3'!K169</f>
        <v>320436</v>
      </c>
      <c r="F152" s="1"/>
      <c r="H152" s="83">
        <f t="shared" si="10"/>
        <v>1041910.5333599999</v>
      </c>
      <c r="I152" s="1"/>
      <c r="K152" s="83">
        <f>B152/'Scenario 1 - Phase 1'!$E$8</f>
        <v>2079.1773295677231</v>
      </c>
      <c r="L152" s="1"/>
      <c r="N152" s="83">
        <f>E152/'LEVEL 3'!$E$8</f>
        <v>1651.7319587628865</v>
      </c>
      <c r="O152" s="1"/>
      <c r="Q152" s="83">
        <f>H152/('Scenario 1 - Phase 1'!$E$8+'LEVEL 3'!$E$8)</f>
        <v>1925.897473863216</v>
      </c>
      <c r="R152" s="1"/>
      <c r="T152" s="197">
        <f>B152/'Scenario 1 - Phase 1'!$B$8</f>
        <v>2.3187950625759295</v>
      </c>
      <c r="U152" s="193"/>
      <c r="V152" s="194"/>
      <c r="W152" s="197">
        <f>E152/'LEVEL 3'!$B$8</f>
        <v>1.6324704899408524</v>
      </c>
      <c r="X152" s="193"/>
      <c r="Y152" s="194"/>
      <c r="Z152" s="197">
        <f>H152/('Scenario 1 - Phase 1'!$B$8+'LEVEL 3'!$B$8)</f>
        <v>2.0533048500387241</v>
      </c>
      <c r="AA152" s="1"/>
    </row>
    <row r="153" spans="1:27">
      <c r="A153" s="37" t="s">
        <v>408</v>
      </c>
      <c r="B153" s="83">
        <f>'Scenario 1 - Phase 1'!K168</f>
        <v>13960</v>
      </c>
      <c r="C153" s="1"/>
      <c r="E153" s="83">
        <f>'LEVEL 3'!K170</f>
        <v>7049</v>
      </c>
      <c r="F153" s="1"/>
      <c r="H153" s="83">
        <f t="shared" si="10"/>
        <v>21009</v>
      </c>
      <c r="I153" s="1"/>
      <c r="K153" s="83">
        <f>B153/'Scenario 1 - Phase 1'!$E$8</f>
        <v>40.230547550432277</v>
      </c>
      <c r="L153" s="1"/>
      <c r="N153" s="83">
        <f>E153/'LEVEL 3'!$E$8</f>
        <v>36.335051546391753</v>
      </c>
      <c r="O153" s="1"/>
      <c r="Q153" s="83">
        <f>H153/('Scenario 1 - Phase 1'!$E$8+'LEVEL 3'!$E$8)</f>
        <v>38.833641404805917</v>
      </c>
      <c r="R153" s="1"/>
      <c r="T153" s="197">
        <f>B153/'Scenario 1 - Phase 1'!$B$8</f>
        <v>4.48669739218749E-2</v>
      </c>
      <c r="U153" s="193"/>
      <c r="V153" s="194"/>
      <c r="W153" s="197">
        <f>E153/'LEVEL 3'!$B$8</f>
        <v>3.5911334817539442E-2</v>
      </c>
      <c r="X153" s="193"/>
      <c r="Y153" s="194"/>
      <c r="Z153" s="197">
        <f>H153/('Scenario 1 - Phase 1'!$B$8+'LEVEL 3'!$B$8)</f>
        <v>4.1402673466934423E-2</v>
      </c>
      <c r="AA153" s="1"/>
    </row>
    <row r="154" spans="1:27">
      <c r="A154" s="33" t="s">
        <v>410</v>
      </c>
      <c r="B154" s="82"/>
      <c r="C154" s="102">
        <f>SUM(B155)</f>
        <v>0</v>
      </c>
      <c r="E154" s="82"/>
      <c r="F154" s="102">
        <f>SUM(E155)</f>
        <v>0</v>
      </c>
      <c r="H154" s="82"/>
      <c r="I154" s="102">
        <f>SUM(H155)</f>
        <v>0</v>
      </c>
      <c r="K154" s="82"/>
      <c r="L154" s="102">
        <f>SUM(K155)</f>
        <v>0</v>
      </c>
      <c r="N154" s="82"/>
      <c r="O154" s="102">
        <f>SUM(N155)</f>
        <v>0</v>
      </c>
      <c r="Q154" s="82"/>
      <c r="R154" s="102">
        <f>SUM(Q155)</f>
        <v>0</v>
      </c>
      <c r="T154" s="82"/>
      <c r="U154" s="201">
        <f>C154/'Scenario 1 - Phase 1'!$B$8</f>
        <v>0</v>
      </c>
      <c r="V154" s="199"/>
      <c r="W154" s="203"/>
      <c r="X154" s="201">
        <f>F154/'LEVEL 3'!$B$8</f>
        <v>0</v>
      </c>
      <c r="Y154" s="199"/>
      <c r="Z154" s="203"/>
      <c r="AA154" s="201">
        <f>I154/('Scenario 1 - Phase 1'!$B$8+'LEVEL 3'!$B$8)</f>
        <v>0</v>
      </c>
    </row>
    <row r="155" spans="1:27">
      <c r="A155" s="34" t="s">
        <v>410</v>
      </c>
      <c r="B155" s="65">
        <f>'Scenario 1 - Phase 1'!K170</f>
        <v>0</v>
      </c>
      <c r="C155" s="1"/>
      <c r="E155" s="65">
        <f>'LEVEL 3'!K172</f>
        <v>0</v>
      </c>
      <c r="F155" s="1"/>
      <c r="H155" s="65">
        <f>B155+E155</f>
        <v>0</v>
      </c>
      <c r="I155" s="1"/>
      <c r="K155" s="65">
        <f>B155/'Scenario 1 - Phase 1'!$E$8</f>
        <v>0</v>
      </c>
      <c r="L155" s="1"/>
      <c r="N155" s="65">
        <f>E155/'LEVEL 3'!$E$8</f>
        <v>0</v>
      </c>
      <c r="O155" s="1"/>
      <c r="Q155" s="65">
        <f>H155/('Scenario 1 - Phase 1'!$E$8+'LEVEL 3'!$E$8)</f>
        <v>0</v>
      </c>
      <c r="R155" s="1"/>
      <c r="T155" s="192">
        <f>B155/'Scenario 1 - Phase 1'!$B$8</f>
        <v>0</v>
      </c>
      <c r="U155" s="193"/>
      <c r="V155" s="194"/>
      <c r="W155" s="192">
        <f>E155/'LEVEL 3'!$B$8</f>
        <v>0</v>
      </c>
      <c r="X155" s="193"/>
      <c r="Y155" s="194"/>
      <c r="Z155" s="192">
        <f>H155/('Scenario 1 - Phase 1'!$B$8+'LEVEL 3'!$B$8)</f>
        <v>0</v>
      </c>
      <c r="AA155" s="1"/>
    </row>
    <row r="156" spans="1:27">
      <c r="A156" s="33" t="s">
        <v>412</v>
      </c>
      <c r="B156" s="82"/>
      <c r="C156" s="102">
        <f>SUM(B157:B158)</f>
        <v>578396</v>
      </c>
      <c r="E156" s="82"/>
      <c r="F156" s="102">
        <f>SUM(E157:E158)</f>
        <v>323200</v>
      </c>
      <c r="H156" s="82"/>
      <c r="I156" s="102">
        <f>SUM(H157:H158)</f>
        <v>901596</v>
      </c>
      <c r="K156" s="82"/>
      <c r="L156" s="102">
        <f>SUM(K157:K158)</f>
        <v>1666.8472622478387</v>
      </c>
      <c r="N156" s="82"/>
      <c r="O156" s="102">
        <f>SUM(N157:N158)</f>
        <v>1665.9793814432992</v>
      </c>
      <c r="Q156" s="82"/>
      <c r="R156" s="102">
        <f>SUM(Q157:Q158)</f>
        <v>1666.5360443622922</v>
      </c>
      <c r="T156" s="82"/>
      <c r="U156" s="201">
        <f>C156/'Scenario 1 - Phase 1'!$B$8</f>
        <v>1.8589454332748392</v>
      </c>
      <c r="V156" s="199"/>
      <c r="W156" s="203"/>
      <c r="X156" s="201">
        <f>F156/'LEVEL 3'!$B$8</f>
        <v>1.6465517680562844</v>
      </c>
      <c r="Y156" s="199"/>
      <c r="Z156" s="203"/>
      <c r="AA156" s="201">
        <f>I156/('Scenario 1 - Phase 1'!$B$8+'LEVEL 3'!$B$8)</f>
        <v>1.7767854151598936</v>
      </c>
    </row>
    <row r="157" spans="1:27">
      <c r="A157" s="35" t="s">
        <v>414</v>
      </c>
      <c r="B157" s="71">
        <f>'Scenario 1 - Phase 1'!K172</f>
        <v>552396</v>
      </c>
      <c r="C157" s="1"/>
      <c r="E157" s="71">
        <f>'LEVEL 3'!K174</f>
        <v>310200</v>
      </c>
      <c r="F157" s="1"/>
      <c r="H157" s="71">
        <f t="shared" ref="H157:H158" si="11">B157+E157</f>
        <v>862596</v>
      </c>
      <c r="I157" s="1"/>
      <c r="K157" s="71">
        <f>B157/'Scenario 1 - Phase 1'!$E$8</f>
        <v>1591.9193083573487</v>
      </c>
      <c r="L157" s="1"/>
      <c r="N157" s="71">
        <f>E157/'LEVEL 3'!$E$8</f>
        <v>1598.9690721649486</v>
      </c>
      <c r="O157" s="1"/>
      <c r="Q157" s="71">
        <f>H157/('Scenario 1 - Phase 1'!$E$8+'LEVEL 3'!$E$8)</f>
        <v>1594.4473197781886</v>
      </c>
      <c r="R157" s="1"/>
      <c r="T157" s="195">
        <f>B157/'Scenario 1 - Phase 1'!$B$8</f>
        <v>1.7753823013286538</v>
      </c>
      <c r="U157" s="193"/>
      <c r="V157" s="194"/>
      <c r="W157" s="195">
        <f>E157/'LEVEL 3'!$B$8</f>
        <v>1.5803228912470897</v>
      </c>
      <c r="X157" s="193"/>
      <c r="Y157" s="194"/>
      <c r="Z157" s="195">
        <f>H157/('Scenario 1 - Phase 1'!$B$8+'LEVEL 3'!$B$8)</f>
        <v>1.6999276748957002</v>
      </c>
      <c r="AA157" s="1"/>
    </row>
    <row r="158" spans="1:27">
      <c r="A158" s="37" t="s">
        <v>417</v>
      </c>
      <c r="B158" s="83">
        <f>'Scenario 1 - Phase 1'!K173</f>
        <v>26000</v>
      </c>
      <c r="C158" s="1"/>
      <c r="E158" s="83">
        <f>'LEVEL 3'!K175</f>
        <v>13000</v>
      </c>
      <c r="F158" s="1"/>
      <c r="H158" s="83">
        <f t="shared" si="11"/>
        <v>39000</v>
      </c>
      <c r="I158" s="1"/>
      <c r="K158" s="83">
        <f>B158/'Scenario 1 - Phase 1'!$E$8</f>
        <v>74.927953890489917</v>
      </c>
      <c r="L158" s="1"/>
      <c r="N158" s="83">
        <f>E158/'LEVEL 3'!$E$8</f>
        <v>67.010309278350519</v>
      </c>
      <c r="O158" s="1"/>
      <c r="Q158" s="83">
        <f>H158/('Scenario 1 - Phase 1'!$E$8+'LEVEL 3'!$E$8)</f>
        <v>72.088724584103517</v>
      </c>
      <c r="R158" s="1"/>
      <c r="T158" s="197">
        <f>B158/'Scenario 1 - Phase 1'!$B$8</f>
        <v>8.3563131946185337E-2</v>
      </c>
      <c r="U158" s="193"/>
      <c r="V158" s="194"/>
      <c r="W158" s="197">
        <f>E158/'LEVEL 3'!$B$8</f>
        <v>6.6228876809194606E-2</v>
      </c>
      <c r="X158" s="193"/>
      <c r="Y158" s="194"/>
      <c r="Z158" s="197">
        <f>H158/('Scenario 1 - Phase 1'!$B$8+'LEVEL 3'!$B$8)</f>
        <v>7.685774026419355E-2</v>
      </c>
      <c r="AA158" s="1"/>
    </row>
    <row r="159" spans="1:27">
      <c r="A159" s="33" t="s">
        <v>419</v>
      </c>
      <c r="B159" s="82"/>
      <c r="C159" s="102">
        <f>SUM(B160:B162)</f>
        <v>913966.42</v>
      </c>
      <c r="E159" s="82"/>
      <c r="F159" s="102">
        <f>SUM(E160:E162)</f>
        <v>623908.05000000005</v>
      </c>
      <c r="H159" s="82"/>
      <c r="I159" s="102">
        <f>SUM(H160:H162)</f>
        <v>1537874.4700000002</v>
      </c>
      <c r="K159" s="82"/>
      <c r="L159" s="102">
        <f>SUM(K160:K162)</f>
        <v>2633.9089913544667</v>
      </c>
      <c r="N159" s="82"/>
      <c r="O159" s="102">
        <f>SUM(N160:N162)</f>
        <v>3216.02087628866</v>
      </c>
      <c r="Q159" s="82"/>
      <c r="R159" s="102">
        <f>SUM(Q160:Q162)</f>
        <v>2842.6515157116451</v>
      </c>
      <c r="T159" s="82"/>
      <c r="U159" s="201">
        <f>C159/'Scenario 1 - Phase 1'!$B$8</f>
        <v>2.9374575595708712</v>
      </c>
      <c r="V159" s="199"/>
      <c r="W159" s="203"/>
      <c r="X159" s="201">
        <f>F159/'LEVEL 3'!$B$8</f>
        <v>3.1785176449011407</v>
      </c>
      <c r="Y159" s="199"/>
      <c r="Z159" s="203"/>
      <c r="AA159" s="201">
        <f>I159/('Scenario 1 - Phase 1'!$B$8+'LEVEL 3'!$B$8)</f>
        <v>3.0307065788254959</v>
      </c>
    </row>
    <row r="160" spans="1:27">
      <c r="A160" s="35" t="s">
        <v>421</v>
      </c>
      <c r="B160" s="71">
        <f>'Scenario 1 - Phase 1'!K175</f>
        <v>18668.52</v>
      </c>
      <c r="C160" s="1"/>
      <c r="E160" s="71">
        <f>'LEVEL 3'!K177</f>
        <v>10000</v>
      </c>
      <c r="F160" s="1"/>
      <c r="H160" s="71">
        <f t="shared" ref="H160:H162" si="12">B160+E160</f>
        <v>28668.52</v>
      </c>
      <c r="I160" s="1"/>
      <c r="K160" s="71">
        <f>B160/'Scenario 1 - Phase 1'!$E$8</f>
        <v>53.799769452449567</v>
      </c>
      <c r="L160" s="1"/>
      <c r="N160" s="71">
        <f>E160/'LEVEL 3'!$E$8</f>
        <v>51.546391752577321</v>
      </c>
      <c r="O160" s="1"/>
      <c r="Q160" s="71">
        <f>H160/('Scenario 1 - Phase 1'!$E$8+'LEVEL 3'!$E$8)</f>
        <v>52.99171903881701</v>
      </c>
      <c r="R160" s="1"/>
      <c r="T160" s="195">
        <f>B160/'Scenario 1 - Phase 1'!$B$8</f>
        <v>6.0000000000000005E-2</v>
      </c>
      <c r="U160" s="193"/>
      <c r="V160" s="194"/>
      <c r="W160" s="195">
        <f>E160/'LEVEL 3'!$B$8</f>
        <v>5.0945289853226619E-2</v>
      </c>
      <c r="X160" s="193"/>
      <c r="Y160" s="194"/>
      <c r="Z160" s="195">
        <f>H160/('Scenario 1 - Phase 1'!$B$8+'LEVEL 3'!$B$8)</f>
        <v>5.6497375997918931E-2</v>
      </c>
      <c r="AA160" s="1"/>
    </row>
    <row r="161" spans="1:27">
      <c r="A161" s="37" t="s">
        <v>423</v>
      </c>
      <c r="B161" s="83">
        <f>'Scenario 1 - Phase 1'!K176</f>
        <v>762297.9</v>
      </c>
      <c r="C161" s="1"/>
      <c r="E161" s="83">
        <f>'LEVEL 3'!K178</f>
        <v>480908.05000000005</v>
      </c>
      <c r="F161" s="1"/>
      <c r="H161" s="83">
        <f t="shared" si="12"/>
        <v>1243205.9500000002</v>
      </c>
      <c r="I161" s="1"/>
      <c r="K161" s="83">
        <f>B161/'Scenario 1 - Phase 1'!$E$8</f>
        <v>2196.8239193083573</v>
      </c>
      <c r="L161" s="1"/>
      <c r="N161" s="83">
        <f>E161/'LEVEL 3'!$E$8</f>
        <v>2478.9074742268044</v>
      </c>
      <c r="O161" s="1"/>
      <c r="Q161" s="83">
        <f>H161/('Scenario 1 - Phase 1'!$E$8+'LEVEL 3'!$E$8)</f>
        <v>2297.9777264325326</v>
      </c>
      <c r="R161" s="1"/>
      <c r="T161" s="197">
        <f>B161/'Scenario 1 - Phase 1'!$B$8</f>
        <v>2.4500000000000002</v>
      </c>
      <c r="U161" s="193"/>
      <c r="V161" s="194"/>
      <c r="W161" s="197">
        <f>E161/'LEVEL 3'!$B$8</f>
        <v>2.4500000000000002</v>
      </c>
      <c r="X161" s="193"/>
      <c r="Y161" s="194"/>
      <c r="Z161" s="197">
        <f>H161/('Scenario 1 - Phase 1'!$B$8+'LEVEL 3'!$B$8)</f>
        <v>2.4500000000000002</v>
      </c>
      <c r="AA161" s="1"/>
    </row>
    <row r="162" spans="1:27">
      <c r="A162" s="37" t="s">
        <v>425</v>
      </c>
      <c r="B162" s="83">
        <f>'Scenario 1 - Phase 1'!K177</f>
        <v>133000</v>
      </c>
      <c r="C162" s="1"/>
      <c r="E162" s="83">
        <f>'LEVEL 3'!K179</f>
        <v>133000</v>
      </c>
      <c r="F162" s="1"/>
      <c r="H162" s="83">
        <f t="shared" si="12"/>
        <v>266000</v>
      </c>
      <c r="I162" s="1"/>
      <c r="K162" s="83">
        <f>B162/'Scenario 1 - Phase 1'!$E$8</f>
        <v>383.28530259365994</v>
      </c>
      <c r="L162" s="1"/>
      <c r="N162" s="83">
        <f>E162/'LEVEL 3'!$E$8</f>
        <v>685.56701030927832</v>
      </c>
      <c r="O162" s="1"/>
      <c r="Q162" s="83">
        <f>H162/('Scenario 1 - Phase 1'!$E$8+'LEVEL 3'!$E$8)</f>
        <v>491.68207024029573</v>
      </c>
      <c r="R162" s="1"/>
      <c r="T162" s="197">
        <f>B162/'Scenario 1 - Phase 1'!$B$8</f>
        <v>0.42745755957087117</v>
      </c>
      <c r="U162" s="193"/>
      <c r="V162" s="194"/>
      <c r="W162" s="197">
        <f>E162/'LEVEL 3'!$B$8</f>
        <v>0.67757235504791402</v>
      </c>
      <c r="X162" s="193"/>
      <c r="Y162" s="194"/>
      <c r="Z162" s="197">
        <f>H162/('Scenario 1 - Phase 1'!$B$8+'LEVEL 3'!$B$8)</f>
        <v>0.52420920282757655</v>
      </c>
      <c r="AA162" s="1"/>
    </row>
    <row r="163" spans="1:27">
      <c r="A163" s="33" t="s">
        <v>427</v>
      </c>
      <c r="B163" s="82"/>
      <c r="C163" s="102">
        <f>SUM(B164:B168)</f>
        <v>3713746</v>
      </c>
      <c r="E163" s="82"/>
      <c r="F163" s="102">
        <f>SUM(E164:E168)</f>
        <v>2071717.2631578948</v>
      </c>
      <c r="H163" s="82"/>
      <c r="I163" s="102">
        <f>SUM(H164:H168)</f>
        <v>5785463.2631578948</v>
      </c>
      <c r="K163" s="82"/>
      <c r="L163" s="102">
        <f>SUM(K164:K168)</f>
        <v>10702.438040345822</v>
      </c>
      <c r="N163" s="82"/>
      <c r="O163" s="102">
        <f>SUM(N164:N168)</f>
        <v>10678.954964731418</v>
      </c>
      <c r="Q163" s="82"/>
      <c r="R163" s="102">
        <f>SUM(Q164:Q168)</f>
        <v>10694.017122288162</v>
      </c>
      <c r="T163" s="82"/>
      <c r="U163" s="201">
        <f>C163/'Scenario 1 - Phase 1'!$B$8</f>
        <v>11.935855654331462</v>
      </c>
      <c r="V163" s="199"/>
      <c r="W163" s="203"/>
      <c r="X163" s="201">
        <f>F163/'LEVEL 3'!$B$8</f>
        <v>10.554423646551232</v>
      </c>
      <c r="Y163" s="199"/>
      <c r="Z163" s="203"/>
      <c r="AA163" s="201">
        <f>I163/('Scenario 1 - Phase 1'!$B$8+'LEVEL 3'!$B$8)</f>
        <v>11.401477763790338</v>
      </c>
    </row>
    <row r="164" spans="1:27">
      <c r="A164" s="35" t="s">
        <v>429</v>
      </c>
      <c r="B164" s="71">
        <f>'Scenario 1 - Phase 1'!K179</f>
        <v>3652522</v>
      </c>
      <c r="C164" s="1"/>
      <c r="E164" s="71">
        <f>'LEVEL 3'!K181</f>
        <v>2041105.2631578948</v>
      </c>
      <c r="F164" s="1"/>
      <c r="H164" s="71">
        <f t="shared" ref="H164:H168" si="13">B164+E164</f>
        <v>5693627.2631578948</v>
      </c>
      <c r="I164" s="1"/>
      <c r="K164" s="71">
        <f>B164/'Scenario 1 - Phase 1'!$E$8</f>
        <v>10526</v>
      </c>
      <c r="L164" s="1"/>
      <c r="N164" s="71">
        <f>E164/'LEVEL 3'!$E$8</f>
        <v>10521.161150298427</v>
      </c>
      <c r="O164" s="1"/>
      <c r="Q164" s="71">
        <f>H164/('Scenario 1 - Phase 1'!$E$8+'LEVEL 3'!$E$8)</f>
        <v>10524.264811752117</v>
      </c>
      <c r="R164" s="1"/>
      <c r="T164" s="195">
        <f>B164/'Scenario 1 - Phase 1'!$B$8</f>
        <v>11.739083762397875</v>
      </c>
      <c r="U164" s="193"/>
      <c r="V164" s="194"/>
      <c r="W164" s="195">
        <f>E164/'LEVEL 3'!$B$8</f>
        <v>10.398469925252535</v>
      </c>
      <c r="X164" s="193"/>
      <c r="Y164" s="194"/>
      <c r="Z164" s="195">
        <f>H164/('Scenario 1 - Phase 1'!$B$8+'LEVEL 3'!$B$8)</f>
        <v>11.220495521869761</v>
      </c>
      <c r="AA164" s="1"/>
    </row>
    <row r="165" spans="1:27">
      <c r="A165" s="37" t="s">
        <v>431</v>
      </c>
      <c r="B165" s="83">
        <f>'Scenario 1 - Phase 1'!K180</f>
        <v>0</v>
      </c>
      <c r="C165" s="1"/>
      <c r="E165" s="83">
        <f>'LEVEL 3'!K182</f>
        <v>0</v>
      </c>
      <c r="F165" s="1"/>
      <c r="H165" s="83">
        <f t="shared" si="13"/>
        <v>0</v>
      </c>
      <c r="I165" s="1"/>
      <c r="K165" s="83">
        <f>B165/'Scenario 1 - Phase 1'!$E$8</f>
        <v>0</v>
      </c>
      <c r="L165" s="1"/>
      <c r="N165" s="83">
        <f>E165/'LEVEL 3'!$E$8</f>
        <v>0</v>
      </c>
      <c r="O165" s="1"/>
      <c r="Q165" s="83">
        <f>H165/('Scenario 1 - Phase 1'!$E$8+'LEVEL 3'!$E$8)</f>
        <v>0</v>
      </c>
      <c r="R165" s="1"/>
      <c r="T165" s="197">
        <f>B165/'Scenario 1 - Phase 1'!$B$8</f>
        <v>0</v>
      </c>
      <c r="U165" s="193"/>
      <c r="V165" s="194"/>
      <c r="W165" s="197">
        <f>E165/'LEVEL 3'!$B$8</f>
        <v>0</v>
      </c>
      <c r="X165" s="193"/>
      <c r="Y165" s="194"/>
      <c r="Z165" s="197">
        <f>H165/('Scenario 1 - Phase 1'!$B$8+'LEVEL 3'!$B$8)</f>
        <v>0</v>
      </c>
      <c r="AA165" s="1"/>
    </row>
    <row r="166" spans="1:27">
      <c r="A166" s="37" t="s">
        <v>432</v>
      </c>
      <c r="B166" s="83">
        <f>'Scenario 1 - Phase 1'!K181</f>
        <v>0</v>
      </c>
      <c r="C166" s="1"/>
      <c r="E166" s="83">
        <f>'LEVEL 3'!K184</f>
        <v>0</v>
      </c>
      <c r="F166" s="1"/>
      <c r="H166" s="83">
        <f t="shared" si="13"/>
        <v>0</v>
      </c>
      <c r="I166" s="1"/>
      <c r="K166" s="83">
        <f>B166/'Scenario 1 - Phase 1'!$E$8</f>
        <v>0</v>
      </c>
      <c r="L166" s="1"/>
      <c r="N166" s="83">
        <f>E166/'LEVEL 3'!$E$8</f>
        <v>0</v>
      </c>
      <c r="O166" s="1"/>
      <c r="Q166" s="83">
        <f>H166/('Scenario 1 - Phase 1'!$E$8+'LEVEL 3'!$E$8)</f>
        <v>0</v>
      </c>
      <c r="R166" s="1"/>
      <c r="T166" s="197">
        <f>B166/'Scenario 1 - Phase 1'!$B$8</f>
        <v>0</v>
      </c>
      <c r="U166" s="193"/>
      <c r="V166" s="194"/>
      <c r="W166" s="197">
        <f>E166/'LEVEL 3'!$B$8</f>
        <v>0</v>
      </c>
      <c r="X166" s="193"/>
      <c r="Y166" s="194"/>
      <c r="Z166" s="197">
        <f>H166/('Scenario 1 - Phase 1'!$B$8+'LEVEL 3'!$B$8)</f>
        <v>0</v>
      </c>
      <c r="AA166" s="1"/>
    </row>
    <row r="167" spans="1:27">
      <c r="A167" s="37" t="s">
        <v>433</v>
      </c>
      <c r="B167" s="83">
        <f>'Scenario 1 - Phase 1'!K182</f>
        <v>49224</v>
      </c>
      <c r="C167" s="1"/>
      <c r="E167" s="83">
        <f>'LEVEL 3'!K185</f>
        <v>24612</v>
      </c>
      <c r="F167" s="1"/>
      <c r="H167" s="83">
        <f t="shared" si="13"/>
        <v>73836</v>
      </c>
      <c r="I167" s="1"/>
      <c r="K167" s="83">
        <f>B167/'Scenario 1 - Phase 1'!$E$8</f>
        <v>141.85590778097983</v>
      </c>
      <c r="L167" s="1"/>
      <c r="N167" s="83">
        <f>E167/'LEVEL 3'!$E$8</f>
        <v>126.8659793814433</v>
      </c>
      <c r="O167" s="1"/>
      <c r="Q167" s="83">
        <f>H167/('Scenario 1 - Phase 1'!$E$8+'LEVEL 3'!$E$8)</f>
        <v>136.48059149722735</v>
      </c>
      <c r="R167" s="1"/>
      <c r="T167" s="197">
        <f>B167/'Scenario 1 - Phase 1'!$B$8</f>
        <v>0.15820429257380875</v>
      </c>
      <c r="U167" s="193"/>
      <c r="V167" s="194"/>
      <c r="W167" s="197">
        <f>E167/'LEVEL 3'!$B$8</f>
        <v>0.12538654738676136</v>
      </c>
      <c r="X167" s="193"/>
      <c r="Y167" s="194"/>
      <c r="Z167" s="197">
        <f>H167/('Scenario 1 - Phase 1'!$B$8+'LEVEL 3'!$B$8)</f>
        <v>0.14550943872171784</v>
      </c>
      <c r="AA167" s="1"/>
    </row>
    <row r="168" spans="1:27">
      <c r="A168" s="37" t="s">
        <v>435</v>
      </c>
      <c r="B168" s="83">
        <f>'Scenario 1 - Phase 1'!K183</f>
        <v>12000</v>
      </c>
      <c r="C168" s="1"/>
      <c r="E168" s="83">
        <f>'LEVEL 3'!K186</f>
        <v>6000</v>
      </c>
      <c r="F168" s="1"/>
      <c r="H168" s="83">
        <f t="shared" si="13"/>
        <v>18000</v>
      </c>
      <c r="I168" s="1"/>
      <c r="K168" s="83">
        <f>B168/'Scenario 1 - Phase 1'!$E$8</f>
        <v>34.582132564841501</v>
      </c>
      <c r="L168" s="1"/>
      <c r="N168" s="83">
        <f>E168/'LEVEL 3'!$E$8</f>
        <v>30.927835051546392</v>
      </c>
      <c r="O168" s="1"/>
      <c r="Q168" s="83">
        <f>H168/('Scenario 1 - Phase 1'!$E$8+'LEVEL 3'!$E$8)</f>
        <v>33.271719038817004</v>
      </c>
      <c r="R168" s="1"/>
      <c r="T168" s="197">
        <f>B168/'Scenario 1 - Phase 1'!$B$8</f>
        <v>3.8567599359777847E-2</v>
      </c>
      <c r="U168" s="193"/>
      <c r="V168" s="194"/>
      <c r="W168" s="197">
        <f>E168/'LEVEL 3'!$B$8</f>
        <v>3.0567173911935971E-2</v>
      </c>
      <c r="X168" s="193"/>
      <c r="Y168" s="194"/>
      <c r="Z168" s="197">
        <f>H168/('Scenario 1 - Phase 1'!$B$8+'LEVEL 3'!$B$8)</f>
        <v>3.5472803198858566E-2</v>
      </c>
      <c r="AA168" s="1"/>
    </row>
    <row r="169" spans="1:27">
      <c r="A169" s="33" t="s">
        <v>437</v>
      </c>
      <c r="B169" s="82"/>
      <c r="C169" s="102">
        <f>SUM(B170)</f>
        <v>3717376.3000000003</v>
      </c>
      <c r="E169" s="82"/>
      <c r="F169" s="102">
        <f>SUM(E170)</f>
        <v>16500</v>
      </c>
      <c r="H169" s="82"/>
      <c r="I169" s="102">
        <f>SUM(H170)</f>
        <v>3733876.3000000003</v>
      </c>
      <c r="K169" s="82"/>
      <c r="L169" s="102">
        <f>SUM(K170)</f>
        <v>10712.900000000001</v>
      </c>
      <c r="N169" s="82"/>
      <c r="O169" s="102">
        <f>SUM(N170)</f>
        <v>85.051546391752581</v>
      </c>
      <c r="Q169" s="82"/>
      <c r="R169" s="102">
        <f>SUM(Q170)</f>
        <v>6901.8046210720895</v>
      </c>
      <c r="T169" s="82"/>
      <c r="U169" s="201">
        <f>C169/'Scenario 1 - Phase 1'!$B$8</f>
        <v>11.94752331732778</v>
      </c>
      <c r="V169" s="199"/>
      <c r="W169" s="203"/>
      <c r="X169" s="201">
        <f>F169/'LEVEL 3'!$B$8</f>
        <v>8.4059728257823929E-2</v>
      </c>
      <c r="Y169" s="199"/>
      <c r="Z169" s="203"/>
      <c r="AA169" s="201">
        <f>I169/('Scenario 1 - Phase 1'!$B$8+'LEVEL 3'!$B$8)</f>
        <v>7.3583921754878991</v>
      </c>
    </row>
    <row r="170" spans="1:27">
      <c r="A170" s="34" t="s">
        <v>439</v>
      </c>
      <c r="B170" s="65">
        <f>'Scenario 1 - Phase 1'!K185</f>
        <v>3717376.3000000003</v>
      </c>
      <c r="C170" s="1"/>
      <c r="E170" s="65">
        <f>'LEVEL 3'!K189</f>
        <v>16500</v>
      </c>
      <c r="F170" s="1"/>
      <c r="H170" s="65">
        <f>B170+E170</f>
        <v>3733876.3000000003</v>
      </c>
      <c r="I170" s="1"/>
      <c r="K170" s="65">
        <f>B170/'Scenario 1 - Phase 1'!$E$8</f>
        <v>10712.900000000001</v>
      </c>
      <c r="L170" s="1"/>
      <c r="N170" s="65">
        <f>E170/'LEVEL 3'!$E$8</f>
        <v>85.051546391752581</v>
      </c>
      <c r="O170" s="1"/>
      <c r="Q170" s="65">
        <f>H170/('Scenario 1 - Phase 1'!$E$8+'LEVEL 3'!$E$8)</f>
        <v>6901.8046210720895</v>
      </c>
      <c r="R170" s="1"/>
      <c r="T170" s="192">
        <f>B170/'Scenario 1 - Phase 1'!$B$8</f>
        <v>11.94752331732778</v>
      </c>
      <c r="U170" s="193"/>
      <c r="V170" s="194"/>
      <c r="W170" s="192">
        <f>E170/'LEVEL 3'!$B$8</f>
        <v>8.4059728257823929E-2</v>
      </c>
      <c r="X170" s="193"/>
      <c r="Y170" s="194"/>
      <c r="Z170" s="192">
        <f>H170/('Scenario 1 - Phase 1'!$B$8+'LEVEL 3'!$B$8)</f>
        <v>7.3583921754878991</v>
      </c>
      <c r="AA170" s="1"/>
    </row>
    <row r="171" spans="1:27">
      <c r="A171" s="33" t="s">
        <v>442</v>
      </c>
      <c r="B171" s="82"/>
      <c r="C171" s="102">
        <f>SUM(B172:B187)</f>
        <v>3468966.5399999996</v>
      </c>
      <c r="E171" s="82"/>
      <c r="F171" s="102">
        <f>SUM(E172:E187)</f>
        <v>2246065.4308303986</v>
      </c>
      <c r="H171" s="82"/>
      <c r="I171" s="102">
        <f>SUM(H172:H187)</f>
        <v>5715031.9708303986</v>
      </c>
      <c r="K171" s="82"/>
      <c r="L171" s="102">
        <f>SUM(K172:K187)</f>
        <v>9997.0217291066256</v>
      </c>
      <c r="N171" s="82"/>
      <c r="O171" s="102">
        <f>SUM(N172:N187)</f>
        <v>11577.65685995051</v>
      </c>
      <c r="Q171" s="82"/>
      <c r="R171" s="102">
        <f>SUM(Q172:Q187)</f>
        <v>10563.829890629202</v>
      </c>
      <c r="T171" s="82"/>
      <c r="U171" s="201">
        <f>C171/'Scenario 1 - Phase 1'!$B$8</f>
        <v>11.149142642266231</v>
      </c>
      <c r="V171" s="199"/>
      <c r="W171" s="203"/>
      <c r="X171" s="201">
        <f>F171/'LEVEL 3'!$B$8</f>
        <v>11.442645440296698</v>
      </c>
      <c r="Y171" s="199"/>
      <c r="Z171" s="203"/>
      <c r="AA171" s="201">
        <f>I171/('Scenario 1 - Phase 1'!$B$8+'LEVEL 3'!$B$8)</f>
        <v>11.262678020913974</v>
      </c>
    </row>
    <row r="172" spans="1:27">
      <c r="A172" s="35" t="s">
        <v>444</v>
      </c>
      <c r="B172" s="71">
        <f>'Scenario 1 - Phase 1'!K187</f>
        <v>2884286.34</v>
      </c>
      <c r="C172" s="1"/>
      <c r="E172" s="71">
        <f>'LEVEL 3'!K191</f>
        <v>1910569.4308303986</v>
      </c>
      <c r="F172" s="1"/>
      <c r="H172" s="71">
        <f t="shared" ref="H172:H187" si="14">B172+E172</f>
        <v>4794855.7708303984</v>
      </c>
      <c r="I172" s="1"/>
      <c r="K172" s="71">
        <f>B172/'Scenario 1 - Phase 1'!$E$8</f>
        <v>8312.0643804034571</v>
      </c>
      <c r="L172" s="1"/>
      <c r="N172" s="71">
        <f>E172/'LEVEL 3'!$E$8</f>
        <v>9848.2960352082409</v>
      </c>
      <c r="O172" s="1"/>
      <c r="Q172" s="71">
        <f>H172/('Scenario 1 - Phase 1'!$E$8+'LEVEL 3'!$E$8)</f>
        <v>8862.9496688177423</v>
      </c>
      <c r="R172" s="1"/>
      <c r="T172" s="195">
        <f>B172/'Scenario 1 - Phase 1'!$B$8</f>
        <v>9.27</v>
      </c>
      <c r="U172" s="193"/>
      <c r="V172" s="194"/>
      <c r="W172" s="195">
        <f>E172/'LEVEL 3'!$B$8</f>
        <v>9.7334513438368866</v>
      </c>
      <c r="X172" s="193"/>
      <c r="Y172" s="194"/>
      <c r="Z172" s="195">
        <f>H172/('Scenario 1 - Phase 1'!$B$8+'LEVEL 3'!$B$8)</f>
        <v>9.4492763958654447</v>
      </c>
      <c r="AA172" s="1"/>
    </row>
    <row r="173" spans="1:27">
      <c r="A173" s="37" t="s">
        <v>447</v>
      </c>
      <c r="B173" s="83">
        <f>'Scenario 1 - Phase 1'!K188</f>
        <v>206118</v>
      </c>
      <c r="C173" s="1"/>
      <c r="E173" s="83">
        <f>'LEVEL 3'!K192</f>
        <v>115236</v>
      </c>
      <c r="F173" s="1"/>
      <c r="H173" s="83">
        <f t="shared" si="14"/>
        <v>321354</v>
      </c>
      <c r="I173" s="1"/>
      <c r="K173" s="83">
        <f>B173/'Scenario 1 - Phase 1'!$E$8</f>
        <v>594</v>
      </c>
      <c r="L173" s="1"/>
      <c r="N173" s="83">
        <f>E173/'LEVEL 3'!$E$8</f>
        <v>594</v>
      </c>
      <c r="O173" s="1"/>
      <c r="Q173" s="83">
        <f>H173/('Scenario 1 - Phase 1'!$E$8+'LEVEL 3'!$E$8)</f>
        <v>594</v>
      </c>
      <c r="R173" s="1"/>
      <c r="T173" s="197">
        <f>B173/'Scenario 1 - Phase 1'!$B$8</f>
        <v>0.66245637040322425</v>
      </c>
      <c r="U173" s="193"/>
      <c r="V173" s="194"/>
      <c r="W173" s="197">
        <f>E173/'LEVEL 3'!$B$8</f>
        <v>0.58707314215264228</v>
      </c>
      <c r="X173" s="193"/>
      <c r="Y173" s="194"/>
      <c r="Z173" s="197">
        <f>H173/('Scenario 1 - Phase 1'!$B$8+'LEVEL 3'!$B$8)</f>
        <v>0.63329595550922191</v>
      </c>
      <c r="AA173" s="1"/>
    </row>
    <row r="174" spans="1:27">
      <c r="A174" s="37" t="s">
        <v>449</v>
      </c>
      <c r="B174" s="83">
        <f>'Scenario 1 - Phase 1'!K189</f>
        <v>41293</v>
      </c>
      <c r="C174" s="1"/>
      <c r="E174" s="83">
        <f>'LEVEL 3'!K193</f>
        <v>23086</v>
      </c>
      <c r="F174" s="1"/>
      <c r="H174" s="83">
        <f t="shared" si="14"/>
        <v>64379</v>
      </c>
      <c r="I174" s="1"/>
      <c r="K174" s="83">
        <f>B174/'Scenario 1 - Phase 1'!$E$8</f>
        <v>119</v>
      </c>
      <c r="L174" s="1"/>
      <c r="N174" s="83">
        <f>E174/'LEVEL 3'!$E$8</f>
        <v>119</v>
      </c>
      <c r="O174" s="1"/>
      <c r="Q174" s="83">
        <f>H174/('Scenario 1 - Phase 1'!$E$8+'LEVEL 3'!$E$8)</f>
        <v>119</v>
      </c>
      <c r="R174" s="1"/>
      <c r="T174" s="197">
        <f>B174/'Scenario 1 - Phase 1'!$B$8</f>
        <v>0.13271432336360889</v>
      </c>
      <c r="U174" s="193"/>
      <c r="V174" s="194"/>
      <c r="W174" s="197">
        <f>E174/'LEVEL 3'!$B$8</f>
        <v>0.11761229615515897</v>
      </c>
      <c r="X174" s="193"/>
      <c r="Y174" s="194"/>
      <c r="Z174" s="197">
        <f>H174/('Scenario 1 - Phase 1'!$B$8+'LEVEL 3'!$B$8)</f>
        <v>0.1268724220632953</v>
      </c>
      <c r="AA174" s="1"/>
    </row>
    <row r="175" spans="1:27">
      <c r="A175" s="37" t="s">
        <v>451</v>
      </c>
      <c r="B175" s="83">
        <f>'Scenario 1 - Phase 1'!K190</f>
        <v>38864</v>
      </c>
      <c r="C175" s="1"/>
      <c r="E175" s="83">
        <f>'LEVEL 3'!K194</f>
        <v>21728</v>
      </c>
      <c r="F175" s="1"/>
      <c r="H175" s="83">
        <f t="shared" si="14"/>
        <v>60592</v>
      </c>
      <c r="I175" s="1"/>
      <c r="K175" s="83">
        <f>B175/'Scenario 1 - Phase 1'!$E$8</f>
        <v>112</v>
      </c>
      <c r="L175" s="1"/>
      <c r="N175" s="83">
        <f>E175/'LEVEL 3'!$E$8</f>
        <v>112</v>
      </c>
      <c r="O175" s="1"/>
      <c r="Q175" s="83">
        <f>H175/('Scenario 1 - Phase 1'!$E$8+'LEVEL 3'!$E$8)</f>
        <v>112</v>
      </c>
      <c r="R175" s="1"/>
      <c r="T175" s="197">
        <f>B175/'Scenario 1 - Phase 1'!$B$8</f>
        <v>0.12490759845986719</v>
      </c>
      <c r="U175" s="193"/>
      <c r="V175" s="194"/>
      <c r="W175" s="197">
        <f>E175/'LEVEL 3'!$B$8</f>
        <v>0.1106939257930908</v>
      </c>
      <c r="X175" s="193"/>
      <c r="Y175" s="194"/>
      <c r="Z175" s="197">
        <f>H175/('Scenario 1 - Phase 1'!$B$8+'LEVEL 3'!$B$8)</f>
        <v>0.11940933841251322</v>
      </c>
      <c r="AA175" s="1"/>
    </row>
    <row r="176" spans="1:27">
      <c r="A176" s="37" t="s">
        <v>453</v>
      </c>
      <c r="B176" s="83">
        <f>'Scenario 1 - Phase 1'!K191</f>
        <v>42724.799999999996</v>
      </c>
      <c r="C176" s="1"/>
      <c r="E176" s="83">
        <f>'LEVEL 3'!K195</f>
        <v>17526</v>
      </c>
      <c r="F176" s="1"/>
      <c r="H176" s="83">
        <f t="shared" si="14"/>
        <v>60250.799999999996</v>
      </c>
      <c r="I176" s="1"/>
      <c r="K176" s="83">
        <f>B176/'Scenario 1 - Phase 1'!$E$8</f>
        <v>123.12622478386166</v>
      </c>
      <c r="L176" s="1"/>
      <c r="N176" s="83">
        <f>E176/'LEVEL 3'!$E$8</f>
        <v>90.340206185567013</v>
      </c>
      <c r="O176" s="1"/>
      <c r="Q176" s="83">
        <f>H176/('Scenario 1 - Phase 1'!$E$8+'LEVEL 3'!$E$8)</f>
        <v>111.36931608133087</v>
      </c>
      <c r="R176" s="1"/>
      <c r="T176" s="197">
        <f>B176/'Scenario 1 - Phase 1'!$B$8</f>
        <v>0.13731608076055304</v>
      </c>
      <c r="U176" s="193"/>
      <c r="V176" s="194"/>
      <c r="W176" s="197">
        <f>E176/'LEVEL 3'!$B$8</f>
        <v>8.9286714996764979E-2</v>
      </c>
      <c r="X176" s="193"/>
      <c r="Y176" s="194"/>
      <c r="Z176" s="197">
        <f>H176/('Scenario 1 - Phase 1'!$B$8+'LEVEL 3'!$B$8)</f>
        <v>0.11873693172076596</v>
      </c>
      <c r="AA176" s="1"/>
    </row>
    <row r="177" spans="1:27">
      <c r="A177" s="37" t="s">
        <v>455</v>
      </c>
      <c r="B177" s="83">
        <f>'Scenario 1 - Phase 1'!K192</f>
        <v>7430.4</v>
      </c>
      <c r="C177" s="1"/>
      <c r="E177" s="83">
        <f>'LEVEL 3'!K196</f>
        <v>3120</v>
      </c>
      <c r="F177" s="1"/>
      <c r="H177" s="83">
        <f t="shared" si="14"/>
        <v>10550.4</v>
      </c>
      <c r="I177" s="1"/>
      <c r="K177" s="83">
        <f>B177/'Scenario 1 - Phase 1'!$E$8</f>
        <v>21.413256484149855</v>
      </c>
      <c r="L177" s="1"/>
      <c r="N177" s="83">
        <f>E177/'LEVEL 3'!$E$8</f>
        <v>16.082474226804123</v>
      </c>
      <c r="O177" s="1"/>
      <c r="Q177" s="83">
        <f>H177/('Scenario 1 - Phase 1'!$E$8+'LEVEL 3'!$E$8)</f>
        <v>19.501663585951942</v>
      </c>
      <c r="R177" s="1"/>
      <c r="T177" s="197">
        <f>B177/'Scenario 1 - Phase 1'!$B$8</f>
        <v>2.3881057523574445E-2</v>
      </c>
      <c r="U177" s="193"/>
      <c r="V177" s="194"/>
      <c r="W177" s="197">
        <f>E177/'LEVEL 3'!$B$8</f>
        <v>1.5894930434206707E-2</v>
      </c>
      <c r="X177" s="193"/>
      <c r="Y177" s="194"/>
      <c r="Z177" s="197">
        <f>H177/('Scenario 1 - Phase 1'!$B$8+'LEVEL 3'!$B$8)</f>
        <v>2.0791792381624298E-2</v>
      </c>
      <c r="AA177" s="1"/>
    </row>
    <row r="178" spans="1:27">
      <c r="A178" s="37" t="s">
        <v>456</v>
      </c>
      <c r="B178" s="83">
        <f>'Scenario 1 - Phase 1'!K193</f>
        <v>0</v>
      </c>
      <c r="C178" s="1"/>
      <c r="E178" s="83">
        <f>'LEVEL 3'!K197</f>
        <v>0</v>
      </c>
      <c r="F178" s="1"/>
      <c r="H178" s="83">
        <f t="shared" si="14"/>
        <v>0</v>
      </c>
      <c r="I178" s="1"/>
      <c r="K178" s="83">
        <f>B178/'Scenario 1 - Phase 1'!$E$8</f>
        <v>0</v>
      </c>
      <c r="L178" s="1"/>
      <c r="N178" s="83">
        <f>E178/'LEVEL 3'!$E$8</f>
        <v>0</v>
      </c>
      <c r="O178" s="1"/>
      <c r="Q178" s="83">
        <f>H178/('Scenario 1 - Phase 1'!$E$8+'LEVEL 3'!$E$8)</f>
        <v>0</v>
      </c>
      <c r="R178" s="1"/>
      <c r="T178" s="197">
        <f>B178/'Scenario 1 - Phase 1'!$B$8</f>
        <v>0</v>
      </c>
      <c r="U178" s="193"/>
      <c r="V178" s="194"/>
      <c r="W178" s="197">
        <f>E178/'LEVEL 3'!$B$8</f>
        <v>0</v>
      </c>
      <c r="X178" s="193"/>
      <c r="Y178" s="194"/>
      <c r="Z178" s="197">
        <f>H178/('Scenario 1 - Phase 1'!$B$8+'LEVEL 3'!$B$8)</f>
        <v>0</v>
      </c>
      <c r="AA178" s="1"/>
    </row>
    <row r="179" spans="1:27">
      <c r="A179" s="37" t="s">
        <v>457</v>
      </c>
      <c r="B179" s="83">
        <f>'Scenario 1 - Phase 1'!K194</f>
        <v>0</v>
      </c>
      <c r="C179" s="1"/>
      <c r="E179" s="83">
        <f>'LEVEL 3'!K198</f>
        <v>0</v>
      </c>
      <c r="F179" s="1"/>
      <c r="H179" s="83">
        <f t="shared" si="14"/>
        <v>0</v>
      </c>
      <c r="I179" s="1"/>
      <c r="K179" s="83">
        <f>B179/'Scenario 1 - Phase 1'!$E$8</f>
        <v>0</v>
      </c>
      <c r="L179" s="1"/>
      <c r="N179" s="83">
        <f>E179/'LEVEL 3'!$E$8</f>
        <v>0</v>
      </c>
      <c r="O179" s="1"/>
      <c r="Q179" s="83">
        <f>H179/('Scenario 1 - Phase 1'!$E$8+'LEVEL 3'!$E$8)</f>
        <v>0</v>
      </c>
      <c r="R179" s="1"/>
      <c r="T179" s="197">
        <f>B179/'Scenario 1 - Phase 1'!$B$8</f>
        <v>0</v>
      </c>
      <c r="U179" s="193"/>
      <c r="V179" s="194"/>
      <c r="W179" s="197">
        <f>E179/'LEVEL 3'!$B$8</f>
        <v>0</v>
      </c>
      <c r="X179" s="193"/>
      <c r="Y179" s="194"/>
      <c r="Z179" s="197">
        <f>H179/('Scenario 1 - Phase 1'!$B$8+'LEVEL 3'!$B$8)</f>
        <v>0</v>
      </c>
      <c r="AA179" s="1"/>
    </row>
    <row r="180" spans="1:27">
      <c r="A180" s="37" t="s">
        <v>459</v>
      </c>
      <c r="B180" s="83">
        <f>'Scenario 1 - Phase 1'!K195</f>
        <v>150000</v>
      </c>
      <c r="C180" s="1"/>
      <c r="E180" s="83">
        <f>'LEVEL 3'!K199</f>
        <v>100000</v>
      </c>
      <c r="F180" s="1"/>
      <c r="H180" s="83">
        <f t="shared" si="14"/>
        <v>250000</v>
      </c>
      <c r="I180" s="1"/>
      <c r="K180" s="83">
        <f>B180/'Scenario 1 - Phase 1'!$E$8</f>
        <v>432.27665706051874</v>
      </c>
      <c r="L180" s="1"/>
      <c r="N180" s="83">
        <f>E180/'LEVEL 3'!$E$8</f>
        <v>515.46391752577324</v>
      </c>
      <c r="O180" s="1"/>
      <c r="Q180" s="83">
        <f>H180/('Scenario 1 - Phase 1'!$E$8+'LEVEL 3'!$E$8)</f>
        <v>462.10720887245839</v>
      </c>
      <c r="R180" s="1"/>
      <c r="T180" s="197">
        <f>B180/'Scenario 1 - Phase 1'!$B$8</f>
        <v>0.48209499199722311</v>
      </c>
      <c r="U180" s="193"/>
      <c r="V180" s="194"/>
      <c r="W180" s="197">
        <f>E180/'LEVEL 3'!$B$8</f>
        <v>0.50945289853226616</v>
      </c>
      <c r="X180" s="193"/>
      <c r="Y180" s="194"/>
      <c r="Z180" s="197">
        <f>H180/('Scenario 1 - Phase 1'!$B$8+'LEVEL 3'!$B$8)</f>
        <v>0.49267782220636896</v>
      </c>
      <c r="AA180" s="1"/>
    </row>
    <row r="181" spans="1:27">
      <c r="A181" s="37" t="s">
        <v>462</v>
      </c>
      <c r="B181" s="83">
        <f>'Scenario 1 - Phase 1'!K196</f>
        <v>11700</v>
      </c>
      <c r="C181" s="1"/>
      <c r="E181" s="83">
        <f>'LEVEL 3'!K200</f>
        <v>4900</v>
      </c>
      <c r="F181" s="1"/>
      <c r="H181" s="83">
        <f t="shared" si="14"/>
        <v>16600</v>
      </c>
      <c r="I181" s="1"/>
      <c r="K181" s="83">
        <f>B181/'Scenario 1 - Phase 1'!$E$8</f>
        <v>33.717579250720462</v>
      </c>
      <c r="L181" s="1"/>
      <c r="N181" s="83">
        <f>E181/'LEVEL 3'!$E$8</f>
        <v>25.257731958762886</v>
      </c>
      <c r="O181" s="1"/>
      <c r="Q181" s="83">
        <f>H181/('Scenario 1 - Phase 1'!$E$8+'LEVEL 3'!$E$8)</f>
        <v>30.683918669131238</v>
      </c>
      <c r="R181" s="1"/>
      <c r="T181" s="197">
        <f>B181/'Scenario 1 - Phase 1'!$B$8</f>
        <v>3.7603409375783402E-2</v>
      </c>
      <c r="U181" s="193"/>
      <c r="V181" s="194"/>
      <c r="W181" s="197">
        <f>E181/'LEVEL 3'!$B$8</f>
        <v>2.4963192028081043E-2</v>
      </c>
      <c r="X181" s="193"/>
      <c r="Y181" s="194"/>
      <c r="Z181" s="197">
        <f>H181/('Scenario 1 - Phase 1'!$B$8+'LEVEL 3'!$B$8)</f>
        <v>3.27138073945029E-2</v>
      </c>
      <c r="AA181" s="1"/>
    </row>
    <row r="182" spans="1:27">
      <c r="A182" s="37" t="s">
        <v>465</v>
      </c>
      <c r="B182" s="83">
        <f>'Scenario 1 - Phase 1'!K197</f>
        <v>11700</v>
      </c>
      <c r="C182" s="1"/>
      <c r="E182" s="83">
        <f>'LEVEL 3'!K201</f>
        <v>4900</v>
      </c>
      <c r="F182" s="1"/>
      <c r="H182" s="83">
        <f t="shared" si="14"/>
        <v>16600</v>
      </c>
      <c r="I182" s="1"/>
      <c r="K182" s="83">
        <f>B182/'Scenario 1 - Phase 1'!$E$8</f>
        <v>33.717579250720462</v>
      </c>
      <c r="L182" s="1"/>
      <c r="N182" s="83">
        <f>E182/'LEVEL 3'!$E$8</f>
        <v>25.257731958762886</v>
      </c>
      <c r="O182" s="1"/>
      <c r="Q182" s="83">
        <f>H182/('Scenario 1 - Phase 1'!$E$8+'LEVEL 3'!$E$8)</f>
        <v>30.683918669131238</v>
      </c>
      <c r="R182" s="1"/>
      <c r="T182" s="197">
        <f>B182/'Scenario 1 - Phase 1'!$B$8</f>
        <v>3.7603409375783402E-2</v>
      </c>
      <c r="U182" s="193"/>
      <c r="V182" s="194"/>
      <c r="W182" s="197">
        <f>E182/'LEVEL 3'!$B$8</f>
        <v>2.4963192028081043E-2</v>
      </c>
      <c r="X182" s="193"/>
      <c r="Y182" s="194"/>
      <c r="Z182" s="197">
        <f>H182/('Scenario 1 - Phase 1'!$B$8+'LEVEL 3'!$B$8)</f>
        <v>3.27138073945029E-2</v>
      </c>
      <c r="AA182" s="1"/>
    </row>
    <row r="183" spans="1:27">
      <c r="A183" s="37" t="s">
        <v>467</v>
      </c>
      <c r="B183" s="83">
        <f>'Scenario 1 - Phase 1'!K198</f>
        <v>34000</v>
      </c>
      <c r="C183" s="1"/>
      <c r="E183" s="83">
        <f>'LEVEL 3'!K202</f>
        <v>17000</v>
      </c>
      <c r="F183" s="1"/>
      <c r="H183" s="83">
        <f t="shared" si="14"/>
        <v>51000</v>
      </c>
      <c r="I183" s="1"/>
      <c r="K183" s="83">
        <f>B183/'Scenario 1 - Phase 1'!$E$8</f>
        <v>97.982708933717575</v>
      </c>
      <c r="L183" s="1"/>
      <c r="N183" s="83">
        <f>E183/'LEVEL 3'!$E$8</f>
        <v>87.628865979381445</v>
      </c>
      <c r="O183" s="1"/>
      <c r="Q183" s="83">
        <f>H183/('Scenario 1 - Phase 1'!$E$8+'LEVEL 3'!$E$8)</f>
        <v>94.26987060998151</v>
      </c>
      <c r="R183" s="1"/>
      <c r="T183" s="197">
        <f>B183/'Scenario 1 - Phase 1'!$B$8</f>
        <v>0.10927486485270391</v>
      </c>
      <c r="U183" s="193"/>
      <c r="V183" s="194"/>
      <c r="W183" s="197">
        <f>E183/'LEVEL 3'!$B$8</f>
        <v>8.6606992750485251E-2</v>
      </c>
      <c r="X183" s="193"/>
      <c r="Y183" s="194"/>
      <c r="Z183" s="197">
        <f>H183/('Scenario 1 - Phase 1'!$B$8+'LEVEL 3'!$B$8)</f>
        <v>0.10050627573009926</v>
      </c>
      <c r="AA183" s="1"/>
    </row>
    <row r="184" spans="1:27">
      <c r="A184" s="37" t="s">
        <v>469</v>
      </c>
      <c r="B184" s="83">
        <f>'Scenario 1 - Phase 1'!K199</f>
        <v>22000</v>
      </c>
      <c r="C184" s="1"/>
      <c r="E184" s="83">
        <f>'LEVEL 3'!K203</f>
        <v>11000</v>
      </c>
      <c r="F184" s="1"/>
      <c r="H184" s="83">
        <f t="shared" si="14"/>
        <v>33000</v>
      </c>
      <c r="I184" s="1"/>
      <c r="K184" s="83">
        <f>B184/'Scenario 1 - Phase 1'!$E$8</f>
        <v>63.400576368876081</v>
      </c>
      <c r="L184" s="1"/>
      <c r="N184" s="83">
        <f>E184/'LEVEL 3'!$E$8</f>
        <v>56.701030927835049</v>
      </c>
      <c r="O184" s="1"/>
      <c r="Q184" s="83">
        <f>H184/('Scenario 1 - Phase 1'!$E$8+'LEVEL 3'!$E$8)</f>
        <v>60.998151571164513</v>
      </c>
      <c r="R184" s="1"/>
      <c r="T184" s="197">
        <f>B184/'Scenario 1 - Phase 1'!$B$8</f>
        <v>7.0707265492926066E-2</v>
      </c>
      <c r="U184" s="193"/>
      <c r="V184" s="194"/>
      <c r="W184" s="197">
        <f>E184/'LEVEL 3'!$B$8</f>
        <v>5.6039818838549284E-2</v>
      </c>
      <c r="X184" s="193"/>
      <c r="Y184" s="194"/>
      <c r="Z184" s="197">
        <f>H184/('Scenario 1 - Phase 1'!$B$8+'LEVEL 3'!$B$8)</f>
        <v>6.5033472531240699E-2</v>
      </c>
      <c r="AA184" s="1"/>
    </row>
    <row r="185" spans="1:27">
      <c r="A185" s="37" t="s">
        <v>471</v>
      </c>
      <c r="B185" s="83">
        <f>'Scenario 1 - Phase 1'!K200</f>
        <v>4000</v>
      </c>
      <c r="C185" s="1"/>
      <c r="E185" s="83">
        <f>'LEVEL 3'!K204</f>
        <v>2000</v>
      </c>
      <c r="F185" s="1"/>
      <c r="H185" s="83">
        <f t="shared" si="14"/>
        <v>6000</v>
      </c>
      <c r="I185" s="1"/>
      <c r="K185" s="83">
        <f>B185/'Scenario 1 - Phase 1'!$E$8</f>
        <v>11.527377521613833</v>
      </c>
      <c r="L185" s="1"/>
      <c r="N185" s="83">
        <f>E185/'LEVEL 3'!$E$8</f>
        <v>10.309278350515465</v>
      </c>
      <c r="O185" s="1"/>
      <c r="Q185" s="83">
        <f>H185/('Scenario 1 - Phase 1'!$E$8+'LEVEL 3'!$E$8)</f>
        <v>11.090573012939002</v>
      </c>
      <c r="R185" s="1"/>
      <c r="T185" s="197">
        <f>B185/'Scenario 1 - Phase 1'!$B$8</f>
        <v>1.2855866453259283E-2</v>
      </c>
      <c r="U185" s="193"/>
      <c r="V185" s="194"/>
      <c r="W185" s="197">
        <f>E185/'LEVEL 3'!$B$8</f>
        <v>1.0189057970645324E-2</v>
      </c>
      <c r="X185" s="193"/>
      <c r="Y185" s="194"/>
      <c r="Z185" s="197">
        <f>H185/('Scenario 1 - Phase 1'!$B$8+'LEVEL 3'!$B$8)</f>
        <v>1.1824267732952854E-2</v>
      </c>
      <c r="AA185" s="1"/>
    </row>
    <row r="186" spans="1:27">
      <c r="A186" s="37" t="s">
        <v>473</v>
      </c>
      <c r="B186" s="83">
        <f>'Scenario 1 - Phase 1'!K201</f>
        <v>14250</v>
      </c>
      <c r="C186" s="1"/>
      <c r="E186" s="83">
        <f>'LEVEL 3'!K205</f>
        <v>14250</v>
      </c>
      <c r="F186" s="1"/>
      <c r="H186" s="83">
        <f t="shared" si="14"/>
        <v>28500</v>
      </c>
      <c r="I186" s="1"/>
      <c r="K186" s="83">
        <f>B186/'Scenario 1 - Phase 1'!$E$8</f>
        <v>41.066282420749282</v>
      </c>
      <c r="L186" s="1"/>
      <c r="N186" s="83">
        <f>E186/'LEVEL 3'!$E$8</f>
        <v>73.453608247422679</v>
      </c>
      <c r="O186" s="1"/>
      <c r="Q186" s="83">
        <f>H186/('Scenario 1 - Phase 1'!$E$8+'LEVEL 3'!$E$8)</f>
        <v>52.680221811460257</v>
      </c>
      <c r="R186" s="1"/>
      <c r="T186" s="197">
        <f>B186/'Scenario 1 - Phase 1'!$B$8</f>
        <v>4.5799024239736197E-2</v>
      </c>
      <c r="U186" s="193"/>
      <c r="V186" s="194"/>
      <c r="W186" s="197">
        <f>E186/'LEVEL 3'!$B$8</f>
        <v>7.2597038040847939E-2</v>
      </c>
      <c r="X186" s="193"/>
      <c r="Y186" s="194"/>
      <c r="Z186" s="197">
        <f>H186/('Scenario 1 - Phase 1'!$B$8+'LEVEL 3'!$B$8)</f>
        <v>5.6165271731526058E-2</v>
      </c>
      <c r="AA186" s="1"/>
    </row>
    <row r="187" spans="1:27">
      <c r="A187" s="37" t="s">
        <v>474</v>
      </c>
      <c r="B187" s="83">
        <f>'Scenario 1 - Phase 1'!K202</f>
        <v>600</v>
      </c>
      <c r="C187" s="1"/>
      <c r="E187" s="83">
        <f>'LEVEL 3'!K206</f>
        <v>750</v>
      </c>
      <c r="F187" s="1"/>
      <c r="H187" s="83">
        <f t="shared" si="14"/>
        <v>1350</v>
      </c>
      <c r="I187" s="1"/>
      <c r="K187" s="83">
        <f>B187/'Scenario 1 - Phase 1'!$E$8</f>
        <v>1.7291066282420748</v>
      </c>
      <c r="L187" s="1"/>
      <c r="N187" s="83">
        <f>E187/'LEVEL 3'!$E$8</f>
        <v>3.865979381443299</v>
      </c>
      <c r="O187" s="1"/>
      <c r="Q187" s="83">
        <f>H187/('Scenario 1 - Phase 1'!$E$8+'LEVEL 3'!$E$8)</f>
        <v>2.4953789279112755</v>
      </c>
      <c r="R187" s="1"/>
      <c r="T187" s="197">
        <f>B187/'Scenario 1 - Phase 1'!$B$8</f>
        <v>1.9283799679888926E-3</v>
      </c>
      <c r="U187" s="193"/>
      <c r="V187" s="194"/>
      <c r="W187" s="197">
        <f>E187/'LEVEL 3'!$B$8</f>
        <v>3.8208967389919963E-3</v>
      </c>
      <c r="X187" s="193"/>
      <c r="Y187" s="194"/>
      <c r="Z187" s="197">
        <f>H187/('Scenario 1 - Phase 1'!$B$8+'LEVEL 3'!$B$8)</f>
        <v>2.6604602399143925E-3</v>
      </c>
      <c r="AA187" s="1"/>
    </row>
    <row r="188" spans="1:27">
      <c r="A188" s="33" t="s">
        <v>475</v>
      </c>
      <c r="B188" s="82"/>
      <c r="C188" s="102">
        <f>SUM(B189:B191)</f>
        <v>186973.78</v>
      </c>
      <c r="E188" s="82"/>
      <c r="F188" s="102">
        <f>SUM(E189:E191)</f>
        <v>117610.51</v>
      </c>
      <c r="H188" s="82"/>
      <c r="I188" s="102">
        <f>SUM(H189:H191)</f>
        <v>304584.28999999998</v>
      </c>
      <c r="K188" s="82"/>
      <c r="L188" s="102">
        <f>SUM(K189:K191)</f>
        <v>538.82933717579249</v>
      </c>
      <c r="N188" s="82"/>
      <c r="O188" s="102">
        <f>SUM(N189:N191)</f>
        <v>606.23974226804125</v>
      </c>
      <c r="Q188" s="82"/>
      <c r="R188" s="102">
        <f>SUM(Q189:Q191)</f>
        <v>563.00238447319771</v>
      </c>
      <c r="T188" s="82"/>
      <c r="U188" s="201">
        <f>C188/'Scenario 1 - Phase 1'!$B$8</f>
        <v>0.60092748648527039</v>
      </c>
      <c r="V188" s="199"/>
      <c r="W188" s="203"/>
      <c r="X188" s="201">
        <f>F188/'LEVEL 3'!$B$8</f>
        <v>0.59917015217358072</v>
      </c>
      <c r="Y188" s="199"/>
      <c r="Z188" s="203"/>
      <c r="AA188" s="201">
        <f>I188/('Scenario 1 - Phase 1'!$B$8+'LEVEL 3'!$B$8)</f>
        <v>0.60024769870189243</v>
      </c>
    </row>
    <row r="189" spans="1:27">
      <c r="A189" s="35" t="s">
        <v>477</v>
      </c>
      <c r="B189" s="71">
        <f>'Scenario 1 - Phase 1'!K204</f>
        <v>1800</v>
      </c>
      <c r="C189" s="1"/>
      <c r="E189" s="71">
        <f>'LEVEL 3'!K208</f>
        <v>1000</v>
      </c>
      <c r="F189" s="1"/>
      <c r="H189" s="71">
        <f t="shared" ref="H189:H191" si="15">B189+E189</f>
        <v>2800</v>
      </c>
      <c r="I189" s="1"/>
      <c r="K189" s="71">
        <f>B189/'Scenario 1 - Phase 1'!$E$8</f>
        <v>5.1873198847262252</v>
      </c>
      <c r="L189" s="1"/>
      <c r="N189" s="71">
        <f>E189/'LEVEL 3'!$E$8</f>
        <v>5.1546391752577323</v>
      </c>
      <c r="O189" s="1"/>
      <c r="Q189" s="71">
        <f>H189/('Scenario 1 - Phase 1'!$E$8+'LEVEL 3'!$E$8)</f>
        <v>5.175600739371534</v>
      </c>
      <c r="R189" s="1"/>
      <c r="T189" s="195">
        <f>B189/'Scenario 1 - Phase 1'!$B$8</f>
        <v>5.7851399039666775E-3</v>
      </c>
      <c r="U189" s="193"/>
      <c r="V189" s="194"/>
      <c r="W189" s="195">
        <f>E189/'LEVEL 3'!$B$8</f>
        <v>5.0945289853226621E-3</v>
      </c>
      <c r="X189" s="193"/>
      <c r="Y189" s="194"/>
      <c r="Z189" s="195">
        <f>H189/('Scenario 1 - Phase 1'!$B$8+'LEVEL 3'!$B$8)</f>
        <v>5.5179916087113321E-3</v>
      </c>
      <c r="AA189" s="1"/>
    </row>
    <row r="190" spans="1:27">
      <c r="A190" s="37" t="s">
        <v>480</v>
      </c>
      <c r="B190" s="83">
        <f>'Scenario 1 - Phase 1'!K205</f>
        <v>183573.78</v>
      </c>
      <c r="C190" s="1"/>
      <c r="E190" s="83">
        <f>'LEVEL 3'!K209</f>
        <v>115810.51</v>
      </c>
      <c r="F190" s="1"/>
      <c r="H190" s="83">
        <f t="shared" si="15"/>
        <v>299384.28999999998</v>
      </c>
      <c r="I190" s="1"/>
      <c r="K190" s="83">
        <f>B190/'Scenario 1 - Phase 1'!$E$8</f>
        <v>529.03106628242074</v>
      </c>
      <c r="L190" s="1"/>
      <c r="N190" s="83">
        <f>E190/'LEVEL 3'!$E$8</f>
        <v>596.96139175257724</v>
      </c>
      <c r="O190" s="1"/>
      <c r="Q190" s="83">
        <f>H190/('Scenario 1 - Phase 1'!$E$8+'LEVEL 3'!$E$8)</f>
        <v>553.39055452865057</v>
      </c>
      <c r="R190" s="1"/>
      <c r="T190" s="197">
        <f>B190/'Scenario 1 - Phase 1'!$B$8</f>
        <v>0.59</v>
      </c>
      <c r="U190" s="193"/>
      <c r="V190" s="194"/>
      <c r="W190" s="197">
        <f>E190/'LEVEL 3'!$B$8</f>
        <v>0.59</v>
      </c>
      <c r="X190" s="193"/>
      <c r="Y190" s="194"/>
      <c r="Z190" s="197">
        <f>H190/('Scenario 1 - Phase 1'!$B$8+'LEVEL 3'!$B$8)</f>
        <v>0.59</v>
      </c>
      <c r="AA190" s="1"/>
    </row>
    <row r="191" spans="1:27">
      <c r="A191" s="37" t="s">
        <v>482</v>
      </c>
      <c r="B191" s="83">
        <f>'Scenario 1 - Phase 1'!K206</f>
        <v>1600</v>
      </c>
      <c r="C191" s="1"/>
      <c r="E191" s="83">
        <f>'LEVEL 3'!K210</f>
        <v>800</v>
      </c>
      <c r="F191" s="1"/>
      <c r="H191" s="83">
        <f t="shared" si="15"/>
        <v>2400</v>
      </c>
      <c r="I191" s="1"/>
      <c r="K191" s="83">
        <f>B191/'Scenario 1 - Phase 1'!$E$8</f>
        <v>4.6109510086455332</v>
      </c>
      <c r="L191" s="1"/>
      <c r="N191" s="83">
        <f>E191/'LEVEL 3'!$E$8</f>
        <v>4.1237113402061851</v>
      </c>
      <c r="O191" s="1"/>
      <c r="Q191" s="83">
        <f>H191/('Scenario 1 - Phase 1'!$E$8+'LEVEL 3'!$E$8)</f>
        <v>4.4362292051756009</v>
      </c>
      <c r="R191" s="1"/>
      <c r="T191" s="197">
        <f>B191/'Scenario 1 - Phase 1'!$B$8</f>
        <v>5.1423465813037134E-3</v>
      </c>
      <c r="U191" s="193"/>
      <c r="V191" s="194"/>
      <c r="W191" s="197">
        <f>E191/'LEVEL 3'!$B$8</f>
        <v>4.07562318825813E-3</v>
      </c>
      <c r="X191" s="193"/>
      <c r="Y191" s="194"/>
      <c r="Z191" s="197">
        <f>H191/('Scenario 1 - Phase 1'!$B$8+'LEVEL 3'!$B$8)</f>
        <v>4.7297070931811422E-3</v>
      </c>
      <c r="AA191" s="1"/>
    </row>
    <row r="192" spans="1:27">
      <c r="A192" s="33" t="s">
        <v>485</v>
      </c>
      <c r="B192" s="82"/>
      <c r="C192" s="102">
        <f>SUM(B193:B195)</f>
        <v>855355</v>
      </c>
      <c r="E192" s="82"/>
      <c r="F192" s="102">
        <f>SUM(E193:E195)</f>
        <v>205962</v>
      </c>
      <c r="H192" s="82"/>
      <c r="I192" s="102">
        <f>SUM(H193:H195)</f>
        <v>1061317</v>
      </c>
      <c r="K192" s="82"/>
      <c r="L192" s="102">
        <f>SUM(K193:K195)</f>
        <v>2465</v>
      </c>
      <c r="N192" s="82"/>
      <c r="O192" s="102">
        <f>SUM(N193:N195)</f>
        <v>1061.659793814433</v>
      </c>
      <c r="Q192" s="82"/>
      <c r="R192" s="102">
        <f>SUM(Q193:Q195)</f>
        <v>1961.7689463955639</v>
      </c>
      <c r="T192" s="82"/>
      <c r="U192" s="201">
        <f>C192/'Scenario 1 - Phase 1'!$B$8</f>
        <v>2.7490824125318984</v>
      </c>
      <c r="V192" s="199"/>
      <c r="W192" s="203"/>
      <c r="X192" s="201">
        <f>F192/'LEVEL 3'!$B$8</f>
        <v>1.0492793788750261</v>
      </c>
      <c r="Y192" s="199"/>
      <c r="Z192" s="203"/>
      <c r="AA192" s="201">
        <f>I192/('Scenario 1 - Phase 1'!$B$8+'LEVEL 3'!$B$8)</f>
        <v>2.0915493929223876</v>
      </c>
    </row>
    <row r="193" spans="1:27">
      <c r="A193" s="166" t="s">
        <v>487</v>
      </c>
      <c r="B193" s="71">
        <f>'Scenario 1 - Phase 1'!K208</f>
        <v>201260</v>
      </c>
      <c r="C193" s="1"/>
      <c r="E193" s="71">
        <f>'LEVEL 3'!K212</f>
        <v>112714</v>
      </c>
      <c r="F193" s="1"/>
      <c r="H193" s="71">
        <f t="shared" ref="H193:H195" si="16">B193+E193</f>
        <v>313974</v>
      </c>
      <c r="I193" s="1"/>
      <c r="K193" s="71">
        <f>B193/'Scenario 1 - Phase 1'!$E$8</f>
        <v>580</v>
      </c>
      <c r="L193" s="1"/>
      <c r="N193" s="71">
        <f>E193/'LEVEL 3'!$E$8</f>
        <v>581</v>
      </c>
      <c r="O193" s="1"/>
      <c r="Q193" s="71">
        <f>H193/('Scenario 1 - Phase 1'!$E$8+'LEVEL 3'!$E$8)</f>
        <v>580.35859519408507</v>
      </c>
      <c r="R193" s="1"/>
      <c r="T193" s="195">
        <f>B193/'Scenario 1 - Phase 1'!$B$8</f>
        <v>0.64684292059574089</v>
      </c>
      <c r="U193" s="193"/>
      <c r="V193" s="194"/>
      <c r="W193" s="195">
        <f>E193/'LEVEL 3'!$B$8</f>
        <v>0.57422474005165858</v>
      </c>
      <c r="X193" s="193"/>
      <c r="Y193" s="194"/>
      <c r="Z193" s="195">
        <f>H193/('Scenario 1 - Phase 1'!$B$8+'LEVEL 3'!$B$8)</f>
        <v>0.61875210619768994</v>
      </c>
      <c r="AA193" s="1"/>
    </row>
    <row r="194" spans="1:27">
      <c r="A194" s="37" t="s">
        <v>489</v>
      </c>
      <c r="B194" s="83">
        <f>'Scenario 1 - Phase 1'!K209</f>
        <v>113469</v>
      </c>
      <c r="C194" s="1"/>
      <c r="E194" s="83">
        <f>'LEVEL 3'!K213</f>
        <v>85748</v>
      </c>
      <c r="F194" s="1"/>
      <c r="H194" s="83">
        <f t="shared" si="16"/>
        <v>199217</v>
      </c>
      <c r="I194" s="1"/>
      <c r="K194" s="83">
        <f>B194/'Scenario 1 - Phase 1'!$E$8</f>
        <v>327</v>
      </c>
      <c r="L194" s="1"/>
      <c r="N194" s="83">
        <f>E194/'LEVEL 3'!$E$8</f>
        <v>442</v>
      </c>
      <c r="O194" s="1"/>
      <c r="Q194" s="83">
        <f>H194/('Scenario 1 - Phase 1'!$E$8+'LEVEL 3'!$E$8)</f>
        <v>368.23844731977817</v>
      </c>
      <c r="R194" s="1"/>
      <c r="T194" s="197">
        <f>B194/'Scenario 1 - Phase 1'!$B$8</f>
        <v>0.36468557764621939</v>
      </c>
      <c r="U194" s="193"/>
      <c r="V194" s="194"/>
      <c r="W194" s="197">
        <f>E194/'LEVEL 3'!$B$8</f>
        <v>0.4368456714334476</v>
      </c>
      <c r="X194" s="193"/>
      <c r="Y194" s="194"/>
      <c r="Z194" s="197">
        <f>H194/('Scenario 1 - Phase 1'!$B$8+'LEVEL 3'!$B$8)</f>
        <v>0.3925991908259448</v>
      </c>
      <c r="AA194" s="1"/>
    </row>
    <row r="195" spans="1:27">
      <c r="A195" s="37" t="s">
        <v>491</v>
      </c>
      <c r="B195" s="83">
        <f>'Scenario 1 - Phase 1'!K210</f>
        <v>540626</v>
      </c>
      <c r="C195" s="1"/>
      <c r="E195" s="83">
        <f>'LEVEL 3'!K215</f>
        <v>7500</v>
      </c>
      <c r="F195" s="1"/>
      <c r="H195" s="83">
        <f t="shared" si="16"/>
        <v>548126</v>
      </c>
      <c r="I195" s="1"/>
      <c r="K195" s="83">
        <f>B195/'Scenario 1 - Phase 1'!$E$8</f>
        <v>1558</v>
      </c>
      <c r="L195" s="1"/>
      <c r="N195" s="83">
        <f>E195/'LEVEL 3'!$E$8</f>
        <v>38.659793814432987</v>
      </c>
      <c r="O195" s="1"/>
      <c r="Q195" s="83">
        <f>H195/('Scenario 1 - Phase 1'!$E$8+'LEVEL 3'!$E$8)</f>
        <v>1013.1719038817006</v>
      </c>
      <c r="R195" s="1"/>
      <c r="T195" s="197">
        <f>B195/'Scenario 1 - Phase 1'!$B$8</f>
        <v>1.7375539142899383</v>
      </c>
      <c r="U195" s="193"/>
      <c r="V195" s="194"/>
      <c r="W195" s="197">
        <f>E195/'LEVEL 3'!$B$8</f>
        <v>3.8208967389919968E-2</v>
      </c>
      <c r="X195" s="193"/>
      <c r="Y195" s="194"/>
      <c r="Z195" s="197">
        <f>H195/('Scenario 1 - Phase 1'!$B$8+'LEVEL 3'!$B$8)</f>
        <v>1.0801980958987527</v>
      </c>
      <c r="AA195" s="1"/>
    </row>
    <row r="196" spans="1:27">
      <c r="A196" s="33" t="s">
        <v>493</v>
      </c>
      <c r="B196" s="82"/>
      <c r="C196" s="102">
        <f>SUM(B197:B205)</f>
        <v>747722.65500000003</v>
      </c>
      <c r="E196" s="82"/>
      <c r="F196" s="102">
        <f>SUM(E197:E205)</f>
        <v>347262</v>
      </c>
      <c r="H196" s="82"/>
      <c r="I196" s="102">
        <f>SUM(H197:H205)</f>
        <v>1094984.655</v>
      </c>
      <c r="K196" s="82"/>
      <c r="L196" s="102">
        <f>SUM(K197:K205)</f>
        <v>2154.8203314121038</v>
      </c>
      <c r="N196" s="82"/>
      <c r="O196" s="102">
        <f>SUM(N197:N205)</f>
        <v>1790.0103092783506</v>
      </c>
      <c r="Q196" s="82"/>
      <c r="R196" s="102">
        <f>SUM(Q197:Q205)</f>
        <v>2024.0012107208872</v>
      </c>
      <c r="T196" s="82"/>
      <c r="U196" s="201">
        <f>C196/'Scenario 1 - Phase 1'!$B$8</f>
        <v>2.4031556491891162</v>
      </c>
      <c r="V196" s="199"/>
      <c r="W196" s="203"/>
      <c r="X196" s="201">
        <f>F196/'LEVEL 3'!$B$8</f>
        <v>1.7691363245011182</v>
      </c>
      <c r="Y196" s="199"/>
      <c r="Z196" s="203"/>
      <c r="AA196" s="201">
        <f>I196/('Scenario 1 - Phase 1'!$B$8+'LEVEL 3'!$B$8)</f>
        <v>2.1578986206991688</v>
      </c>
    </row>
    <row r="197" spans="1:27">
      <c r="A197" s="35" t="s">
        <v>495</v>
      </c>
      <c r="B197" s="71">
        <f>'Scenario 1 - Phase 1'!K212</f>
        <v>74079.13499999998</v>
      </c>
      <c r="C197" s="1"/>
      <c r="E197" s="71">
        <f>'LEVEL 3'!K217</f>
        <v>31850.000000000004</v>
      </c>
      <c r="F197" s="1"/>
      <c r="H197" s="71">
        <f t="shared" ref="H197:H205" si="17">B197+E197</f>
        <v>105929.13499999998</v>
      </c>
      <c r="I197" s="1"/>
      <c r="K197" s="71">
        <f>B197/'Scenario 1 - Phase 1'!$E$8</f>
        <v>213.48453890489907</v>
      </c>
      <c r="L197" s="1"/>
      <c r="N197" s="71">
        <f>E197/'LEVEL 3'!$E$8</f>
        <v>164.17525773195879</v>
      </c>
      <c r="O197" s="1"/>
      <c r="Q197" s="71">
        <f>H197/('Scenario 1 - Phase 1'!$E$8+'LEVEL 3'!$E$8)</f>
        <v>195.80246765249535</v>
      </c>
      <c r="R197" s="1"/>
      <c r="T197" s="195">
        <f>B197/'Scenario 1 - Phase 1'!$B$8</f>
        <v>0.23808786663324136</v>
      </c>
      <c r="U197" s="193"/>
      <c r="V197" s="194"/>
      <c r="W197" s="195">
        <f>E197/'LEVEL 3'!$B$8</f>
        <v>0.16226074818252681</v>
      </c>
      <c r="X197" s="193"/>
      <c r="Y197" s="194"/>
      <c r="Z197" s="195">
        <f>H197/('Scenario 1 - Phase 1'!$B$8+'LEVEL 3'!$B$8)</f>
        <v>0.20875574216001777</v>
      </c>
      <c r="AA197" s="1"/>
    </row>
    <row r="198" spans="1:27">
      <c r="A198" s="37" t="s">
        <v>497</v>
      </c>
      <c r="B198" s="83">
        <f>'Scenario 1 - Phase 1'!K213</f>
        <v>40781.519999999997</v>
      </c>
      <c r="C198" s="1"/>
      <c r="E198" s="83">
        <f>'LEVEL 3'!K218</f>
        <v>17150</v>
      </c>
      <c r="F198" s="1"/>
      <c r="H198" s="83">
        <f t="shared" si="17"/>
        <v>57931.519999999997</v>
      </c>
      <c r="I198" s="1"/>
      <c r="K198" s="83">
        <f>B198/'Scenario 1 - Phase 1'!$E$8</f>
        <v>117.52599423631123</v>
      </c>
      <c r="L198" s="1"/>
      <c r="N198" s="83">
        <f>E198/'LEVEL 3'!$E$8</f>
        <v>88.402061855670098</v>
      </c>
      <c r="O198" s="1"/>
      <c r="Q198" s="83">
        <f>H198/('Scenario 1 - Phase 1'!$E$8+'LEVEL 3'!$E$8)</f>
        <v>107.082292051756</v>
      </c>
      <c r="R198" s="1"/>
      <c r="T198" s="197">
        <f>B198/'Scenario 1 - Phase 1'!$B$8</f>
        <v>0.13107044372023063</v>
      </c>
      <c r="U198" s="193"/>
      <c r="V198" s="194"/>
      <c r="W198" s="197">
        <f>E198/'LEVEL 3'!$B$8</f>
        <v>8.7371172098283656E-2</v>
      </c>
      <c r="X198" s="193"/>
      <c r="Y198" s="194"/>
      <c r="Z198" s="197">
        <f>H198/('Scenario 1 - Phase 1'!$B$8+'LEVEL 3'!$B$8)</f>
        <v>0.11416630044281882</v>
      </c>
      <c r="AA198" s="1"/>
    </row>
    <row r="199" spans="1:27">
      <c r="A199" s="37" t="s">
        <v>499</v>
      </c>
      <c r="B199" s="83">
        <f>'Scenario 1 - Phase 1'!K214</f>
        <v>0</v>
      </c>
      <c r="C199" s="1"/>
      <c r="E199" s="83">
        <f>'LEVEL 3'!K219</f>
        <v>0</v>
      </c>
      <c r="F199" s="1"/>
      <c r="H199" s="83">
        <f t="shared" si="17"/>
        <v>0</v>
      </c>
      <c r="I199" s="1"/>
      <c r="K199" s="83">
        <f>B199/'Scenario 1 - Phase 1'!$E$8</f>
        <v>0</v>
      </c>
      <c r="L199" s="1"/>
      <c r="N199" s="83">
        <f>E199/'LEVEL 3'!$E$8</f>
        <v>0</v>
      </c>
      <c r="O199" s="1"/>
      <c r="Q199" s="83">
        <f>H199/('Scenario 1 - Phase 1'!$E$8+'LEVEL 3'!$E$8)</f>
        <v>0</v>
      </c>
      <c r="R199" s="1"/>
      <c r="T199" s="197">
        <f>B199/'Scenario 1 - Phase 1'!$B$8</f>
        <v>0</v>
      </c>
      <c r="U199" s="193"/>
      <c r="V199" s="194"/>
      <c r="W199" s="197">
        <f>E199/'LEVEL 3'!$B$8</f>
        <v>0</v>
      </c>
      <c r="X199" s="193"/>
      <c r="Y199" s="194"/>
      <c r="Z199" s="197">
        <f>H199/('Scenario 1 - Phase 1'!$B$8+'LEVEL 3'!$B$8)</f>
        <v>0</v>
      </c>
      <c r="AA199" s="1"/>
    </row>
    <row r="200" spans="1:27">
      <c r="A200" s="172" t="s">
        <v>501</v>
      </c>
      <c r="B200" s="83">
        <f>'Scenario 1 - Phase 1'!K215</f>
        <v>50000</v>
      </c>
      <c r="C200" s="1"/>
      <c r="E200" s="83">
        <f>'LEVEL 3'!K220</f>
        <v>25000</v>
      </c>
      <c r="F200" s="1"/>
      <c r="H200" s="83">
        <f t="shared" si="17"/>
        <v>75000</v>
      </c>
      <c r="I200" s="1"/>
      <c r="K200" s="83">
        <f>B200/'Scenario 1 - Phase 1'!$E$8</f>
        <v>144.09221902017291</v>
      </c>
      <c r="L200" s="1"/>
      <c r="N200" s="83">
        <f>E200/'LEVEL 3'!$E$8</f>
        <v>128.86597938144331</v>
      </c>
      <c r="O200" s="1"/>
      <c r="Q200" s="83">
        <f>H200/('Scenario 1 - Phase 1'!$E$8+'LEVEL 3'!$E$8)</f>
        <v>138.63216266173751</v>
      </c>
      <c r="R200" s="1"/>
      <c r="T200" s="197">
        <f>B200/'Scenario 1 - Phase 1'!$B$8</f>
        <v>0.16069833066574105</v>
      </c>
      <c r="U200" s="193"/>
      <c r="V200" s="194"/>
      <c r="W200" s="197">
        <f>E200/'LEVEL 3'!$B$8</f>
        <v>0.12736322463306654</v>
      </c>
      <c r="X200" s="193"/>
      <c r="Y200" s="194"/>
      <c r="Z200" s="197">
        <f>H200/('Scenario 1 - Phase 1'!$B$8+'LEVEL 3'!$B$8)</f>
        <v>0.1478033466619107</v>
      </c>
      <c r="AA200" s="1"/>
    </row>
    <row r="201" spans="1:27">
      <c r="A201" s="172" t="s">
        <v>504</v>
      </c>
      <c r="B201" s="83">
        <f>'Scenario 1 - Phase 1'!K216</f>
        <v>391553</v>
      </c>
      <c r="C201" s="1"/>
      <c r="E201" s="83">
        <f>'LEVEL 3'!K221</f>
        <v>156000</v>
      </c>
      <c r="F201" s="1"/>
      <c r="H201" s="83">
        <f t="shared" si="17"/>
        <v>547553</v>
      </c>
      <c r="I201" s="1"/>
      <c r="K201" s="83">
        <f>B201/'Scenario 1 - Phase 1'!$E$8</f>
        <v>1128.3948126801154</v>
      </c>
      <c r="L201" s="1"/>
      <c r="N201" s="83">
        <f>E201/'LEVEL 3'!$E$8</f>
        <v>804.12371134020623</v>
      </c>
      <c r="O201" s="1"/>
      <c r="Q201" s="83">
        <f>H201/('Scenario 1 - Phase 1'!$E$8+'LEVEL 3'!$E$8)</f>
        <v>1012.1127541589649</v>
      </c>
      <c r="R201" s="1"/>
      <c r="T201" s="197">
        <f>B201/'Scenario 1 - Phase 1'!$B$8</f>
        <v>1.2584382693432581</v>
      </c>
      <c r="U201" s="193"/>
      <c r="V201" s="194"/>
      <c r="W201" s="197">
        <f>E201/'LEVEL 3'!$B$8</f>
        <v>0.79474652171033522</v>
      </c>
      <c r="X201" s="193"/>
      <c r="Y201" s="194"/>
      <c r="Z201" s="197">
        <f>H201/('Scenario 1 - Phase 1'!$B$8+'LEVEL 3'!$B$8)</f>
        <v>1.0790688783302558</v>
      </c>
      <c r="AA201" s="1"/>
    </row>
    <row r="202" spans="1:27">
      <c r="A202" s="172" t="s">
        <v>506</v>
      </c>
      <c r="B202" s="83">
        <f>'Scenario 1 - Phase 1'!K217</f>
        <v>11006</v>
      </c>
      <c r="C202" s="1"/>
      <c r="E202" s="83">
        <f>'LEVEL 3'!K222</f>
        <v>5012</v>
      </c>
      <c r="F202" s="1"/>
      <c r="H202" s="83">
        <f t="shared" si="17"/>
        <v>16018</v>
      </c>
      <c r="I202" s="1"/>
      <c r="K202" s="83">
        <f>B202/'Scenario 1 - Phase 1'!$E$8</f>
        <v>31.717579250720462</v>
      </c>
      <c r="L202" s="1"/>
      <c r="N202" s="83">
        <f>E202/'LEVEL 3'!$E$8</f>
        <v>25.835051546391753</v>
      </c>
      <c r="O202" s="1"/>
      <c r="Q202" s="83">
        <f>H202/('Scenario 1 - Phase 1'!$E$8+'LEVEL 3'!$E$8)</f>
        <v>29.608133086876155</v>
      </c>
      <c r="R202" s="1"/>
      <c r="T202" s="197">
        <f>B202/'Scenario 1 - Phase 1'!$B$8</f>
        <v>3.537291654614292E-2</v>
      </c>
      <c r="U202" s="193"/>
      <c r="V202" s="194"/>
      <c r="W202" s="197">
        <f>E202/'LEVEL 3'!$B$8</f>
        <v>2.5533779274437181E-2</v>
      </c>
      <c r="X202" s="193"/>
      <c r="Y202" s="194"/>
      <c r="Z202" s="197">
        <f>H202/('Scenario 1 - Phase 1'!$B$8+'LEVEL 3'!$B$8)</f>
        <v>3.1566853424406474E-2</v>
      </c>
      <c r="AA202" s="1"/>
    </row>
    <row r="203" spans="1:27">
      <c r="A203" s="172" t="s">
        <v>508</v>
      </c>
      <c r="B203" s="83">
        <f>'Scenario 1 - Phase 1'!K218</f>
        <v>150000</v>
      </c>
      <c r="C203" s="1"/>
      <c r="E203" s="83">
        <f>'LEVEL 3'!K223</f>
        <v>100000</v>
      </c>
      <c r="F203" s="1"/>
      <c r="H203" s="83">
        <f t="shared" si="17"/>
        <v>250000</v>
      </c>
      <c r="I203" s="1"/>
      <c r="K203" s="83">
        <f>B203/'Scenario 1 - Phase 1'!$E$8</f>
        <v>432.27665706051874</v>
      </c>
      <c r="L203" s="1"/>
      <c r="N203" s="83">
        <f>E203/'LEVEL 3'!$E$8</f>
        <v>515.46391752577324</v>
      </c>
      <c r="O203" s="1"/>
      <c r="Q203" s="83">
        <f>H203/('Scenario 1 - Phase 1'!$E$8+'LEVEL 3'!$E$8)</f>
        <v>462.10720887245839</v>
      </c>
      <c r="R203" s="1"/>
      <c r="T203" s="197">
        <f>B203/'Scenario 1 - Phase 1'!$B$8</f>
        <v>0.48209499199722311</v>
      </c>
      <c r="U203" s="193"/>
      <c r="V203" s="194"/>
      <c r="W203" s="197">
        <f>E203/'LEVEL 3'!$B$8</f>
        <v>0.50945289853226616</v>
      </c>
      <c r="X203" s="193"/>
      <c r="Y203" s="194"/>
      <c r="Z203" s="197">
        <f>H203/('Scenario 1 - Phase 1'!$B$8+'LEVEL 3'!$B$8)</f>
        <v>0.49267782220636896</v>
      </c>
      <c r="AA203" s="1"/>
    </row>
    <row r="204" spans="1:27">
      <c r="A204" s="37" t="s">
        <v>510</v>
      </c>
      <c r="B204" s="83">
        <f>'Scenario 1 - Phase 1'!K219</f>
        <v>0</v>
      </c>
      <c r="C204" s="1"/>
      <c r="E204" s="83">
        <f>'LEVEL 3'!K224</f>
        <v>0</v>
      </c>
      <c r="F204" s="1"/>
      <c r="H204" s="83">
        <f t="shared" si="17"/>
        <v>0</v>
      </c>
      <c r="I204" s="1"/>
      <c r="K204" s="83">
        <f>B204/'Scenario 1 - Phase 1'!$E$8</f>
        <v>0</v>
      </c>
      <c r="L204" s="1"/>
      <c r="N204" s="83">
        <f>E204/'LEVEL 3'!$E$8</f>
        <v>0</v>
      </c>
      <c r="O204" s="1"/>
      <c r="Q204" s="83">
        <f>H204/('Scenario 1 - Phase 1'!$E$8+'LEVEL 3'!$E$8)</f>
        <v>0</v>
      </c>
      <c r="R204" s="1"/>
      <c r="T204" s="197">
        <f>B204/'Scenario 1 - Phase 1'!$B$8</f>
        <v>0</v>
      </c>
      <c r="U204" s="193"/>
      <c r="V204" s="194"/>
      <c r="W204" s="197">
        <f>E204/'LEVEL 3'!$B$8</f>
        <v>0</v>
      </c>
      <c r="X204" s="193"/>
      <c r="Y204" s="194"/>
      <c r="Z204" s="197">
        <f>H204/('Scenario 1 - Phase 1'!$B$8+'LEVEL 3'!$B$8)</f>
        <v>0</v>
      </c>
      <c r="AA204" s="1"/>
    </row>
    <row r="205" spans="1:27">
      <c r="A205" s="37" t="s">
        <v>512</v>
      </c>
      <c r="B205" s="83">
        <f>'Scenario 1 - Phase 1'!K220</f>
        <v>30302.999999999996</v>
      </c>
      <c r="C205" s="1"/>
      <c r="E205" s="83">
        <f>'LEVEL 3'!K225</f>
        <v>12250</v>
      </c>
      <c r="F205" s="1"/>
      <c r="H205" s="83">
        <f t="shared" si="17"/>
        <v>42553</v>
      </c>
      <c r="I205" s="1"/>
      <c r="K205" s="83">
        <f>B205/'Scenario 1 - Phase 1'!$E$8</f>
        <v>87.328530259365991</v>
      </c>
      <c r="L205" s="1"/>
      <c r="N205" s="83">
        <f>E205/'LEVEL 3'!$E$8</f>
        <v>63.144329896907216</v>
      </c>
      <c r="O205" s="1"/>
      <c r="Q205" s="83">
        <f>H205/('Scenario 1 - Phase 1'!$E$8+'LEVEL 3'!$E$8)</f>
        <v>78.656192236598898</v>
      </c>
      <c r="R205" s="1"/>
      <c r="T205" s="197">
        <f>B205/'Scenario 1 - Phase 1'!$B$8</f>
        <v>9.7392830283279011E-2</v>
      </c>
      <c r="U205" s="193"/>
      <c r="V205" s="194"/>
      <c r="W205" s="197">
        <f>E205/'LEVEL 3'!$B$8</f>
        <v>6.2407980070202609E-2</v>
      </c>
      <c r="X205" s="193"/>
      <c r="Y205" s="194"/>
      <c r="Z205" s="197">
        <f>H205/('Scenario 1 - Phase 1'!$B$8+'LEVEL 3'!$B$8)</f>
        <v>8.3859677473390473E-2</v>
      </c>
      <c r="AA205" s="1"/>
    </row>
    <row r="206" spans="1:27">
      <c r="A206" s="33" t="s">
        <v>514</v>
      </c>
      <c r="B206" s="82"/>
      <c r="C206" s="102">
        <f>SUM(B207:B242)</f>
        <v>5554669.1399999997</v>
      </c>
      <c r="E206" s="82"/>
      <c r="F206" s="102">
        <f>SUM(E207:E242)</f>
        <v>2005246.9073471352</v>
      </c>
      <c r="H206" s="82"/>
      <c r="I206" s="102">
        <f>SUM(H207:H242)</f>
        <v>7559916.0473471358</v>
      </c>
      <c r="K206" s="82"/>
      <c r="L206" s="102">
        <f>SUM(K207:K242)</f>
        <v>16007.692046109509</v>
      </c>
      <c r="N206" s="82"/>
      <c r="O206" s="102">
        <f>SUM(N207:N242)</f>
        <v>10336.324264675954</v>
      </c>
      <c r="Q206" s="82"/>
      <c r="R206" s="102">
        <f>SUM(Q207:Q242)</f>
        <v>13973.966815798771</v>
      </c>
      <c r="T206" s="82"/>
      <c r="U206" s="201">
        <f>C206/'Scenario 1 - Phase 1'!$B$8</f>
        <v>17.852521163970149</v>
      </c>
      <c r="V206" s="199"/>
      <c r="W206" s="203"/>
      <c r="X206" s="201">
        <f>F206/'LEVEL 3'!$B$8</f>
        <v>10.215788492208606</v>
      </c>
      <c r="Y206" s="199"/>
      <c r="Z206" s="203"/>
      <c r="AA206" s="201">
        <f>I206/('Scenario 1 - Phase 1'!$B$8+'LEVEL 3'!$B$8)</f>
        <v>14.898411897079871</v>
      </c>
    </row>
    <row r="207" spans="1:27">
      <c r="A207" s="35" t="s">
        <v>516</v>
      </c>
      <c r="B207" s="71">
        <f>'Scenario 1 - Phase 1'!K222</f>
        <v>5000</v>
      </c>
      <c r="C207" s="1"/>
      <c r="E207" s="71">
        <f>'LEVEL 3'!K227</f>
        <v>5000</v>
      </c>
      <c r="F207" s="1"/>
      <c r="H207" s="71">
        <f t="shared" ref="H207:H242" si="18">B207+E207</f>
        <v>10000</v>
      </c>
      <c r="I207" s="1"/>
      <c r="K207" s="71">
        <f>B207/'Scenario 1 - Phase 1'!$E$8</f>
        <v>14.409221902017292</v>
      </c>
      <c r="L207" s="1"/>
      <c r="N207" s="71">
        <f>E207/'LEVEL 3'!$E$8</f>
        <v>25.773195876288661</v>
      </c>
      <c r="O207" s="1"/>
      <c r="Q207" s="71">
        <f>H207/('Scenario 1 - Phase 1'!$E$8+'LEVEL 3'!$E$8)</f>
        <v>18.484288354898336</v>
      </c>
      <c r="R207" s="1"/>
      <c r="T207" s="195">
        <f>B207/'Scenario 1 - Phase 1'!$B$8</f>
        <v>1.6069833066574106E-2</v>
      </c>
      <c r="U207" s="193"/>
      <c r="V207" s="194"/>
      <c r="W207" s="195">
        <f>E207/'LEVEL 3'!$B$8</f>
        <v>2.547264492661331E-2</v>
      </c>
      <c r="X207" s="193"/>
      <c r="Y207" s="194"/>
      <c r="Z207" s="195">
        <f>H207/('Scenario 1 - Phase 1'!$B$8+'LEVEL 3'!$B$8)</f>
        <v>1.9707112888254757E-2</v>
      </c>
      <c r="AA207" s="1"/>
    </row>
    <row r="208" spans="1:27">
      <c r="A208" s="37" t="s">
        <v>518</v>
      </c>
      <c r="B208" s="83">
        <f>'Scenario 1 - Phase 1'!K223</f>
        <v>7500</v>
      </c>
      <c r="C208" s="1"/>
      <c r="E208" s="83">
        <f>'LEVEL 3'!K228</f>
        <v>2500</v>
      </c>
      <c r="F208" s="1"/>
      <c r="H208" s="83">
        <f t="shared" si="18"/>
        <v>10000</v>
      </c>
      <c r="I208" s="1"/>
      <c r="K208" s="83">
        <f>B208/'Scenario 1 - Phase 1'!$E$8</f>
        <v>21.613832853025936</v>
      </c>
      <c r="L208" s="1"/>
      <c r="N208" s="83">
        <f>E208/'LEVEL 3'!$E$8</f>
        <v>12.88659793814433</v>
      </c>
      <c r="O208" s="1"/>
      <c r="Q208" s="83">
        <f>H208/('Scenario 1 - Phase 1'!$E$8+'LEVEL 3'!$E$8)</f>
        <v>18.484288354898336</v>
      </c>
      <c r="R208" s="1"/>
      <c r="T208" s="197">
        <f>B208/'Scenario 1 - Phase 1'!$B$8</f>
        <v>2.4104749599861156E-2</v>
      </c>
      <c r="U208" s="193"/>
      <c r="V208" s="194"/>
      <c r="W208" s="197">
        <f>E208/'LEVEL 3'!$B$8</f>
        <v>1.2736322463306655E-2</v>
      </c>
      <c r="X208" s="193"/>
      <c r="Y208" s="194"/>
      <c r="Z208" s="197">
        <f>H208/('Scenario 1 - Phase 1'!$B$8+'LEVEL 3'!$B$8)</f>
        <v>1.9707112888254757E-2</v>
      </c>
      <c r="AA208" s="1"/>
    </row>
    <row r="209" spans="1:27">
      <c r="A209" s="37" t="s">
        <v>520</v>
      </c>
      <c r="B209" s="83">
        <f>'Scenario 1 - Phase 1'!K224</f>
        <v>15000</v>
      </c>
      <c r="C209" s="1"/>
      <c r="E209" s="83">
        <f>'LEVEL 3'!K229</f>
        <v>20000</v>
      </c>
      <c r="F209" s="1"/>
      <c r="H209" s="83">
        <f t="shared" si="18"/>
        <v>35000</v>
      </c>
      <c r="I209" s="1"/>
      <c r="K209" s="83">
        <f>B209/'Scenario 1 - Phase 1'!$E$8</f>
        <v>43.227665706051873</v>
      </c>
      <c r="L209" s="1"/>
      <c r="N209" s="83">
        <f>E209/'LEVEL 3'!$E$8</f>
        <v>103.09278350515464</v>
      </c>
      <c r="O209" s="1"/>
      <c r="Q209" s="83">
        <f>H209/('Scenario 1 - Phase 1'!$E$8+'LEVEL 3'!$E$8)</f>
        <v>64.695009242144181</v>
      </c>
      <c r="R209" s="1"/>
      <c r="T209" s="197">
        <f>B209/'Scenario 1 - Phase 1'!$B$8</f>
        <v>4.8209499199722311E-2</v>
      </c>
      <c r="U209" s="193"/>
      <c r="V209" s="194"/>
      <c r="W209" s="197">
        <f>E209/'LEVEL 3'!$B$8</f>
        <v>0.10189057970645324</v>
      </c>
      <c r="X209" s="193"/>
      <c r="Y209" s="194"/>
      <c r="Z209" s="197">
        <f>H209/('Scenario 1 - Phase 1'!$B$8+'LEVEL 3'!$B$8)</f>
        <v>6.8974895108891654E-2</v>
      </c>
      <c r="AA209" s="1"/>
    </row>
    <row r="210" spans="1:27">
      <c r="A210" s="172" t="s">
        <v>522</v>
      </c>
      <c r="B210" s="83">
        <f>'Scenario 1 - Phase 1'!K225</f>
        <v>562190.93999999994</v>
      </c>
      <c r="C210" s="1"/>
      <c r="E210" s="83">
        <f>'LEVEL 3'!K230</f>
        <v>225069</v>
      </c>
      <c r="F210" s="1"/>
      <c r="H210" s="83">
        <f t="shared" si="18"/>
        <v>787259.94</v>
      </c>
      <c r="I210" s="1"/>
      <c r="K210" s="83">
        <f>B210/'Scenario 1 - Phase 1'!$E$8</f>
        <v>1620.1468011527377</v>
      </c>
      <c r="L210" s="1"/>
      <c r="N210" s="83">
        <f>E210/'LEVEL 3'!$E$8</f>
        <v>1160.1494845360826</v>
      </c>
      <c r="O210" s="1"/>
      <c r="Q210" s="83">
        <f>H210/('Scenario 1 - Phase 1'!$E$8+'LEVEL 3'!$E$8)</f>
        <v>1455.1939741219962</v>
      </c>
      <c r="R210" s="1"/>
      <c r="T210" s="197">
        <f>B210/'Scenario 1 - Phase 1'!$B$8</f>
        <v>1.8068629114680754</v>
      </c>
      <c r="U210" s="193"/>
      <c r="V210" s="194"/>
      <c r="W210" s="197">
        <f>E210/'LEVEL 3'!$B$8</f>
        <v>1.1466205441975863</v>
      </c>
      <c r="X210" s="193"/>
      <c r="Y210" s="194"/>
      <c r="Z210" s="197">
        <f>H210/('Scenario 1 - Phase 1'!$B$8+'LEVEL 3'!$B$8)</f>
        <v>1.5514620509980666</v>
      </c>
      <c r="AA210" s="1"/>
    </row>
    <row r="211" spans="1:27">
      <c r="A211" s="37" t="s">
        <v>73</v>
      </c>
      <c r="B211" s="83">
        <f>'Scenario 1 - Phase 1'!K226</f>
        <v>30450</v>
      </c>
      <c r="C211" s="1"/>
      <c r="E211" s="83">
        <f>'LEVEL 3'!K231</f>
        <v>15121.6</v>
      </c>
      <c r="F211" s="1"/>
      <c r="H211" s="83">
        <f t="shared" si="18"/>
        <v>45571.6</v>
      </c>
      <c r="I211" s="1"/>
      <c r="K211" s="83">
        <f>B211/'Scenario 1 - Phase 1'!$E$8</f>
        <v>87.752161383285298</v>
      </c>
      <c r="L211" s="1"/>
      <c r="N211" s="83">
        <f>E211/'LEVEL 3'!$E$8</f>
        <v>77.946391752577327</v>
      </c>
      <c r="O211" s="1"/>
      <c r="Q211" s="83">
        <f>H211/('Scenario 1 - Phase 1'!$E$8+'LEVEL 3'!$E$8)</f>
        <v>84.235859519408507</v>
      </c>
      <c r="R211" s="1"/>
      <c r="T211" s="197">
        <f>B211/'Scenario 1 - Phase 1'!$B$8</f>
        <v>9.7865283375436291E-2</v>
      </c>
      <c r="U211" s="193"/>
      <c r="V211" s="194"/>
      <c r="W211" s="197">
        <f>E211/'LEVEL 3'!$B$8</f>
        <v>7.7037429504455163E-2</v>
      </c>
      <c r="X211" s="193"/>
      <c r="Y211" s="194"/>
      <c r="Z211" s="197">
        <f>H211/('Scenario 1 - Phase 1'!$B$8+'LEVEL 3'!$B$8)</f>
        <v>8.9808466569839054E-2</v>
      </c>
      <c r="AA211" s="1"/>
    </row>
    <row r="212" spans="1:27">
      <c r="A212" s="172" t="s">
        <v>47</v>
      </c>
      <c r="B212" s="83">
        <f>'Scenario 1 - Phase 1'!K227</f>
        <v>0</v>
      </c>
      <c r="C212" s="1"/>
      <c r="E212" s="83">
        <f>'LEVEL 3'!K232</f>
        <v>2975</v>
      </c>
      <c r="F212" s="1"/>
      <c r="H212" s="83">
        <f t="shared" si="18"/>
        <v>2975</v>
      </c>
      <c r="I212" s="1"/>
      <c r="K212" s="83">
        <f>B212/'Scenario 1 - Phase 1'!$E$8</f>
        <v>0</v>
      </c>
      <c r="L212" s="1"/>
      <c r="N212" s="83">
        <f>E212/'LEVEL 3'!$E$8</f>
        <v>15.335051546391753</v>
      </c>
      <c r="O212" s="1"/>
      <c r="Q212" s="83">
        <f>H212/('Scenario 1 - Phase 1'!$E$8+'LEVEL 3'!$E$8)</f>
        <v>5.4990757855822547</v>
      </c>
      <c r="R212" s="1"/>
      <c r="T212" s="197">
        <f>B212/'Scenario 1 - Phase 1'!$B$8</f>
        <v>0</v>
      </c>
      <c r="U212" s="193"/>
      <c r="V212" s="194"/>
      <c r="W212" s="197">
        <f>E212/'LEVEL 3'!$B$8</f>
        <v>1.515622373133492E-2</v>
      </c>
      <c r="X212" s="193"/>
      <c r="Y212" s="194"/>
      <c r="Z212" s="197">
        <f>H212/('Scenario 1 - Phase 1'!$B$8+'LEVEL 3'!$B$8)</f>
        <v>5.8628660842557903E-3</v>
      </c>
      <c r="AA212" s="1"/>
    </row>
    <row r="213" spans="1:27">
      <c r="A213" s="37" t="s">
        <v>526</v>
      </c>
      <c r="B213" s="83">
        <f>'Scenario 1 - Phase 1'!K228</f>
        <v>117000</v>
      </c>
      <c r="C213" s="1"/>
      <c r="E213" s="83">
        <f>'LEVEL 3'!K233</f>
        <v>38250</v>
      </c>
      <c r="F213" s="1"/>
      <c r="H213" s="83">
        <f t="shared" si="18"/>
        <v>155250</v>
      </c>
      <c r="I213" s="1"/>
      <c r="K213" s="83">
        <f>B213/'Scenario 1 - Phase 1'!$E$8</f>
        <v>337.17579250720462</v>
      </c>
      <c r="L213" s="1"/>
      <c r="N213" s="83">
        <f>E213/'LEVEL 3'!$E$8</f>
        <v>197.16494845360825</v>
      </c>
      <c r="O213" s="1"/>
      <c r="Q213" s="83">
        <f>H213/('Scenario 1 - Phase 1'!$E$8+'LEVEL 3'!$E$8)</f>
        <v>286.96857670979665</v>
      </c>
      <c r="R213" s="1"/>
      <c r="T213" s="197">
        <f>B213/'Scenario 1 - Phase 1'!$B$8</f>
        <v>0.37603409375783403</v>
      </c>
      <c r="U213" s="193"/>
      <c r="V213" s="194"/>
      <c r="W213" s="197">
        <f>E213/'LEVEL 3'!$B$8</f>
        <v>0.19486573368859181</v>
      </c>
      <c r="X213" s="193"/>
      <c r="Y213" s="194"/>
      <c r="Z213" s="197">
        <f>H213/('Scenario 1 - Phase 1'!$B$8+'LEVEL 3'!$B$8)</f>
        <v>0.30595292759015513</v>
      </c>
      <c r="AA213" s="1"/>
    </row>
    <row r="214" spans="1:27">
      <c r="A214" s="172" t="s">
        <v>528</v>
      </c>
      <c r="B214" s="83">
        <f>'Scenario 1 - Phase 1'!K229</f>
        <v>85168</v>
      </c>
      <c r="C214" s="1"/>
      <c r="E214" s="83">
        <f>'LEVEL 3'!K234</f>
        <v>66295</v>
      </c>
      <c r="F214" s="1"/>
      <c r="H214" s="83">
        <f t="shared" si="18"/>
        <v>151463</v>
      </c>
      <c r="I214" s="1"/>
      <c r="K214" s="83">
        <f>B214/'Scenario 1 - Phase 1'!$E$8</f>
        <v>245.44092219020172</v>
      </c>
      <c r="L214" s="1"/>
      <c r="N214" s="83">
        <f>E214/'LEVEL 3'!$E$8</f>
        <v>341.72680412371136</v>
      </c>
      <c r="O214" s="1"/>
      <c r="Q214" s="83">
        <f>H214/('Scenario 1 - Phase 1'!$E$8+'LEVEL 3'!$E$8)</f>
        <v>279.96857670979665</v>
      </c>
      <c r="R214" s="1"/>
      <c r="T214" s="197">
        <f>B214/'Scenario 1 - Phase 1'!$B$8</f>
        <v>0.27372710852279669</v>
      </c>
      <c r="U214" s="193"/>
      <c r="V214" s="194"/>
      <c r="W214" s="197">
        <f>E214/'LEVEL 3'!$B$8</f>
        <v>0.33774179908196589</v>
      </c>
      <c r="X214" s="193"/>
      <c r="Y214" s="194"/>
      <c r="Z214" s="197">
        <f>H214/('Scenario 1 - Phase 1'!$B$8+'LEVEL 3'!$B$8)</f>
        <v>0.29848984393937306</v>
      </c>
      <c r="AA214" s="1"/>
    </row>
    <row r="215" spans="1:27">
      <c r="A215" s="172" t="s">
        <v>530</v>
      </c>
      <c r="B215" s="83">
        <f>'Scenario 1 - Phase 1'!K230</f>
        <v>67440</v>
      </c>
      <c r="C215" s="1"/>
      <c r="E215" s="83">
        <f>'LEVEL 3'!K235</f>
        <v>42120</v>
      </c>
      <c r="F215" s="1"/>
      <c r="H215" s="83">
        <f t="shared" si="18"/>
        <v>109560</v>
      </c>
      <c r="I215" s="1"/>
      <c r="K215" s="83">
        <f>B215/'Scenario 1 - Phase 1'!$E$8</f>
        <v>194.35158501440921</v>
      </c>
      <c r="L215" s="1"/>
      <c r="N215" s="83">
        <f>E215/'LEVEL 3'!$E$8</f>
        <v>217.11340206185568</v>
      </c>
      <c r="O215" s="1"/>
      <c r="Q215" s="83">
        <f>H215/('Scenario 1 - Phase 1'!$E$8+'LEVEL 3'!$E$8)</f>
        <v>202.51386321626617</v>
      </c>
      <c r="R215" s="1"/>
      <c r="T215" s="197">
        <f>B215/'Scenario 1 - Phase 1'!$B$8</f>
        <v>0.21674990840195152</v>
      </c>
      <c r="U215" s="193"/>
      <c r="V215" s="194"/>
      <c r="W215" s="197">
        <f>E215/'LEVEL 3'!$B$8</f>
        <v>0.21458156086179053</v>
      </c>
      <c r="X215" s="193"/>
      <c r="Y215" s="194"/>
      <c r="Z215" s="197">
        <f>H215/('Scenario 1 - Phase 1'!$B$8+'LEVEL 3'!$B$8)</f>
        <v>0.21591112880371913</v>
      </c>
      <c r="AA215" s="1"/>
    </row>
    <row r="216" spans="1:27">
      <c r="A216" s="172" t="s">
        <v>532</v>
      </c>
      <c r="B216" s="83">
        <f>'Scenario 1 - Phase 1'!K231</f>
        <v>215140</v>
      </c>
      <c r="C216" s="1"/>
      <c r="E216" s="83">
        <f>'LEVEL 3'!K236</f>
        <v>89086</v>
      </c>
      <c r="F216" s="1"/>
      <c r="H216" s="83">
        <f t="shared" si="18"/>
        <v>304226</v>
      </c>
      <c r="I216" s="1"/>
      <c r="K216" s="83">
        <f>B216/'Scenario 1 - Phase 1'!$E$8</f>
        <v>620</v>
      </c>
      <c r="L216" s="1"/>
      <c r="N216" s="83">
        <f>E216/'LEVEL 3'!$E$8</f>
        <v>459.20618556701032</v>
      </c>
      <c r="O216" s="1"/>
      <c r="Q216" s="83">
        <f>H216/('Scenario 1 - Phase 1'!$E$8+'LEVEL 3'!$E$8)</f>
        <v>562.34011090573017</v>
      </c>
      <c r="R216" s="1"/>
      <c r="T216" s="197">
        <f>B216/'Scenario 1 - Phase 1'!$B$8</f>
        <v>0.69145277718855058</v>
      </c>
      <c r="U216" s="193"/>
      <c r="V216" s="194"/>
      <c r="W216" s="197">
        <f>E216/'LEVEL 3'!$B$8</f>
        <v>0.45385120918645466</v>
      </c>
      <c r="X216" s="193"/>
      <c r="Y216" s="194"/>
      <c r="Z216" s="197">
        <f>H216/('Scenario 1 - Phase 1'!$B$8+'LEVEL 3'!$B$8)</f>
        <v>0.59954161255421923</v>
      </c>
      <c r="AA216" s="1"/>
    </row>
    <row r="217" spans="1:27">
      <c r="A217" s="37" t="s">
        <v>534</v>
      </c>
      <c r="B217" s="83">
        <f>'Scenario 1 - Phase 1'!K232</f>
        <v>0</v>
      </c>
      <c r="C217" s="1"/>
      <c r="E217" s="83">
        <f>'LEVEL 3'!K237</f>
        <v>0</v>
      </c>
      <c r="F217" s="1"/>
      <c r="H217" s="83">
        <f t="shared" si="18"/>
        <v>0</v>
      </c>
      <c r="I217" s="1"/>
      <c r="K217" s="83">
        <f>B217/'Scenario 1 - Phase 1'!$E$8</f>
        <v>0</v>
      </c>
      <c r="L217" s="1"/>
      <c r="N217" s="83">
        <f>E217/'LEVEL 3'!$E$8</f>
        <v>0</v>
      </c>
      <c r="O217" s="1"/>
      <c r="Q217" s="83">
        <f>H217/('Scenario 1 - Phase 1'!$E$8+'LEVEL 3'!$E$8)</f>
        <v>0</v>
      </c>
      <c r="R217" s="1"/>
      <c r="T217" s="197">
        <f>B217/'Scenario 1 - Phase 1'!$B$8</f>
        <v>0</v>
      </c>
      <c r="U217" s="193"/>
      <c r="V217" s="194"/>
      <c r="W217" s="197">
        <f>E217/'LEVEL 3'!$B$8</f>
        <v>0</v>
      </c>
      <c r="X217" s="193"/>
      <c r="Y217" s="194"/>
      <c r="Z217" s="197">
        <f>H217/('Scenario 1 - Phase 1'!$B$8+'LEVEL 3'!$B$8)</f>
        <v>0</v>
      </c>
      <c r="AA217" s="1"/>
    </row>
    <row r="218" spans="1:27">
      <c r="A218" s="37" t="s">
        <v>536</v>
      </c>
      <c r="B218" s="83">
        <f>'Scenario 1 - Phase 1'!K233</f>
        <v>19320</v>
      </c>
      <c r="C218" s="1"/>
      <c r="E218" s="83">
        <f>'LEVEL 3'!K238</f>
        <v>10000</v>
      </c>
      <c r="F218" s="1"/>
      <c r="H218" s="83">
        <f t="shared" si="18"/>
        <v>29320</v>
      </c>
      <c r="I218" s="1"/>
      <c r="K218" s="83">
        <f>B218/'Scenario 1 - Phase 1'!$E$8</f>
        <v>55.677233429394811</v>
      </c>
      <c r="L218" s="1"/>
      <c r="N218" s="83">
        <f>E218/'LEVEL 3'!$E$8</f>
        <v>51.546391752577321</v>
      </c>
      <c r="O218" s="1"/>
      <c r="Q218" s="83">
        <f>H218/('Scenario 1 - Phase 1'!$E$8+'LEVEL 3'!$E$8)</f>
        <v>54.195933456561924</v>
      </c>
      <c r="R218" s="1"/>
      <c r="T218" s="197">
        <f>B218/'Scenario 1 - Phase 1'!$B$8</f>
        <v>6.209383496924234E-2</v>
      </c>
      <c r="U218" s="193"/>
      <c r="V218" s="194"/>
      <c r="W218" s="197">
        <f>E218/'LEVEL 3'!$B$8</f>
        <v>5.0945289853226619E-2</v>
      </c>
      <c r="X218" s="193"/>
      <c r="Y218" s="194"/>
      <c r="Z218" s="197">
        <f>H218/('Scenario 1 - Phase 1'!$B$8+'LEVEL 3'!$B$8)</f>
        <v>5.7781254988362951E-2</v>
      </c>
      <c r="AA218" s="1"/>
    </row>
    <row r="219" spans="1:27">
      <c r="A219" s="37" t="s">
        <v>538</v>
      </c>
      <c r="B219" s="83">
        <f>'Scenario 1 - Phase 1'!K234</f>
        <v>28969.199999999997</v>
      </c>
      <c r="C219" s="1"/>
      <c r="E219" s="83">
        <f>'LEVEL 3'!K239</f>
        <v>12250</v>
      </c>
      <c r="F219" s="1"/>
      <c r="H219" s="83">
        <f t="shared" si="18"/>
        <v>41219.199999999997</v>
      </c>
      <c r="I219" s="1"/>
      <c r="K219" s="83">
        <f>B219/'Scenario 1 - Phase 1'!$E$8</f>
        <v>83.484726224783856</v>
      </c>
      <c r="L219" s="1"/>
      <c r="N219" s="83">
        <f>E219/'LEVEL 3'!$E$8</f>
        <v>63.144329896907216</v>
      </c>
      <c r="O219" s="1"/>
      <c r="Q219" s="83">
        <f>H219/('Scenario 1 - Phase 1'!$E$8+'LEVEL 3'!$E$8)</f>
        <v>76.19075785582254</v>
      </c>
      <c r="R219" s="1"/>
      <c r="T219" s="197">
        <f>B219/'Scenario 1 - Phase 1'!$B$8</f>
        <v>9.3106041614439694E-2</v>
      </c>
      <c r="U219" s="193"/>
      <c r="V219" s="194"/>
      <c r="W219" s="197">
        <f>E219/'LEVEL 3'!$B$8</f>
        <v>6.2407980070202609E-2</v>
      </c>
      <c r="X219" s="193"/>
      <c r="Y219" s="194"/>
      <c r="Z219" s="197">
        <f>H219/('Scenario 1 - Phase 1'!$B$8+'LEVEL 3'!$B$8)</f>
        <v>8.123114275635504E-2</v>
      </c>
      <c r="AA219" s="1"/>
    </row>
    <row r="220" spans="1:27">
      <c r="A220" s="37" t="s">
        <v>540</v>
      </c>
      <c r="B220" s="83">
        <f>'Scenario 1 - Phase 1'!K235</f>
        <v>162550</v>
      </c>
      <c r="C220" s="1"/>
      <c r="E220" s="83">
        <f>'LEVEL 3'!K240</f>
        <v>92505</v>
      </c>
      <c r="F220" s="1"/>
      <c r="H220" s="83">
        <f t="shared" si="18"/>
        <v>255055</v>
      </c>
      <c r="I220" s="1"/>
      <c r="K220" s="83">
        <f>B220/'Scenario 1 - Phase 1'!$E$8</f>
        <v>468.44380403458212</v>
      </c>
      <c r="L220" s="1"/>
      <c r="N220" s="83">
        <f>E220/'LEVEL 3'!$E$8</f>
        <v>476.82989690721649</v>
      </c>
      <c r="O220" s="1"/>
      <c r="Q220" s="83">
        <f>H220/('Scenario 1 - Phase 1'!$E$8+'LEVEL 3'!$E$8)</f>
        <v>471.4510166358595</v>
      </c>
      <c r="R220" s="1"/>
      <c r="T220" s="197">
        <f>B220/'Scenario 1 - Phase 1'!$B$8</f>
        <v>0.5224302729943241</v>
      </c>
      <c r="U220" s="193"/>
      <c r="V220" s="194"/>
      <c r="W220" s="197">
        <f>E220/'LEVEL 3'!$B$8</f>
        <v>0.47126940378727283</v>
      </c>
      <c r="X220" s="193"/>
      <c r="Y220" s="194"/>
      <c r="Z220" s="197">
        <f>H220/('Scenario 1 - Phase 1'!$B$8+'LEVEL 3'!$B$8)</f>
        <v>0.50263976777138175</v>
      </c>
      <c r="AA220" s="1"/>
    </row>
    <row r="221" spans="1:27">
      <c r="A221" s="37" t="s">
        <v>543</v>
      </c>
      <c r="B221" s="83">
        <f>'Scenario 1 - Phase 1'!K236</f>
        <v>24850</v>
      </c>
      <c r="C221" s="1"/>
      <c r="E221" s="83">
        <f>'LEVEL 3'!K241</f>
        <v>9940</v>
      </c>
      <c r="F221" s="1"/>
      <c r="H221" s="83">
        <f t="shared" si="18"/>
        <v>34790</v>
      </c>
      <c r="I221" s="1"/>
      <c r="K221" s="83">
        <f>B221/'Scenario 1 - Phase 1'!$E$8</f>
        <v>71.61383285302594</v>
      </c>
      <c r="L221" s="1"/>
      <c r="N221" s="83">
        <f>E221/'LEVEL 3'!$E$8</f>
        <v>51.237113402061858</v>
      </c>
      <c r="O221" s="1"/>
      <c r="Q221" s="83">
        <f>H221/('Scenario 1 - Phase 1'!$E$8+'LEVEL 3'!$E$8)</f>
        <v>64.306839186691306</v>
      </c>
      <c r="R221" s="1"/>
      <c r="T221" s="197">
        <f>B221/'Scenario 1 - Phase 1'!$B$8</f>
        <v>7.98670703408733E-2</v>
      </c>
      <c r="U221" s="193"/>
      <c r="V221" s="194"/>
      <c r="W221" s="197">
        <f>E221/'LEVEL 3'!$B$8</f>
        <v>5.0639618114107263E-2</v>
      </c>
      <c r="X221" s="193"/>
      <c r="Y221" s="194"/>
      <c r="Z221" s="197">
        <f>H221/('Scenario 1 - Phase 1'!$B$8+'LEVEL 3'!$B$8)</f>
        <v>6.8561045738238305E-2</v>
      </c>
      <c r="AA221" s="1"/>
    </row>
    <row r="222" spans="1:27">
      <c r="A222" s="37" t="s">
        <v>545</v>
      </c>
      <c r="B222" s="83">
        <f>'Scenario 1 - Phase 1'!K237</f>
        <v>15000</v>
      </c>
      <c r="C222" s="1"/>
      <c r="E222" s="83">
        <f>'LEVEL 3'!K242</f>
        <v>10000</v>
      </c>
      <c r="F222" s="1"/>
      <c r="H222" s="83">
        <f t="shared" si="18"/>
        <v>25000</v>
      </c>
      <c r="I222" s="1"/>
      <c r="K222" s="83">
        <f>B222/'Scenario 1 - Phase 1'!$E$8</f>
        <v>43.227665706051873</v>
      </c>
      <c r="L222" s="1"/>
      <c r="N222" s="83">
        <f>E222/'LEVEL 3'!$E$8</f>
        <v>51.546391752577321</v>
      </c>
      <c r="O222" s="1"/>
      <c r="Q222" s="83">
        <f>H222/('Scenario 1 - Phase 1'!$E$8+'LEVEL 3'!$E$8)</f>
        <v>46.210720887245841</v>
      </c>
      <c r="R222" s="1"/>
      <c r="T222" s="197">
        <f>B222/'Scenario 1 - Phase 1'!$B$8</f>
        <v>4.8209499199722311E-2</v>
      </c>
      <c r="U222" s="193"/>
      <c r="V222" s="194"/>
      <c r="W222" s="197">
        <f>E222/'LEVEL 3'!$B$8</f>
        <v>5.0945289853226619E-2</v>
      </c>
      <c r="X222" s="193"/>
      <c r="Y222" s="194"/>
      <c r="Z222" s="197">
        <f>H222/('Scenario 1 - Phase 1'!$B$8+'LEVEL 3'!$B$8)</f>
        <v>4.9267782220636894E-2</v>
      </c>
      <c r="AA222" s="1"/>
    </row>
    <row r="223" spans="1:27">
      <c r="A223" s="37" t="s">
        <v>547</v>
      </c>
      <c r="B223" s="83">
        <f>'Scenario 1 - Phase 1'!K238</f>
        <v>35700</v>
      </c>
      <c r="C223" s="1"/>
      <c r="E223" s="83">
        <f>'LEVEL 3'!K243</f>
        <v>10500</v>
      </c>
      <c r="F223" s="1"/>
      <c r="H223" s="83">
        <f t="shared" si="18"/>
        <v>46200</v>
      </c>
      <c r="I223" s="1"/>
      <c r="K223" s="83">
        <f>B223/'Scenario 1 - Phase 1'!$E$8</f>
        <v>102.88184438040346</v>
      </c>
      <c r="L223" s="1"/>
      <c r="N223" s="83">
        <f>E223/'LEVEL 3'!$E$8</f>
        <v>54.123711340206185</v>
      </c>
      <c r="O223" s="1"/>
      <c r="Q223" s="83">
        <f>H223/('Scenario 1 - Phase 1'!$E$8+'LEVEL 3'!$E$8)</f>
        <v>85.39741219963031</v>
      </c>
      <c r="R223" s="1"/>
      <c r="T223" s="197">
        <f>B223/'Scenario 1 - Phase 1'!$B$8</f>
        <v>0.1147386080953391</v>
      </c>
      <c r="U223" s="193"/>
      <c r="V223" s="194"/>
      <c r="W223" s="197">
        <f>E223/'LEVEL 3'!$B$8</f>
        <v>5.3492554345887948E-2</v>
      </c>
      <c r="X223" s="193"/>
      <c r="Y223" s="194"/>
      <c r="Z223" s="197">
        <f>H223/('Scenario 1 - Phase 1'!$B$8+'LEVEL 3'!$B$8)</f>
        <v>9.1046861543736979E-2</v>
      </c>
      <c r="AA223" s="1"/>
    </row>
    <row r="224" spans="1:27">
      <c r="A224" s="37" t="s">
        <v>70</v>
      </c>
      <c r="B224" s="83">
        <f>'Scenario 1 - Phase 1'!K239</f>
        <v>38100</v>
      </c>
      <c r="C224" s="1"/>
      <c r="E224" s="83">
        <f>'LEVEL 3'!K244</f>
        <v>21000</v>
      </c>
      <c r="F224" s="1"/>
      <c r="H224" s="83">
        <f t="shared" si="18"/>
        <v>59100</v>
      </c>
      <c r="I224" s="1"/>
      <c r="K224" s="83">
        <f>B224/'Scenario 1 - Phase 1'!$E$8</f>
        <v>109.79827089337176</v>
      </c>
      <c r="L224" s="1"/>
      <c r="N224" s="83">
        <f>E224/'LEVEL 3'!$E$8</f>
        <v>108.24742268041237</v>
      </c>
      <c r="O224" s="1"/>
      <c r="Q224" s="83">
        <f>H224/('Scenario 1 - Phase 1'!$E$8+'LEVEL 3'!$E$8)</f>
        <v>109.24214417744916</v>
      </c>
      <c r="R224" s="1"/>
      <c r="T224" s="197">
        <f>B224/'Scenario 1 - Phase 1'!$B$8</f>
        <v>0.12245212796729467</v>
      </c>
      <c r="U224" s="193"/>
      <c r="V224" s="194"/>
      <c r="W224" s="197">
        <f>E224/'LEVEL 3'!$B$8</f>
        <v>0.1069851086917759</v>
      </c>
      <c r="X224" s="193"/>
      <c r="Y224" s="194"/>
      <c r="Z224" s="197">
        <f>H224/('Scenario 1 - Phase 1'!$B$8+'LEVEL 3'!$B$8)</f>
        <v>0.11646903716958562</v>
      </c>
      <c r="AA224" s="1"/>
    </row>
    <row r="225" spans="1:27">
      <c r="A225" s="37" t="s">
        <v>553</v>
      </c>
      <c r="B225" s="83">
        <f>'Scenario 1 - Phase 1'!K240</f>
        <v>7800</v>
      </c>
      <c r="C225" s="1"/>
      <c r="E225" s="83">
        <f>'LEVEL 3'!K245</f>
        <v>3900</v>
      </c>
      <c r="F225" s="1"/>
      <c r="H225" s="83">
        <f t="shared" si="18"/>
        <v>11700</v>
      </c>
      <c r="I225" s="1"/>
      <c r="K225" s="83">
        <f>B225/'Scenario 1 - Phase 1'!$E$8</f>
        <v>22.478386167146976</v>
      </c>
      <c r="L225" s="1"/>
      <c r="N225" s="83">
        <f>E225/'LEVEL 3'!$E$8</f>
        <v>20.103092783505154</v>
      </c>
      <c r="O225" s="1"/>
      <c r="Q225" s="83">
        <f>H225/('Scenario 1 - Phase 1'!$E$8+'LEVEL 3'!$E$8)</f>
        <v>21.626617375231053</v>
      </c>
      <c r="R225" s="1"/>
      <c r="T225" s="197">
        <f>B225/'Scenario 1 - Phase 1'!$B$8</f>
        <v>2.5068939583855605E-2</v>
      </c>
      <c r="U225" s="193"/>
      <c r="V225" s="194"/>
      <c r="W225" s="197">
        <f>E225/'LEVEL 3'!$B$8</f>
        <v>1.9868663042758382E-2</v>
      </c>
      <c r="X225" s="193"/>
      <c r="Y225" s="194"/>
      <c r="Z225" s="197">
        <f>H225/('Scenario 1 - Phase 1'!$B$8+'LEVEL 3'!$B$8)</f>
        <v>2.3057322079258067E-2</v>
      </c>
      <c r="AA225" s="1"/>
    </row>
    <row r="226" spans="1:27">
      <c r="A226" s="37" t="s">
        <v>554</v>
      </c>
      <c r="B226" s="83">
        <f>'Scenario 1 - Phase 1'!K241</f>
        <v>0</v>
      </c>
      <c r="C226" s="1"/>
      <c r="E226" s="83">
        <f>'LEVEL 3'!K246</f>
        <v>6000</v>
      </c>
      <c r="F226" s="1"/>
      <c r="H226" s="83">
        <f t="shared" si="18"/>
        <v>6000</v>
      </c>
      <c r="I226" s="1"/>
      <c r="K226" s="83">
        <f>B226/'Scenario 1 - Phase 1'!$E$8</f>
        <v>0</v>
      </c>
      <c r="L226" s="1"/>
      <c r="N226" s="83">
        <f>E226/'LEVEL 3'!$E$8</f>
        <v>30.927835051546392</v>
      </c>
      <c r="O226" s="1"/>
      <c r="Q226" s="83">
        <f>H226/('Scenario 1 - Phase 1'!$E$8+'LEVEL 3'!$E$8)</f>
        <v>11.090573012939002</v>
      </c>
      <c r="R226" s="1"/>
      <c r="T226" s="197">
        <f>B226/'Scenario 1 - Phase 1'!$B$8</f>
        <v>0</v>
      </c>
      <c r="U226" s="193"/>
      <c r="V226" s="194"/>
      <c r="W226" s="197">
        <f>E226/'LEVEL 3'!$B$8</f>
        <v>3.0567173911935971E-2</v>
      </c>
      <c r="X226" s="193"/>
      <c r="Y226" s="194"/>
      <c r="Z226" s="197">
        <f>H226/('Scenario 1 - Phase 1'!$B$8+'LEVEL 3'!$B$8)</f>
        <v>1.1824267732952854E-2</v>
      </c>
      <c r="AA226" s="1"/>
    </row>
    <row r="227" spans="1:27">
      <c r="A227" s="37" t="s">
        <v>556</v>
      </c>
      <c r="B227" s="83">
        <f>'Scenario 1 - Phase 1'!K242</f>
        <v>0</v>
      </c>
      <c r="C227" s="1"/>
      <c r="E227" s="83">
        <f>'LEVEL 3'!K247</f>
        <v>0</v>
      </c>
      <c r="F227" s="1"/>
      <c r="H227" s="83">
        <f t="shared" si="18"/>
        <v>0</v>
      </c>
      <c r="I227" s="1"/>
      <c r="K227" s="83">
        <f>B227/'Scenario 1 - Phase 1'!$E$8</f>
        <v>0</v>
      </c>
      <c r="L227" s="1"/>
      <c r="N227" s="83">
        <f>E227/'LEVEL 3'!$E$8</f>
        <v>0</v>
      </c>
      <c r="O227" s="1"/>
      <c r="Q227" s="83">
        <f>H227/('Scenario 1 - Phase 1'!$E$8+'LEVEL 3'!$E$8)</f>
        <v>0</v>
      </c>
      <c r="R227" s="1"/>
      <c r="T227" s="197">
        <f>B227/'Scenario 1 - Phase 1'!$B$8</f>
        <v>0</v>
      </c>
      <c r="U227" s="193"/>
      <c r="V227" s="194"/>
      <c r="W227" s="197">
        <f>E227/'LEVEL 3'!$B$8</f>
        <v>0</v>
      </c>
      <c r="X227" s="193"/>
      <c r="Y227" s="194"/>
      <c r="Z227" s="197">
        <f>H227/('Scenario 1 - Phase 1'!$B$8+'LEVEL 3'!$B$8)</f>
        <v>0</v>
      </c>
      <c r="AA227" s="1"/>
    </row>
    <row r="228" spans="1:27">
      <c r="A228" s="37" t="s">
        <v>558</v>
      </c>
      <c r="B228" s="83">
        <f>'Scenario 1 - Phase 1'!K243</f>
        <v>0</v>
      </c>
      <c r="C228" s="1"/>
      <c r="E228" s="83">
        <f>'LEVEL 3'!K248</f>
        <v>0</v>
      </c>
      <c r="F228" s="1"/>
      <c r="H228" s="83">
        <f t="shared" si="18"/>
        <v>0</v>
      </c>
      <c r="I228" s="1"/>
      <c r="K228" s="83">
        <f>B228/'Scenario 1 - Phase 1'!$E$8</f>
        <v>0</v>
      </c>
      <c r="L228" s="1"/>
      <c r="N228" s="83">
        <f>E228/'LEVEL 3'!$E$8</f>
        <v>0</v>
      </c>
      <c r="O228" s="1"/>
      <c r="Q228" s="83">
        <f>H228/('Scenario 1 - Phase 1'!$E$8+'LEVEL 3'!$E$8)</f>
        <v>0</v>
      </c>
      <c r="R228" s="1"/>
      <c r="T228" s="197">
        <f>B228/'Scenario 1 - Phase 1'!$B$8</f>
        <v>0</v>
      </c>
      <c r="U228" s="193"/>
      <c r="V228" s="194"/>
      <c r="W228" s="197">
        <f>E228/'LEVEL 3'!$B$8</f>
        <v>0</v>
      </c>
      <c r="X228" s="193"/>
      <c r="Y228" s="194"/>
      <c r="Z228" s="197">
        <f>H228/('Scenario 1 - Phase 1'!$B$8+'LEVEL 3'!$B$8)</f>
        <v>0</v>
      </c>
      <c r="AA228" s="1"/>
    </row>
    <row r="229" spans="1:27">
      <c r="A229" s="37" t="s">
        <v>560</v>
      </c>
      <c r="B229" s="83">
        <f>'Scenario 1 - Phase 1'!K244</f>
        <v>0</v>
      </c>
      <c r="C229" s="1"/>
      <c r="E229" s="83">
        <f>'LEVEL 3'!K249</f>
        <v>3900</v>
      </c>
      <c r="F229" s="1"/>
      <c r="H229" s="83">
        <f t="shared" si="18"/>
        <v>3900</v>
      </c>
      <c r="I229" s="1"/>
      <c r="K229" s="83">
        <f>B229/'Scenario 1 - Phase 1'!$E$8</f>
        <v>0</v>
      </c>
      <c r="L229" s="1"/>
      <c r="N229" s="83">
        <f>E229/'LEVEL 3'!$E$8</f>
        <v>20.103092783505154</v>
      </c>
      <c r="O229" s="1"/>
      <c r="Q229" s="83">
        <f>H229/('Scenario 1 - Phase 1'!$E$8+'LEVEL 3'!$E$8)</f>
        <v>7.208872458410351</v>
      </c>
      <c r="R229" s="1"/>
      <c r="T229" s="197">
        <f>B229/'Scenario 1 - Phase 1'!$B$8</f>
        <v>0</v>
      </c>
      <c r="U229" s="193"/>
      <c r="V229" s="194"/>
      <c r="W229" s="197">
        <f>E229/'LEVEL 3'!$B$8</f>
        <v>1.9868663042758382E-2</v>
      </c>
      <c r="X229" s="193"/>
      <c r="Y229" s="194"/>
      <c r="Z229" s="197">
        <f>H229/('Scenario 1 - Phase 1'!$B$8+'LEVEL 3'!$B$8)</f>
        <v>7.6857740264193557E-3</v>
      </c>
      <c r="AA229" s="1"/>
    </row>
    <row r="230" spans="1:27">
      <c r="A230" s="37" t="s">
        <v>562</v>
      </c>
      <c r="B230" s="83">
        <f>'Scenario 1 - Phase 1'!K245</f>
        <v>29250</v>
      </c>
      <c r="C230" s="1"/>
      <c r="E230" s="83">
        <f>'LEVEL 3'!K250</f>
        <v>15000</v>
      </c>
      <c r="F230" s="1"/>
      <c r="H230" s="83">
        <f t="shared" si="18"/>
        <v>44250</v>
      </c>
      <c r="I230" s="1"/>
      <c r="K230" s="83">
        <f>B230/'Scenario 1 - Phase 1'!$E$8</f>
        <v>84.293948126801155</v>
      </c>
      <c r="L230" s="1"/>
      <c r="N230" s="83">
        <f>E230/'LEVEL 3'!$E$8</f>
        <v>77.319587628865975</v>
      </c>
      <c r="O230" s="1"/>
      <c r="Q230" s="83">
        <f>H230/('Scenario 1 - Phase 1'!$E$8+'LEVEL 3'!$E$8)</f>
        <v>81.792975970425132</v>
      </c>
      <c r="R230" s="1"/>
      <c r="T230" s="197">
        <f>B230/'Scenario 1 - Phase 1'!$B$8</f>
        <v>9.4008523439458508E-2</v>
      </c>
      <c r="U230" s="193"/>
      <c r="V230" s="194"/>
      <c r="W230" s="197">
        <f>E230/'LEVEL 3'!$B$8</f>
        <v>7.6417934779839936E-2</v>
      </c>
      <c r="X230" s="193"/>
      <c r="Y230" s="194"/>
      <c r="Z230" s="197">
        <f>H230/('Scenario 1 - Phase 1'!$B$8+'LEVEL 3'!$B$8)</f>
        <v>8.7203974530527306E-2</v>
      </c>
      <c r="AA230" s="1"/>
    </row>
    <row r="231" spans="1:27">
      <c r="A231" s="172" t="s">
        <v>564</v>
      </c>
      <c r="B231" s="83">
        <f>'Scenario 1 - Phase 1'!K246</f>
        <v>192198</v>
      </c>
      <c r="C231" s="1"/>
      <c r="E231" s="83">
        <f>'LEVEL 3'!K251</f>
        <v>98343</v>
      </c>
      <c r="F231" s="1"/>
      <c r="H231" s="83">
        <f t="shared" si="18"/>
        <v>290541</v>
      </c>
      <c r="I231" s="1"/>
      <c r="K231" s="83">
        <f>B231/'Scenario 1 - Phase 1'!$E$8</f>
        <v>553.88472622478389</v>
      </c>
      <c r="L231" s="1"/>
      <c r="N231" s="83">
        <f>E231/'LEVEL 3'!$E$8</f>
        <v>506.92268041237111</v>
      </c>
      <c r="O231" s="1"/>
      <c r="Q231" s="83">
        <f>H231/('Scenario 1 - Phase 1'!$E$8+'LEVEL 3'!$E$8)</f>
        <v>537.0443622920518</v>
      </c>
      <c r="R231" s="1"/>
      <c r="T231" s="197">
        <f>B231/'Scenario 1 - Phase 1'!$B$8</f>
        <v>0.6177179551458819</v>
      </c>
      <c r="U231" s="193"/>
      <c r="V231" s="194"/>
      <c r="W231" s="197">
        <f>E231/'LEVEL 3'!$B$8</f>
        <v>0.50101126400358653</v>
      </c>
      <c r="X231" s="193"/>
      <c r="Y231" s="194"/>
      <c r="Z231" s="197">
        <f>H231/('Scenario 1 - Phase 1'!$B$8+'LEVEL 3'!$B$8)</f>
        <v>0.57257242856664259</v>
      </c>
      <c r="AA231" s="1"/>
    </row>
    <row r="232" spans="1:27">
      <c r="A232" s="172" t="s">
        <v>566</v>
      </c>
      <c r="B232" s="83">
        <f>'Scenario 1 - Phase 1'!K247</f>
        <v>0</v>
      </c>
      <c r="C232" s="1"/>
      <c r="E232" s="83">
        <f>'LEVEL 3'!K252</f>
        <v>0</v>
      </c>
      <c r="F232" s="1"/>
      <c r="H232" s="83">
        <f t="shared" si="18"/>
        <v>0</v>
      </c>
      <c r="I232" s="1"/>
      <c r="K232" s="83">
        <f>B232/'Scenario 1 - Phase 1'!$E$8</f>
        <v>0</v>
      </c>
      <c r="L232" s="1"/>
      <c r="N232" s="83">
        <f>E232/'LEVEL 3'!$E$8</f>
        <v>0</v>
      </c>
      <c r="O232" s="1"/>
      <c r="Q232" s="83">
        <f>H232/('Scenario 1 - Phase 1'!$E$8+'LEVEL 3'!$E$8)</f>
        <v>0</v>
      </c>
      <c r="R232" s="1"/>
      <c r="T232" s="197">
        <f>B232/'Scenario 1 - Phase 1'!$B$8</f>
        <v>0</v>
      </c>
      <c r="U232" s="193"/>
      <c r="V232" s="194"/>
      <c r="W232" s="197">
        <f>E232/'LEVEL 3'!$B$8</f>
        <v>0</v>
      </c>
      <c r="X232" s="193"/>
      <c r="Y232" s="194"/>
      <c r="Z232" s="197">
        <f>H232/('Scenario 1 - Phase 1'!$B$8+'LEVEL 3'!$B$8)</f>
        <v>0</v>
      </c>
      <c r="AA232" s="1"/>
    </row>
    <row r="233" spans="1:27">
      <c r="A233" s="37" t="s">
        <v>568</v>
      </c>
      <c r="B233" s="83">
        <f>'Scenario 1 - Phase 1'!K248</f>
        <v>150000</v>
      </c>
      <c r="C233" s="1"/>
      <c r="E233" s="83">
        <f>'LEVEL 3'!K253</f>
        <v>15000</v>
      </c>
      <c r="F233" s="1"/>
      <c r="H233" s="83">
        <f t="shared" si="18"/>
        <v>165000</v>
      </c>
      <c r="I233" s="1"/>
      <c r="K233" s="83">
        <f>B233/'Scenario 1 - Phase 1'!$E$8</f>
        <v>432.27665706051874</v>
      </c>
      <c r="L233" s="1"/>
      <c r="N233" s="83">
        <f>E233/'LEVEL 3'!$E$8</f>
        <v>77.319587628865975</v>
      </c>
      <c r="O233" s="1"/>
      <c r="Q233" s="83">
        <f>H233/('Scenario 1 - Phase 1'!$E$8+'LEVEL 3'!$E$8)</f>
        <v>304.99075785582255</v>
      </c>
      <c r="R233" s="1"/>
      <c r="T233" s="197">
        <f>B233/'Scenario 1 - Phase 1'!$B$8</f>
        <v>0.48209499199722311</v>
      </c>
      <c r="U233" s="193"/>
      <c r="V233" s="194"/>
      <c r="W233" s="197">
        <f>E233/'LEVEL 3'!$B$8</f>
        <v>7.6417934779839936E-2</v>
      </c>
      <c r="X233" s="193"/>
      <c r="Y233" s="194"/>
      <c r="Z233" s="197">
        <f>H233/('Scenario 1 - Phase 1'!$B$8+'LEVEL 3'!$B$8)</f>
        <v>0.3251673626562035</v>
      </c>
      <c r="AA233" s="1"/>
    </row>
    <row r="234" spans="1:27">
      <c r="A234" s="37" t="s">
        <v>570</v>
      </c>
      <c r="B234" s="83">
        <f>'Scenario 1 - Phase 1'!K249</f>
        <v>22000</v>
      </c>
      <c r="C234" s="1"/>
      <c r="E234" s="83">
        <f>'LEVEL 3'!K254</f>
        <v>11000</v>
      </c>
      <c r="F234" s="1"/>
      <c r="H234" s="83">
        <f t="shared" si="18"/>
        <v>33000</v>
      </c>
      <c r="I234" s="1"/>
      <c r="K234" s="83">
        <f>B234/'Scenario 1 - Phase 1'!$E$8</f>
        <v>63.400576368876081</v>
      </c>
      <c r="L234" s="1"/>
      <c r="N234" s="83">
        <f>E234/'LEVEL 3'!$E$8</f>
        <v>56.701030927835049</v>
      </c>
      <c r="O234" s="1"/>
      <c r="Q234" s="83">
        <f>H234/('Scenario 1 - Phase 1'!$E$8+'LEVEL 3'!$E$8)</f>
        <v>60.998151571164513</v>
      </c>
      <c r="R234" s="1"/>
      <c r="T234" s="197">
        <f>B234/'Scenario 1 - Phase 1'!$B$8</f>
        <v>7.0707265492926066E-2</v>
      </c>
      <c r="U234" s="193"/>
      <c r="V234" s="194"/>
      <c r="W234" s="197">
        <f>E234/'LEVEL 3'!$B$8</f>
        <v>5.6039818838549284E-2</v>
      </c>
      <c r="X234" s="193"/>
      <c r="Y234" s="194"/>
      <c r="Z234" s="197">
        <f>H234/('Scenario 1 - Phase 1'!$B$8+'LEVEL 3'!$B$8)</f>
        <v>6.5033472531240699E-2</v>
      </c>
      <c r="AA234" s="1"/>
    </row>
    <row r="235" spans="1:27">
      <c r="A235" s="37" t="s">
        <v>572</v>
      </c>
      <c r="B235" s="83">
        <f>'Scenario 1 - Phase 1'!K250</f>
        <v>14000</v>
      </c>
      <c r="C235" s="1"/>
      <c r="E235" s="83">
        <f>'LEVEL 3'!K255</f>
        <v>7000</v>
      </c>
      <c r="F235" s="1"/>
      <c r="H235" s="83">
        <f t="shared" si="18"/>
        <v>21000</v>
      </c>
      <c r="I235" s="1"/>
      <c r="K235" s="83">
        <f>B235/'Scenario 1 - Phase 1'!$E$8</f>
        <v>40.345821325648416</v>
      </c>
      <c r="L235" s="1"/>
      <c r="N235" s="83">
        <f>E235/'LEVEL 3'!$E$8</f>
        <v>36.082474226804123</v>
      </c>
      <c r="O235" s="1"/>
      <c r="Q235" s="83">
        <f>H235/('Scenario 1 - Phase 1'!$E$8+'LEVEL 3'!$E$8)</f>
        <v>38.817005545286506</v>
      </c>
      <c r="R235" s="1"/>
      <c r="T235" s="197">
        <f>B235/'Scenario 1 - Phase 1'!$B$8</f>
        <v>4.499553258640749E-2</v>
      </c>
      <c r="U235" s="193"/>
      <c r="V235" s="194"/>
      <c r="W235" s="197">
        <f>E235/'LEVEL 3'!$B$8</f>
        <v>3.5661702897258632E-2</v>
      </c>
      <c r="X235" s="193"/>
      <c r="Y235" s="194"/>
      <c r="Z235" s="197">
        <f>H235/('Scenario 1 - Phase 1'!$B$8+'LEVEL 3'!$B$8)</f>
        <v>4.1384937065334991E-2</v>
      </c>
      <c r="AA235" s="1"/>
    </row>
    <row r="236" spans="1:27">
      <c r="A236" s="37" t="s">
        <v>53</v>
      </c>
      <c r="B236" s="83">
        <f>'Scenario 1 - Phase 1'!K251</f>
        <v>3659829</v>
      </c>
      <c r="C236" s="1"/>
      <c r="E236" s="83">
        <f>'LEVEL 3'!K256</f>
        <v>669885.16845824628</v>
      </c>
      <c r="F236" s="1"/>
      <c r="H236" s="83">
        <f t="shared" si="18"/>
        <v>4329714.1684582466</v>
      </c>
      <c r="I236" s="1"/>
      <c r="K236" s="83">
        <f>B236/'Scenario 1 - Phase 1'!$E$8</f>
        <v>10547.057636887608</v>
      </c>
      <c r="L236" s="1"/>
      <c r="N236" s="83">
        <f>E236/'LEVEL 3'!$E$8</f>
        <v>3453.0163322590015</v>
      </c>
      <c r="O236" s="1"/>
      <c r="Q236" s="83">
        <f>H236/('Scenario 1 - Phase 1'!$E$8+'LEVEL 3'!$E$8)</f>
        <v>8003.1685184071102</v>
      </c>
      <c r="R236" s="1"/>
      <c r="T236" s="197">
        <f>B236/'Scenario 1 - Phase 1'!$B$8</f>
        <v>11.762568216441368</v>
      </c>
      <c r="U236" s="193"/>
      <c r="V236" s="194"/>
      <c r="W236" s="197">
        <f>E236/'LEVEL 3'!$B$8</f>
        <v>3.41274940754829</v>
      </c>
      <c r="X236" s="193"/>
      <c r="Y236" s="194"/>
      <c r="Z236" s="197">
        <f>H236/('Scenario 1 - Phase 1'!$B$8+'LEVEL 3'!$B$8)</f>
        <v>8.5326165891682741</v>
      </c>
      <c r="AA236" s="1"/>
    </row>
    <row r="237" spans="1:27">
      <c r="A237" s="37" t="s">
        <v>575</v>
      </c>
      <c r="B237" s="83">
        <f>'Scenario 1 - Phase 1'!K252</f>
        <v>0</v>
      </c>
      <c r="C237" s="1"/>
      <c r="E237" s="83">
        <f>'LEVEL 3'!K257</f>
        <v>0</v>
      </c>
      <c r="F237" s="1"/>
      <c r="H237" s="83">
        <f t="shared" si="18"/>
        <v>0</v>
      </c>
      <c r="I237" s="1"/>
      <c r="K237" s="83">
        <f>B237/'Scenario 1 - Phase 1'!$E$8</f>
        <v>0</v>
      </c>
      <c r="L237" s="1"/>
      <c r="N237" s="83">
        <f>E237/'LEVEL 3'!$E$8</f>
        <v>0</v>
      </c>
      <c r="O237" s="1"/>
      <c r="Q237" s="83">
        <f>H237/('Scenario 1 - Phase 1'!$E$8+'LEVEL 3'!$E$8)</f>
        <v>0</v>
      </c>
      <c r="R237" s="1"/>
      <c r="T237" s="197">
        <f>B237/'Scenario 1 - Phase 1'!$B$8</f>
        <v>0</v>
      </c>
      <c r="U237" s="193"/>
      <c r="V237" s="194"/>
      <c r="W237" s="197">
        <f>E237/'LEVEL 3'!$B$8</f>
        <v>0</v>
      </c>
      <c r="X237" s="193"/>
      <c r="Y237" s="194"/>
      <c r="Z237" s="197">
        <f>H237/('Scenario 1 - Phase 1'!$B$8+'LEVEL 3'!$B$8)</f>
        <v>0</v>
      </c>
      <c r="AA237" s="1"/>
    </row>
    <row r="238" spans="1:27">
      <c r="A238" s="37" t="s">
        <v>576</v>
      </c>
      <c r="B238" s="83">
        <f>'Scenario 1 - Phase 1'!K253</f>
        <v>0</v>
      </c>
      <c r="C238" s="1"/>
      <c r="E238" s="83">
        <f>'LEVEL 3'!K258</f>
        <v>0</v>
      </c>
      <c r="F238" s="1"/>
      <c r="H238" s="83">
        <f t="shared" si="18"/>
        <v>0</v>
      </c>
      <c r="I238" s="1"/>
      <c r="K238" s="83">
        <f>B238/'Scenario 1 - Phase 1'!$E$8</f>
        <v>0</v>
      </c>
      <c r="L238" s="1"/>
      <c r="N238" s="83">
        <f>E238/'LEVEL 3'!$E$8</f>
        <v>0</v>
      </c>
      <c r="O238" s="1"/>
      <c r="Q238" s="83">
        <f>H238/('Scenario 1 - Phase 1'!$E$8+'LEVEL 3'!$E$8)</f>
        <v>0</v>
      </c>
      <c r="R238" s="1"/>
      <c r="T238" s="197">
        <f>B238/'Scenario 1 - Phase 1'!$B$8</f>
        <v>0</v>
      </c>
      <c r="U238" s="193"/>
      <c r="V238" s="194"/>
      <c r="W238" s="197">
        <f>E238/'LEVEL 3'!$B$8</f>
        <v>0</v>
      </c>
      <c r="X238" s="193"/>
      <c r="Y238" s="194"/>
      <c r="Z238" s="197">
        <f>H238/('Scenario 1 - Phase 1'!$B$8+'LEVEL 3'!$B$8)</f>
        <v>0</v>
      </c>
      <c r="AA238" s="1"/>
    </row>
    <row r="239" spans="1:27">
      <c r="A239" s="172" t="s">
        <v>578</v>
      </c>
      <c r="B239" s="83">
        <f>'Scenario 1 - Phase 1'!K254</f>
        <v>4500</v>
      </c>
      <c r="C239" s="1"/>
      <c r="E239" s="83">
        <f>'LEVEL 3'!K259</f>
        <v>5000</v>
      </c>
      <c r="F239" s="1"/>
      <c r="H239" s="83">
        <f t="shared" si="18"/>
        <v>9500</v>
      </c>
      <c r="I239" s="1"/>
      <c r="K239" s="83">
        <f>B239/'Scenario 1 - Phase 1'!$E$8</f>
        <v>12.968299711815561</v>
      </c>
      <c r="L239" s="1"/>
      <c r="N239" s="83">
        <f>E239/'LEVEL 3'!$E$8</f>
        <v>25.773195876288661</v>
      </c>
      <c r="O239" s="1"/>
      <c r="Q239" s="83">
        <f>H239/('Scenario 1 - Phase 1'!$E$8+'LEVEL 3'!$E$8)</f>
        <v>17.560073937153419</v>
      </c>
      <c r="R239" s="1"/>
      <c r="T239" s="197">
        <f>B239/'Scenario 1 - Phase 1'!$B$8</f>
        <v>1.4462849759916694E-2</v>
      </c>
      <c r="U239" s="193"/>
      <c r="V239" s="194"/>
      <c r="W239" s="197">
        <f>E239/'LEVEL 3'!$B$8</f>
        <v>2.547264492661331E-2</v>
      </c>
      <c r="X239" s="193"/>
      <c r="Y239" s="194"/>
      <c r="Z239" s="197">
        <f>H239/('Scenario 1 - Phase 1'!$B$8+'LEVEL 3'!$B$8)</f>
        <v>1.8721757243842022E-2</v>
      </c>
      <c r="AA239" s="1"/>
    </row>
    <row r="240" spans="1:27">
      <c r="A240" s="172" t="s">
        <v>579</v>
      </c>
      <c r="B240" s="83">
        <f>'Scenario 1 - Phase 1'!K255</f>
        <v>19250</v>
      </c>
      <c r="C240" s="1"/>
      <c r="E240" s="83">
        <f>'LEVEL 3'!K260</f>
        <v>414871.13888888888</v>
      </c>
      <c r="F240" s="1"/>
      <c r="H240" s="83">
        <f t="shared" si="18"/>
        <v>434121.13888888888</v>
      </c>
      <c r="I240" s="1"/>
      <c r="K240" s="83">
        <f>B240/'Scenario 1 - Phase 1'!$E$8</f>
        <v>55.475504322766568</v>
      </c>
      <c r="L240" s="1"/>
      <c r="N240" s="83">
        <f>E240/'LEVEL 3'!$E$8</f>
        <v>2138.5110252004583</v>
      </c>
      <c r="O240" s="1"/>
      <c r="Q240" s="83">
        <f>H240/('Scenario 1 - Phase 1'!$E$8+'LEVEL 3'!$E$8)</f>
        <v>802.44203121790918</v>
      </c>
      <c r="R240" s="1"/>
      <c r="T240" s="197">
        <f>B240/'Scenario 1 - Phase 1'!$B$8</f>
        <v>6.1868857306310303E-2</v>
      </c>
      <c r="U240" s="193"/>
      <c r="V240" s="194"/>
      <c r="W240" s="197">
        <f>E240/'LEVEL 3'!$B$8</f>
        <v>2.1135730422432681</v>
      </c>
      <c r="X240" s="193"/>
      <c r="Y240" s="194"/>
      <c r="Z240" s="197">
        <f>H240/('Scenario 1 - Phase 1'!$B$8+'LEVEL 3'!$B$8)</f>
        <v>0.85552742912610558</v>
      </c>
      <c r="AA240" s="1"/>
    </row>
    <row r="241" spans="1:27">
      <c r="A241" s="172" t="s">
        <v>580</v>
      </c>
      <c r="B241" s="83">
        <f>'Scenario 1 - Phase 1'!K256</f>
        <v>920</v>
      </c>
      <c r="C241" s="1"/>
      <c r="E241" s="83">
        <f>'LEVEL 3'!K261</f>
        <v>50205</v>
      </c>
      <c r="F241" s="1"/>
      <c r="H241" s="83">
        <f t="shared" si="18"/>
        <v>51125</v>
      </c>
      <c r="I241" s="1"/>
      <c r="K241" s="83">
        <f>B241/'Scenario 1 - Phase 1'!$E$8</f>
        <v>2.6512968299711814</v>
      </c>
      <c r="L241" s="1"/>
      <c r="N241" s="83">
        <f>E241/'LEVEL 3'!$E$8</f>
        <v>258.78865979381442</v>
      </c>
      <c r="O241" s="1"/>
      <c r="Q241" s="83">
        <f>H241/('Scenario 1 - Phase 1'!$E$8+'LEVEL 3'!$E$8)</f>
        <v>94.500924214417751</v>
      </c>
      <c r="R241" s="1"/>
      <c r="T241" s="197">
        <f>B241/'Scenario 1 - Phase 1'!$B$8</f>
        <v>2.9568492842496352E-3</v>
      </c>
      <c r="U241" s="193"/>
      <c r="V241" s="194"/>
      <c r="W241" s="197">
        <f>E241/'LEVEL 3'!$B$8</f>
        <v>0.25577082770812426</v>
      </c>
      <c r="X241" s="193"/>
      <c r="Y241" s="194"/>
      <c r="Z241" s="197">
        <f>H241/('Scenario 1 - Phase 1'!$B$8+'LEVEL 3'!$B$8)</f>
        <v>0.10075261464120244</v>
      </c>
      <c r="AA241" s="1"/>
    </row>
    <row r="242" spans="1:27">
      <c r="A242" s="172" t="s">
        <v>581</v>
      </c>
      <c r="B242" s="83">
        <f>'Scenario 1 - Phase 1'!K257</f>
        <v>25544</v>
      </c>
      <c r="C242" s="1"/>
      <c r="E242" s="83">
        <f>'LEVEL 3'!K262</f>
        <v>32531</v>
      </c>
      <c r="F242" s="1"/>
      <c r="H242" s="83">
        <f t="shared" si="18"/>
        <v>58075</v>
      </c>
      <c r="I242" s="1"/>
      <c r="K242" s="83">
        <f>B242/'Scenario 1 - Phase 1'!$E$8</f>
        <v>73.61383285302594</v>
      </c>
      <c r="L242" s="1"/>
      <c r="N242" s="83">
        <f>E242/'LEVEL 3'!$E$8</f>
        <v>167.68556701030928</v>
      </c>
      <c r="O242" s="1"/>
      <c r="Q242" s="83">
        <f>H242/('Scenario 1 - Phase 1'!$E$8+'LEVEL 3'!$E$8)</f>
        <v>107.34750462107209</v>
      </c>
      <c r="R242" s="1"/>
      <c r="T242" s="197">
        <f>B242/'Scenario 1 - Phase 1'!$B$8</f>
        <v>8.2097563170513782E-2</v>
      </c>
      <c r="U242" s="193"/>
      <c r="V242" s="194"/>
      <c r="W242" s="197">
        <f>E242/'LEVEL 3'!$B$8</f>
        <v>0.16573012242153151</v>
      </c>
      <c r="X242" s="193"/>
      <c r="Y242" s="194"/>
      <c r="Z242" s="197">
        <f>H242/('Scenario 1 - Phase 1'!$B$8+'LEVEL 3'!$B$8)</f>
        <v>0.1144490580985395</v>
      </c>
      <c r="AA242" s="1"/>
    </row>
    <row r="243" spans="1:27">
      <c r="A243" s="33" t="s">
        <v>582</v>
      </c>
      <c r="B243" s="82"/>
      <c r="C243" s="102">
        <f>SUM(B244:B258)</f>
        <v>2578601.0384615385</v>
      </c>
      <c r="E243" s="82"/>
      <c r="F243" s="102">
        <f>SUM(E244:E258)</f>
        <v>1217483</v>
      </c>
      <c r="H243" s="82"/>
      <c r="I243" s="102">
        <f>SUM(H244:H258)</f>
        <v>3796084.0384615385</v>
      </c>
      <c r="K243" s="82"/>
      <c r="L243" s="102">
        <f>SUM(K244:K258)</f>
        <v>7431.1269119929066</v>
      </c>
      <c r="N243" s="82"/>
      <c r="O243" s="102">
        <f>SUM(N244:N258)</f>
        <v>6275.6855670103087</v>
      </c>
      <c r="Q243" s="82"/>
      <c r="R243" s="102">
        <f>SUM(Q244:Q258)</f>
        <v>7016.7911986350064</v>
      </c>
      <c r="T243" s="82"/>
      <c r="U243" s="201">
        <f>C243/'Scenario 1 - Phase 1'!$B$8</f>
        <v>8.2875376466743109</v>
      </c>
      <c r="V243" s="199"/>
      <c r="W243" s="203"/>
      <c r="X243" s="201">
        <f>F243/'LEVEL 3'!$B$8</f>
        <v>6.2025024326375906</v>
      </c>
      <c r="Y243" s="199"/>
      <c r="Z243" s="203"/>
      <c r="AA243" s="201">
        <f>I243/('Scenario 1 - Phase 1'!$B$8+'LEVEL 3'!$B$8)</f>
        <v>7.4809856679263556</v>
      </c>
    </row>
    <row r="244" spans="1:27">
      <c r="A244" s="35" t="s">
        <v>584</v>
      </c>
      <c r="B244" s="71">
        <f>'Scenario 1 - Phase 1'!K259</f>
        <v>124960.03846153847</v>
      </c>
      <c r="C244" s="1"/>
      <c r="E244" s="71">
        <f>'LEVEL 3'!K265</f>
        <v>72750</v>
      </c>
      <c r="F244" s="1"/>
      <c r="H244" s="71">
        <f t="shared" ref="H244:H258" si="19">B244+E244</f>
        <v>197710.03846153847</v>
      </c>
      <c r="I244" s="1"/>
      <c r="K244" s="71">
        <f>B244/'Scenario 1 - Phase 1'!$E$8</f>
        <v>360.11538461538464</v>
      </c>
      <c r="L244" s="1"/>
      <c r="N244" s="71">
        <f>E244/'LEVEL 3'!$E$8</f>
        <v>375</v>
      </c>
      <c r="O244" s="1"/>
      <c r="Q244" s="71">
        <f>H244/('Scenario 1 - Phase 1'!$E$8+'LEVEL 3'!$E$8)</f>
        <v>365.45293615811175</v>
      </c>
      <c r="R244" s="1"/>
      <c r="T244" s="195">
        <f>B244/'Scenario 1 - Phase 1'!$B$8</f>
        <v>0.40161739161392057</v>
      </c>
      <c r="U244" s="193"/>
      <c r="V244" s="194"/>
      <c r="W244" s="195">
        <f>E244/'LEVEL 3'!$B$8</f>
        <v>0.37062698368222369</v>
      </c>
      <c r="X244" s="193"/>
      <c r="Y244" s="194"/>
      <c r="Z244" s="195">
        <f>H244/('Scenario 1 - Phase 1'!$B$8+'LEVEL 3'!$B$8)</f>
        <v>0.38962940471027285</v>
      </c>
      <c r="AA244" s="1"/>
    </row>
    <row r="245" spans="1:27">
      <c r="A245" s="37" t="s">
        <v>587</v>
      </c>
      <c r="B245" s="83">
        <f>'Scenario 1 - Phase 1'!K260</f>
        <v>0</v>
      </c>
      <c r="C245" s="1"/>
      <c r="E245" s="83">
        <f>'LEVEL 3'!K266</f>
        <v>10000</v>
      </c>
      <c r="F245" s="1"/>
      <c r="H245" s="83">
        <f t="shared" si="19"/>
        <v>10000</v>
      </c>
      <c r="I245" s="1"/>
      <c r="K245" s="83">
        <f>B245/'Scenario 1 - Phase 1'!$E$8</f>
        <v>0</v>
      </c>
      <c r="L245" s="1"/>
      <c r="N245" s="83">
        <f>E245/'LEVEL 3'!$E$8</f>
        <v>51.546391752577321</v>
      </c>
      <c r="O245" s="1"/>
      <c r="Q245" s="83">
        <f>H245/('Scenario 1 - Phase 1'!$E$8+'LEVEL 3'!$E$8)</f>
        <v>18.484288354898336</v>
      </c>
      <c r="R245" s="1"/>
      <c r="T245" s="197">
        <f>B245/'Scenario 1 - Phase 1'!$B$8</f>
        <v>0</v>
      </c>
      <c r="U245" s="193"/>
      <c r="V245" s="194"/>
      <c r="W245" s="197">
        <f>E245/'LEVEL 3'!$B$8</f>
        <v>5.0945289853226619E-2</v>
      </c>
      <c r="X245" s="193"/>
      <c r="Y245" s="194"/>
      <c r="Z245" s="197">
        <f>H245/('Scenario 1 - Phase 1'!$B$8+'LEVEL 3'!$B$8)</f>
        <v>1.9707112888254757E-2</v>
      </c>
      <c r="AA245" s="1"/>
    </row>
    <row r="246" spans="1:27">
      <c r="A246" s="173" t="s">
        <v>589</v>
      </c>
      <c r="B246" s="83">
        <f>'Scenario 1 - Phase 1'!K261</f>
        <v>1384327</v>
      </c>
      <c r="C246" s="1"/>
      <c r="E246" s="83">
        <f>'LEVEL 3'!K267</f>
        <v>424224</v>
      </c>
      <c r="F246" s="1"/>
      <c r="H246" s="83">
        <f t="shared" si="19"/>
        <v>1808551</v>
      </c>
      <c r="I246" s="1"/>
      <c r="K246" s="83">
        <f>B246/'Scenario 1 - Phase 1'!$E$8</f>
        <v>3989.4149855907781</v>
      </c>
      <c r="L246" s="1"/>
      <c r="N246" s="83">
        <f>E246/'LEVEL 3'!$E$8</f>
        <v>2186.7216494845361</v>
      </c>
      <c r="O246" s="1"/>
      <c r="Q246" s="83">
        <f>H246/('Scenario 1 - Phase 1'!$E$8+'LEVEL 3'!$E$8)</f>
        <v>3342.977818853974</v>
      </c>
      <c r="R246" s="1"/>
      <c r="T246" s="197">
        <f>B246/'Scenario 1 - Phase 1'!$B$8</f>
        <v>4.4491807599102664</v>
      </c>
      <c r="U246" s="193"/>
      <c r="V246" s="194"/>
      <c r="W246" s="197">
        <f>E246/'LEVEL 3'!$B$8</f>
        <v>2.1612214642695209</v>
      </c>
      <c r="X246" s="193"/>
      <c r="Y246" s="194"/>
      <c r="Z246" s="197">
        <f>H246/('Scenario 1 - Phase 1'!$B$8+'LEVEL 3'!$B$8)</f>
        <v>3.5641318721166031</v>
      </c>
      <c r="AA246" s="1"/>
    </row>
    <row r="247" spans="1:27">
      <c r="A247" s="174" t="s">
        <v>590</v>
      </c>
      <c r="B247" s="83">
        <f>'Scenario 1 - Phase 1'!K262</f>
        <v>446750</v>
      </c>
      <c r="C247" s="1"/>
      <c r="E247" s="83">
        <f>'LEVEL 3'!K268</f>
        <v>68283</v>
      </c>
      <c r="F247" s="1"/>
      <c r="H247" s="83">
        <f t="shared" si="19"/>
        <v>515033</v>
      </c>
      <c r="I247" s="1"/>
      <c r="K247" s="83">
        <f>B247/'Scenario 1 - Phase 1'!$E$8</f>
        <v>1287.4639769452449</v>
      </c>
      <c r="L247" s="1"/>
      <c r="N247" s="83">
        <f>E247/'LEVEL 3'!$E$8</f>
        <v>351.9742268041237</v>
      </c>
      <c r="O247" s="1"/>
      <c r="Q247" s="83">
        <f>H247/('Scenario 1 - Phase 1'!$E$8+'LEVEL 3'!$E$8)</f>
        <v>952.0018484288355</v>
      </c>
      <c r="R247" s="1"/>
      <c r="T247" s="197">
        <f>B247/'Scenario 1 - Phase 1'!$B$8</f>
        <v>1.4358395844983962</v>
      </c>
      <c r="U247" s="193"/>
      <c r="V247" s="194"/>
      <c r="W247" s="197">
        <f>E247/'LEVEL 3'!$B$8</f>
        <v>0.34786972270478733</v>
      </c>
      <c r="X247" s="193"/>
      <c r="Y247" s="194"/>
      <c r="Z247" s="197">
        <f>H247/('Scenario 1 - Phase 1'!$B$8+'LEVEL 3'!$B$8)</f>
        <v>1.0149813472176512</v>
      </c>
      <c r="AA247" s="1"/>
    </row>
    <row r="248" spans="1:27">
      <c r="A248" s="169" t="s">
        <v>592</v>
      </c>
      <c r="B248" s="83">
        <f>'Scenario 1 - Phase 1'!K263</f>
        <v>0</v>
      </c>
      <c r="C248" s="1"/>
      <c r="E248" s="83">
        <f>'LEVEL 3'!K269</f>
        <v>0</v>
      </c>
      <c r="F248" s="1"/>
      <c r="H248" s="83">
        <f t="shared" si="19"/>
        <v>0</v>
      </c>
      <c r="I248" s="1"/>
      <c r="K248" s="83">
        <f>B248/'Scenario 1 - Phase 1'!$E$8</f>
        <v>0</v>
      </c>
      <c r="L248" s="1"/>
      <c r="N248" s="83">
        <f>E248/'LEVEL 3'!$E$8</f>
        <v>0</v>
      </c>
      <c r="O248" s="1"/>
      <c r="Q248" s="83">
        <f>H248/('Scenario 1 - Phase 1'!$E$8+'LEVEL 3'!$E$8)</f>
        <v>0</v>
      </c>
      <c r="R248" s="1"/>
      <c r="T248" s="197">
        <f>B248/'Scenario 1 - Phase 1'!$B$8</f>
        <v>0</v>
      </c>
      <c r="U248" s="193"/>
      <c r="V248" s="194"/>
      <c r="W248" s="197">
        <f>E248/'LEVEL 3'!$B$8</f>
        <v>0</v>
      </c>
      <c r="X248" s="193"/>
      <c r="Y248" s="194"/>
      <c r="Z248" s="197">
        <f>H248/('Scenario 1 - Phase 1'!$B$8+'LEVEL 3'!$B$8)</f>
        <v>0</v>
      </c>
      <c r="AA248" s="1"/>
    </row>
    <row r="249" spans="1:27">
      <c r="A249" s="37" t="s">
        <v>594</v>
      </c>
      <c r="B249" s="83">
        <f>'Scenario 1 - Phase 1'!K264</f>
        <v>5000</v>
      </c>
      <c r="C249" s="1"/>
      <c r="E249" s="83">
        <f>'LEVEL 3'!K270</f>
        <v>5000</v>
      </c>
      <c r="F249" s="1"/>
      <c r="H249" s="83">
        <f t="shared" si="19"/>
        <v>10000</v>
      </c>
      <c r="I249" s="1"/>
      <c r="K249" s="83">
        <f>B249/'Scenario 1 - Phase 1'!$E$8</f>
        <v>14.409221902017292</v>
      </c>
      <c r="L249" s="1"/>
      <c r="N249" s="83">
        <f>E249/'LEVEL 3'!$E$8</f>
        <v>25.773195876288661</v>
      </c>
      <c r="O249" s="1"/>
      <c r="Q249" s="83">
        <f>H249/('Scenario 1 - Phase 1'!$E$8+'LEVEL 3'!$E$8)</f>
        <v>18.484288354898336</v>
      </c>
      <c r="R249" s="1"/>
      <c r="T249" s="197">
        <f>B249/'Scenario 1 - Phase 1'!$B$8</f>
        <v>1.6069833066574106E-2</v>
      </c>
      <c r="U249" s="193"/>
      <c r="V249" s="194"/>
      <c r="W249" s="197">
        <f>E249/'LEVEL 3'!$B$8</f>
        <v>2.547264492661331E-2</v>
      </c>
      <c r="X249" s="193"/>
      <c r="Y249" s="194"/>
      <c r="Z249" s="197">
        <f>H249/('Scenario 1 - Phase 1'!$B$8+'LEVEL 3'!$B$8)</f>
        <v>1.9707112888254757E-2</v>
      </c>
      <c r="AA249" s="1"/>
    </row>
    <row r="250" spans="1:27">
      <c r="A250" s="37" t="s">
        <v>596</v>
      </c>
      <c r="B250" s="83">
        <f>'Scenario 1 - Phase 1'!K265</f>
        <v>200000</v>
      </c>
      <c r="C250" s="1"/>
      <c r="E250" s="83">
        <f>'LEVEL 3'!K272</f>
        <v>136424</v>
      </c>
      <c r="F250" s="1"/>
      <c r="H250" s="83">
        <f t="shared" si="19"/>
        <v>336424</v>
      </c>
      <c r="I250" s="1"/>
      <c r="K250" s="83">
        <f>B250/'Scenario 1 - Phase 1'!$E$8</f>
        <v>576.36887608069162</v>
      </c>
      <c r="L250" s="1"/>
      <c r="N250" s="83">
        <f>E250/'LEVEL 3'!$E$8</f>
        <v>703.21649484536078</v>
      </c>
      <c r="O250" s="1"/>
      <c r="Q250" s="83">
        <f>H250/('Scenario 1 - Phase 1'!$E$8+'LEVEL 3'!$E$8)</f>
        <v>621.85582255083182</v>
      </c>
      <c r="R250" s="1"/>
      <c r="T250" s="197">
        <f>B250/'Scenario 1 - Phase 1'!$B$8</f>
        <v>0.64279332266296418</v>
      </c>
      <c r="U250" s="193"/>
      <c r="V250" s="194"/>
      <c r="W250" s="197">
        <f>E250/'LEVEL 3'!$B$8</f>
        <v>0.69501602229365889</v>
      </c>
      <c r="X250" s="193"/>
      <c r="Y250" s="194"/>
      <c r="Z250" s="197">
        <f>H250/('Scenario 1 - Phase 1'!$B$8+'LEVEL 3'!$B$8)</f>
        <v>0.66299457463182188</v>
      </c>
      <c r="AA250" s="1"/>
    </row>
    <row r="251" spans="1:27">
      <c r="A251" s="37" t="s">
        <v>598</v>
      </c>
      <c r="B251" s="83">
        <f>'Scenario 1 - Phase 1'!K266</f>
        <v>10000</v>
      </c>
      <c r="C251" s="1"/>
      <c r="E251" s="83">
        <f>'LEVEL 3'!K273</f>
        <v>0</v>
      </c>
      <c r="F251" s="1"/>
      <c r="H251" s="83">
        <f t="shared" si="19"/>
        <v>10000</v>
      </c>
      <c r="I251" s="1"/>
      <c r="K251" s="83">
        <f>B251/'Scenario 1 - Phase 1'!$E$8</f>
        <v>28.818443804034583</v>
      </c>
      <c r="L251" s="1"/>
      <c r="N251" s="83">
        <f>E251/'LEVEL 3'!$E$8</f>
        <v>0</v>
      </c>
      <c r="O251" s="1"/>
      <c r="Q251" s="83">
        <f>H251/('Scenario 1 - Phase 1'!$E$8+'LEVEL 3'!$E$8)</f>
        <v>18.484288354898336</v>
      </c>
      <c r="R251" s="1"/>
      <c r="T251" s="197">
        <f>B251/'Scenario 1 - Phase 1'!$B$8</f>
        <v>3.2139666133148212E-2</v>
      </c>
      <c r="U251" s="193"/>
      <c r="V251" s="194"/>
      <c r="W251" s="197">
        <f>E251/'LEVEL 3'!$B$8</f>
        <v>0</v>
      </c>
      <c r="X251" s="193"/>
      <c r="Y251" s="194"/>
      <c r="Z251" s="197">
        <f>H251/('Scenario 1 - Phase 1'!$B$8+'LEVEL 3'!$B$8)</f>
        <v>1.9707112888254757E-2</v>
      </c>
      <c r="AA251" s="1"/>
    </row>
    <row r="252" spans="1:27">
      <c r="A252" s="37" t="s">
        <v>600</v>
      </c>
      <c r="B252" s="83">
        <f>'Scenario 1 - Phase 1'!K267</f>
        <v>0</v>
      </c>
      <c r="C252" s="1"/>
      <c r="E252" s="83">
        <f>'LEVEL 3'!K274</f>
        <v>0</v>
      </c>
      <c r="F252" s="1"/>
      <c r="H252" s="83">
        <f t="shared" si="19"/>
        <v>0</v>
      </c>
      <c r="I252" s="1"/>
      <c r="K252" s="83">
        <f>B252/'Scenario 1 - Phase 1'!$E$8</f>
        <v>0</v>
      </c>
      <c r="L252" s="1"/>
      <c r="N252" s="83">
        <f>E252/'LEVEL 3'!$E$8</f>
        <v>0</v>
      </c>
      <c r="O252" s="1"/>
      <c r="Q252" s="83">
        <f>H252/('Scenario 1 - Phase 1'!$E$8+'LEVEL 3'!$E$8)</f>
        <v>0</v>
      </c>
      <c r="R252" s="1"/>
      <c r="T252" s="197">
        <f>B252/'Scenario 1 - Phase 1'!$B$8</f>
        <v>0</v>
      </c>
      <c r="U252" s="193"/>
      <c r="V252" s="194"/>
      <c r="W252" s="197">
        <f>E252/'LEVEL 3'!$B$8</f>
        <v>0</v>
      </c>
      <c r="X252" s="193"/>
      <c r="Y252" s="194"/>
      <c r="Z252" s="197">
        <f>H252/('Scenario 1 - Phase 1'!$B$8+'LEVEL 3'!$B$8)</f>
        <v>0</v>
      </c>
      <c r="AA252" s="1"/>
    </row>
    <row r="253" spans="1:27">
      <c r="A253" s="37" t="s">
        <v>602</v>
      </c>
      <c r="B253" s="83">
        <f>'Scenario 1 - Phase 1'!K268</f>
        <v>0</v>
      </c>
      <c r="C253" s="1"/>
      <c r="E253" s="83">
        <f>'LEVEL 3'!K275</f>
        <v>0</v>
      </c>
      <c r="F253" s="1"/>
      <c r="H253" s="83">
        <f t="shared" si="19"/>
        <v>0</v>
      </c>
      <c r="I253" s="1"/>
      <c r="K253" s="83">
        <f>B253/'Scenario 1 - Phase 1'!$E$8</f>
        <v>0</v>
      </c>
      <c r="L253" s="1"/>
      <c r="N253" s="83">
        <f>E253/'LEVEL 3'!$E$8</f>
        <v>0</v>
      </c>
      <c r="O253" s="1"/>
      <c r="Q253" s="83">
        <f>H253/('Scenario 1 - Phase 1'!$E$8+'LEVEL 3'!$E$8)</f>
        <v>0</v>
      </c>
      <c r="R253" s="1"/>
      <c r="T253" s="197">
        <f>B253/'Scenario 1 - Phase 1'!$B$8</f>
        <v>0</v>
      </c>
      <c r="U253" s="193"/>
      <c r="V253" s="194"/>
      <c r="W253" s="197">
        <f>E253/'LEVEL 3'!$B$8</f>
        <v>0</v>
      </c>
      <c r="X253" s="193"/>
      <c r="Y253" s="194"/>
      <c r="Z253" s="197">
        <f>H253/('Scenario 1 - Phase 1'!$B$8+'LEVEL 3'!$B$8)</f>
        <v>0</v>
      </c>
      <c r="AA253" s="1"/>
    </row>
    <row r="254" spans="1:27">
      <c r="A254" s="37" t="s">
        <v>604</v>
      </c>
      <c r="B254" s="83">
        <f>'Scenario 1 - Phase 1'!K269</f>
        <v>0</v>
      </c>
      <c r="C254" s="1"/>
      <c r="E254" s="83">
        <f>'LEVEL 3'!K276</f>
        <v>0</v>
      </c>
      <c r="F254" s="1"/>
      <c r="H254" s="83">
        <f t="shared" si="19"/>
        <v>0</v>
      </c>
      <c r="I254" s="1"/>
      <c r="K254" s="83">
        <f>B254/'Scenario 1 - Phase 1'!$E$8</f>
        <v>0</v>
      </c>
      <c r="L254" s="1"/>
      <c r="N254" s="83">
        <f>E254/'LEVEL 3'!$E$8</f>
        <v>0</v>
      </c>
      <c r="O254" s="1"/>
      <c r="Q254" s="83">
        <f>H254/('Scenario 1 - Phase 1'!$E$8+'LEVEL 3'!$E$8)</f>
        <v>0</v>
      </c>
      <c r="R254" s="1"/>
      <c r="T254" s="197">
        <f>B254/'Scenario 1 - Phase 1'!$B$8</f>
        <v>0</v>
      </c>
      <c r="U254" s="193"/>
      <c r="V254" s="194"/>
      <c r="W254" s="197">
        <f>E254/'LEVEL 3'!$B$8</f>
        <v>0</v>
      </c>
      <c r="X254" s="193"/>
      <c r="Y254" s="194"/>
      <c r="Z254" s="197">
        <f>H254/('Scenario 1 - Phase 1'!$B$8+'LEVEL 3'!$B$8)</f>
        <v>0</v>
      </c>
      <c r="AA254" s="1"/>
    </row>
    <row r="255" spans="1:27">
      <c r="A255" s="172" t="s">
        <v>606</v>
      </c>
      <c r="B255" s="83">
        <f>'Scenario 1 - Phase 1'!K270</f>
        <v>349900</v>
      </c>
      <c r="C255" s="1"/>
      <c r="E255" s="83">
        <f>'LEVEL 3'!K277</f>
        <v>299756</v>
      </c>
      <c r="F255" s="1"/>
      <c r="H255" s="83">
        <f t="shared" si="19"/>
        <v>649656</v>
      </c>
      <c r="I255" s="1"/>
      <c r="K255" s="83">
        <f>B255/'Scenario 1 - Phase 1'!$E$8</f>
        <v>1008.35734870317</v>
      </c>
      <c r="L255" s="1"/>
      <c r="N255" s="83">
        <f>E255/'LEVEL 3'!$E$8</f>
        <v>1545.1340206185566</v>
      </c>
      <c r="O255" s="1"/>
      <c r="Q255" s="83">
        <f>H255/('Scenario 1 - Phase 1'!$E$8+'LEVEL 3'!$E$8)</f>
        <v>1200.8428835489833</v>
      </c>
      <c r="R255" s="1"/>
      <c r="T255" s="197">
        <f>B255/'Scenario 1 - Phase 1'!$B$8</f>
        <v>1.1245669179988558</v>
      </c>
      <c r="U255" s="193"/>
      <c r="V255" s="194"/>
      <c r="W255" s="197">
        <f>E255/'LEVEL 3'!$B$8</f>
        <v>1.5271156305243798</v>
      </c>
      <c r="X255" s="193"/>
      <c r="Y255" s="194"/>
      <c r="Z255" s="197">
        <f>H255/('Scenario 1 - Phase 1'!$B$8+'LEVEL 3'!$B$8)</f>
        <v>1.2802844130532034</v>
      </c>
      <c r="AA255" s="1"/>
    </row>
    <row r="256" spans="1:27">
      <c r="A256" s="172" t="s">
        <v>607</v>
      </c>
      <c r="B256" s="83">
        <f>'Scenario 1 - Phase 1'!K271</f>
        <v>57664</v>
      </c>
      <c r="C256" s="1"/>
      <c r="E256" s="83">
        <f>'LEVEL 3'!K278</f>
        <v>51885</v>
      </c>
      <c r="F256" s="1"/>
      <c r="H256" s="83">
        <f t="shared" si="19"/>
        <v>109549</v>
      </c>
      <c r="I256" s="1"/>
      <c r="K256" s="83">
        <f>B256/'Scenario 1 - Phase 1'!$E$8</f>
        <v>166.17867435158502</v>
      </c>
      <c r="L256" s="1"/>
      <c r="N256" s="83">
        <f>E256/'LEVEL 3'!$E$8</f>
        <v>267.44845360824741</v>
      </c>
      <c r="O256" s="1"/>
      <c r="Q256" s="83">
        <f>H256/('Scenario 1 - Phase 1'!$E$8+'LEVEL 3'!$E$8)</f>
        <v>202.49353049907577</v>
      </c>
      <c r="R256" s="1"/>
      <c r="T256" s="197">
        <f>B256/'Scenario 1 - Phase 1'!$B$8</f>
        <v>0.18533017079018582</v>
      </c>
      <c r="U256" s="193"/>
      <c r="V256" s="194"/>
      <c r="W256" s="197">
        <f>E256/'LEVEL 3'!$B$8</f>
        <v>0.26432963640346629</v>
      </c>
      <c r="X256" s="193"/>
      <c r="Y256" s="194"/>
      <c r="Z256" s="197">
        <f>H256/('Scenario 1 - Phase 1'!$B$8+'LEVEL 3'!$B$8)</f>
        <v>0.21588945097954204</v>
      </c>
      <c r="AA256" s="1"/>
    </row>
    <row r="257" spans="1:27">
      <c r="A257" s="37" t="s">
        <v>592</v>
      </c>
      <c r="B257" s="83">
        <f>'Scenario 1 - Phase 1'!K272</f>
        <v>0</v>
      </c>
      <c r="C257" s="1"/>
      <c r="E257" s="83">
        <f>'LEVEL 3'!K279</f>
        <v>0</v>
      </c>
      <c r="F257" s="1"/>
      <c r="H257" s="83">
        <f t="shared" si="19"/>
        <v>0</v>
      </c>
      <c r="I257" s="1"/>
      <c r="K257" s="83">
        <f>B257/'Scenario 1 - Phase 1'!$E$8</f>
        <v>0</v>
      </c>
      <c r="L257" s="1"/>
      <c r="N257" s="83">
        <f>E257/'LEVEL 3'!$E$8</f>
        <v>0</v>
      </c>
      <c r="O257" s="1"/>
      <c r="Q257" s="83">
        <f>H257/('Scenario 1 - Phase 1'!$E$8+'LEVEL 3'!$E$8)</f>
        <v>0</v>
      </c>
      <c r="R257" s="1"/>
      <c r="T257" s="197">
        <f>B257/'Scenario 1 - Phase 1'!$B$8</f>
        <v>0</v>
      </c>
      <c r="U257" s="193"/>
      <c r="V257" s="194"/>
      <c r="W257" s="197">
        <f>E257/'LEVEL 3'!$B$8</f>
        <v>0</v>
      </c>
      <c r="X257" s="193"/>
      <c r="Y257" s="194"/>
      <c r="Z257" s="197">
        <f>H257/('Scenario 1 - Phase 1'!$B$8+'LEVEL 3'!$B$8)</f>
        <v>0</v>
      </c>
      <c r="AA257" s="1"/>
    </row>
    <row r="258" spans="1:27">
      <c r="A258" s="172" t="s">
        <v>608</v>
      </c>
      <c r="B258" s="83">
        <f>'Scenario 1 - Phase 1'!K273</f>
        <v>0</v>
      </c>
      <c r="C258" s="1"/>
      <c r="E258" s="83">
        <f>'LEVEL 3'!K280</f>
        <v>149161</v>
      </c>
      <c r="F258" s="1"/>
      <c r="H258" s="83">
        <f t="shared" si="19"/>
        <v>149161</v>
      </c>
      <c r="I258" s="1"/>
      <c r="K258" s="83">
        <f>B258/'Scenario 1 - Phase 1'!$E$8</f>
        <v>0</v>
      </c>
      <c r="L258" s="1"/>
      <c r="N258" s="83">
        <f>E258/'LEVEL 3'!$E$8</f>
        <v>768.87113402061857</v>
      </c>
      <c r="O258" s="1"/>
      <c r="Q258" s="83">
        <f>H258/('Scenario 1 - Phase 1'!$E$8+'LEVEL 3'!$E$8)</f>
        <v>275.71349353049908</v>
      </c>
      <c r="R258" s="1"/>
      <c r="T258" s="197">
        <f>B258/'Scenario 1 - Phase 1'!$B$8</f>
        <v>0</v>
      </c>
      <c r="U258" s="193"/>
      <c r="V258" s="194"/>
      <c r="W258" s="197">
        <f>E258/'LEVEL 3'!$B$8</f>
        <v>0.75990503797971354</v>
      </c>
      <c r="X258" s="193"/>
      <c r="Y258" s="194"/>
      <c r="Z258" s="197">
        <f>H258/('Scenario 1 - Phase 1'!$B$8+'LEVEL 3'!$B$8)</f>
        <v>0.29395326655249682</v>
      </c>
      <c r="AA258" s="1"/>
    </row>
    <row r="259" spans="1:27">
      <c r="A259" s="33" t="s">
        <v>609</v>
      </c>
      <c r="B259" s="82"/>
      <c r="C259" s="102">
        <f>SUM(B260)</f>
        <v>7500</v>
      </c>
      <c r="E259" s="82"/>
      <c r="F259" s="102">
        <f>SUM(E260)</f>
        <v>7500</v>
      </c>
      <c r="H259" s="82"/>
      <c r="I259" s="102">
        <f>SUM(H260)</f>
        <v>15000</v>
      </c>
      <c r="K259" s="82"/>
      <c r="L259" s="102">
        <f>SUM(K260)</f>
        <v>21.613832853025936</v>
      </c>
      <c r="N259" s="82"/>
      <c r="O259" s="102">
        <f>SUM(N260)</f>
        <v>38.659793814432987</v>
      </c>
      <c r="Q259" s="82"/>
      <c r="R259" s="102">
        <f>SUM(Q260)</f>
        <v>27.726432532347506</v>
      </c>
      <c r="T259" s="82"/>
      <c r="U259" s="201">
        <f>C259/'Scenario 1 - Phase 1'!$B$8</f>
        <v>2.4104749599861156E-2</v>
      </c>
      <c r="V259" s="199"/>
      <c r="W259" s="203"/>
      <c r="X259" s="201">
        <f>F259/'LEVEL 3'!$B$8</f>
        <v>3.8208967389919968E-2</v>
      </c>
      <c r="Y259" s="199"/>
      <c r="Z259" s="203"/>
      <c r="AA259" s="201">
        <f>I259/('Scenario 1 - Phase 1'!$B$8+'LEVEL 3'!$B$8)</f>
        <v>2.9560669332382137E-2</v>
      </c>
    </row>
    <row r="260" spans="1:27">
      <c r="A260" s="34" t="s">
        <v>611</v>
      </c>
      <c r="B260" s="65">
        <f>'Scenario 1 - Phase 1'!K275</f>
        <v>7500</v>
      </c>
      <c r="C260" s="1"/>
      <c r="E260" s="65">
        <f>'LEVEL 3'!K282</f>
        <v>7500</v>
      </c>
      <c r="F260" s="1"/>
      <c r="H260" s="65">
        <f>B260+E260</f>
        <v>15000</v>
      </c>
      <c r="I260" s="1"/>
      <c r="K260" s="65">
        <f>B260/'Scenario 1 - Phase 1'!$E$8</f>
        <v>21.613832853025936</v>
      </c>
      <c r="L260" s="1"/>
      <c r="N260" s="65">
        <f>E260/'LEVEL 3'!$E$8</f>
        <v>38.659793814432987</v>
      </c>
      <c r="O260" s="1"/>
      <c r="Q260" s="65">
        <f>H260/('Scenario 1 - Phase 1'!$E$8+'LEVEL 3'!$E$8)</f>
        <v>27.726432532347506</v>
      </c>
      <c r="R260" s="1"/>
      <c r="T260" s="192">
        <f>B260/'Scenario 1 - Phase 1'!$B$8</f>
        <v>2.4104749599861156E-2</v>
      </c>
      <c r="U260" s="193"/>
      <c r="V260" s="194"/>
      <c r="W260" s="192">
        <f>E260/'LEVEL 3'!$B$8</f>
        <v>3.8208967389919968E-2</v>
      </c>
      <c r="X260" s="193"/>
      <c r="Y260" s="194"/>
      <c r="Z260" s="192">
        <f>H260/('Scenario 1 - Phase 1'!$B$8+'LEVEL 3'!$B$8)</f>
        <v>2.9560669332382137E-2</v>
      </c>
      <c r="AA260" s="1"/>
    </row>
    <row r="261" spans="1:27">
      <c r="A261" s="33" t="s">
        <v>613</v>
      </c>
      <c r="B261" s="82"/>
      <c r="C261" s="102">
        <f>SUM(B262:B264)</f>
        <v>335539.30769230769</v>
      </c>
      <c r="E261" s="82"/>
      <c r="F261" s="102">
        <f>SUM(E262:E264)</f>
        <v>392850</v>
      </c>
      <c r="H261" s="82"/>
      <c r="I261" s="102">
        <f>SUM(H262:H264)</f>
        <v>728389.30769230775</v>
      </c>
      <c r="K261" s="82"/>
      <c r="L261" s="102">
        <f>SUM(K262:K264)</f>
        <v>966.97206827754371</v>
      </c>
      <c r="N261" s="82"/>
      <c r="O261" s="102">
        <f>SUM(N262:N264)</f>
        <v>2024.9999999999998</v>
      </c>
      <c r="Q261" s="82"/>
      <c r="R261" s="102">
        <f>SUM(Q262:Q264)</f>
        <v>1346.3757998009385</v>
      </c>
      <c r="T261" s="82"/>
      <c r="U261" s="201">
        <f>C261/'Scenario 1 - Phase 1'!$B$8</f>
        <v>1.0784121323778457</v>
      </c>
      <c r="V261" s="199"/>
      <c r="W261" s="203"/>
      <c r="X261" s="201">
        <f>F261/'LEVEL 3'!$B$8</f>
        <v>2.0013857118840077</v>
      </c>
      <c r="Y261" s="199"/>
      <c r="Z261" s="203"/>
      <c r="AA261" s="201">
        <f>I261/('Scenario 1 - Phase 1'!$B$8+'LEVEL 3'!$B$8)</f>
        <v>1.4354450313290039</v>
      </c>
    </row>
    <row r="262" spans="1:27">
      <c r="A262" s="35" t="s">
        <v>615</v>
      </c>
      <c r="B262" s="71">
        <f>'Scenario 1 - Phase 1'!K277</f>
        <v>314702.30769230769</v>
      </c>
      <c r="C262" s="1"/>
      <c r="E262" s="71">
        <f>'LEVEL 3'!K284</f>
        <v>326850</v>
      </c>
      <c r="F262" s="1"/>
      <c r="H262" s="71">
        <f t="shared" ref="H262:H264" si="20">B262+E262</f>
        <v>641552.30769230775</v>
      </c>
      <c r="I262" s="1"/>
      <c r="K262" s="71">
        <f>B262/'Scenario 1 - Phase 1'!$E$8</f>
        <v>906.92307692307691</v>
      </c>
      <c r="L262" s="1"/>
      <c r="N262" s="71">
        <f>E262/'LEVEL 3'!$E$8</f>
        <v>1684.7938144329896</v>
      </c>
      <c r="O262" s="1"/>
      <c r="Q262" s="71">
        <f>H262/('Scenario 1 - Phase 1'!$E$8+'LEVEL 3'!$E$8)</f>
        <v>1185.8637850135078</v>
      </c>
      <c r="R262" s="1"/>
      <c r="T262" s="195">
        <f>B262/'Scenario 1 - Phase 1'!$B$8</f>
        <v>1.0114427100562049</v>
      </c>
      <c r="U262" s="193"/>
      <c r="V262" s="194"/>
      <c r="W262" s="195">
        <f>E262/'LEVEL 3'!$B$8</f>
        <v>1.665146798852712</v>
      </c>
      <c r="X262" s="193"/>
      <c r="Y262" s="194"/>
      <c r="Z262" s="195">
        <f>H262/('Scenario 1 - Phase 1'!$B$8+'LEVEL 3'!$B$8)</f>
        <v>1.264314375141266</v>
      </c>
      <c r="AA262" s="1"/>
    </row>
    <row r="263" spans="1:27">
      <c r="A263" s="37" t="s">
        <v>617</v>
      </c>
      <c r="B263" s="83">
        <f>'Scenario 1 - Phase 1'!K278</f>
        <v>20837</v>
      </c>
      <c r="C263" s="1"/>
      <c r="E263" s="83">
        <f>'LEVEL 3'!K285</f>
        <v>31000</v>
      </c>
      <c r="F263" s="1"/>
      <c r="H263" s="83">
        <f t="shared" si="20"/>
        <v>51837</v>
      </c>
      <c r="I263" s="1"/>
      <c r="K263" s="83">
        <f>B263/'Scenario 1 - Phase 1'!$E$8</f>
        <v>60.048991354466857</v>
      </c>
      <c r="L263" s="1"/>
      <c r="N263" s="83">
        <f>E263/'LEVEL 3'!$E$8</f>
        <v>159.79381443298968</v>
      </c>
      <c r="O263" s="1"/>
      <c r="Q263" s="83">
        <f>H263/('Scenario 1 - Phase 1'!$E$8+'LEVEL 3'!$E$8)</f>
        <v>95.817005545286506</v>
      </c>
      <c r="R263" s="1"/>
      <c r="T263" s="197">
        <f>B263/'Scenario 1 - Phase 1'!$B$8</f>
        <v>6.6969422321640923E-2</v>
      </c>
      <c r="U263" s="193"/>
      <c r="V263" s="194"/>
      <c r="W263" s="197">
        <f>E263/'LEVEL 3'!$B$8</f>
        <v>0.15793039854500251</v>
      </c>
      <c r="X263" s="193"/>
      <c r="Y263" s="194"/>
      <c r="Z263" s="197">
        <f>H263/('Scenario 1 - Phase 1'!$B$8+'LEVEL 3'!$B$8)</f>
        <v>0.10215576107884619</v>
      </c>
      <c r="AA263" s="1"/>
    </row>
    <row r="264" spans="1:27">
      <c r="A264" s="37" t="s">
        <v>619</v>
      </c>
      <c r="B264" s="83">
        <f>'Scenario 1 - Phase 1'!K279</f>
        <v>0</v>
      </c>
      <c r="C264" s="1"/>
      <c r="E264" s="83">
        <f>'LEVEL 3'!K286</f>
        <v>35000</v>
      </c>
      <c r="F264" s="1"/>
      <c r="H264" s="83">
        <f t="shared" si="20"/>
        <v>35000</v>
      </c>
      <c r="I264" s="1"/>
      <c r="K264" s="83">
        <f>B264/'Scenario 1 - Phase 1'!$E$8</f>
        <v>0</v>
      </c>
      <c r="L264" s="1"/>
      <c r="N264" s="83">
        <f>E264/'LEVEL 3'!$E$8</f>
        <v>180.41237113402062</v>
      </c>
      <c r="O264" s="1"/>
      <c r="Q264" s="83">
        <f>H264/('Scenario 1 - Phase 1'!$E$8+'LEVEL 3'!$E$8)</f>
        <v>64.695009242144181</v>
      </c>
      <c r="R264" s="1"/>
      <c r="T264" s="197">
        <f>B264/'Scenario 1 - Phase 1'!$B$8</f>
        <v>0</v>
      </c>
      <c r="U264" s="193"/>
      <c r="V264" s="194"/>
      <c r="W264" s="197">
        <f>E264/'LEVEL 3'!$B$8</f>
        <v>0.17830851448629317</v>
      </c>
      <c r="X264" s="193"/>
      <c r="Y264" s="194"/>
      <c r="Z264" s="197">
        <f>H264/('Scenario 1 - Phase 1'!$B$8+'LEVEL 3'!$B$8)</f>
        <v>6.8974895108891654E-2</v>
      </c>
      <c r="AA264" s="1"/>
    </row>
    <row r="265" spans="1:27">
      <c r="A265" s="33" t="s">
        <v>621</v>
      </c>
      <c r="B265" s="82"/>
      <c r="C265" s="102">
        <f>SUM(B266:B274)</f>
        <v>315942.12</v>
      </c>
      <c r="E265" s="82"/>
      <c r="F265" s="102">
        <f>SUM(E266:E274)</f>
        <v>234787.5</v>
      </c>
      <c r="H265" s="82"/>
      <c r="I265" s="102">
        <f>SUM(H266:H274)</f>
        <v>550729.62</v>
      </c>
      <c r="K265" s="82"/>
      <c r="L265" s="102">
        <f>SUM(K266:K274)</f>
        <v>910.49602305475503</v>
      </c>
      <c r="N265" s="82"/>
      <c r="O265" s="102">
        <f>SUM(N266:N274)</f>
        <v>1210.2448453608245</v>
      </c>
      <c r="Q265" s="82"/>
      <c r="R265" s="102">
        <f>SUM(Q266:Q274)</f>
        <v>1017.9845101663585</v>
      </c>
      <c r="T265" s="82"/>
      <c r="U265" s="201">
        <f>C265/'Scenario 1 - Phase 1'!$B$8</f>
        <v>1.0154274254199047</v>
      </c>
      <c r="V265" s="199"/>
      <c r="W265" s="203"/>
      <c r="X265" s="201">
        <f>F265/'LEVEL 3'!$B$8</f>
        <v>1.1961317241414444</v>
      </c>
      <c r="Y265" s="199"/>
      <c r="Z265" s="203"/>
      <c r="AA265" s="201">
        <f>I265/('Scenario 1 - Phase 1'!$B$8+'LEVEL 3'!$B$8)</f>
        <v>1.0853290792245645</v>
      </c>
    </row>
    <row r="266" spans="1:27">
      <c r="A266" s="35" t="s">
        <v>623</v>
      </c>
      <c r="B266" s="71">
        <f>'Scenario 1 - Phase 1'!K281</f>
        <v>34093.799999999996</v>
      </c>
      <c r="C266" s="1"/>
      <c r="E266" s="71">
        <f>'LEVEL 3'!K288</f>
        <v>49000</v>
      </c>
      <c r="F266" s="1"/>
      <c r="H266" s="71">
        <f t="shared" ref="H266:H274" si="21">B266+E266</f>
        <v>83093.799999999988</v>
      </c>
      <c r="I266" s="1"/>
      <c r="K266" s="71">
        <f>B266/'Scenario 1 - Phase 1'!$E$8</f>
        <v>98.253025936599414</v>
      </c>
      <c r="L266" s="1"/>
      <c r="N266" s="71">
        <f>E266/'LEVEL 3'!$E$8</f>
        <v>252.57731958762886</v>
      </c>
      <c r="O266" s="1"/>
      <c r="Q266" s="71">
        <f>H266/('Scenario 1 - Phase 1'!$E$8+'LEVEL 3'!$E$8)</f>
        <v>153.59297597042513</v>
      </c>
      <c r="R266" s="1"/>
      <c r="T266" s="195">
        <f>B266/'Scenario 1 - Phase 1'!$B$8</f>
        <v>0.10957633492103283</v>
      </c>
      <c r="U266" s="193"/>
      <c r="V266" s="194"/>
      <c r="W266" s="195">
        <f>E266/'LEVEL 3'!$B$8</f>
        <v>0.24963192028081044</v>
      </c>
      <c r="X266" s="193"/>
      <c r="Y266" s="194"/>
      <c r="Z266" s="195">
        <f>H266/('Scenario 1 - Phase 1'!$B$8+'LEVEL 3'!$B$8)</f>
        <v>0.16375388969140631</v>
      </c>
      <c r="AA266" s="1"/>
    </row>
    <row r="267" spans="1:27">
      <c r="A267" s="37" t="s">
        <v>625</v>
      </c>
      <c r="B267" s="83">
        <f>'Scenario 1 - Phase 1'!K282</f>
        <v>18041.399999999998</v>
      </c>
      <c r="C267" s="1"/>
      <c r="E267" s="83">
        <f>'LEVEL 3'!K289</f>
        <v>5000</v>
      </c>
      <c r="F267" s="1"/>
      <c r="H267" s="83">
        <f t="shared" si="21"/>
        <v>23041.399999999998</v>
      </c>
      <c r="I267" s="1"/>
      <c r="K267" s="83">
        <f>B267/'Scenario 1 - Phase 1'!$E$8</f>
        <v>51.992507204610945</v>
      </c>
      <c r="L267" s="1"/>
      <c r="N267" s="83">
        <f>E267/'LEVEL 3'!$E$8</f>
        <v>25.773195876288661</v>
      </c>
      <c r="O267" s="1"/>
      <c r="Q267" s="83">
        <f>H267/('Scenario 1 - Phase 1'!$E$8+'LEVEL 3'!$E$8)</f>
        <v>42.590388170055448</v>
      </c>
      <c r="R267" s="1"/>
      <c r="T267" s="197">
        <f>B267/'Scenario 1 - Phase 1'!$B$8</f>
        <v>5.7984457257458002E-2</v>
      </c>
      <c r="U267" s="193"/>
      <c r="V267" s="194"/>
      <c r="W267" s="197">
        <f>E267/'LEVEL 3'!$B$8</f>
        <v>2.547264492661331E-2</v>
      </c>
      <c r="X267" s="193"/>
      <c r="Y267" s="194"/>
      <c r="Z267" s="197">
        <f>H267/('Scenario 1 - Phase 1'!$B$8+'LEVEL 3'!$B$8)</f>
        <v>4.5407947090343313E-2</v>
      </c>
      <c r="AA267" s="1"/>
    </row>
    <row r="268" spans="1:27">
      <c r="A268" s="37" t="s">
        <v>627</v>
      </c>
      <c r="B268" s="83">
        <f>'Scenario 1 - Phase 1'!K283</f>
        <v>21879</v>
      </c>
      <c r="C268" s="1"/>
      <c r="E268" s="83">
        <f>'LEVEL 3'!K290</f>
        <v>5000</v>
      </c>
      <c r="F268" s="1"/>
      <c r="H268" s="83">
        <f t="shared" si="21"/>
        <v>26879</v>
      </c>
      <c r="I268" s="1"/>
      <c r="K268" s="83">
        <f>B268/'Scenario 1 - Phase 1'!$E$8</f>
        <v>63.051873198847261</v>
      </c>
      <c r="L268" s="1"/>
      <c r="N268" s="83">
        <f>E268/'LEVEL 3'!$E$8</f>
        <v>25.773195876288661</v>
      </c>
      <c r="O268" s="1"/>
      <c r="Q268" s="83">
        <f>H268/('Scenario 1 - Phase 1'!$E$8+'LEVEL 3'!$E$8)</f>
        <v>49.683918669131238</v>
      </c>
      <c r="R268" s="1"/>
      <c r="T268" s="197">
        <f>B268/'Scenario 1 - Phase 1'!$B$8</f>
        <v>7.0318375532714972E-2</v>
      </c>
      <c r="U268" s="193"/>
      <c r="V268" s="194"/>
      <c r="W268" s="197">
        <f>E268/'LEVEL 3'!$B$8</f>
        <v>2.547264492661331E-2</v>
      </c>
      <c r="X268" s="193"/>
      <c r="Y268" s="194"/>
      <c r="Z268" s="197">
        <f>H268/('Scenario 1 - Phase 1'!$B$8+'LEVEL 3'!$B$8)</f>
        <v>5.2970748732339965E-2</v>
      </c>
      <c r="AA268" s="1"/>
    </row>
    <row r="269" spans="1:27">
      <c r="A269" s="37" t="s">
        <v>629</v>
      </c>
      <c r="B269" s="83">
        <f>'Scenario 1 - Phase 1'!K284</f>
        <v>77435.279999999984</v>
      </c>
      <c r="C269" s="1"/>
      <c r="E269" s="83">
        <f>'LEVEL 3'!K291</f>
        <v>28297.500000000004</v>
      </c>
      <c r="F269" s="1"/>
      <c r="H269" s="83">
        <f t="shared" si="21"/>
        <v>105732.77999999998</v>
      </c>
      <c r="I269" s="1"/>
      <c r="K269" s="83">
        <f>B269/'Scenario 1 - Phase 1'!$E$8</f>
        <v>223.15642651296827</v>
      </c>
      <c r="L269" s="1"/>
      <c r="N269" s="83">
        <f>E269/'LEVEL 3'!$E$8</f>
        <v>145.86340206185568</v>
      </c>
      <c r="O269" s="1"/>
      <c r="Q269" s="83">
        <f>H269/('Scenario 1 - Phase 1'!$E$8+'LEVEL 3'!$E$8)</f>
        <v>195.43951940850275</v>
      </c>
      <c r="R269" s="1"/>
      <c r="T269" s="197">
        <f>B269/'Scenario 1 - Phase 1'!$B$8</f>
        <v>0.24887440461268484</v>
      </c>
      <c r="U269" s="193"/>
      <c r="V269" s="194"/>
      <c r="W269" s="197">
        <f>E269/'LEVEL 3'!$B$8</f>
        <v>0.14416243396216805</v>
      </c>
      <c r="X269" s="193"/>
      <c r="Y269" s="194"/>
      <c r="Z269" s="197">
        <f>H269/('Scenario 1 - Phase 1'!$B$8+'LEVEL 3'!$B$8)</f>
        <v>0.20836878314490045</v>
      </c>
      <c r="AA269" s="1"/>
    </row>
    <row r="270" spans="1:27">
      <c r="A270" s="37" t="s">
        <v>631</v>
      </c>
      <c r="B270" s="83">
        <f>'Scenario 1 - Phase 1'!K285</f>
        <v>46870.2</v>
      </c>
      <c r="C270" s="1"/>
      <c r="E270" s="83">
        <f>'LEVEL 3'!K292</f>
        <v>37240</v>
      </c>
      <c r="F270" s="1"/>
      <c r="H270" s="83">
        <f t="shared" si="21"/>
        <v>84110.2</v>
      </c>
      <c r="I270" s="1"/>
      <c r="K270" s="83">
        <f>B270/'Scenario 1 - Phase 1'!$E$8</f>
        <v>135.07262247838617</v>
      </c>
      <c r="L270" s="1"/>
      <c r="N270" s="83">
        <f>E270/'LEVEL 3'!$E$8</f>
        <v>191.95876288659792</v>
      </c>
      <c r="O270" s="1"/>
      <c r="Q270" s="83">
        <f>H270/('Scenario 1 - Phase 1'!$E$8+'LEVEL 3'!$E$8)</f>
        <v>155.47171903881701</v>
      </c>
      <c r="R270" s="1"/>
      <c r="T270" s="197">
        <f>B270/'Scenario 1 - Phase 1'!$B$8</f>
        <v>0.15063925795938832</v>
      </c>
      <c r="U270" s="193"/>
      <c r="V270" s="194"/>
      <c r="W270" s="197">
        <f>E270/'LEVEL 3'!$B$8</f>
        <v>0.18972025941341594</v>
      </c>
      <c r="X270" s="193"/>
      <c r="Y270" s="194"/>
      <c r="Z270" s="197">
        <f>H270/('Scenario 1 - Phase 1'!$B$8+'LEVEL 3'!$B$8)</f>
        <v>0.16575692064536854</v>
      </c>
      <c r="AA270" s="1"/>
    </row>
    <row r="271" spans="1:27">
      <c r="A271" s="37" t="s">
        <v>633</v>
      </c>
      <c r="B271" s="83">
        <f>'Scenario 1 - Phase 1'!K286</f>
        <v>41467.139999999992</v>
      </c>
      <c r="C271" s="1"/>
      <c r="E271" s="83">
        <f>'LEVEL 3'!K293</f>
        <v>56350.000000000007</v>
      </c>
      <c r="F271" s="1"/>
      <c r="H271" s="83">
        <f t="shared" si="21"/>
        <v>97817.14</v>
      </c>
      <c r="I271" s="1"/>
      <c r="K271" s="83">
        <f>B271/'Scenario 1 - Phase 1'!$E$8</f>
        <v>119.50184438040344</v>
      </c>
      <c r="L271" s="1"/>
      <c r="N271" s="83">
        <f>E271/'LEVEL 3'!$E$8</f>
        <v>290.46391752577324</v>
      </c>
      <c r="O271" s="1"/>
      <c r="Q271" s="83">
        <f>H271/('Scenario 1 - Phase 1'!$E$8+'LEVEL 3'!$E$8)</f>
        <v>180.80802218114601</v>
      </c>
      <c r="R271" s="1"/>
      <c r="T271" s="197">
        <f>B271/'Scenario 1 - Phase 1'!$B$8</f>
        <v>0.13327400350965152</v>
      </c>
      <c r="U271" s="193"/>
      <c r="V271" s="194"/>
      <c r="W271" s="197">
        <f>E271/'LEVEL 3'!$B$8</f>
        <v>0.28707670832293203</v>
      </c>
      <c r="X271" s="193"/>
      <c r="Y271" s="194"/>
      <c r="Z271" s="197">
        <f>H271/('Scenario 1 - Phase 1'!$B$8+'LEVEL 3'!$B$8)</f>
        <v>0.192769342038622</v>
      </c>
      <c r="AA271" s="1"/>
    </row>
    <row r="272" spans="1:27">
      <c r="A272" s="37" t="s">
        <v>635</v>
      </c>
      <c r="B272" s="83">
        <f>'Scenario 1 - Phase 1'!K287</f>
        <v>9547.1999999999989</v>
      </c>
      <c r="C272" s="1"/>
      <c r="E272" s="83">
        <f>'LEVEL 3'!K294</f>
        <v>19600</v>
      </c>
      <c r="F272" s="1"/>
      <c r="H272" s="83">
        <f t="shared" si="21"/>
        <v>29147.199999999997</v>
      </c>
      <c r="I272" s="1"/>
      <c r="K272" s="83">
        <f>B272/'Scenario 1 - Phase 1'!$E$8</f>
        <v>27.513544668587894</v>
      </c>
      <c r="L272" s="1"/>
      <c r="N272" s="83">
        <f>E272/'LEVEL 3'!$E$8</f>
        <v>101.03092783505154</v>
      </c>
      <c r="O272" s="1"/>
      <c r="Q272" s="83">
        <f>H272/('Scenario 1 - Phase 1'!$E$8+'LEVEL 3'!$E$8)</f>
        <v>53.876524953789271</v>
      </c>
      <c r="R272" s="1"/>
      <c r="T272" s="197">
        <f>B272/'Scenario 1 - Phase 1'!$B$8</f>
        <v>3.0684382050639253E-2</v>
      </c>
      <c r="U272" s="193"/>
      <c r="V272" s="194"/>
      <c r="W272" s="197">
        <f>E272/'LEVEL 3'!$B$8</f>
        <v>9.9852768112324172E-2</v>
      </c>
      <c r="X272" s="193"/>
      <c r="Y272" s="194"/>
      <c r="Z272" s="197">
        <f>H272/('Scenario 1 - Phase 1'!$B$8+'LEVEL 3'!$B$8)</f>
        <v>5.74407160776539E-2</v>
      </c>
      <c r="AA272" s="1"/>
    </row>
    <row r="273" spans="1:27">
      <c r="A273" s="37" t="s">
        <v>637</v>
      </c>
      <c r="B273" s="83">
        <f>'Scenario 1 - Phase 1'!K288</f>
        <v>8381.8799999999992</v>
      </c>
      <c r="C273" s="1"/>
      <c r="E273" s="83">
        <f>'LEVEL 3'!K295</f>
        <v>14700.000000000002</v>
      </c>
      <c r="F273" s="1"/>
      <c r="H273" s="83">
        <f t="shared" si="21"/>
        <v>23081.88</v>
      </c>
      <c r="I273" s="1"/>
      <c r="K273" s="83">
        <f>B273/'Scenario 1 - Phase 1'!$E$8</f>
        <v>24.155273775216138</v>
      </c>
      <c r="L273" s="1"/>
      <c r="N273" s="83">
        <f>E273/'LEVEL 3'!$E$8</f>
        <v>75.773195876288668</v>
      </c>
      <c r="O273" s="1"/>
      <c r="Q273" s="83">
        <f>H273/('Scenario 1 - Phase 1'!$E$8+'LEVEL 3'!$E$8)</f>
        <v>42.665212569316083</v>
      </c>
      <c r="R273" s="1"/>
      <c r="T273" s="197">
        <f>B273/'Scenario 1 - Phase 1'!$B$8</f>
        <v>2.6939082476811229E-2</v>
      </c>
      <c r="U273" s="193"/>
      <c r="V273" s="194"/>
      <c r="W273" s="197">
        <f>E273/'LEVEL 3'!$B$8</f>
        <v>7.488957608424314E-2</v>
      </c>
      <c r="X273" s="193"/>
      <c r="Y273" s="194"/>
      <c r="Z273" s="197">
        <f>H273/('Scenario 1 - Phase 1'!$B$8+'LEVEL 3'!$B$8)</f>
        <v>4.5487721483314973E-2</v>
      </c>
      <c r="AA273" s="1"/>
    </row>
    <row r="274" spans="1:27">
      <c r="A274" s="37" t="s">
        <v>639</v>
      </c>
      <c r="B274" s="83">
        <f>'Scenario 1 - Phase 1'!K289</f>
        <v>58226.22</v>
      </c>
      <c r="C274" s="1"/>
      <c r="E274" s="83">
        <f>'LEVEL 3'!K296</f>
        <v>19600</v>
      </c>
      <c r="F274" s="1"/>
      <c r="H274" s="83">
        <f t="shared" si="21"/>
        <v>77826.22</v>
      </c>
      <c r="I274" s="1"/>
      <c r="K274" s="83">
        <f>B274/'Scenario 1 - Phase 1'!$E$8</f>
        <v>167.79890489913544</v>
      </c>
      <c r="L274" s="1"/>
      <c r="N274" s="83">
        <f>E274/'LEVEL 3'!$E$8</f>
        <v>101.03092783505154</v>
      </c>
      <c r="O274" s="1"/>
      <c r="Q274" s="83">
        <f>H274/('Scenario 1 - Phase 1'!$E$8+'LEVEL 3'!$E$8)</f>
        <v>143.85622920517559</v>
      </c>
      <c r="R274" s="1"/>
      <c r="T274" s="197">
        <f>B274/'Scenario 1 - Phase 1'!$B$8</f>
        <v>0.18713712709952368</v>
      </c>
      <c r="U274" s="193"/>
      <c r="V274" s="194"/>
      <c r="W274" s="197">
        <f>E274/'LEVEL 3'!$B$8</f>
        <v>9.9852768112324172E-2</v>
      </c>
      <c r="X274" s="193"/>
      <c r="Y274" s="194"/>
      <c r="Z274" s="197">
        <f>H274/('Scenario 1 - Phase 1'!$B$8+'LEVEL 3'!$B$8)</f>
        <v>0.15337301032061501</v>
      </c>
      <c r="AA274" s="1"/>
    </row>
    <row r="275" spans="1:27">
      <c r="A275" s="33" t="s">
        <v>696</v>
      </c>
      <c r="B275" s="82"/>
      <c r="C275" s="102">
        <f>SUM(B276:B283)</f>
        <v>1288500</v>
      </c>
      <c r="E275" s="82"/>
      <c r="F275" s="102">
        <f>SUM(E276:E283)</f>
        <v>0</v>
      </c>
      <c r="H275" s="82"/>
      <c r="I275" s="102">
        <f>SUM(H276:H283)</f>
        <v>1288500</v>
      </c>
      <c r="K275" s="82"/>
      <c r="L275" s="102">
        <f>SUM(K276:K283)</f>
        <v>3713.2564841498561</v>
      </c>
      <c r="N275" s="82"/>
      <c r="O275" s="102">
        <f>SUM(N276:N283)</f>
        <v>0</v>
      </c>
      <c r="Q275" s="82"/>
      <c r="R275" s="102">
        <f>SUM(Q276:Q283)</f>
        <v>2381.7005545286506</v>
      </c>
      <c r="T275" s="82"/>
      <c r="U275" s="201">
        <f>C275/'Scenario 1 - Phase 1'!$B$8</f>
        <v>4.1411959812561463</v>
      </c>
      <c r="V275" s="199"/>
      <c r="W275" s="203"/>
      <c r="X275" s="201">
        <f>F275/'LEVEL 3'!$B$8</f>
        <v>0</v>
      </c>
      <c r="Y275" s="199"/>
      <c r="Z275" s="203"/>
      <c r="AA275" s="201">
        <f>I275/('Scenario 1 - Phase 1'!$B$8+'LEVEL 3'!$B$8)</f>
        <v>2.5392614956516257</v>
      </c>
    </row>
    <row r="276" spans="1:27">
      <c r="A276" s="35" t="s">
        <v>696</v>
      </c>
      <c r="B276" s="71">
        <f>'Scenario 1 - Phase 1'!K291</f>
        <v>1288500</v>
      </c>
      <c r="C276" s="1"/>
      <c r="E276" s="71">
        <f>'LEVEL 3'!K298</f>
        <v>0</v>
      </c>
      <c r="F276" s="1"/>
      <c r="H276" s="71">
        <f t="shared" ref="H276:H283" si="22">B276+E276</f>
        <v>1288500</v>
      </c>
      <c r="I276" s="1"/>
      <c r="K276" s="71">
        <f>B276/'Scenario 1 - Phase 1'!$E$8</f>
        <v>3713.2564841498561</v>
      </c>
      <c r="L276" s="1"/>
      <c r="N276" s="71">
        <f>E276/'LEVEL 3'!$E$8</f>
        <v>0</v>
      </c>
      <c r="O276" s="1"/>
      <c r="Q276" s="71">
        <f>H276/('Scenario 1 - Phase 1'!$E$8+'LEVEL 3'!$E$8)</f>
        <v>2381.7005545286506</v>
      </c>
      <c r="R276" s="1"/>
      <c r="T276" s="195">
        <f>B276/'Scenario 1 - Phase 1'!$B$8</f>
        <v>4.1411959812561463</v>
      </c>
      <c r="U276" s="193"/>
      <c r="V276" s="194"/>
      <c r="W276" s="195">
        <f>E276/'LEVEL 3'!$B$8</f>
        <v>0</v>
      </c>
      <c r="X276" s="193"/>
      <c r="Y276" s="194"/>
      <c r="Z276" s="195">
        <f>H276/('Scenario 1 - Phase 1'!$B$8+'LEVEL 3'!$B$8)</f>
        <v>2.5392614956516257</v>
      </c>
      <c r="AA276" s="1"/>
    </row>
    <row r="277" spans="1:27">
      <c r="A277" s="37" t="s">
        <v>895</v>
      </c>
      <c r="B277" s="83">
        <f>'Scenario 1 - Phase 1'!K292</f>
        <v>0</v>
      </c>
      <c r="C277" s="1"/>
      <c r="E277" s="83">
        <f>'LEVEL 3'!K299</f>
        <v>0</v>
      </c>
      <c r="F277" s="1"/>
      <c r="H277" s="83">
        <f t="shared" si="22"/>
        <v>0</v>
      </c>
      <c r="I277" s="1"/>
      <c r="K277" s="83">
        <f>B277/'Scenario 1 - Phase 1'!$E$8</f>
        <v>0</v>
      </c>
      <c r="L277" s="1"/>
      <c r="N277" s="83">
        <f>E277/'LEVEL 3'!$E$8</f>
        <v>0</v>
      </c>
      <c r="O277" s="1"/>
      <c r="Q277" s="83">
        <f>H277/('Scenario 1 - Phase 1'!$E$8+'LEVEL 3'!$E$8)</f>
        <v>0</v>
      </c>
      <c r="R277" s="1"/>
      <c r="T277" s="197">
        <f>B277/'Scenario 1 - Phase 1'!$B$8</f>
        <v>0</v>
      </c>
      <c r="U277" s="193"/>
      <c r="V277" s="194"/>
      <c r="W277" s="197">
        <f>E277/'LEVEL 3'!$B$8</f>
        <v>0</v>
      </c>
      <c r="X277" s="193"/>
      <c r="Y277" s="194"/>
      <c r="Z277" s="197">
        <f>H277/('Scenario 1 - Phase 1'!$B$8+'LEVEL 3'!$B$8)</f>
        <v>0</v>
      </c>
      <c r="AA277" s="1"/>
    </row>
    <row r="278" spans="1:27">
      <c r="A278" s="37" t="s">
        <v>896</v>
      </c>
      <c r="B278" s="83">
        <f>'Scenario 1 - Phase 1'!K293</f>
        <v>0</v>
      </c>
      <c r="C278" s="1"/>
      <c r="E278" s="83">
        <f>'LEVEL 3'!K300</f>
        <v>0</v>
      </c>
      <c r="F278" s="1"/>
      <c r="H278" s="83">
        <f t="shared" si="22"/>
        <v>0</v>
      </c>
      <c r="I278" s="1"/>
      <c r="K278" s="83">
        <f>B278/'Scenario 1 - Phase 1'!$E$8</f>
        <v>0</v>
      </c>
      <c r="L278" s="1"/>
      <c r="N278" s="83">
        <f>E278/'LEVEL 3'!$E$8</f>
        <v>0</v>
      </c>
      <c r="O278" s="1"/>
      <c r="Q278" s="83">
        <f>H278/('Scenario 1 - Phase 1'!$E$8+'LEVEL 3'!$E$8)</f>
        <v>0</v>
      </c>
      <c r="R278" s="1"/>
      <c r="T278" s="197">
        <f>B278/'Scenario 1 - Phase 1'!$B$8</f>
        <v>0</v>
      </c>
      <c r="U278" s="193"/>
      <c r="V278" s="194"/>
      <c r="W278" s="197">
        <f>E278/'LEVEL 3'!$B$8</f>
        <v>0</v>
      </c>
      <c r="X278" s="193"/>
      <c r="Y278" s="194"/>
      <c r="Z278" s="197">
        <f>H278/('Scenario 1 - Phase 1'!$B$8+'LEVEL 3'!$B$8)</f>
        <v>0</v>
      </c>
      <c r="AA278" s="1"/>
    </row>
    <row r="279" spans="1:27">
      <c r="A279" s="37" t="s">
        <v>897</v>
      </c>
      <c r="B279" s="83">
        <f>'Scenario 1 - Phase 1'!K294</f>
        <v>0</v>
      </c>
      <c r="C279" s="1"/>
      <c r="E279" s="83">
        <f>'LEVEL 3'!K301</f>
        <v>0</v>
      </c>
      <c r="F279" s="1"/>
      <c r="H279" s="83">
        <f t="shared" si="22"/>
        <v>0</v>
      </c>
      <c r="I279" s="1"/>
      <c r="K279" s="83">
        <f>B279/'Scenario 1 - Phase 1'!$E$8</f>
        <v>0</v>
      </c>
      <c r="L279" s="1"/>
      <c r="N279" s="83">
        <f>E279/'LEVEL 3'!$E$8</f>
        <v>0</v>
      </c>
      <c r="O279" s="1"/>
      <c r="Q279" s="83">
        <f>H279/('Scenario 1 - Phase 1'!$E$8+'LEVEL 3'!$E$8)</f>
        <v>0</v>
      </c>
      <c r="R279" s="1"/>
      <c r="T279" s="197">
        <f>B279/'Scenario 1 - Phase 1'!$B$8</f>
        <v>0</v>
      </c>
      <c r="U279" s="193"/>
      <c r="V279" s="194"/>
      <c r="W279" s="197">
        <f>E279/'LEVEL 3'!$B$8</f>
        <v>0</v>
      </c>
      <c r="X279" s="193"/>
      <c r="Y279" s="194"/>
      <c r="Z279" s="197">
        <f>H279/('Scenario 1 - Phase 1'!$B$8+'LEVEL 3'!$B$8)</f>
        <v>0</v>
      </c>
      <c r="AA279" s="1"/>
    </row>
    <row r="280" spans="1:27">
      <c r="A280" s="37" t="s">
        <v>898</v>
      </c>
      <c r="B280" s="83">
        <f>'Scenario 1 - Phase 1'!K295</f>
        <v>0</v>
      </c>
      <c r="C280" s="1"/>
      <c r="E280" s="83">
        <f>'LEVEL 3'!K302</f>
        <v>0</v>
      </c>
      <c r="F280" s="1"/>
      <c r="H280" s="83">
        <f t="shared" si="22"/>
        <v>0</v>
      </c>
      <c r="I280" s="1"/>
      <c r="K280" s="83">
        <f>B280/'Scenario 1 - Phase 1'!$E$8</f>
        <v>0</v>
      </c>
      <c r="L280" s="1"/>
      <c r="N280" s="83">
        <f>E280/'LEVEL 3'!$E$8</f>
        <v>0</v>
      </c>
      <c r="O280" s="1"/>
      <c r="Q280" s="83">
        <f>H280/('Scenario 1 - Phase 1'!$E$8+'LEVEL 3'!$E$8)</f>
        <v>0</v>
      </c>
      <c r="R280" s="1"/>
      <c r="T280" s="197">
        <f>B280/'Scenario 1 - Phase 1'!$B$8</f>
        <v>0</v>
      </c>
      <c r="U280" s="193"/>
      <c r="V280" s="194"/>
      <c r="W280" s="197">
        <f>E280/'LEVEL 3'!$B$8</f>
        <v>0</v>
      </c>
      <c r="X280" s="193"/>
      <c r="Y280" s="194"/>
      <c r="Z280" s="197">
        <f>H280/('Scenario 1 - Phase 1'!$B$8+'LEVEL 3'!$B$8)</f>
        <v>0</v>
      </c>
      <c r="AA280" s="1"/>
    </row>
    <row r="281" spans="1:27">
      <c r="A281" s="37" t="s">
        <v>899</v>
      </c>
      <c r="B281" s="83">
        <f>'Scenario 1 - Phase 1'!K296</f>
        <v>0</v>
      </c>
      <c r="C281" s="1"/>
      <c r="E281" s="83">
        <f>'LEVEL 3'!K303</f>
        <v>0</v>
      </c>
      <c r="F281" s="1"/>
      <c r="H281" s="83">
        <f t="shared" si="22"/>
        <v>0</v>
      </c>
      <c r="I281" s="1"/>
      <c r="K281" s="83">
        <f>B281/'Scenario 1 - Phase 1'!$E$8</f>
        <v>0</v>
      </c>
      <c r="L281" s="1"/>
      <c r="N281" s="83">
        <f>E281/'LEVEL 3'!$E$8</f>
        <v>0</v>
      </c>
      <c r="O281" s="1"/>
      <c r="Q281" s="83">
        <f>H281/('Scenario 1 - Phase 1'!$E$8+'LEVEL 3'!$E$8)</f>
        <v>0</v>
      </c>
      <c r="R281" s="1"/>
      <c r="T281" s="197">
        <f>B281/'Scenario 1 - Phase 1'!$B$8</f>
        <v>0</v>
      </c>
      <c r="U281" s="193"/>
      <c r="V281" s="194"/>
      <c r="W281" s="197">
        <f>E281/'LEVEL 3'!$B$8</f>
        <v>0</v>
      </c>
      <c r="X281" s="193"/>
      <c r="Y281" s="194"/>
      <c r="Z281" s="197">
        <f>H281/('Scenario 1 - Phase 1'!$B$8+'LEVEL 3'!$B$8)</f>
        <v>0</v>
      </c>
      <c r="AA281" s="1"/>
    </row>
    <row r="282" spans="1:27">
      <c r="A282" s="37" t="s">
        <v>900</v>
      </c>
      <c r="B282" s="83">
        <f>'Scenario 1 - Phase 1'!K297</f>
        <v>0</v>
      </c>
      <c r="C282" s="1"/>
      <c r="E282" s="83">
        <f>'LEVEL 3'!K304</f>
        <v>0</v>
      </c>
      <c r="F282" s="1"/>
      <c r="H282" s="83">
        <f t="shared" si="22"/>
        <v>0</v>
      </c>
      <c r="I282" s="1"/>
      <c r="K282" s="83">
        <f>B282/'Scenario 1 - Phase 1'!$E$8</f>
        <v>0</v>
      </c>
      <c r="L282" s="1"/>
      <c r="N282" s="83">
        <f>E282/'LEVEL 3'!$E$8</f>
        <v>0</v>
      </c>
      <c r="O282" s="1"/>
      <c r="Q282" s="83">
        <f>H282/('Scenario 1 - Phase 1'!$E$8+'LEVEL 3'!$E$8)</f>
        <v>0</v>
      </c>
      <c r="R282" s="1"/>
      <c r="T282" s="197">
        <f>B282/'Scenario 1 - Phase 1'!$B$8</f>
        <v>0</v>
      </c>
      <c r="U282" s="193"/>
      <c r="V282" s="194"/>
      <c r="W282" s="197">
        <f>E282/'LEVEL 3'!$B$8</f>
        <v>0</v>
      </c>
      <c r="X282" s="193"/>
      <c r="Y282" s="194"/>
      <c r="Z282" s="197">
        <f>H282/('Scenario 1 - Phase 1'!$B$8+'LEVEL 3'!$B$8)</f>
        <v>0</v>
      </c>
      <c r="AA282" s="1"/>
    </row>
    <row r="283" spans="1:27">
      <c r="A283" s="37" t="s">
        <v>901</v>
      </c>
      <c r="B283" s="83">
        <f>'Scenario 1 - Phase 1'!K298</f>
        <v>0</v>
      </c>
      <c r="C283" s="1"/>
      <c r="E283" s="83">
        <f>'LEVEL 3'!K305</f>
        <v>0</v>
      </c>
      <c r="F283" s="1"/>
      <c r="H283" s="83">
        <f t="shared" si="22"/>
        <v>0</v>
      </c>
      <c r="I283" s="1"/>
      <c r="K283" s="83">
        <f>B283/'Scenario 1 - Phase 1'!$E$8</f>
        <v>0</v>
      </c>
      <c r="L283" s="1"/>
      <c r="N283" s="83">
        <f>E283/'LEVEL 3'!$E$8</f>
        <v>0</v>
      </c>
      <c r="O283" s="1"/>
      <c r="Q283" s="83">
        <f>H283/('Scenario 1 - Phase 1'!$E$8+'LEVEL 3'!$E$8)</f>
        <v>0</v>
      </c>
      <c r="R283" s="1"/>
      <c r="T283" s="197">
        <f>B283/'Scenario 1 - Phase 1'!$B$8</f>
        <v>0</v>
      </c>
      <c r="U283" s="193"/>
      <c r="V283" s="194"/>
      <c r="W283" s="197">
        <f>E283/'LEVEL 3'!$B$8</f>
        <v>0</v>
      </c>
      <c r="X283" s="193"/>
      <c r="Y283" s="194"/>
      <c r="Z283" s="197">
        <f>H283/('Scenario 1 - Phase 1'!$B$8+'LEVEL 3'!$B$8)</f>
        <v>0</v>
      </c>
      <c r="AA283" s="1"/>
    </row>
    <row r="284" spans="1:27">
      <c r="A284" s="33" t="s">
        <v>644</v>
      </c>
      <c r="B284" s="82"/>
      <c r="C284" s="102">
        <f>SUM(B285)</f>
        <v>928655.91990978911</v>
      </c>
      <c r="E284" s="82"/>
      <c r="F284" s="102">
        <f>SUM(E285)</f>
        <v>516914.98930080794</v>
      </c>
      <c r="H284" s="82"/>
      <c r="I284" s="102">
        <f>SUM(H285)</f>
        <v>1445570.9092105972</v>
      </c>
      <c r="K284" s="82"/>
      <c r="L284" s="102">
        <f>SUM(K285)</f>
        <v>2676.2418441204295</v>
      </c>
      <c r="N284" s="82"/>
      <c r="O284" s="102">
        <f>SUM(N285)</f>
        <v>2664.5102541278761</v>
      </c>
      <c r="Q284" s="82"/>
      <c r="R284" s="102">
        <f>SUM(Q285)</f>
        <v>2672.0349523301243</v>
      </c>
      <c r="T284" s="82"/>
      <c r="U284" s="201">
        <f>C284/'Scenario 1 - Phase 1'!$B$8</f>
        <v>2.9846691218472245</v>
      </c>
      <c r="V284" s="199"/>
      <c r="W284" s="203"/>
      <c r="X284" s="201">
        <f>F284/'LEVEL 3'!$B$8</f>
        <v>2.6334383959407197</v>
      </c>
      <c r="Y284" s="199"/>
      <c r="Z284" s="203"/>
      <c r="AA284" s="201">
        <f>I284/('Scenario 1 - Phase 1'!$B$8+'LEVEL 3'!$B$8)</f>
        <v>2.8488029095790308</v>
      </c>
    </row>
    <row r="285" spans="1:27">
      <c r="A285" s="34" t="s">
        <v>644</v>
      </c>
      <c r="B285" s="65">
        <f>'Scenario 1 - Phase 1'!K300</f>
        <v>928655.91990978911</v>
      </c>
      <c r="C285" s="1"/>
      <c r="E285" s="65">
        <f>'LEVEL 3'!K308</f>
        <v>516914.98930080794</v>
      </c>
      <c r="F285" s="1"/>
      <c r="H285" s="65">
        <f>B285+E285</f>
        <v>1445570.9092105972</v>
      </c>
      <c r="I285" s="1"/>
      <c r="K285" s="65">
        <f>B285/'Scenario 1 - Phase 1'!$E$8</f>
        <v>2676.2418441204295</v>
      </c>
      <c r="L285" s="1"/>
      <c r="N285" s="65">
        <f>E285/'LEVEL 3'!$E$8</f>
        <v>2664.5102541278761</v>
      </c>
      <c r="O285" s="1"/>
      <c r="Q285" s="65">
        <f>H285/('Scenario 1 - Phase 1'!$E$8+'LEVEL 3'!$E$8)</f>
        <v>2672.0349523301243</v>
      </c>
      <c r="R285" s="1"/>
      <c r="T285" s="192">
        <f>B285/'Scenario 1 - Phase 1'!$B$8</f>
        <v>2.9846691218472245</v>
      </c>
      <c r="U285" s="193"/>
      <c r="V285" s="194"/>
      <c r="W285" s="192">
        <f>E285/'LEVEL 3'!$B$8</f>
        <v>2.6334383959407197</v>
      </c>
      <c r="X285" s="193"/>
      <c r="Y285" s="194"/>
      <c r="Z285" s="192">
        <f>H285/('Scenario 1 - Phase 1'!$B$8+'LEVEL 3'!$B$8)</f>
        <v>2.8488029095790308</v>
      </c>
      <c r="AA285" s="1"/>
    </row>
    <row r="286" spans="1:27">
      <c r="A286" s="33" t="s">
        <v>645</v>
      </c>
      <c r="B286" s="82"/>
      <c r="C286" s="102">
        <f>SUM(B287:B300)</f>
        <v>2097795.2000000002</v>
      </c>
      <c r="E286" s="82"/>
      <c r="F286" s="102">
        <f>SUM(E287:E300)</f>
        <v>691024.09</v>
      </c>
      <c r="H286" s="82"/>
      <c r="I286" s="102">
        <f>SUM(H287:H300)</f>
        <v>2788819.29</v>
      </c>
      <c r="K286" s="82"/>
      <c r="L286" s="102">
        <f>SUM(K287:K300)</f>
        <v>6045.5193083573486</v>
      </c>
      <c r="N286" s="82"/>
      <c r="O286" s="102">
        <f>SUM(N287:N300)</f>
        <v>3561.9798453608246</v>
      </c>
      <c r="Q286" s="82"/>
      <c r="R286" s="102">
        <f>SUM(Q287:Q300)</f>
        <v>5154.9339926062839</v>
      </c>
      <c r="T286" s="82"/>
      <c r="U286" s="201">
        <f>C286/'Scenario 1 - Phase 1'!$B$8</f>
        <v>6.7422437343720878</v>
      </c>
      <c r="V286" s="199"/>
      <c r="W286" s="203"/>
      <c r="X286" s="201">
        <f>F286/'LEVEL 3'!$B$8</f>
        <v>3.5204422560612159</v>
      </c>
      <c r="Y286" s="199"/>
      <c r="Z286" s="203"/>
      <c r="AA286" s="201">
        <f>I286/('Scenario 1 - Phase 1'!$B$8+'LEVEL 3'!$B$8)</f>
        <v>5.4959576572972484</v>
      </c>
    </row>
    <row r="287" spans="1:27">
      <c r="A287" s="35" t="s">
        <v>647</v>
      </c>
      <c r="B287" s="71">
        <f>'Scenario 1 - Phase 1'!K302</f>
        <v>10000</v>
      </c>
      <c r="C287" s="1"/>
      <c r="E287" s="71">
        <f>'LEVEL 3'!K310</f>
        <v>10000</v>
      </c>
      <c r="F287" s="1"/>
      <c r="H287" s="71">
        <f t="shared" ref="H287:H300" si="23">B287+E287</f>
        <v>20000</v>
      </c>
      <c r="I287" s="1"/>
      <c r="K287" s="71">
        <f>B287/'Scenario 1 - Phase 1'!$E$8</f>
        <v>28.818443804034583</v>
      </c>
      <c r="L287" s="1"/>
      <c r="N287" s="71">
        <f>E287/'LEVEL 3'!$E$8</f>
        <v>51.546391752577321</v>
      </c>
      <c r="O287" s="1"/>
      <c r="Q287" s="71">
        <f>H287/('Scenario 1 - Phase 1'!$E$8+'LEVEL 3'!$E$8)</f>
        <v>36.968576709796672</v>
      </c>
      <c r="R287" s="1"/>
      <c r="T287" s="195">
        <f>B287/'Scenario 1 - Phase 1'!$B$8</f>
        <v>3.2139666133148212E-2</v>
      </c>
      <c r="U287" s="193"/>
      <c r="V287" s="194"/>
      <c r="W287" s="195">
        <f>E287/'LEVEL 3'!$B$8</f>
        <v>5.0945289853226619E-2</v>
      </c>
      <c r="X287" s="193"/>
      <c r="Y287" s="194"/>
      <c r="Z287" s="195">
        <f>H287/('Scenario 1 - Phase 1'!$B$8+'LEVEL 3'!$B$8)</f>
        <v>3.9414225776509514E-2</v>
      </c>
      <c r="AA287" s="1"/>
    </row>
    <row r="288" spans="1:27">
      <c r="A288" s="37" t="s">
        <v>650</v>
      </c>
      <c r="B288" s="83">
        <f>'Scenario 1 - Phase 1'!K303</f>
        <v>0</v>
      </c>
      <c r="C288" s="1"/>
      <c r="E288" s="83">
        <f>'LEVEL 3'!K311</f>
        <v>0</v>
      </c>
      <c r="F288" s="1"/>
      <c r="H288" s="83">
        <f t="shared" si="23"/>
        <v>0</v>
      </c>
      <c r="I288" s="1"/>
      <c r="K288" s="83">
        <f>B288/'Scenario 1 - Phase 1'!$E$8</f>
        <v>0</v>
      </c>
      <c r="L288" s="1"/>
      <c r="N288" s="83">
        <f>E288/'LEVEL 3'!$E$8</f>
        <v>0</v>
      </c>
      <c r="O288" s="1"/>
      <c r="Q288" s="83">
        <f>H288/('Scenario 1 - Phase 1'!$E$8+'LEVEL 3'!$E$8)</f>
        <v>0</v>
      </c>
      <c r="R288" s="1"/>
      <c r="T288" s="197">
        <f>B288/'Scenario 1 - Phase 1'!$B$8</f>
        <v>0</v>
      </c>
      <c r="U288" s="193"/>
      <c r="V288" s="194"/>
      <c r="W288" s="197">
        <f>E288/'LEVEL 3'!$B$8</f>
        <v>0</v>
      </c>
      <c r="X288" s="193"/>
      <c r="Y288" s="194"/>
      <c r="Z288" s="197">
        <f>H288/('Scenario 1 - Phase 1'!$B$8+'LEVEL 3'!$B$8)</f>
        <v>0</v>
      </c>
      <c r="AA288" s="1"/>
    </row>
    <row r="289" spans="1:27">
      <c r="A289" s="37" t="s">
        <v>652</v>
      </c>
      <c r="B289" s="83">
        <f>'Scenario 1 - Phase 1'!K304</f>
        <v>21000</v>
      </c>
      <c r="C289" s="1"/>
      <c r="E289" s="83">
        <f>'LEVEL 3'!K312</f>
        <v>0</v>
      </c>
      <c r="F289" s="1"/>
      <c r="H289" s="83">
        <f t="shared" si="23"/>
        <v>21000</v>
      </c>
      <c r="I289" s="1"/>
      <c r="K289" s="83">
        <f>B289/'Scenario 1 - Phase 1'!$E$8</f>
        <v>60.518731988472624</v>
      </c>
      <c r="L289" s="1"/>
      <c r="N289" s="83">
        <f>E289/'LEVEL 3'!$E$8</f>
        <v>0</v>
      </c>
      <c r="O289" s="1"/>
      <c r="Q289" s="83">
        <f>H289/('Scenario 1 - Phase 1'!$E$8+'LEVEL 3'!$E$8)</f>
        <v>38.817005545286506</v>
      </c>
      <c r="R289" s="1"/>
      <c r="T289" s="197">
        <f>B289/'Scenario 1 - Phase 1'!$B$8</f>
        <v>6.7493298879611238E-2</v>
      </c>
      <c r="U289" s="193"/>
      <c r="V289" s="194"/>
      <c r="W289" s="197">
        <f>E289/'LEVEL 3'!$B$8</f>
        <v>0</v>
      </c>
      <c r="X289" s="193"/>
      <c r="Y289" s="194"/>
      <c r="Z289" s="197">
        <f>H289/('Scenario 1 - Phase 1'!$B$8+'LEVEL 3'!$B$8)</f>
        <v>4.1384937065334991E-2</v>
      </c>
      <c r="AA289" s="1"/>
    </row>
    <row r="290" spans="1:27">
      <c r="A290" s="37" t="s">
        <v>654</v>
      </c>
      <c r="B290" s="83">
        <f>'Scenario 1 - Phase 1'!K305</f>
        <v>21900</v>
      </c>
      <c r="C290" s="1"/>
      <c r="E290" s="83">
        <f>'LEVEL 3'!K313</f>
        <v>22000</v>
      </c>
      <c r="F290" s="1"/>
      <c r="H290" s="83">
        <f t="shared" si="23"/>
        <v>43900</v>
      </c>
      <c r="I290" s="1"/>
      <c r="K290" s="83">
        <f>B290/'Scenario 1 - Phase 1'!$E$8</f>
        <v>63.112391930835734</v>
      </c>
      <c r="L290" s="1"/>
      <c r="N290" s="83">
        <f>E290/'LEVEL 3'!$E$8</f>
        <v>113.4020618556701</v>
      </c>
      <c r="O290" s="1"/>
      <c r="Q290" s="83">
        <f>H290/('Scenario 1 - Phase 1'!$E$8+'LEVEL 3'!$E$8)</f>
        <v>81.146025878003698</v>
      </c>
      <c r="R290" s="1"/>
      <c r="T290" s="197">
        <f>B290/'Scenario 1 - Phase 1'!$B$8</f>
        <v>7.0385868831594575E-2</v>
      </c>
      <c r="U290" s="193"/>
      <c r="V290" s="194"/>
      <c r="W290" s="197">
        <f>E290/'LEVEL 3'!$B$8</f>
        <v>0.11207963767709857</v>
      </c>
      <c r="X290" s="193"/>
      <c r="Y290" s="194"/>
      <c r="Z290" s="197">
        <f>H290/('Scenario 1 - Phase 1'!$B$8+'LEVEL 3'!$B$8)</f>
        <v>8.6514225579438386E-2</v>
      </c>
      <c r="AA290" s="1"/>
    </row>
    <row r="291" spans="1:27">
      <c r="A291" s="39" t="s">
        <v>656</v>
      </c>
      <c r="B291" s="83">
        <f>'Scenario 1 - Phase 1'!K306</f>
        <v>190000</v>
      </c>
      <c r="C291" s="1"/>
      <c r="E291" s="83">
        <f>'LEVEL 3'!K314</f>
        <v>43676.49</v>
      </c>
      <c r="F291" s="1"/>
      <c r="H291" s="83">
        <f t="shared" si="23"/>
        <v>233676.49</v>
      </c>
      <c r="I291" s="1"/>
      <c r="K291" s="83">
        <f>B291/'Scenario 1 - Phase 1'!$E$8</f>
        <v>547.55043227665703</v>
      </c>
      <c r="L291" s="1"/>
      <c r="N291" s="83">
        <f>E291/'LEVEL 3'!$E$8</f>
        <v>225.13654639175257</v>
      </c>
      <c r="O291" s="1"/>
      <c r="Q291" s="83">
        <f>H291/('Scenario 1 - Phase 1'!$E$8+'LEVEL 3'!$E$8)</f>
        <v>431.93436229205173</v>
      </c>
      <c r="R291" s="1"/>
      <c r="T291" s="197">
        <f>B291/'Scenario 1 - Phase 1'!$B$8</f>
        <v>0.61065365652981596</v>
      </c>
      <c r="U291" s="193"/>
      <c r="V291" s="194"/>
      <c r="W291" s="197">
        <f>E291/'LEVEL 3'!$B$8</f>
        <v>0.22251114428215538</v>
      </c>
      <c r="X291" s="193"/>
      <c r="Y291" s="194"/>
      <c r="Z291" s="197">
        <f>H291/('Scenario 1 - Phase 1'!$B$8+'LEVEL 3'!$B$8)</f>
        <v>0.4605088967761134</v>
      </c>
      <c r="AA291" s="1"/>
    </row>
    <row r="292" spans="1:27">
      <c r="A292" s="39" t="s">
        <v>659</v>
      </c>
      <c r="B292" s="83">
        <f>'Scenario 1 - Phase 1'!K307</f>
        <v>0</v>
      </c>
      <c r="C292" s="1"/>
      <c r="E292" s="83">
        <f>'LEVEL 3'!K315</f>
        <v>0</v>
      </c>
      <c r="F292" s="1"/>
      <c r="H292" s="83">
        <f t="shared" si="23"/>
        <v>0</v>
      </c>
      <c r="I292" s="1"/>
      <c r="K292" s="83">
        <f>B292/'Scenario 1 - Phase 1'!$E$8</f>
        <v>0</v>
      </c>
      <c r="L292" s="1"/>
      <c r="N292" s="83">
        <f>E292/'LEVEL 3'!$E$8</f>
        <v>0</v>
      </c>
      <c r="O292" s="1"/>
      <c r="Q292" s="83">
        <f>H292/('Scenario 1 - Phase 1'!$E$8+'LEVEL 3'!$E$8)</f>
        <v>0</v>
      </c>
      <c r="R292" s="1"/>
      <c r="T292" s="197">
        <f>B292/'Scenario 1 - Phase 1'!$B$8</f>
        <v>0</v>
      </c>
      <c r="U292" s="193"/>
      <c r="V292" s="194"/>
      <c r="W292" s="197">
        <f>E292/'LEVEL 3'!$B$8</f>
        <v>0</v>
      </c>
      <c r="X292" s="193"/>
      <c r="Y292" s="194"/>
      <c r="Z292" s="197">
        <f>H292/('Scenario 1 - Phase 1'!$B$8+'LEVEL 3'!$B$8)</f>
        <v>0</v>
      </c>
      <c r="AA292" s="1"/>
    </row>
    <row r="293" spans="1:27">
      <c r="A293" s="39" t="s">
        <v>661</v>
      </c>
      <c r="B293" s="83">
        <f>'Scenario 1 - Phase 1'!K308</f>
        <v>15000</v>
      </c>
      <c r="C293" s="1"/>
      <c r="E293" s="83">
        <f>'LEVEL 3'!K316</f>
        <v>15000</v>
      </c>
      <c r="F293" s="1"/>
      <c r="H293" s="83">
        <f t="shared" si="23"/>
        <v>30000</v>
      </c>
      <c r="I293" s="1"/>
      <c r="K293" s="83">
        <f>B293/'Scenario 1 - Phase 1'!$E$8</f>
        <v>43.227665706051873</v>
      </c>
      <c r="L293" s="1"/>
      <c r="N293" s="83">
        <f>E293/'LEVEL 3'!$E$8</f>
        <v>77.319587628865975</v>
      </c>
      <c r="O293" s="1"/>
      <c r="Q293" s="83">
        <f>H293/('Scenario 1 - Phase 1'!$E$8+'LEVEL 3'!$E$8)</f>
        <v>55.452865064695011</v>
      </c>
      <c r="R293" s="1"/>
      <c r="T293" s="197">
        <f>B293/'Scenario 1 - Phase 1'!$B$8</f>
        <v>4.8209499199722311E-2</v>
      </c>
      <c r="U293" s="193"/>
      <c r="V293" s="194"/>
      <c r="W293" s="197">
        <f>E293/'LEVEL 3'!$B$8</f>
        <v>7.6417934779839936E-2</v>
      </c>
      <c r="X293" s="193"/>
      <c r="Y293" s="194"/>
      <c r="Z293" s="197">
        <f>H293/('Scenario 1 - Phase 1'!$B$8+'LEVEL 3'!$B$8)</f>
        <v>5.9121338664764274E-2</v>
      </c>
      <c r="AA293" s="1"/>
    </row>
    <row r="294" spans="1:27">
      <c r="A294" s="39" t="s">
        <v>663</v>
      </c>
      <c r="B294" s="83">
        <f>'Scenario 1 - Phase 1'!K309</f>
        <v>5000</v>
      </c>
      <c r="C294" s="1"/>
      <c r="E294" s="83">
        <f>'LEVEL 3'!K317</f>
        <v>5000</v>
      </c>
      <c r="F294" s="1"/>
      <c r="H294" s="83">
        <f t="shared" si="23"/>
        <v>10000</v>
      </c>
      <c r="I294" s="1"/>
      <c r="K294" s="83">
        <f>B294/'Scenario 1 - Phase 1'!$E$8</f>
        <v>14.409221902017292</v>
      </c>
      <c r="L294" s="1"/>
      <c r="N294" s="83">
        <f>E294/'LEVEL 3'!$E$8</f>
        <v>25.773195876288661</v>
      </c>
      <c r="O294" s="1"/>
      <c r="Q294" s="83">
        <f>H294/('Scenario 1 - Phase 1'!$E$8+'LEVEL 3'!$E$8)</f>
        <v>18.484288354898336</v>
      </c>
      <c r="R294" s="1"/>
      <c r="T294" s="197">
        <f>B294/'Scenario 1 - Phase 1'!$B$8</f>
        <v>1.6069833066574106E-2</v>
      </c>
      <c r="U294" s="193"/>
      <c r="V294" s="194"/>
      <c r="W294" s="197">
        <f>E294/'LEVEL 3'!$B$8</f>
        <v>2.547264492661331E-2</v>
      </c>
      <c r="X294" s="193"/>
      <c r="Y294" s="194"/>
      <c r="Z294" s="197">
        <f>H294/('Scenario 1 - Phase 1'!$B$8+'LEVEL 3'!$B$8)</f>
        <v>1.9707112888254757E-2</v>
      </c>
      <c r="AA294" s="1"/>
    </row>
    <row r="295" spans="1:27">
      <c r="A295" s="39" t="s">
        <v>665</v>
      </c>
      <c r="B295" s="83">
        <f>'Scenario 1 - Phase 1'!K310</f>
        <v>0</v>
      </c>
      <c r="C295" s="1"/>
      <c r="E295" s="83">
        <f>'LEVEL 3'!K318</f>
        <v>0</v>
      </c>
      <c r="F295" s="1"/>
      <c r="H295" s="83">
        <f t="shared" si="23"/>
        <v>0</v>
      </c>
      <c r="I295" s="1"/>
      <c r="K295" s="83">
        <f>B295/'Scenario 1 - Phase 1'!$E$8</f>
        <v>0</v>
      </c>
      <c r="L295" s="1"/>
      <c r="N295" s="83">
        <f>E295/'LEVEL 3'!$E$8</f>
        <v>0</v>
      </c>
      <c r="O295" s="1"/>
      <c r="Q295" s="83">
        <f>H295/('Scenario 1 - Phase 1'!$E$8+'LEVEL 3'!$E$8)</f>
        <v>0</v>
      </c>
      <c r="R295" s="1"/>
      <c r="T295" s="197">
        <f>B295/'Scenario 1 - Phase 1'!$B$8</f>
        <v>0</v>
      </c>
      <c r="U295" s="193"/>
      <c r="V295" s="194"/>
      <c r="W295" s="197">
        <f>E295/'LEVEL 3'!$B$8</f>
        <v>0</v>
      </c>
      <c r="X295" s="193"/>
      <c r="Y295" s="194"/>
      <c r="Z295" s="197">
        <f>H295/('Scenario 1 - Phase 1'!$B$8+'LEVEL 3'!$B$8)</f>
        <v>0</v>
      </c>
      <c r="AA295" s="1"/>
    </row>
    <row r="296" spans="1:27">
      <c r="A296" s="37" t="s">
        <v>667</v>
      </c>
      <c r="B296" s="83">
        <f>'Scenario 1 - Phase 1'!K311</f>
        <v>1646400</v>
      </c>
      <c r="C296" s="1"/>
      <c r="E296" s="83">
        <f>'LEVEL 3'!K319</f>
        <v>500000</v>
      </c>
      <c r="F296" s="1"/>
      <c r="H296" s="83">
        <f t="shared" si="23"/>
        <v>2146400</v>
      </c>
      <c r="I296" s="1"/>
      <c r="K296" s="83">
        <f>B296/'Scenario 1 - Phase 1'!$E$8</f>
        <v>4744.6685878962535</v>
      </c>
      <c r="L296" s="1"/>
      <c r="N296" s="83">
        <f>E296/'LEVEL 3'!$E$8</f>
        <v>2577.319587628866</v>
      </c>
      <c r="O296" s="1"/>
      <c r="Q296" s="83">
        <f>H296/('Scenario 1 - Phase 1'!$E$8+'LEVEL 3'!$E$8)</f>
        <v>3967.4676524953788</v>
      </c>
      <c r="R296" s="1"/>
      <c r="T296" s="197">
        <f>B296/'Scenario 1 - Phase 1'!$B$8</f>
        <v>5.2914746321615214</v>
      </c>
      <c r="U296" s="193"/>
      <c r="V296" s="194"/>
      <c r="W296" s="197">
        <f>E296/'LEVEL 3'!$B$8</f>
        <v>2.547264492661331</v>
      </c>
      <c r="X296" s="193"/>
      <c r="Y296" s="194"/>
      <c r="Z296" s="197">
        <f>H296/('Scenario 1 - Phase 1'!$B$8+'LEVEL 3'!$B$8)</f>
        <v>4.2299347103350016</v>
      </c>
      <c r="AA296" s="1"/>
    </row>
    <row r="297" spans="1:27">
      <c r="A297" s="37" t="s">
        <v>670</v>
      </c>
      <c r="B297" s="83">
        <f>'Scenario 1 - Phase 1'!K312</f>
        <v>144295.20000000001</v>
      </c>
      <c r="C297" s="1"/>
      <c r="E297" s="83">
        <f>'LEVEL 3'!K320</f>
        <v>72147.600000000006</v>
      </c>
      <c r="F297" s="1"/>
      <c r="H297" s="83">
        <f t="shared" si="23"/>
        <v>216442.80000000002</v>
      </c>
      <c r="I297" s="1"/>
      <c r="K297" s="83">
        <f>B297/'Scenario 1 - Phase 1'!$E$8</f>
        <v>415.83631123919309</v>
      </c>
      <c r="L297" s="1"/>
      <c r="N297" s="83">
        <f>E297/'LEVEL 3'!$E$8</f>
        <v>371.89484536082477</v>
      </c>
      <c r="O297" s="1"/>
      <c r="Q297" s="83">
        <f>H297/('Scenario 1 - Phase 1'!$E$8+'LEVEL 3'!$E$8)</f>
        <v>400.07911275415898</v>
      </c>
      <c r="R297" s="1"/>
      <c r="T297" s="197">
        <f>B297/'Scenario 1 - Phase 1'!$B$8</f>
        <v>0.46375995526158476</v>
      </c>
      <c r="U297" s="193"/>
      <c r="V297" s="194"/>
      <c r="W297" s="197">
        <f>E297/'LEVEL 3'!$B$8</f>
        <v>0.36755803942146531</v>
      </c>
      <c r="X297" s="193"/>
      <c r="Y297" s="194"/>
      <c r="Z297" s="197">
        <f>H297/('Scenario 1 - Phase 1'!$B$8+'LEVEL 3'!$B$8)</f>
        <v>0.42654626934499473</v>
      </c>
      <c r="AA297" s="1"/>
    </row>
    <row r="298" spans="1:27">
      <c r="A298" s="39" t="s">
        <v>672</v>
      </c>
      <c r="B298" s="83">
        <f>'Scenario 1 - Phase 1'!K313</f>
        <v>39000</v>
      </c>
      <c r="C298" s="1"/>
      <c r="E298" s="83">
        <f>'LEVEL 3'!K321</f>
        <v>20000</v>
      </c>
      <c r="F298" s="1"/>
      <c r="H298" s="83">
        <f t="shared" si="23"/>
        <v>59000</v>
      </c>
      <c r="I298" s="1"/>
      <c r="K298" s="83">
        <f>B298/'Scenario 1 - Phase 1'!$E$8</f>
        <v>112.39193083573487</v>
      </c>
      <c r="L298" s="1"/>
      <c r="N298" s="83">
        <f>E298/'LEVEL 3'!$E$8</f>
        <v>103.09278350515464</v>
      </c>
      <c r="O298" s="1"/>
      <c r="Q298" s="83">
        <f>H298/('Scenario 1 - Phase 1'!$E$8+'LEVEL 3'!$E$8)</f>
        <v>109.05730129390018</v>
      </c>
      <c r="R298" s="1"/>
      <c r="T298" s="197">
        <f>B298/'Scenario 1 - Phase 1'!$B$8</f>
        <v>0.12534469791927802</v>
      </c>
      <c r="U298" s="193"/>
      <c r="V298" s="194"/>
      <c r="W298" s="197">
        <f>E298/'LEVEL 3'!$B$8</f>
        <v>0.10189057970645324</v>
      </c>
      <c r="X298" s="193"/>
      <c r="Y298" s="194"/>
      <c r="Z298" s="197">
        <f>H298/('Scenario 1 - Phase 1'!$B$8+'LEVEL 3'!$B$8)</f>
        <v>0.11627196604070307</v>
      </c>
      <c r="AA298" s="1"/>
    </row>
    <row r="299" spans="1:27">
      <c r="A299" s="39" t="s">
        <v>673</v>
      </c>
      <c r="B299" s="83">
        <f>'Scenario 1 - Phase 1'!K314</f>
        <v>4000</v>
      </c>
      <c r="C299" s="1"/>
      <c r="E299" s="83">
        <f>'LEVEL 3'!K322</f>
        <v>2000</v>
      </c>
      <c r="F299" s="1"/>
      <c r="H299" s="83">
        <f t="shared" si="23"/>
        <v>6000</v>
      </c>
      <c r="I299" s="1"/>
      <c r="K299" s="83">
        <f>B299/'Scenario 1 - Phase 1'!$E$8</f>
        <v>11.527377521613833</v>
      </c>
      <c r="L299" s="1"/>
      <c r="N299" s="83">
        <f>E299/'LEVEL 3'!$E$8</f>
        <v>10.309278350515465</v>
      </c>
      <c r="O299" s="1"/>
      <c r="Q299" s="83">
        <f>H299/('Scenario 1 - Phase 1'!$E$8+'LEVEL 3'!$E$8)</f>
        <v>11.090573012939002</v>
      </c>
      <c r="R299" s="1"/>
      <c r="T299" s="197">
        <f>B299/'Scenario 1 - Phase 1'!$B$8</f>
        <v>1.2855866453259283E-2</v>
      </c>
      <c r="U299" s="193"/>
      <c r="V299" s="194"/>
      <c r="W299" s="197">
        <f>E299/'LEVEL 3'!$B$8</f>
        <v>1.0189057970645324E-2</v>
      </c>
      <c r="X299" s="193"/>
      <c r="Y299" s="194"/>
      <c r="Z299" s="197">
        <f>H299/('Scenario 1 - Phase 1'!$B$8+'LEVEL 3'!$B$8)</f>
        <v>1.1824267732952854E-2</v>
      </c>
      <c r="AA299" s="1"/>
    </row>
    <row r="300" spans="1:27">
      <c r="A300" s="39" t="s">
        <v>675</v>
      </c>
      <c r="B300" s="83">
        <f>'Scenario 1 - Phase 1'!K315</f>
        <v>1200</v>
      </c>
      <c r="C300" s="1"/>
      <c r="E300" s="83">
        <f>'LEVEL 3'!K323</f>
        <v>1200</v>
      </c>
      <c r="F300" s="1"/>
      <c r="H300" s="83">
        <f t="shared" si="23"/>
        <v>2400</v>
      </c>
      <c r="I300" s="1"/>
      <c r="K300" s="83">
        <f>B300/'Scenario 1 - Phase 1'!$E$8</f>
        <v>3.4582132564841497</v>
      </c>
      <c r="L300" s="1"/>
      <c r="N300" s="83">
        <f>E300/'LEVEL 3'!$E$8</f>
        <v>6.1855670103092786</v>
      </c>
      <c r="O300" s="1"/>
      <c r="Q300" s="83">
        <f>H300/('Scenario 1 - Phase 1'!$E$8+'LEVEL 3'!$E$8)</f>
        <v>4.4362292051756009</v>
      </c>
      <c r="R300" s="1"/>
      <c r="T300" s="197">
        <f>B300/'Scenario 1 - Phase 1'!$B$8</f>
        <v>3.8567599359777853E-3</v>
      </c>
      <c r="U300" s="193"/>
      <c r="V300" s="194"/>
      <c r="W300" s="197">
        <f>E300/'LEVEL 3'!$B$8</f>
        <v>6.1134347823871941E-3</v>
      </c>
      <c r="X300" s="193"/>
      <c r="Y300" s="194"/>
      <c r="Z300" s="197">
        <f>H300/('Scenario 1 - Phase 1'!$B$8+'LEVEL 3'!$B$8)</f>
        <v>4.7297070931811422E-3</v>
      </c>
      <c r="AA300" s="1"/>
    </row>
    <row r="301" spans="1:27">
      <c r="A301" s="33" t="s">
        <v>677</v>
      </c>
      <c r="B301" s="82"/>
      <c r="C301" s="102">
        <f>SUM(B302)</f>
        <v>2468500.7757699625</v>
      </c>
      <c r="E301" s="82"/>
      <c r="F301" s="102">
        <f>SUM(E302)</f>
        <v>1674318</v>
      </c>
      <c r="H301" s="82"/>
      <c r="I301" s="102">
        <f>SUM(H302)</f>
        <v>4142818.7757699625</v>
      </c>
      <c r="K301" s="82"/>
      <c r="L301" s="102">
        <f>SUM(K302)</f>
        <v>7113.8350886742437</v>
      </c>
      <c r="N301" s="82"/>
      <c r="O301" s="102">
        <f>SUM(N302)</f>
        <v>8630.5051546391751</v>
      </c>
      <c r="Q301" s="82"/>
      <c r="R301" s="102">
        <f>SUM(Q302)</f>
        <v>7657.7056853418899</v>
      </c>
      <c r="T301" s="82"/>
      <c r="U301" s="201">
        <f>C301/'Scenario 1 - Phase 1'!$B$8</f>
        <v>7.933679078266394</v>
      </c>
      <c r="V301" s="199"/>
      <c r="W301" s="203"/>
      <c r="X301" s="201">
        <f>F301/'LEVEL 3'!$B$8</f>
        <v>8.5298615816474683</v>
      </c>
      <c r="Y301" s="199"/>
      <c r="Z301" s="203"/>
      <c r="AA301" s="201">
        <f>I301/('Scenario 1 - Phase 1'!$B$8+'LEVEL 3'!$B$8)</f>
        <v>8.1642997289680022</v>
      </c>
    </row>
    <row r="302" spans="1:27">
      <c r="A302" s="34" t="s">
        <v>677</v>
      </c>
      <c r="B302" s="65">
        <f>'Scenario 1 - Phase 1'!K317</f>
        <v>2468500.7757699625</v>
      </c>
      <c r="C302" s="1"/>
      <c r="E302" s="65">
        <f>'LEVEL 3'!K325</f>
        <v>1674318</v>
      </c>
      <c r="F302" s="1"/>
      <c r="H302" s="65">
        <f>B302+E302</f>
        <v>4142818.7757699625</v>
      </c>
      <c r="I302" s="1"/>
      <c r="K302" s="65">
        <f>B302/'Scenario 1 - Phase 1'!$E$8</f>
        <v>7113.8350886742437</v>
      </c>
      <c r="L302" s="1"/>
      <c r="N302" s="65">
        <f>E302/'LEVEL 3'!$E$8</f>
        <v>8630.5051546391751</v>
      </c>
      <c r="O302" s="1"/>
      <c r="Q302" s="65">
        <f>H302/('Scenario 1 - Phase 1'!$E$8+'LEVEL 3'!$E$8)</f>
        <v>7657.7056853418899</v>
      </c>
      <c r="R302" s="1"/>
      <c r="T302" s="192">
        <f>B302/'Scenario 1 - Phase 1'!$B$8</f>
        <v>7.933679078266394</v>
      </c>
      <c r="U302" s="193"/>
      <c r="V302" s="194"/>
      <c r="W302" s="192">
        <f>E302/'LEVEL 3'!$B$8</f>
        <v>8.5298615816474683</v>
      </c>
      <c r="X302" s="193"/>
      <c r="Y302" s="194"/>
      <c r="Z302" s="192">
        <f>H302/('Scenario 1 - Phase 1'!$B$8+'LEVEL 3'!$B$8)</f>
        <v>8.1642997289680022</v>
      </c>
      <c r="AA302" s="1"/>
    </row>
    <row r="303" spans="1:27">
      <c r="A303" s="33" t="s">
        <v>680</v>
      </c>
      <c r="B303" s="82"/>
      <c r="C303" s="102">
        <f>SUM(B304)</f>
        <v>603626.34794136288</v>
      </c>
      <c r="E303" s="82"/>
      <c r="F303" s="102">
        <f>SUM(E304)</f>
        <v>336354.04304552515</v>
      </c>
      <c r="H303" s="82"/>
      <c r="I303" s="102">
        <f>SUM(H304)</f>
        <v>939980.39098688797</v>
      </c>
      <c r="K303" s="82"/>
      <c r="L303" s="102">
        <f>SUM(K304)</f>
        <v>1739.5571986782793</v>
      </c>
      <c r="N303" s="82"/>
      <c r="O303" s="102">
        <f>SUM(N304)</f>
        <v>1733.7837270387895</v>
      </c>
      <c r="Q303" s="82"/>
      <c r="R303" s="102">
        <f>SUM(Q304)</f>
        <v>1737.4868594951718</v>
      </c>
      <c r="T303" s="82"/>
      <c r="U303" s="201">
        <f>C303/'Scenario 1 - Phase 1'!$B$8</f>
        <v>1.9400349292006958</v>
      </c>
      <c r="V303" s="199"/>
      <c r="W303" s="203"/>
      <c r="X303" s="201">
        <f>F303/'LEVEL 3'!$B$8</f>
        <v>1.7135654216258942</v>
      </c>
      <c r="Y303" s="199"/>
      <c r="Z303" s="203"/>
      <c r="AA303" s="201">
        <f>I303/('Scenario 1 - Phase 1'!$B$8+'LEVEL 3'!$B$8)</f>
        <v>1.8524299677924447</v>
      </c>
    </row>
    <row r="304" spans="1:27">
      <c r="A304" s="34" t="s">
        <v>680</v>
      </c>
      <c r="B304" s="65">
        <f>'Scenario 1 - Phase 1'!K319</f>
        <v>603626.34794136288</v>
      </c>
      <c r="C304" s="1"/>
      <c r="E304" s="65">
        <f>'LEVEL 3'!K327</f>
        <v>336354.04304552515</v>
      </c>
      <c r="F304" s="1"/>
      <c r="H304" s="65">
        <f>B304+E304</f>
        <v>939980.39098688797</v>
      </c>
      <c r="I304" s="1"/>
      <c r="K304" s="65">
        <f>B304/'Scenario 1 - Phase 1'!$E$8</f>
        <v>1739.5571986782793</v>
      </c>
      <c r="L304" s="1"/>
      <c r="N304" s="65">
        <f>E304/'LEVEL 3'!$E$8</f>
        <v>1733.7837270387895</v>
      </c>
      <c r="O304" s="1"/>
      <c r="Q304" s="65">
        <f>H304/('Scenario 1 - Phase 1'!$E$8+'LEVEL 3'!$E$8)</f>
        <v>1737.4868594951718</v>
      </c>
      <c r="R304" s="1"/>
      <c r="T304" s="192">
        <f>B304/'Scenario 1 - Phase 1'!$B$8</f>
        <v>1.9400349292006958</v>
      </c>
      <c r="U304" s="193"/>
      <c r="V304" s="194"/>
      <c r="W304" s="192">
        <f>E304/'LEVEL 3'!$B$8</f>
        <v>1.7135654216258942</v>
      </c>
      <c r="X304" s="193"/>
      <c r="Y304" s="194"/>
      <c r="Z304" s="192">
        <f>H304/('Scenario 1 - Phase 1'!$B$8+'LEVEL 3'!$B$8)</f>
        <v>1.8524299677924447</v>
      </c>
      <c r="AA304" s="1"/>
    </row>
    <row r="305" spans="1:27">
      <c r="A305" s="33" t="s">
        <v>684</v>
      </c>
      <c r="B305" s="82"/>
      <c r="C305" s="102">
        <f>SUM(B306:B308)</f>
        <v>330512.02330501011</v>
      </c>
      <c r="E305" s="82"/>
      <c r="F305" s="102">
        <f>SUM(E306:E308)</f>
        <v>515160.29057296121</v>
      </c>
      <c r="H305" s="82"/>
      <c r="I305" s="102">
        <f>SUM(H306:H308)</f>
        <v>845672.31387797138</v>
      </c>
      <c r="K305" s="82"/>
      <c r="L305" s="102">
        <f>SUM(K306:K308)</f>
        <v>952.48421701732013</v>
      </c>
      <c r="N305" s="82"/>
      <c r="O305" s="102">
        <f>SUM(N306:N308)</f>
        <v>2655.4654153245424</v>
      </c>
      <c r="Q305" s="82"/>
      <c r="R305" s="102">
        <f>SUM(Q306:Q308)</f>
        <v>1563.1650903474515</v>
      </c>
      <c r="T305" s="82"/>
      <c r="U305" s="201">
        <f>C305/'Scenario 1 - Phase 1'!$B$8</f>
        <v>1.0622546082014326</v>
      </c>
      <c r="V305" s="199"/>
      <c r="W305" s="203"/>
      <c r="X305" s="201">
        <f>F305/'LEVEL 3'!$B$8</f>
        <v>2.6244990324111956</v>
      </c>
      <c r="Y305" s="199"/>
      <c r="Z305" s="203"/>
      <c r="AA305" s="201">
        <f>I305/('Scenario 1 - Phase 1'!$B$8+'LEVEL 3'!$B$8)</f>
        <v>1.6665759756064793</v>
      </c>
    </row>
    <row r="306" spans="1:27">
      <c r="A306" s="35" t="s">
        <v>685</v>
      </c>
      <c r="B306" s="71">
        <f>'Scenario 1 - Phase 1'!K321</f>
        <v>165256.01165250505</v>
      </c>
      <c r="C306" s="1"/>
      <c r="E306" s="71">
        <f>'LEVEL 3'!K329</f>
        <v>257580.14528648061</v>
      </c>
      <c r="F306" s="1"/>
      <c r="H306" s="71">
        <f t="shared" ref="H306:H308" si="24">B306+E306</f>
        <v>422836.15693898569</v>
      </c>
      <c r="I306" s="1"/>
      <c r="K306" s="71">
        <f>B306/'Scenario 1 - Phase 1'!$E$8</f>
        <v>476.24210850866012</v>
      </c>
      <c r="L306" s="1"/>
      <c r="N306" s="71">
        <f>E306/'LEVEL 3'!$E$8</f>
        <v>1327.7327076622712</v>
      </c>
      <c r="O306" s="1"/>
      <c r="Q306" s="71">
        <f>H306/('Scenario 1 - Phase 1'!$E$8+'LEVEL 3'!$E$8)</f>
        <v>781.58254517372586</v>
      </c>
      <c r="R306" s="1"/>
      <c r="T306" s="195">
        <f>B306/'Scenario 1 - Phase 1'!$B$8</f>
        <v>0.53112730410071629</v>
      </c>
      <c r="U306" s="193"/>
      <c r="V306" s="194"/>
      <c r="W306" s="195">
        <f>E306/'LEVEL 3'!$B$8</f>
        <v>1.3122495162055978</v>
      </c>
      <c r="X306" s="193"/>
      <c r="Y306" s="194"/>
      <c r="Z306" s="195">
        <f>H306/('Scenario 1 - Phase 1'!$B$8+'LEVEL 3'!$B$8)</f>
        <v>0.83328798780323965</v>
      </c>
      <c r="AA306" s="1"/>
    </row>
    <row r="307" spans="1:27">
      <c r="A307" s="39" t="s">
        <v>688</v>
      </c>
      <c r="B307" s="83">
        <f>'Scenario 1 - Phase 1'!K322</f>
        <v>8262.8005826252538</v>
      </c>
      <c r="C307" s="1"/>
      <c r="E307" s="83">
        <f>'LEVEL 3'!K330</f>
        <v>12879.007264324031</v>
      </c>
      <c r="F307" s="1"/>
      <c r="H307" s="83">
        <f t="shared" si="24"/>
        <v>21141.807846949283</v>
      </c>
      <c r="I307" s="1"/>
      <c r="K307" s="83">
        <f>B307/'Scenario 1 - Phase 1'!$E$8</f>
        <v>23.812105425433007</v>
      </c>
      <c r="L307" s="1"/>
      <c r="N307" s="83">
        <f>E307/'LEVEL 3'!$E$8</f>
        <v>66.386635383113557</v>
      </c>
      <c r="O307" s="1"/>
      <c r="Q307" s="83">
        <f>H307/('Scenario 1 - Phase 1'!$E$8+'LEVEL 3'!$E$8)</f>
        <v>39.079127258686292</v>
      </c>
      <c r="R307" s="1"/>
      <c r="T307" s="197">
        <f>B307/'Scenario 1 - Phase 1'!$B$8</f>
        <v>2.6556365205035817E-2</v>
      </c>
      <c r="U307" s="193"/>
      <c r="V307" s="194"/>
      <c r="W307" s="197">
        <f>E307/'LEVEL 3'!$B$8</f>
        <v>6.5612475810279902E-2</v>
      </c>
      <c r="X307" s="193"/>
      <c r="Y307" s="194"/>
      <c r="Z307" s="197">
        <f>H307/('Scenario 1 - Phase 1'!$B$8+'LEVEL 3'!$B$8)</f>
        <v>4.1664399390161977E-2</v>
      </c>
      <c r="AA307" s="1"/>
    </row>
    <row r="308" spans="1:27">
      <c r="A308" s="39" t="s">
        <v>690</v>
      </c>
      <c r="B308" s="83">
        <f>'Scenario 1 - Phase 1'!K323</f>
        <v>156993.21106987979</v>
      </c>
      <c r="C308" s="1"/>
      <c r="E308" s="83">
        <f>'LEVEL 3'!K331</f>
        <v>244701.13802215658</v>
      </c>
      <c r="F308" s="1"/>
      <c r="H308" s="83">
        <f t="shared" si="24"/>
        <v>401694.34909203637</v>
      </c>
      <c r="I308" s="1"/>
      <c r="K308" s="83">
        <f>B308/'Scenario 1 - Phase 1'!$E$8</f>
        <v>452.43000308322706</v>
      </c>
      <c r="L308" s="1"/>
      <c r="N308" s="83">
        <f>E308/'LEVEL 3'!$E$8</f>
        <v>1261.3460722791576</v>
      </c>
      <c r="O308" s="1"/>
      <c r="Q308" s="83">
        <f>H308/('Scenario 1 - Phase 1'!$E$8+'LEVEL 3'!$E$8)</f>
        <v>742.50341791503945</v>
      </c>
      <c r="R308" s="1"/>
      <c r="T308" s="197">
        <f>B308/'Scenario 1 - Phase 1'!$B$8</f>
        <v>0.50457093889568039</v>
      </c>
      <c r="U308" s="193"/>
      <c r="V308" s="194"/>
      <c r="W308" s="197">
        <f>E308/'LEVEL 3'!$B$8</f>
        <v>1.246637040395318</v>
      </c>
      <c r="X308" s="193"/>
      <c r="Y308" s="194"/>
      <c r="Z308" s="197">
        <f>H308/('Scenario 1 - Phase 1'!$B$8+'LEVEL 3'!$B$8)</f>
        <v>0.79162358841307756</v>
      </c>
      <c r="AA308" s="1"/>
    </row>
    <row r="309" spans="1:27">
      <c r="A309" s="33" t="s">
        <v>692</v>
      </c>
      <c r="B309" s="82"/>
      <c r="C309" s="102">
        <f>SUM(B310)</f>
        <v>4389635.988993247</v>
      </c>
      <c r="E309" s="82"/>
      <c r="F309" s="102">
        <f>SUM(E310)</f>
        <v>1674318</v>
      </c>
      <c r="H309" s="82"/>
      <c r="I309" s="102">
        <f>SUM(H310)</f>
        <v>6063953.988993247</v>
      </c>
      <c r="K309" s="82"/>
      <c r="L309" s="102">
        <f>C309/'Scenario 1 - Phase 1'!$E$8</f>
        <v>12650.247806896965</v>
      </c>
      <c r="N309" s="82"/>
      <c r="O309" s="102">
        <f>F309/'LEVEL 3'!$E$8</f>
        <v>8630.5051546391751</v>
      </c>
      <c r="Q309" s="82"/>
      <c r="R309" s="102">
        <f>I309/('Scenario 1 - Phase 1'!$E$8+'LEVEL 3'!$E$8)</f>
        <v>11208.787410338718</v>
      </c>
      <c r="T309" s="82"/>
      <c r="U309" s="201">
        <f>C309/'Scenario 1 - Phase 1'!$B$8</f>
        <v>14.10814351322948</v>
      </c>
      <c r="V309" s="199"/>
      <c r="W309" s="203"/>
      <c r="X309" s="201">
        <f>F309/'LEVEL 3'!$B$8</f>
        <v>8.5298615816474683</v>
      </c>
      <c r="Y309" s="199"/>
      <c r="Z309" s="203"/>
      <c r="AA309" s="201">
        <f>I309/('Scenario 1 - Phase 1'!$B$8+'LEVEL 3'!$B$8)</f>
        <v>11.950302581027266</v>
      </c>
    </row>
    <row r="310" spans="1:27">
      <c r="A310" s="32" t="s">
        <v>694</v>
      </c>
      <c r="B310" s="53">
        <f>'Scenario 1 - Phase 1'!K325</f>
        <v>4389635.988993247</v>
      </c>
      <c r="C310" s="1"/>
      <c r="E310" s="53">
        <f>'LEVEL 3'!K334</f>
        <v>1674318</v>
      </c>
      <c r="F310" s="1"/>
      <c r="H310" s="53">
        <f>B310+E310</f>
        <v>6063953.988993247</v>
      </c>
      <c r="I310" s="1"/>
      <c r="K310" s="53">
        <f>B310/'Scenario 1 - Phase 1'!$E$8</f>
        <v>12650.247806896965</v>
      </c>
      <c r="L310" s="1"/>
      <c r="N310" s="53">
        <f>E310/'LEVEL 3'!$E$8</f>
        <v>8630.5051546391751</v>
      </c>
      <c r="O310" s="1"/>
      <c r="Q310" s="53">
        <f>H310/('Scenario 1 - Phase 1'!$E$8+'LEVEL 3'!$E$8)</f>
        <v>11208.787410338718</v>
      </c>
      <c r="R310" s="1"/>
      <c r="T310" s="191">
        <f>B310/'Scenario 1 - Phase 1'!$B$8</f>
        <v>14.10814351322948</v>
      </c>
      <c r="U310" s="193"/>
      <c r="V310" s="194"/>
      <c r="W310" s="191">
        <f>E310/'LEVEL 3'!$B$8</f>
        <v>8.5298615816474683</v>
      </c>
      <c r="X310" s="193"/>
      <c r="Y310" s="194"/>
      <c r="Z310" s="191">
        <f>H310/('Scenario 1 - Phase 1'!$B$8+'LEVEL 3'!$B$8)</f>
        <v>11.950302581027266</v>
      </c>
      <c r="AA310" s="1"/>
    </row>
    <row r="311" spans="1:27" ht="15.75" thickBot="1">
      <c r="A311" s="118" t="s">
        <v>695</v>
      </c>
      <c r="B311" s="122"/>
      <c r="C311" s="123">
        <f>SUM(C5:C310)</f>
        <v>59260085.851408847</v>
      </c>
      <c r="E311" s="122"/>
      <c r="F311" s="123" t="e">
        <f>SUM(F5:F310)</f>
        <v>#REF!</v>
      </c>
      <c r="H311" s="122"/>
      <c r="I311" s="123" t="e">
        <f>SUM(I5:I310)</f>
        <v>#REF!</v>
      </c>
      <c r="K311" s="122"/>
      <c r="L311" s="123">
        <f>SUM(L5:L310)</f>
        <v>170778.34539310908</v>
      </c>
      <c r="N311" s="122"/>
      <c r="O311" s="123" t="e">
        <f>SUM(O5:O310)</f>
        <v>#REF!</v>
      </c>
      <c r="Q311" s="122"/>
      <c r="R311" s="123" t="e">
        <f>SUM(R5:R310)</f>
        <v>#REF!</v>
      </c>
      <c r="T311" s="122"/>
      <c r="U311" s="204">
        <f>C311/'Scenario 1 - Phase 1'!$B$8</f>
        <v>190.45993742859804</v>
      </c>
      <c r="V311" s="199"/>
      <c r="W311" s="205"/>
      <c r="X311" s="204" t="e">
        <f>F311/'LEVEL 3'!$B$8</f>
        <v>#REF!</v>
      </c>
      <c r="Y311" s="199"/>
      <c r="Z311" s="205"/>
      <c r="AA311" s="204" t="e">
        <f>I311/('Scenario 1 - Phase 1'!$B$8+'LEVEL 3'!$B$8)</f>
        <v>#REF!</v>
      </c>
    </row>
    <row r="312" spans="1:27">
      <c r="A312" t="s">
        <v>998</v>
      </c>
      <c r="B312" s="187">
        <f>SUM(B6:B311)</f>
        <v>59260085.851408839</v>
      </c>
      <c r="E312" s="187" t="e">
        <f>SUM(E6:E311)</f>
        <v>#REF!</v>
      </c>
      <c r="H312" s="187" t="e">
        <f>SUM(H6:H311)</f>
        <v>#REF!</v>
      </c>
      <c r="K312" s="187">
        <f>SUM(K6:K311)</f>
        <v>170778.34539310908</v>
      </c>
      <c r="N312" s="187" t="e">
        <f>SUM(N6:N311)</f>
        <v>#REF!</v>
      </c>
      <c r="Q312" s="187" t="e">
        <f>SUM(Q6:Q311)</f>
        <v>#REF!</v>
      </c>
      <c r="T312" s="194">
        <f>B312/'Scenario 1 - Phase 1'!$B$8</f>
        <v>190.45993742859801</v>
      </c>
      <c r="U312" s="194"/>
      <c r="V312" s="194"/>
      <c r="W312" s="194" t="e">
        <f>E312/'LEVEL 3'!$B$8</f>
        <v>#REF!</v>
      </c>
      <c r="X312" s="194"/>
      <c r="Y312" s="194"/>
      <c r="Z312" s="194" t="e">
        <f>H312/('Scenario 1 - Phase 1'!$B$8+'LEVEL 3'!$B$8)</f>
        <v>#REF!</v>
      </c>
    </row>
  </sheetData>
  <conditionalFormatting sqref="A5:B310 A311:C311">
    <cfRule type="expression" dxfId="40" priority="19">
      <formula>MOD(ROW(),2)</formula>
    </cfRule>
  </conditionalFormatting>
  <conditionalFormatting sqref="C5 C7 C9 C19:C20 C29 C35 C44 C57 C69 C85 C122 C139 C141 C150 C154 C156 C159 C163 C169 C171 C188 C192 C196 C206 C243 C259 C261 C265 C275 C284 C286 C301 C303 C305 C309">
    <cfRule type="expression" dxfId="39" priority="16">
      <formula>MOD(ROW(),2)</formula>
    </cfRule>
  </conditionalFormatting>
  <conditionalFormatting sqref="E5:E311">
    <cfRule type="expression" dxfId="38" priority="18">
      <formula>MOD(ROW(),2)</formula>
    </cfRule>
  </conditionalFormatting>
  <conditionalFormatting sqref="F5 F7 F9 F19:F20 F29 F35 F44 F57 F69 F85 F122 F139 F141 F150 F154 F156 F159 F163 F169 F171 F188 F192 F196 F206 F243 F259 F261 F265 F275 F284 F286 F301 F303 F305 F309 F311">
    <cfRule type="expression" dxfId="37" priority="15">
      <formula>MOD(ROW(),2)</formula>
    </cfRule>
  </conditionalFormatting>
  <conditionalFormatting sqref="H5:H311">
    <cfRule type="expression" dxfId="36" priority="17">
      <formula>MOD(ROW(),2)</formula>
    </cfRule>
  </conditionalFormatting>
  <conditionalFormatting sqref="I5 I7 I9 I19:I20 I29 I35 I44 I57 I69 I85 I122 I139 I141 I150 I154 I156 I159 I163 I169 I171 I188 I192 I196 I206 I243 I259 I261 I265 I275 I284 I286 I301 I303 I305 I309 I311">
    <cfRule type="expression" dxfId="35" priority="14">
      <formula>MOD(ROW(),2)</formula>
    </cfRule>
  </conditionalFormatting>
  <conditionalFormatting sqref="K5:K310 K311:L311">
    <cfRule type="expression" dxfId="34" priority="13">
      <formula>MOD(ROW(),2)</formula>
    </cfRule>
  </conditionalFormatting>
  <conditionalFormatting sqref="L5 L7 L9 L19:L20 L29 L35 L44 L57 L69 L85 L122 L139 L141 L150 L154 L156 L159 L163 L169 L171 L188 L192 L196 L206 L243 L259 L261 L265 L275 L284 L286 L301 L303 L305 L309">
    <cfRule type="expression" dxfId="33" priority="10">
      <formula>MOD(ROW(),2)</formula>
    </cfRule>
  </conditionalFormatting>
  <conditionalFormatting sqref="N5:N311">
    <cfRule type="expression" dxfId="32" priority="12">
      <formula>MOD(ROW(),2)</formula>
    </cfRule>
  </conditionalFormatting>
  <conditionalFormatting sqref="O5 O7 O9 O19:O20 O29 O35 O44 O57 O69 O85 O122 O139 O141 O150 O154 O156 O159 O163 O169 O171 O188 O192 O196 O206 O243 O259 O261 O265 O275 O284 O286 O301 O303 O305 O309 O311">
    <cfRule type="expression" dxfId="31" priority="9">
      <formula>MOD(ROW(),2)</formula>
    </cfRule>
  </conditionalFormatting>
  <conditionalFormatting sqref="Q5:Q311">
    <cfRule type="expression" dxfId="30" priority="11">
      <formula>MOD(ROW(),2)</formula>
    </cfRule>
  </conditionalFormatting>
  <conditionalFormatting sqref="R5 R7 R9 R19:R20 R29 R35 R44 R57 R69 R85 R122 R139 R141 R150 R154 R156 R159 R163 R169 R171 R188 R192 R196 R206 R243 R259 R261 R265 R275 R284 R286 R301 R303 R305 R309 R311">
    <cfRule type="expression" dxfId="29" priority="8">
      <formula>MOD(ROW(),2)</formula>
    </cfRule>
  </conditionalFormatting>
  <conditionalFormatting sqref="T5:T310 T311:U311">
    <cfRule type="expression" dxfId="28" priority="7">
      <formula>MOD(ROW(),2)</formula>
    </cfRule>
  </conditionalFormatting>
  <conditionalFormatting sqref="U5 U7 U9 U19:U20 U29 U35 U44 U57 U69 U85 U122 U139 U141 U150 U154 U156 U159 U163 U169 U171 U188 U192 U196 U206 U243 U259 U261 U265 U275 U284 U286 U301 U303 U305 U309">
    <cfRule type="expression" dxfId="27" priority="4">
      <formula>MOD(ROW(),2)</formula>
    </cfRule>
  </conditionalFormatting>
  <conditionalFormatting sqref="W5:W311">
    <cfRule type="expression" dxfId="26" priority="6">
      <formula>MOD(ROW(),2)</formula>
    </cfRule>
  </conditionalFormatting>
  <conditionalFormatting sqref="X5 X7 X9 X19:X20 X29 X35 X44 X57 X69 X85 X122 X139 X141 X150 X154 X156 X159 X163 X169 X171 X188 X192 X196 X206 X243 X259 X261 X265 X275 X284 X286 X301 X303 X305 X309 X311">
    <cfRule type="expression" dxfId="25" priority="3">
      <formula>MOD(ROW(),2)</formula>
    </cfRule>
  </conditionalFormatting>
  <conditionalFormatting sqref="Z5:Z311">
    <cfRule type="expression" dxfId="24" priority="1">
      <formula>MOD(ROW(),2)</formula>
    </cfRule>
  </conditionalFormatting>
  <conditionalFormatting sqref="AA5 AA7 AA9 AA19:AA20 AA29 AA35 AA44 AA57 AA69 AA85 AA122 AA139 AA141 AA150 AA154 AA156 AA159 AA163 AA169 AA171 AA188 AA192 AA196 AA206 AA243 AA259 AA261 AA265 AA275 AA284 AA286 AA301 AA303 AA305 AA309 AA311">
    <cfRule type="expression" dxfId="23" priority="2">
      <formula>MOD(ROW(),2)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0411-2746-424D-BCA3-86D3CC79A947}">
  <dimension ref="A1:AA312"/>
  <sheetViews>
    <sheetView showGridLines="0" topLeftCell="A171" zoomScale="85" zoomScaleNormal="85" workbookViewId="0">
      <selection activeCell="O59" sqref="O59"/>
    </sheetView>
  </sheetViews>
  <sheetFormatPr defaultRowHeight="15"/>
  <cols>
    <col min="1" max="1" width="38.85546875" bestFit="1" customWidth="1"/>
    <col min="2" max="2" width="10.140625" bestFit="1" customWidth="1"/>
    <col min="3" max="3" width="11.140625" bestFit="1" customWidth="1"/>
    <col min="4" max="4" width="2.28515625" customWidth="1"/>
    <col min="5" max="5" width="10.140625" bestFit="1" customWidth="1"/>
    <col min="6" max="6" width="11.140625" bestFit="1" customWidth="1"/>
    <col min="7" max="7" width="1.85546875" customWidth="1"/>
    <col min="8" max="8" width="10.140625" bestFit="1" customWidth="1"/>
    <col min="9" max="9" width="11.140625" bestFit="1" customWidth="1"/>
    <col min="11" max="11" width="10.140625" bestFit="1" customWidth="1"/>
    <col min="12" max="12" width="11.140625" bestFit="1" customWidth="1"/>
    <col min="13" max="13" width="2.28515625" customWidth="1"/>
    <col min="14" max="14" width="10.140625" bestFit="1" customWidth="1"/>
    <col min="15" max="15" width="11.140625" bestFit="1" customWidth="1"/>
    <col min="16" max="16" width="1.85546875" customWidth="1"/>
    <col min="17" max="17" width="10.140625" bestFit="1" customWidth="1"/>
    <col min="18" max="18" width="11.140625" bestFit="1" customWidth="1"/>
    <col min="20" max="20" width="10.140625" bestFit="1" customWidth="1"/>
    <col min="21" max="21" width="11.140625" bestFit="1" customWidth="1"/>
    <col min="22" max="22" width="2.28515625" customWidth="1"/>
    <col min="23" max="23" width="10.140625" bestFit="1" customWidth="1"/>
    <col min="24" max="24" width="11.140625" bestFit="1" customWidth="1"/>
    <col min="25" max="25" width="1.85546875" customWidth="1"/>
    <col min="26" max="26" width="10.140625" bestFit="1" customWidth="1"/>
    <col min="27" max="27" width="11.140625" bestFit="1" customWidth="1"/>
  </cols>
  <sheetData>
    <row r="1" spans="1:27">
      <c r="B1" s="189" t="s">
        <v>44</v>
      </c>
      <c r="C1" s="189"/>
      <c r="D1" s="189"/>
      <c r="E1" s="189"/>
      <c r="F1" s="189"/>
      <c r="G1" s="189"/>
      <c r="H1" s="189"/>
      <c r="I1" s="189"/>
      <c r="K1" s="190" t="s">
        <v>50</v>
      </c>
      <c r="L1" s="190"/>
      <c r="M1" s="190"/>
      <c r="N1" s="190"/>
      <c r="O1" s="190"/>
      <c r="P1" s="190"/>
      <c r="Q1" s="190"/>
      <c r="R1" s="190"/>
      <c r="T1" s="188" t="s">
        <v>994</v>
      </c>
      <c r="U1" s="188"/>
      <c r="V1" s="188"/>
      <c r="W1" s="188"/>
      <c r="X1" s="188"/>
      <c r="Y1" s="188"/>
      <c r="Z1" s="188"/>
      <c r="AA1" s="188"/>
    </row>
    <row r="3" spans="1:27" ht="15.75" thickBot="1">
      <c r="B3" s="186" t="s">
        <v>995</v>
      </c>
      <c r="C3" s="144"/>
      <c r="E3" s="186" t="s">
        <v>996</v>
      </c>
      <c r="F3" s="144"/>
      <c r="H3" s="186" t="s">
        <v>997</v>
      </c>
      <c r="I3" s="144"/>
      <c r="K3" s="186" t="s">
        <v>995</v>
      </c>
      <c r="L3" s="144"/>
      <c r="N3" s="186" t="s">
        <v>996</v>
      </c>
      <c r="O3" s="144"/>
      <c r="Q3" s="186" t="s">
        <v>997</v>
      </c>
      <c r="R3" s="144"/>
      <c r="T3" s="186" t="s">
        <v>995</v>
      </c>
      <c r="U3" s="144"/>
      <c r="W3" s="186" t="s">
        <v>996</v>
      </c>
      <c r="X3" s="144"/>
      <c r="Z3" s="186" t="s">
        <v>997</v>
      </c>
      <c r="AA3" s="144"/>
    </row>
    <row r="4" spans="1:27" ht="15.75" thickBot="1">
      <c r="A4" s="140" t="s">
        <v>88</v>
      </c>
      <c r="B4" s="141" t="s">
        <v>98</v>
      </c>
      <c r="C4" s="140" t="s">
        <v>99</v>
      </c>
      <c r="E4" s="141" t="s">
        <v>98</v>
      </c>
      <c r="F4" s="140" t="s">
        <v>99</v>
      </c>
      <c r="H4" s="141" t="s">
        <v>98</v>
      </c>
      <c r="I4" s="140" t="s">
        <v>99</v>
      </c>
      <c r="K4" s="141" t="s">
        <v>98</v>
      </c>
      <c r="L4" s="140" t="s">
        <v>99</v>
      </c>
      <c r="N4" s="141" t="s">
        <v>98</v>
      </c>
      <c r="O4" s="140" t="s">
        <v>99</v>
      </c>
      <c r="Q4" s="141" t="s">
        <v>98</v>
      </c>
      <c r="R4" s="140" t="s">
        <v>99</v>
      </c>
      <c r="T4" s="141" t="s">
        <v>98</v>
      </c>
      <c r="U4" s="140" t="s">
        <v>99</v>
      </c>
      <c r="W4" s="141" t="s">
        <v>98</v>
      </c>
      <c r="X4" s="140" t="s">
        <v>99</v>
      </c>
      <c r="Z4" s="141" t="s">
        <v>98</v>
      </c>
      <c r="AA4" s="140" t="s">
        <v>99</v>
      </c>
    </row>
    <row r="5" spans="1:27">
      <c r="A5" s="30" t="s">
        <v>101</v>
      </c>
      <c r="B5" s="47"/>
      <c r="C5" s="101">
        <f>B6</f>
        <v>2008563.5999999999</v>
      </c>
      <c r="E5" s="47"/>
      <c r="F5" s="101">
        <f>E6</f>
        <v>1674318</v>
      </c>
      <c r="H5" s="47"/>
      <c r="I5" s="101">
        <f>H6</f>
        <v>3682881.5999999996</v>
      </c>
      <c r="K5" s="47"/>
      <c r="L5" s="101">
        <f>C5/'Scenario 1 - Phase 1'!$E$8</f>
        <v>5788.3677233429389</v>
      </c>
      <c r="N5" s="47"/>
      <c r="O5" s="101">
        <f>F5/'LEVEL 3'!$E$8</f>
        <v>8630.5051546391751</v>
      </c>
      <c r="Q5" s="47"/>
      <c r="R5" s="101">
        <f>I5/('Scenario 1 - Phase 1'!$E$8+'LEVEL 3'!$E$8)</f>
        <v>6807.5445471349349</v>
      </c>
      <c r="T5" s="47"/>
      <c r="U5" s="198">
        <f>C5/'Scenario 1 - Phase 1'!$B$8</f>
        <v>6.4554563511194241</v>
      </c>
      <c r="V5" s="199"/>
      <c r="W5" s="200"/>
      <c r="X5" s="198">
        <f>F5/'LEVEL 3'!$B$8</f>
        <v>8.5298615816474683</v>
      </c>
      <c r="Z5" s="47"/>
      <c r="AA5" s="198">
        <f>I5/('Scenario 1 - Phase 1'!$B$8+'LEVEL 3'!$B$8)</f>
        <v>7.2578963445276292</v>
      </c>
    </row>
    <row r="6" spans="1:27">
      <c r="A6" s="32" t="s">
        <v>101</v>
      </c>
      <c r="B6" s="53">
        <f>'Scenario 1 - Phase 1'!K21</f>
        <v>2008563.5999999999</v>
      </c>
      <c r="C6" s="1"/>
      <c r="E6" s="53">
        <f>'LEVEL 3'!K21</f>
        <v>1674318</v>
      </c>
      <c r="F6" s="1"/>
      <c r="H6" s="53">
        <f>B6+E6</f>
        <v>3682881.5999999996</v>
      </c>
      <c r="I6" s="1"/>
      <c r="K6" s="53">
        <f>B6/'Scenario 1 - Phase 1'!$E$8</f>
        <v>5788.3677233429389</v>
      </c>
      <c r="L6" s="1"/>
      <c r="N6" s="53">
        <f>E6/'LEVEL 3'!$E$8</f>
        <v>8630.5051546391751</v>
      </c>
      <c r="O6" s="1"/>
      <c r="Q6" s="53">
        <f>H6/('Scenario 1 - Phase 1'!$E$8+'LEVEL 3'!$E$8)</f>
        <v>6807.5445471349349</v>
      </c>
      <c r="R6" s="1"/>
      <c r="T6" s="191">
        <f>B6/'Scenario 1 - Phase 1'!$B$8</f>
        <v>6.4554563511194241</v>
      </c>
      <c r="U6" s="1"/>
      <c r="W6" s="191">
        <f>E6/'LEVEL 3'!$B$8</f>
        <v>8.5298615816474683</v>
      </c>
      <c r="X6" s="1"/>
      <c r="Z6" s="191">
        <f>H6/('Scenario 1 - Phase 1'!$B$8+'LEVEL 3'!$B$8)</f>
        <v>7.2578963445276292</v>
      </c>
      <c r="AA6" s="1"/>
    </row>
    <row r="7" spans="1:27" hidden="1">
      <c r="A7" s="33" t="s">
        <v>105</v>
      </c>
      <c r="B7" s="59"/>
      <c r="C7" s="102">
        <f>B8</f>
        <v>8000</v>
      </c>
      <c r="E7" s="59"/>
      <c r="F7" s="102">
        <f>E8</f>
        <v>3500</v>
      </c>
      <c r="H7" s="59"/>
      <c r="I7" s="102">
        <f>H8</f>
        <v>11500</v>
      </c>
      <c r="K7" s="59"/>
      <c r="L7" s="102">
        <f>K8</f>
        <v>23.054755043227665</v>
      </c>
      <c r="N7" s="59"/>
      <c r="O7" s="102">
        <f>N8</f>
        <v>18.041237113402062</v>
      </c>
      <c r="Q7" s="59"/>
      <c r="R7" s="102">
        <f>Q8</f>
        <v>21.256931608133087</v>
      </c>
      <c r="T7" s="59"/>
      <c r="U7" s="201">
        <f>C7/'Scenario 1 - Phase 1'!$B$8</f>
        <v>2.5711732906518566E-2</v>
      </c>
      <c r="V7" s="199"/>
      <c r="W7" s="202"/>
      <c r="X7" s="201">
        <f>F7/'LEVEL 3'!$B$8</f>
        <v>1.7830851448629316E-2</v>
      </c>
      <c r="Y7" s="199"/>
      <c r="Z7" s="202"/>
      <c r="AA7" s="201">
        <f>I7/('Scenario 1 - Phase 1'!$B$8+'LEVEL 3'!$B$8)</f>
        <v>2.2663179821492973E-2</v>
      </c>
    </row>
    <row r="8" spans="1:27" hidden="1">
      <c r="A8" s="34" t="s">
        <v>107</v>
      </c>
      <c r="B8" s="65">
        <f>'Scenario 1 - Phase 1'!K23</f>
        <v>8000</v>
      </c>
      <c r="C8" s="1"/>
      <c r="E8" s="65">
        <f>'LEVEL 3'!K23</f>
        <v>3500</v>
      </c>
      <c r="F8" s="1"/>
      <c r="H8" s="65">
        <f>B8+E8</f>
        <v>11500</v>
      </c>
      <c r="I8" s="1"/>
      <c r="K8" s="65">
        <f>B8/'Scenario 1 - Phase 1'!$E$8</f>
        <v>23.054755043227665</v>
      </c>
      <c r="L8" s="1"/>
      <c r="N8" s="65">
        <f>E8/'LEVEL 3'!$E$8</f>
        <v>18.041237113402062</v>
      </c>
      <c r="O8" s="1"/>
      <c r="Q8" s="65">
        <f>H8/('Scenario 1 - Phase 1'!$E$8+'LEVEL 3'!$E$8)</f>
        <v>21.256931608133087</v>
      </c>
      <c r="R8" s="1"/>
      <c r="T8" s="192">
        <f>B8/'Scenario 1 - Phase 1'!$B$8</f>
        <v>2.5711732906518566E-2</v>
      </c>
      <c r="U8" s="193"/>
      <c r="V8" s="194"/>
      <c r="W8" s="192">
        <f>E8/'LEVEL 3'!$B$8</f>
        <v>1.7830851448629316E-2</v>
      </c>
      <c r="X8" s="193"/>
      <c r="Y8" s="194"/>
      <c r="Z8" s="192">
        <f>H8/('Scenario 1 - Phase 1'!$B$8+'LEVEL 3'!$B$8)</f>
        <v>2.2663179821492973E-2</v>
      </c>
      <c r="AA8" s="1"/>
    </row>
    <row r="9" spans="1:27">
      <c r="A9" s="33" t="s">
        <v>111</v>
      </c>
      <c r="B9" s="59"/>
      <c r="C9" s="102">
        <f>SUM(B10:B19)</f>
        <v>1975170.0200000003</v>
      </c>
      <c r="E9" s="59"/>
      <c r="F9" s="102">
        <f>SUM(E10:E19)</f>
        <v>1089279.82</v>
      </c>
      <c r="H9" s="59"/>
      <c r="I9" s="102">
        <f>SUM(H10:H19)</f>
        <v>3064449.8400000003</v>
      </c>
      <c r="K9" s="59"/>
      <c r="L9" s="102">
        <f>SUM(K10:K19)</f>
        <v>5692.132622478387</v>
      </c>
      <c r="N9" s="59"/>
      <c r="O9" s="102">
        <f>SUM(N10:N19)</f>
        <v>5614.8444329896911</v>
      </c>
      <c r="Q9" s="59"/>
      <c r="R9" s="102">
        <f>SUM(Q10:Q19)</f>
        <v>5664.417449168207</v>
      </c>
      <c r="T9" s="59"/>
      <c r="U9" s="201">
        <f>C9/'Scenario 1 - Phase 1'!$B$8</f>
        <v>6.3481304999003676</v>
      </c>
      <c r="V9" s="199"/>
      <c r="W9" s="202"/>
      <c r="X9" s="201">
        <f>F9/'LEVEL 3'!$B$8</f>
        <v>5.5493676161170526</v>
      </c>
      <c r="Y9" s="199"/>
      <c r="Z9" s="202"/>
      <c r="AA9" s="201">
        <f>I9/('Scenario 1 - Phase 1'!$B$8+'LEVEL 3'!$B$8)</f>
        <v>6.0391458937274241</v>
      </c>
    </row>
    <row r="10" spans="1:27">
      <c r="A10" s="35" t="s">
        <v>113</v>
      </c>
      <c r="B10" s="71">
        <f>'Scenario 1 - Phase 1'!K25</f>
        <v>1243530.8600000001</v>
      </c>
      <c r="C10" s="1"/>
      <c r="E10" s="71">
        <f>'LEVEL 3'!K25</f>
        <v>576982.78</v>
      </c>
      <c r="F10" s="1"/>
      <c r="H10" s="71">
        <f t="shared" ref="H10:H19" si="0">B10+E10</f>
        <v>1820513.6400000001</v>
      </c>
      <c r="I10" s="1"/>
      <c r="K10" s="71">
        <f>B10/'Scenario 1 - Phase 1'!$E$8</f>
        <v>3583.66242074928</v>
      </c>
      <c r="L10" s="1"/>
      <c r="N10" s="71">
        <f>E10/'LEVEL 3'!$E$8</f>
        <v>2974.1380412371136</v>
      </c>
      <c r="O10" s="1"/>
      <c r="Q10" s="71">
        <f>H10/('Scenario 1 - Phase 1'!$E$8+'LEVEL 3'!$E$8)</f>
        <v>3365.0899075785583</v>
      </c>
      <c r="R10" s="1"/>
      <c r="T10" s="195">
        <f>B10/'Scenario 1 - Phase 1'!$B$8</f>
        <v>3.996666666666667</v>
      </c>
      <c r="U10" s="193"/>
      <c r="V10" s="194"/>
      <c r="W10" s="195">
        <f>E10/'LEVEL 3'!$B$8</f>
        <v>2.939455496742049</v>
      </c>
      <c r="X10" s="193"/>
      <c r="Y10" s="194"/>
      <c r="Z10" s="195">
        <f>H10/('Scenario 1 - Phase 1'!$B$8+'LEVEL 3'!$B$8)</f>
        <v>3.5877067818087585</v>
      </c>
      <c r="AA10" s="1"/>
    </row>
    <row r="11" spans="1:27" hidden="1">
      <c r="A11" s="37" t="s">
        <v>117</v>
      </c>
      <c r="B11" s="71">
        <f>'Scenario 1 - Phase 1'!K26</f>
        <v>0</v>
      </c>
      <c r="C11" s="1"/>
      <c r="E11" s="71">
        <f>'LEVEL 3'!K26</f>
        <v>0</v>
      </c>
      <c r="F11" s="1"/>
      <c r="H11" s="71">
        <f t="shared" si="0"/>
        <v>0</v>
      </c>
      <c r="I11" s="1"/>
      <c r="K11" s="71">
        <f>B11/'Scenario 1 - Phase 1'!$E$8</f>
        <v>0</v>
      </c>
      <c r="L11" s="1"/>
      <c r="N11" s="71">
        <f>E11/'LEVEL 3'!$E$8</f>
        <v>0</v>
      </c>
      <c r="O11" s="1"/>
      <c r="Q11" s="71">
        <f>H11/('Scenario 1 - Phase 1'!$E$8+'LEVEL 3'!$E$8)</f>
        <v>0</v>
      </c>
      <c r="R11" s="1"/>
      <c r="T11" s="195">
        <f>B11/'Scenario 1 - Phase 1'!$B$8</f>
        <v>0</v>
      </c>
      <c r="U11" s="193"/>
      <c r="V11" s="194"/>
      <c r="W11" s="195">
        <f>E11/'LEVEL 3'!$B$8</f>
        <v>0</v>
      </c>
      <c r="X11" s="193"/>
      <c r="Y11" s="194"/>
      <c r="Z11" s="195">
        <f>H11/('Scenario 1 - Phase 1'!$B$8+'LEVEL 3'!$B$8)</f>
        <v>0</v>
      </c>
      <c r="AA11" s="1"/>
    </row>
    <row r="12" spans="1:27" hidden="1">
      <c r="A12" s="37" t="s">
        <v>119</v>
      </c>
      <c r="B12" s="71">
        <f>'Scenario 1 - Phase 1'!K27</f>
        <v>7500</v>
      </c>
      <c r="C12" s="1"/>
      <c r="E12" s="71">
        <f>'LEVEL 3'!K27</f>
        <v>2500</v>
      </c>
      <c r="F12" s="1"/>
      <c r="H12" s="71">
        <f t="shared" si="0"/>
        <v>10000</v>
      </c>
      <c r="I12" s="1"/>
      <c r="K12" s="71">
        <f>B12/'Scenario 1 - Phase 1'!$E$8</f>
        <v>21.613832853025936</v>
      </c>
      <c r="L12" s="1"/>
      <c r="N12" s="71">
        <f>E12/'LEVEL 3'!$E$8</f>
        <v>12.88659793814433</v>
      </c>
      <c r="O12" s="1"/>
      <c r="Q12" s="71">
        <f>H12/('Scenario 1 - Phase 1'!$E$8+'LEVEL 3'!$E$8)</f>
        <v>18.484288354898336</v>
      </c>
      <c r="R12" s="1"/>
      <c r="T12" s="195">
        <f>B12/'Scenario 1 - Phase 1'!$B$8</f>
        <v>2.4104749599861156E-2</v>
      </c>
      <c r="U12" s="193"/>
      <c r="V12" s="194"/>
      <c r="W12" s="195">
        <f>E12/'LEVEL 3'!$B$8</f>
        <v>1.2736322463306655E-2</v>
      </c>
      <c r="X12" s="193"/>
      <c r="Y12" s="194"/>
      <c r="Z12" s="195">
        <f>H12/('Scenario 1 - Phase 1'!$B$8+'LEVEL 3'!$B$8)</f>
        <v>1.9707112888254757E-2</v>
      </c>
      <c r="AA12" s="1"/>
    </row>
    <row r="13" spans="1:27" hidden="1">
      <c r="A13" s="37" t="s">
        <v>122</v>
      </c>
      <c r="B13" s="71">
        <f>'Scenario 1 - Phase 1'!K28</f>
        <v>3597</v>
      </c>
      <c r="C13" s="1"/>
      <c r="E13" s="71">
        <f>'LEVEL 3'!K28</f>
        <v>3597</v>
      </c>
      <c r="F13" s="1"/>
      <c r="H13" s="71">
        <f t="shared" si="0"/>
        <v>7194</v>
      </c>
      <c r="I13" s="1"/>
      <c r="K13" s="71">
        <f>B13/'Scenario 1 - Phase 1'!$E$8</f>
        <v>10.36599423631124</v>
      </c>
      <c r="L13" s="1"/>
      <c r="N13" s="71">
        <f>E13/'LEVEL 3'!$E$8</f>
        <v>18.541237113402062</v>
      </c>
      <c r="O13" s="1"/>
      <c r="Q13" s="71">
        <f>H13/('Scenario 1 - Phase 1'!$E$8+'LEVEL 3'!$E$8)</f>
        <v>13.297597042513864</v>
      </c>
      <c r="R13" s="1"/>
      <c r="T13" s="195">
        <f>B13/'Scenario 1 - Phase 1'!$B$8</f>
        <v>1.1560637908093412E-2</v>
      </c>
      <c r="U13" s="193"/>
      <c r="V13" s="194"/>
      <c r="W13" s="195">
        <f>E13/'LEVEL 3'!$B$8</f>
        <v>1.8325020760205615E-2</v>
      </c>
      <c r="X13" s="193"/>
      <c r="Y13" s="194"/>
      <c r="Z13" s="195">
        <f>H13/('Scenario 1 - Phase 1'!$B$8+'LEVEL 3'!$B$8)</f>
        <v>1.4177297011810473E-2</v>
      </c>
      <c r="AA13" s="1"/>
    </row>
    <row r="14" spans="1:27" hidden="1">
      <c r="A14" s="37" t="s">
        <v>124</v>
      </c>
      <c r="B14" s="71">
        <f>'Scenario 1 - Phase 1'!K29</f>
        <v>26980</v>
      </c>
      <c r="C14" s="1"/>
      <c r="E14" s="71">
        <f>'LEVEL 3'!K29</f>
        <v>11030.800000000001</v>
      </c>
      <c r="F14" s="1"/>
      <c r="H14" s="71">
        <f t="shared" si="0"/>
        <v>38010.800000000003</v>
      </c>
      <c r="I14" s="1"/>
      <c r="K14" s="71">
        <f>B14/'Scenario 1 - Phase 1'!$E$8</f>
        <v>77.752161383285298</v>
      </c>
      <c r="L14" s="1"/>
      <c r="N14" s="71">
        <f>E14/'LEVEL 3'!$E$8</f>
        <v>56.859793814432997</v>
      </c>
      <c r="O14" s="1"/>
      <c r="Q14" s="71">
        <f>H14/('Scenario 1 - Phase 1'!$E$8+'LEVEL 3'!$E$8)</f>
        <v>70.260258780036978</v>
      </c>
      <c r="R14" s="1"/>
      <c r="T14" s="195">
        <f>B14/'Scenario 1 - Phase 1'!$B$8</f>
        <v>8.6712819227233867E-2</v>
      </c>
      <c r="U14" s="193"/>
      <c r="V14" s="194"/>
      <c r="W14" s="195">
        <f>E14/'LEVEL 3'!$B$8</f>
        <v>5.6196730331297226E-2</v>
      </c>
      <c r="X14" s="193"/>
      <c r="Y14" s="194"/>
      <c r="Z14" s="195">
        <f>H14/('Scenario 1 - Phase 1'!$B$8+'LEVEL 3'!$B$8)</f>
        <v>7.4908312657287396E-2</v>
      </c>
      <c r="AA14" s="1"/>
    </row>
    <row r="15" spans="1:27" hidden="1">
      <c r="A15" s="37" t="s">
        <v>128</v>
      </c>
      <c r="B15" s="71">
        <f>'Scenario 1 - Phase 1'!K30</f>
        <v>5000</v>
      </c>
      <c r="C15" s="1"/>
      <c r="E15" s="71">
        <f>'LEVEL 3'!K30</f>
        <v>2500</v>
      </c>
      <c r="F15" s="1"/>
      <c r="H15" s="71">
        <f t="shared" si="0"/>
        <v>7500</v>
      </c>
      <c r="I15" s="1"/>
      <c r="K15" s="71">
        <f>B15/'Scenario 1 - Phase 1'!$E$8</f>
        <v>14.409221902017292</v>
      </c>
      <c r="L15" s="1"/>
      <c r="N15" s="71">
        <f>E15/'LEVEL 3'!$E$8</f>
        <v>12.88659793814433</v>
      </c>
      <c r="O15" s="1"/>
      <c r="Q15" s="71">
        <f>H15/('Scenario 1 - Phase 1'!$E$8+'LEVEL 3'!$E$8)</f>
        <v>13.863216266173753</v>
      </c>
      <c r="R15" s="1"/>
      <c r="T15" s="195">
        <f>B15/'Scenario 1 - Phase 1'!$B$8</f>
        <v>1.6069833066574106E-2</v>
      </c>
      <c r="U15" s="193"/>
      <c r="V15" s="194"/>
      <c r="W15" s="195">
        <f>E15/'LEVEL 3'!$B$8</f>
        <v>1.2736322463306655E-2</v>
      </c>
      <c r="X15" s="193"/>
      <c r="Y15" s="194"/>
      <c r="Z15" s="195">
        <f>H15/('Scenario 1 - Phase 1'!$B$8+'LEVEL 3'!$B$8)</f>
        <v>1.4780334666191068E-2</v>
      </c>
      <c r="AA15" s="1"/>
    </row>
    <row r="16" spans="1:27" hidden="1">
      <c r="A16" s="37" t="s">
        <v>131</v>
      </c>
      <c r="B16" s="71">
        <f>'Scenario 1 - Phase 1'!K31</f>
        <v>0</v>
      </c>
      <c r="C16" s="1"/>
      <c r="E16" s="71">
        <f>'LEVEL 3'!K31</f>
        <v>0</v>
      </c>
      <c r="F16" s="1"/>
      <c r="H16" s="71">
        <f t="shared" si="0"/>
        <v>0</v>
      </c>
      <c r="I16" s="1"/>
      <c r="K16" s="71">
        <f>B16/'Scenario 1 - Phase 1'!$E$8</f>
        <v>0</v>
      </c>
      <c r="L16" s="1"/>
      <c r="N16" s="71">
        <f>E16/'LEVEL 3'!$E$8</f>
        <v>0</v>
      </c>
      <c r="O16" s="1"/>
      <c r="Q16" s="71">
        <f>H16/('Scenario 1 - Phase 1'!$E$8+'LEVEL 3'!$E$8)</f>
        <v>0</v>
      </c>
      <c r="R16" s="1"/>
      <c r="T16" s="195">
        <f>B16/'Scenario 1 - Phase 1'!$B$8</f>
        <v>0</v>
      </c>
      <c r="U16" s="193"/>
      <c r="V16" s="194"/>
      <c r="W16" s="195">
        <f>E16/'LEVEL 3'!$B$8</f>
        <v>0</v>
      </c>
      <c r="X16" s="193"/>
      <c r="Y16" s="194"/>
      <c r="Z16" s="195">
        <f>H16/('Scenario 1 - Phase 1'!$B$8+'LEVEL 3'!$B$8)</f>
        <v>0</v>
      </c>
      <c r="AA16" s="1"/>
    </row>
    <row r="17" spans="1:27" hidden="1">
      <c r="A17" s="37" t="s">
        <v>133</v>
      </c>
      <c r="B17" s="71">
        <f>'Scenario 1 - Phase 1'!K32</f>
        <v>0</v>
      </c>
      <c r="C17" s="1"/>
      <c r="E17" s="71">
        <f>'LEVEL 3'!K32</f>
        <v>0</v>
      </c>
      <c r="F17" s="1"/>
      <c r="H17" s="71">
        <f t="shared" si="0"/>
        <v>0</v>
      </c>
      <c r="I17" s="1"/>
      <c r="K17" s="71">
        <f>B17/'Scenario 1 - Phase 1'!$E$8</f>
        <v>0</v>
      </c>
      <c r="L17" s="1"/>
      <c r="N17" s="71">
        <f>E17/'LEVEL 3'!$E$8</f>
        <v>0</v>
      </c>
      <c r="O17" s="1"/>
      <c r="Q17" s="71">
        <f>H17/('Scenario 1 - Phase 1'!$E$8+'LEVEL 3'!$E$8)</f>
        <v>0</v>
      </c>
      <c r="R17" s="1"/>
      <c r="T17" s="195">
        <f>B17/'Scenario 1 - Phase 1'!$B$8</f>
        <v>0</v>
      </c>
      <c r="U17" s="193"/>
      <c r="V17" s="194"/>
      <c r="W17" s="195">
        <f>E17/'LEVEL 3'!$B$8</f>
        <v>0</v>
      </c>
      <c r="X17" s="193"/>
      <c r="Y17" s="194"/>
      <c r="Z17" s="195">
        <f>H17/('Scenario 1 - Phase 1'!$B$8+'LEVEL 3'!$B$8)</f>
        <v>0</v>
      </c>
      <c r="AA17" s="1"/>
    </row>
    <row r="18" spans="1:27">
      <c r="A18" s="37" t="s">
        <v>136</v>
      </c>
      <c r="B18" s="71">
        <f>'Scenario 1 - Phase 1'!K33</f>
        <v>609838.31999999995</v>
      </c>
      <c r="C18" s="1"/>
      <c r="E18" s="71">
        <f>'LEVEL 3'!K33</f>
        <v>432915</v>
      </c>
      <c r="F18" s="1"/>
      <c r="H18" s="71">
        <f t="shared" si="0"/>
        <v>1042753.32</v>
      </c>
      <c r="I18" s="1"/>
      <c r="K18" s="71">
        <f>B18/'Scenario 1 - Phase 1'!$E$8</f>
        <v>1757.4591354466857</v>
      </c>
      <c r="L18" s="1"/>
      <c r="N18" s="71">
        <f>E18/'LEVEL 3'!$E$8</f>
        <v>2231.5206185567008</v>
      </c>
      <c r="O18" s="1"/>
      <c r="Q18" s="71">
        <f>H18/('Scenario 1 - Phase 1'!$E$8+'LEVEL 3'!$E$8)</f>
        <v>1927.4553049907577</v>
      </c>
      <c r="R18" s="1"/>
      <c r="T18" s="195">
        <f>B18/'Scenario 1 - Phase 1'!$B$8</f>
        <v>1.9599999999999997</v>
      </c>
      <c r="U18" s="193"/>
      <c r="V18" s="194"/>
      <c r="W18" s="195">
        <f>E18/'LEVEL 3'!$B$8</f>
        <v>2.20549801568096</v>
      </c>
      <c r="X18" s="193"/>
      <c r="Y18" s="194"/>
      <c r="Z18" s="195">
        <f>H18/('Scenario 1 - Phase 1'!$B$8+'LEVEL 3'!$B$8)</f>
        <v>2.0549657391842437</v>
      </c>
      <c r="AA18" s="1"/>
    </row>
    <row r="19" spans="1:27">
      <c r="A19" s="38" t="s">
        <v>138</v>
      </c>
      <c r="B19" s="65">
        <f>'Scenario 1 - Phase 1'!K34</f>
        <v>78723.840000000011</v>
      </c>
      <c r="C19" s="103"/>
      <c r="E19" s="65">
        <f>'LEVEL 3'!K34</f>
        <v>59754.240000000005</v>
      </c>
      <c r="F19" s="103"/>
      <c r="H19" s="65">
        <f t="shared" si="0"/>
        <v>138478.08000000002</v>
      </c>
      <c r="I19" s="103"/>
      <c r="K19" s="65">
        <f>B19/'Scenario 1 - Phase 1'!$E$8</f>
        <v>226.86985590778102</v>
      </c>
      <c r="L19" s="103"/>
      <c r="N19" s="65">
        <f>E19/'LEVEL 3'!$E$8</f>
        <v>308.01154639175263</v>
      </c>
      <c r="O19" s="103"/>
      <c r="Q19" s="65">
        <f>H19/('Scenario 1 - Phase 1'!$E$8+'LEVEL 3'!$E$8)</f>
        <v>255.96687615526804</v>
      </c>
      <c r="R19" s="103"/>
      <c r="T19" s="192">
        <f>B19/'Scenario 1 - Phase 1'!$B$8</f>
        <v>0.25301579343193786</v>
      </c>
      <c r="U19" s="196"/>
      <c r="V19" s="194"/>
      <c r="W19" s="192">
        <f>E19/'LEVEL 3'!$B$8</f>
        <v>0.30441970767592685</v>
      </c>
      <c r="X19" s="196"/>
      <c r="Y19" s="194"/>
      <c r="Z19" s="192">
        <f>H19/('Scenario 1 - Phase 1'!$B$8+'LEVEL 3'!$B$8)</f>
        <v>0.2729003155108774</v>
      </c>
      <c r="AA19" s="103"/>
    </row>
    <row r="20" spans="1:27" hidden="1">
      <c r="A20" s="33" t="s">
        <v>140</v>
      </c>
      <c r="B20" s="59"/>
      <c r="C20" s="102">
        <f>SUM(B21:B28)</f>
        <v>0</v>
      </c>
      <c r="E20" s="59"/>
      <c r="F20" s="102">
        <f>SUM(E21:E28)</f>
        <v>0</v>
      </c>
      <c r="H20" s="59"/>
      <c r="I20" s="102">
        <f>SUM(H21:H28)</f>
        <v>0</v>
      </c>
      <c r="K20" s="59"/>
      <c r="L20" s="102">
        <f>SUM(K21:K28)</f>
        <v>0</v>
      </c>
      <c r="N20" s="59"/>
      <c r="O20" s="102">
        <f>SUM(N21:N28)</f>
        <v>0</v>
      </c>
      <c r="Q20" s="59"/>
      <c r="R20" s="102">
        <f>SUM(Q21:Q28)</f>
        <v>0</v>
      </c>
      <c r="T20" s="59"/>
      <c r="U20" s="201">
        <f>C20/'Scenario 1 - Phase 1'!$B$8</f>
        <v>0</v>
      </c>
      <c r="V20" s="199"/>
      <c r="W20" s="202"/>
      <c r="X20" s="201">
        <f>F20/'LEVEL 3'!$B$8</f>
        <v>0</v>
      </c>
      <c r="Y20" s="199"/>
      <c r="Z20" s="202"/>
      <c r="AA20" s="201">
        <f>I20/('Scenario 1 - Phase 1'!$B$8+'LEVEL 3'!$B$8)</f>
        <v>0</v>
      </c>
    </row>
    <row r="21" spans="1:27" hidden="1">
      <c r="A21" s="35" t="s">
        <v>142</v>
      </c>
      <c r="B21" s="71">
        <f>'Scenario 1 - Phase 1'!K36</f>
        <v>0</v>
      </c>
      <c r="C21" s="1"/>
      <c r="E21" s="71">
        <f>'LEVEL 3'!K36</f>
        <v>0</v>
      </c>
      <c r="F21" s="1"/>
      <c r="H21" s="71">
        <f t="shared" ref="H21:H28" si="1">B21+E21</f>
        <v>0</v>
      </c>
      <c r="I21" s="1"/>
      <c r="K21" s="71">
        <f>B21/'Scenario 1 - Phase 1'!$E$8</f>
        <v>0</v>
      </c>
      <c r="L21" s="1"/>
      <c r="N21" s="71">
        <f>E21/'LEVEL 3'!$E$8</f>
        <v>0</v>
      </c>
      <c r="O21" s="1"/>
      <c r="Q21" s="71">
        <f>H21/('Scenario 1 - Phase 1'!$E$8+'LEVEL 3'!$E$8)</f>
        <v>0</v>
      </c>
      <c r="R21" s="1"/>
      <c r="T21" s="195">
        <f>B21/'Scenario 1 - Phase 1'!$B$8</f>
        <v>0</v>
      </c>
      <c r="U21" s="193"/>
      <c r="V21" s="194"/>
      <c r="W21" s="195">
        <f>E21/'LEVEL 3'!$B$8</f>
        <v>0</v>
      </c>
      <c r="X21" s="193"/>
      <c r="Y21" s="194"/>
      <c r="Z21" s="195">
        <f>H21/('Scenario 1 - Phase 1'!$B$8+'LEVEL 3'!$B$8)</f>
        <v>0</v>
      </c>
      <c r="AA21" s="1"/>
    </row>
    <row r="22" spans="1:27" hidden="1">
      <c r="A22" s="37" t="s">
        <v>143</v>
      </c>
      <c r="B22" s="71">
        <f>'Scenario 1 - Phase 1'!K37</f>
        <v>0</v>
      </c>
      <c r="C22" s="1"/>
      <c r="E22" s="71">
        <f>'LEVEL 3'!K37</f>
        <v>0</v>
      </c>
      <c r="F22" s="1"/>
      <c r="H22" s="71">
        <f t="shared" si="1"/>
        <v>0</v>
      </c>
      <c r="I22" s="1"/>
      <c r="K22" s="71">
        <f>B22/'Scenario 1 - Phase 1'!$E$8</f>
        <v>0</v>
      </c>
      <c r="L22" s="1"/>
      <c r="N22" s="71">
        <f>E22/'LEVEL 3'!$E$8</f>
        <v>0</v>
      </c>
      <c r="O22" s="1"/>
      <c r="Q22" s="71">
        <f>H22/('Scenario 1 - Phase 1'!$E$8+'LEVEL 3'!$E$8)</f>
        <v>0</v>
      </c>
      <c r="R22" s="1"/>
      <c r="T22" s="195">
        <f>B22/'Scenario 1 - Phase 1'!$B$8</f>
        <v>0</v>
      </c>
      <c r="U22" s="193"/>
      <c r="V22" s="194"/>
      <c r="W22" s="195">
        <f>E22/'LEVEL 3'!$B$8</f>
        <v>0</v>
      </c>
      <c r="X22" s="193"/>
      <c r="Y22" s="194"/>
      <c r="Z22" s="195">
        <f>H22/('Scenario 1 - Phase 1'!$B$8+'LEVEL 3'!$B$8)</f>
        <v>0</v>
      </c>
      <c r="AA22" s="1"/>
    </row>
    <row r="23" spans="1:27" hidden="1">
      <c r="A23" s="37" t="s">
        <v>144</v>
      </c>
      <c r="B23" s="71">
        <f>'Scenario 1 - Phase 1'!K38</f>
        <v>0</v>
      </c>
      <c r="C23" s="1"/>
      <c r="E23" s="71">
        <f>'LEVEL 3'!K38</f>
        <v>0</v>
      </c>
      <c r="F23" s="1"/>
      <c r="H23" s="71">
        <f t="shared" si="1"/>
        <v>0</v>
      </c>
      <c r="I23" s="1"/>
      <c r="K23" s="71">
        <f>B23/'Scenario 1 - Phase 1'!$E$8</f>
        <v>0</v>
      </c>
      <c r="L23" s="1"/>
      <c r="N23" s="71">
        <f>E23/'LEVEL 3'!$E$8</f>
        <v>0</v>
      </c>
      <c r="O23" s="1"/>
      <c r="Q23" s="71">
        <f>H23/('Scenario 1 - Phase 1'!$E$8+'LEVEL 3'!$E$8)</f>
        <v>0</v>
      </c>
      <c r="R23" s="1"/>
      <c r="T23" s="195">
        <f>B23/'Scenario 1 - Phase 1'!$B$8</f>
        <v>0</v>
      </c>
      <c r="U23" s="193"/>
      <c r="V23" s="194"/>
      <c r="W23" s="195">
        <f>E23/'LEVEL 3'!$B$8</f>
        <v>0</v>
      </c>
      <c r="X23" s="193"/>
      <c r="Y23" s="194"/>
      <c r="Z23" s="195">
        <f>H23/('Scenario 1 - Phase 1'!$B$8+'LEVEL 3'!$B$8)</f>
        <v>0</v>
      </c>
      <c r="AA23" s="1"/>
    </row>
    <row r="24" spans="1:27" hidden="1">
      <c r="A24" s="37" t="s">
        <v>145</v>
      </c>
      <c r="B24" s="71">
        <f>'Scenario 1 - Phase 1'!K39</f>
        <v>0</v>
      </c>
      <c r="C24" s="1"/>
      <c r="E24" s="71">
        <f>'LEVEL 3'!K39</f>
        <v>0</v>
      </c>
      <c r="F24" s="1"/>
      <c r="H24" s="71">
        <f t="shared" si="1"/>
        <v>0</v>
      </c>
      <c r="I24" s="1"/>
      <c r="K24" s="71">
        <f>B24/'Scenario 1 - Phase 1'!$E$8</f>
        <v>0</v>
      </c>
      <c r="L24" s="1"/>
      <c r="N24" s="71">
        <f>E24/'LEVEL 3'!$E$8</f>
        <v>0</v>
      </c>
      <c r="O24" s="1"/>
      <c r="Q24" s="71">
        <f>H24/('Scenario 1 - Phase 1'!$E$8+'LEVEL 3'!$E$8)</f>
        <v>0</v>
      </c>
      <c r="R24" s="1"/>
      <c r="T24" s="195">
        <f>B24/'Scenario 1 - Phase 1'!$B$8</f>
        <v>0</v>
      </c>
      <c r="U24" s="193"/>
      <c r="V24" s="194"/>
      <c r="W24" s="195">
        <f>E24/'LEVEL 3'!$B$8</f>
        <v>0</v>
      </c>
      <c r="X24" s="193"/>
      <c r="Y24" s="194"/>
      <c r="Z24" s="195">
        <f>H24/('Scenario 1 - Phase 1'!$B$8+'LEVEL 3'!$B$8)</f>
        <v>0</v>
      </c>
      <c r="AA24" s="1"/>
    </row>
    <row r="25" spans="1:27" hidden="1">
      <c r="A25" s="37" t="s">
        <v>146</v>
      </c>
      <c r="B25" s="71">
        <f>'Scenario 1 - Phase 1'!K40</f>
        <v>0</v>
      </c>
      <c r="C25" s="1"/>
      <c r="E25" s="71">
        <f>'LEVEL 3'!K40</f>
        <v>0</v>
      </c>
      <c r="F25" s="1"/>
      <c r="H25" s="71">
        <f t="shared" si="1"/>
        <v>0</v>
      </c>
      <c r="I25" s="1"/>
      <c r="K25" s="71">
        <f>B25/'Scenario 1 - Phase 1'!$E$8</f>
        <v>0</v>
      </c>
      <c r="L25" s="1"/>
      <c r="N25" s="71">
        <f>E25/'LEVEL 3'!$E$8</f>
        <v>0</v>
      </c>
      <c r="O25" s="1"/>
      <c r="Q25" s="71">
        <f>H25/('Scenario 1 - Phase 1'!$E$8+'LEVEL 3'!$E$8)</f>
        <v>0</v>
      </c>
      <c r="R25" s="1"/>
      <c r="T25" s="195">
        <f>B25/'Scenario 1 - Phase 1'!$B$8</f>
        <v>0</v>
      </c>
      <c r="U25" s="193"/>
      <c r="V25" s="194"/>
      <c r="W25" s="195">
        <f>E25/'LEVEL 3'!$B$8</f>
        <v>0</v>
      </c>
      <c r="X25" s="193"/>
      <c r="Y25" s="194"/>
      <c r="Z25" s="195">
        <f>H25/('Scenario 1 - Phase 1'!$B$8+'LEVEL 3'!$B$8)</f>
        <v>0</v>
      </c>
      <c r="AA25" s="1"/>
    </row>
    <row r="26" spans="1:27" hidden="1">
      <c r="A26" s="37" t="s">
        <v>147</v>
      </c>
      <c r="B26" s="71">
        <f>'Scenario 1 - Phase 1'!K41</f>
        <v>0</v>
      </c>
      <c r="C26" s="1"/>
      <c r="E26" s="71">
        <f>'LEVEL 3'!K41</f>
        <v>0</v>
      </c>
      <c r="F26" s="1"/>
      <c r="H26" s="71">
        <f t="shared" si="1"/>
        <v>0</v>
      </c>
      <c r="I26" s="1"/>
      <c r="K26" s="71">
        <f>B26/'Scenario 1 - Phase 1'!$E$8</f>
        <v>0</v>
      </c>
      <c r="L26" s="1"/>
      <c r="N26" s="71">
        <f>E26/'LEVEL 3'!$E$8</f>
        <v>0</v>
      </c>
      <c r="O26" s="1"/>
      <c r="Q26" s="71">
        <f>H26/('Scenario 1 - Phase 1'!$E$8+'LEVEL 3'!$E$8)</f>
        <v>0</v>
      </c>
      <c r="R26" s="1"/>
      <c r="T26" s="195">
        <f>B26/'Scenario 1 - Phase 1'!$B$8</f>
        <v>0</v>
      </c>
      <c r="U26" s="193"/>
      <c r="V26" s="194"/>
      <c r="W26" s="195">
        <f>E26/'LEVEL 3'!$B$8</f>
        <v>0</v>
      </c>
      <c r="X26" s="193"/>
      <c r="Y26" s="194"/>
      <c r="Z26" s="195">
        <f>H26/('Scenario 1 - Phase 1'!$B$8+'LEVEL 3'!$B$8)</f>
        <v>0</v>
      </c>
      <c r="AA26" s="1"/>
    </row>
    <row r="27" spans="1:27" hidden="1">
      <c r="A27" s="37" t="s">
        <v>148</v>
      </c>
      <c r="B27" s="71">
        <f>'Scenario 1 - Phase 1'!K42</f>
        <v>0</v>
      </c>
      <c r="C27" s="1"/>
      <c r="E27" s="71">
        <f>'LEVEL 3'!K42</f>
        <v>0</v>
      </c>
      <c r="F27" s="1"/>
      <c r="H27" s="71">
        <f t="shared" si="1"/>
        <v>0</v>
      </c>
      <c r="I27" s="1"/>
      <c r="K27" s="71">
        <f>B27/'Scenario 1 - Phase 1'!$E$8</f>
        <v>0</v>
      </c>
      <c r="L27" s="1"/>
      <c r="N27" s="71">
        <f>E27/'LEVEL 3'!$E$8</f>
        <v>0</v>
      </c>
      <c r="O27" s="1"/>
      <c r="Q27" s="71">
        <f>H27/('Scenario 1 - Phase 1'!$E$8+'LEVEL 3'!$E$8)</f>
        <v>0</v>
      </c>
      <c r="R27" s="1"/>
      <c r="T27" s="195">
        <f>B27/'Scenario 1 - Phase 1'!$B$8</f>
        <v>0</v>
      </c>
      <c r="U27" s="193"/>
      <c r="V27" s="194"/>
      <c r="W27" s="195">
        <f>E27/'LEVEL 3'!$B$8</f>
        <v>0</v>
      </c>
      <c r="X27" s="193"/>
      <c r="Y27" s="194"/>
      <c r="Z27" s="195">
        <f>H27/('Scenario 1 - Phase 1'!$B$8+'LEVEL 3'!$B$8)</f>
        <v>0</v>
      </c>
      <c r="AA27" s="1"/>
    </row>
    <row r="28" spans="1:27" hidden="1">
      <c r="A28" s="38" t="s">
        <v>149</v>
      </c>
      <c r="B28" s="65">
        <f>'Scenario 1 - Phase 1'!K43</f>
        <v>0</v>
      </c>
      <c r="C28" s="1"/>
      <c r="E28" s="65">
        <f>'LEVEL 3'!K43</f>
        <v>0</v>
      </c>
      <c r="F28" s="1"/>
      <c r="H28" s="65">
        <f t="shared" si="1"/>
        <v>0</v>
      </c>
      <c r="I28" s="1"/>
      <c r="K28" s="65">
        <f>B28/'Scenario 1 - Phase 1'!$E$8</f>
        <v>0</v>
      </c>
      <c r="L28" s="1"/>
      <c r="N28" s="65">
        <f>E28/'LEVEL 3'!$E$8</f>
        <v>0</v>
      </c>
      <c r="O28" s="1"/>
      <c r="Q28" s="65">
        <f>H28/('Scenario 1 - Phase 1'!$E$8+'LEVEL 3'!$E$8)</f>
        <v>0</v>
      </c>
      <c r="R28" s="1"/>
      <c r="T28" s="192">
        <f>B28/'Scenario 1 - Phase 1'!$B$8</f>
        <v>0</v>
      </c>
      <c r="U28" s="193"/>
      <c r="V28" s="194"/>
      <c r="W28" s="192">
        <f>E28/'LEVEL 3'!$B$8</f>
        <v>0</v>
      </c>
      <c r="X28" s="193"/>
      <c r="Y28" s="194"/>
      <c r="Z28" s="192">
        <f>H28/('Scenario 1 - Phase 1'!$B$8+'LEVEL 3'!$B$8)</f>
        <v>0</v>
      </c>
      <c r="AA28" s="1"/>
    </row>
    <row r="29" spans="1:27">
      <c r="A29" s="33" t="s">
        <v>150</v>
      </c>
      <c r="B29" s="82"/>
      <c r="C29" s="102">
        <f>SUM(B30:B34)</f>
        <v>171000</v>
      </c>
      <c r="E29" s="82"/>
      <c r="F29" s="102">
        <f>SUM(E30:E34)</f>
        <v>112800</v>
      </c>
      <c r="H29" s="82"/>
      <c r="I29" s="102">
        <f>SUM(H30:H34)</f>
        <v>283800</v>
      </c>
      <c r="K29" s="82"/>
      <c r="L29" s="102">
        <f>SUM(K30:K34)</f>
        <v>492.79538904899141</v>
      </c>
      <c r="N29" s="82"/>
      <c r="O29" s="102">
        <f>SUM(N30:N34)</f>
        <v>581.4432989690722</v>
      </c>
      <c r="Q29" s="82"/>
      <c r="R29" s="102">
        <f>SUM(Q30:Q34)</f>
        <v>524.58410351201485</v>
      </c>
      <c r="T29" s="82"/>
      <c r="U29" s="201">
        <f>C29/'Scenario 1 - Phase 1'!$B$8</f>
        <v>0.54958829087683436</v>
      </c>
      <c r="V29" s="199"/>
      <c r="W29" s="203"/>
      <c r="X29" s="201">
        <f>F29/'LEVEL 3'!$B$8</f>
        <v>0.57466286954439627</v>
      </c>
      <c r="Y29" s="199"/>
      <c r="Z29" s="203"/>
      <c r="AA29" s="201">
        <f>I29/('Scenario 1 - Phase 1'!$B$8+'LEVEL 3'!$B$8)</f>
        <v>0.55928786376867001</v>
      </c>
    </row>
    <row r="30" spans="1:27">
      <c r="A30" s="35" t="s">
        <v>152</v>
      </c>
      <c r="B30" s="71">
        <f>'Scenario 1 - Phase 1'!K45</f>
        <v>114000</v>
      </c>
      <c r="C30" s="1"/>
      <c r="E30" s="71">
        <f>'LEVEL 3'!K45</f>
        <v>76000</v>
      </c>
      <c r="F30" s="1"/>
      <c r="H30" s="71">
        <f t="shared" ref="H30:H34" si="2">B30+E30</f>
        <v>190000</v>
      </c>
      <c r="I30" s="1"/>
      <c r="K30" s="71">
        <f>B30/'Scenario 1 - Phase 1'!$E$8</f>
        <v>328.53025936599425</v>
      </c>
      <c r="L30" s="1"/>
      <c r="N30" s="71">
        <f>E30/'LEVEL 3'!$E$8</f>
        <v>391.7525773195876</v>
      </c>
      <c r="O30" s="1"/>
      <c r="Q30" s="71">
        <f>H30/('Scenario 1 - Phase 1'!$E$8+'LEVEL 3'!$E$8)</f>
        <v>351.20147874306838</v>
      </c>
      <c r="R30" s="1"/>
      <c r="T30" s="195">
        <f>B30/'Scenario 1 - Phase 1'!$B$8</f>
        <v>0.36639219391788957</v>
      </c>
      <c r="U30" s="193"/>
      <c r="V30" s="194"/>
      <c r="W30" s="195">
        <f>E30/'LEVEL 3'!$B$8</f>
        <v>0.38718420288452232</v>
      </c>
      <c r="X30" s="193"/>
      <c r="Y30" s="194"/>
      <c r="Z30" s="195">
        <f>H30/('Scenario 1 - Phase 1'!$B$8+'LEVEL 3'!$B$8)</f>
        <v>0.37443514487684038</v>
      </c>
      <c r="AA30" s="1"/>
    </row>
    <row r="31" spans="1:27">
      <c r="A31" s="37" t="s">
        <v>154</v>
      </c>
      <c r="B31" s="71">
        <f>'Scenario 1 - Phase 1'!K46</f>
        <v>57000</v>
      </c>
      <c r="C31" s="1"/>
      <c r="E31" s="71">
        <f>'LEVEL 3'!K46</f>
        <v>22800</v>
      </c>
      <c r="F31" s="1"/>
      <c r="H31" s="71">
        <f t="shared" si="2"/>
        <v>79800</v>
      </c>
      <c r="I31" s="1"/>
      <c r="K31" s="71">
        <f>B31/'Scenario 1 - Phase 1'!$E$8</f>
        <v>164.26512968299713</v>
      </c>
      <c r="L31" s="1"/>
      <c r="N31" s="71">
        <f>E31/'LEVEL 3'!$E$8</f>
        <v>117.52577319587628</v>
      </c>
      <c r="O31" s="1"/>
      <c r="Q31" s="71">
        <f>H31/('Scenario 1 - Phase 1'!$E$8+'LEVEL 3'!$E$8)</f>
        <v>147.50462107208872</v>
      </c>
      <c r="R31" s="1"/>
      <c r="T31" s="195">
        <f>B31/'Scenario 1 - Phase 1'!$B$8</f>
        <v>0.18319609695894479</v>
      </c>
      <c r="U31" s="193"/>
      <c r="V31" s="194"/>
      <c r="W31" s="195">
        <f>E31/'LEVEL 3'!$B$8</f>
        <v>0.1161552608653567</v>
      </c>
      <c r="X31" s="193"/>
      <c r="Y31" s="194"/>
      <c r="Z31" s="195">
        <f>H31/('Scenario 1 - Phase 1'!$B$8+'LEVEL 3'!$B$8)</f>
        <v>0.15726276084827295</v>
      </c>
      <c r="AA31" s="1"/>
    </row>
    <row r="32" spans="1:27" hidden="1">
      <c r="A32" s="37" t="s">
        <v>156</v>
      </c>
      <c r="B32" s="71">
        <f>'Scenario 1 - Phase 1'!K47</f>
        <v>0</v>
      </c>
      <c r="C32" s="1"/>
      <c r="E32" s="71">
        <f>'LEVEL 3'!K47</f>
        <v>0</v>
      </c>
      <c r="F32" s="1"/>
      <c r="H32" s="71">
        <f t="shared" si="2"/>
        <v>0</v>
      </c>
      <c r="I32" s="1"/>
      <c r="K32" s="71">
        <f>B32/'Scenario 1 - Phase 1'!$E$8</f>
        <v>0</v>
      </c>
      <c r="L32" s="1"/>
      <c r="N32" s="71">
        <f>E32/'LEVEL 3'!$E$8</f>
        <v>0</v>
      </c>
      <c r="O32" s="1"/>
      <c r="Q32" s="71">
        <f>H32/('Scenario 1 - Phase 1'!$E$8+'LEVEL 3'!$E$8)</f>
        <v>0</v>
      </c>
      <c r="R32" s="1"/>
      <c r="T32" s="195">
        <f>B32/'Scenario 1 - Phase 1'!$B$8</f>
        <v>0</v>
      </c>
      <c r="U32" s="193"/>
      <c r="V32" s="194"/>
      <c r="W32" s="195">
        <f>E32/'LEVEL 3'!$B$8</f>
        <v>0</v>
      </c>
      <c r="X32" s="193"/>
      <c r="Y32" s="194"/>
      <c r="Z32" s="195">
        <f>H32/('Scenario 1 - Phase 1'!$B$8+'LEVEL 3'!$B$8)</f>
        <v>0</v>
      </c>
      <c r="AA32" s="1"/>
    </row>
    <row r="33" spans="1:27" hidden="1">
      <c r="A33" s="37" t="s">
        <v>158</v>
      </c>
      <c r="B33" s="71">
        <f>'Scenario 1 - Phase 1'!K48</f>
        <v>0</v>
      </c>
      <c r="C33" s="1"/>
      <c r="E33" s="71">
        <f>'LEVEL 3'!K48</f>
        <v>5000</v>
      </c>
      <c r="F33" s="1"/>
      <c r="H33" s="71">
        <f t="shared" si="2"/>
        <v>5000</v>
      </c>
      <c r="I33" s="1"/>
      <c r="K33" s="71">
        <f>B33/'Scenario 1 - Phase 1'!$E$8</f>
        <v>0</v>
      </c>
      <c r="L33" s="1"/>
      <c r="N33" s="71">
        <f>E33/'LEVEL 3'!$E$8</f>
        <v>25.773195876288661</v>
      </c>
      <c r="O33" s="1"/>
      <c r="Q33" s="71">
        <f>H33/('Scenario 1 - Phase 1'!$E$8+'LEVEL 3'!$E$8)</f>
        <v>9.2421441774491679</v>
      </c>
      <c r="R33" s="1"/>
      <c r="T33" s="195">
        <f>B33/'Scenario 1 - Phase 1'!$B$8</f>
        <v>0</v>
      </c>
      <c r="U33" s="193"/>
      <c r="V33" s="194"/>
      <c r="W33" s="195">
        <f>E33/'LEVEL 3'!$B$8</f>
        <v>2.547264492661331E-2</v>
      </c>
      <c r="X33" s="193"/>
      <c r="Y33" s="194"/>
      <c r="Z33" s="195">
        <f>H33/('Scenario 1 - Phase 1'!$B$8+'LEVEL 3'!$B$8)</f>
        <v>9.8535564441273784E-3</v>
      </c>
      <c r="AA33" s="1"/>
    </row>
    <row r="34" spans="1:27" hidden="1">
      <c r="A34" s="37" t="s">
        <v>160</v>
      </c>
      <c r="B34" s="71">
        <f>'Scenario 1 - Phase 1'!K49</f>
        <v>0</v>
      </c>
      <c r="C34" s="1"/>
      <c r="E34" s="71">
        <f>'LEVEL 3'!K49</f>
        <v>9000</v>
      </c>
      <c r="F34" s="1"/>
      <c r="H34" s="71">
        <f t="shared" si="2"/>
        <v>9000</v>
      </c>
      <c r="I34" s="1"/>
      <c r="K34" s="71">
        <f>B34/'Scenario 1 - Phase 1'!$E$8</f>
        <v>0</v>
      </c>
      <c r="L34" s="1"/>
      <c r="N34" s="71">
        <f>E34/'LEVEL 3'!$E$8</f>
        <v>46.391752577319586</v>
      </c>
      <c r="O34" s="1"/>
      <c r="Q34" s="71">
        <f>H34/('Scenario 1 - Phase 1'!$E$8+'LEVEL 3'!$E$8)</f>
        <v>16.635859519408502</v>
      </c>
      <c r="R34" s="1"/>
      <c r="T34" s="195">
        <f>B34/'Scenario 1 - Phase 1'!$B$8</f>
        <v>0</v>
      </c>
      <c r="U34" s="193"/>
      <c r="V34" s="194"/>
      <c r="W34" s="195">
        <f>E34/'LEVEL 3'!$B$8</f>
        <v>4.5850760867903961E-2</v>
      </c>
      <c r="X34" s="193"/>
      <c r="Y34" s="194"/>
      <c r="Z34" s="195">
        <f>H34/('Scenario 1 - Phase 1'!$B$8+'LEVEL 3'!$B$8)</f>
        <v>1.7736401599429283E-2</v>
      </c>
      <c r="AA34" s="1"/>
    </row>
    <row r="35" spans="1:27">
      <c r="A35" s="33" t="s">
        <v>162</v>
      </c>
      <c r="B35" s="82"/>
      <c r="C35" s="102">
        <f>SUM(B36:B43)</f>
        <v>392720.43443537259</v>
      </c>
      <c r="E35" s="82"/>
      <c r="F35" s="102">
        <f>SUM(E36:E43)</f>
        <v>325412.12789407256</v>
      </c>
      <c r="H35" s="82"/>
      <c r="I35" s="102">
        <f>SUM(H36:H43)</f>
        <v>718132.56232944515</v>
      </c>
      <c r="K35" s="82"/>
      <c r="L35" s="102">
        <f>SUM(K36:K43)</f>
        <v>1131.7591770471831</v>
      </c>
      <c r="N35" s="82"/>
      <c r="O35" s="102">
        <f>SUM(N36:N43)</f>
        <v>1677.382102546766</v>
      </c>
      <c r="Q35" s="82"/>
      <c r="R35" s="102">
        <f>SUM(Q36:Q43)</f>
        <v>1327.4169359139466</v>
      </c>
      <c r="T35" s="82"/>
      <c r="U35" s="201">
        <f>C35/'Scenario 1 - Phase 1'!$B$8</f>
        <v>1.2621903646417796</v>
      </c>
      <c r="V35" s="199"/>
      <c r="W35" s="203"/>
      <c r="X35" s="201">
        <f>F35/'LEVEL 3'!$B$8</f>
        <v>1.6578215177318778</v>
      </c>
      <c r="Y35" s="199"/>
      <c r="Z35" s="203"/>
      <c r="AA35" s="201">
        <f>I35/('Scenario 1 - Phase 1'!$B$8+'LEVEL 3'!$B$8)</f>
        <v>1.4152319474558022</v>
      </c>
    </row>
    <row r="36" spans="1:27" hidden="1">
      <c r="A36" s="35" t="s">
        <v>164</v>
      </c>
      <c r="B36" s="71">
        <f>'Scenario 1 - Phase 1'!K51</f>
        <v>0</v>
      </c>
      <c r="C36" s="1"/>
      <c r="E36" s="71">
        <f>'LEVEL 3'!K51</f>
        <v>112826.12789407259</v>
      </c>
      <c r="F36" s="1"/>
      <c r="H36" s="71">
        <f t="shared" ref="H36:H43" si="3">B36+E36</f>
        <v>112826.12789407259</v>
      </c>
      <c r="I36" s="1"/>
      <c r="K36" s="71">
        <f>B36/'Scenario 1 - Phase 1'!$E$8</f>
        <v>0</v>
      </c>
      <c r="L36" s="1"/>
      <c r="N36" s="71">
        <f>E36/'LEVEL 3'!$E$8</f>
        <v>581.57797883542571</v>
      </c>
      <c r="O36" s="1"/>
      <c r="Q36" s="71">
        <f>H36/('Scenario 1 - Phase 1'!$E$8+'LEVEL 3'!$E$8)</f>
        <v>208.55106819606763</v>
      </c>
      <c r="R36" s="1"/>
      <c r="T36" s="195">
        <f>B36/'Scenario 1 - Phase 1'!$B$8</f>
        <v>0</v>
      </c>
      <c r="U36" s="193"/>
      <c r="V36" s="194"/>
      <c r="W36" s="195">
        <f>E36/'LEVEL 3'!$B$8</f>
        <v>0.57479597885807454</v>
      </c>
      <c r="X36" s="193"/>
      <c r="Y36" s="194"/>
      <c r="Z36" s="195">
        <f>H36/('Scenario 1 - Phase 1'!$B$8+'LEVEL 3'!$B$8)</f>
        <v>0.22234772391531576</v>
      </c>
      <c r="AA36" s="1"/>
    </row>
    <row r="37" spans="1:27">
      <c r="A37" s="37" t="s">
        <v>167</v>
      </c>
      <c r="B37" s="71">
        <f>'Scenario 1 - Phase 1'!K52</f>
        <v>23960</v>
      </c>
      <c r="C37" s="1"/>
      <c r="E37" s="71">
        <f>'LEVEL 3'!K52</f>
        <v>8080</v>
      </c>
      <c r="F37" s="1"/>
      <c r="H37" s="71">
        <f t="shared" si="3"/>
        <v>32040</v>
      </c>
      <c r="I37" s="1"/>
      <c r="K37" s="71">
        <f>B37/'Scenario 1 - Phase 1'!$E$8</f>
        <v>69.048991354466864</v>
      </c>
      <c r="L37" s="1"/>
      <c r="N37" s="71">
        <f>E37/'LEVEL 3'!$E$8</f>
        <v>41.649484536082475</v>
      </c>
      <c r="O37" s="1"/>
      <c r="Q37" s="71">
        <f>H37/('Scenario 1 - Phase 1'!$E$8+'LEVEL 3'!$E$8)</f>
        <v>59.223659889094272</v>
      </c>
      <c r="R37" s="1"/>
      <c r="T37" s="195">
        <f>B37/'Scenario 1 - Phase 1'!$B$8</f>
        <v>7.7006640055023112E-2</v>
      </c>
      <c r="U37" s="193"/>
      <c r="V37" s="194"/>
      <c r="W37" s="195">
        <f>E37/'LEVEL 3'!$B$8</f>
        <v>4.116379420140711E-2</v>
      </c>
      <c r="X37" s="193"/>
      <c r="Y37" s="194"/>
      <c r="Z37" s="195">
        <f>H37/('Scenario 1 - Phase 1'!$B$8+'LEVEL 3'!$B$8)</f>
        <v>6.3141589693968242E-2</v>
      </c>
      <c r="AA37" s="1"/>
    </row>
    <row r="38" spans="1:27">
      <c r="A38" s="37" t="s">
        <v>169</v>
      </c>
      <c r="B38" s="71">
        <f>'Scenario 1 - Phase 1'!K53</f>
        <v>129250</v>
      </c>
      <c r="C38" s="1"/>
      <c r="E38" s="71">
        <f>'LEVEL 3'!K53</f>
        <v>56000</v>
      </c>
      <c r="F38" s="1"/>
      <c r="H38" s="71">
        <f t="shared" si="3"/>
        <v>185250</v>
      </c>
      <c r="I38" s="1"/>
      <c r="K38" s="71">
        <f>B38/'Scenario 1 - Phase 1'!$E$8</f>
        <v>372.47838616714699</v>
      </c>
      <c r="L38" s="1"/>
      <c r="N38" s="71">
        <f>E38/'LEVEL 3'!$E$8</f>
        <v>288.65979381443299</v>
      </c>
      <c r="O38" s="1"/>
      <c r="Q38" s="71">
        <f>H38/('Scenario 1 - Phase 1'!$E$8+'LEVEL 3'!$E$8)</f>
        <v>342.42144177449165</v>
      </c>
      <c r="R38" s="1"/>
      <c r="T38" s="195">
        <f>B38/'Scenario 1 - Phase 1'!$B$8</f>
        <v>0.41540518477094057</v>
      </c>
      <c r="U38" s="193"/>
      <c r="V38" s="194"/>
      <c r="W38" s="195">
        <f>E38/'LEVEL 3'!$B$8</f>
        <v>0.28529362317806906</v>
      </c>
      <c r="X38" s="193"/>
      <c r="Y38" s="194"/>
      <c r="Z38" s="195">
        <f>H38/('Scenario 1 - Phase 1'!$B$8+'LEVEL 3'!$B$8)</f>
        <v>0.3650742662549194</v>
      </c>
      <c r="AA38" s="1"/>
    </row>
    <row r="39" spans="1:27" hidden="1">
      <c r="A39" s="37" t="s">
        <v>171</v>
      </c>
      <c r="B39" s="71">
        <f>'Scenario 1 - Phase 1'!K54</f>
        <v>0</v>
      </c>
      <c r="C39" s="1"/>
      <c r="E39" s="71">
        <f>'LEVEL 3'!K54</f>
        <v>0</v>
      </c>
      <c r="F39" s="1"/>
      <c r="H39" s="71">
        <f t="shared" si="3"/>
        <v>0</v>
      </c>
      <c r="I39" s="1"/>
      <c r="K39" s="71">
        <f>B39/'Scenario 1 - Phase 1'!$E$8</f>
        <v>0</v>
      </c>
      <c r="L39" s="1"/>
      <c r="N39" s="71">
        <f>E39/'LEVEL 3'!$E$8</f>
        <v>0</v>
      </c>
      <c r="O39" s="1"/>
      <c r="Q39" s="71">
        <f>H39/('Scenario 1 - Phase 1'!$E$8+'LEVEL 3'!$E$8)</f>
        <v>0</v>
      </c>
      <c r="R39" s="1"/>
      <c r="T39" s="195">
        <f>B39/'Scenario 1 - Phase 1'!$B$8</f>
        <v>0</v>
      </c>
      <c r="U39" s="193"/>
      <c r="V39" s="194"/>
      <c r="W39" s="195">
        <f>E39/'LEVEL 3'!$B$8</f>
        <v>0</v>
      </c>
      <c r="X39" s="193"/>
      <c r="Y39" s="194"/>
      <c r="Z39" s="195">
        <f>H39/('Scenario 1 - Phase 1'!$B$8+'LEVEL 3'!$B$8)</f>
        <v>0</v>
      </c>
      <c r="AA39" s="1"/>
    </row>
    <row r="40" spans="1:27" hidden="1">
      <c r="A40" s="37" t="s">
        <v>172</v>
      </c>
      <c r="B40" s="71">
        <f>'Scenario 1 - Phase 1'!K55</f>
        <v>0</v>
      </c>
      <c r="C40" s="1"/>
      <c r="E40" s="71">
        <f>'LEVEL 3'!K55</f>
        <v>0</v>
      </c>
      <c r="F40" s="1"/>
      <c r="H40" s="71">
        <f t="shared" si="3"/>
        <v>0</v>
      </c>
      <c r="I40" s="1"/>
      <c r="K40" s="71">
        <f>B40/'Scenario 1 - Phase 1'!$E$8</f>
        <v>0</v>
      </c>
      <c r="L40" s="1"/>
      <c r="N40" s="71">
        <f>E40/'LEVEL 3'!$E$8</f>
        <v>0</v>
      </c>
      <c r="O40" s="1"/>
      <c r="Q40" s="71">
        <f>H40/('Scenario 1 - Phase 1'!$E$8+'LEVEL 3'!$E$8)</f>
        <v>0</v>
      </c>
      <c r="R40" s="1"/>
      <c r="T40" s="195">
        <f>B40/'Scenario 1 - Phase 1'!$B$8</f>
        <v>0</v>
      </c>
      <c r="U40" s="193"/>
      <c r="V40" s="194"/>
      <c r="W40" s="195">
        <f>E40/'LEVEL 3'!$B$8</f>
        <v>0</v>
      </c>
      <c r="X40" s="193"/>
      <c r="Y40" s="194"/>
      <c r="Z40" s="195">
        <f>H40/('Scenario 1 - Phase 1'!$B$8+'LEVEL 3'!$B$8)</f>
        <v>0</v>
      </c>
      <c r="AA40" s="1"/>
    </row>
    <row r="41" spans="1:27" hidden="1">
      <c r="A41" s="37" t="s">
        <v>174</v>
      </c>
      <c r="B41" s="71">
        <f>'Scenario 1 - Phase 1'!K56</f>
        <v>3900</v>
      </c>
      <c r="C41" s="1"/>
      <c r="E41" s="71">
        <f>'LEVEL 3'!K56</f>
        <v>1950</v>
      </c>
      <c r="F41" s="1"/>
      <c r="H41" s="71">
        <f t="shared" si="3"/>
        <v>5850</v>
      </c>
      <c r="I41" s="1"/>
      <c r="K41" s="71">
        <f>B41/'Scenario 1 - Phase 1'!$E$8</f>
        <v>11.239193083573488</v>
      </c>
      <c r="L41" s="1"/>
      <c r="N41" s="71">
        <f>E41/'LEVEL 3'!$E$8</f>
        <v>10.051546391752577</v>
      </c>
      <c r="O41" s="1"/>
      <c r="Q41" s="71">
        <f>H41/('Scenario 1 - Phase 1'!$E$8+'LEVEL 3'!$E$8)</f>
        <v>10.813308687615526</v>
      </c>
      <c r="R41" s="1"/>
      <c r="T41" s="195">
        <f>B41/'Scenario 1 - Phase 1'!$B$8</f>
        <v>1.2534469791927802E-2</v>
      </c>
      <c r="U41" s="193"/>
      <c r="V41" s="194"/>
      <c r="W41" s="195">
        <f>E41/'LEVEL 3'!$B$8</f>
        <v>9.9343315213791909E-3</v>
      </c>
      <c r="X41" s="193"/>
      <c r="Y41" s="194"/>
      <c r="Z41" s="195">
        <f>H41/('Scenario 1 - Phase 1'!$B$8+'LEVEL 3'!$B$8)</f>
        <v>1.1528661039629034E-2</v>
      </c>
      <c r="AA41" s="1"/>
    </row>
    <row r="42" spans="1:27">
      <c r="A42" s="37" t="s">
        <v>176</v>
      </c>
      <c r="B42" s="71">
        <f>'Scenario 1 - Phase 1'!K57</f>
        <v>235610.43443537259</v>
      </c>
      <c r="C42" s="1"/>
      <c r="E42" s="71">
        <f>'LEVEL 3'!K57</f>
        <v>146556</v>
      </c>
      <c r="F42" s="1"/>
      <c r="H42" s="71">
        <f t="shared" si="3"/>
        <v>382166.43443537259</v>
      </c>
      <c r="I42" s="1"/>
      <c r="K42" s="71">
        <f>B42/'Scenario 1 - Phase 1'!$E$8</f>
        <v>678.99260644199592</v>
      </c>
      <c r="L42" s="1"/>
      <c r="N42" s="71">
        <f>E42/'LEVEL 3'!$E$8</f>
        <v>755.4432989690722</v>
      </c>
      <c r="O42" s="1"/>
      <c r="Q42" s="71">
        <f>H42/('Scenario 1 - Phase 1'!$E$8+'LEVEL 3'!$E$8)</f>
        <v>706.40745736667759</v>
      </c>
      <c r="R42" s="1"/>
      <c r="T42" s="195">
        <f>B42/'Scenario 1 - Phase 1'!$B$8</f>
        <v>0.75724407002388805</v>
      </c>
      <c r="U42" s="193"/>
      <c r="V42" s="194"/>
      <c r="W42" s="195">
        <f>E42/'LEVEL 3'!$B$8</f>
        <v>0.74663378997294805</v>
      </c>
      <c r="X42" s="193"/>
      <c r="Y42" s="194"/>
      <c r="Z42" s="195">
        <f>H42/('Scenario 1 - Phase 1'!$B$8+'LEVEL 3'!$B$8)</f>
        <v>0.75313970655196982</v>
      </c>
      <c r="AA42" s="1"/>
    </row>
    <row r="43" spans="1:27" hidden="1">
      <c r="A43" s="37" t="s">
        <v>179</v>
      </c>
      <c r="B43" s="71">
        <f>'Scenario 1 - Phase 1'!K58</f>
        <v>0</v>
      </c>
      <c r="C43" s="1"/>
      <c r="E43" s="71">
        <f>'LEVEL 3'!K58</f>
        <v>0</v>
      </c>
      <c r="F43" s="1"/>
      <c r="H43" s="71">
        <f t="shared" si="3"/>
        <v>0</v>
      </c>
      <c r="I43" s="1"/>
      <c r="K43" s="71">
        <f>B43/'Scenario 1 - Phase 1'!$E$8</f>
        <v>0</v>
      </c>
      <c r="L43" s="1"/>
      <c r="N43" s="71">
        <f>E43/'LEVEL 3'!$E$8</f>
        <v>0</v>
      </c>
      <c r="O43" s="1"/>
      <c r="Q43" s="71">
        <f>H43/('Scenario 1 - Phase 1'!$E$8+'LEVEL 3'!$E$8)</f>
        <v>0</v>
      </c>
      <c r="R43" s="1"/>
      <c r="T43" s="195">
        <f>B43/'Scenario 1 - Phase 1'!$B$8</f>
        <v>0</v>
      </c>
      <c r="U43" s="193"/>
      <c r="V43" s="194"/>
      <c r="W43" s="195">
        <f>E43/'LEVEL 3'!$B$8</f>
        <v>0</v>
      </c>
      <c r="X43" s="193"/>
      <c r="Y43" s="194"/>
      <c r="Z43" s="195">
        <f>H43/('Scenario 1 - Phase 1'!$B$8+'LEVEL 3'!$B$8)</f>
        <v>0</v>
      </c>
      <c r="AA43" s="1"/>
    </row>
    <row r="44" spans="1:27">
      <c r="A44" s="33" t="s">
        <v>182</v>
      </c>
      <c r="B44" s="82"/>
      <c r="C44" s="102">
        <f>SUM(B45:B56)</f>
        <v>7663075.3600000003</v>
      </c>
      <c r="E44" s="82"/>
      <c r="F44" s="102" t="e">
        <f>SUM(E45:E56)</f>
        <v>#REF!</v>
      </c>
      <c r="H44" s="82"/>
      <c r="I44" s="102" t="e">
        <f>SUM(H45:H56)</f>
        <v>#REF!</v>
      </c>
      <c r="K44" s="82"/>
      <c r="L44" s="102">
        <f>SUM(K45:K56)</f>
        <v>22083.790662824213</v>
      </c>
      <c r="N44" s="82"/>
      <c r="O44" s="102" t="e">
        <f>SUM(N45:N56)</f>
        <v>#REF!</v>
      </c>
      <c r="Q44" s="82"/>
      <c r="R44" s="102" t="e">
        <f>SUM(Q45:Q56)</f>
        <v>#REF!</v>
      </c>
      <c r="T44" s="82"/>
      <c r="U44" s="201">
        <f>C44/'Scenario 1 - Phase 1'!$B$8</f>
        <v>24.628868362355451</v>
      </c>
      <c r="V44" s="199"/>
      <c r="W44" s="203"/>
      <c r="X44" s="201" t="e">
        <f>F44/'LEVEL 3'!$B$8</f>
        <v>#REF!</v>
      </c>
      <c r="Y44" s="199"/>
      <c r="Z44" s="203"/>
      <c r="AA44" s="201" t="e">
        <f>I44/('Scenario 1 - Phase 1'!$B$8+'LEVEL 3'!$B$8)</f>
        <v>#REF!</v>
      </c>
    </row>
    <row r="45" spans="1:27" hidden="1">
      <c r="A45" s="35" t="s">
        <v>184</v>
      </c>
      <c r="B45" s="71">
        <f>'Scenario 1 - Phase 1'!K60</f>
        <v>27413</v>
      </c>
      <c r="C45" s="1"/>
      <c r="E45" s="71" t="e">
        <f>'LEVEL 3'!#REF!</f>
        <v>#REF!</v>
      </c>
      <c r="F45" s="1"/>
      <c r="H45" s="71" t="e">
        <f t="shared" ref="H45:H56" si="4">B45+E45</f>
        <v>#REF!</v>
      </c>
      <c r="I45" s="1"/>
      <c r="K45" s="71">
        <f>B45/'Scenario 1 - Phase 1'!$E$8</f>
        <v>79</v>
      </c>
      <c r="L45" s="1"/>
      <c r="N45" s="71" t="e">
        <f>E45/'LEVEL 3'!$E$8</f>
        <v>#REF!</v>
      </c>
      <c r="O45" s="1"/>
      <c r="Q45" s="71" t="e">
        <f>H45/('Scenario 1 - Phase 1'!$E$8+'LEVEL 3'!$E$8)</f>
        <v>#REF!</v>
      </c>
      <c r="R45" s="1"/>
      <c r="T45" s="195">
        <f>B45/'Scenario 1 - Phase 1'!$B$8</f>
        <v>8.8104466770799181E-2</v>
      </c>
      <c r="U45" s="193"/>
      <c r="V45" s="194"/>
      <c r="W45" s="195" t="e">
        <f>E45/'LEVEL 3'!$B$8</f>
        <v>#REF!</v>
      </c>
      <c r="X45" s="193"/>
      <c r="Y45" s="194"/>
      <c r="Z45" s="195" t="e">
        <f>H45/('Scenario 1 - Phase 1'!$B$8+'LEVEL 3'!$B$8)</f>
        <v>#REF!</v>
      </c>
      <c r="AA45" s="1"/>
    </row>
    <row r="46" spans="1:27">
      <c r="A46" s="37" t="s">
        <v>188</v>
      </c>
      <c r="B46" s="71">
        <f>'Scenario 1 - Phase 1'!K61</f>
        <v>6197948.6400000006</v>
      </c>
      <c r="C46" s="1"/>
      <c r="E46" s="71">
        <f>'LEVEL 3'!K60</f>
        <v>4008924.5</v>
      </c>
      <c r="F46" s="1"/>
      <c r="H46" s="71">
        <f t="shared" si="4"/>
        <v>10206873.140000001</v>
      </c>
      <c r="I46" s="1"/>
      <c r="K46" s="71">
        <f>B46/'Scenario 1 - Phase 1'!$E$8</f>
        <v>17861.523458213258</v>
      </c>
      <c r="L46" s="1"/>
      <c r="N46" s="71">
        <f>E46/'LEVEL 3'!$E$8</f>
        <v>20664.559278350516</v>
      </c>
      <c r="O46" s="1"/>
      <c r="Q46" s="71">
        <f>H46/('Scenario 1 - Phase 1'!$E$8+'LEVEL 3'!$E$8)</f>
        <v>18866.678632162664</v>
      </c>
      <c r="R46" s="1"/>
      <c r="T46" s="195">
        <f>B46/'Scenario 1 - Phase 1'!$B$8</f>
        <v>19.920000000000002</v>
      </c>
      <c r="U46" s="193"/>
      <c r="V46" s="194"/>
      <c r="W46" s="195">
        <f>E46/'LEVEL 3'!$B$8</f>
        <v>20.42358206522016</v>
      </c>
      <c r="X46" s="193"/>
      <c r="Y46" s="194"/>
      <c r="Z46" s="195">
        <f>H46/('Scenario 1 - Phase 1'!$B$8+'LEVEL 3'!$B$8)</f>
        <v>20.114800120607534</v>
      </c>
      <c r="AA46" s="1"/>
    </row>
    <row r="47" spans="1:27" hidden="1">
      <c r="A47" s="37" t="s">
        <v>190</v>
      </c>
      <c r="B47" s="71">
        <f>'Scenario 1 - Phase 1'!K62</f>
        <v>0</v>
      </c>
      <c r="C47" s="1"/>
      <c r="E47" s="71">
        <f>'LEVEL 3'!K62</f>
        <v>0</v>
      </c>
      <c r="F47" s="1"/>
      <c r="H47" s="71">
        <f t="shared" si="4"/>
        <v>0</v>
      </c>
      <c r="I47" s="1"/>
      <c r="K47" s="71">
        <f>B47/'Scenario 1 - Phase 1'!$E$8</f>
        <v>0</v>
      </c>
      <c r="L47" s="1"/>
      <c r="N47" s="71">
        <f>E47/'LEVEL 3'!$E$8</f>
        <v>0</v>
      </c>
      <c r="O47" s="1"/>
      <c r="Q47" s="71">
        <f>H47/('Scenario 1 - Phase 1'!$E$8+'LEVEL 3'!$E$8)</f>
        <v>0</v>
      </c>
      <c r="R47" s="1"/>
      <c r="T47" s="195">
        <f>B47/'Scenario 1 - Phase 1'!$B$8</f>
        <v>0</v>
      </c>
      <c r="U47" s="193"/>
      <c r="V47" s="194"/>
      <c r="W47" s="195">
        <f>E47/'LEVEL 3'!$B$8</f>
        <v>0</v>
      </c>
      <c r="X47" s="193"/>
      <c r="Y47" s="194"/>
      <c r="Z47" s="195">
        <f>H47/('Scenario 1 - Phase 1'!$B$8+'LEVEL 3'!$B$8)</f>
        <v>0</v>
      </c>
      <c r="AA47" s="1"/>
    </row>
    <row r="48" spans="1:27" hidden="1">
      <c r="A48" s="37" t="s">
        <v>191</v>
      </c>
      <c r="B48" s="71">
        <f>'Scenario 1 - Phase 1'!K63</f>
        <v>0</v>
      </c>
      <c r="C48" s="1"/>
      <c r="E48" s="71">
        <f>'LEVEL 3'!K63</f>
        <v>0</v>
      </c>
      <c r="F48" s="1"/>
      <c r="H48" s="71">
        <f t="shared" si="4"/>
        <v>0</v>
      </c>
      <c r="I48" s="1"/>
      <c r="K48" s="71">
        <f>B48/'Scenario 1 - Phase 1'!$E$8</f>
        <v>0</v>
      </c>
      <c r="L48" s="1"/>
      <c r="N48" s="71">
        <f>E48/'LEVEL 3'!$E$8</f>
        <v>0</v>
      </c>
      <c r="O48" s="1"/>
      <c r="Q48" s="71">
        <f>H48/('Scenario 1 - Phase 1'!$E$8+'LEVEL 3'!$E$8)</f>
        <v>0</v>
      </c>
      <c r="R48" s="1"/>
      <c r="T48" s="195">
        <f>B48/'Scenario 1 - Phase 1'!$B$8</f>
        <v>0</v>
      </c>
      <c r="U48" s="193"/>
      <c r="V48" s="194"/>
      <c r="W48" s="195">
        <f>E48/'LEVEL 3'!$B$8</f>
        <v>0</v>
      </c>
      <c r="X48" s="193"/>
      <c r="Y48" s="194"/>
      <c r="Z48" s="195">
        <f>H48/('Scenario 1 - Phase 1'!$B$8+'LEVEL 3'!$B$8)</f>
        <v>0</v>
      </c>
      <c r="AA48" s="1"/>
    </row>
    <row r="49" spans="1:27" hidden="1">
      <c r="A49" s="37" t="s">
        <v>193</v>
      </c>
      <c r="B49" s="71">
        <f>'Scenario 1 - Phase 1'!K64</f>
        <v>5620</v>
      </c>
      <c r="C49" s="1"/>
      <c r="E49" s="71">
        <f>'LEVEL 3'!K64</f>
        <v>2500</v>
      </c>
      <c r="F49" s="1"/>
      <c r="H49" s="71">
        <f t="shared" si="4"/>
        <v>8120</v>
      </c>
      <c r="I49" s="1"/>
      <c r="K49" s="71">
        <f>B49/'Scenario 1 - Phase 1'!$E$8</f>
        <v>16.195965417867434</v>
      </c>
      <c r="L49" s="1"/>
      <c r="N49" s="71">
        <f>E49/'LEVEL 3'!$E$8</f>
        <v>12.88659793814433</v>
      </c>
      <c r="O49" s="1"/>
      <c r="Q49" s="71">
        <f>H49/('Scenario 1 - Phase 1'!$E$8+'LEVEL 3'!$E$8)</f>
        <v>15.009242144177449</v>
      </c>
      <c r="R49" s="1"/>
      <c r="T49" s="195">
        <f>B49/'Scenario 1 - Phase 1'!$B$8</f>
        <v>1.8062492366829292E-2</v>
      </c>
      <c r="U49" s="193"/>
      <c r="V49" s="194"/>
      <c r="W49" s="195">
        <f>E49/'LEVEL 3'!$B$8</f>
        <v>1.2736322463306655E-2</v>
      </c>
      <c r="X49" s="193"/>
      <c r="Y49" s="194"/>
      <c r="Z49" s="195">
        <f>H49/('Scenario 1 - Phase 1'!$B$8+'LEVEL 3'!$B$8)</f>
        <v>1.6002175665262863E-2</v>
      </c>
      <c r="AA49" s="1"/>
    </row>
    <row r="50" spans="1:27" hidden="1">
      <c r="A50" s="37" t="s">
        <v>196</v>
      </c>
      <c r="B50" s="71">
        <f>'Scenario 1 - Phase 1'!K65</f>
        <v>0</v>
      </c>
      <c r="C50" s="1"/>
      <c r="E50" s="71">
        <f>'LEVEL 3'!K65</f>
        <v>0</v>
      </c>
      <c r="F50" s="1"/>
      <c r="H50" s="71">
        <f t="shared" si="4"/>
        <v>0</v>
      </c>
      <c r="I50" s="1"/>
      <c r="K50" s="71">
        <f>B50/'Scenario 1 - Phase 1'!$E$8</f>
        <v>0</v>
      </c>
      <c r="L50" s="1"/>
      <c r="N50" s="71">
        <f>E50/'LEVEL 3'!$E$8</f>
        <v>0</v>
      </c>
      <c r="O50" s="1"/>
      <c r="Q50" s="71">
        <f>H50/('Scenario 1 - Phase 1'!$E$8+'LEVEL 3'!$E$8)</f>
        <v>0</v>
      </c>
      <c r="R50" s="1"/>
      <c r="T50" s="195">
        <f>B50/'Scenario 1 - Phase 1'!$B$8</f>
        <v>0</v>
      </c>
      <c r="U50" s="193"/>
      <c r="V50" s="194"/>
      <c r="W50" s="195">
        <f>E50/'LEVEL 3'!$B$8</f>
        <v>0</v>
      </c>
      <c r="X50" s="193"/>
      <c r="Y50" s="194"/>
      <c r="Z50" s="195">
        <f>H50/('Scenario 1 - Phase 1'!$B$8+'LEVEL 3'!$B$8)</f>
        <v>0</v>
      </c>
      <c r="AA50" s="1"/>
    </row>
    <row r="51" spans="1:27" hidden="1">
      <c r="A51" s="37" t="s">
        <v>198</v>
      </c>
      <c r="B51" s="71">
        <f>'Scenario 1 - Phase 1'!K66</f>
        <v>0</v>
      </c>
      <c r="C51" s="1"/>
      <c r="E51" s="71">
        <f>'LEVEL 3'!K66</f>
        <v>0</v>
      </c>
      <c r="F51" s="1"/>
      <c r="H51" s="71">
        <f t="shared" si="4"/>
        <v>0</v>
      </c>
      <c r="I51" s="1"/>
      <c r="K51" s="71">
        <f>B51/'Scenario 1 - Phase 1'!$E$8</f>
        <v>0</v>
      </c>
      <c r="L51" s="1"/>
      <c r="N51" s="71">
        <f>E51/'LEVEL 3'!$E$8</f>
        <v>0</v>
      </c>
      <c r="O51" s="1"/>
      <c r="Q51" s="71">
        <f>H51/('Scenario 1 - Phase 1'!$E$8+'LEVEL 3'!$E$8)</f>
        <v>0</v>
      </c>
      <c r="R51" s="1"/>
      <c r="T51" s="195">
        <f>B51/'Scenario 1 - Phase 1'!$B$8</f>
        <v>0</v>
      </c>
      <c r="U51" s="193"/>
      <c r="V51" s="194"/>
      <c r="W51" s="195">
        <f>E51/'LEVEL 3'!$B$8</f>
        <v>0</v>
      </c>
      <c r="X51" s="193"/>
      <c r="Y51" s="194"/>
      <c r="Z51" s="195">
        <f>H51/('Scenario 1 - Phase 1'!$B$8+'LEVEL 3'!$B$8)</f>
        <v>0</v>
      </c>
      <c r="AA51" s="1"/>
    </row>
    <row r="52" spans="1:27" hidden="1">
      <c r="A52" s="37" t="s">
        <v>200</v>
      </c>
      <c r="B52" s="71">
        <f>'Scenario 1 - Phase 1'!K67</f>
        <v>0</v>
      </c>
      <c r="C52" s="1"/>
      <c r="E52" s="71">
        <f>'LEVEL 3'!K67</f>
        <v>0</v>
      </c>
      <c r="F52" s="1"/>
      <c r="H52" s="71">
        <f t="shared" si="4"/>
        <v>0</v>
      </c>
      <c r="I52" s="1"/>
      <c r="K52" s="71">
        <f>B52/'Scenario 1 - Phase 1'!$E$8</f>
        <v>0</v>
      </c>
      <c r="L52" s="1"/>
      <c r="N52" s="71">
        <f>E52/'LEVEL 3'!$E$8</f>
        <v>0</v>
      </c>
      <c r="O52" s="1"/>
      <c r="Q52" s="71">
        <f>H52/('Scenario 1 - Phase 1'!$E$8+'LEVEL 3'!$E$8)</f>
        <v>0</v>
      </c>
      <c r="R52" s="1"/>
      <c r="T52" s="195">
        <f>B52/'Scenario 1 - Phase 1'!$B$8</f>
        <v>0</v>
      </c>
      <c r="U52" s="193"/>
      <c r="V52" s="194"/>
      <c r="W52" s="195">
        <f>E52/'LEVEL 3'!$B$8</f>
        <v>0</v>
      </c>
      <c r="X52" s="193"/>
      <c r="Y52" s="194"/>
      <c r="Z52" s="195">
        <f>H52/('Scenario 1 - Phase 1'!$B$8+'LEVEL 3'!$B$8)</f>
        <v>0</v>
      </c>
      <c r="AA52" s="1"/>
    </row>
    <row r="53" spans="1:27">
      <c r="A53" s="37" t="s">
        <v>201</v>
      </c>
      <c r="B53" s="71">
        <f>'Scenario 1 - Phase 1'!K68</f>
        <v>1069107</v>
      </c>
      <c r="C53" s="1"/>
      <c r="E53" s="71">
        <f>'LEVEL 3'!K68</f>
        <v>614845</v>
      </c>
      <c r="F53" s="1"/>
      <c r="H53" s="71">
        <f t="shared" si="4"/>
        <v>1683952</v>
      </c>
      <c r="I53" s="1"/>
      <c r="K53" s="71">
        <f>B53/'Scenario 1 - Phase 1'!$E$8</f>
        <v>3081</v>
      </c>
      <c r="L53" s="1"/>
      <c r="N53" s="71">
        <f>E53/'LEVEL 3'!$E$8</f>
        <v>3169.3041237113403</v>
      </c>
      <c r="O53" s="1"/>
      <c r="Q53" s="71">
        <f>H53/('Scenario 1 - Phase 1'!$E$8+'LEVEL 3'!$E$8)</f>
        <v>3112.6654343807763</v>
      </c>
      <c r="R53" s="1"/>
      <c r="T53" s="195">
        <f>B53/'Scenario 1 - Phase 1'!$B$8</f>
        <v>3.436074204061168</v>
      </c>
      <c r="U53" s="193"/>
      <c r="V53" s="194"/>
      <c r="W53" s="195">
        <f>E53/'LEVEL 3'!$B$8</f>
        <v>3.1323456739807121</v>
      </c>
      <c r="X53" s="193"/>
      <c r="Y53" s="194"/>
      <c r="Z53" s="195">
        <f>H53/('Scenario 1 - Phase 1'!$B$8+'LEVEL 3'!$B$8)</f>
        <v>3.3185832162402376</v>
      </c>
      <c r="AA53" s="1"/>
    </row>
    <row r="54" spans="1:27">
      <c r="A54" s="37" t="s">
        <v>203</v>
      </c>
      <c r="B54" s="71">
        <f>'Scenario 1 - Phase 1'!K69</f>
        <v>360924.72</v>
      </c>
      <c r="C54" s="1"/>
      <c r="E54" s="71">
        <f>'LEVEL 3'!K69</f>
        <v>157031.20000000001</v>
      </c>
      <c r="F54" s="1"/>
      <c r="H54" s="71">
        <f t="shared" si="4"/>
        <v>517955.92</v>
      </c>
      <c r="I54" s="1"/>
      <c r="K54" s="71">
        <f>B54/'Scenario 1 - Phase 1'!$E$8</f>
        <v>1040.1288760806915</v>
      </c>
      <c r="L54" s="1"/>
      <c r="N54" s="71">
        <f>E54/'LEVEL 3'!$E$8</f>
        <v>809.43917525773202</v>
      </c>
      <c r="O54" s="1"/>
      <c r="Q54" s="71">
        <f>H54/('Scenario 1 - Phase 1'!$E$8+'LEVEL 3'!$E$8)</f>
        <v>957.40465804066537</v>
      </c>
      <c r="R54" s="1"/>
      <c r="T54" s="195">
        <f>B54/'Scenario 1 - Phase 1'!$B$8</f>
        <v>1.1599999999999999</v>
      </c>
      <c r="U54" s="193"/>
      <c r="V54" s="194"/>
      <c r="W54" s="195">
        <f>E54/'LEVEL 3'!$B$8</f>
        <v>0.8</v>
      </c>
      <c r="X54" s="193"/>
      <c r="Y54" s="194"/>
      <c r="Z54" s="195">
        <f>H54/('Scenario 1 - Phase 1'!$B$8+'LEVEL 3'!$B$8)</f>
        <v>1.020741578657985</v>
      </c>
      <c r="AA54" s="1"/>
    </row>
    <row r="55" spans="1:27" hidden="1">
      <c r="A55" s="37" t="s">
        <v>204</v>
      </c>
      <c r="B55" s="71">
        <f>'Scenario 1 - Phase 1'!K70</f>
        <v>2062</v>
      </c>
      <c r="C55" s="1"/>
      <c r="E55" s="71">
        <f>'LEVEL 3'!K71</f>
        <v>1200</v>
      </c>
      <c r="F55" s="1"/>
      <c r="H55" s="71">
        <f t="shared" si="4"/>
        <v>3262</v>
      </c>
      <c r="I55" s="1"/>
      <c r="K55" s="71">
        <f>B55/'Scenario 1 - Phase 1'!$E$8</f>
        <v>5.9423631123919307</v>
      </c>
      <c r="L55" s="1"/>
      <c r="N55" s="71">
        <f>E55/'LEVEL 3'!$E$8</f>
        <v>6.1855670103092786</v>
      </c>
      <c r="O55" s="1"/>
      <c r="Q55" s="71">
        <f>H55/('Scenario 1 - Phase 1'!$E$8+'LEVEL 3'!$E$8)</f>
        <v>6.0295748613678377</v>
      </c>
      <c r="R55" s="1"/>
      <c r="T55" s="195">
        <f>B55/'Scenario 1 - Phase 1'!$B$8</f>
        <v>6.6271991566551605E-3</v>
      </c>
      <c r="U55" s="193"/>
      <c r="V55" s="194"/>
      <c r="W55" s="195">
        <f>E55/'LEVEL 3'!$B$8</f>
        <v>6.1134347823871941E-3</v>
      </c>
      <c r="X55" s="193"/>
      <c r="Y55" s="194"/>
      <c r="Z55" s="195">
        <f>H55/('Scenario 1 - Phase 1'!$B$8+'LEVEL 3'!$B$8)</f>
        <v>6.4284602241487018E-3</v>
      </c>
      <c r="AA55" s="1"/>
    </row>
    <row r="56" spans="1:27" hidden="1">
      <c r="A56" s="37" t="s">
        <v>206</v>
      </c>
      <c r="B56" s="71">
        <f>'Scenario 1 - Phase 1'!K71</f>
        <v>0</v>
      </c>
      <c r="C56" s="1"/>
      <c r="E56" s="71">
        <f>'LEVEL 3'!K72</f>
        <v>0</v>
      </c>
      <c r="F56" s="1"/>
      <c r="H56" s="71">
        <f t="shared" si="4"/>
        <v>0</v>
      </c>
      <c r="I56" s="1"/>
      <c r="K56" s="71">
        <f>B56/'Scenario 1 - Phase 1'!$E$8</f>
        <v>0</v>
      </c>
      <c r="L56" s="1"/>
      <c r="N56" s="71">
        <f>E56/'LEVEL 3'!$E$8</f>
        <v>0</v>
      </c>
      <c r="O56" s="1"/>
      <c r="Q56" s="71">
        <f>H56/('Scenario 1 - Phase 1'!$E$8+'LEVEL 3'!$E$8)</f>
        <v>0</v>
      </c>
      <c r="R56" s="1"/>
      <c r="T56" s="195">
        <f>B56/'Scenario 1 - Phase 1'!$B$8</f>
        <v>0</v>
      </c>
      <c r="U56" s="193"/>
      <c r="V56" s="194"/>
      <c r="W56" s="195">
        <f>E56/'LEVEL 3'!$B$8</f>
        <v>0</v>
      </c>
      <c r="X56" s="193"/>
      <c r="Y56" s="194"/>
      <c r="Z56" s="195">
        <f>H56/('Scenario 1 - Phase 1'!$B$8+'LEVEL 3'!$B$8)</f>
        <v>0</v>
      </c>
      <c r="AA56" s="1"/>
    </row>
    <row r="57" spans="1:27">
      <c r="A57" s="33" t="s">
        <v>208</v>
      </c>
      <c r="B57" s="82"/>
      <c r="C57" s="102">
        <f>SUM(B58:B68)</f>
        <v>1573821.8300000003</v>
      </c>
      <c r="E57" s="82"/>
      <c r="F57" s="102">
        <f>SUM(E58:E68)</f>
        <v>902986.76</v>
      </c>
      <c r="H57" s="82"/>
      <c r="I57" s="102">
        <f>SUM(H58:H68)</f>
        <v>2476808.59</v>
      </c>
      <c r="K57" s="82"/>
      <c r="L57" s="102">
        <f>SUM(K58:K68)</f>
        <v>4535.5095965417859</v>
      </c>
      <c r="N57" s="82"/>
      <c r="O57" s="102">
        <f>SUM(N58:N68)</f>
        <v>4654.5709278350514</v>
      </c>
      <c r="Q57" s="82"/>
      <c r="R57" s="102">
        <f>SUM(Q58:Q68)</f>
        <v>4578.2044177449161</v>
      </c>
      <c r="T57" s="82"/>
      <c r="U57" s="201">
        <f>C57/'Scenario 1 - Phase 1'!$B$8</f>
        <v>5.0582108169260351</v>
      </c>
      <c r="V57" s="199"/>
      <c r="W57" s="203"/>
      <c r="X57" s="201">
        <f>F57/'LEVEL 3'!$B$8</f>
        <v>4.6002922221825981</v>
      </c>
      <c r="Y57" s="199"/>
      <c r="Z57" s="203"/>
      <c r="AA57" s="201">
        <f>I57/('Scenario 1 - Phase 1'!$B$8+'LEVEL 3'!$B$8)</f>
        <v>4.8810746485729091</v>
      </c>
    </row>
    <row r="58" spans="1:27">
      <c r="A58" s="35" t="s">
        <v>210</v>
      </c>
      <c r="B58" s="71">
        <f>'Scenario 1 - Phase 1'!K73</f>
        <v>790300.68</v>
      </c>
      <c r="C58" s="1"/>
      <c r="E58" s="71">
        <f>'LEVEL 3'!K74</f>
        <v>527480.30000000005</v>
      </c>
      <c r="F58" s="1"/>
      <c r="H58" s="71">
        <f t="shared" ref="H58:H68" si="5">B58+E58</f>
        <v>1317780.98</v>
      </c>
      <c r="I58" s="1"/>
      <c r="K58" s="71">
        <f>B58/'Scenario 1 - Phase 1'!$E$8</f>
        <v>2277.5235734870316</v>
      </c>
      <c r="L58" s="1"/>
      <c r="N58" s="71">
        <f>E58/'LEVEL 3'!$E$8</f>
        <v>2718.9706185567011</v>
      </c>
      <c r="O58" s="1"/>
      <c r="Q58" s="71">
        <f>H58/('Scenario 1 - Phase 1'!$E$8+'LEVEL 3'!$E$8)</f>
        <v>2435.8243622920518</v>
      </c>
      <c r="R58" s="1"/>
      <c r="T58" s="195">
        <f>B58/'Scenario 1 - Phase 1'!$B$8</f>
        <v>2.54</v>
      </c>
      <c r="U58" s="193"/>
      <c r="V58" s="194"/>
      <c r="W58" s="195">
        <f>E58/'LEVEL 3'!$B$8</f>
        <v>2.6872636775366936</v>
      </c>
      <c r="X58" s="193"/>
      <c r="Y58" s="194"/>
      <c r="Z58" s="195">
        <f>H58/('Scenario 1 - Phase 1'!$B$8+'LEVEL 3'!$B$8)</f>
        <v>2.5969658534854987</v>
      </c>
      <c r="AA58" s="1"/>
    </row>
    <row r="59" spans="1:27">
      <c r="A59" s="37" t="s">
        <v>51</v>
      </c>
      <c r="B59" s="83">
        <f>'Scenario 1 - Phase 1'!K74</f>
        <v>650172.69000000006</v>
      </c>
      <c r="C59" s="1"/>
      <c r="E59" s="83">
        <f>'LEVEL 3'!K76</f>
        <v>303688.89</v>
      </c>
      <c r="F59" s="1"/>
      <c r="H59" s="83">
        <f t="shared" si="5"/>
        <v>953861.58000000007</v>
      </c>
      <c r="I59" s="1"/>
      <c r="K59" s="83">
        <f>B59/'Scenario 1 - Phase 1'!$E$8</f>
        <v>1873.6965129682999</v>
      </c>
      <c r="L59" s="1"/>
      <c r="N59" s="83">
        <f>E59/'LEVEL 3'!$E$8</f>
        <v>1565.406649484536</v>
      </c>
      <c r="O59" s="1"/>
      <c r="Q59" s="83">
        <f>H59/('Scenario 1 - Phase 1'!$E$8+'LEVEL 3'!$E$8)</f>
        <v>1763.1452495378928</v>
      </c>
      <c r="R59" s="1"/>
      <c r="T59" s="197">
        <f>B59/'Scenario 1 - Phase 1'!$B$8</f>
        <v>2.0896333185490872</v>
      </c>
      <c r="U59" s="193"/>
      <c r="V59" s="194"/>
      <c r="W59" s="197">
        <f>E59/'LEVEL 3'!$B$8</f>
        <v>1.5471518526254655</v>
      </c>
      <c r="X59" s="193"/>
      <c r="Y59" s="194"/>
      <c r="Z59" s="197">
        <f>H59/('Scenario 1 - Phase 1'!$B$8+'LEVEL 3'!$B$8)</f>
        <v>1.8797857836829048</v>
      </c>
      <c r="AA59" s="1"/>
    </row>
    <row r="60" spans="1:27" hidden="1">
      <c r="A60" s="37" t="s">
        <v>214</v>
      </c>
      <c r="B60" s="83">
        <f>'Scenario 1 - Phase 1'!K75</f>
        <v>0</v>
      </c>
      <c r="C60" s="1"/>
      <c r="E60" s="83">
        <f>'LEVEL 3'!K77</f>
        <v>0</v>
      </c>
      <c r="F60" s="1"/>
      <c r="H60" s="83">
        <f t="shared" si="5"/>
        <v>0</v>
      </c>
      <c r="I60" s="1"/>
      <c r="K60" s="83">
        <f>B60/'Scenario 1 - Phase 1'!$E$8</f>
        <v>0</v>
      </c>
      <c r="L60" s="1"/>
      <c r="N60" s="83">
        <f>E60/'LEVEL 3'!$E$8</f>
        <v>0</v>
      </c>
      <c r="O60" s="1"/>
      <c r="Q60" s="83">
        <f>H60/('Scenario 1 - Phase 1'!$E$8+'LEVEL 3'!$E$8)</f>
        <v>0</v>
      </c>
      <c r="R60" s="1"/>
      <c r="T60" s="197">
        <f>B60/'Scenario 1 - Phase 1'!$B$8</f>
        <v>0</v>
      </c>
      <c r="U60" s="193"/>
      <c r="V60" s="194"/>
      <c r="W60" s="197">
        <f>E60/'LEVEL 3'!$B$8</f>
        <v>0</v>
      </c>
      <c r="X60" s="193"/>
      <c r="Y60" s="194"/>
      <c r="Z60" s="197">
        <f>H60/('Scenario 1 - Phase 1'!$B$8+'LEVEL 3'!$B$8)</f>
        <v>0</v>
      </c>
      <c r="AA60" s="1"/>
    </row>
    <row r="61" spans="1:27" hidden="1">
      <c r="A61" s="37" t="s">
        <v>216</v>
      </c>
      <c r="B61" s="83">
        <f>'Scenario 1 - Phase 1'!K76</f>
        <v>6700</v>
      </c>
      <c r="C61" s="1"/>
      <c r="E61" s="83">
        <f>'LEVEL 3'!K78</f>
        <v>7500</v>
      </c>
      <c r="F61" s="1"/>
      <c r="H61" s="83">
        <f t="shared" si="5"/>
        <v>14200</v>
      </c>
      <c r="I61" s="1"/>
      <c r="K61" s="83">
        <f>B61/'Scenario 1 - Phase 1'!$E$8</f>
        <v>19.308357348703169</v>
      </c>
      <c r="L61" s="1"/>
      <c r="N61" s="83">
        <f>E61/'LEVEL 3'!$E$8</f>
        <v>38.659793814432987</v>
      </c>
      <c r="O61" s="1"/>
      <c r="Q61" s="83">
        <f>H61/('Scenario 1 - Phase 1'!$E$8+'LEVEL 3'!$E$8)</f>
        <v>26.247689463955638</v>
      </c>
      <c r="R61" s="1"/>
      <c r="T61" s="197">
        <f>B61/'Scenario 1 - Phase 1'!$B$8</f>
        <v>2.1533576309209299E-2</v>
      </c>
      <c r="U61" s="193"/>
      <c r="V61" s="194"/>
      <c r="W61" s="197">
        <f>E61/'LEVEL 3'!$B$8</f>
        <v>3.8208967389919968E-2</v>
      </c>
      <c r="X61" s="193"/>
      <c r="Y61" s="194"/>
      <c r="Z61" s="197">
        <f>H61/('Scenario 1 - Phase 1'!$B$8+'LEVEL 3'!$B$8)</f>
        <v>2.7984100301321757E-2</v>
      </c>
      <c r="AA61" s="1"/>
    </row>
    <row r="62" spans="1:27" hidden="1">
      <c r="A62" s="37" t="s">
        <v>217</v>
      </c>
      <c r="B62" s="83">
        <f>'Scenario 1 - Phase 1'!K77</f>
        <v>0</v>
      </c>
      <c r="C62" s="1"/>
      <c r="E62" s="83">
        <f>'LEVEL 3'!K79</f>
        <v>7500</v>
      </c>
      <c r="F62" s="1"/>
      <c r="H62" s="83">
        <f t="shared" si="5"/>
        <v>7500</v>
      </c>
      <c r="I62" s="1"/>
      <c r="K62" s="83">
        <f>B62/'Scenario 1 - Phase 1'!$E$8</f>
        <v>0</v>
      </c>
      <c r="L62" s="1"/>
      <c r="N62" s="83">
        <f>E62/'LEVEL 3'!$E$8</f>
        <v>38.659793814432987</v>
      </c>
      <c r="O62" s="1"/>
      <c r="Q62" s="83">
        <f>H62/('Scenario 1 - Phase 1'!$E$8+'LEVEL 3'!$E$8)</f>
        <v>13.863216266173753</v>
      </c>
      <c r="R62" s="1"/>
      <c r="T62" s="197">
        <f>B62/'Scenario 1 - Phase 1'!$B$8</f>
        <v>0</v>
      </c>
      <c r="U62" s="193"/>
      <c r="V62" s="194"/>
      <c r="W62" s="197">
        <f>E62/'LEVEL 3'!$B$8</f>
        <v>3.8208967389919968E-2</v>
      </c>
      <c r="X62" s="193"/>
      <c r="Y62" s="194"/>
      <c r="Z62" s="197">
        <f>H62/('Scenario 1 - Phase 1'!$B$8+'LEVEL 3'!$B$8)</f>
        <v>1.4780334666191068E-2</v>
      </c>
      <c r="AA62" s="1"/>
    </row>
    <row r="63" spans="1:27">
      <c r="A63" s="37" t="s">
        <v>219</v>
      </c>
      <c r="B63" s="83">
        <f>'Scenario 1 - Phase 1'!K78</f>
        <v>70000</v>
      </c>
      <c r="C63" s="1"/>
      <c r="E63" s="83">
        <f>'LEVEL 3'!K80</f>
        <v>23200</v>
      </c>
      <c r="F63" s="1"/>
      <c r="H63" s="83">
        <f t="shared" si="5"/>
        <v>93200</v>
      </c>
      <c r="I63" s="1"/>
      <c r="K63" s="83">
        <f>B63/'Scenario 1 - Phase 1'!$E$8</f>
        <v>201.72910662824208</v>
      </c>
      <c r="L63" s="1"/>
      <c r="N63" s="83">
        <f>E63/'LEVEL 3'!$E$8</f>
        <v>119.58762886597938</v>
      </c>
      <c r="O63" s="1"/>
      <c r="Q63" s="83">
        <f>H63/('Scenario 1 - Phase 1'!$E$8+'LEVEL 3'!$E$8)</f>
        <v>172.2735674676525</v>
      </c>
      <c r="R63" s="1"/>
      <c r="T63" s="197">
        <f>B63/'Scenario 1 - Phase 1'!$B$8</f>
        <v>0.22497766293203747</v>
      </c>
      <c r="U63" s="193"/>
      <c r="V63" s="194"/>
      <c r="W63" s="197">
        <f>E63/'LEVEL 3'!$B$8</f>
        <v>0.11819307245948577</v>
      </c>
      <c r="X63" s="193"/>
      <c r="Y63" s="194"/>
      <c r="Z63" s="197">
        <f>H63/('Scenario 1 - Phase 1'!$B$8+'LEVEL 3'!$B$8)</f>
        <v>0.18367029211853433</v>
      </c>
      <c r="AA63" s="1"/>
    </row>
    <row r="64" spans="1:27" hidden="1">
      <c r="A64" s="37" t="s">
        <v>221</v>
      </c>
      <c r="B64" s="83">
        <f>'Scenario 1 - Phase 1'!K79</f>
        <v>24891.360000000001</v>
      </c>
      <c r="C64" s="1"/>
      <c r="E64" s="83">
        <f>'LEVEL 3'!K81</f>
        <v>15703.12</v>
      </c>
      <c r="F64" s="1"/>
      <c r="H64" s="83">
        <f t="shared" si="5"/>
        <v>40594.480000000003</v>
      </c>
      <c r="I64" s="1"/>
      <c r="K64" s="83">
        <f>B64/'Scenario 1 - Phase 1'!$E$8</f>
        <v>71.733025936599432</v>
      </c>
      <c r="L64" s="1"/>
      <c r="N64" s="83">
        <f>E64/'LEVEL 3'!$E$8</f>
        <v>80.943917525773202</v>
      </c>
      <c r="O64" s="1"/>
      <c r="Q64" s="83">
        <f>H64/('Scenario 1 - Phase 1'!$E$8+'LEVEL 3'!$E$8)</f>
        <v>75.036007393715352</v>
      </c>
      <c r="R64" s="1"/>
      <c r="T64" s="197">
        <f>B64/'Scenario 1 - Phase 1'!$B$8</f>
        <v>0.08</v>
      </c>
      <c r="U64" s="193"/>
      <c r="V64" s="194"/>
      <c r="W64" s="197">
        <f>E64/'LEVEL 3'!$B$8</f>
        <v>0.08</v>
      </c>
      <c r="X64" s="193"/>
      <c r="Y64" s="194"/>
      <c r="Z64" s="197">
        <f>H64/('Scenario 1 - Phase 1'!$B$8+'LEVEL 3'!$B$8)</f>
        <v>0.08</v>
      </c>
      <c r="AA64" s="1"/>
    </row>
    <row r="65" spans="1:27" hidden="1">
      <c r="A65" s="37" t="s">
        <v>223</v>
      </c>
      <c r="B65" s="83">
        <f>'Scenario 1 - Phase 1'!K80</f>
        <v>15557.1</v>
      </c>
      <c r="C65" s="1"/>
      <c r="E65" s="83">
        <f>'LEVEL 3'!K82</f>
        <v>9814.4500000000007</v>
      </c>
      <c r="F65" s="1"/>
      <c r="H65" s="83">
        <f t="shared" si="5"/>
        <v>25371.550000000003</v>
      </c>
      <c r="I65" s="1"/>
      <c r="K65" s="83">
        <f>B65/'Scenario 1 - Phase 1'!$E$8</f>
        <v>44.833141210374642</v>
      </c>
      <c r="L65" s="1"/>
      <c r="N65" s="83">
        <f>E65/'LEVEL 3'!$E$8</f>
        <v>50.589948453608251</v>
      </c>
      <c r="O65" s="1"/>
      <c r="Q65" s="83">
        <f>H65/('Scenario 1 - Phase 1'!$E$8+'LEVEL 3'!$E$8)</f>
        <v>46.897504621072095</v>
      </c>
      <c r="R65" s="1"/>
      <c r="T65" s="197">
        <f>B65/'Scenario 1 - Phase 1'!$B$8</f>
        <v>0.05</v>
      </c>
      <c r="U65" s="193"/>
      <c r="V65" s="194"/>
      <c r="W65" s="197">
        <f>E65/'LEVEL 3'!$B$8</f>
        <v>0.05</v>
      </c>
      <c r="X65" s="193"/>
      <c r="Y65" s="194"/>
      <c r="Z65" s="197">
        <f>H65/('Scenario 1 - Phase 1'!$B$8+'LEVEL 3'!$B$8)</f>
        <v>0.05</v>
      </c>
      <c r="AA65" s="1"/>
    </row>
    <row r="66" spans="1:27" hidden="1">
      <c r="A66" s="37" t="s">
        <v>225</v>
      </c>
      <c r="B66" s="83">
        <f>'Scenario 1 - Phase 1'!K81</f>
        <v>6200</v>
      </c>
      <c r="C66" s="1"/>
      <c r="E66" s="83">
        <f>'LEVEL 3'!K83</f>
        <v>3100</v>
      </c>
      <c r="F66" s="1"/>
      <c r="H66" s="83">
        <f t="shared" si="5"/>
        <v>9300</v>
      </c>
      <c r="I66" s="1"/>
      <c r="K66" s="83">
        <f>B66/'Scenario 1 - Phase 1'!$E$8</f>
        <v>17.86743515850144</v>
      </c>
      <c r="L66" s="1"/>
      <c r="N66" s="83">
        <f>E66/'LEVEL 3'!$E$8</f>
        <v>15.979381443298969</v>
      </c>
      <c r="O66" s="1"/>
      <c r="Q66" s="83">
        <f>H66/('Scenario 1 - Phase 1'!$E$8+'LEVEL 3'!$E$8)</f>
        <v>17.190388170055453</v>
      </c>
      <c r="R66" s="1"/>
      <c r="T66" s="197">
        <f>B66/'Scenario 1 - Phase 1'!$B$8</f>
        <v>1.9926593002551889E-2</v>
      </c>
      <c r="U66" s="193"/>
      <c r="V66" s="194"/>
      <c r="W66" s="197">
        <f>E66/'LEVEL 3'!$B$8</f>
        <v>1.5793039854500254E-2</v>
      </c>
      <c r="X66" s="193"/>
      <c r="Y66" s="194"/>
      <c r="Z66" s="197">
        <f>H66/('Scenario 1 - Phase 1'!$B$8+'LEVEL 3'!$B$8)</f>
        <v>1.8327614986076924E-2</v>
      </c>
      <c r="AA66" s="1"/>
    </row>
    <row r="67" spans="1:27" hidden="1">
      <c r="A67" s="37" t="s">
        <v>228</v>
      </c>
      <c r="B67" s="83">
        <f>'Scenario 1 - Phase 1'!K82</f>
        <v>10000</v>
      </c>
      <c r="C67" s="1"/>
      <c r="E67" s="83">
        <f>'LEVEL 3'!K84</f>
        <v>5000</v>
      </c>
      <c r="F67" s="1"/>
      <c r="H67" s="83">
        <f t="shared" si="5"/>
        <v>15000</v>
      </c>
      <c r="I67" s="1"/>
      <c r="K67" s="83">
        <f>B67/'Scenario 1 - Phase 1'!$E$8</f>
        <v>28.818443804034583</v>
      </c>
      <c r="L67" s="1"/>
      <c r="N67" s="83">
        <f>E67/'LEVEL 3'!$E$8</f>
        <v>25.773195876288661</v>
      </c>
      <c r="O67" s="1"/>
      <c r="Q67" s="83">
        <f>H67/('Scenario 1 - Phase 1'!$E$8+'LEVEL 3'!$E$8)</f>
        <v>27.726432532347506</v>
      </c>
      <c r="R67" s="1"/>
      <c r="T67" s="197">
        <f>B67/'Scenario 1 - Phase 1'!$B$8</f>
        <v>3.2139666133148212E-2</v>
      </c>
      <c r="U67" s="193"/>
      <c r="V67" s="194"/>
      <c r="W67" s="197">
        <f>E67/'LEVEL 3'!$B$8</f>
        <v>2.547264492661331E-2</v>
      </c>
      <c r="X67" s="193"/>
      <c r="Y67" s="194"/>
      <c r="Z67" s="197">
        <f>H67/('Scenario 1 - Phase 1'!$B$8+'LEVEL 3'!$B$8)</f>
        <v>2.9560669332382137E-2</v>
      </c>
      <c r="AA67" s="1"/>
    </row>
    <row r="68" spans="1:27" hidden="1">
      <c r="A68" s="37" t="s">
        <v>230</v>
      </c>
      <c r="B68" s="83">
        <f>'Scenario 1 - Phase 1'!K83</f>
        <v>0</v>
      </c>
      <c r="C68" s="1"/>
      <c r="E68" s="83">
        <f>'LEVEL 3'!K85</f>
        <v>0</v>
      </c>
      <c r="F68" s="1"/>
      <c r="H68" s="83">
        <f t="shared" si="5"/>
        <v>0</v>
      </c>
      <c r="I68" s="1"/>
      <c r="K68" s="83">
        <f>B68/'Scenario 1 - Phase 1'!$E$8</f>
        <v>0</v>
      </c>
      <c r="L68" s="1"/>
      <c r="N68" s="83">
        <f>E68/'LEVEL 3'!$E$8</f>
        <v>0</v>
      </c>
      <c r="O68" s="1"/>
      <c r="Q68" s="83">
        <f>H68/('Scenario 1 - Phase 1'!$E$8+'LEVEL 3'!$E$8)</f>
        <v>0</v>
      </c>
      <c r="R68" s="1"/>
      <c r="T68" s="197">
        <f>B68/'Scenario 1 - Phase 1'!$B$8</f>
        <v>0</v>
      </c>
      <c r="U68" s="193"/>
      <c r="V68" s="194"/>
      <c r="W68" s="197">
        <f>E68/'LEVEL 3'!$B$8</f>
        <v>0</v>
      </c>
      <c r="X68" s="193"/>
      <c r="Y68" s="194"/>
      <c r="Z68" s="197">
        <f>H68/('Scenario 1 - Phase 1'!$B$8+'LEVEL 3'!$B$8)</f>
        <v>0</v>
      </c>
      <c r="AA68" s="1"/>
    </row>
    <row r="69" spans="1:27">
      <c r="A69" s="33" t="s">
        <v>232</v>
      </c>
      <c r="B69" s="82"/>
      <c r="C69" s="102">
        <f>SUM(B70:B84)</f>
        <v>548400.70000000007</v>
      </c>
      <c r="E69" s="82"/>
      <c r="F69" s="102" t="e">
        <f>SUM(E70:E84)</f>
        <v>#REF!</v>
      </c>
      <c r="H69" s="82"/>
      <c r="I69" s="102" t="e">
        <f>SUM(H70:H84)</f>
        <v>#REF!</v>
      </c>
      <c r="K69" s="82"/>
      <c r="L69" s="102">
        <f>SUM(K70:K84)</f>
        <v>1580.4054755043228</v>
      </c>
      <c r="N69" s="82"/>
      <c r="O69" s="102" t="e">
        <f>SUM(N70:N84)</f>
        <v>#REF!</v>
      </c>
      <c r="Q69" s="82"/>
      <c r="R69" s="102" t="e">
        <f>SUM(Q70:Q84)</f>
        <v>#REF!</v>
      </c>
      <c r="T69" s="82"/>
      <c r="U69" s="201">
        <f>C69/'Scenario 1 - Phase 1'!$B$8</f>
        <v>1.7625415405184772</v>
      </c>
      <c r="V69" s="199"/>
      <c r="W69" s="203"/>
      <c r="X69" s="201" t="e">
        <f>F69/'LEVEL 3'!$B$8</f>
        <v>#REF!</v>
      </c>
      <c r="Y69" s="199"/>
      <c r="Z69" s="203"/>
      <c r="AA69" s="201" t="e">
        <f>I69/('Scenario 1 - Phase 1'!$B$8+'LEVEL 3'!$B$8)</f>
        <v>#REF!</v>
      </c>
    </row>
    <row r="70" spans="1:27" hidden="1">
      <c r="A70" s="35" t="s">
        <v>184</v>
      </c>
      <c r="B70" s="71">
        <f>'Scenario 1 - Phase 1'!K85</f>
        <v>27413</v>
      </c>
      <c r="C70" s="1"/>
      <c r="E70" s="71" t="e">
        <f>'LEVEL 3'!#REF!</f>
        <v>#REF!</v>
      </c>
      <c r="F70" s="1"/>
      <c r="H70" s="71" t="e">
        <f t="shared" ref="H70:H84" si="6">B70+E70</f>
        <v>#REF!</v>
      </c>
      <c r="I70" s="1"/>
      <c r="K70" s="71">
        <f>B70/'Scenario 1 - Phase 1'!$E$8</f>
        <v>79</v>
      </c>
      <c r="L70" s="1"/>
      <c r="N70" s="71" t="e">
        <f>E70/'LEVEL 3'!$E$8</f>
        <v>#REF!</v>
      </c>
      <c r="O70" s="1"/>
      <c r="Q70" s="71" t="e">
        <f>H70/('Scenario 1 - Phase 1'!$E$8+'LEVEL 3'!$E$8)</f>
        <v>#REF!</v>
      </c>
      <c r="R70" s="1"/>
      <c r="T70" s="195">
        <f>B70/'Scenario 1 - Phase 1'!$B$8</f>
        <v>8.8104466770799181E-2</v>
      </c>
      <c r="U70" s="193"/>
      <c r="V70" s="194"/>
      <c r="W70" s="195" t="e">
        <f>E70/'LEVEL 3'!$B$8</f>
        <v>#REF!</v>
      </c>
      <c r="X70" s="193"/>
      <c r="Y70" s="194"/>
      <c r="Z70" s="195" t="e">
        <f>H70/('Scenario 1 - Phase 1'!$B$8+'LEVEL 3'!$B$8)</f>
        <v>#REF!</v>
      </c>
      <c r="AA70" s="1"/>
    </row>
    <row r="71" spans="1:27" hidden="1">
      <c r="A71" s="37" t="s">
        <v>236</v>
      </c>
      <c r="B71" s="83">
        <f>'Scenario 1 - Phase 1'!K86</f>
        <v>0</v>
      </c>
      <c r="C71" s="1"/>
      <c r="E71" s="83">
        <f>'LEVEL 3'!K87</f>
        <v>8000</v>
      </c>
      <c r="F71" s="1"/>
      <c r="H71" s="83">
        <f t="shared" si="6"/>
        <v>8000</v>
      </c>
      <c r="I71" s="1"/>
      <c r="K71" s="83">
        <f>B71/'Scenario 1 - Phase 1'!$E$8</f>
        <v>0</v>
      </c>
      <c r="L71" s="1"/>
      <c r="N71" s="83">
        <f>E71/'LEVEL 3'!$E$8</f>
        <v>41.237113402061858</v>
      </c>
      <c r="O71" s="1"/>
      <c r="Q71" s="83">
        <f>H71/('Scenario 1 - Phase 1'!$E$8+'LEVEL 3'!$E$8)</f>
        <v>14.78743068391867</v>
      </c>
      <c r="R71" s="1"/>
      <c r="T71" s="197">
        <f>B71/'Scenario 1 - Phase 1'!$B$8</f>
        <v>0</v>
      </c>
      <c r="U71" s="193"/>
      <c r="V71" s="194"/>
      <c r="W71" s="197">
        <f>E71/'LEVEL 3'!$B$8</f>
        <v>4.0756231882581297E-2</v>
      </c>
      <c r="X71" s="193"/>
      <c r="Y71" s="194"/>
      <c r="Z71" s="197">
        <f>H71/('Scenario 1 - Phase 1'!$B$8+'LEVEL 3'!$B$8)</f>
        <v>1.5765690310603805E-2</v>
      </c>
      <c r="AA71" s="1"/>
    </row>
    <row r="72" spans="1:27" hidden="1">
      <c r="A72" s="37" t="s">
        <v>238</v>
      </c>
      <c r="B72" s="83">
        <f>'Scenario 1 - Phase 1'!K87</f>
        <v>0</v>
      </c>
      <c r="C72" s="1"/>
      <c r="E72" s="83">
        <f>'LEVEL 3'!K88</f>
        <v>0</v>
      </c>
      <c r="F72" s="1"/>
      <c r="H72" s="83">
        <f t="shared" si="6"/>
        <v>0</v>
      </c>
      <c r="I72" s="1"/>
      <c r="K72" s="83">
        <f>B72/'Scenario 1 - Phase 1'!$E$8</f>
        <v>0</v>
      </c>
      <c r="L72" s="1"/>
      <c r="N72" s="83">
        <f>E72/'LEVEL 3'!$E$8</f>
        <v>0</v>
      </c>
      <c r="O72" s="1"/>
      <c r="Q72" s="83">
        <f>H72/('Scenario 1 - Phase 1'!$E$8+'LEVEL 3'!$E$8)</f>
        <v>0</v>
      </c>
      <c r="R72" s="1"/>
      <c r="T72" s="197">
        <f>B72/'Scenario 1 - Phase 1'!$B$8</f>
        <v>0</v>
      </c>
      <c r="U72" s="193"/>
      <c r="V72" s="194"/>
      <c r="W72" s="197">
        <f>E72/'LEVEL 3'!$B$8</f>
        <v>0</v>
      </c>
      <c r="X72" s="193"/>
      <c r="Y72" s="194"/>
      <c r="Z72" s="197">
        <f>H72/('Scenario 1 - Phase 1'!$B$8+'LEVEL 3'!$B$8)</f>
        <v>0</v>
      </c>
      <c r="AA72" s="1"/>
    </row>
    <row r="73" spans="1:27" hidden="1">
      <c r="A73" s="37" t="s">
        <v>241</v>
      </c>
      <c r="B73" s="83">
        <f>'Scenario 1 - Phase 1'!K88</f>
        <v>0</v>
      </c>
      <c r="C73" s="1"/>
      <c r="E73" s="83">
        <f>'LEVEL 3'!K89</f>
        <v>0</v>
      </c>
      <c r="F73" s="1"/>
      <c r="H73" s="83">
        <f t="shared" si="6"/>
        <v>0</v>
      </c>
      <c r="I73" s="1"/>
      <c r="K73" s="83">
        <f>B73/'Scenario 1 - Phase 1'!$E$8</f>
        <v>0</v>
      </c>
      <c r="L73" s="1"/>
      <c r="N73" s="83">
        <f>E73/'LEVEL 3'!$E$8</f>
        <v>0</v>
      </c>
      <c r="O73" s="1"/>
      <c r="Q73" s="83">
        <f>H73/('Scenario 1 - Phase 1'!$E$8+'LEVEL 3'!$E$8)</f>
        <v>0</v>
      </c>
      <c r="R73" s="1"/>
      <c r="T73" s="197">
        <f>B73/'Scenario 1 - Phase 1'!$B$8</f>
        <v>0</v>
      </c>
      <c r="U73" s="193"/>
      <c r="V73" s="194"/>
      <c r="W73" s="197">
        <f>E73/'LEVEL 3'!$B$8</f>
        <v>0</v>
      </c>
      <c r="X73" s="193"/>
      <c r="Y73" s="194"/>
      <c r="Z73" s="197">
        <f>H73/('Scenario 1 - Phase 1'!$B$8+'LEVEL 3'!$B$8)</f>
        <v>0</v>
      </c>
      <c r="AA73" s="1"/>
    </row>
    <row r="74" spans="1:27" hidden="1">
      <c r="A74" s="37" t="s">
        <v>242</v>
      </c>
      <c r="B74" s="83">
        <f>'Scenario 1 - Phase 1'!K89</f>
        <v>0</v>
      </c>
      <c r="C74" s="1"/>
      <c r="E74" s="83">
        <f>'LEVEL 3'!K90</f>
        <v>0</v>
      </c>
      <c r="F74" s="1"/>
      <c r="H74" s="83">
        <f t="shared" si="6"/>
        <v>0</v>
      </c>
      <c r="I74" s="1"/>
      <c r="K74" s="83">
        <f>B74/'Scenario 1 - Phase 1'!$E$8</f>
        <v>0</v>
      </c>
      <c r="L74" s="1"/>
      <c r="N74" s="83">
        <f>E74/'LEVEL 3'!$E$8</f>
        <v>0</v>
      </c>
      <c r="O74" s="1"/>
      <c r="Q74" s="83">
        <f>H74/('Scenario 1 - Phase 1'!$E$8+'LEVEL 3'!$E$8)</f>
        <v>0</v>
      </c>
      <c r="R74" s="1"/>
      <c r="T74" s="197">
        <f>B74/'Scenario 1 - Phase 1'!$B$8</f>
        <v>0</v>
      </c>
      <c r="U74" s="193"/>
      <c r="V74" s="194"/>
      <c r="W74" s="197">
        <f>E74/'LEVEL 3'!$B$8</f>
        <v>0</v>
      </c>
      <c r="X74" s="193"/>
      <c r="Y74" s="194"/>
      <c r="Z74" s="197">
        <f>H74/('Scenario 1 - Phase 1'!$B$8+'LEVEL 3'!$B$8)</f>
        <v>0</v>
      </c>
      <c r="AA74" s="1"/>
    </row>
    <row r="75" spans="1:27">
      <c r="A75" s="37" t="s">
        <v>244</v>
      </c>
      <c r="B75" s="83">
        <f>'Scenario 1 - Phase 1'!K90</f>
        <v>431702.70000000007</v>
      </c>
      <c r="C75" s="1"/>
      <c r="E75" s="83">
        <f>'LEVEL 3'!K91</f>
        <v>224631.5789473684</v>
      </c>
      <c r="F75" s="1"/>
      <c r="H75" s="83">
        <f t="shared" si="6"/>
        <v>656334.2789473685</v>
      </c>
      <c r="I75" s="1"/>
      <c r="K75" s="83">
        <f>B75/'Scenario 1 - Phase 1'!$E$8</f>
        <v>1244.1000000000001</v>
      </c>
      <c r="L75" s="1"/>
      <c r="N75" s="83">
        <f>E75/'LEVEL 3'!$E$8</f>
        <v>1157.8947368421052</v>
      </c>
      <c r="O75" s="1"/>
      <c r="Q75" s="83">
        <f>H75/('Scenario 1 - Phase 1'!$E$8+'LEVEL 3'!$E$8)</f>
        <v>1213.187206926744</v>
      </c>
      <c r="R75" s="1"/>
      <c r="T75" s="197">
        <f>B75/'Scenario 1 - Phase 1'!$B$8</f>
        <v>1.3874780646778644</v>
      </c>
      <c r="U75" s="193"/>
      <c r="V75" s="194"/>
      <c r="W75" s="197">
        <f>E75/'LEVEL 3'!$B$8</f>
        <v>1.1443920899661641</v>
      </c>
      <c r="X75" s="193"/>
      <c r="Y75" s="194"/>
      <c r="Z75" s="197">
        <f>H75/('Scenario 1 - Phase 1'!$B$8+'LEVEL 3'!$B$8)</f>
        <v>1.2934453727647079</v>
      </c>
      <c r="AA75" s="1"/>
    </row>
    <row r="76" spans="1:27" hidden="1">
      <c r="A76" s="37" t="s">
        <v>248</v>
      </c>
      <c r="B76" s="83">
        <f>'Scenario 1 - Phase 1'!K91</f>
        <v>26025</v>
      </c>
      <c r="C76" s="1"/>
      <c r="E76" s="83">
        <f>'LEVEL 3'!K92</f>
        <v>14550</v>
      </c>
      <c r="F76" s="1"/>
      <c r="H76" s="83">
        <f t="shared" si="6"/>
        <v>40575</v>
      </c>
      <c r="I76" s="1"/>
      <c r="K76" s="83">
        <f>B76/'Scenario 1 - Phase 1'!$E$8</f>
        <v>75</v>
      </c>
      <c r="L76" s="1"/>
      <c r="N76" s="83">
        <f>E76/'LEVEL 3'!$E$8</f>
        <v>75</v>
      </c>
      <c r="O76" s="1"/>
      <c r="Q76" s="83">
        <f>H76/('Scenario 1 - Phase 1'!$E$8+'LEVEL 3'!$E$8)</f>
        <v>75</v>
      </c>
      <c r="R76" s="1"/>
      <c r="T76" s="197">
        <f>B76/'Scenario 1 - Phase 1'!$B$8</f>
        <v>8.3643481111518217E-2</v>
      </c>
      <c r="U76" s="193"/>
      <c r="V76" s="194"/>
      <c r="W76" s="197">
        <f>E76/'LEVEL 3'!$B$8</f>
        <v>7.4125396736444735E-2</v>
      </c>
      <c r="X76" s="193"/>
      <c r="Y76" s="194"/>
      <c r="Z76" s="197">
        <f>H76/('Scenario 1 - Phase 1'!$B$8+'LEVEL 3'!$B$8)</f>
        <v>7.9961610544093675E-2</v>
      </c>
      <c r="AA76" s="1"/>
    </row>
    <row r="77" spans="1:27" hidden="1">
      <c r="A77" s="37" t="s">
        <v>249</v>
      </c>
      <c r="B77" s="83">
        <f>'Scenario 1 - Phase 1'!K92</f>
        <v>0</v>
      </c>
      <c r="C77" s="1"/>
      <c r="E77" s="83">
        <f>'LEVEL 3'!K93</f>
        <v>0</v>
      </c>
      <c r="F77" s="1"/>
      <c r="H77" s="83">
        <f t="shared" si="6"/>
        <v>0</v>
      </c>
      <c r="I77" s="1"/>
      <c r="K77" s="83">
        <f>B77/'Scenario 1 - Phase 1'!$E$8</f>
        <v>0</v>
      </c>
      <c r="L77" s="1"/>
      <c r="N77" s="83">
        <f>E77/'LEVEL 3'!$E$8</f>
        <v>0</v>
      </c>
      <c r="O77" s="1"/>
      <c r="Q77" s="83">
        <f>H77/('Scenario 1 - Phase 1'!$E$8+'LEVEL 3'!$E$8)</f>
        <v>0</v>
      </c>
      <c r="R77" s="1"/>
      <c r="T77" s="197">
        <f>B77/'Scenario 1 - Phase 1'!$B$8</f>
        <v>0</v>
      </c>
      <c r="U77" s="193"/>
      <c r="V77" s="194"/>
      <c r="W77" s="197">
        <f>E77/'LEVEL 3'!$B$8</f>
        <v>0</v>
      </c>
      <c r="X77" s="193"/>
      <c r="Y77" s="194"/>
      <c r="Z77" s="197">
        <f>H77/('Scenario 1 - Phase 1'!$B$8+'LEVEL 3'!$B$8)</f>
        <v>0</v>
      </c>
      <c r="AA77" s="1"/>
    </row>
    <row r="78" spans="1:27" hidden="1">
      <c r="A78" s="37" t="s">
        <v>251</v>
      </c>
      <c r="B78" s="83">
        <f>'Scenario 1 - Phase 1'!K93</f>
        <v>0</v>
      </c>
      <c r="C78" s="1"/>
      <c r="E78" s="83">
        <f>'LEVEL 3'!K94</f>
        <v>0</v>
      </c>
      <c r="F78" s="1"/>
      <c r="H78" s="83">
        <f t="shared" si="6"/>
        <v>0</v>
      </c>
      <c r="I78" s="1"/>
      <c r="K78" s="83">
        <f>B78/'Scenario 1 - Phase 1'!$E$8</f>
        <v>0</v>
      </c>
      <c r="L78" s="1"/>
      <c r="N78" s="83">
        <f>E78/'LEVEL 3'!$E$8</f>
        <v>0</v>
      </c>
      <c r="O78" s="1"/>
      <c r="Q78" s="83">
        <f>H78/('Scenario 1 - Phase 1'!$E$8+'LEVEL 3'!$E$8)</f>
        <v>0</v>
      </c>
      <c r="R78" s="1"/>
      <c r="T78" s="197">
        <f>B78/'Scenario 1 - Phase 1'!$B$8</f>
        <v>0</v>
      </c>
      <c r="U78" s="193"/>
      <c r="V78" s="194"/>
      <c r="W78" s="197">
        <f>E78/'LEVEL 3'!$B$8</f>
        <v>0</v>
      </c>
      <c r="X78" s="193"/>
      <c r="Y78" s="194"/>
      <c r="Z78" s="197">
        <f>H78/('Scenario 1 - Phase 1'!$B$8+'LEVEL 3'!$B$8)</f>
        <v>0</v>
      </c>
      <c r="AA78" s="1"/>
    </row>
    <row r="79" spans="1:27" hidden="1">
      <c r="A79" s="37" t="s">
        <v>253</v>
      </c>
      <c r="B79" s="83">
        <f>'Scenario 1 - Phase 1'!K94</f>
        <v>0</v>
      </c>
      <c r="C79" s="1"/>
      <c r="E79" s="83">
        <f>'LEVEL 3'!K95</f>
        <v>0</v>
      </c>
      <c r="F79" s="1"/>
      <c r="H79" s="83">
        <f t="shared" si="6"/>
        <v>0</v>
      </c>
      <c r="I79" s="1"/>
      <c r="K79" s="83">
        <f>B79/'Scenario 1 - Phase 1'!$E$8</f>
        <v>0</v>
      </c>
      <c r="L79" s="1"/>
      <c r="N79" s="83">
        <f>E79/'LEVEL 3'!$E$8</f>
        <v>0</v>
      </c>
      <c r="O79" s="1"/>
      <c r="Q79" s="83">
        <f>H79/('Scenario 1 - Phase 1'!$E$8+'LEVEL 3'!$E$8)</f>
        <v>0</v>
      </c>
      <c r="R79" s="1"/>
      <c r="T79" s="197">
        <f>B79/'Scenario 1 - Phase 1'!$B$8</f>
        <v>0</v>
      </c>
      <c r="U79" s="193"/>
      <c r="V79" s="194"/>
      <c r="W79" s="197">
        <f>E79/'LEVEL 3'!$B$8</f>
        <v>0</v>
      </c>
      <c r="X79" s="193"/>
      <c r="Y79" s="194"/>
      <c r="Z79" s="197">
        <f>H79/('Scenario 1 - Phase 1'!$B$8+'LEVEL 3'!$B$8)</f>
        <v>0</v>
      </c>
      <c r="AA79" s="1"/>
    </row>
    <row r="80" spans="1:27" hidden="1">
      <c r="A80" s="37" t="s">
        <v>255</v>
      </c>
      <c r="B80" s="83">
        <f>'Scenario 1 - Phase 1'!K95</f>
        <v>0</v>
      </c>
      <c r="C80" s="1"/>
      <c r="E80" s="83">
        <f>'LEVEL 3'!K96</f>
        <v>0</v>
      </c>
      <c r="F80" s="1"/>
      <c r="H80" s="83">
        <f t="shared" si="6"/>
        <v>0</v>
      </c>
      <c r="I80" s="1"/>
      <c r="K80" s="83">
        <f>B80/'Scenario 1 - Phase 1'!$E$8</f>
        <v>0</v>
      </c>
      <c r="L80" s="1"/>
      <c r="N80" s="83">
        <f>E80/'LEVEL 3'!$E$8</f>
        <v>0</v>
      </c>
      <c r="O80" s="1"/>
      <c r="Q80" s="83">
        <f>H80/('Scenario 1 - Phase 1'!$E$8+'LEVEL 3'!$E$8)</f>
        <v>0</v>
      </c>
      <c r="R80" s="1"/>
      <c r="T80" s="197">
        <f>B80/'Scenario 1 - Phase 1'!$B$8</f>
        <v>0</v>
      </c>
      <c r="U80" s="193"/>
      <c r="V80" s="194"/>
      <c r="W80" s="197">
        <f>E80/'LEVEL 3'!$B$8</f>
        <v>0</v>
      </c>
      <c r="X80" s="193"/>
      <c r="Y80" s="194"/>
      <c r="Z80" s="197">
        <f>H80/('Scenario 1 - Phase 1'!$B$8+'LEVEL 3'!$B$8)</f>
        <v>0</v>
      </c>
      <c r="AA80" s="1"/>
    </row>
    <row r="81" spans="1:27" hidden="1">
      <c r="A81" s="37" t="s">
        <v>257</v>
      </c>
      <c r="B81" s="83">
        <f>'Scenario 1 - Phase 1'!K96</f>
        <v>0</v>
      </c>
      <c r="C81" s="1"/>
      <c r="E81" s="83">
        <f>'LEVEL 3'!K97</f>
        <v>0</v>
      </c>
      <c r="F81" s="1"/>
      <c r="H81" s="83">
        <f t="shared" si="6"/>
        <v>0</v>
      </c>
      <c r="I81" s="1"/>
      <c r="K81" s="83">
        <f>B81/'Scenario 1 - Phase 1'!$E$8</f>
        <v>0</v>
      </c>
      <c r="L81" s="1"/>
      <c r="N81" s="83">
        <f>E81/'LEVEL 3'!$E$8</f>
        <v>0</v>
      </c>
      <c r="O81" s="1"/>
      <c r="Q81" s="83">
        <f>H81/('Scenario 1 - Phase 1'!$E$8+'LEVEL 3'!$E$8)</f>
        <v>0</v>
      </c>
      <c r="R81" s="1"/>
      <c r="T81" s="197">
        <f>B81/'Scenario 1 - Phase 1'!$B$8</f>
        <v>0</v>
      </c>
      <c r="U81" s="193"/>
      <c r="V81" s="194"/>
      <c r="W81" s="197">
        <f>E81/'LEVEL 3'!$B$8</f>
        <v>0</v>
      </c>
      <c r="X81" s="193"/>
      <c r="Y81" s="194"/>
      <c r="Z81" s="197">
        <f>H81/('Scenario 1 - Phase 1'!$B$8+'LEVEL 3'!$B$8)</f>
        <v>0</v>
      </c>
      <c r="AA81" s="1"/>
    </row>
    <row r="82" spans="1:27" hidden="1">
      <c r="A82" s="37" t="s">
        <v>259</v>
      </c>
      <c r="B82" s="83">
        <f>'Scenario 1 - Phase 1'!K97</f>
        <v>0</v>
      </c>
      <c r="C82" s="1"/>
      <c r="E82" s="83">
        <f>'LEVEL 3'!K98</f>
        <v>0</v>
      </c>
      <c r="F82" s="1"/>
      <c r="H82" s="83">
        <f t="shared" si="6"/>
        <v>0</v>
      </c>
      <c r="I82" s="1"/>
      <c r="K82" s="83">
        <f>B82/'Scenario 1 - Phase 1'!$E$8</f>
        <v>0</v>
      </c>
      <c r="L82" s="1"/>
      <c r="N82" s="83">
        <f>E82/'LEVEL 3'!$E$8</f>
        <v>0</v>
      </c>
      <c r="O82" s="1"/>
      <c r="Q82" s="83">
        <f>H82/('Scenario 1 - Phase 1'!$E$8+'LEVEL 3'!$E$8)</f>
        <v>0</v>
      </c>
      <c r="R82" s="1"/>
      <c r="T82" s="197">
        <f>B82/'Scenario 1 - Phase 1'!$B$8</f>
        <v>0</v>
      </c>
      <c r="U82" s="193"/>
      <c r="V82" s="194"/>
      <c r="W82" s="197">
        <f>E82/'LEVEL 3'!$B$8</f>
        <v>0</v>
      </c>
      <c r="X82" s="193"/>
      <c r="Y82" s="194"/>
      <c r="Z82" s="197">
        <f>H82/('Scenario 1 - Phase 1'!$B$8+'LEVEL 3'!$B$8)</f>
        <v>0</v>
      </c>
      <c r="AA82" s="1"/>
    </row>
    <row r="83" spans="1:27" hidden="1">
      <c r="A83" s="37" t="s">
        <v>260</v>
      </c>
      <c r="B83" s="83">
        <f>'Scenario 1 - Phase 1'!K98</f>
        <v>62460</v>
      </c>
      <c r="C83" s="1"/>
      <c r="E83" s="83">
        <f>'LEVEL 3'!K99</f>
        <v>31428</v>
      </c>
      <c r="F83" s="1"/>
      <c r="H83" s="83">
        <f t="shared" si="6"/>
        <v>93888</v>
      </c>
      <c r="I83" s="1"/>
      <c r="K83" s="83">
        <f>B83/'Scenario 1 - Phase 1'!$E$8</f>
        <v>180</v>
      </c>
      <c r="L83" s="1"/>
      <c r="N83" s="83">
        <f>E83/'LEVEL 3'!$E$8</f>
        <v>162</v>
      </c>
      <c r="O83" s="1"/>
      <c r="Q83" s="83">
        <f>H83/('Scenario 1 - Phase 1'!$E$8+'LEVEL 3'!$E$8)</f>
        <v>173.54528650646949</v>
      </c>
      <c r="R83" s="1"/>
      <c r="T83" s="197">
        <f>B83/'Scenario 1 - Phase 1'!$B$8</f>
        <v>0.2007443546676437</v>
      </c>
      <c r="U83" s="193"/>
      <c r="V83" s="194"/>
      <c r="W83" s="197">
        <f>E83/'LEVEL 3'!$B$8</f>
        <v>0.16011085695072061</v>
      </c>
      <c r="X83" s="193"/>
      <c r="Y83" s="194"/>
      <c r="Z83" s="197">
        <f>H83/('Scenario 1 - Phase 1'!$B$8+'LEVEL 3'!$B$8)</f>
        <v>0.18502614148524626</v>
      </c>
      <c r="AA83" s="1"/>
    </row>
    <row r="84" spans="1:27" hidden="1">
      <c r="A84" s="37" t="s">
        <v>261</v>
      </c>
      <c r="B84" s="83">
        <f>'Scenario 1 - Phase 1'!K99</f>
        <v>800</v>
      </c>
      <c r="C84" s="1"/>
      <c r="E84" s="83">
        <f>'LEVEL 3'!K100</f>
        <v>500</v>
      </c>
      <c r="F84" s="1"/>
      <c r="H84" s="83">
        <f t="shared" si="6"/>
        <v>1300</v>
      </c>
      <c r="I84" s="1"/>
      <c r="K84" s="83">
        <f>B84/'Scenario 1 - Phase 1'!$E$8</f>
        <v>2.3054755043227666</v>
      </c>
      <c r="L84" s="1"/>
      <c r="N84" s="83">
        <f>E84/'LEVEL 3'!$E$8</f>
        <v>2.5773195876288661</v>
      </c>
      <c r="O84" s="1"/>
      <c r="Q84" s="83">
        <f>H84/('Scenario 1 - Phase 1'!$E$8+'LEVEL 3'!$E$8)</f>
        <v>2.4029574861367839</v>
      </c>
      <c r="R84" s="1"/>
      <c r="T84" s="197">
        <f>B84/'Scenario 1 - Phase 1'!$B$8</f>
        <v>2.5711732906518567E-3</v>
      </c>
      <c r="U84" s="193"/>
      <c r="V84" s="194"/>
      <c r="W84" s="197">
        <f>E84/'LEVEL 3'!$B$8</f>
        <v>2.547264492661331E-3</v>
      </c>
      <c r="X84" s="193"/>
      <c r="Y84" s="194"/>
      <c r="Z84" s="197">
        <f>H84/('Scenario 1 - Phase 1'!$B$8+'LEVEL 3'!$B$8)</f>
        <v>2.5619246754731186E-3</v>
      </c>
      <c r="AA84" s="1"/>
    </row>
    <row r="85" spans="1:27">
      <c r="A85" s="33" t="s">
        <v>262</v>
      </c>
      <c r="B85" s="82"/>
      <c r="C85" s="102">
        <f>SUM(B86:B121)</f>
        <v>5170494.1965402467</v>
      </c>
      <c r="E85" s="82"/>
      <c r="F85" s="102" t="e">
        <f>SUM(E86:E121)</f>
        <v>#REF!</v>
      </c>
      <c r="H85" s="82"/>
      <c r="I85" s="102" t="e">
        <f>SUM(H86:H121)</f>
        <v>#REF!</v>
      </c>
      <c r="K85" s="82"/>
      <c r="L85" s="102">
        <f>SUM(K86:K121)</f>
        <v>14900.559644208204</v>
      </c>
      <c r="N85" s="82"/>
      <c r="O85" s="102" t="e">
        <f>SUM(N86:N121)</f>
        <v>#REF!</v>
      </c>
      <c r="Q85" s="82"/>
      <c r="R85" s="102" t="e">
        <f>SUM(Q86:Q121)</f>
        <v>#REF!</v>
      </c>
      <c r="T85" s="82"/>
      <c r="U85" s="201">
        <f>C85/'Scenario 1 - Phase 1'!$B$8</f>
        <v>16.617795722018393</v>
      </c>
      <c r="V85" s="199"/>
      <c r="W85" s="203"/>
      <c r="X85" s="201" t="e">
        <f>F85/'LEVEL 3'!$B$8</f>
        <v>#REF!</v>
      </c>
      <c r="Y85" s="199"/>
      <c r="Z85" s="203"/>
      <c r="AA85" s="201" t="e">
        <f>I85/('Scenario 1 - Phase 1'!$B$8+'LEVEL 3'!$B$8)</f>
        <v>#REF!</v>
      </c>
    </row>
    <row r="86" spans="1:27" hidden="1">
      <c r="A86" s="35" t="s">
        <v>264</v>
      </c>
      <c r="B86" s="71">
        <f>'Scenario 1 - Phase 1'!K101</f>
        <v>15557.1</v>
      </c>
      <c r="C86" s="1"/>
      <c r="E86" s="71" t="e">
        <f>'LEVEL 3'!#REF!</f>
        <v>#REF!</v>
      </c>
      <c r="F86" s="1"/>
      <c r="H86" s="71" t="e">
        <f t="shared" ref="H86:H121" si="7">B86+E86</f>
        <v>#REF!</v>
      </c>
      <c r="I86" s="1"/>
      <c r="K86" s="71">
        <f>B86/'Scenario 1 - Phase 1'!$E$8</f>
        <v>44.833141210374642</v>
      </c>
      <c r="L86" s="1"/>
      <c r="N86" s="71" t="e">
        <f>E86/'LEVEL 3'!$E$8</f>
        <v>#REF!</v>
      </c>
      <c r="O86" s="1"/>
      <c r="Q86" s="71" t="e">
        <f>H86/('Scenario 1 - Phase 1'!$E$8+'LEVEL 3'!$E$8)</f>
        <v>#REF!</v>
      </c>
      <c r="R86" s="1"/>
      <c r="T86" s="195">
        <f>B86/'Scenario 1 - Phase 1'!$B$8</f>
        <v>0.05</v>
      </c>
      <c r="U86" s="193"/>
      <c r="V86" s="194"/>
      <c r="W86" s="195" t="e">
        <f>E86/'LEVEL 3'!$B$8</f>
        <v>#REF!</v>
      </c>
      <c r="X86" s="193"/>
      <c r="Y86" s="194"/>
      <c r="Z86" s="195" t="e">
        <f>H86/('Scenario 1 - Phase 1'!$B$8+'LEVEL 3'!$B$8)</f>
        <v>#REF!</v>
      </c>
      <c r="AA86" s="1"/>
    </row>
    <row r="87" spans="1:27" hidden="1">
      <c r="A87" s="37" t="s">
        <v>267</v>
      </c>
      <c r="B87" s="83">
        <f>'Scenario 1 - Phase 1'!K102</f>
        <v>24891.360000000001</v>
      </c>
      <c r="C87" s="1"/>
      <c r="E87" s="83">
        <f>'LEVEL 3'!K102</f>
        <v>10000</v>
      </c>
      <c r="F87" s="1"/>
      <c r="H87" s="83">
        <f t="shared" si="7"/>
        <v>34891.360000000001</v>
      </c>
      <c r="I87" s="1"/>
      <c r="K87" s="83">
        <f>B87/'Scenario 1 - Phase 1'!$E$8</f>
        <v>71.733025936599432</v>
      </c>
      <c r="L87" s="1"/>
      <c r="N87" s="83">
        <f>E87/'LEVEL 3'!$E$8</f>
        <v>51.546391752577321</v>
      </c>
      <c r="O87" s="1"/>
      <c r="Q87" s="83">
        <f>H87/('Scenario 1 - Phase 1'!$E$8+'LEVEL 3'!$E$8)</f>
        <v>64.494195933456567</v>
      </c>
      <c r="R87" s="1"/>
      <c r="T87" s="197">
        <f>B87/'Scenario 1 - Phase 1'!$B$8</f>
        <v>0.08</v>
      </c>
      <c r="U87" s="193"/>
      <c r="V87" s="194"/>
      <c r="W87" s="197">
        <f>E87/'LEVEL 3'!$B$8</f>
        <v>5.0945289853226619E-2</v>
      </c>
      <c r="X87" s="193"/>
      <c r="Y87" s="194"/>
      <c r="Z87" s="197">
        <f>H87/('Scenario 1 - Phase 1'!$B$8+'LEVEL 3'!$B$8)</f>
        <v>6.8760797034473659E-2</v>
      </c>
      <c r="AA87" s="1"/>
    </row>
    <row r="88" spans="1:27">
      <c r="A88" s="37" t="s">
        <v>269</v>
      </c>
      <c r="B88" s="83">
        <f>'Scenario 1 - Phase 1'!K103</f>
        <v>186685.19999999998</v>
      </c>
      <c r="C88" s="1"/>
      <c r="E88" s="83">
        <f>'LEVEL 3'!K103</f>
        <v>166845.65</v>
      </c>
      <c r="F88" s="1"/>
      <c r="H88" s="83">
        <f t="shared" si="7"/>
        <v>353530.85</v>
      </c>
      <c r="I88" s="1"/>
      <c r="K88" s="83">
        <f>B88/'Scenario 1 - Phase 1'!$E$8</f>
        <v>537.99769452449561</v>
      </c>
      <c r="L88" s="1"/>
      <c r="N88" s="83">
        <f>E88/'LEVEL 3'!$E$8</f>
        <v>860.02912371134016</v>
      </c>
      <c r="O88" s="1"/>
      <c r="Q88" s="83">
        <f>H88/('Scenario 1 - Phase 1'!$E$8+'LEVEL 3'!$E$8)</f>
        <v>653.47661737523106</v>
      </c>
      <c r="R88" s="1"/>
      <c r="T88" s="197">
        <f>B88/'Scenario 1 - Phase 1'!$B$8</f>
        <v>0.6</v>
      </c>
      <c r="U88" s="193"/>
      <c r="V88" s="194"/>
      <c r="W88" s="197">
        <f>E88/'LEVEL 3'!$B$8</f>
        <v>0.85</v>
      </c>
      <c r="X88" s="193"/>
      <c r="Y88" s="194"/>
      <c r="Z88" s="197">
        <f>H88/('Scenario 1 - Phase 1'!$B$8+'LEVEL 3'!$B$8)</f>
        <v>0.69670723704306592</v>
      </c>
      <c r="AA88" s="1"/>
    </row>
    <row r="89" spans="1:27" hidden="1">
      <c r="A89" s="37" t="s">
        <v>271</v>
      </c>
      <c r="B89" s="83">
        <f>'Scenario 1 - Phase 1'!K104</f>
        <v>112011.12</v>
      </c>
      <c r="C89" s="1"/>
      <c r="E89" s="83">
        <f>'LEVEL 3'!K104</f>
        <v>50000</v>
      </c>
      <c r="F89" s="1"/>
      <c r="H89" s="83">
        <f t="shared" si="7"/>
        <v>162011.12</v>
      </c>
      <c r="I89" s="1"/>
      <c r="K89" s="83">
        <f>B89/'Scenario 1 - Phase 1'!$E$8</f>
        <v>322.7986167146974</v>
      </c>
      <c r="L89" s="1"/>
      <c r="N89" s="83">
        <f>E89/'LEVEL 3'!$E$8</f>
        <v>257.73195876288662</v>
      </c>
      <c r="O89" s="1"/>
      <c r="Q89" s="83">
        <f>H89/('Scenario 1 - Phase 1'!$E$8+'LEVEL 3'!$E$8)</f>
        <v>299.46602587800368</v>
      </c>
      <c r="R89" s="1"/>
      <c r="T89" s="197">
        <f>B89/'Scenario 1 - Phase 1'!$B$8</f>
        <v>0.36</v>
      </c>
      <c r="U89" s="193"/>
      <c r="V89" s="194"/>
      <c r="W89" s="197">
        <f>E89/'LEVEL 3'!$B$8</f>
        <v>0.25472644926613308</v>
      </c>
      <c r="X89" s="193"/>
      <c r="Y89" s="194"/>
      <c r="Z89" s="197">
        <f>H89/('Scenario 1 - Phase 1'!$B$8+'LEVEL 3'!$B$8)</f>
        <v>0.31927714309925881</v>
      </c>
      <c r="AA89" s="1"/>
    </row>
    <row r="90" spans="1:27" hidden="1">
      <c r="A90" s="37" t="s">
        <v>184</v>
      </c>
      <c r="B90" s="83">
        <f>'Scenario 1 - Phase 1'!K105</f>
        <v>27413</v>
      </c>
      <c r="C90" s="1"/>
      <c r="E90" s="83">
        <f>'LEVEL 3'!K105</f>
        <v>15326</v>
      </c>
      <c r="F90" s="1"/>
      <c r="H90" s="83">
        <f t="shared" si="7"/>
        <v>42739</v>
      </c>
      <c r="I90" s="1"/>
      <c r="K90" s="83">
        <f>B90/'Scenario 1 - Phase 1'!$E$8</f>
        <v>79</v>
      </c>
      <c r="L90" s="1"/>
      <c r="N90" s="83">
        <f>E90/'LEVEL 3'!$E$8</f>
        <v>79</v>
      </c>
      <c r="O90" s="1"/>
      <c r="Q90" s="83">
        <f>H90/('Scenario 1 - Phase 1'!$E$8+'LEVEL 3'!$E$8)</f>
        <v>79</v>
      </c>
      <c r="R90" s="1"/>
      <c r="T90" s="197">
        <f>B90/'Scenario 1 - Phase 1'!$B$8</f>
        <v>8.8104466770799181E-2</v>
      </c>
      <c r="U90" s="193"/>
      <c r="V90" s="194"/>
      <c r="W90" s="197">
        <f>E90/'LEVEL 3'!$B$8</f>
        <v>7.8078751229055124E-2</v>
      </c>
      <c r="X90" s="193"/>
      <c r="Y90" s="194"/>
      <c r="Z90" s="197">
        <f>H90/('Scenario 1 - Phase 1'!$B$8+'LEVEL 3'!$B$8)</f>
        <v>8.4226229773112005E-2</v>
      </c>
      <c r="AA90" s="1"/>
    </row>
    <row r="91" spans="1:27" hidden="1">
      <c r="A91" s="37" t="s">
        <v>275</v>
      </c>
      <c r="B91" s="83">
        <f>'Scenario 1 - Phase 1'!K106</f>
        <v>34225.620000000003</v>
      </c>
      <c r="C91" s="1"/>
      <c r="E91" s="83">
        <f>'LEVEL 3'!K106</f>
        <v>10000</v>
      </c>
      <c r="F91" s="1"/>
      <c r="H91" s="83">
        <f t="shared" si="7"/>
        <v>44225.62</v>
      </c>
      <c r="I91" s="1"/>
      <c r="K91" s="83">
        <f>B91/'Scenario 1 - Phase 1'!$E$8</f>
        <v>98.632910662824216</v>
      </c>
      <c r="L91" s="1"/>
      <c r="N91" s="83">
        <f>E91/'LEVEL 3'!$E$8</f>
        <v>51.546391752577321</v>
      </c>
      <c r="O91" s="1"/>
      <c r="Q91" s="83">
        <f>H91/('Scenario 1 - Phase 1'!$E$8+'LEVEL 3'!$E$8)</f>
        <v>81.747911275415902</v>
      </c>
      <c r="R91" s="1"/>
      <c r="T91" s="197">
        <f>B91/'Scenario 1 - Phase 1'!$B$8</f>
        <v>0.11000000000000001</v>
      </c>
      <c r="U91" s="193"/>
      <c r="V91" s="194"/>
      <c r="W91" s="197">
        <f>E91/'LEVEL 3'!$B$8</f>
        <v>5.0945289853226619E-2</v>
      </c>
      <c r="X91" s="193"/>
      <c r="Y91" s="194"/>
      <c r="Z91" s="197">
        <f>H91/('Scenario 1 - Phase 1'!$B$8+'LEVEL 3'!$B$8)</f>
        <v>8.7155928589305737E-2</v>
      </c>
      <c r="AA91" s="1"/>
    </row>
    <row r="92" spans="1:27">
      <c r="A92" s="37" t="s">
        <v>58</v>
      </c>
      <c r="B92" s="83">
        <f>'Scenario 1 - Phase 1'!K107</f>
        <v>637587.68606224644</v>
      </c>
      <c r="C92" s="1"/>
      <c r="E92" s="83">
        <f>'LEVEL 3'!K107</f>
        <v>482655.68</v>
      </c>
      <c r="F92" s="1"/>
      <c r="H92" s="83">
        <f t="shared" si="7"/>
        <v>1120243.3660622465</v>
      </c>
      <c r="I92" s="1"/>
      <c r="K92" s="83">
        <f>B92/'Scenario 1 - Phase 1'!$E$8</f>
        <v>1837.4284900929292</v>
      </c>
      <c r="L92" s="1"/>
      <c r="N92" s="83">
        <f>E92/'LEVEL 3'!$E$8</f>
        <v>2487.9158762886595</v>
      </c>
      <c r="O92" s="1"/>
      <c r="Q92" s="83">
        <f>H92/('Scenario 1 - Phase 1'!$E$8+'LEVEL 3'!$E$8)</f>
        <v>2070.6901405956496</v>
      </c>
      <c r="R92" s="1"/>
      <c r="T92" s="197">
        <f>B92/'Scenario 1 - Phase 1'!$B$8</f>
        <v>2.0491855360647113</v>
      </c>
      <c r="U92" s="193"/>
      <c r="V92" s="194"/>
      <c r="W92" s="197">
        <f>E92/'LEVEL 3'!$B$8</f>
        <v>2.4589033516906196</v>
      </c>
      <c r="X92" s="193"/>
      <c r="Y92" s="194"/>
      <c r="Z92" s="197">
        <f>H92/('Scenario 1 - Phase 1'!$B$8+'LEVEL 3'!$B$8)</f>
        <v>2.2076762477307192</v>
      </c>
      <c r="AA92" s="1"/>
    </row>
    <row r="93" spans="1:27" hidden="1">
      <c r="A93" s="37" t="s">
        <v>280</v>
      </c>
      <c r="B93" s="83">
        <f>'Scenario 1 - Phase 1'!K108</f>
        <v>6000</v>
      </c>
      <c r="C93" s="1"/>
      <c r="E93" s="83">
        <f>'LEVEL 3'!K108</f>
        <v>6000</v>
      </c>
      <c r="F93" s="1"/>
      <c r="H93" s="83">
        <f t="shared" si="7"/>
        <v>12000</v>
      </c>
      <c r="I93" s="1"/>
      <c r="K93" s="83">
        <f>B93/'Scenario 1 - Phase 1'!$E$8</f>
        <v>17.291066282420751</v>
      </c>
      <c r="L93" s="1"/>
      <c r="N93" s="83">
        <f>E93/'LEVEL 3'!$E$8</f>
        <v>30.927835051546392</v>
      </c>
      <c r="O93" s="1"/>
      <c r="Q93" s="83">
        <f>H93/('Scenario 1 - Phase 1'!$E$8+'LEVEL 3'!$E$8)</f>
        <v>22.181146025878004</v>
      </c>
      <c r="R93" s="1"/>
      <c r="T93" s="197">
        <f>B93/'Scenario 1 - Phase 1'!$B$8</f>
        <v>1.9283799679888924E-2</v>
      </c>
      <c r="U93" s="193"/>
      <c r="V93" s="194"/>
      <c r="W93" s="197">
        <f>E93/'LEVEL 3'!$B$8</f>
        <v>3.0567173911935971E-2</v>
      </c>
      <c r="X93" s="193"/>
      <c r="Y93" s="194"/>
      <c r="Z93" s="197">
        <f>H93/('Scenario 1 - Phase 1'!$B$8+'LEVEL 3'!$B$8)</f>
        <v>2.3648535465905708E-2</v>
      </c>
      <c r="AA93" s="1"/>
    </row>
    <row r="94" spans="1:27" hidden="1">
      <c r="A94" s="37" t="s">
        <v>282</v>
      </c>
      <c r="B94" s="83">
        <f>'Scenario 1 - Phase 1'!K109</f>
        <v>0</v>
      </c>
      <c r="C94" s="1"/>
      <c r="E94" s="83">
        <f>'LEVEL 3'!K109</f>
        <v>0</v>
      </c>
      <c r="F94" s="1"/>
      <c r="H94" s="83">
        <f t="shared" si="7"/>
        <v>0</v>
      </c>
      <c r="I94" s="1"/>
      <c r="K94" s="83">
        <f>B94/'Scenario 1 - Phase 1'!$E$8</f>
        <v>0</v>
      </c>
      <c r="L94" s="1"/>
      <c r="N94" s="83">
        <f>E94/'LEVEL 3'!$E$8</f>
        <v>0</v>
      </c>
      <c r="O94" s="1"/>
      <c r="Q94" s="83">
        <f>H94/('Scenario 1 - Phase 1'!$E$8+'LEVEL 3'!$E$8)</f>
        <v>0</v>
      </c>
      <c r="R94" s="1"/>
      <c r="T94" s="197">
        <f>B94/'Scenario 1 - Phase 1'!$B$8</f>
        <v>0</v>
      </c>
      <c r="U94" s="193"/>
      <c r="V94" s="194"/>
      <c r="W94" s="197">
        <f>E94/'LEVEL 3'!$B$8</f>
        <v>0</v>
      </c>
      <c r="X94" s="193"/>
      <c r="Y94" s="194"/>
      <c r="Z94" s="197">
        <f>H94/('Scenario 1 - Phase 1'!$B$8+'LEVEL 3'!$B$8)</f>
        <v>0</v>
      </c>
      <c r="AA94" s="1"/>
    </row>
    <row r="95" spans="1:27" hidden="1">
      <c r="A95" s="37" t="s">
        <v>284</v>
      </c>
      <c r="B95" s="83">
        <f>'Scenario 1 - Phase 1'!K110</f>
        <v>4000</v>
      </c>
      <c r="C95" s="1"/>
      <c r="E95" s="83">
        <f>'LEVEL 3'!K110</f>
        <v>2000</v>
      </c>
      <c r="F95" s="1"/>
      <c r="H95" s="83">
        <f t="shared" si="7"/>
        <v>6000</v>
      </c>
      <c r="I95" s="1"/>
      <c r="K95" s="83">
        <f>B95/'Scenario 1 - Phase 1'!$E$8</f>
        <v>11.527377521613833</v>
      </c>
      <c r="L95" s="1"/>
      <c r="N95" s="83">
        <f>E95/'LEVEL 3'!$E$8</f>
        <v>10.309278350515465</v>
      </c>
      <c r="O95" s="1"/>
      <c r="Q95" s="83">
        <f>H95/('Scenario 1 - Phase 1'!$E$8+'LEVEL 3'!$E$8)</f>
        <v>11.090573012939002</v>
      </c>
      <c r="R95" s="1"/>
      <c r="T95" s="197">
        <f>B95/'Scenario 1 - Phase 1'!$B$8</f>
        <v>1.2855866453259283E-2</v>
      </c>
      <c r="U95" s="193"/>
      <c r="V95" s="194"/>
      <c r="W95" s="197">
        <f>E95/'LEVEL 3'!$B$8</f>
        <v>1.0189057970645324E-2</v>
      </c>
      <c r="X95" s="193"/>
      <c r="Y95" s="194"/>
      <c r="Z95" s="197">
        <f>H95/('Scenario 1 - Phase 1'!$B$8+'LEVEL 3'!$B$8)</f>
        <v>1.1824267732952854E-2</v>
      </c>
      <c r="AA95" s="1"/>
    </row>
    <row r="96" spans="1:27" hidden="1">
      <c r="A96" s="37" t="s">
        <v>286</v>
      </c>
      <c r="B96" s="83">
        <f>'Scenario 1 - Phase 1'!K111</f>
        <v>0</v>
      </c>
      <c r="C96" s="1"/>
      <c r="E96" s="83">
        <f>'LEVEL 3'!K111</f>
        <v>0</v>
      </c>
      <c r="F96" s="1"/>
      <c r="H96" s="83">
        <f t="shared" si="7"/>
        <v>0</v>
      </c>
      <c r="I96" s="1"/>
      <c r="K96" s="83">
        <f>B96/'Scenario 1 - Phase 1'!$E$8</f>
        <v>0</v>
      </c>
      <c r="L96" s="1"/>
      <c r="N96" s="83">
        <f>E96/'LEVEL 3'!$E$8</f>
        <v>0</v>
      </c>
      <c r="O96" s="1"/>
      <c r="Q96" s="83">
        <f>H96/('Scenario 1 - Phase 1'!$E$8+'LEVEL 3'!$E$8)</f>
        <v>0</v>
      </c>
      <c r="R96" s="1"/>
      <c r="T96" s="197">
        <f>B96/'Scenario 1 - Phase 1'!$B$8</f>
        <v>0</v>
      </c>
      <c r="U96" s="193"/>
      <c r="V96" s="194"/>
      <c r="W96" s="197">
        <f>E96/'LEVEL 3'!$B$8</f>
        <v>0</v>
      </c>
      <c r="X96" s="193"/>
      <c r="Y96" s="194"/>
      <c r="Z96" s="197">
        <f>H96/('Scenario 1 - Phase 1'!$B$8+'LEVEL 3'!$B$8)</f>
        <v>0</v>
      </c>
      <c r="AA96" s="1"/>
    </row>
    <row r="97" spans="1:27" hidden="1">
      <c r="A97" s="37" t="s">
        <v>288</v>
      </c>
      <c r="B97" s="83">
        <f>'Scenario 1 - Phase 1'!K112</f>
        <v>0</v>
      </c>
      <c r="C97" s="1"/>
      <c r="E97" s="83">
        <f>'LEVEL 3'!K112</f>
        <v>5000</v>
      </c>
      <c r="F97" s="1"/>
      <c r="H97" s="83">
        <f t="shared" si="7"/>
        <v>5000</v>
      </c>
      <c r="I97" s="1"/>
      <c r="K97" s="83">
        <f>B97/'Scenario 1 - Phase 1'!$E$8</f>
        <v>0</v>
      </c>
      <c r="L97" s="1"/>
      <c r="N97" s="83">
        <f>E97/'LEVEL 3'!$E$8</f>
        <v>25.773195876288661</v>
      </c>
      <c r="O97" s="1"/>
      <c r="Q97" s="83">
        <f>H97/('Scenario 1 - Phase 1'!$E$8+'LEVEL 3'!$E$8)</f>
        <v>9.2421441774491679</v>
      </c>
      <c r="R97" s="1"/>
      <c r="T97" s="197">
        <f>B97/'Scenario 1 - Phase 1'!$B$8</f>
        <v>0</v>
      </c>
      <c r="U97" s="193"/>
      <c r="V97" s="194"/>
      <c r="W97" s="197">
        <f>E97/'LEVEL 3'!$B$8</f>
        <v>2.547264492661331E-2</v>
      </c>
      <c r="X97" s="193"/>
      <c r="Y97" s="194"/>
      <c r="Z97" s="197">
        <f>H97/('Scenario 1 - Phase 1'!$B$8+'LEVEL 3'!$B$8)</f>
        <v>9.8535564441273784E-3</v>
      </c>
      <c r="AA97" s="1"/>
    </row>
    <row r="98" spans="1:27" hidden="1">
      <c r="A98" s="37" t="s">
        <v>290</v>
      </c>
      <c r="B98" s="83">
        <f>'Scenario 1 - Phase 1'!K113</f>
        <v>4500</v>
      </c>
      <c r="C98" s="1"/>
      <c r="E98" s="83">
        <f>'LEVEL 3'!K113</f>
        <v>1500</v>
      </c>
      <c r="F98" s="1"/>
      <c r="H98" s="83">
        <f t="shared" si="7"/>
        <v>6000</v>
      </c>
      <c r="I98" s="1"/>
      <c r="K98" s="83">
        <f>B98/'Scenario 1 - Phase 1'!$E$8</f>
        <v>12.968299711815561</v>
      </c>
      <c r="L98" s="1"/>
      <c r="N98" s="83">
        <f>E98/'LEVEL 3'!$E$8</f>
        <v>7.731958762886598</v>
      </c>
      <c r="O98" s="1"/>
      <c r="Q98" s="83">
        <f>H98/('Scenario 1 - Phase 1'!$E$8+'LEVEL 3'!$E$8)</f>
        <v>11.090573012939002</v>
      </c>
      <c r="R98" s="1"/>
      <c r="T98" s="197">
        <f>B98/'Scenario 1 - Phase 1'!$B$8</f>
        <v>1.4462849759916694E-2</v>
      </c>
      <c r="U98" s="193"/>
      <c r="V98" s="194"/>
      <c r="W98" s="197">
        <f>E98/'LEVEL 3'!$B$8</f>
        <v>7.6417934779839927E-3</v>
      </c>
      <c r="X98" s="193"/>
      <c r="Y98" s="194"/>
      <c r="Z98" s="197">
        <f>H98/('Scenario 1 - Phase 1'!$B$8+'LEVEL 3'!$B$8)</f>
        <v>1.1824267732952854E-2</v>
      </c>
      <c r="AA98" s="1"/>
    </row>
    <row r="99" spans="1:27">
      <c r="A99" s="37" t="s">
        <v>292</v>
      </c>
      <c r="B99" s="83">
        <f>'Scenario 1 - Phase 1'!K114</f>
        <v>2495358.84</v>
      </c>
      <c r="C99" s="1"/>
      <c r="E99" s="83">
        <f>'LEVEL 3'!K114</f>
        <v>1570737.78</v>
      </c>
      <c r="F99" s="1"/>
      <c r="H99" s="83">
        <f t="shared" si="7"/>
        <v>4066096.62</v>
      </c>
      <c r="I99" s="1"/>
      <c r="K99" s="83">
        <f>B99/'Scenario 1 - Phase 1'!$E$8</f>
        <v>7191.2358501440922</v>
      </c>
      <c r="L99" s="1"/>
      <c r="N99" s="83">
        <f>E99/'LEVEL 3'!$E$8</f>
        <v>8096.5864948453609</v>
      </c>
      <c r="O99" s="1"/>
      <c r="Q99" s="83">
        <f>H99/('Scenario 1 - Phase 1'!$E$8+'LEVEL 3'!$E$8)</f>
        <v>7515.8902402957492</v>
      </c>
      <c r="R99" s="1"/>
      <c r="T99" s="197">
        <f>B99/'Scenario 1 - Phase 1'!$B$8</f>
        <v>8.02</v>
      </c>
      <c r="U99" s="193"/>
      <c r="V99" s="194"/>
      <c r="W99" s="197">
        <f>E99/'LEVEL 3'!$B$8</f>
        <v>8.0021691485513706</v>
      </c>
      <c r="X99" s="193"/>
      <c r="Y99" s="194"/>
      <c r="Z99" s="197">
        <f>H99/('Scenario 1 - Phase 1'!$B$8+'LEVEL 3'!$B$8)</f>
        <v>8.0131025104891105</v>
      </c>
      <c r="AA99" s="1"/>
    </row>
    <row r="100" spans="1:27" hidden="1">
      <c r="A100" s="37" t="s">
        <v>294</v>
      </c>
      <c r="B100" s="83">
        <f>'Scenario 1 - Phase 1'!K115</f>
        <v>29495</v>
      </c>
      <c r="C100" s="1"/>
      <c r="E100" s="83">
        <f>'LEVEL 3'!K116</f>
        <v>16490</v>
      </c>
      <c r="F100" s="1"/>
      <c r="H100" s="83">
        <f t="shared" si="7"/>
        <v>45985</v>
      </c>
      <c r="I100" s="1"/>
      <c r="K100" s="83">
        <f>B100/'Scenario 1 - Phase 1'!$E$8</f>
        <v>85</v>
      </c>
      <c r="L100" s="1"/>
      <c r="N100" s="83">
        <f>E100/'LEVEL 3'!$E$8</f>
        <v>85</v>
      </c>
      <c r="O100" s="1"/>
      <c r="Q100" s="83">
        <f>H100/('Scenario 1 - Phase 1'!$E$8+'LEVEL 3'!$E$8)</f>
        <v>85</v>
      </c>
      <c r="R100" s="1"/>
      <c r="T100" s="197">
        <f>B100/'Scenario 1 - Phase 1'!$B$8</f>
        <v>9.479594525972064E-2</v>
      </c>
      <c r="U100" s="193"/>
      <c r="V100" s="194"/>
      <c r="W100" s="197">
        <f>E100/'LEVEL 3'!$B$8</f>
        <v>8.4008782967970694E-2</v>
      </c>
      <c r="X100" s="193"/>
      <c r="Y100" s="194"/>
      <c r="Z100" s="197">
        <f>H100/('Scenario 1 - Phase 1'!$B$8+'LEVEL 3'!$B$8)</f>
        <v>9.0623158616639499E-2</v>
      </c>
      <c r="AA100" s="1"/>
    </row>
    <row r="101" spans="1:27" hidden="1">
      <c r="A101" s="37" t="s">
        <v>296</v>
      </c>
      <c r="B101" s="83">
        <f>'Scenario 1 - Phase 1'!K116</f>
        <v>0</v>
      </c>
      <c r="C101" s="1"/>
      <c r="E101" s="83">
        <f>'LEVEL 3'!K117</f>
        <v>0</v>
      </c>
      <c r="F101" s="1"/>
      <c r="H101" s="83">
        <f t="shared" si="7"/>
        <v>0</v>
      </c>
      <c r="I101" s="1"/>
      <c r="K101" s="83">
        <f>B101/'Scenario 1 - Phase 1'!$E$8</f>
        <v>0</v>
      </c>
      <c r="L101" s="1"/>
      <c r="N101" s="83">
        <f>E101/'LEVEL 3'!$E$8</f>
        <v>0</v>
      </c>
      <c r="O101" s="1"/>
      <c r="Q101" s="83">
        <f>H101/('Scenario 1 - Phase 1'!$E$8+'LEVEL 3'!$E$8)</f>
        <v>0</v>
      </c>
      <c r="R101" s="1"/>
      <c r="T101" s="197">
        <f>B101/'Scenario 1 - Phase 1'!$B$8</f>
        <v>0</v>
      </c>
      <c r="U101" s="193"/>
      <c r="V101" s="194"/>
      <c r="W101" s="197">
        <f>E101/'LEVEL 3'!$B$8</f>
        <v>0</v>
      </c>
      <c r="X101" s="193"/>
      <c r="Y101" s="194"/>
      <c r="Z101" s="197">
        <f>H101/('Scenario 1 - Phase 1'!$B$8+'LEVEL 3'!$B$8)</f>
        <v>0</v>
      </c>
      <c r="AA101" s="1"/>
    </row>
    <row r="102" spans="1:27" hidden="1">
      <c r="A102" s="37" t="s">
        <v>298</v>
      </c>
      <c r="B102" s="83">
        <f>'Scenario 1 - Phase 1'!K117</f>
        <v>51573</v>
      </c>
      <c r="C102" s="1"/>
      <c r="E102" s="83">
        <f>'LEVEL 3'!K118</f>
        <v>67657</v>
      </c>
      <c r="F102" s="1"/>
      <c r="H102" s="83">
        <f t="shared" si="7"/>
        <v>119230</v>
      </c>
      <c r="I102" s="1"/>
      <c r="K102" s="83">
        <f>B102/'Scenario 1 - Phase 1'!$E$8</f>
        <v>148.62536023054756</v>
      </c>
      <c r="L102" s="1"/>
      <c r="N102" s="83">
        <f>E102/'LEVEL 3'!$E$8</f>
        <v>348.7474226804124</v>
      </c>
      <c r="O102" s="1"/>
      <c r="Q102" s="83">
        <f>H102/('Scenario 1 - Phase 1'!$E$8+'LEVEL 3'!$E$8)</f>
        <v>220.38817005545286</v>
      </c>
      <c r="R102" s="1"/>
      <c r="T102" s="197">
        <f>B102/'Scenario 1 - Phase 1'!$B$8</f>
        <v>0.16575390014848526</v>
      </c>
      <c r="U102" s="193"/>
      <c r="V102" s="194"/>
      <c r="W102" s="197">
        <f>E102/'LEVEL 3'!$B$8</f>
        <v>0.34468054755997535</v>
      </c>
      <c r="X102" s="193"/>
      <c r="Y102" s="194"/>
      <c r="Z102" s="197">
        <f>H102/('Scenario 1 - Phase 1'!$B$8+'LEVEL 3'!$B$8)</f>
        <v>0.23496790696666148</v>
      </c>
      <c r="AA102" s="1"/>
    </row>
    <row r="103" spans="1:27" hidden="1">
      <c r="A103" s="37" t="s">
        <v>300</v>
      </c>
      <c r="B103" s="83">
        <f>'Scenario 1 - Phase 1'!K118</f>
        <v>0</v>
      </c>
      <c r="C103" s="1"/>
      <c r="E103" s="83">
        <f>'LEVEL 3'!K119</f>
        <v>0</v>
      </c>
      <c r="F103" s="1"/>
      <c r="H103" s="83">
        <f t="shared" si="7"/>
        <v>0</v>
      </c>
      <c r="I103" s="1"/>
      <c r="K103" s="83">
        <f>B103/'Scenario 1 - Phase 1'!$E$8</f>
        <v>0</v>
      </c>
      <c r="L103" s="1"/>
      <c r="N103" s="83">
        <f>E103/'LEVEL 3'!$E$8</f>
        <v>0</v>
      </c>
      <c r="O103" s="1"/>
      <c r="Q103" s="83">
        <f>H103/('Scenario 1 - Phase 1'!$E$8+'LEVEL 3'!$E$8)</f>
        <v>0</v>
      </c>
      <c r="R103" s="1"/>
      <c r="T103" s="197">
        <f>B103/'Scenario 1 - Phase 1'!$B$8</f>
        <v>0</v>
      </c>
      <c r="U103" s="193"/>
      <c r="V103" s="194"/>
      <c r="W103" s="197">
        <f>E103/'LEVEL 3'!$B$8</f>
        <v>0</v>
      </c>
      <c r="X103" s="193"/>
      <c r="Y103" s="194"/>
      <c r="Z103" s="197">
        <f>H103/('Scenario 1 - Phase 1'!$B$8+'LEVEL 3'!$B$8)</f>
        <v>0</v>
      </c>
      <c r="AA103" s="1"/>
    </row>
    <row r="104" spans="1:27" hidden="1">
      <c r="A104" s="37" t="s">
        <v>302</v>
      </c>
      <c r="B104" s="83">
        <f>'Scenario 1 - Phase 1'!K119</f>
        <v>0</v>
      </c>
      <c r="C104" s="1"/>
      <c r="E104" s="83">
        <f>'LEVEL 3'!K120</f>
        <v>0</v>
      </c>
      <c r="F104" s="1"/>
      <c r="H104" s="83">
        <f t="shared" si="7"/>
        <v>0</v>
      </c>
      <c r="I104" s="1"/>
      <c r="K104" s="83">
        <f>B104/'Scenario 1 - Phase 1'!$E$8</f>
        <v>0</v>
      </c>
      <c r="L104" s="1"/>
      <c r="N104" s="83">
        <f>E104/'LEVEL 3'!$E$8</f>
        <v>0</v>
      </c>
      <c r="O104" s="1"/>
      <c r="Q104" s="83">
        <f>H104/('Scenario 1 - Phase 1'!$E$8+'LEVEL 3'!$E$8)</f>
        <v>0</v>
      </c>
      <c r="R104" s="1"/>
      <c r="T104" s="197">
        <f>B104/'Scenario 1 - Phase 1'!$B$8</f>
        <v>0</v>
      </c>
      <c r="U104" s="193"/>
      <c r="V104" s="194"/>
      <c r="W104" s="197">
        <f>E104/'LEVEL 3'!$B$8</f>
        <v>0</v>
      </c>
      <c r="X104" s="193"/>
      <c r="Y104" s="194"/>
      <c r="Z104" s="197">
        <f>H104/('Scenario 1 - Phase 1'!$B$8+'LEVEL 3'!$B$8)</f>
        <v>0</v>
      </c>
      <c r="AA104" s="1"/>
    </row>
    <row r="105" spans="1:27">
      <c r="A105" s="37" t="s">
        <v>304</v>
      </c>
      <c r="B105" s="83">
        <f>'Scenario 1 - Phase 1'!K120</f>
        <v>490500.39</v>
      </c>
      <c r="C105" s="1"/>
      <c r="E105" s="83">
        <f>'LEVEL 3'!K121</f>
        <v>305547.12</v>
      </c>
      <c r="F105" s="1"/>
      <c r="H105" s="83">
        <f t="shared" si="7"/>
        <v>796047.51</v>
      </c>
      <c r="I105" s="1"/>
      <c r="K105" s="83">
        <f>B105/'Scenario 1 - Phase 1'!$E$8</f>
        <v>1413.5457925072046</v>
      </c>
      <c r="L105" s="1"/>
      <c r="N105" s="83">
        <f>E105/'LEVEL 3'!$E$8</f>
        <v>1574.9851546391753</v>
      </c>
      <c r="O105" s="1"/>
      <c r="Q105" s="83">
        <f>H105/('Scenario 1 - Phase 1'!$E$8+'LEVEL 3'!$E$8)</f>
        <v>1471.4371719038818</v>
      </c>
      <c r="R105" s="1"/>
      <c r="T105" s="197">
        <f>B105/'Scenario 1 - Phase 1'!$B$8</f>
        <v>1.5764518772778988</v>
      </c>
      <c r="U105" s="193"/>
      <c r="V105" s="194"/>
      <c r="W105" s="197">
        <f>E105/'LEVEL 3'!$B$8</f>
        <v>1.5566186592218616</v>
      </c>
      <c r="X105" s="193"/>
      <c r="Y105" s="194"/>
      <c r="Z105" s="197">
        <f>H105/('Scenario 1 - Phase 1'!$B$8+'LEVEL 3'!$B$8)</f>
        <v>1.5687798143984109</v>
      </c>
      <c r="AA105" s="1"/>
    </row>
    <row r="106" spans="1:27" hidden="1">
      <c r="A106" s="37" t="s">
        <v>307</v>
      </c>
      <c r="B106" s="83">
        <f>'Scenario 1 - Phase 1'!K121</f>
        <v>60368</v>
      </c>
      <c r="C106" s="1"/>
      <c r="E106" s="83">
        <f>'LEVEL 3'!K122</f>
        <v>0</v>
      </c>
      <c r="F106" s="1"/>
      <c r="H106" s="83">
        <f t="shared" si="7"/>
        <v>60368</v>
      </c>
      <c r="I106" s="1"/>
      <c r="K106" s="83">
        <f>B106/'Scenario 1 - Phase 1'!$E$8</f>
        <v>173.97118155619597</v>
      </c>
      <c r="L106" s="1"/>
      <c r="N106" s="83">
        <f>E106/'LEVEL 3'!$E$8</f>
        <v>0</v>
      </c>
      <c r="O106" s="1"/>
      <c r="Q106" s="83">
        <f>H106/('Scenario 1 - Phase 1'!$E$8+'LEVEL 3'!$E$8)</f>
        <v>111.58595194085028</v>
      </c>
      <c r="R106" s="1"/>
      <c r="T106" s="197">
        <f>B106/'Scenario 1 - Phase 1'!$B$8</f>
        <v>0.19402073651258911</v>
      </c>
      <c r="U106" s="193"/>
      <c r="V106" s="194"/>
      <c r="W106" s="197">
        <f>E106/'LEVEL 3'!$B$8</f>
        <v>0</v>
      </c>
      <c r="X106" s="193"/>
      <c r="Y106" s="194"/>
      <c r="Z106" s="197">
        <f>H106/('Scenario 1 - Phase 1'!$B$8+'LEVEL 3'!$B$8)</f>
        <v>0.11896789908381632</v>
      </c>
      <c r="AA106" s="1"/>
    </row>
    <row r="107" spans="1:27" hidden="1">
      <c r="A107" s="37" t="s">
        <v>309</v>
      </c>
      <c r="B107" s="83">
        <f>'Scenario 1 - Phase 1'!K122</f>
        <v>3988</v>
      </c>
      <c r="C107" s="1"/>
      <c r="E107" s="83">
        <f>'LEVEL 3'!K123</f>
        <v>0</v>
      </c>
      <c r="F107" s="1"/>
      <c r="H107" s="83">
        <f t="shared" si="7"/>
        <v>3988</v>
      </c>
      <c r="I107" s="1"/>
      <c r="K107" s="83">
        <f>B107/'Scenario 1 - Phase 1'!$E$8</f>
        <v>11.492795389048991</v>
      </c>
      <c r="L107" s="1"/>
      <c r="N107" s="83">
        <f>E107/'LEVEL 3'!$E$8</f>
        <v>0</v>
      </c>
      <c r="O107" s="1"/>
      <c r="Q107" s="83">
        <f>H107/('Scenario 1 - Phase 1'!$E$8+'LEVEL 3'!$E$8)</f>
        <v>7.3715341959334566</v>
      </c>
      <c r="R107" s="1"/>
      <c r="T107" s="197">
        <f>B107/'Scenario 1 - Phase 1'!$B$8</f>
        <v>1.2817298853899506E-2</v>
      </c>
      <c r="U107" s="193"/>
      <c r="V107" s="194"/>
      <c r="W107" s="197">
        <f>E107/'LEVEL 3'!$B$8</f>
        <v>0</v>
      </c>
      <c r="X107" s="193"/>
      <c r="Y107" s="194"/>
      <c r="Z107" s="197">
        <f>H107/('Scenario 1 - Phase 1'!$B$8+'LEVEL 3'!$B$8)</f>
        <v>7.8591966198359973E-3</v>
      </c>
      <c r="AA107" s="1"/>
    </row>
    <row r="108" spans="1:27">
      <c r="A108" s="37" t="s">
        <v>311</v>
      </c>
      <c r="B108" s="83">
        <f>'Scenario 1 - Phase 1'!K123</f>
        <v>155571</v>
      </c>
      <c r="C108" s="1"/>
      <c r="E108" s="83">
        <f>'LEVEL 3'!K124</f>
        <v>72626.929999999993</v>
      </c>
      <c r="F108" s="1"/>
      <c r="H108" s="83">
        <f t="shared" si="7"/>
        <v>228197.93</v>
      </c>
      <c r="I108" s="1"/>
      <c r="K108" s="83">
        <f>B108/'Scenario 1 - Phase 1'!$E$8</f>
        <v>448.3314121037464</v>
      </c>
      <c r="L108" s="1"/>
      <c r="N108" s="83">
        <f>E108/'LEVEL 3'!$E$8</f>
        <v>374.36561855670101</v>
      </c>
      <c r="O108" s="1"/>
      <c r="Q108" s="83">
        <f>H108/('Scenario 1 - Phase 1'!$E$8+'LEVEL 3'!$E$8)</f>
        <v>421.80763401109056</v>
      </c>
      <c r="R108" s="1"/>
      <c r="T108" s="197">
        <f>B108/'Scenario 1 - Phase 1'!$B$8</f>
        <v>0.5</v>
      </c>
      <c r="U108" s="193"/>
      <c r="V108" s="194"/>
      <c r="W108" s="197">
        <f>E108/'LEVEL 3'!$B$8</f>
        <v>0.36999999999999994</v>
      </c>
      <c r="X108" s="193"/>
      <c r="Y108" s="194"/>
      <c r="Z108" s="197">
        <f>H108/('Scenario 1 - Phase 1'!$B$8+'LEVEL 3'!$B$8)</f>
        <v>0.44971223673760569</v>
      </c>
      <c r="AA108" s="1"/>
    </row>
    <row r="109" spans="1:27" hidden="1">
      <c r="A109" s="37" t="s">
        <v>313</v>
      </c>
      <c r="B109" s="83">
        <f>'Scenario 1 - Phase 1'!K124</f>
        <v>6000</v>
      </c>
      <c r="C109" s="1"/>
      <c r="E109" s="83">
        <f>'LEVEL 3'!K125</f>
        <v>1500</v>
      </c>
      <c r="F109" s="1"/>
      <c r="H109" s="83">
        <f t="shared" si="7"/>
        <v>7500</v>
      </c>
      <c r="I109" s="1"/>
      <c r="K109" s="83">
        <f>B109/'Scenario 1 - Phase 1'!$E$8</f>
        <v>17.291066282420751</v>
      </c>
      <c r="L109" s="1"/>
      <c r="N109" s="83">
        <f>E109/'LEVEL 3'!$E$8</f>
        <v>7.731958762886598</v>
      </c>
      <c r="O109" s="1"/>
      <c r="Q109" s="83">
        <f>H109/('Scenario 1 - Phase 1'!$E$8+'LEVEL 3'!$E$8)</f>
        <v>13.863216266173753</v>
      </c>
      <c r="R109" s="1"/>
      <c r="T109" s="197">
        <f>B109/'Scenario 1 - Phase 1'!$B$8</f>
        <v>1.9283799679888924E-2</v>
      </c>
      <c r="U109" s="193"/>
      <c r="V109" s="194"/>
      <c r="W109" s="197">
        <f>E109/'LEVEL 3'!$B$8</f>
        <v>7.6417934779839927E-3</v>
      </c>
      <c r="X109" s="193"/>
      <c r="Y109" s="194"/>
      <c r="Z109" s="197">
        <f>H109/('Scenario 1 - Phase 1'!$B$8+'LEVEL 3'!$B$8)</f>
        <v>1.4780334666191068E-2</v>
      </c>
      <c r="AA109" s="1"/>
    </row>
    <row r="110" spans="1:27" hidden="1">
      <c r="A110" s="37" t="s">
        <v>315</v>
      </c>
      <c r="B110" s="83">
        <f>'Scenario 1 - Phase 1'!K125</f>
        <v>28285.608078000001</v>
      </c>
      <c r="C110" s="1"/>
      <c r="E110" s="83">
        <f>'LEVEL 3'!K126</f>
        <v>0</v>
      </c>
      <c r="F110" s="1"/>
      <c r="H110" s="83">
        <f t="shared" si="7"/>
        <v>28285.608078000001</v>
      </c>
      <c r="I110" s="1"/>
      <c r="K110" s="83">
        <f>B110/'Scenario 1 - Phase 1'!$E$8</f>
        <v>81.51472068587897</v>
      </c>
      <c r="L110" s="1"/>
      <c r="N110" s="83">
        <f>E110/'LEVEL 3'!$E$8</f>
        <v>0</v>
      </c>
      <c r="O110" s="1"/>
      <c r="Q110" s="83">
        <f>H110/('Scenario 1 - Phase 1'!$E$8+'LEVEL 3'!$E$8)</f>
        <v>52.283933600739374</v>
      </c>
      <c r="R110" s="1"/>
      <c r="T110" s="197">
        <f>B110/'Scenario 1 - Phase 1'!$B$8</f>
        <v>9.0909000000000004E-2</v>
      </c>
      <c r="U110" s="193"/>
      <c r="V110" s="194"/>
      <c r="W110" s="197">
        <f>E110/'LEVEL 3'!$B$8</f>
        <v>0</v>
      </c>
      <c r="X110" s="193"/>
      <c r="Y110" s="194"/>
      <c r="Z110" s="197">
        <f>H110/('Scenario 1 - Phase 1'!$B$8+'LEVEL 3'!$B$8)</f>
        <v>5.5742767150607671E-2</v>
      </c>
      <c r="AA110" s="1"/>
    </row>
    <row r="111" spans="1:27" hidden="1">
      <c r="A111" s="37" t="s">
        <v>317</v>
      </c>
      <c r="B111" s="83">
        <f>'Scenario 1 - Phase 1'!K126</f>
        <v>56627.843999999997</v>
      </c>
      <c r="C111" s="1"/>
      <c r="E111" s="83">
        <f>'LEVEL 3'!K127</f>
        <v>0</v>
      </c>
      <c r="F111" s="1"/>
      <c r="H111" s="83">
        <f t="shared" si="7"/>
        <v>56627.843999999997</v>
      </c>
      <c r="I111" s="1"/>
      <c r="K111" s="83">
        <f>B111/'Scenario 1 - Phase 1'!$E$8</f>
        <v>163.19263400576369</v>
      </c>
      <c r="L111" s="1"/>
      <c r="N111" s="83">
        <f>E111/'LEVEL 3'!$E$8</f>
        <v>0</v>
      </c>
      <c r="O111" s="1"/>
      <c r="Q111" s="83">
        <f>H111/('Scenario 1 - Phase 1'!$E$8+'LEVEL 3'!$E$8)</f>
        <v>104.67253974121996</v>
      </c>
      <c r="R111" s="1"/>
      <c r="T111" s="197">
        <f>B111/'Scenario 1 - Phase 1'!$B$8</f>
        <v>0.182</v>
      </c>
      <c r="U111" s="193"/>
      <c r="V111" s="194"/>
      <c r="W111" s="197">
        <f>E111/'LEVEL 3'!$B$8</f>
        <v>0</v>
      </c>
      <c r="X111" s="193"/>
      <c r="Y111" s="194"/>
      <c r="Z111" s="197">
        <f>H111/('Scenario 1 - Phase 1'!$B$8+'LEVEL 3'!$B$8)</f>
        <v>0.11159713143264798</v>
      </c>
      <c r="AA111" s="1"/>
    </row>
    <row r="112" spans="1:27" hidden="1">
      <c r="A112" s="37" t="s">
        <v>319</v>
      </c>
      <c r="B112" s="83">
        <f>'Scenario 1 - Phase 1'!K127</f>
        <v>41366</v>
      </c>
      <c r="C112" s="1"/>
      <c r="E112" s="83">
        <f>'LEVEL 3'!K128</f>
        <v>21757.903265792611</v>
      </c>
      <c r="F112" s="1"/>
      <c r="H112" s="83">
        <f t="shared" si="7"/>
        <v>63123.903265792615</v>
      </c>
      <c r="I112" s="1"/>
      <c r="K112" s="83">
        <f>B112/'Scenario 1 - Phase 1'!$E$8</f>
        <v>119.21037463976946</v>
      </c>
      <c r="L112" s="1"/>
      <c r="N112" s="83">
        <f>E112/'LEVEL 3'!$E$8</f>
        <v>112.15414054532273</v>
      </c>
      <c r="O112" s="1"/>
      <c r="Q112" s="83">
        <f>H112/('Scenario 1 - Phase 1'!$E$8+'LEVEL 3'!$E$8)</f>
        <v>116.68004300516195</v>
      </c>
      <c r="R112" s="1"/>
      <c r="T112" s="197">
        <f>B112/'Scenario 1 - Phase 1'!$B$8</f>
        <v>0.13294894292638088</v>
      </c>
      <c r="U112" s="193"/>
      <c r="V112" s="194"/>
      <c r="W112" s="197">
        <f>E112/'LEVEL 3'!$B$8</f>
        <v>0.11084626884742706</v>
      </c>
      <c r="X112" s="193"/>
      <c r="Y112" s="194"/>
      <c r="Z112" s="197">
        <f>H112/('Scenario 1 - Phase 1'!$B$8+'LEVEL 3'!$B$8)</f>
        <v>0.12439898876062483</v>
      </c>
      <c r="AA112" s="1"/>
    </row>
    <row r="113" spans="1:27" hidden="1">
      <c r="A113" s="37" t="s">
        <v>322</v>
      </c>
      <c r="B113" s="83">
        <f>'Scenario 1 - Phase 1'!K128</f>
        <v>22620.023400000002</v>
      </c>
      <c r="C113" s="1"/>
      <c r="E113" s="83">
        <f>'LEVEL 3'!K129</f>
        <v>12937</v>
      </c>
      <c r="F113" s="1"/>
      <c r="H113" s="83">
        <f t="shared" si="7"/>
        <v>35557.023400000005</v>
      </c>
      <c r="I113" s="1"/>
      <c r="K113" s="83">
        <f>B113/'Scenario 1 - Phase 1'!$E$8</f>
        <v>65.187387319884735</v>
      </c>
      <c r="L113" s="1"/>
      <c r="N113" s="83">
        <f>E113/'LEVEL 3'!$E$8</f>
        <v>66.685567010309285</v>
      </c>
      <c r="O113" s="1"/>
      <c r="Q113" s="83">
        <f>H113/('Scenario 1 - Phase 1'!$E$8+'LEVEL 3'!$E$8)</f>
        <v>65.72462735674678</v>
      </c>
      <c r="R113" s="1"/>
      <c r="T113" s="197">
        <f>B113/'Scenario 1 - Phase 1'!$B$8</f>
        <v>7.2700000000000001E-2</v>
      </c>
      <c r="U113" s="193"/>
      <c r="V113" s="194"/>
      <c r="W113" s="197">
        <f>E113/'LEVEL 3'!$B$8</f>
        <v>6.5907921483119275E-2</v>
      </c>
      <c r="X113" s="193"/>
      <c r="Y113" s="194"/>
      <c r="Z113" s="197">
        <f>H113/('Scenario 1 - Phase 1'!$B$8+'LEVEL 3'!$B$8)</f>
        <v>7.0072627411411612E-2</v>
      </c>
      <c r="AA113" s="1"/>
    </row>
    <row r="114" spans="1:27" hidden="1">
      <c r="A114" s="37" t="s">
        <v>324</v>
      </c>
      <c r="B114" s="83">
        <f>'Scenario 1 - Phase 1'!K129</f>
        <v>9635.625</v>
      </c>
      <c r="C114" s="1"/>
      <c r="E114" s="83">
        <f>'LEVEL 3'!K130</f>
        <v>10051.777717426728</v>
      </c>
      <c r="F114" s="1"/>
      <c r="H114" s="83">
        <f t="shared" si="7"/>
        <v>19687.402717426728</v>
      </c>
      <c r="I114" s="1"/>
      <c r="K114" s="83">
        <f>B114/'Scenario 1 - Phase 1'!$E$8</f>
        <v>27.76837175792507</v>
      </c>
      <c r="L114" s="1"/>
      <c r="N114" s="83">
        <f>E114/'LEVEL 3'!$E$8</f>
        <v>51.813287203230558</v>
      </c>
      <c r="O114" s="1"/>
      <c r="Q114" s="83">
        <f>H114/('Scenario 1 - Phase 1'!$E$8+'LEVEL 3'!$E$8)</f>
        <v>36.390762878792472</v>
      </c>
      <c r="R114" s="1"/>
      <c r="T114" s="197">
        <f>B114/'Scenario 1 - Phase 1'!$B$8</f>
        <v>3.0968577048421621E-2</v>
      </c>
      <c r="U114" s="193"/>
      <c r="V114" s="194"/>
      <c r="W114" s="197">
        <f>E114/'LEVEL 3'!$B$8</f>
        <v>5.1209072935450933E-2</v>
      </c>
      <c r="X114" s="193"/>
      <c r="Y114" s="194"/>
      <c r="Z114" s="197">
        <f>H114/('Scenario 1 - Phase 1'!$B$8+'LEVEL 3'!$B$8)</f>
        <v>3.8798186782886206E-2</v>
      </c>
      <c r="AA114" s="1"/>
    </row>
    <row r="115" spans="1:27" hidden="1">
      <c r="A115" s="37" t="s">
        <v>327</v>
      </c>
      <c r="B115" s="83">
        <f>'Scenario 1 - Phase 1'!K130</f>
        <v>64237.5</v>
      </c>
      <c r="C115" s="1"/>
      <c r="E115" s="83">
        <f>'LEVEL 3'!K131</f>
        <v>58297.751971668804</v>
      </c>
      <c r="F115" s="1"/>
      <c r="H115" s="83">
        <f t="shared" si="7"/>
        <v>122535.2519716688</v>
      </c>
      <c r="I115" s="1"/>
      <c r="K115" s="83">
        <f>B115/'Scenario 1 - Phase 1'!$E$8</f>
        <v>185.12247838616716</v>
      </c>
      <c r="L115" s="1"/>
      <c r="N115" s="83">
        <f>E115/'LEVEL 3'!$E$8</f>
        <v>300.50387614262269</v>
      </c>
      <c r="O115" s="1"/>
      <c r="Q115" s="83">
        <f>H115/('Scenario 1 - Phase 1'!$E$8+'LEVEL 3'!$E$8)</f>
        <v>226.49769310844511</v>
      </c>
      <c r="R115" s="1"/>
      <c r="T115" s="197">
        <f>B115/'Scenario 1 - Phase 1'!$B$8</f>
        <v>0.2064571803228108</v>
      </c>
      <c r="U115" s="193"/>
      <c r="V115" s="194"/>
      <c r="W115" s="197">
        <f>E115/'LEVEL 3'!$B$8</f>
        <v>0.29699958719881808</v>
      </c>
      <c r="X115" s="193"/>
      <c r="Y115" s="194"/>
      <c r="Z115" s="197">
        <f>H115/('Scenario 1 - Phase 1'!$B$8+'LEVEL 3'!$B$8)</f>
        <v>0.24148160433964183</v>
      </c>
      <c r="AA115" s="1"/>
    </row>
    <row r="116" spans="1:27" hidden="1">
      <c r="A116" s="37" t="s">
        <v>329</v>
      </c>
      <c r="B116" s="83">
        <f>'Scenario 1 - Phase 1'!K131</f>
        <v>29495</v>
      </c>
      <c r="C116" s="1"/>
      <c r="E116" s="83">
        <f>'LEVEL 3'!K132</f>
        <v>10000</v>
      </c>
      <c r="F116" s="1"/>
      <c r="H116" s="83">
        <f t="shared" si="7"/>
        <v>39495</v>
      </c>
      <c r="I116" s="1"/>
      <c r="K116" s="83">
        <f>B116/'Scenario 1 - Phase 1'!$E$8</f>
        <v>85</v>
      </c>
      <c r="L116" s="1"/>
      <c r="N116" s="83">
        <f>E116/'LEVEL 3'!$E$8</f>
        <v>51.546391752577321</v>
      </c>
      <c r="O116" s="1"/>
      <c r="Q116" s="83">
        <f>H116/('Scenario 1 - Phase 1'!$E$8+'LEVEL 3'!$E$8)</f>
        <v>73.003696857670974</v>
      </c>
      <c r="R116" s="1"/>
      <c r="T116" s="197">
        <f>B116/'Scenario 1 - Phase 1'!$B$8</f>
        <v>9.479594525972064E-2</v>
      </c>
      <c r="U116" s="193"/>
      <c r="V116" s="194"/>
      <c r="W116" s="197">
        <f>E116/'LEVEL 3'!$B$8</f>
        <v>5.0945289853226619E-2</v>
      </c>
      <c r="X116" s="193"/>
      <c r="Y116" s="194"/>
      <c r="Z116" s="197">
        <f>H116/('Scenario 1 - Phase 1'!$B$8+'LEVEL 3'!$B$8)</f>
        <v>7.7833242352162171E-2</v>
      </c>
      <c r="AA116" s="1"/>
    </row>
    <row r="117" spans="1:27">
      <c r="A117" s="37" t="s">
        <v>331</v>
      </c>
      <c r="B117" s="83">
        <f>'Scenario 1 - Phase 1'!K132</f>
        <v>572501.28</v>
      </c>
      <c r="C117" s="1"/>
      <c r="E117" s="83">
        <f>'LEVEL 3'!K133</f>
        <v>360171.76</v>
      </c>
      <c r="F117" s="1"/>
      <c r="H117" s="83">
        <f t="shared" si="7"/>
        <v>932673.04</v>
      </c>
      <c r="I117" s="1"/>
      <c r="K117" s="83">
        <f>B117/'Scenario 1 - Phase 1'!$E$8</f>
        <v>1649.8595965417869</v>
      </c>
      <c r="L117" s="1"/>
      <c r="N117" s="83">
        <f>E117/'LEVEL 3'!$E$8</f>
        <v>1856.5554639175259</v>
      </c>
      <c r="O117" s="1"/>
      <c r="Q117" s="83">
        <f>H117/('Scenario 1 - Phase 1'!$E$8+'LEVEL 3'!$E$8)</f>
        <v>1723.979741219963</v>
      </c>
      <c r="R117" s="1"/>
      <c r="T117" s="197">
        <f>B117/'Scenario 1 - Phase 1'!$B$8</f>
        <v>1.84</v>
      </c>
      <c r="U117" s="193"/>
      <c r="V117" s="194"/>
      <c r="W117" s="197">
        <f>E117/'LEVEL 3'!$B$8</f>
        <v>1.8349054710146775</v>
      </c>
      <c r="X117" s="193"/>
      <c r="Y117" s="194"/>
      <c r="Z117" s="197">
        <f>H117/('Scenario 1 - Phase 1'!$B$8+'LEVEL 3'!$B$8)</f>
        <v>1.8380292887111747</v>
      </c>
      <c r="AA117" s="1"/>
    </row>
    <row r="118" spans="1:27" hidden="1">
      <c r="A118" s="37" t="s">
        <v>333</v>
      </c>
      <c r="B118" s="83">
        <f>'Scenario 1 - Phase 1'!K133</f>
        <v>0</v>
      </c>
      <c r="C118" s="1"/>
      <c r="E118" s="83">
        <f>'LEVEL 3'!K135</f>
        <v>0</v>
      </c>
      <c r="F118" s="1"/>
      <c r="H118" s="83">
        <f t="shared" si="7"/>
        <v>0</v>
      </c>
      <c r="I118" s="1"/>
      <c r="K118" s="83">
        <f>B118/'Scenario 1 - Phase 1'!$E$8</f>
        <v>0</v>
      </c>
      <c r="L118" s="1"/>
      <c r="N118" s="83">
        <f>E118/'LEVEL 3'!$E$8</f>
        <v>0</v>
      </c>
      <c r="O118" s="1"/>
      <c r="Q118" s="83">
        <f>H118/('Scenario 1 - Phase 1'!$E$8+'LEVEL 3'!$E$8)</f>
        <v>0</v>
      </c>
      <c r="R118" s="1"/>
      <c r="T118" s="197">
        <f>B118/'Scenario 1 - Phase 1'!$B$8</f>
        <v>0</v>
      </c>
      <c r="U118" s="193"/>
      <c r="V118" s="194"/>
      <c r="W118" s="197">
        <f>E118/'LEVEL 3'!$B$8</f>
        <v>0</v>
      </c>
      <c r="X118" s="193"/>
      <c r="Y118" s="194"/>
      <c r="Z118" s="197">
        <f>H118/('Scenario 1 - Phase 1'!$B$8+'LEVEL 3'!$B$8)</f>
        <v>0</v>
      </c>
      <c r="AA118" s="1"/>
    </row>
    <row r="119" spans="1:27" hidden="1">
      <c r="A119" s="37" t="s">
        <v>335</v>
      </c>
      <c r="B119" s="83">
        <f>'Scenario 1 - Phase 1'!K134</f>
        <v>0</v>
      </c>
      <c r="C119" s="1"/>
      <c r="E119" s="83">
        <f>'LEVEL 3'!K136</f>
        <v>0</v>
      </c>
      <c r="F119" s="1"/>
      <c r="H119" s="83">
        <f t="shared" si="7"/>
        <v>0</v>
      </c>
      <c r="I119" s="1"/>
      <c r="K119" s="83">
        <f>B119/'Scenario 1 - Phase 1'!$E$8</f>
        <v>0</v>
      </c>
      <c r="L119" s="1"/>
      <c r="N119" s="83">
        <f>E119/'LEVEL 3'!$E$8</f>
        <v>0</v>
      </c>
      <c r="O119" s="1"/>
      <c r="Q119" s="83">
        <f>H119/('Scenario 1 - Phase 1'!$E$8+'LEVEL 3'!$E$8)</f>
        <v>0</v>
      </c>
      <c r="R119" s="1"/>
      <c r="T119" s="197">
        <f>B119/'Scenario 1 - Phase 1'!$B$8</f>
        <v>0</v>
      </c>
      <c r="U119" s="193"/>
      <c r="V119" s="194"/>
      <c r="W119" s="197">
        <f>E119/'LEVEL 3'!$B$8</f>
        <v>0</v>
      </c>
      <c r="X119" s="193"/>
      <c r="Y119" s="194"/>
      <c r="Z119" s="197">
        <f>H119/('Scenario 1 - Phase 1'!$B$8+'LEVEL 3'!$B$8)</f>
        <v>0</v>
      </c>
      <c r="AA119" s="1"/>
    </row>
    <row r="120" spans="1:27" hidden="1">
      <c r="A120" s="37" t="s">
        <v>337</v>
      </c>
      <c r="B120" s="83">
        <f>'Scenario 1 - Phase 1'!K135</f>
        <v>0</v>
      </c>
      <c r="C120" s="1"/>
      <c r="E120" s="83">
        <f>'LEVEL 3'!K137</f>
        <v>0</v>
      </c>
      <c r="F120" s="1"/>
      <c r="H120" s="83">
        <f t="shared" si="7"/>
        <v>0</v>
      </c>
      <c r="I120" s="1"/>
      <c r="K120" s="83">
        <f>B120/'Scenario 1 - Phase 1'!$E$8</f>
        <v>0</v>
      </c>
      <c r="L120" s="1"/>
      <c r="N120" s="83">
        <f>E120/'LEVEL 3'!$E$8</f>
        <v>0</v>
      </c>
      <c r="O120" s="1"/>
      <c r="Q120" s="83">
        <f>H120/('Scenario 1 - Phase 1'!$E$8+'LEVEL 3'!$E$8)</f>
        <v>0</v>
      </c>
      <c r="R120" s="1"/>
      <c r="T120" s="197">
        <f>B120/'Scenario 1 - Phase 1'!$B$8</f>
        <v>0</v>
      </c>
      <c r="U120" s="193"/>
      <c r="V120" s="194"/>
      <c r="W120" s="197">
        <f>E120/'LEVEL 3'!$B$8</f>
        <v>0</v>
      </c>
      <c r="X120" s="193"/>
      <c r="Y120" s="194"/>
      <c r="Z120" s="197">
        <f>H120/('Scenario 1 - Phase 1'!$B$8+'LEVEL 3'!$B$8)</f>
        <v>0</v>
      </c>
      <c r="AA120" s="1"/>
    </row>
    <row r="121" spans="1:27" hidden="1">
      <c r="A121" s="37" t="s">
        <v>338</v>
      </c>
      <c r="B121" s="83">
        <f>'Scenario 1 - Phase 1'!K136</f>
        <v>0</v>
      </c>
      <c r="C121" s="1"/>
      <c r="E121" s="83">
        <f>'LEVEL 3'!K138</f>
        <v>0</v>
      </c>
      <c r="F121" s="1"/>
      <c r="H121" s="83">
        <f t="shared" si="7"/>
        <v>0</v>
      </c>
      <c r="I121" s="1"/>
      <c r="K121" s="83">
        <f>B121/'Scenario 1 - Phase 1'!$E$8</f>
        <v>0</v>
      </c>
      <c r="L121" s="1"/>
      <c r="N121" s="83">
        <f>E121/'LEVEL 3'!$E$8</f>
        <v>0</v>
      </c>
      <c r="O121" s="1"/>
      <c r="Q121" s="83">
        <f>H121/('Scenario 1 - Phase 1'!$E$8+'LEVEL 3'!$E$8)</f>
        <v>0</v>
      </c>
      <c r="R121" s="1"/>
      <c r="T121" s="197">
        <f>B121/'Scenario 1 - Phase 1'!$B$8</f>
        <v>0</v>
      </c>
      <c r="U121" s="193"/>
      <c r="V121" s="194"/>
      <c r="W121" s="197">
        <f>E121/'LEVEL 3'!$B$8</f>
        <v>0</v>
      </c>
      <c r="X121" s="193"/>
      <c r="Y121" s="194"/>
      <c r="Z121" s="197">
        <f>H121/('Scenario 1 - Phase 1'!$B$8+'LEVEL 3'!$B$8)</f>
        <v>0</v>
      </c>
      <c r="AA121" s="1"/>
    </row>
    <row r="122" spans="1:27">
      <c r="A122" s="33" t="s">
        <v>340</v>
      </c>
      <c r="B122" s="82"/>
      <c r="C122" s="102">
        <f>SUM(B123:B138)</f>
        <v>328837</v>
      </c>
      <c r="E122" s="82"/>
      <c r="F122" s="102">
        <f>SUM(E123:E138)</f>
        <v>233950</v>
      </c>
      <c r="H122" s="82"/>
      <c r="I122" s="102">
        <f>SUM(H123:H138)</f>
        <v>562787</v>
      </c>
      <c r="K122" s="82"/>
      <c r="L122" s="102">
        <f>SUM(K123:K138)</f>
        <v>947.65706051873201</v>
      </c>
      <c r="N122" s="82"/>
      <c r="O122" s="102">
        <f>SUM(N123:N138)</f>
        <v>1205.9278350515463</v>
      </c>
      <c r="Q122" s="82"/>
      <c r="R122" s="102">
        <f>SUM(Q123:Q138)</f>
        <v>1040.2717190388169</v>
      </c>
      <c r="T122" s="82"/>
      <c r="U122" s="201">
        <f>C122/'Scenario 1 - Phase 1'!$B$8</f>
        <v>1.0568711392226058</v>
      </c>
      <c r="V122" s="199"/>
      <c r="W122" s="203"/>
      <c r="X122" s="201">
        <f>F122/'LEVEL 3'!$B$8</f>
        <v>1.1918650561162367</v>
      </c>
      <c r="Y122" s="199"/>
      <c r="Z122" s="203"/>
      <c r="AA122" s="201">
        <f>I122/('Scenario 1 - Phase 1'!$B$8+'LEVEL 3'!$B$8)</f>
        <v>1.1090906941042231</v>
      </c>
    </row>
    <row r="123" spans="1:27" hidden="1">
      <c r="A123" s="35" t="s">
        <v>342</v>
      </c>
      <c r="B123" s="71">
        <f>'Scenario 1 - Phase 1'!K138</f>
        <v>0</v>
      </c>
      <c r="C123" s="1"/>
      <c r="E123" s="71">
        <f>'LEVEL 3'!K140</f>
        <v>0</v>
      </c>
      <c r="F123" s="1"/>
      <c r="H123" s="71">
        <f t="shared" ref="H123:H138" si="8">B123+E123</f>
        <v>0</v>
      </c>
      <c r="I123" s="1"/>
      <c r="K123" s="71">
        <f>B123/'Scenario 1 - Phase 1'!$E$8</f>
        <v>0</v>
      </c>
      <c r="L123" s="1"/>
      <c r="N123" s="71">
        <f>E123/'LEVEL 3'!$E$8</f>
        <v>0</v>
      </c>
      <c r="O123" s="1"/>
      <c r="Q123" s="71">
        <f>H123/('Scenario 1 - Phase 1'!$E$8+'LEVEL 3'!$E$8)</f>
        <v>0</v>
      </c>
      <c r="R123" s="1"/>
      <c r="T123" s="195">
        <f>B123/'Scenario 1 - Phase 1'!$B$8</f>
        <v>0</v>
      </c>
      <c r="U123" s="193"/>
      <c r="V123" s="194"/>
      <c r="W123" s="195">
        <f>E123/'LEVEL 3'!$B$8</f>
        <v>0</v>
      </c>
      <c r="X123" s="193"/>
      <c r="Y123" s="194"/>
      <c r="Z123" s="195">
        <f>H123/('Scenario 1 - Phase 1'!$B$8+'LEVEL 3'!$B$8)</f>
        <v>0</v>
      </c>
      <c r="AA123" s="1"/>
    </row>
    <row r="124" spans="1:27">
      <c r="A124" s="37" t="s">
        <v>344</v>
      </c>
      <c r="B124" s="83">
        <f>'Scenario 1 - Phase 1'!K139</f>
        <v>53785</v>
      </c>
      <c r="C124" s="1"/>
      <c r="E124" s="83">
        <f>'LEVEL 3'!K141</f>
        <v>30070</v>
      </c>
      <c r="F124" s="1"/>
      <c r="H124" s="83">
        <f t="shared" si="8"/>
        <v>83855</v>
      </c>
      <c r="I124" s="1"/>
      <c r="K124" s="83">
        <f>B124/'Scenario 1 - Phase 1'!$E$8</f>
        <v>155</v>
      </c>
      <c r="L124" s="1"/>
      <c r="N124" s="83">
        <f>E124/'LEVEL 3'!$E$8</f>
        <v>155</v>
      </c>
      <c r="O124" s="1"/>
      <c r="Q124" s="83">
        <f>H124/('Scenario 1 - Phase 1'!$E$8+'LEVEL 3'!$E$8)</f>
        <v>155</v>
      </c>
      <c r="R124" s="1"/>
      <c r="T124" s="197">
        <f>B124/'Scenario 1 - Phase 1'!$B$8</f>
        <v>0.17286319429713765</v>
      </c>
      <c r="U124" s="193"/>
      <c r="V124" s="194"/>
      <c r="W124" s="197">
        <f>E124/'LEVEL 3'!$B$8</f>
        <v>0.15319248658865245</v>
      </c>
      <c r="X124" s="193"/>
      <c r="Y124" s="194"/>
      <c r="Z124" s="197">
        <f>H124/('Scenario 1 - Phase 1'!$B$8+'LEVEL 3'!$B$8)</f>
        <v>0.16525399512446026</v>
      </c>
      <c r="AA124" s="1"/>
    </row>
    <row r="125" spans="1:27" hidden="1">
      <c r="A125" s="37" t="s">
        <v>347</v>
      </c>
      <c r="B125" s="83">
        <f>'Scenario 1 - Phase 1'!K140</f>
        <v>5688</v>
      </c>
      <c r="C125" s="1"/>
      <c r="E125" s="83">
        <f>'LEVEL 3'!K142</f>
        <v>6000</v>
      </c>
      <c r="F125" s="1"/>
      <c r="H125" s="83">
        <f t="shared" si="8"/>
        <v>11688</v>
      </c>
      <c r="I125" s="1"/>
      <c r="K125" s="83">
        <f>B125/'Scenario 1 - Phase 1'!$E$8</f>
        <v>16.391930835734872</v>
      </c>
      <c r="L125" s="1"/>
      <c r="N125" s="83">
        <f>E125/'LEVEL 3'!$E$8</f>
        <v>30.927835051546392</v>
      </c>
      <c r="O125" s="1"/>
      <c r="Q125" s="83">
        <f>H125/('Scenario 1 - Phase 1'!$E$8+'LEVEL 3'!$E$8)</f>
        <v>21.604436229205177</v>
      </c>
      <c r="R125" s="1"/>
      <c r="T125" s="197">
        <f>B125/'Scenario 1 - Phase 1'!$B$8</f>
        <v>1.8281042096534701E-2</v>
      </c>
      <c r="U125" s="193"/>
      <c r="V125" s="194"/>
      <c r="W125" s="197">
        <f>E125/'LEVEL 3'!$B$8</f>
        <v>3.0567173911935971E-2</v>
      </c>
      <c r="X125" s="193"/>
      <c r="Y125" s="194"/>
      <c r="Z125" s="197">
        <f>H125/('Scenario 1 - Phase 1'!$B$8+'LEVEL 3'!$B$8)</f>
        <v>2.3033673543792162E-2</v>
      </c>
      <c r="AA125" s="1"/>
    </row>
    <row r="126" spans="1:27" hidden="1">
      <c r="A126" s="37" t="s">
        <v>349</v>
      </c>
      <c r="B126" s="83">
        <f>'Scenario 1 - Phase 1'!K141</f>
        <v>4500</v>
      </c>
      <c r="C126" s="1"/>
      <c r="E126" s="83">
        <f>'LEVEL 3'!K143</f>
        <v>5000</v>
      </c>
      <c r="F126" s="1"/>
      <c r="H126" s="83">
        <f t="shared" si="8"/>
        <v>9500</v>
      </c>
      <c r="I126" s="1"/>
      <c r="K126" s="83">
        <f>B126/'Scenario 1 - Phase 1'!$E$8</f>
        <v>12.968299711815561</v>
      </c>
      <c r="L126" s="1"/>
      <c r="N126" s="83">
        <f>E126/'LEVEL 3'!$E$8</f>
        <v>25.773195876288661</v>
      </c>
      <c r="O126" s="1"/>
      <c r="Q126" s="83">
        <f>H126/('Scenario 1 - Phase 1'!$E$8+'LEVEL 3'!$E$8)</f>
        <v>17.560073937153419</v>
      </c>
      <c r="R126" s="1"/>
      <c r="T126" s="197">
        <f>B126/'Scenario 1 - Phase 1'!$B$8</f>
        <v>1.4462849759916694E-2</v>
      </c>
      <c r="U126" s="193"/>
      <c r="V126" s="194"/>
      <c r="W126" s="197">
        <f>E126/'LEVEL 3'!$B$8</f>
        <v>2.547264492661331E-2</v>
      </c>
      <c r="X126" s="193"/>
      <c r="Y126" s="194"/>
      <c r="Z126" s="197">
        <f>H126/('Scenario 1 - Phase 1'!$B$8+'LEVEL 3'!$B$8)</f>
        <v>1.8721757243842022E-2</v>
      </c>
      <c r="AA126" s="1"/>
    </row>
    <row r="127" spans="1:27" hidden="1">
      <c r="A127" s="37" t="s">
        <v>351</v>
      </c>
      <c r="B127" s="83">
        <f>'Scenario 1 - Phase 1'!K142</f>
        <v>7000</v>
      </c>
      <c r="C127" s="1"/>
      <c r="E127" s="83">
        <f>'LEVEL 3'!K144</f>
        <v>7000</v>
      </c>
      <c r="F127" s="1"/>
      <c r="H127" s="83">
        <f t="shared" si="8"/>
        <v>14000</v>
      </c>
      <c r="I127" s="1"/>
      <c r="K127" s="83">
        <f>B127/'Scenario 1 - Phase 1'!$E$8</f>
        <v>20.172910662824208</v>
      </c>
      <c r="L127" s="1"/>
      <c r="N127" s="83">
        <f>E127/'LEVEL 3'!$E$8</f>
        <v>36.082474226804123</v>
      </c>
      <c r="O127" s="1"/>
      <c r="Q127" s="83">
        <f>H127/('Scenario 1 - Phase 1'!$E$8+'LEVEL 3'!$E$8)</f>
        <v>25.878003696857672</v>
      </c>
      <c r="R127" s="1"/>
      <c r="T127" s="197">
        <f>B127/'Scenario 1 - Phase 1'!$B$8</f>
        <v>2.2497766293203745E-2</v>
      </c>
      <c r="U127" s="193"/>
      <c r="V127" s="194"/>
      <c r="W127" s="197">
        <f>E127/'LEVEL 3'!$B$8</f>
        <v>3.5661702897258632E-2</v>
      </c>
      <c r="X127" s="193"/>
      <c r="Y127" s="194"/>
      <c r="Z127" s="197">
        <f>H127/('Scenario 1 - Phase 1'!$B$8+'LEVEL 3'!$B$8)</f>
        <v>2.758995804355666E-2</v>
      </c>
      <c r="AA127" s="1"/>
    </row>
    <row r="128" spans="1:27" hidden="1">
      <c r="A128" s="37" t="s">
        <v>354</v>
      </c>
      <c r="B128" s="83">
        <f>'Scenario 1 - Phase 1'!K143</f>
        <v>5899</v>
      </c>
      <c r="C128" s="1"/>
      <c r="E128" s="83">
        <f>'LEVEL 3'!K145</f>
        <v>3298</v>
      </c>
      <c r="F128" s="1"/>
      <c r="H128" s="83">
        <f t="shared" si="8"/>
        <v>9197</v>
      </c>
      <c r="I128" s="1"/>
      <c r="K128" s="83">
        <f>B128/'Scenario 1 - Phase 1'!$E$8</f>
        <v>17</v>
      </c>
      <c r="L128" s="1"/>
      <c r="N128" s="83">
        <f>E128/'LEVEL 3'!$E$8</f>
        <v>17</v>
      </c>
      <c r="O128" s="1"/>
      <c r="Q128" s="83">
        <f>H128/('Scenario 1 - Phase 1'!$E$8+'LEVEL 3'!$E$8)</f>
        <v>17</v>
      </c>
      <c r="R128" s="1"/>
      <c r="T128" s="197">
        <f>B128/'Scenario 1 - Phase 1'!$B$8</f>
        <v>1.8959189051944127E-2</v>
      </c>
      <c r="U128" s="193"/>
      <c r="V128" s="194"/>
      <c r="W128" s="197">
        <f>E128/'LEVEL 3'!$B$8</f>
        <v>1.680175659359414E-2</v>
      </c>
      <c r="X128" s="193"/>
      <c r="Y128" s="194"/>
      <c r="Z128" s="197">
        <f>H128/('Scenario 1 - Phase 1'!$B$8+'LEVEL 3'!$B$8)</f>
        <v>1.81246317233279E-2</v>
      </c>
      <c r="AA128" s="1"/>
    </row>
    <row r="129" spans="1:27" hidden="1">
      <c r="A129" s="37" t="s">
        <v>356</v>
      </c>
      <c r="B129" s="83">
        <f>'Scenario 1 - Phase 1'!K144</f>
        <v>0</v>
      </c>
      <c r="C129" s="1"/>
      <c r="E129" s="83">
        <f>'LEVEL 3'!K146</f>
        <v>0</v>
      </c>
      <c r="F129" s="1"/>
      <c r="H129" s="83">
        <f t="shared" si="8"/>
        <v>0</v>
      </c>
      <c r="I129" s="1"/>
      <c r="K129" s="83">
        <f>B129/'Scenario 1 - Phase 1'!$E$8</f>
        <v>0</v>
      </c>
      <c r="L129" s="1"/>
      <c r="N129" s="83">
        <f>E129/'LEVEL 3'!$E$8</f>
        <v>0</v>
      </c>
      <c r="O129" s="1"/>
      <c r="Q129" s="83">
        <f>H129/('Scenario 1 - Phase 1'!$E$8+'LEVEL 3'!$E$8)</f>
        <v>0</v>
      </c>
      <c r="R129" s="1"/>
      <c r="T129" s="197">
        <f>B129/'Scenario 1 - Phase 1'!$B$8</f>
        <v>0</v>
      </c>
      <c r="U129" s="193"/>
      <c r="V129" s="194"/>
      <c r="W129" s="197">
        <f>E129/'LEVEL 3'!$B$8</f>
        <v>0</v>
      </c>
      <c r="X129" s="193"/>
      <c r="Y129" s="194"/>
      <c r="Z129" s="197">
        <f>H129/('Scenario 1 - Phase 1'!$B$8+'LEVEL 3'!$B$8)</f>
        <v>0</v>
      </c>
      <c r="AA129" s="1"/>
    </row>
    <row r="130" spans="1:27" hidden="1">
      <c r="A130" s="37" t="s">
        <v>358</v>
      </c>
      <c r="B130" s="83">
        <f>'Scenario 1 - Phase 1'!K145</f>
        <v>0</v>
      </c>
      <c r="C130" s="1"/>
      <c r="E130" s="83">
        <f>'LEVEL 3'!K147</f>
        <v>0</v>
      </c>
      <c r="F130" s="1"/>
      <c r="H130" s="83">
        <f t="shared" si="8"/>
        <v>0</v>
      </c>
      <c r="I130" s="1"/>
      <c r="K130" s="83">
        <f>B130/'Scenario 1 - Phase 1'!$E$8</f>
        <v>0</v>
      </c>
      <c r="L130" s="1"/>
      <c r="N130" s="83">
        <f>E130/'LEVEL 3'!$E$8</f>
        <v>0</v>
      </c>
      <c r="O130" s="1"/>
      <c r="Q130" s="83">
        <f>H130/('Scenario 1 - Phase 1'!$E$8+'LEVEL 3'!$E$8)</f>
        <v>0</v>
      </c>
      <c r="R130" s="1"/>
      <c r="T130" s="197">
        <f>B130/'Scenario 1 - Phase 1'!$B$8</f>
        <v>0</v>
      </c>
      <c r="U130" s="193"/>
      <c r="V130" s="194"/>
      <c r="W130" s="197">
        <f>E130/'LEVEL 3'!$B$8</f>
        <v>0</v>
      </c>
      <c r="X130" s="193"/>
      <c r="Y130" s="194"/>
      <c r="Z130" s="197">
        <f>H130/('Scenario 1 - Phase 1'!$B$8+'LEVEL 3'!$B$8)</f>
        <v>0</v>
      </c>
      <c r="AA130" s="1"/>
    </row>
    <row r="131" spans="1:27" hidden="1">
      <c r="A131" s="37" t="s">
        <v>360</v>
      </c>
      <c r="B131" s="83">
        <f>'Scenario 1 - Phase 1'!K146</f>
        <v>0</v>
      </c>
      <c r="C131" s="1"/>
      <c r="E131" s="83">
        <f>'LEVEL 3'!K148</f>
        <v>0</v>
      </c>
      <c r="F131" s="1"/>
      <c r="H131" s="83">
        <f t="shared" si="8"/>
        <v>0</v>
      </c>
      <c r="I131" s="1"/>
      <c r="K131" s="83">
        <f>B131/'Scenario 1 - Phase 1'!$E$8</f>
        <v>0</v>
      </c>
      <c r="L131" s="1"/>
      <c r="N131" s="83">
        <f>E131/'LEVEL 3'!$E$8</f>
        <v>0</v>
      </c>
      <c r="O131" s="1"/>
      <c r="Q131" s="83">
        <f>H131/('Scenario 1 - Phase 1'!$E$8+'LEVEL 3'!$E$8)</f>
        <v>0</v>
      </c>
      <c r="R131" s="1"/>
      <c r="T131" s="197">
        <f>B131/'Scenario 1 - Phase 1'!$B$8</f>
        <v>0</v>
      </c>
      <c r="U131" s="193"/>
      <c r="V131" s="194"/>
      <c r="W131" s="197">
        <f>E131/'LEVEL 3'!$B$8</f>
        <v>0</v>
      </c>
      <c r="X131" s="193"/>
      <c r="Y131" s="194"/>
      <c r="Z131" s="197">
        <f>H131/('Scenario 1 - Phase 1'!$B$8+'LEVEL 3'!$B$8)</f>
        <v>0</v>
      </c>
      <c r="AA131" s="1"/>
    </row>
    <row r="132" spans="1:27" hidden="1">
      <c r="A132" s="37" t="s">
        <v>362</v>
      </c>
      <c r="B132" s="83">
        <f>'Scenario 1 - Phase 1'!K147</f>
        <v>6720</v>
      </c>
      <c r="C132" s="1"/>
      <c r="E132" s="83">
        <f>'LEVEL 3'!K149</f>
        <v>6720</v>
      </c>
      <c r="F132" s="1"/>
      <c r="H132" s="83">
        <f t="shared" si="8"/>
        <v>13440</v>
      </c>
      <c r="I132" s="1"/>
      <c r="K132" s="83">
        <f>B132/'Scenario 1 - Phase 1'!$E$8</f>
        <v>19.365994236311238</v>
      </c>
      <c r="L132" s="1"/>
      <c r="N132" s="83">
        <f>E132/'LEVEL 3'!$E$8</f>
        <v>34.639175257731956</v>
      </c>
      <c r="O132" s="1"/>
      <c r="Q132" s="83">
        <f>H132/('Scenario 1 - Phase 1'!$E$8+'LEVEL 3'!$E$8)</f>
        <v>24.842883548983362</v>
      </c>
      <c r="R132" s="1"/>
      <c r="T132" s="197">
        <f>B132/'Scenario 1 - Phase 1'!$B$8</f>
        <v>2.1597855641475597E-2</v>
      </c>
      <c r="U132" s="193"/>
      <c r="V132" s="194"/>
      <c r="W132" s="197">
        <f>E132/'LEVEL 3'!$B$8</f>
        <v>3.4235234781368286E-2</v>
      </c>
      <c r="X132" s="193"/>
      <c r="Y132" s="194"/>
      <c r="Z132" s="197">
        <f>H132/('Scenario 1 - Phase 1'!$B$8+'LEVEL 3'!$B$8)</f>
        <v>2.6486359721814394E-2</v>
      </c>
      <c r="AA132" s="1"/>
    </row>
    <row r="133" spans="1:27" hidden="1">
      <c r="A133" s="37" t="s">
        <v>364</v>
      </c>
      <c r="B133" s="83">
        <f>'Scenario 1 - Phase 1'!K148</f>
        <v>3300</v>
      </c>
      <c r="C133" s="1"/>
      <c r="E133" s="83">
        <f>'LEVEL 3'!K150</f>
        <v>2000</v>
      </c>
      <c r="F133" s="1"/>
      <c r="H133" s="83">
        <f t="shared" si="8"/>
        <v>5300</v>
      </c>
      <c r="I133" s="1"/>
      <c r="K133" s="83">
        <f>B133/'Scenario 1 - Phase 1'!$E$8</f>
        <v>9.5100864553314128</v>
      </c>
      <c r="L133" s="1"/>
      <c r="N133" s="83">
        <f>E133/'LEVEL 3'!$E$8</f>
        <v>10.309278350515465</v>
      </c>
      <c r="O133" s="1"/>
      <c r="Q133" s="83">
        <f>H133/('Scenario 1 - Phase 1'!$E$8+'LEVEL 3'!$E$8)</f>
        <v>9.7966728280961188</v>
      </c>
      <c r="R133" s="1"/>
      <c r="T133" s="197">
        <f>B133/'Scenario 1 - Phase 1'!$B$8</f>
        <v>1.0606089823938909E-2</v>
      </c>
      <c r="U133" s="193"/>
      <c r="V133" s="194"/>
      <c r="W133" s="197">
        <f>E133/'LEVEL 3'!$B$8</f>
        <v>1.0189057970645324E-2</v>
      </c>
      <c r="X133" s="193"/>
      <c r="Y133" s="194"/>
      <c r="Z133" s="197">
        <f>H133/('Scenario 1 - Phase 1'!$B$8+'LEVEL 3'!$B$8)</f>
        <v>1.0444769830775021E-2</v>
      </c>
      <c r="AA133" s="1"/>
    </row>
    <row r="134" spans="1:27" hidden="1">
      <c r="A134" s="37" t="s">
        <v>366</v>
      </c>
      <c r="B134" s="83">
        <f>'Scenario 1 - Phase 1'!K149</f>
        <v>27413</v>
      </c>
      <c r="C134" s="1"/>
      <c r="E134" s="83">
        <f>'LEVEL 3'!K151</f>
        <v>15000</v>
      </c>
      <c r="F134" s="1"/>
      <c r="H134" s="83">
        <f t="shared" si="8"/>
        <v>42413</v>
      </c>
      <c r="I134" s="1"/>
      <c r="K134" s="83">
        <f>B134/'Scenario 1 - Phase 1'!$E$8</f>
        <v>79</v>
      </c>
      <c r="L134" s="1"/>
      <c r="N134" s="83">
        <f>E134/'LEVEL 3'!$E$8</f>
        <v>77.319587628865975</v>
      </c>
      <c r="O134" s="1"/>
      <c r="Q134" s="83">
        <f>H134/('Scenario 1 - Phase 1'!$E$8+'LEVEL 3'!$E$8)</f>
        <v>78.39741219963031</v>
      </c>
      <c r="R134" s="1"/>
      <c r="T134" s="197">
        <f>B134/'Scenario 1 - Phase 1'!$B$8</f>
        <v>8.8104466770799181E-2</v>
      </c>
      <c r="U134" s="193"/>
      <c r="V134" s="194"/>
      <c r="W134" s="197">
        <f>E134/'LEVEL 3'!$B$8</f>
        <v>7.6417934779839936E-2</v>
      </c>
      <c r="X134" s="193"/>
      <c r="Y134" s="194"/>
      <c r="Z134" s="197">
        <f>H134/('Scenario 1 - Phase 1'!$B$8+'LEVEL 3'!$B$8)</f>
        <v>8.3583777892954902E-2</v>
      </c>
      <c r="AA134" s="1"/>
    </row>
    <row r="135" spans="1:27">
      <c r="A135" s="37" t="s">
        <v>368</v>
      </c>
      <c r="B135" s="83">
        <f>'Scenario 1 - Phase 1'!K150</f>
        <v>53091</v>
      </c>
      <c r="C135" s="1"/>
      <c r="E135" s="83">
        <f>'LEVEL 3'!K152</f>
        <v>29682</v>
      </c>
      <c r="F135" s="1"/>
      <c r="H135" s="83">
        <f t="shared" si="8"/>
        <v>82773</v>
      </c>
      <c r="I135" s="1"/>
      <c r="K135" s="83">
        <f>B135/'Scenario 1 - Phase 1'!$E$8</f>
        <v>153</v>
      </c>
      <c r="L135" s="1"/>
      <c r="N135" s="83">
        <f>E135/'LEVEL 3'!$E$8</f>
        <v>153</v>
      </c>
      <c r="O135" s="1"/>
      <c r="Q135" s="83">
        <f>H135/('Scenario 1 - Phase 1'!$E$8+'LEVEL 3'!$E$8)</f>
        <v>153</v>
      </c>
      <c r="R135" s="1"/>
      <c r="T135" s="197">
        <f>B135/'Scenario 1 - Phase 1'!$B$8</f>
        <v>0.17063270146749715</v>
      </c>
      <c r="U135" s="193"/>
      <c r="V135" s="194"/>
      <c r="W135" s="197">
        <f>E135/'LEVEL 3'!$B$8</f>
        <v>0.15121580934234724</v>
      </c>
      <c r="X135" s="193"/>
      <c r="Y135" s="194"/>
      <c r="Z135" s="197">
        <f>H135/('Scenario 1 - Phase 1'!$B$8+'LEVEL 3'!$B$8)</f>
        <v>0.1631216855099511</v>
      </c>
      <c r="AA135" s="1"/>
    </row>
    <row r="136" spans="1:27">
      <c r="A136" s="37" t="s">
        <v>371</v>
      </c>
      <c r="B136" s="83">
        <f>'Scenario 1 - Phase 1'!K151</f>
        <v>70441</v>
      </c>
      <c r="C136" s="1"/>
      <c r="E136" s="83">
        <f>'LEVEL 3'!K153</f>
        <v>42680</v>
      </c>
      <c r="F136" s="1"/>
      <c r="H136" s="83">
        <f t="shared" si="8"/>
        <v>113121</v>
      </c>
      <c r="I136" s="1"/>
      <c r="K136" s="83">
        <f>B136/'Scenario 1 - Phase 1'!$E$8</f>
        <v>203</v>
      </c>
      <c r="L136" s="1"/>
      <c r="N136" s="83">
        <f>E136/'LEVEL 3'!$E$8</f>
        <v>220</v>
      </c>
      <c r="O136" s="1"/>
      <c r="Q136" s="83">
        <f>H136/('Scenario 1 - Phase 1'!$E$8+'LEVEL 3'!$E$8)</f>
        <v>209.09611829944546</v>
      </c>
      <c r="R136" s="1"/>
      <c r="T136" s="197">
        <f>B136/'Scenario 1 - Phase 1'!$B$8</f>
        <v>0.22639502220850929</v>
      </c>
      <c r="U136" s="193"/>
      <c r="V136" s="194"/>
      <c r="W136" s="197">
        <f>E136/'LEVEL 3'!$B$8</f>
        <v>0.21743449709357121</v>
      </c>
      <c r="X136" s="193"/>
      <c r="Y136" s="194"/>
      <c r="Z136" s="197">
        <f>H136/('Scenario 1 - Phase 1'!$B$8+'LEVEL 3'!$B$8)</f>
        <v>0.22292883170322664</v>
      </c>
      <c r="AA136" s="1"/>
    </row>
    <row r="137" spans="1:27">
      <c r="A137" s="37" t="s">
        <v>373</v>
      </c>
      <c r="B137" s="83">
        <f>'Scenario 1 - Phase 1'!K152</f>
        <v>40000</v>
      </c>
      <c r="C137" s="1"/>
      <c r="E137" s="83">
        <f>'LEVEL 3'!K154</f>
        <v>52500</v>
      </c>
      <c r="F137" s="1"/>
      <c r="H137" s="83">
        <f t="shared" si="8"/>
        <v>92500</v>
      </c>
      <c r="I137" s="1"/>
      <c r="K137" s="83">
        <f>B137/'Scenario 1 - Phase 1'!$E$8</f>
        <v>115.27377521613833</v>
      </c>
      <c r="L137" s="1"/>
      <c r="N137" s="83">
        <f>E137/'LEVEL 3'!$E$8</f>
        <v>270.61855670103091</v>
      </c>
      <c r="O137" s="1"/>
      <c r="Q137" s="83">
        <f>H137/('Scenario 1 - Phase 1'!$E$8+'LEVEL 3'!$E$8)</f>
        <v>170.9796672828096</v>
      </c>
      <c r="R137" s="1"/>
      <c r="T137" s="197">
        <f>B137/'Scenario 1 - Phase 1'!$B$8</f>
        <v>0.12855866453259285</v>
      </c>
      <c r="U137" s="193"/>
      <c r="V137" s="194"/>
      <c r="W137" s="197">
        <f>E137/'LEVEL 3'!$B$8</f>
        <v>0.26746277172943977</v>
      </c>
      <c r="X137" s="193"/>
      <c r="Y137" s="194"/>
      <c r="Z137" s="197">
        <f>H137/('Scenario 1 - Phase 1'!$B$8+'LEVEL 3'!$B$8)</f>
        <v>0.18229079421635652</v>
      </c>
      <c r="AA137" s="1"/>
    </row>
    <row r="138" spans="1:27">
      <c r="A138" s="37" t="s">
        <v>377</v>
      </c>
      <c r="B138" s="83">
        <f>'Scenario 1 - Phase 1'!K153</f>
        <v>51000</v>
      </c>
      <c r="C138" s="1"/>
      <c r="E138" s="83">
        <f>'LEVEL 3'!K155</f>
        <v>34000</v>
      </c>
      <c r="F138" s="1"/>
      <c r="H138" s="83">
        <f t="shared" si="8"/>
        <v>85000</v>
      </c>
      <c r="I138" s="1"/>
      <c r="K138" s="83">
        <f>B138/'Scenario 1 - Phase 1'!$E$8</f>
        <v>146.97406340057637</v>
      </c>
      <c r="L138" s="1"/>
      <c r="N138" s="83">
        <f>E138/'LEVEL 3'!$E$8</f>
        <v>175.25773195876289</v>
      </c>
      <c r="O138" s="1"/>
      <c r="Q138" s="83">
        <f>H138/('Scenario 1 - Phase 1'!$E$8+'LEVEL 3'!$E$8)</f>
        <v>157.11645101663586</v>
      </c>
      <c r="R138" s="1"/>
      <c r="T138" s="197">
        <f>B138/'Scenario 1 - Phase 1'!$B$8</f>
        <v>0.16391229727905587</v>
      </c>
      <c r="U138" s="193"/>
      <c r="V138" s="194"/>
      <c r="W138" s="197">
        <f>E138/'LEVEL 3'!$B$8</f>
        <v>0.1732139855009705</v>
      </c>
      <c r="X138" s="193"/>
      <c r="Y138" s="194"/>
      <c r="Z138" s="197">
        <f>H138/('Scenario 1 - Phase 1'!$B$8+'LEVEL 3'!$B$8)</f>
        <v>0.16751045955016544</v>
      </c>
      <c r="AA138" s="1"/>
    </row>
    <row r="139" spans="1:27">
      <c r="A139" s="33" t="s">
        <v>378</v>
      </c>
      <c r="B139" s="82"/>
      <c r="C139" s="102">
        <f>SUM(B140)</f>
        <v>1109706</v>
      </c>
      <c r="E139" s="82"/>
      <c r="F139" s="102">
        <f>SUM(E140)</f>
        <v>621090.50256410253</v>
      </c>
      <c r="H139" s="82"/>
      <c r="I139" s="102">
        <f>SUM(H140)</f>
        <v>1730796.5025641024</v>
      </c>
      <c r="K139" s="82"/>
      <c r="L139" s="102">
        <f>SUM(K140)</f>
        <v>3198</v>
      </c>
      <c r="N139" s="82"/>
      <c r="O139" s="102">
        <f>SUM(N140)</f>
        <v>3201.4974358974359</v>
      </c>
      <c r="Q139" s="82"/>
      <c r="R139" s="102">
        <f>SUM(Q140)</f>
        <v>3199.2541637044405</v>
      </c>
      <c r="T139" s="82"/>
      <c r="U139" s="201">
        <f>C139/'Scenario 1 - Phase 1'!$B$8</f>
        <v>3.5665580345951367</v>
      </c>
      <c r="V139" s="199"/>
      <c r="W139" s="203"/>
      <c r="X139" s="201">
        <f>F139/'LEVEL 3'!$B$8</f>
        <v>3.1641635678214395</v>
      </c>
      <c r="Y139" s="199"/>
      <c r="Z139" s="203"/>
      <c r="AA139" s="201">
        <f>I139/('Scenario 1 - Phase 1'!$B$8+'LEVEL 3'!$B$8)</f>
        <v>3.4109002062627281</v>
      </c>
    </row>
    <row r="140" spans="1:27">
      <c r="A140" s="34" t="s">
        <v>380</v>
      </c>
      <c r="B140" s="65">
        <f>'Scenario 1 - Phase 1'!K155</f>
        <v>1109706</v>
      </c>
      <c r="C140" s="1"/>
      <c r="E140" s="65">
        <f>'LEVEL 3'!K157</f>
        <v>621090.50256410253</v>
      </c>
      <c r="F140" s="1"/>
      <c r="H140" s="65">
        <f>B140+E140</f>
        <v>1730796.5025641024</v>
      </c>
      <c r="I140" s="1"/>
      <c r="K140" s="65">
        <f>B140/'Scenario 1 - Phase 1'!$E$8</f>
        <v>3198</v>
      </c>
      <c r="L140" s="1"/>
      <c r="N140" s="65">
        <f>E140/'LEVEL 3'!$E$8</f>
        <v>3201.4974358974359</v>
      </c>
      <c r="O140" s="1"/>
      <c r="Q140" s="65">
        <f>H140/('Scenario 1 - Phase 1'!$E$8+'LEVEL 3'!$E$8)</f>
        <v>3199.2541637044405</v>
      </c>
      <c r="R140" s="1"/>
      <c r="T140" s="192">
        <f>B140/'Scenario 1 - Phase 1'!$B$8</f>
        <v>3.5665580345951367</v>
      </c>
      <c r="U140" s="193"/>
      <c r="V140" s="194"/>
      <c r="W140" s="192">
        <f>E140/'LEVEL 3'!$B$8</f>
        <v>3.1641635678214395</v>
      </c>
      <c r="X140" s="193"/>
      <c r="Y140" s="194"/>
      <c r="Z140" s="192">
        <f>H140/('Scenario 1 - Phase 1'!$B$8+'LEVEL 3'!$B$8)</f>
        <v>3.4109002062627281</v>
      </c>
      <c r="AA140" s="1"/>
    </row>
    <row r="141" spans="1:27">
      <c r="A141" s="33" t="s">
        <v>382</v>
      </c>
      <c r="B141" s="82"/>
      <c r="C141" s="102">
        <f>SUM(B142:B149)</f>
        <v>2002881.62</v>
      </c>
      <c r="E141" s="82"/>
      <c r="F141" s="102">
        <f>SUM(E142:E149)</f>
        <v>1046615.3613445379</v>
      </c>
      <c r="H141" s="82"/>
      <c r="I141" s="102">
        <f>SUM(H142:H149)</f>
        <v>3049496.9813445378</v>
      </c>
      <c r="K141" s="82"/>
      <c r="L141" s="102">
        <f>SUM(K142:K149)</f>
        <v>5771.9931412103742</v>
      </c>
      <c r="N141" s="82"/>
      <c r="O141" s="102">
        <f>SUM(N142:N149)</f>
        <v>5394.9245430130813</v>
      </c>
      <c r="Q141" s="82"/>
      <c r="R141" s="102">
        <f>SUM(Q142:Q149)</f>
        <v>5636.7781540564465</v>
      </c>
      <c r="T141" s="82"/>
      <c r="U141" s="201">
        <f>C141/'Scenario 1 - Phase 1'!$B$8</f>
        <v>6.4371946571019025</v>
      </c>
      <c r="V141" s="199"/>
      <c r="W141" s="203"/>
      <c r="X141" s="201">
        <f>F141/'LEVEL 3'!$B$8</f>
        <v>5.3320122948537003</v>
      </c>
      <c r="Y141" s="199"/>
      <c r="Z141" s="203"/>
      <c r="AA141" s="201">
        <f>I141/('Scenario 1 - Phase 1'!$B$8+'LEVEL 3'!$B$8)</f>
        <v>6.009678126374892</v>
      </c>
    </row>
    <row r="142" spans="1:27" hidden="1">
      <c r="A142" s="35" t="s">
        <v>184</v>
      </c>
      <c r="B142" s="71">
        <f>'Scenario 1 - Phase 1'!K157</f>
        <v>27413</v>
      </c>
      <c r="C142" s="1"/>
      <c r="E142" s="71">
        <f>'LEVEL 3'!K159</f>
        <v>0</v>
      </c>
      <c r="F142" s="1"/>
      <c r="H142" s="71">
        <f t="shared" ref="H142:H149" si="9">B142+E142</f>
        <v>27413</v>
      </c>
      <c r="I142" s="1"/>
      <c r="K142" s="71">
        <f>B142/'Scenario 1 - Phase 1'!$E$8</f>
        <v>79</v>
      </c>
      <c r="L142" s="1"/>
      <c r="N142" s="71">
        <f>E142/'LEVEL 3'!$E$8</f>
        <v>0</v>
      </c>
      <c r="O142" s="1"/>
      <c r="Q142" s="71">
        <f>H142/('Scenario 1 - Phase 1'!$E$8+'LEVEL 3'!$E$8)</f>
        <v>50.670979667282808</v>
      </c>
      <c r="R142" s="1"/>
      <c r="T142" s="195">
        <f>B142/'Scenario 1 - Phase 1'!$B$8</f>
        <v>8.8104466770799181E-2</v>
      </c>
      <c r="U142" s="193"/>
      <c r="V142" s="194"/>
      <c r="W142" s="195">
        <f>E142/'LEVEL 3'!$B$8</f>
        <v>0</v>
      </c>
      <c r="X142" s="193"/>
      <c r="Y142" s="194"/>
      <c r="Z142" s="195">
        <f>H142/('Scenario 1 - Phase 1'!$B$8+'LEVEL 3'!$B$8)</f>
        <v>5.4023108560572769E-2</v>
      </c>
      <c r="AA142" s="1"/>
    </row>
    <row r="143" spans="1:27">
      <c r="A143" s="37" t="s">
        <v>385</v>
      </c>
      <c r="B143" s="83">
        <f>'Scenario 1 - Phase 1'!K158</f>
        <v>87728.54</v>
      </c>
      <c r="C143" s="1"/>
      <c r="E143" s="83">
        <f>'LEVEL 3'!K160</f>
        <v>73288.798319327732</v>
      </c>
      <c r="F143" s="1"/>
      <c r="H143" s="83">
        <f t="shared" si="9"/>
        <v>161017.33831932774</v>
      </c>
      <c r="I143" s="1"/>
      <c r="K143" s="83">
        <f>B143/'Scenario 1 - Phase 1'!$E$8</f>
        <v>252.82</v>
      </c>
      <c r="L143" s="1"/>
      <c r="N143" s="83">
        <f>E143/'LEVEL 3'!$E$8</f>
        <v>377.77731092436977</v>
      </c>
      <c r="O143" s="1"/>
      <c r="Q143" s="83">
        <f>H143/('Scenario 1 - Phase 1'!$E$8+'LEVEL 3'!$E$8)</f>
        <v>297.62909116326756</v>
      </c>
      <c r="R143" s="1"/>
      <c r="T143" s="197">
        <f>B143/'Scenario 1 - Phase 1'!$B$8</f>
        <v>0.28195659859485378</v>
      </c>
      <c r="U143" s="193"/>
      <c r="V143" s="194"/>
      <c r="W143" s="197">
        <f>E143/'LEVEL 3'!$B$8</f>
        <v>0.37337190733728193</v>
      </c>
      <c r="X143" s="193"/>
      <c r="Y143" s="194"/>
      <c r="Z143" s="197">
        <f>H143/('Scenario 1 - Phase 1'!$B$8+'LEVEL 3'!$B$8)</f>
        <v>0.31731868632253002</v>
      </c>
      <c r="AA143" s="1"/>
    </row>
    <row r="144" spans="1:27">
      <c r="A144" s="37" t="s">
        <v>387</v>
      </c>
      <c r="B144" s="83">
        <f>'Scenario 1 - Phase 1'!K159</f>
        <v>1080558</v>
      </c>
      <c r="C144" s="1"/>
      <c r="E144" s="83">
        <f>'LEVEL 3'!K161</f>
        <v>610712</v>
      </c>
      <c r="F144" s="1"/>
      <c r="H144" s="83">
        <f t="shared" si="9"/>
        <v>1691270</v>
      </c>
      <c r="I144" s="1"/>
      <c r="K144" s="83">
        <f>B144/'Scenario 1 - Phase 1'!$E$8</f>
        <v>3114</v>
      </c>
      <c r="L144" s="1"/>
      <c r="N144" s="83">
        <f>E144/'LEVEL 3'!$E$8</f>
        <v>3148</v>
      </c>
      <c r="O144" s="1"/>
      <c r="Q144" s="83">
        <f>H144/('Scenario 1 - Phase 1'!$E$8+'LEVEL 3'!$E$8)</f>
        <v>3126.1922365988908</v>
      </c>
      <c r="R144" s="1"/>
      <c r="T144" s="197">
        <f>B144/'Scenario 1 - Phase 1'!$B$8</f>
        <v>3.472877335750236</v>
      </c>
      <c r="U144" s="193"/>
      <c r="V144" s="194"/>
      <c r="W144" s="197">
        <f>E144/'LEVEL 3'!$B$8</f>
        <v>3.1112899856843734</v>
      </c>
      <c r="X144" s="193"/>
      <c r="Y144" s="194"/>
      <c r="Z144" s="197">
        <f>H144/('Scenario 1 - Phase 1'!$B$8+'LEVEL 3'!$B$8)</f>
        <v>3.3330048814518625</v>
      </c>
      <c r="AA144" s="1"/>
    </row>
    <row r="145" spans="1:27">
      <c r="A145" s="37" t="s">
        <v>389</v>
      </c>
      <c r="B145" s="83">
        <f>'Scenario 1 - Phase 1'!K160</f>
        <v>31400</v>
      </c>
      <c r="C145" s="1"/>
      <c r="E145" s="83">
        <f>'LEVEL 3'!K162</f>
        <v>17500</v>
      </c>
      <c r="F145" s="1"/>
      <c r="H145" s="83">
        <f t="shared" si="9"/>
        <v>48900</v>
      </c>
      <c r="I145" s="1"/>
      <c r="K145" s="83">
        <f>B145/'Scenario 1 - Phase 1'!$E$8</f>
        <v>90.489913544668582</v>
      </c>
      <c r="L145" s="1"/>
      <c r="N145" s="83">
        <f>E145/'LEVEL 3'!$E$8</f>
        <v>90.206185567010309</v>
      </c>
      <c r="O145" s="1"/>
      <c r="Q145" s="83">
        <f>H145/('Scenario 1 - Phase 1'!$E$8+'LEVEL 3'!$E$8)</f>
        <v>90.388170055452861</v>
      </c>
      <c r="R145" s="1"/>
      <c r="T145" s="197">
        <f>B145/'Scenario 1 - Phase 1'!$B$8</f>
        <v>0.10091855165808537</v>
      </c>
      <c r="U145" s="193"/>
      <c r="V145" s="194"/>
      <c r="W145" s="197">
        <f>E145/'LEVEL 3'!$B$8</f>
        <v>8.9154257243146587E-2</v>
      </c>
      <c r="X145" s="193"/>
      <c r="Y145" s="194"/>
      <c r="Z145" s="197">
        <f>H145/('Scenario 1 - Phase 1'!$B$8+'LEVEL 3'!$B$8)</f>
        <v>9.636778202356576E-2</v>
      </c>
      <c r="AA145" s="1"/>
    </row>
    <row r="146" spans="1:27">
      <c r="A146" s="37" t="s">
        <v>391</v>
      </c>
      <c r="B146" s="83">
        <f>'Scenario 1 - Phase 1'!K161</f>
        <v>704482.08000000007</v>
      </c>
      <c r="C146" s="1"/>
      <c r="E146" s="83">
        <f>'LEVEL 3'!K163</f>
        <v>304114.56302521011</v>
      </c>
      <c r="F146" s="1"/>
      <c r="H146" s="83">
        <f t="shared" si="9"/>
        <v>1008596.6430252101</v>
      </c>
      <c r="I146" s="1"/>
      <c r="K146" s="83">
        <f>B146/'Scenario 1 - Phase 1'!$E$8</f>
        <v>2030.2077233429397</v>
      </c>
      <c r="L146" s="1"/>
      <c r="N146" s="83">
        <f>E146/'LEVEL 3'!$E$8</f>
        <v>1567.6008403361345</v>
      </c>
      <c r="O146" s="1"/>
      <c r="Q146" s="83">
        <f>H146/('Scenario 1 - Phase 1'!$E$8+'LEVEL 3'!$E$8)</f>
        <v>1864.3191183460447</v>
      </c>
      <c r="R146" s="1"/>
      <c r="T146" s="197">
        <f>B146/'Scenario 1 - Phase 1'!$B$8</f>
        <v>2.2641818847985808</v>
      </c>
      <c r="U146" s="193"/>
      <c r="V146" s="194"/>
      <c r="W146" s="197">
        <f>E146/'LEVEL 3'!$B$8</f>
        <v>1.5493204561906684</v>
      </c>
      <c r="X146" s="193"/>
      <c r="Y146" s="194"/>
      <c r="Z146" s="197">
        <f>H146/('Scenario 1 - Phase 1'!$B$8+'LEVEL 3'!$B$8)</f>
        <v>1.9876527902812602</v>
      </c>
      <c r="AA146" s="1"/>
    </row>
    <row r="147" spans="1:27">
      <c r="A147" s="37" t="s">
        <v>394</v>
      </c>
      <c r="B147" s="83">
        <f>'Scenario 1 - Phase 1'!K162</f>
        <v>50000</v>
      </c>
      <c r="C147" s="1"/>
      <c r="E147" s="83">
        <f>'LEVEL 3'!K164</f>
        <v>35000</v>
      </c>
      <c r="F147" s="1"/>
      <c r="H147" s="83">
        <f t="shared" si="9"/>
        <v>85000</v>
      </c>
      <c r="I147" s="1"/>
      <c r="K147" s="83">
        <f>B147/'Scenario 1 - Phase 1'!$E$8</f>
        <v>144.09221902017291</v>
      </c>
      <c r="L147" s="1"/>
      <c r="N147" s="83">
        <f>E147/'LEVEL 3'!$E$8</f>
        <v>180.41237113402062</v>
      </c>
      <c r="O147" s="1"/>
      <c r="Q147" s="83">
        <f>H147/('Scenario 1 - Phase 1'!$E$8+'LEVEL 3'!$E$8)</f>
        <v>157.11645101663586</v>
      </c>
      <c r="R147" s="1"/>
      <c r="T147" s="197">
        <f>B147/'Scenario 1 - Phase 1'!$B$8</f>
        <v>0.16069833066574105</v>
      </c>
      <c r="U147" s="193"/>
      <c r="V147" s="194"/>
      <c r="W147" s="197">
        <f>E147/'LEVEL 3'!$B$8</f>
        <v>0.17830851448629317</v>
      </c>
      <c r="X147" s="193"/>
      <c r="Y147" s="194"/>
      <c r="Z147" s="197">
        <f>H147/('Scenario 1 - Phase 1'!$B$8+'LEVEL 3'!$B$8)</f>
        <v>0.16751045955016544</v>
      </c>
      <c r="AA147" s="1"/>
    </row>
    <row r="148" spans="1:27" hidden="1">
      <c r="A148" s="37" t="s">
        <v>397</v>
      </c>
      <c r="B148" s="83">
        <f>'Scenario 1 - Phase 1'!K163</f>
        <v>0</v>
      </c>
      <c r="C148" s="1"/>
      <c r="E148" s="83">
        <f>'LEVEL 3'!K165</f>
        <v>0</v>
      </c>
      <c r="F148" s="1"/>
      <c r="H148" s="83">
        <f t="shared" si="9"/>
        <v>0</v>
      </c>
      <c r="I148" s="1"/>
      <c r="K148" s="83">
        <f>B148/'Scenario 1 - Phase 1'!$E$8</f>
        <v>0</v>
      </c>
      <c r="L148" s="1"/>
      <c r="N148" s="83">
        <f>E148/'LEVEL 3'!$E$8</f>
        <v>0</v>
      </c>
      <c r="O148" s="1"/>
      <c r="Q148" s="83">
        <f>H148/('Scenario 1 - Phase 1'!$E$8+'LEVEL 3'!$E$8)</f>
        <v>0</v>
      </c>
      <c r="R148" s="1"/>
      <c r="T148" s="197">
        <f>B148/'Scenario 1 - Phase 1'!$B$8</f>
        <v>0</v>
      </c>
      <c r="U148" s="193"/>
      <c r="V148" s="194"/>
      <c r="W148" s="197">
        <f>E148/'LEVEL 3'!$B$8</f>
        <v>0</v>
      </c>
      <c r="X148" s="193"/>
      <c r="Y148" s="194"/>
      <c r="Z148" s="197">
        <f>H148/('Scenario 1 - Phase 1'!$B$8+'LEVEL 3'!$B$8)</f>
        <v>0</v>
      </c>
      <c r="AA148" s="1"/>
    </row>
    <row r="149" spans="1:27" hidden="1">
      <c r="A149" s="37" t="s">
        <v>399</v>
      </c>
      <c r="B149" s="83">
        <f>'Scenario 1 - Phase 1'!K164</f>
        <v>21300</v>
      </c>
      <c r="C149" s="1"/>
      <c r="E149" s="83">
        <f>'LEVEL 3'!K166</f>
        <v>6000</v>
      </c>
      <c r="F149" s="1"/>
      <c r="H149" s="83">
        <f t="shared" si="9"/>
        <v>27300</v>
      </c>
      <c r="I149" s="1"/>
      <c r="K149" s="83">
        <f>B149/'Scenario 1 - Phase 1'!$E$8</f>
        <v>61.383285302593663</v>
      </c>
      <c r="L149" s="1"/>
      <c r="N149" s="83">
        <f>E149/'LEVEL 3'!$E$8</f>
        <v>30.927835051546392</v>
      </c>
      <c r="O149" s="1"/>
      <c r="Q149" s="83">
        <f>H149/('Scenario 1 - Phase 1'!$E$8+'LEVEL 3'!$E$8)</f>
        <v>50.46210720887246</v>
      </c>
      <c r="R149" s="1"/>
      <c r="T149" s="197">
        <f>B149/'Scenario 1 - Phase 1'!$B$8</f>
        <v>6.8457488863605684E-2</v>
      </c>
      <c r="U149" s="193"/>
      <c r="V149" s="194"/>
      <c r="W149" s="197">
        <f>E149/'LEVEL 3'!$B$8</f>
        <v>3.0567173911935971E-2</v>
      </c>
      <c r="X149" s="193"/>
      <c r="Y149" s="194"/>
      <c r="Z149" s="197">
        <f>H149/('Scenario 1 - Phase 1'!$B$8+'LEVEL 3'!$B$8)</f>
        <v>5.3800418184935486E-2</v>
      </c>
      <c r="AA149" s="1"/>
    </row>
    <row r="150" spans="1:27">
      <c r="A150" s="33" t="s">
        <v>402</v>
      </c>
      <c r="B150" s="82"/>
      <c r="C150" s="102">
        <f>SUM(B151:B153)</f>
        <v>1225434.5333599998</v>
      </c>
      <c r="E150" s="82"/>
      <c r="F150" s="102">
        <f>SUM(E151:E153)</f>
        <v>572485</v>
      </c>
      <c r="H150" s="82"/>
      <c r="I150" s="102">
        <f>SUM(H151:H153)</f>
        <v>1797919.5333599998</v>
      </c>
      <c r="K150" s="82"/>
      <c r="L150" s="102">
        <f>SUM(K151:K153)</f>
        <v>3531.5116235158498</v>
      </c>
      <c r="N150" s="82"/>
      <c r="O150" s="102">
        <f>SUM(N151:N153)</f>
        <v>2950.9536082474224</v>
      </c>
      <c r="Q150" s="82"/>
      <c r="R150" s="102">
        <f>SUM(Q151:Q153)</f>
        <v>3323.3263093530495</v>
      </c>
      <c r="T150" s="82"/>
      <c r="U150" s="201">
        <f>C150/'Scenario 1 - Phase 1'!$B$8</f>
        <v>3.9385056770220666</v>
      </c>
      <c r="V150" s="199"/>
      <c r="W150" s="203"/>
      <c r="X150" s="201">
        <f>F150/'LEVEL 3'!$B$8</f>
        <v>2.9165414261624441</v>
      </c>
      <c r="Y150" s="199"/>
      <c r="Z150" s="203"/>
      <c r="AA150" s="201">
        <f>I150/('Scenario 1 - Phase 1'!$B$8+'LEVEL 3'!$B$8)</f>
        <v>3.5431803207923833</v>
      </c>
    </row>
    <row r="151" spans="1:27">
      <c r="A151" s="35" t="s">
        <v>404</v>
      </c>
      <c r="B151" s="71">
        <f>'Scenario 1 - Phase 1'!K166</f>
        <v>490000</v>
      </c>
      <c r="C151" s="1"/>
      <c r="E151" s="71">
        <f>'LEVEL 3'!K168</f>
        <v>245000</v>
      </c>
      <c r="F151" s="1"/>
      <c r="H151" s="71">
        <f t="shared" ref="H151:H153" si="10">B151+E151</f>
        <v>735000</v>
      </c>
      <c r="I151" s="1"/>
      <c r="K151" s="71">
        <f>B151/'Scenario 1 - Phase 1'!$E$8</f>
        <v>1412.1037463976945</v>
      </c>
      <c r="L151" s="1"/>
      <c r="N151" s="71">
        <f>E151/'LEVEL 3'!$E$8</f>
        <v>1262.8865979381444</v>
      </c>
      <c r="O151" s="1"/>
      <c r="Q151" s="71">
        <f>H151/('Scenario 1 - Phase 1'!$E$8+'LEVEL 3'!$E$8)</f>
        <v>1358.5951940850277</v>
      </c>
      <c r="R151" s="1"/>
      <c r="T151" s="195">
        <f>B151/'Scenario 1 - Phase 1'!$B$8</f>
        <v>1.5748436405242623</v>
      </c>
      <c r="U151" s="193"/>
      <c r="V151" s="194"/>
      <c r="W151" s="195">
        <f>E151/'LEVEL 3'!$B$8</f>
        <v>1.2481596014040521</v>
      </c>
      <c r="X151" s="193"/>
      <c r="Y151" s="194"/>
      <c r="Z151" s="195">
        <f>H151/('Scenario 1 - Phase 1'!$B$8+'LEVEL 3'!$B$8)</f>
        <v>1.4484727972867246</v>
      </c>
      <c r="AA151" s="1"/>
    </row>
    <row r="152" spans="1:27">
      <c r="A152" s="37" t="s">
        <v>68</v>
      </c>
      <c r="B152" s="83">
        <f>'Scenario 1 - Phase 1'!K167</f>
        <v>721474.53335999988</v>
      </c>
      <c r="C152" s="1"/>
      <c r="E152" s="83">
        <f>'LEVEL 3'!K169</f>
        <v>320436</v>
      </c>
      <c r="F152" s="1"/>
      <c r="H152" s="83">
        <f t="shared" si="10"/>
        <v>1041910.5333599999</v>
      </c>
      <c r="I152" s="1"/>
      <c r="K152" s="83">
        <f>B152/'Scenario 1 - Phase 1'!$E$8</f>
        <v>2079.1773295677231</v>
      </c>
      <c r="L152" s="1"/>
      <c r="N152" s="83">
        <f>E152/'LEVEL 3'!$E$8</f>
        <v>1651.7319587628865</v>
      </c>
      <c r="O152" s="1"/>
      <c r="Q152" s="83">
        <f>H152/('Scenario 1 - Phase 1'!$E$8+'LEVEL 3'!$E$8)</f>
        <v>1925.897473863216</v>
      </c>
      <c r="R152" s="1"/>
      <c r="T152" s="197">
        <f>B152/'Scenario 1 - Phase 1'!$B$8</f>
        <v>2.3187950625759295</v>
      </c>
      <c r="U152" s="193"/>
      <c r="V152" s="194"/>
      <c r="W152" s="197">
        <f>E152/'LEVEL 3'!$B$8</f>
        <v>1.6324704899408524</v>
      </c>
      <c r="X152" s="193"/>
      <c r="Y152" s="194"/>
      <c r="Z152" s="197">
        <f>H152/('Scenario 1 - Phase 1'!$B$8+'LEVEL 3'!$B$8)</f>
        <v>2.0533048500387241</v>
      </c>
      <c r="AA152" s="1"/>
    </row>
    <row r="153" spans="1:27">
      <c r="A153" s="37" t="s">
        <v>408</v>
      </c>
      <c r="B153" s="83">
        <f>'Scenario 1 - Phase 1'!K168</f>
        <v>13960</v>
      </c>
      <c r="C153" s="1"/>
      <c r="E153" s="83">
        <f>'LEVEL 3'!K170</f>
        <v>7049</v>
      </c>
      <c r="F153" s="1"/>
      <c r="H153" s="83">
        <f t="shared" si="10"/>
        <v>21009</v>
      </c>
      <c r="I153" s="1"/>
      <c r="K153" s="83">
        <f>B153/'Scenario 1 - Phase 1'!$E$8</f>
        <v>40.230547550432277</v>
      </c>
      <c r="L153" s="1"/>
      <c r="N153" s="83">
        <f>E153/'LEVEL 3'!$E$8</f>
        <v>36.335051546391753</v>
      </c>
      <c r="O153" s="1"/>
      <c r="Q153" s="83">
        <f>H153/('Scenario 1 - Phase 1'!$E$8+'LEVEL 3'!$E$8)</f>
        <v>38.833641404805917</v>
      </c>
      <c r="R153" s="1"/>
      <c r="T153" s="197">
        <f>B153/'Scenario 1 - Phase 1'!$B$8</f>
        <v>4.48669739218749E-2</v>
      </c>
      <c r="U153" s="193"/>
      <c r="V153" s="194"/>
      <c r="W153" s="197">
        <f>E153/'LEVEL 3'!$B$8</f>
        <v>3.5911334817539442E-2</v>
      </c>
      <c r="X153" s="193"/>
      <c r="Y153" s="194"/>
      <c r="Z153" s="197">
        <f>H153/('Scenario 1 - Phase 1'!$B$8+'LEVEL 3'!$B$8)</f>
        <v>4.1402673466934423E-2</v>
      </c>
      <c r="AA153" s="1"/>
    </row>
    <row r="154" spans="1:27" hidden="1">
      <c r="A154" s="33" t="s">
        <v>410</v>
      </c>
      <c r="B154" s="82"/>
      <c r="C154" s="102">
        <f>SUM(B155)</f>
        <v>0</v>
      </c>
      <c r="E154" s="82"/>
      <c r="F154" s="102">
        <f>SUM(E155)</f>
        <v>0</v>
      </c>
      <c r="H154" s="82"/>
      <c r="I154" s="102">
        <f>SUM(H155)</f>
        <v>0</v>
      </c>
      <c r="K154" s="82"/>
      <c r="L154" s="102">
        <f>SUM(K155)</f>
        <v>0</v>
      </c>
      <c r="N154" s="82"/>
      <c r="O154" s="102">
        <f>SUM(N155)</f>
        <v>0</v>
      </c>
      <c r="Q154" s="82"/>
      <c r="R154" s="102">
        <f>SUM(Q155)</f>
        <v>0</v>
      </c>
      <c r="T154" s="82"/>
      <c r="U154" s="201">
        <f>C154/'Scenario 1 - Phase 1'!$B$8</f>
        <v>0</v>
      </c>
      <c r="V154" s="199"/>
      <c r="W154" s="203"/>
      <c r="X154" s="201">
        <f>F154/'LEVEL 3'!$B$8</f>
        <v>0</v>
      </c>
      <c r="Y154" s="199"/>
      <c r="Z154" s="203"/>
      <c r="AA154" s="201">
        <f>I154/('Scenario 1 - Phase 1'!$B$8+'LEVEL 3'!$B$8)</f>
        <v>0</v>
      </c>
    </row>
    <row r="155" spans="1:27" hidden="1">
      <c r="A155" s="34" t="s">
        <v>410</v>
      </c>
      <c r="B155" s="65">
        <f>'Scenario 1 - Phase 1'!K170</f>
        <v>0</v>
      </c>
      <c r="C155" s="1"/>
      <c r="E155" s="65">
        <f>'LEVEL 3'!K172</f>
        <v>0</v>
      </c>
      <c r="F155" s="1"/>
      <c r="H155" s="65">
        <f>B155+E155</f>
        <v>0</v>
      </c>
      <c r="I155" s="1"/>
      <c r="K155" s="65">
        <f>B155/'Scenario 1 - Phase 1'!$E$8</f>
        <v>0</v>
      </c>
      <c r="L155" s="1"/>
      <c r="N155" s="65">
        <f>E155/'LEVEL 3'!$E$8</f>
        <v>0</v>
      </c>
      <c r="O155" s="1"/>
      <c r="Q155" s="65">
        <f>H155/('Scenario 1 - Phase 1'!$E$8+'LEVEL 3'!$E$8)</f>
        <v>0</v>
      </c>
      <c r="R155" s="1"/>
      <c r="T155" s="192">
        <f>B155/'Scenario 1 - Phase 1'!$B$8</f>
        <v>0</v>
      </c>
      <c r="U155" s="193"/>
      <c r="V155" s="194"/>
      <c r="W155" s="192">
        <f>E155/'LEVEL 3'!$B$8</f>
        <v>0</v>
      </c>
      <c r="X155" s="193"/>
      <c r="Y155" s="194"/>
      <c r="Z155" s="192">
        <f>H155/('Scenario 1 - Phase 1'!$B$8+'LEVEL 3'!$B$8)</f>
        <v>0</v>
      </c>
      <c r="AA155" s="1"/>
    </row>
    <row r="156" spans="1:27">
      <c r="A156" s="33" t="s">
        <v>412</v>
      </c>
      <c r="B156" s="82"/>
      <c r="C156" s="102">
        <f>SUM(B157:B158)</f>
        <v>578396</v>
      </c>
      <c r="E156" s="82"/>
      <c r="F156" s="102">
        <f>SUM(E157:E158)</f>
        <v>323200</v>
      </c>
      <c r="H156" s="82"/>
      <c r="I156" s="102">
        <f>SUM(H157:H158)</f>
        <v>901596</v>
      </c>
      <c r="K156" s="82"/>
      <c r="L156" s="102">
        <f>SUM(K157:K158)</f>
        <v>1666.8472622478387</v>
      </c>
      <c r="N156" s="82"/>
      <c r="O156" s="102">
        <f>SUM(N157:N158)</f>
        <v>1665.9793814432992</v>
      </c>
      <c r="Q156" s="82"/>
      <c r="R156" s="102">
        <f>SUM(Q157:Q158)</f>
        <v>1666.5360443622922</v>
      </c>
      <c r="T156" s="82"/>
      <c r="U156" s="201">
        <f>C156/'Scenario 1 - Phase 1'!$B$8</f>
        <v>1.8589454332748392</v>
      </c>
      <c r="V156" s="199"/>
      <c r="W156" s="203"/>
      <c r="X156" s="201">
        <f>F156/'LEVEL 3'!$B$8</f>
        <v>1.6465517680562844</v>
      </c>
      <c r="Y156" s="199"/>
      <c r="Z156" s="203"/>
      <c r="AA156" s="201">
        <f>I156/('Scenario 1 - Phase 1'!$B$8+'LEVEL 3'!$B$8)</f>
        <v>1.7767854151598936</v>
      </c>
    </row>
    <row r="157" spans="1:27">
      <c r="A157" s="35" t="s">
        <v>414</v>
      </c>
      <c r="B157" s="71">
        <f>'Scenario 1 - Phase 1'!K172</f>
        <v>552396</v>
      </c>
      <c r="C157" s="1"/>
      <c r="E157" s="71">
        <f>'LEVEL 3'!K174</f>
        <v>310200</v>
      </c>
      <c r="F157" s="1"/>
      <c r="H157" s="71">
        <f t="shared" ref="H157:H158" si="11">B157+E157</f>
        <v>862596</v>
      </c>
      <c r="I157" s="1"/>
      <c r="K157" s="71">
        <f>B157/'Scenario 1 - Phase 1'!$E$8</f>
        <v>1591.9193083573487</v>
      </c>
      <c r="L157" s="1"/>
      <c r="N157" s="71">
        <f>E157/'LEVEL 3'!$E$8</f>
        <v>1598.9690721649486</v>
      </c>
      <c r="O157" s="1"/>
      <c r="Q157" s="71">
        <f>H157/('Scenario 1 - Phase 1'!$E$8+'LEVEL 3'!$E$8)</f>
        <v>1594.4473197781886</v>
      </c>
      <c r="R157" s="1"/>
      <c r="T157" s="195">
        <f>B157/'Scenario 1 - Phase 1'!$B$8</f>
        <v>1.7753823013286538</v>
      </c>
      <c r="U157" s="193"/>
      <c r="V157" s="194"/>
      <c r="W157" s="195">
        <f>E157/'LEVEL 3'!$B$8</f>
        <v>1.5803228912470897</v>
      </c>
      <c r="X157" s="193"/>
      <c r="Y157" s="194"/>
      <c r="Z157" s="195">
        <f>H157/('Scenario 1 - Phase 1'!$B$8+'LEVEL 3'!$B$8)</f>
        <v>1.6999276748957002</v>
      </c>
      <c r="AA157" s="1"/>
    </row>
    <row r="158" spans="1:27" hidden="1">
      <c r="A158" s="37" t="s">
        <v>417</v>
      </c>
      <c r="B158" s="83">
        <f>'Scenario 1 - Phase 1'!K173</f>
        <v>26000</v>
      </c>
      <c r="C158" s="1"/>
      <c r="E158" s="83">
        <f>'LEVEL 3'!K175</f>
        <v>13000</v>
      </c>
      <c r="F158" s="1"/>
      <c r="H158" s="83">
        <f t="shared" si="11"/>
        <v>39000</v>
      </c>
      <c r="I158" s="1"/>
      <c r="K158" s="83">
        <f>B158/'Scenario 1 - Phase 1'!$E$8</f>
        <v>74.927953890489917</v>
      </c>
      <c r="L158" s="1"/>
      <c r="N158" s="83">
        <f>E158/'LEVEL 3'!$E$8</f>
        <v>67.010309278350519</v>
      </c>
      <c r="O158" s="1"/>
      <c r="Q158" s="83">
        <f>H158/('Scenario 1 - Phase 1'!$E$8+'LEVEL 3'!$E$8)</f>
        <v>72.088724584103517</v>
      </c>
      <c r="R158" s="1"/>
      <c r="T158" s="197">
        <f>B158/'Scenario 1 - Phase 1'!$B$8</f>
        <v>8.3563131946185337E-2</v>
      </c>
      <c r="U158" s="193"/>
      <c r="V158" s="194"/>
      <c r="W158" s="197">
        <f>E158/'LEVEL 3'!$B$8</f>
        <v>6.6228876809194606E-2</v>
      </c>
      <c r="X158" s="193"/>
      <c r="Y158" s="194"/>
      <c r="Z158" s="197">
        <f>H158/('Scenario 1 - Phase 1'!$B$8+'LEVEL 3'!$B$8)</f>
        <v>7.685774026419355E-2</v>
      </c>
      <c r="AA158" s="1"/>
    </row>
    <row r="159" spans="1:27">
      <c r="A159" s="33" t="s">
        <v>419</v>
      </c>
      <c r="B159" s="82"/>
      <c r="C159" s="102">
        <f>SUM(B160:B162)</f>
        <v>913966.42</v>
      </c>
      <c r="E159" s="82"/>
      <c r="F159" s="102">
        <f>SUM(E160:E162)</f>
        <v>623908.05000000005</v>
      </c>
      <c r="H159" s="82"/>
      <c r="I159" s="102">
        <f>SUM(H160:H162)</f>
        <v>1537874.4700000002</v>
      </c>
      <c r="K159" s="82"/>
      <c r="L159" s="102">
        <f>SUM(K160:K162)</f>
        <v>2633.9089913544667</v>
      </c>
      <c r="N159" s="82"/>
      <c r="O159" s="102">
        <f>SUM(N160:N162)</f>
        <v>3216.02087628866</v>
      </c>
      <c r="Q159" s="82"/>
      <c r="R159" s="102">
        <f>SUM(Q160:Q162)</f>
        <v>2842.6515157116451</v>
      </c>
      <c r="T159" s="82"/>
      <c r="U159" s="201">
        <f>C159/'Scenario 1 - Phase 1'!$B$8</f>
        <v>2.9374575595708712</v>
      </c>
      <c r="V159" s="199"/>
      <c r="W159" s="203"/>
      <c r="X159" s="201">
        <f>F159/'LEVEL 3'!$B$8</f>
        <v>3.1785176449011407</v>
      </c>
      <c r="Y159" s="199"/>
      <c r="Z159" s="203"/>
      <c r="AA159" s="201">
        <f>I159/('Scenario 1 - Phase 1'!$B$8+'LEVEL 3'!$B$8)</f>
        <v>3.0307065788254959</v>
      </c>
    </row>
    <row r="160" spans="1:27">
      <c r="A160" s="35" t="s">
        <v>421</v>
      </c>
      <c r="B160" s="71">
        <f>'Scenario 1 - Phase 1'!K175</f>
        <v>18668.52</v>
      </c>
      <c r="C160" s="1"/>
      <c r="E160" s="71">
        <f>'LEVEL 3'!K177</f>
        <v>10000</v>
      </c>
      <c r="F160" s="1"/>
      <c r="H160" s="71">
        <f t="shared" ref="H160:H162" si="12">B160+E160</f>
        <v>28668.52</v>
      </c>
      <c r="I160" s="1"/>
      <c r="K160" s="71">
        <f>B160/'Scenario 1 - Phase 1'!$E$8</f>
        <v>53.799769452449567</v>
      </c>
      <c r="L160" s="1"/>
      <c r="N160" s="71">
        <f>E160/'LEVEL 3'!$E$8</f>
        <v>51.546391752577321</v>
      </c>
      <c r="O160" s="1"/>
      <c r="Q160" s="71">
        <f>H160/('Scenario 1 - Phase 1'!$E$8+'LEVEL 3'!$E$8)</f>
        <v>52.99171903881701</v>
      </c>
      <c r="R160" s="1"/>
      <c r="T160" s="195">
        <f>B160/'Scenario 1 - Phase 1'!$B$8</f>
        <v>6.0000000000000005E-2</v>
      </c>
      <c r="U160" s="193"/>
      <c r="V160" s="194"/>
      <c r="W160" s="195">
        <f>E160/'LEVEL 3'!$B$8</f>
        <v>5.0945289853226619E-2</v>
      </c>
      <c r="X160" s="193"/>
      <c r="Y160" s="194"/>
      <c r="Z160" s="195">
        <f>H160/('Scenario 1 - Phase 1'!$B$8+'LEVEL 3'!$B$8)</f>
        <v>5.6497375997918931E-2</v>
      </c>
      <c r="AA160" s="1"/>
    </row>
    <row r="161" spans="1:27">
      <c r="A161" s="37" t="s">
        <v>423</v>
      </c>
      <c r="B161" s="83">
        <f>'Scenario 1 - Phase 1'!K176</f>
        <v>762297.9</v>
      </c>
      <c r="C161" s="1"/>
      <c r="E161" s="83">
        <f>'LEVEL 3'!K178</f>
        <v>480908.05000000005</v>
      </c>
      <c r="F161" s="1"/>
      <c r="H161" s="83">
        <f t="shared" si="12"/>
        <v>1243205.9500000002</v>
      </c>
      <c r="I161" s="1"/>
      <c r="K161" s="83">
        <f>B161/'Scenario 1 - Phase 1'!$E$8</f>
        <v>2196.8239193083573</v>
      </c>
      <c r="L161" s="1"/>
      <c r="N161" s="83">
        <f>E161/'LEVEL 3'!$E$8</f>
        <v>2478.9074742268044</v>
      </c>
      <c r="O161" s="1"/>
      <c r="Q161" s="83">
        <f>H161/('Scenario 1 - Phase 1'!$E$8+'LEVEL 3'!$E$8)</f>
        <v>2297.9777264325326</v>
      </c>
      <c r="R161" s="1"/>
      <c r="T161" s="197">
        <f>B161/'Scenario 1 - Phase 1'!$B$8</f>
        <v>2.4500000000000002</v>
      </c>
      <c r="U161" s="193"/>
      <c r="V161" s="194"/>
      <c r="W161" s="197">
        <f>E161/'LEVEL 3'!$B$8</f>
        <v>2.4500000000000002</v>
      </c>
      <c r="X161" s="193"/>
      <c r="Y161" s="194"/>
      <c r="Z161" s="197">
        <f>H161/('Scenario 1 - Phase 1'!$B$8+'LEVEL 3'!$B$8)</f>
        <v>2.4500000000000002</v>
      </c>
      <c r="AA161" s="1"/>
    </row>
    <row r="162" spans="1:27">
      <c r="A162" s="37" t="s">
        <v>425</v>
      </c>
      <c r="B162" s="83">
        <f>'Scenario 1 - Phase 1'!K177</f>
        <v>133000</v>
      </c>
      <c r="C162" s="1"/>
      <c r="E162" s="83">
        <f>'LEVEL 3'!K179</f>
        <v>133000</v>
      </c>
      <c r="F162" s="1"/>
      <c r="H162" s="83">
        <f t="shared" si="12"/>
        <v>266000</v>
      </c>
      <c r="I162" s="1"/>
      <c r="K162" s="83">
        <f>B162/'Scenario 1 - Phase 1'!$E$8</f>
        <v>383.28530259365994</v>
      </c>
      <c r="L162" s="1"/>
      <c r="N162" s="83">
        <f>E162/'LEVEL 3'!$E$8</f>
        <v>685.56701030927832</v>
      </c>
      <c r="O162" s="1"/>
      <c r="Q162" s="83">
        <f>H162/('Scenario 1 - Phase 1'!$E$8+'LEVEL 3'!$E$8)</f>
        <v>491.68207024029573</v>
      </c>
      <c r="R162" s="1"/>
      <c r="T162" s="197">
        <f>B162/'Scenario 1 - Phase 1'!$B$8</f>
        <v>0.42745755957087117</v>
      </c>
      <c r="U162" s="193"/>
      <c r="V162" s="194"/>
      <c r="W162" s="197">
        <f>E162/'LEVEL 3'!$B$8</f>
        <v>0.67757235504791402</v>
      </c>
      <c r="X162" s="193"/>
      <c r="Y162" s="194"/>
      <c r="Z162" s="197">
        <f>H162/('Scenario 1 - Phase 1'!$B$8+'LEVEL 3'!$B$8)</f>
        <v>0.52420920282757655</v>
      </c>
      <c r="AA162" s="1"/>
    </row>
    <row r="163" spans="1:27">
      <c r="A163" s="33" t="s">
        <v>427</v>
      </c>
      <c r="B163" s="82"/>
      <c r="C163" s="102">
        <f>SUM(B164:B168)</f>
        <v>3713746</v>
      </c>
      <c r="E163" s="82"/>
      <c r="F163" s="102">
        <f>SUM(E164:E168)</f>
        <v>2071717.2631578948</v>
      </c>
      <c r="H163" s="82"/>
      <c r="I163" s="102">
        <f>SUM(H164:H168)</f>
        <v>5785463.2631578948</v>
      </c>
      <c r="K163" s="82"/>
      <c r="L163" s="102">
        <f>SUM(K164:K168)</f>
        <v>10702.438040345822</v>
      </c>
      <c r="N163" s="82"/>
      <c r="O163" s="102">
        <f>SUM(N164:N168)</f>
        <v>10678.954964731418</v>
      </c>
      <c r="Q163" s="82"/>
      <c r="R163" s="102">
        <f>SUM(Q164:Q168)</f>
        <v>10694.017122288162</v>
      </c>
      <c r="T163" s="82"/>
      <c r="U163" s="201">
        <f>C163/'Scenario 1 - Phase 1'!$B$8</f>
        <v>11.935855654331462</v>
      </c>
      <c r="V163" s="199"/>
      <c r="W163" s="203"/>
      <c r="X163" s="201">
        <f>F163/'LEVEL 3'!$B$8</f>
        <v>10.554423646551232</v>
      </c>
      <c r="Y163" s="199"/>
      <c r="Z163" s="203"/>
      <c r="AA163" s="201">
        <f>I163/('Scenario 1 - Phase 1'!$B$8+'LEVEL 3'!$B$8)</f>
        <v>11.401477763790338</v>
      </c>
    </row>
    <row r="164" spans="1:27">
      <c r="A164" s="35" t="s">
        <v>429</v>
      </c>
      <c r="B164" s="71">
        <f>'Scenario 1 - Phase 1'!K179</f>
        <v>3652522</v>
      </c>
      <c r="C164" s="1"/>
      <c r="E164" s="71">
        <f>'LEVEL 3'!K181</f>
        <v>2041105.2631578948</v>
      </c>
      <c r="F164" s="1"/>
      <c r="H164" s="71">
        <f t="shared" ref="H164:H168" si="13">B164+E164</f>
        <v>5693627.2631578948</v>
      </c>
      <c r="I164" s="1"/>
      <c r="K164" s="71">
        <f>B164/'Scenario 1 - Phase 1'!$E$8</f>
        <v>10526</v>
      </c>
      <c r="L164" s="1"/>
      <c r="N164" s="71">
        <f>E164/'LEVEL 3'!$E$8</f>
        <v>10521.161150298427</v>
      </c>
      <c r="O164" s="1"/>
      <c r="Q164" s="71">
        <f>H164/('Scenario 1 - Phase 1'!$E$8+'LEVEL 3'!$E$8)</f>
        <v>10524.264811752117</v>
      </c>
      <c r="R164" s="1"/>
      <c r="T164" s="195">
        <f>B164/'Scenario 1 - Phase 1'!$B$8</f>
        <v>11.739083762397875</v>
      </c>
      <c r="U164" s="193"/>
      <c r="V164" s="194"/>
      <c r="W164" s="195">
        <f>E164/'LEVEL 3'!$B$8</f>
        <v>10.398469925252535</v>
      </c>
      <c r="X164" s="193"/>
      <c r="Y164" s="194"/>
      <c r="Z164" s="195">
        <f>H164/('Scenario 1 - Phase 1'!$B$8+'LEVEL 3'!$B$8)</f>
        <v>11.220495521869761</v>
      </c>
      <c r="AA164" s="1"/>
    </row>
    <row r="165" spans="1:27" hidden="1">
      <c r="A165" s="37" t="s">
        <v>431</v>
      </c>
      <c r="B165" s="83">
        <f>'Scenario 1 - Phase 1'!K180</f>
        <v>0</v>
      </c>
      <c r="C165" s="1"/>
      <c r="E165" s="83">
        <f>'LEVEL 3'!K182</f>
        <v>0</v>
      </c>
      <c r="F165" s="1"/>
      <c r="H165" s="83">
        <f t="shared" si="13"/>
        <v>0</v>
      </c>
      <c r="I165" s="1"/>
      <c r="K165" s="83">
        <f>B165/'Scenario 1 - Phase 1'!$E$8</f>
        <v>0</v>
      </c>
      <c r="L165" s="1"/>
      <c r="N165" s="83">
        <f>E165/'LEVEL 3'!$E$8</f>
        <v>0</v>
      </c>
      <c r="O165" s="1"/>
      <c r="Q165" s="83">
        <f>H165/('Scenario 1 - Phase 1'!$E$8+'LEVEL 3'!$E$8)</f>
        <v>0</v>
      </c>
      <c r="R165" s="1"/>
      <c r="T165" s="197">
        <f>B165/'Scenario 1 - Phase 1'!$B$8</f>
        <v>0</v>
      </c>
      <c r="U165" s="193"/>
      <c r="V165" s="194"/>
      <c r="W165" s="197">
        <f>E165/'LEVEL 3'!$B$8</f>
        <v>0</v>
      </c>
      <c r="X165" s="193"/>
      <c r="Y165" s="194"/>
      <c r="Z165" s="197">
        <f>H165/('Scenario 1 - Phase 1'!$B$8+'LEVEL 3'!$B$8)</f>
        <v>0</v>
      </c>
      <c r="AA165" s="1"/>
    </row>
    <row r="166" spans="1:27" hidden="1">
      <c r="A166" s="37" t="s">
        <v>432</v>
      </c>
      <c r="B166" s="83">
        <f>'Scenario 1 - Phase 1'!K181</f>
        <v>0</v>
      </c>
      <c r="C166" s="1"/>
      <c r="E166" s="83">
        <f>'LEVEL 3'!K184</f>
        <v>0</v>
      </c>
      <c r="F166" s="1"/>
      <c r="H166" s="83">
        <f t="shared" si="13"/>
        <v>0</v>
      </c>
      <c r="I166" s="1"/>
      <c r="K166" s="83">
        <f>B166/'Scenario 1 - Phase 1'!$E$8</f>
        <v>0</v>
      </c>
      <c r="L166" s="1"/>
      <c r="N166" s="83">
        <f>E166/'LEVEL 3'!$E$8</f>
        <v>0</v>
      </c>
      <c r="O166" s="1"/>
      <c r="Q166" s="83">
        <f>H166/('Scenario 1 - Phase 1'!$E$8+'LEVEL 3'!$E$8)</f>
        <v>0</v>
      </c>
      <c r="R166" s="1"/>
      <c r="T166" s="197">
        <f>B166/'Scenario 1 - Phase 1'!$B$8</f>
        <v>0</v>
      </c>
      <c r="U166" s="193"/>
      <c r="V166" s="194"/>
      <c r="W166" s="197">
        <f>E166/'LEVEL 3'!$B$8</f>
        <v>0</v>
      </c>
      <c r="X166" s="193"/>
      <c r="Y166" s="194"/>
      <c r="Z166" s="197">
        <f>H166/('Scenario 1 - Phase 1'!$B$8+'LEVEL 3'!$B$8)</f>
        <v>0</v>
      </c>
      <c r="AA166" s="1"/>
    </row>
    <row r="167" spans="1:27" hidden="1">
      <c r="A167" s="37" t="s">
        <v>433</v>
      </c>
      <c r="B167" s="83">
        <f>'Scenario 1 - Phase 1'!K182</f>
        <v>49224</v>
      </c>
      <c r="C167" s="1"/>
      <c r="E167" s="83">
        <f>'LEVEL 3'!K185</f>
        <v>24612</v>
      </c>
      <c r="F167" s="1"/>
      <c r="H167" s="83">
        <f t="shared" si="13"/>
        <v>73836</v>
      </c>
      <c r="I167" s="1"/>
      <c r="K167" s="83">
        <f>B167/'Scenario 1 - Phase 1'!$E$8</f>
        <v>141.85590778097983</v>
      </c>
      <c r="L167" s="1"/>
      <c r="N167" s="83">
        <f>E167/'LEVEL 3'!$E$8</f>
        <v>126.8659793814433</v>
      </c>
      <c r="O167" s="1"/>
      <c r="Q167" s="83">
        <f>H167/('Scenario 1 - Phase 1'!$E$8+'LEVEL 3'!$E$8)</f>
        <v>136.48059149722735</v>
      </c>
      <c r="R167" s="1"/>
      <c r="T167" s="197">
        <f>B167/'Scenario 1 - Phase 1'!$B$8</f>
        <v>0.15820429257380875</v>
      </c>
      <c r="U167" s="193"/>
      <c r="V167" s="194"/>
      <c r="W167" s="197">
        <f>E167/'LEVEL 3'!$B$8</f>
        <v>0.12538654738676136</v>
      </c>
      <c r="X167" s="193"/>
      <c r="Y167" s="194"/>
      <c r="Z167" s="197">
        <f>H167/('Scenario 1 - Phase 1'!$B$8+'LEVEL 3'!$B$8)</f>
        <v>0.14550943872171784</v>
      </c>
      <c r="AA167" s="1"/>
    </row>
    <row r="168" spans="1:27" hidden="1">
      <c r="A168" s="37" t="s">
        <v>435</v>
      </c>
      <c r="B168" s="83">
        <f>'Scenario 1 - Phase 1'!K183</f>
        <v>12000</v>
      </c>
      <c r="C168" s="1"/>
      <c r="E168" s="83">
        <f>'LEVEL 3'!K186</f>
        <v>6000</v>
      </c>
      <c r="F168" s="1"/>
      <c r="H168" s="83">
        <f t="shared" si="13"/>
        <v>18000</v>
      </c>
      <c r="I168" s="1"/>
      <c r="K168" s="83">
        <f>B168/'Scenario 1 - Phase 1'!$E$8</f>
        <v>34.582132564841501</v>
      </c>
      <c r="L168" s="1"/>
      <c r="N168" s="83">
        <f>E168/'LEVEL 3'!$E$8</f>
        <v>30.927835051546392</v>
      </c>
      <c r="O168" s="1"/>
      <c r="Q168" s="83">
        <f>H168/('Scenario 1 - Phase 1'!$E$8+'LEVEL 3'!$E$8)</f>
        <v>33.271719038817004</v>
      </c>
      <c r="R168" s="1"/>
      <c r="T168" s="197">
        <f>B168/'Scenario 1 - Phase 1'!$B$8</f>
        <v>3.8567599359777847E-2</v>
      </c>
      <c r="U168" s="193"/>
      <c r="V168" s="194"/>
      <c r="W168" s="197">
        <f>E168/'LEVEL 3'!$B$8</f>
        <v>3.0567173911935971E-2</v>
      </c>
      <c r="X168" s="193"/>
      <c r="Y168" s="194"/>
      <c r="Z168" s="197">
        <f>H168/('Scenario 1 - Phase 1'!$B$8+'LEVEL 3'!$B$8)</f>
        <v>3.5472803198858566E-2</v>
      </c>
      <c r="AA168" s="1"/>
    </row>
    <row r="169" spans="1:27">
      <c r="A169" s="33" t="s">
        <v>437</v>
      </c>
      <c r="B169" s="82"/>
      <c r="C169" s="102">
        <f>SUM(B170)</f>
        <v>3717376.3000000003</v>
      </c>
      <c r="E169" s="82"/>
      <c r="F169" s="102">
        <f>SUM(E170)</f>
        <v>16500</v>
      </c>
      <c r="H169" s="82"/>
      <c r="I169" s="102">
        <f>SUM(H170)</f>
        <v>3733876.3000000003</v>
      </c>
      <c r="K169" s="82"/>
      <c r="L169" s="102">
        <f>SUM(K170)</f>
        <v>10712.900000000001</v>
      </c>
      <c r="N169" s="82"/>
      <c r="O169" s="102">
        <f>SUM(N170)</f>
        <v>85.051546391752581</v>
      </c>
      <c r="Q169" s="82"/>
      <c r="R169" s="102">
        <f>SUM(Q170)</f>
        <v>6901.8046210720895</v>
      </c>
      <c r="T169" s="82"/>
      <c r="U169" s="201">
        <f>C169/'Scenario 1 - Phase 1'!$B$8</f>
        <v>11.94752331732778</v>
      </c>
      <c r="V169" s="199"/>
      <c r="W169" s="203"/>
      <c r="X169" s="201">
        <f>F169/'LEVEL 3'!$B$8</f>
        <v>8.4059728257823929E-2</v>
      </c>
      <c r="Y169" s="199"/>
      <c r="Z169" s="203"/>
      <c r="AA169" s="201">
        <f>I169/('Scenario 1 - Phase 1'!$B$8+'LEVEL 3'!$B$8)</f>
        <v>7.3583921754878991</v>
      </c>
    </row>
    <row r="170" spans="1:27">
      <c r="A170" s="34" t="s">
        <v>439</v>
      </c>
      <c r="B170" s="65">
        <f>'Scenario 1 - Phase 1'!K185</f>
        <v>3717376.3000000003</v>
      </c>
      <c r="C170" s="1"/>
      <c r="E170" s="65">
        <f>'LEVEL 3'!K189</f>
        <v>16500</v>
      </c>
      <c r="F170" s="1"/>
      <c r="H170" s="65">
        <f>B170+E170</f>
        <v>3733876.3000000003</v>
      </c>
      <c r="I170" s="1"/>
      <c r="K170" s="65">
        <f>B170/'Scenario 1 - Phase 1'!$E$8</f>
        <v>10712.900000000001</v>
      </c>
      <c r="L170" s="1"/>
      <c r="N170" s="65">
        <f>E170/'LEVEL 3'!$E$8</f>
        <v>85.051546391752581</v>
      </c>
      <c r="O170" s="1"/>
      <c r="Q170" s="65">
        <f>H170/('Scenario 1 - Phase 1'!$E$8+'LEVEL 3'!$E$8)</f>
        <v>6901.8046210720895</v>
      </c>
      <c r="R170" s="1"/>
      <c r="T170" s="192">
        <f>B170/'Scenario 1 - Phase 1'!$B$8</f>
        <v>11.94752331732778</v>
      </c>
      <c r="U170" s="193"/>
      <c r="V170" s="194"/>
      <c r="W170" s="192">
        <f>E170/'LEVEL 3'!$B$8</f>
        <v>8.4059728257823929E-2</v>
      </c>
      <c r="X170" s="193"/>
      <c r="Y170" s="194"/>
      <c r="Z170" s="192">
        <f>H170/('Scenario 1 - Phase 1'!$B$8+'LEVEL 3'!$B$8)</f>
        <v>7.3583921754878991</v>
      </c>
      <c r="AA170" s="1"/>
    </row>
    <row r="171" spans="1:27">
      <c r="A171" s="33" t="s">
        <v>442</v>
      </c>
      <c r="B171" s="82"/>
      <c r="C171" s="102">
        <f>SUM(B172:B187)</f>
        <v>3468966.5399999996</v>
      </c>
      <c r="E171" s="82"/>
      <c r="F171" s="102">
        <f>SUM(E172:E187)</f>
        <v>2246065.4308303986</v>
      </c>
      <c r="H171" s="82"/>
      <c r="I171" s="102">
        <f>SUM(H172:H187)</f>
        <v>5715031.9708303986</v>
      </c>
      <c r="K171" s="82"/>
      <c r="L171" s="102">
        <f>SUM(K172:K187)</f>
        <v>9997.0217291066256</v>
      </c>
      <c r="N171" s="82"/>
      <c r="O171" s="102">
        <f>SUM(N172:N187)</f>
        <v>11577.65685995051</v>
      </c>
      <c r="Q171" s="82"/>
      <c r="R171" s="102">
        <f>SUM(Q172:Q187)</f>
        <v>10563.829890629202</v>
      </c>
      <c r="T171" s="82"/>
      <c r="U171" s="201">
        <f>C171/'Scenario 1 - Phase 1'!$B$8</f>
        <v>11.149142642266231</v>
      </c>
      <c r="V171" s="199"/>
      <c r="W171" s="203"/>
      <c r="X171" s="201">
        <f>F171/'LEVEL 3'!$B$8</f>
        <v>11.442645440296698</v>
      </c>
      <c r="Y171" s="199"/>
      <c r="Z171" s="203"/>
      <c r="AA171" s="201">
        <f>I171/('Scenario 1 - Phase 1'!$B$8+'LEVEL 3'!$B$8)</f>
        <v>11.262678020913974</v>
      </c>
    </row>
    <row r="172" spans="1:27">
      <c r="A172" s="35" t="s">
        <v>444</v>
      </c>
      <c r="B172" s="71">
        <f>'Scenario 1 - Phase 1'!K187</f>
        <v>2884286.34</v>
      </c>
      <c r="C172" s="1"/>
      <c r="E172" s="71">
        <f>'LEVEL 3'!K191</f>
        <v>1910569.4308303986</v>
      </c>
      <c r="F172" s="1"/>
      <c r="H172" s="71">
        <f t="shared" ref="H172:H187" si="14">B172+E172</f>
        <v>4794855.7708303984</v>
      </c>
      <c r="I172" s="1"/>
      <c r="K172" s="71">
        <f>B172/'Scenario 1 - Phase 1'!$E$8</f>
        <v>8312.0643804034571</v>
      </c>
      <c r="L172" s="1"/>
      <c r="N172" s="71">
        <f>E172/'LEVEL 3'!$E$8</f>
        <v>9848.2960352082409</v>
      </c>
      <c r="O172" s="1"/>
      <c r="Q172" s="71">
        <f>H172/('Scenario 1 - Phase 1'!$E$8+'LEVEL 3'!$E$8)</f>
        <v>8862.9496688177423</v>
      </c>
      <c r="R172" s="1"/>
      <c r="T172" s="195">
        <f>B172/'Scenario 1 - Phase 1'!$B$8</f>
        <v>9.27</v>
      </c>
      <c r="U172" s="193"/>
      <c r="V172" s="194"/>
      <c r="W172" s="195">
        <f>E172/'LEVEL 3'!$B$8</f>
        <v>9.7334513438368866</v>
      </c>
      <c r="X172" s="193"/>
      <c r="Y172" s="194"/>
      <c r="Z172" s="195">
        <f>H172/('Scenario 1 - Phase 1'!$B$8+'LEVEL 3'!$B$8)</f>
        <v>9.4492763958654447</v>
      </c>
      <c r="AA172" s="1"/>
    </row>
    <row r="173" spans="1:27">
      <c r="A173" s="37" t="s">
        <v>447</v>
      </c>
      <c r="B173" s="83">
        <f>'Scenario 1 - Phase 1'!K188</f>
        <v>206118</v>
      </c>
      <c r="C173" s="1"/>
      <c r="E173" s="83">
        <f>'LEVEL 3'!K192</f>
        <v>115236</v>
      </c>
      <c r="F173" s="1"/>
      <c r="H173" s="83">
        <f t="shared" si="14"/>
        <v>321354</v>
      </c>
      <c r="I173" s="1"/>
      <c r="K173" s="83">
        <f>B173/'Scenario 1 - Phase 1'!$E$8</f>
        <v>594</v>
      </c>
      <c r="L173" s="1"/>
      <c r="N173" s="83">
        <f>E173/'LEVEL 3'!$E$8</f>
        <v>594</v>
      </c>
      <c r="O173" s="1"/>
      <c r="Q173" s="83">
        <f>H173/('Scenario 1 - Phase 1'!$E$8+'LEVEL 3'!$E$8)</f>
        <v>594</v>
      </c>
      <c r="R173" s="1"/>
      <c r="T173" s="197">
        <f>B173/'Scenario 1 - Phase 1'!$B$8</f>
        <v>0.66245637040322425</v>
      </c>
      <c r="U173" s="193"/>
      <c r="V173" s="194"/>
      <c r="W173" s="197">
        <f>E173/'LEVEL 3'!$B$8</f>
        <v>0.58707314215264228</v>
      </c>
      <c r="X173" s="193"/>
      <c r="Y173" s="194"/>
      <c r="Z173" s="197">
        <f>H173/('Scenario 1 - Phase 1'!$B$8+'LEVEL 3'!$B$8)</f>
        <v>0.63329595550922191</v>
      </c>
      <c r="AA173" s="1"/>
    </row>
    <row r="174" spans="1:27" hidden="1">
      <c r="A174" s="37" t="s">
        <v>449</v>
      </c>
      <c r="B174" s="83">
        <f>'Scenario 1 - Phase 1'!K189</f>
        <v>41293</v>
      </c>
      <c r="C174" s="1"/>
      <c r="E174" s="83">
        <f>'LEVEL 3'!K193</f>
        <v>23086</v>
      </c>
      <c r="F174" s="1"/>
      <c r="H174" s="83">
        <f t="shared" si="14"/>
        <v>64379</v>
      </c>
      <c r="I174" s="1"/>
      <c r="K174" s="83">
        <f>B174/'Scenario 1 - Phase 1'!$E$8</f>
        <v>119</v>
      </c>
      <c r="L174" s="1"/>
      <c r="N174" s="83">
        <f>E174/'LEVEL 3'!$E$8</f>
        <v>119</v>
      </c>
      <c r="O174" s="1"/>
      <c r="Q174" s="83">
        <f>H174/('Scenario 1 - Phase 1'!$E$8+'LEVEL 3'!$E$8)</f>
        <v>119</v>
      </c>
      <c r="R174" s="1"/>
      <c r="T174" s="197">
        <f>B174/'Scenario 1 - Phase 1'!$B$8</f>
        <v>0.13271432336360889</v>
      </c>
      <c r="U174" s="193"/>
      <c r="V174" s="194"/>
      <c r="W174" s="197">
        <f>E174/'LEVEL 3'!$B$8</f>
        <v>0.11761229615515897</v>
      </c>
      <c r="X174" s="193"/>
      <c r="Y174" s="194"/>
      <c r="Z174" s="197">
        <f>H174/('Scenario 1 - Phase 1'!$B$8+'LEVEL 3'!$B$8)</f>
        <v>0.1268724220632953</v>
      </c>
      <c r="AA174" s="1"/>
    </row>
    <row r="175" spans="1:27" hidden="1">
      <c r="A175" s="37" t="s">
        <v>451</v>
      </c>
      <c r="B175" s="83">
        <f>'Scenario 1 - Phase 1'!K190</f>
        <v>38864</v>
      </c>
      <c r="C175" s="1"/>
      <c r="E175" s="83">
        <f>'LEVEL 3'!K194</f>
        <v>21728</v>
      </c>
      <c r="F175" s="1"/>
      <c r="H175" s="83">
        <f t="shared" si="14"/>
        <v>60592</v>
      </c>
      <c r="I175" s="1"/>
      <c r="K175" s="83">
        <f>B175/'Scenario 1 - Phase 1'!$E$8</f>
        <v>112</v>
      </c>
      <c r="L175" s="1"/>
      <c r="N175" s="83">
        <f>E175/'LEVEL 3'!$E$8</f>
        <v>112</v>
      </c>
      <c r="O175" s="1"/>
      <c r="Q175" s="83">
        <f>H175/('Scenario 1 - Phase 1'!$E$8+'LEVEL 3'!$E$8)</f>
        <v>112</v>
      </c>
      <c r="R175" s="1"/>
      <c r="T175" s="197">
        <f>B175/'Scenario 1 - Phase 1'!$B$8</f>
        <v>0.12490759845986719</v>
      </c>
      <c r="U175" s="193"/>
      <c r="V175" s="194"/>
      <c r="W175" s="197">
        <f>E175/'LEVEL 3'!$B$8</f>
        <v>0.1106939257930908</v>
      </c>
      <c r="X175" s="193"/>
      <c r="Y175" s="194"/>
      <c r="Z175" s="197">
        <f>H175/('Scenario 1 - Phase 1'!$B$8+'LEVEL 3'!$B$8)</f>
        <v>0.11940933841251322</v>
      </c>
      <c r="AA175" s="1"/>
    </row>
    <row r="176" spans="1:27" hidden="1">
      <c r="A176" s="37" t="s">
        <v>453</v>
      </c>
      <c r="B176" s="83">
        <f>'Scenario 1 - Phase 1'!K191</f>
        <v>42724.799999999996</v>
      </c>
      <c r="C176" s="1"/>
      <c r="E176" s="83">
        <f>'LEVEL 3'!K195</f>
        <v>17526</v>
      </c>
      <c r="F176" s="1"/>
      <c r="H176" s="83">
        <f t="shared" si="14"/>
        <v>60250.799999999996</v>
      </c>
      <c r="I176" s="1"/>
      <c r="K176" s="83">
        <f>B176/'Scenario 1 - Phase 1'!$E$8</f>
        <v>123.12622478386166</v>
      </c>
      <c r="L176" s="1"/>
      <c r="N176" s="83">
        <f>E176/'LEVEL 3'!$E$8</f>
        <v>90.340206185567013</v>
      </c>
      <c r="O176" s="1"/>
      <c r="Q176" s="83">
        <f>H176/('Scenario 1 - Phase 1'!$E$8+'LEVEL 3'!$E$8)</f>
        <v>111.36931608133087</v>
      </c>
      <c r="R176" s="1"/>
      <c r="T176" s="197">
        <f>B176/'Scenario 1 - Phase 1'!$B$8</f>
        <v>0.13731608076055304</v>
      </c>
      <c r="U176" s="193"/>
      <c r="V176" s="194"/>
      <c r="W176" s="197">
        <f>E176/'LEVEL 3'!$B$8</f>
        <v>8.9286714996764979E-2</v>
      </c>
      <c r="X176" s="193"/>
      <c r="Y176" s="194"/>
      <c r="Z176" s="197">
        <f>H176/('Scenario 1 - Phase 1'!$B$8+'LEVEL 3'!$B$8)</f>
        <v>0.11873693172076596</v>
      </c>
      <c r="AA176" s="1"/>
    </row>
    <row r="177" spans="1:27" hidden="1">
      <c r="A177" s="37" t="s">
        <v>455</v>
      </c>
      <c r="B177" s="83">
        <f>'Scenario 1 - Phase 1'!K192</f>
        <v>7430.4</v>
      </c>
      <c r="C177" s="1"/>
      <c r="E177" s="83">
        <f>'LEVEL 3'!K196</f>
        <v>3120</v>
      </c>
      <c r="F177" s="1"/>
      <c r="H177" s="83">
        <f t="shared" si="14"/>
        <v>10550.4</v>
      </c>
      <c r="I177" s="1"/>
      <c r="K177" s="83">
        <f>B177/'Scenario 1 - Phase 1'!$E$8</f>
        <v>21.413256484149855</v>
      </c>
      <c r="L177" s="1"/>
      <c r="N177" s="83">
        <f>E177/'LEVEL 3'!$E$8</f>
        <v>16.082474226804123</v>
      </c>
      <c r="O177" s="1"/>
      <c r="Q177" s="83">
        <f>H177/('Scenario 1 - Phase 1'!$E$8+'LEVEL 3'!$E$8)</f>
        <v>19.501663585951942</v>
      </c>
      <c r="R177" s="1"/>
      <c r="T177" s="197">
        <f>B177/'Scenario 1 - Phase 1'!$B$8</f>
        <v>2.3881057523574445E-2</v>
      </c>
      <c r="U177" s="193"/>
      <c r="V177" s="194"/>
      <c r="W177" s="197">
        <f>E177/'LEVEL 3'!$B$8</f>
        <v>1.5894930434206707E-2</v>
      </c>
      <c r="X177" s="193"/>
      <c r="Y177" s="194"/>
      <c r="Z177" s="197">
        <f>H177/('Scenario 1 - Phase 1'!$B$8+'LEVEL 3'!$B$8)</f>
        <v>2.0791792381624298E-2</v>
      </c>
      <c r="AA177" s="1"/>
    </row>
    <row r="178" spans="1:27" hidden="1">
      <c r="A178" s="37" t="s">
        <v>456</v>
      </c>
      <c r="B178" s="83">
        <f>'Scenario 1 - Phase 1'!K193</f>
        <v>0</v>
      </c>
      <c r="C178" s="1"/>
      <c r="E178" s="83">
        <f>'LEVEL 3'!K197</f>
        <v>0</v>
      </c>
      <c r="F178" s="1"/>
      <c r="H178" s="83">
        <f t="shared" si="14"/>
        <v>0</v>
      </c>
      <c r="I178" s="1"/>
      <c r="K178" s="83">
        <f>B178/'Scenario 1 - Phase 1'!$E$8</f>
        <v>0</v>
      </c>
      <c r="L178" s="1"/>
      <c r="N178" s="83">
        <f>E178/'LEVEL 3'!$E$8</f>
        <v>0</v>
      </c>
      <c r="O178" s="1"/>
      <c r="Q178" s="83">
        <f>H178/('Scenario 1 - Phase 1'!$E$8+'LEVEL 3'!$E$8)</f>
        <v>0</v>
      </c>
      <c r="R178" s="1"/>
      <c r="T178" s="197">
        <f>B178/'Scenario 1 - Phase 1'!$B$8</f>
        <v>0</v>
      </c>
      <c r="U178" s="193"/>
      <c r="V178" s="194"/>
      <c r="W178" s="197">
        <f>E178/'LEVEL 3'!$B$8</f>
        <v>0</v>
      </c>
      <c r="X178" s="193"/>
      <c r="Y178" s="194"/>
      <c r="Z178" s="197">
        <f>H178/('Scenario 1 - Phase 1'!$B$8+'LEVEL 3'!$B$8)</f>
        <v>0</v>
      </c>
      <c r="AA178" s="1"/>
    </row>
    <row r="179" spans="1:27" hidden="1">
      <c r="A179" s="37" t="s">
        <v>457</v>
      </c>
      <c r="B179" s="83">
        <f>'Scenario 1 - Phase 1'!K194</f>
        <v>0</v>
      </c>
      <c r="C179" s="1"/>
      <c r="E179" s="83">
        <f>'LEVEL 3'!K198</f>
        <v>0</v>
      </c>
      <c r="F179" s="1"/>
      <c r="H179" s="83">
        <f t="shared" si="14"/>
        <v>0</v>
      </c>
      <c r="I179" s="1"/>
      <c r="K179" s="83">
        <f>B179/'Scenario 1 - Phase 1'!$E$8</f>
        <v>0</v>
      </c>
      <c r="L179" s="1"/>
      <c r="N179" s="83">
        <f>E179/'LEVEL 3'!$E$8</f>
        <v>0</v>
      </c>
      <c r="O179" s="1"/>
      <c r="Q179" s="83">
        <f>H179/('Scenario 1 - Phase 1'!$E$8+'LEVEL 3'!$E$8)</f>
        <v>0</v>
      </c>
      <c r="R179" s="1"/>
      <c r="T179" s="197">
        <f>B179/'Scenario 1 - Phase 1'!$B$8</f>
        <v>0</v>
      </c>
      <c r="U179" s="193"/>
      <c r="V179" s="194"/>
      <c r="W179" s="197">
        <f>E179/'LEVEL 3'!$B$8</f>
        <v>0</v>
      </c>
      <c r="X179" s="193"/>
      <c r="Y179" s="194"/>
      <c r="Z179" s="197">
        <f>H179/('Scenario 1 - Phase 1'!$B$8+'LEVEL 3'!$B$8)</f>
        <v>0</v>
      </c>
      <c r="AA179" s="1"/>
    </row>
    <row r="180" spans="1:27">
      <c r="A180" s="37" t="s">
        <v>459</v>
      </c>
      <c r="B180" s="83">
        <f>'Scenario 1 - Phase 1'!K195</f>
        <v>150000</v>
      </c>
      <c r="C180" s="1"/>
      <c r="E180" s="83">
        <f>'LEVEL 3'!K199</f>
        <v>100000</v>
      </c>
      <c r="F180" s="1"/>
      <c r="H180" s="83">
        <f t="shared" si="14"/>
        <v>250000</v>
      </c>
      <c r="I180" s="1"/>
      <c r="K180" s="83">
        <f>B180/'Scenario 1 - Phase 1'!$E$8</f>
        <v>432.27665706051874</v>
      </c>
      <c r="L180" s="1"/>
      <c r="N180" s="83">
        <f>E180/'LEVEL 3'!$E$8</f>
        <v>515.46391752577324</v>
      </c>
      <c r="O180" s="1"/>
      <c r="Q180" s="83">
        <f>H180/('Scenario 1 - Phase 1'!$E$8+'LEVEL 3'!$E$8)</f>
        <v>462.10720887245839</v>
      </c>
      <c r="R180" s="1"/>
      <c r="T180" s="197">
        <f>B180/'Scenario 1 - Phase 1'!$B$8</f>
        <v>0.48209499199722311</v>
      </c>
      <c r="U180" s="193"/>
      <c r="V180" s="194"/>
      <c r="W180" s="197">
        <f>E180/'LEVEL 3'!$B$8</f>
        <v>0.50945289853226616</v>
      </c>
      <c r="X180" s="193"/>
      <c r="Y180" s="194"/>
      <c r="Z180" s="197">
        <f>H180/('Scenario 1 - Phase 1'!$B$8+'LEVEL 3'!$B$8)</f>
        <v>0.49267782220636896</v>
      </c>
      <c r="AA180" s="1"/>
    </row>
    <row r="181" spans="1:27" hidden="1">
      <c r="A181" s="37" t="s">
        <v>462</v>
      </c>
      <c r="B181" s="83">
        <f>'Scenario 1 - Phase 1'!K196</f>
        <v>11700</v>
      </c>
      <c r="C181" s="1"/>
      <c r="E181" s="83">
        <f>'LEVEL 3'!K200</f>
        <v>4900</v>
      </c>
      <c r="F181" s="1"/>
      <c r="H181" s="83">
        <f t="shared" si="14"/>
        <v>16600</v>
      </c>
      <c r="I181" s="1"/>
      <c r="K181" s="83">
        <f>B181/'Scenario 1 - Phase 1'!$E$8</f>
        <v>33.717579250720462</v>
      </c>
      <c r="L181" s="1"/>
      <c r="N181" s="83">
        <f>E181/'LEVEL 3'!$E$8</f>
        <v>25.257731958762886</v>
      </c>
      <c r="O181" s="1"/>
      <c r="Q181" s="83">
        <f>H181/('Scenario 1 - Phase 1'!$E$8+'LEVEL 3'!$E$8)</f>
        <v>30.683918669131238</v>
      </c>
      <c r="R181" s="1"/>
      <c r="T181" s="197">
        <f>B181/'Scenario 1 - Phase 1'!$B$8</f>
        <v>3.7603409375783402E-2</v>
      </c>
      <c r="U181" s="193"/>
      <c r="V181" s="194"/>
      <c r="W181" s="197">
        <f>E181/'LEVEL 3'!$B$8</f>
        <v>2.4963192028081043E-2</v>
      </c>
      <c r="X181" s="193"/>
      <c r="Y181" s="194"/>
      <c r="Z181" s="197">
        <f>H181/('Scenario 1 - Phase 1'!$B$8+'LEVEL 3'!$B$8)</f>
        <v>3.27138073945029E-2</v>
      </c>
      <c r="AA181" s="1"/>
    </row>
    <row r="182" spans="1:27" hidden="1">
      <c r="A182" s="37" t="s">
        <v>465</v>
      </c>
      <c r="B182" s="83">
        <f>'Scenario 1 - Phase 1'!K197</f>
        <v>11700</v>
      </c>
      <c r="C182" s="1"/>
      <c r="E182" s="83">
        <f>'LEVEL 3'!K201</f>
        <v>4900</v>
      </c>
      <c r="F182" s="1"/>
      <c r="H182" s="83">
        <f t="shared" si="14"/>
        <v>16600</v>
      </c>
      <c r="I182" s="1"/>
      <c r="K182" s="83">
        <f>B182/'Scenario 1 - Phase 1'!$E$8</f>
        <v>33.717579250720462</v>
      </c>
      <c r="L182" s="1"/>
      <c r="N182" s="83">
        <f>E182/'LEVEL 3'!$E$8</f>
        <v>25.257731958762886</v>
      </c>
      <c r="O182" s="1"/>
      <c r="Q182" s="83">
        <f>H182/('Scenario 1 - Phase 1'!$E$8+'LEVEL 3'!$E$8)</f>
        <v>30.683918669131238</v>
      </c>
      <c r="R182" s="1"/>
      <c r="T182" s="197">
        <f>B182/'Scenario 1 - Phase 1'!$B$8</f>
        <v>3.7603409375783402E-2</v>
      </c>
      <c r="U182" s="193"/>
      <c r="V182" s="194"/>
      <c r="W182" s="197">
        <f>E182/'LEVEL 3'!$B$8</f>
        <v>2.4963192028081043E-2</v>
      </c>
      <c r="X182" s="193"/>
      <c r="Y182" s="194"/>
      <c r="Z182" s="197">
        <f>H182/('Scenario 1 - Phase 1'!$B$8+'LEVEL 3'!$B$8)</f>
        <v>3.27138073945029E-2</v>
      </c>
      <c r="AA182" s="1"/>
    </row>
    <row r="183" spans="1:27" hidden="1">
      <c r="A183" s="37" t="s">
        <v>467</v>
      </c>
      <c r="B183" s="83">
        <f>'Scenario 1 - Phase 1'!K198</f>
        <v>34000</v>
      </c>
      <c r="C183" s="1"/>
      <c r="E183" s="83">
        <f>'LEVEL 3'!K202</f>
        <v>17000</v>
      </c>
      <c r="F183" s="1"/>
      <c r="H183" s="83">
        <f t="shared" si="14"/>
        <v>51000</v>
      </c>
      <c r="I183" s="1"/>
      <c r="K183" s="83">
        <f>B183/'Scenario 1 - Phase 1'!$E$8</f>
        <v>97.982708933717575</v>
      </c>
      <c r="L183" s="1"/>
      <c r="N183" s="83">
        <f>E183/'LEVEL 3'!$E$8</f>
        <v>87.628865979381445</v>
      </c>
      <c r="O183" s="1"/>
      <c r="Q183" s="83">
        <f>H183/('Scenario 1 - Phase 1'!$E$8+'LEVEL 3'!$E$8)</f>
        <v>94.26987060998151</v>
      </c>
      <c r="R183" s="1"/>
      <c r="T183" s="197">
        <f>B183/'Scenario 1 - Phase 1'!$B$8</f>
        <v>0.10927486485270391</v>
      </c>
      <c r="U183" s="193"/>
      <c r="V183" s="194"/>
      <c r="W183" s="197">
        <f>E183/'LEVEL 3'!$B$8</f>
        <v>8.6606992750485251E-2</v>
      </c>
      <c r="X183" s="193"/>
      <c r="Y183" s="194"/>
      <c r="Z183" s="197">
        <f>H183/('Scenario 1 - Phase 1'!$B$8+'LEVEL 3'!$B$8)</f>
        <v>0.10050627573009926</v>
      </c>
      <c r="AA183" s="1"/>
    </row>
    <row r="184" spans="1:27" hidden="1">
      <c r="A184" s="37" t="s">
        <v>469</v>
      </c>
      <c r="B184" s="83">
        <f>'Scenario 1 - Phase 1'!K199</f>
        <v>22000</v>
      </c>
      <c r="C184" s="1"/>
      <c r="E184" s="83">
        <f>'LEVEL 3'!K203</f>
        <v>11000</v>
      </c>
      <c r="F184" s="1"/>
      <c r="H184" s="83">
        <f t="shared" si="14"/>
        <v>33000</v>
      </c>
      <c r="I184" s="1"/>
      <c r="K184" s="83">
        <f>B184/'Scenario 1 - Phase 1'!$E$8</f>
        <v>63.400576368876081</v>
      </c>
      <c r="L184" s="1"/>
      <c r="N184" s="83">
        <f>E184/'LEVEL 3'!$E$8</f>
        <v>56.701030927835049</v>
      </c>
      <c r="O184" s="1"/>
      <c r="Q184" s="83">
        <f>H184/('Scenario 1 - Phase 1'!$E$8+'LEVEL 3'!$E$8)</f>
        <v>60.998151571164513</v>
      </c>
      <c r="R184" s="1"/>
      <c r="T184" s="197">
        <f>B184/'Scenario 1 - Phase 1'!$B$8</f>
        <v>7.0707265492926066E-2</v>
      </c>
      <c r="U184" s="193"/>
      <c r="V184" s="194"/>
      <c r="W184" s="197">
        <f>E184/'LEVEL 3'!$B$8</f>
        <v>5.6039818838549284E-2</v>
      </c>
      <c r="X184" s="193"/>
      <c r="Y184" s="194"/>
      <c r="Z184" s="197">
        <f>H184/('Scenario 1 - Phase 1'!$B$8+'LEVEL 3'!$B$8)</f>
        <v>6.5033472531240699E-2</v>
      </c>
      <c r="AA184" s="1"/>
    </row>
    <row r="185" spans="1:27" hidden="1">
      <c r="A185" s="37" t="s">
        <v>471</v>
      </c>
      <c r="B185" s="83">
        <f>'Scenario 1 - Phase 1'!K200</f>
        <v>4000</v>
      </c>
      <c r="C185" s="1"/>
      <c r="E185" s="83">
        <f>'LEVEL 3'!K204</f>
        <v>2000</v>
      </c>
      <c r="F185" s="1"/>
      <c r="H185" s="83">
        <f t="shared" si="14"/>
        <v>6000</v>
      </c>
      <c r="I185" s="1"/>
      <c r="K185" s="83">
        <f>B185/'Scenario 1 - Phase 1'!$E$8</f>
        <v>11.527377521613833</v>
      </c>
      <c r="L185" s="1"/>
      <c r="N185" s="83">
        <f>E185/'LEVEL 3'!$E$8</f>
        <v>10.309278350515465</v>
      </c>
      <c r="O185" s="1"/>
      <c r="Q185" s="83">
        <f>H185/('Scenario 1 - Phase 1'!$E$8+'LEVEL 3'!$E$8)</f>
        <v>11.090573012939002</v>
      </c>
      <c r="R185" s="1"/>
      <c r="T185" s="197">
        <f>B185/'Scenario 1 - Phase 1'!$B$8</f>
        <v>1.2855866453259283E-2</v>
      </c>
      <c r="U185" s="193"/>
      <c r="V185" s="194"/>
      <c r="W185" s="197">
        <f>E185/'LEVEL 3'!$B$8</f>
        <v>1.0189057970645324E-2</v>
      </c>
      <c r="X185" s="193"/>
      <c r="Y185" s="194"/>
      <c r="Z185" s="197">
        <f>H185/('Scenario 1 - Phase 1'!$B$8+'LEVEL 3'!$B$8)</f>
        <v>1.1824267732952854E-2</v>
      </c>
      <c r="AA185" s="1"/>
    </row>
    <row r="186" spans="1:27" hidden="1">
      <c r="A186" s="37" t="s">
        <v>473</v>
      </c>
      <c r="B186" s="83">
        <f>'Scenario 1 - Phase 1'!K201</f>
        <v>14250</v>
      </c>
      <c r="C186" s="1"/>
      <c r="E186" s="83">
        <f>'LEVEL 3'!K205</f>
        <v>14250</v>
      </c>
      <c r="F186" s="1"/>
      <c r="H186" s="83">
        <f t="shared" si="14"/>
        <v>28500</v>
      </c>
      <c r="I186" s="1"/>
      <c r="K186" s="83">
        <f>B186/'Scenario 1 - Phase 1'!$E$8</f>
        <v>41.066282420749282</v>
      </c>
      <c r="L186" s="1"/>
      <c r="N186" s="83">
        <f>E186/'LEVEL 3'!$E$8</f>
        <v>73.453608247422679</v>
      </c>
      <c r="O186" s="1"/>
      <c r="Q186" s="83">
        <f>H186/('Scenario 1 - Phase 1'!$E$8+'LEVEL 3'!$E$8)</f>
        <v>52.680221811460257</v>
      </c>
      <c r="R186" s="1"/>
      <c r="T186" s="197">
        <f>B186/'Scenario 1 - Phase 1'!$B$8</f>
        <v>4.5799024239736197E-2</v>
      </c>
      <c r="U186" s="193"/>
      <c r="V186" s="194"/>
      <c r="W186" s="197">
        <f>E186/'LEVEL 3'!$B$8</f>
        <v>7.2597038040847939E-2</v>
      </c>
      <c r="X186" s="193"/>
      <c r="Y186" s="194"/>
      <c r="Z186" s="197">
        <f>H186/('Scenario 1 - Phase 1'!$B$8+'LEVEL 3'!$B$8)</f>
        <v>5.6165271731526058E-2</v>
      </c>
      <c r="AA186" s="1"/>
    </row>
    <row r="187" spans="1:27" hidden="1">
      <c r="A187" s="37" t="s">
        <v>474</v>
      </c>
      <c r="B187" s="83">
        <f>'Scenario 1 - Phase 1'!K202</f>
        <v>600</v>
      </c>
      <c r="C187" s="1"/>
      <c r="E187" s="83">
        <f>'LEVEL 3'!K206</f>
        <v>750</v>
      </c>
      <c r="F187" s="1"/>
      <c r="H187" s="83">
        <f t="shared" si="14"/>
        <v>1350</v>
      </c>
      <c r="I187" s="1"/>
      <c r="K187" s="83">
        <f>B187/'Scenario 1 - Phase 1'!$E$8</f>
        <v>1.7291066282420748</v>
      </c>
      <c r="L187" s="1"/>
      <c r="N187" s="83">
        <f>E187/'LEVEL 3'!$E$8</f>
        <v>3.865979381443299</v>
      </c>
      <c r="O187" s="1"/>
      <c r="Q187" s="83">
        <f>H187/('Scenario 1 - Phase 1'!$E$8+'LEVEL 3'!$E$8)</f>
        <v>2.4953789279112755</v>
      </c>
      <c r="R187" s="1"/>
      <c r="T187" s="197">
        <f>B187/'Scenario 1 - Phase 1'!$B$8</f>
        <v>1.9283799679888926E-3</v>
      </c>
      <c r="U187" s="193"/>
      <c r="V187" s="194"/>
      <c r="W187" s="197">
        <f>E187/'LEVEL 3'!$B$8</f>
        <v>3.8208967389919963E-3</v>
      </c>
      <c r="X187" s="193"/>
      <c r="Y187" s="194"/>
      <c r="Z187" s="197">
        <f>H187/('Scenario 1 - Phase 1'!$B$8+'LEVEL 3'!$B$8)</f>
        <v>2.6604602399143925E-3</v>
      </c>
      <c r="AA187" s="1"/>
    </row>
    <row r="188" spans="1:27">
      <c r="A188" s="33" t="s">
        <v>475</v>
      </c>
      <c r="B188" s="82"/>
      <c r="C188" s="102">
        <f>SUM(B189:B191)</f>
        <v>186973.78</v>
      </c>
      <c r="E188" s="82"/>
      <c r="F188" s="102">
        <f>SUM(E189:E191)</f>
        <v>117610.51</v>
      </c>
      <c r="H188" s="82"/>
      <c r="I188" s="102">
        <f>SUM(H189:H191)</f>
        <v>304584.28999999998</v>
      </c>
      <c r="K188" s="82"/>
      <c r="L188" s="102">
        <f>SUM(K189:K191)</f>
        <v>538.82933717579249</v>
      </c>
      <c r="N188" s="82"/>
      <c r="O188" s="102">
        <f>SUM(N189:N191)</f>
        <v>606.23974226804125</v>
      </c>
      <c r="Q188" s="82"/>
      <c r="R188" s="102">
        <f>SUM(Q189:Q191)</f>
        <v>563.00238447319771</v>
      </c>
      <c r="T188" s="82"/>
      <c r="U188" s="201">
        <f>C188/'Scenario 1 - Phase 1'!$B$8</f>
        <v>0.60092748648527039</v>
      </c>
      <c r="V188" s="199"/>
      <c r="W188" s="203"/>
      <c r="X188" s="201">
        <f>F188/'LEVEL 3'!$B$8</f>
        <v>0.59917015217358072</v>
      </c>
      <c r="Y188" s="199"/>
      <c r="Z188" s="203"/>
      <c r="AA188" s="201">
        <f>I188/('Scenario 1 - Phase 1'!$B$8+'LEVEL 3'!$B$8)</f>
        <v>0.60024769870189243</v>
      </c>
    </row>
    <row r="189" spans="1:27" hidden="1">
      <c r="A189" s="35" t="s">
        <v>477</v>
      </c>
      <c r="B189" s="71">
        <f>'Scenario 1 - Phase 1'!K204</f>
        <v>1800</v>
      </c>
      <c r="C189" s="1"/>
      <c r="E189" s="71">
        <f>'LEVEL 3'!K208</f>
        <v>1000</v>
      </c>
      <c r="F189" s="1"/>
      <c r="H189" s="71">
        <f t="shared" ref="H189:H191" si="15">B189+E189</f>
        <v>2800</v>
      </c>
      <c r="I189" s="1"/>
      <c r="K189" s="71">
        <f>B189/'Scenario 1 - Phase 1'!$E$8</f>
        <v>5.1873198847262252</v>
      </c>
      <c r="L189" s="1"/>
      <c r="N189" s="71">
        <f>E189/'LEVEL 3'!$E$8</f>
        <v>5.1546391752577323</v>
      </c>
      <c r="O189" s="1"/>
      <c r="Q189" s="71">
        <f>H189/('Scenario 1 - Phase 1'!$E$8+'LEVEL 3'!$E$8)</f>
        <v>5.175600739371534</v>
      </c>
      <c r="R189" s="1"/>
      <c r="T189" s="195">
        <f>B189/'Scenario 1 - Phase 1'!$B$8</f>
        <v>5.7851399039666775E-3</v>
      </c>
      <c r="U189" s="193"/>
      <c r="V189" s="194"/>
      <c r="W189" s="195">
        <f>E189/'LEVEL 3'!$B$8</f>
        <v>5.0945289853226621E-3</v>
      </c>
      <c r="X189" s="193"/>
      <c r="Y189" s="194"/>
      <c r="Z189" s="195">
        <f>H189/('Scenario 1 - Phase 1'!$B$8+'LEVEL 3'!$B$8)</f>
        <v>5.5179916087113321E-3</v>
      </c>
      <c r="AA189" s="1"/>
    </row>
    <row r="190" spans="1:27">
      <c r="A190" s="37" t="s">
        <v>480</v>
      </c>
      <c r="B190" s="83">
        <f>'Scenario 1 - Phase 1'!K205</f>
        <v>183573.78</v>
      </c>
      <c r="C190" s="1"/>
      <c r="E190" s="83">
        <f>'LEVEL 3'!K209</f>
        <v>115810.51</v>
      </c>
      <c r="F190" s="1"/>
      <c r="H190" s="83">
        <f t="shared" si="15"/>
        <v>299384.28999999998</v>
      </c>
      <c r="I190" s="1"/>
      <c r="K190" s="83">
        <f>B190/'Scenario 1 - Phase 1'!$E$8</f>
        <v>529.03106628242074</v>
      </c>
      <c r="L190" s="1"/>
      <c r="N190" s="83">
        <f>E190/'LEVEL 3'!$E$8</f>
        <v>596.96139175257724</v>
      </c>
      <c r="O190" s="1"/>
      <c r="Q190" s="83">
        <f>H190/('Scenario 1 - Phase 1'!$E$8+'LEVEL 3'!$E$8)</f>
        <v>553.39055452865057</v>
      </c>
      <c r="R190" s="1"/>
      <c r="T190" s="197">
        <f>B190/'Scenario 1 - Phase 1'!$B$8</f>
        <v>0.59</v>
      </c>
      <c r="U190" s="193"/>
      <c r="V190" s="194"/>
      <c r="W190" s="197">
        <f>E190/'LEVEL 3'!$B$8</f>
        <v>0.59</v>
      </c>
      <c r="X190" s="193"/>
      <c r="Y190" s="194"/>
      <c r="Z190" s="197">
        <f>H190/('Scenario 1 - Phase 1'!$B$8+'LEVEL 3'!$B$8)</f>
        <v>0.59</v>
      </c>
      <c r="AA190" s="1"/>
    </row>
    <row r="191" spans="1:27" hidden="1">
      <c r="A191" s="37" t="s">
        <v>482</v>
      </c>
      <c r="B191" s="83">
        <f>'Scenario 1 - Phase 1'!K206</f>
        <v>1600</v>
      </c>
      <c r="C191" s="1"/>
      <c r="E191" s="83">
        <f>'LEVEL 3'!K210</f>
        <v>800</v>
      </c>
      <c r="F191" s="1"/>
      <c r="H191" s="83">
        <f t="shared" si="15"/>
        <v>2400</v>
      </c>
      <c r="I191" s="1"/>
      <c r="K191" s="83">
        <f>B191/'Scenario 1 - Phase 1'!$E$8</f>
        <v>4.6109510086455332</v>
      </c>
      <c r="L191" s="1"/>
      <c r="N191" s="83">
        <f>E191/'LEVEL 3'!$E$8</f>
        <v>4.1237113402061851</v>
      </c>
      <c r="O191" s="1"/>
      <c r="Q191" s="83">
        <f>H191/('Scenario 1 - Phase 1'!$E$8+'LEVEL 3'!$E$8)</f>
        <v>4.4362292051756009</v>
      </c>
      <c r="R191" s="1"/>
      <c r="T191" s="197">
        <f>B191/'Scenario 1 - Phase 1'!$B$8</f>
        <v>5.1423465813037134E-3</v>
      </c>
      <c r="U191" s="193"/>
      <c r="V191" s="194"/>
      <c r="W191" s="197">
        <f>E191/'LEVEL 3'!$B$8</f>
        <v>4.07562318825813E-3</v>
      </c>
      <c r="X191" s="193"/>
      <c r="Y191" s="194"/>
      <c r="Z191" s="197">
        <f>H191/('Scenario 1 - Phase 1'!$B$8+'LEVEL 3'!$B$8)</f>
        <v>4.7297070931811422E-3</v>
      </c>
      <c r="AA191" s="1"/>
    </row>
    <row r="192" spans="1:27">
      <c r="A192" s="33" t="s">
        <v>485</v>
      </c>
      <c r="B192" s="82"/>
      <c r="C192" s="102">
        <f>SUM(B193:B195)</f>
        <v>855355</v>
      </c>
      <c r="E192" s="82"/>
      <c r="F192" s="102">
        <f>SUM(E193:E195)</f>
        <v>205962</v>
      </c>
      <c r="H192" s="82"/>
      <c r="I192" s="102">
        <f>SUM(H193:H195)</f>
        <v>1061317</v>
      </c>
      <c r="K192" s="82"/>
      <c r="L192" s="102">
        <f>SUM(K193:K195)</f>
        <v>2465</v>
      </c>
      <c r="N192" s="82"/>
      <c r="O192" s="102">
        <f>SUM(N193:N195)</f>
        <v>1061.659793814433</v>
      </c>
      <c r="Q192" s="82"/>
      <c r="R192" s="102">
        <f>SUM(Q193:Q195)</f>
        <v>1961.7689463955639</v>
      </c>
      <c r="T192" s="82"/>
      <c r="U192" s="201">
        <f>C192/'Scenario 1 - Phase 1'!$B$8</f>
        <v>2.7490824125318984</v>
      </c>
      <c r="V192" s="199"/>
      <c r="W192" s="203"/>
      <c r="X192" s="201">
        <f>F192/'LEVEL 3'!$B$8</f>
        <v>1.0492793788750261</v>
      </c>
      <c r="Y192" s="199"/>
      <c r="Z192" s="203"/>
      <c r="AA192" s="201">
        <f>I192/('Scenario 1 - Phase 1'!$B$8+'LEVEL 3'!$B$8)</f>
        <v>2.0915493929223876</v>
      </c>
    </row>
    <row r="193" spans="1:27">
      <c r="A193" s="166" t="s">
        <v>487</v>
      </c>
      <c r="B193" s="71">
        <f>'Scenario 1 - Phase 1'!K208</f>
        <v>201260</v>
      </c>
      <c r="C193" s="1"/>
      <c r="E193" s="71">
        <f>'LEVEL 3'!K212</f>
        <v>112714</v>
      </c>
      <c r="F193" s="1"/>
      <c r="H193" s="71">
        <f t="shared" ref="H193:H195" si="16">B193+E193</f>
        <v>313974</v>
      </c>
      <c r="I193" s="1"/>
      <c r="K193" s="71">
        <f>B193/'Scenario 1 - Phase 1'!$E$8</f>
        <v>580</v>
      </c>
      <c r="L193" s="1"/>
      <c r="N193" s="71">
        <f>E193/'LEVEL 3'!$E$8</f>
        <v>581</v>
      </c>
      <c r="O193" s="1"/>
      <c r="Q193" s="71">
        <f>H193/('Scenario 1 - Phase 1'!$E$8+'LEVEL 3'!$E$8)</f>
        <v>580.35859519408507</v>
      </c>
      <c r="R193" s="1"/>
      <c r="T193" s="195">
        <f>B193/'Scenario 1 - Phase 1'!$B$8</f>
        <v>0.64684292059574089</v>
      </c>
      <c r="U193" s="193"/>
      <c r="V193" s="194"/>
      <c r="W193" s="195">
        <f>E193/'LEVEL 3'!$B$8</f>
        <v>0.57422474005165858</v>
      </c>
      <c r="X193" s="193"/>
      <c r="Y193" s="194"/>
      <c r="Z193" s="195">
        <f>H193/('Scenario 1 - Phase 1'!$B$8+'LEVEL 3'!$B$8)</f>
        <v>0.61875210619768994</v>
      </c>
      <c r="AA193" s="1"/>
    </row>
    <row r="194" spans="1:27">
      <c r="A194" s="37" t="s">
        <v>489</v>
      </c>
      <c r="B194" s="83">
        <f>'Scenario 1 - Phase 1'!K209</f>
        <v>113469</v>
      </c>
      <c r="C194" s="1"/>
      <c r="E194" s="83">
        <f>'LEVEL 3'!K213</f>
        <v>85748</v>
      </c>
      <c r="F194" s="1"/>
      <c r="H194" s="83">
        <f t="shared" si="16"/>
        <v>199217</v>
      </c>
      <c r="I194" s="1"/>
      <c r="K194" s="83">
        <f>B194/'Scenario 1 - Phase 1'!$E$8</f>
        <v>327</v>
      </c>
      <c r="L194" s="1"/>
      <c r="N194" s="83">
        <f>E194/'LEVEL 3'!$E$8</f>
        <v>442</v>
      </c>
      <c r="O194" s="1"/>
      <c r="Q194" s="83">
        <f>H194/('Scenario 1 - Phase 1'!$E$8+'LEVEL 3'!$E$8)</f>
        <v>368.23844731977817</v>
      </c>
      <c r="R194" s="1"/>
      <c r="T194" s="197">
        <f>B194/'Scenario 1 - Phase 1'!$B$8</f>
        <v>0.36468557764621939</v>
      </c>
      <c r="U194" s="193"/>
      <c r="V194" s="194"/>
      <c r="W194" s="197">
        <f>E194/'LEVEL 3'!$B$8</f>
        <v>0.4368456714334476</v>
      </c>
      <c r="X194" s="193"/>
      <c r="Y194" s="194"/>
      <c r="Z194" s="197">
        <f>H194/('Scenario 1 - Phase 1'!$B$8+'LEVEL 3'!$B$8)</f>
        <v>0.3925991908259448</v>
      </c>
      <c r="AA194" s="1"/>
    </row>
    <row r="195" spans="1:27">
      <c r="A195" s="37" t="s">
        <v>491</v>
      </c>
      <c r="B195" s="83">
        <f>'Scenario 1 - Phase 1'!K210</f>
        <v>540626</v>
      </c>
      <c r="C195" s="1"/>
      <c r="E195" s="83">
        <f>'LEVEL 3'!K215</f>
        <v>7500</v>
      </c>
      <c r="F195" s="1"/>
      <c r="H195" s="83">
        <f t="shared" si="16"/>
        <v>548126</v>
      </c>
      <c r="I195" s="1"/>
      <c r="K195" s="83">
        <f>B195/'Scenario 1 - Phase 1'!$E$8</f>
        <v>1558</v>
      </c>
      <c r="L195" s="1"/>
      <c r="N195" s="83">
        <f>E195/'LEVEL 3'!$E$8</f>
        <v>38.659793814432987</v>
      </c>
      <c r="O195" s="1"/>
      <c r="Q195" s="83">
        <f>H195/('Scenario 1 - Phase 1'!$E$8+'LEVEL 3'!$E$8)</f>
        <v>1013.1719038817006</v>
      </c>
      <c r="R195" s="1"/>
      <c r="T195" s="197">
        <f>B195/'Scenario 1 - Phase 1'!$B$8</f>
        <v>1.7375539142899383</v>
      </c>
      <c r="U195" s="193"/>
      <c r="V195" s="194"/>
      <c r="W195" s="197">
        <f>E195/'LEVEL 3'!$B$8</f>
        <v>3.8208967389919968E-2</v>
      </c>
      <c r="X195" s="193"/>
      <c r="Y195" s="194"/>
      <c r="Z195" s="197">
        <f>H195/('Scenario 1 - Phase 1'!$B$8+'LEVEL 3'!$B$8)</f>
        <v>1.0801980958987527</v>
      </c>
      <c r="AA195" s="1"/>
    </row>
    <row r="196" spans="1:27">
      <c r="A196" s="33" t="s">
        <v>493</v>
      </c>
      <c r="B196" s="82"/>
      <c r="C196" s="102">
        <f>SUM(B197:B205)</f>
        <v>747722.65500000003</v>
      </c>
      <c r="E196" s="82"/>
      <c r="F196" s="102">
        <f>SUM(E197:E205)</f>
        <v>347262</v>
      </c>
      <c r="H196" s="82"/>
      <c r="I196" s="102">
        <f>SUM(H197:H205)</f>
        <v>1094984.655</v>
      </c>
      <c r="K196" s="82"/>
      <c r="L196" s="102">
        <f>SUM(K197:K205)</f>
        <v>2154.8203314121038</v>
      </c>
      <c r="N196" s="82"/>
      <c r="O196" s="102">
        <f>SUM(N197:N205)</f>
        <v>1790.0103092783506</v>
      </c>
      <c r="Q196" s="82"/>
      <c r="R196" s="102">
        <f>SUM(Q197:Q205)</f>
        <v>2024.0012107208872</v>
      </c>
      <c r="T196" s="82"/>
      <c r="U196" s="201">
        <f>C196/'Scenario 1 - Phase 1'!$B$8</f>
        <v>2.4031556491891162</v>
      </c>
      <c r="V196" s="199"/>
      <c r="W196" s="203"/>
      <c r="X196" s="201">
        <f>F196/'LEVEL 3'!$B$8</f>
        <v>1.7691363245011182</v>
      </c>
      <c r="Y196" s="199"/>
      <c r="Z196" s="203"/>
      <c r="AA196" s="201">
        <f>I196/('Scenario 1 - Phase 1'!$B$8+'LEVEL 3'!$B$8)</f>
        <v>2.1578986206991688</v>
      </c>
    </row>
    <row r="197" spans="1:27">
      <c r="A197" s="35" t="s">
        <v>495</v>
      </c>
      <c r="B197" s="71">
        <f>'Scenario 1 - Phase 1'!K212</f>
        <v>74079.13499999998</v>
      </c>
      <c r="C197" s="1"/>
      <c r="E197" s="71">
        <f>'LEVEL 3'!K217</f>
        <v>31850.000000000004</v>
      </c>
      <c r="F197" s="1"/>
      <c r="H197" s="71">
        <f t="shared" ref="H197:H205" si="17">B197+E197</f>
        <v>105929.13499999998</v>
      </c>
      <c r="I197" s="1"/>
      <c r="K197" s="71">
        <f>B197/'Scenario 1 - Phase 1'!$E$8</f>
        <v>213.48453890489907</v>
      </c>
      <c r="L197" s="1"/>
      <c r="N197" s="71">
        <f>E197/'LEVEL 3'!$E$8</f>
        <v>164.17525773195879</v>
      </c>
      <c r="O197" s="1"/>
      <c r="Q197" s="71">
        <f>H197/('Scenario 1 - Phase 1'!$E$8+'LEVEL 3'!$E$8)</f>
        <v>195.80246765249535</v>
      </c>
      <c r="R197" s="1"/>
      <c r="T197" s="195">
        <f>B197/'Scenario 1 - Phase 1'!$B$8</f>
        <v>0.23808786663324136</v>
      </c>
      <c r="U197" s="193"/>
      <c r="V197" s="194"/>
      <c r="W197" s="195">
        <f>E197/'LEVEL 3'!$B$8</f>
        <v>0.16226074818252681</v>
      </c>
      <c r="X197" s="193"/>
      <c r="Y197" s="194"/>
      <c r="Z197" s="195">
        <f>H197/('Scenario 1 - Phase 1'!$B$8+'LEVEL 3'!$B$8)</f>
        <v>0.20875574216001777</v>
      </c>
      <c r="AA197" s="1"/>
    </row>
    <row r="198" spans="1:27">
      <c r="A198" s="37" t="s">
        <v>497</v>
      </c>
      <c r="B198" s="83">
        <f>'Scenario 1 - Phase 1'!K213</f>
        <v>40781.519999999997</v>
      </c>
      <c r="C198" s="1"/>
      <c r="E198" s="83">
        <f>'LEVEL 3'!K218</f>
        <v>17150</v>
      </c>
      <c r="F198" s="1"/>
      <c r="H198" s="83">
        <f t="shared" si="17"/>
        <v>57931.519999999997</v>
      </c>
      <c r="I198" s="1"/>
      <c r="K198" s="83">
        <f>B198/'Scenario 1 - Phase 1'!$E$8</f>
        <v>117.52599423631123</v>
      </c>
      <c r="L198" s="1"/>
      <c r="N198" s="83">
        <f>E198/'LEVEL 3'!$E$8</f>
        <v>88.402061855670098</v>
      </c>
      <c r="O198" s="1"/>
      <c r="Q198" s="83">
        <f>H198/('Scenario 1 - Phase 1'!$E$8+'LEVEL 3'!$E$8)</f>
        <v>107.082292051756</v>
      </c>
      <c r="R198" s="1"/>
      <c r="T198" s="197">
        <f>B198/'Scenario 1 - Phase 1'!$B$8</f>
        <v>0.13107044372023063</v>
      </c>
      <c r="U198" s="193"/>
      <c r="V198" s="194"/>
      <c r="W198" s="197">
        <f>E198/'LEVEL 3'!$B$8</f>
        <v>8.7371172098283656E-2</v>
      </c>
      <c r="X198" s="193"/>
      <c r="Y198" s="194"/>
      <c r="Z198" s="197">
        <f>H198/('Scenario 1 - Phase 1'!$B$8+'LEVEL 3'!$B$8)</f>
        <v>0.11416630044281882</v>
      </c>
      <c r="AA198" s="1"/>
    </row>
    <row r="199" spans="1:27" hidden="1">
      <c r="A199" s="37" t="s">
        <v>499</v>
      </c>
      <c r="B199" s="83">
        <f>'Scenario 1 - Phase 1'!K214</f>
        <v>0</v>
      </c>
      <c r="C199" s="1"/>
      <c r="E199" s="83">
        <f>'LEVEL 3'!K219</f>
        <v>0</v>
      </c>
      <c r="F199" s="1"/>
      <c r="H199" s="83">
        <f t="shared" si="17"/>
        <v>0</v>
      </c>
      <c r="I199" s="1"/>
      <c r="K199" s="83">
        <f>B199/'Scenario 1 - Phase 1'!$E$8</f>
        <v>0</v>
      </c>
      <c r="L199" s="1"/>
      <c r="N199" s="83">
        <f>E199/'LEVEL 3'!$E$8</f>
        <v>0</v>
      </c>
      <c r="O199" s="1"/>
      <c r="Q199" s="83">
        <f>H199/('Scenario 1 - Phase 1'!$E$8+'LEVEL 3'!$E$8)</f>
        <v>0</v>
      </c>
      <c r="R199" s="1"/>
      <c r="T199" s="197">
        <f>B199/'Scenario 1 - Phase 1'!$B$8</f>
        <v>0</v>
      </c>
      <c r="U199" s="193"/>
      <c r="V199" s="194"/>
      <c r="W199" s="197">
        <f>E199/'LEVEL 3'!$B$8</f>
        <v>0</v>
      </c>
      <c r="X199" s="193"/>
      <c r="Y199" s="194"/>
      <c r="Z199" s="197">
        <f>H199/('Scenario 1 - Phase 1'!$B$8+'LEVEL 3'!$B$8)</f>
        <v>0</v>
      </c>
      <c r="AA199" s="1"/>
    </row>
    <row r="200" spans="1:27">
      <c r="A200" s="172" t="s">
        <v>501</v>
      </c>
      <c r="B200" s="83">
        <f>'Scenario 1 - Phase 1'!K215</f>
        <v>50000</v>
      </c>
      <c r="C200" s="1"/>
      <c r="E200" s="83">
        <f>'LEVEL 3'!K220</f>
        <v>25000</v>
      </c>
      <c r="F200" s="1"/>
      <c r="H200" s="83">
        <f t="shared" si="17"/>
        <v>75000</v>
      </c>
      <c r="I200" s="1"/>
      <c r="K200" s="83">
        <f>B200/'Scenario 1 - Phase 1'!$E$8</f>
        <v>144.09221902017291</v>
      </c>
      <c r="L200" s="1"/>
      <c r="N200" s="83">
        <f>E200/'LEVEL 3'!$E$8</f>
        <v>128.86597938144331</v>
      </c>
      <c r="O200" s="1"/>
      <c r="Q200" s="83">
        <f>H200/('Scenario 1 - Phase 1'!$E$8+'LEVEL 3'!$E$8)</f>
        <v>138.63216266173751</v>
      </c>
      <c r="R200" s="1"/>
      <c r="T200" s="197">
        <f>B200/'Scenario 1 - Phase 1'!$B$8</f>
        <v>0.16069833066574105</v>
      </c>
      <c r="U200" s="193"/>
      <c r="V200" s="194"/>
      <c r="W200" s="197">
        <f>E200/'LEVEL 3'!$B$8</f>
        <v>0.12736322463306654</v>
      </c>
      <c r="X200" s="193"/>
      <c r="Y200" s="194"/>
      <c r="Z200" s="197">
        <f>H200/('Scenario 1 - Phase 1'!$B$8+'LEVEL 3'!$B$8)</f>
        <v>0.1478033466619107</v>
      </c>
      <c r="AA200" s="1"/>
    </row>
    <row r="201" spans="1:27">
      <c r="A201" s="172" t="s">
        <v>504</v>
      </c>
      <c r="B201" s="83">
        <f>'Scenario 1 - Phase 1'!K216</f>
        <v>391553</v>
      </c>
      <c r="C201" s="1"/>
      <c r="E201" s="83">
        <f>'LEVEL 3'!K221</f>
        <v>156000</v>
      </c>
      <c r="F201" s="1"/>
      <c r="H201" s="83">
        <f t="shared" si="17"/>
        <v>547553</v>
      </c>
      <c r="I201" s="1"/>
      <c r="K201" s="83">
        <f>B201/'Scenario 1 - Phase 1'!$E$8</f>
        <v>1128.3948126801154</v>
      </c>
      <c r="L201" s="1"/>
      <c r="N201" s="83">
        <f>E201/'LEVEL 3'!$E$8</f>
        <v>804.12371134020623</v>
      </c>
      <c r="O201" s="1"/>
      <c r="Q201" s="83">
        <f>H201/('Scenario 1 - Phase 1'!$E$8+'LEVEL 3'!$E$8)</f>
        <v>1012.1127541589649</v>
      </c>
      <c r="R201" s="1"/>
      <c r="T201" s="197">
        <f>B201/'Scenario 1 - Phase 1'!$B$8</f>
        <v>1.2584382693432581</v>
      </c>
      <c r="U201" s="193"/>
      <c r="V201" s="194"/>
      <c r="W201" s="197">
        <f>E201/'LEVEL 3'!$B$8</f>
        <v>0.79474652171033522</v>
      </c>
      <c r="X201" s="193"/>
      <c r="Y201" s="194"/>
      <c r="Z201" s="197">
        <f>H201/('Scenario 1 - Phase 1'!$B$8+'LEVEL 3'!$B$8)</f>
        <v>1.0790688783302558</v>
      </c>
      <c r="AA201" s="1"/>
    </row>
    <row r="202" spans="1:27">
      <c r="A202" s="172" t="s">
        <v>506</v>
      </c>
      <c r="B202" s="83">
        <f>'Scenario 1 - Phase 1'!K217</f>
        <v>11006</v>
      </c>
      <c r="C202" s="1"/>
      <c r="E202" s="83">
        <f>'LEVEL 3'!K222</f>
        <v>5012</v>
      </c>
      <c r="F202" s="1"/>
      <c r="H202" s="83">
        <f t="shared" si="17"/>
        <v>16018</v>
      </c>
      <c r="I202" s="1"/>
      <c r="K202" s="83">
        <f>B202/'Scenario 1 - Phase 1'!$E$8</f>
        <v>31.717579250720462</v>
      </c>
      <c r="L202" s="1"/>
      <c r="N202" s="83">
        <f>E202/'LEVEL 3'!$E$8</f>
        <v>25.835051546391753</v>
      </c>
      <c r="O202" s="1"/>
      <c r="Q202" s="83">
        <f>H202/('Scenario 1 - Phase 1'!$E$8+'LEVEL 3'!$E$8)</f>
        <v>29.608133086876155</v>
      </c>
      <c r="R202" s="1"/>
      <c r="T202" s="197">
        <f>B202/'Scenario 1 - Phase 1'!$B$8</f>
        <v>3.537291654614292E-2</v>
      </c>
      <c r="U202" s="193"/>
      <c r="V202" s="194"/>
      <c r="W202" s="197">
        <f>E202/'LEVEL 3'!$B$8</f>
        <v>2.5533779274437181E-2</v>
      </c>
      <c r="X202" s="193"/>
      <c r="Y202" s="194"/>
      <c r="Z202" s="197">
        <f>H202/('Scenario 1 - Phase 1'!$B$8+'LEVEL 3'!$B$8)</f>
        <v>3.1566853424406474E-2</v>
      </c>
      <c r="AA202" s="1"/>
    </row>
    <row r="203" spans="1:27">
      <c r="A203" s="172" t="s">
        <v>508</v>
      </c>
      <c r="B203" s="83">
        <f>'Scenario 1 - Phase 1'!K218</f>
        <v>150000</v>
      </c>
      <c r="C203" s="1"/>
      <c r="E203" s="83">
        <f>'LEVEL 3'!K223</f>
        <v>100000</v>
      </c>
      <c r="F203" s="1"/>
      <c r="H203" s="83">
        <f t="shared" si="17"/>
        <v>250000</v>
      </c>
      <c r="I203" s="1"/>
      <c r="K203" s="83">
        <f>B203/'Scenario 1 - Phase 1'!$E$8</f>
        <v>432.27665706051874</v>
      </c>
      <c r="L203" s="1"/>
      <c r="N203" s="83">
        <f>E203/'LEVEL 3'!$E$8</f>
        <v>515.46391752577324</v>
      </c>
      <c r="O203" s="1"/>
      <c r="Q203" s="83">
        <f>H203/('Scenario 1 - Phase 1'!$E$8+'LEVEL 3'!$E$8)</f>
        <v>462.10720887245839</v>
      </c>
      <c r="R203" s="1"/>
      <c r="T203" s="197">
        <f>B203/'Scenario 1 - Phase 1'!$B$8</f>
        <v>0.48209499199722311</v>
      </c>
      <c r="U203" s="193"/>
      <c r="V203" s="194"/>
      <c r="W203" s="197">
        <f>E203/'LEVEL 3'!$B$8</f>
        <v>0.50945289853226616</v>
      </c>
      <c r="X203" s="193"/>
      <c r="Y203" s="194"/>
      <c r="Z203" s="197">
        <f>H203/('Scenario 1 - Phase 1'!$B$8+'LEVEL 3'!$B$8)</f>
        <v>0.49267782220636896</v>
      </c>
      <c r="AA203" s="1"/>
    </row>
    <row r="204" spans="1:27" hidden="1">
      <c r="A204" s="37" t="s">
        <v>510</v>
      </c>
      <c r="B204" s="83">
        <f>'Scenario 1 - Phase 1'!K219</f>
        <v>0</v>
      </c>
      <c r="C204" s="1"/>
      <c r="E204" s="83">
        <f>'LEVEL 3'!K224</f>
        <v>0</v>
      </c>
      <c r="F204" s="1"/>
      <c r="H204" s="83">
        <f t="shared" si="17"/>
        <v>0</v>
      </c>
      <c r="I204" s="1"/>
      <c r="K204" s="83">
        <f>B204/'Scenario 1 - Phase 1'!$E$8</f>
        <v>0</v>
      </c>
      <c r="L204" s="1"/>
      <c r="N204" s="83">
        <f>E204/'LEVEL 3'!$E$8</f>
        <v>0</v>
      </c>
      <c r="O204" s="1"/>
      <c r="Q204" s="83">
        <f>H204/('Scenario 1 - Phase 1'!$E$8+'LEVEL 3'!$E$8)</f>
        <v>0</v>
      </c>
      <c r="R204" s="1"/>
      <c r="T204" s="197">
        <f>B204/'Scenario 1 - Phase 1'!$B$8</f>
        <v>0</v>
      </c>
      <c r="U204" s="193"/>
      <c r="V204" s="194"/>
      <c r="W204" s="197">
        <f>E204/'LEVEL 3'!$B$8</f>
        <v>0</v>
      </c>
      <c r="X204" s="193"/>
      <c r="Y204" s="194"/>
      <c r="Z204" s="197">
        <f>H204/('Scenario 1 - Phase 1'!$B$8+'LEVEL 3'!$B$8)</f>
        <v>0</v>
      </c>
      <c r="AA204" s="1"/>
    </row>
    <row r="205" spans="1:27">
      <c r="A205" s="37" t="s">
        <v>512</v>
      </c>
      <c r="B205" s="83">
        <f>'Scenario 1 - Phase 1'!K220</f>
        <v>30302.999999999996</v>
      </c>
      <c r="C205" s="1"/>
      <c r="E205" s="83">
        <f>'LEVEL 3'!K225</f>
        <v>12250</v>
      </c>
      <c r="F205" s="1"/>
      <c r="H205" s="83">
        <f t="shared" si="17"/>
        <v>42553</v>
      </c>
      <c r="I205" s="1"/>
      <c r="K205" s="83">
        <f>B205/'Scenario 1 - Phase 1'!$E$8</f>
        <v>87.328530259365991</v>
      </c>
      <c r="L205" s="1"/>
      <c r="N205" s="83">
        <f>E205/'LEVEL 3'!$E$8</f>
        <v>63.144329896907216</v>
      </c>
      <c r="O205" s="1"/>
      <c r="Q205" s="83">
        <f>H205/('Scenario 1 - Phase 1'!$E$8+'LEVEL 3'!$E$8)</f>
        <v>78.656192236598898</v>
      </c>
      <c r="R205" s="1"/>
      <c r="T205" s="197">
        <f>B205/'Scenario 1 - Phase 1'!$B$8</f>
        <v>9.7392830283279011E-2</v>
      </c>
      <c r="U205" s="193"/>
      <c r="V205" s="194"/>
      <c r="W205" s="197">
        <f>E205/'LEVEL 3'!$B$8</f>
        <v>6.2407980070202609E-2</v>
      </c>
      <c r="X205" s="193"/>
      <c r="Y205" s="194"/>
      <c r="Z205" s="197">
        <f>H205/('Scenario 1 - Phase 1'!$B$8+'LEVEL 3'!$B$8)</f>
        <v>8.3859677473390473E-2</v>
      </c>
      <c r="AA205" s="1"/>
    </row>
    <row r="206" spans="1:27">
      <c r="A206" s="33" t="s">
        <v>514</v>
      </c>
      <c r="B206" s="82"/>
      <c r="C206" s="102">
        <f>SUM(B207:B242)</f>
        <v>5554669.1399999997</v>
      </c>
      <c r="E206" s="82"/>
      <c r="F206" s="102">
        <f>SUM(E207:E242)</f>
        <v>2005246.9073471352</v>
      </c>
      <c r="H206" s="82"/>
      <c r="I206" s="102">
        <f>SUM(H207:H242)</f>
        <v>7559916.0473471358</v>
      </c>
      <c r="K206" s="82"/>
      <c r="L206" s="102">
        <f>SUM(K207:K242)</f>
        <v>16007.692046109509</v>
      </c>
      <c r="N206" s="82"/>
      <c r="O206" s="102">
        <f>SUM(N207:N242)</f>
        <v>10336.324264675954</v>
      </c>
      <c r="Q206" s="82"/>
      <c r="R206" s="102">
        <f>SUM(Q207:Q242)</f>
        <v>13973.966815798771</v>
      </c>
      <c r="T206" s="82"/>
      <c r="U206" s="201">
        <f>C206/'Scenario 1 - Phase 1'!$B$8</f>
        <v>17.852521163970149</v>
      </c>
      <c r="V206" s="199"/>
      <c r="W206" s="203"/>
      <c r="X206" s="201">
        <f>F206/'LEVEL 3'!$B$8</f>
        <v>10.215788492208606</v>
      </c>
      <c r="Y206" s="199"/>
      <c r="Z206" s="203"/>
      <c r="AA206" s="201">
        <f>I206/('Scenario 1 - Phase 1'!$B$8+'LEVEL 3'!$B$8)</f>
        <v>14.898411897079871</v>
      </c>
    </row>
    <row r="207" spans="1:27" hidden="1">
      <c r="A207" s="35" t="s">
        <v>516</v>
      </c>
      <c r="B207" s="71">
        <f>'Scenario 1 - Phase 1'!K222</f>
        <v>5000</v>
      </c>
      <c r="C207" s="1"/>
      <c r="E207" s="71">
        <f>'LEVEL 3'!K227</f>
        <v>5000</v>
      </c>
      <c r="F207" s="1"/>
      <c r="H207" s="71">
        <f t="shared" ref="H207:H242" si="18">B207+E207</f>
        <v>10000</v>
      </c>
      <c r="I207" s="1"/>
      <c r="K207" s="71">
        <f>B207/'Scenario 1 - Phase 1'!$E$8</f>
        <v>14.409221902017292</v>
      </c>
      <c r="L207" s="1"/>
      <c r="N207" s="71">
        <f>E207/'LEVEL 3'!$E$8</f>
        <v>25.773195876288661</v>
      </c>
      <c r="O207" s="1"/>
      <c r="Q207" s="71">
        <f>H207/('Scenario 1 - Phase 1'!$E$8+'LEVEL 3'!$E$8)</f>
        <v>18.484288354898336</v>
      </c>
      <c r="R207" s="1"/>
      <c r="T207" s="195">
        <f>B207/'Scenario 1 - Phase 1'!$B$8</f>
        <v>1.6069833066574106E-2</v>
      </c>
      <c r="U207" s="193"/>
      <c r="V207" s="194"/>
      <c r="W207" s="195">
        <f>E207/'LEVEL 3'!$B$8</f>
        <v>2.547264492661331E-2</v>
      </c>
      <c r="X207" s="193"/>
      <c r="Y207" s="194"/>
      <c r="Z207" s="195">
        <f>H207/('Scenario 1 - Phase 1'!$B$8+'LEVEL 3'!$B$8)</f>
        <v>1.9707112888254757E-2</v>
      </c>
      <c r="AA207" s="1"/>
    </row>
    <row r="208" spans="1:27" hidden="1">
      <c r="A208" s="37" t="s">
        <v>518</v>
      </c>
      <c r="B208" s="83">
        <f>'Scenario 1 - Phase 1'!K223</f>
        <v>7500</v>
      </c>
      <c r="C208" s="1"/>
      <c r="E208" s="83">
        <f>'LEVEL 3'!K228</f>
        <v>2500</v>
      </c>
      <c r="F208" s="1"/>
      <c r="H208" s="83">
        <f t="shared" si="18"/>
        <v>10000</v>
      </c>
      <c r="I208" s="1"/>
      <c r="K208" s="83">
        <f>B208/'Scenario 1 - Phase 1'!$E$8</f>
        <v>21.613832853025936</v>
      </c>
      <c r="L208" s="1"/>
      <c r="N208" s="83">
        <f>E208/'LEVEL 3'!$E$8</f>
        <v>12.88659793814433</v>
      </c>
      <c r="O208" s="1"/>
      <c r="Q208" s="83">
        <f>H208/('Scenario 1 - Phase 1'!$E$8+'LEVEL 3'!$E$8)</f>
        <v>18.484288354898336</v>
      </c>
      <c r="R208" s="1"/>
      <c r="T208" s="197">
        <f>B208/'Scenario 1 - Phase 1'!$B$8</f>
        <v>2.4104749599861156E-2</v>
      </c>
      <c r="U208" s="193"/>
      <c r="V208" s="194"/>
      <c r="W208" s="197">
        <f>E208/'LEVEL 3'!$B$8</f>
        <v>1.2736322463306655E-2</v>
      </c>
      <c r="X208" s="193"/>
      <c r="Y208" s="194"/>
      <c r="Z208" s="197">
        <f>H208/('Scenario 1 - Phase 1'!$B$8+'LEVEL 3'!$B$8)</f>
        <v>1.9707112888254757E-2</v>
      </c>
      <c r="AA208" s="1"/>
    </row>
    <row r="209" spans="1:27" hidden="1">
      <c r="A209" s="37" t="s">
        <v>520</v>
      </c>
      <c r="B209" s="83">
        <f>'Scenario 1 - Phase 1'!K224</f>
        <v>15000</v>
      </c>
      <c r="C209" s="1"/>
      <c r="E209" s="83">
        <f>'LEVEL 3'!K229</f>
        <v>20000</v>
      </c>
      <c r="F209" s="1"/>
      <c r="H209" s="83">
        <f t="shared" si="18"/>
        <v>35000</v>
      </c>
      <c r="I209" s="1"/>
      <c r="K209" s="83">
        <f>B209/'Scenario 1 - Phase 1'!$E$8</f>
        <v>43.227665706051873</v>
      </c>
      <c r="L209" s="1"/>
      <c r="N209" s="83">
        <f>E209/'LEVEL 3'!$E$8</f>
        <v>103.09278350515464</v>
      </c>
      <c r="O209" s="1"/>
      <c r="Q209" s="83">
        <f>H209/('Scenario 1 - Phase 1'!$E$8+'LEVEL 3'!$E$8)</f>
        <v>64.695009242144181</v>
      </c>
      <c r="R209" s="1"/>
      <c r="T209" s="197">
        <f>B209/'Scenario 1 - Phase 1'!$B$8</f>
        <v>4.8209499199722311E-2</v>
      </c>
      <c r="U209" s="193"/>
      <c r="V209" s="194"/>
      <c r="W209" s="197">
        <f>E209/'LEVEL 3'!$B$8</f>
        <v>0.10189057970645324</v>
      </c>
      <c r="X209" s="193"/>
      <c r="Y209" s="194"/>
      <c r="Z209" s="197">
        <f>H209/('Scenario 1 - Phase 1'!$B$8+'LEVEL 3'!$B$8)</f>
        <v>6.8974895108891654E-2</v>
      </c>
      <c r="AA209" s="1"/>
    </row>
    <row r="210" spans="1:27">
      <c r="A210" s="172" t="s">
        <v>522</v>
      </c>
      <c r="B210" s="83">
        <f>'Scenario 1 - Phase 1'!K225</f>
        <v>562190.93999999994</v>
      </c>
      <c r="C210" s="1"/>
      <c r="E210" s="83">
        <f>'LEVEL 3'!K230</f>
        <v>225069</v>
      </c>
      <c r="F210" s="1"/>
      <c r="H210" s="83">
        <f t="shared" si="18"/>
        <v>787259.94</v>
      </c>
      <c r="I210" s="1"/>
      <c r="K210" s="83">
        <f>B210/'Scenario 1 - Phase 1'!$E$8</f>
        <v>1620.1468011527377</v>
      </c>
      <c r="L210" s="1"/>
      <c r="N210" s="83">
        <f>E210/'LEVEL 3'!$E$8</f>
        <v>1160.1494845360826</v>
      </c>
      <c r="O210" s="1"/>
      <c r="Q210" s="83">
        <f>H210/('Scenario 1 - Phase 1'!$E$8+'LEVEL 3'!$E$8)</f>
        <v>1455.1939741219962</v>
      </c>
      <c r="R210" s="1"/>
      <c r="T210" s="197">
        <f>B210/'Scenario 1 - Phase 1'!$B$8</f>
        <v>1.8068629114680754</v>
      </c>
      <c r="U210" s="193"/>
      <c r="V210" s="194"/>
      <c r="W210" s="197">
        <f>E210/'LEVEL 3'!$B$8</f>
        <v>1.1466205441975863</v>
      </c>
      <c r="X210" s="193"/>
      <c r="Y210" s="194"/>
      <c r="Z210" s="197">
        <f>H210/('Scenario 1 - Phase 1'!$B$8+'LEVEL 3'!$B$8)</f>
        <v>1.5514620509980666</v>
      </c>
      <c r="AA210" s="1"/>
    </row>
    <row r="211" spans="1:27">
      <c r="A211" s="37" t="s">
        <v>73</v>
      </c>
      <c r="B211" s="83">
        <f>'Scenario 1 - Phase 1'!K226</f>
        <v>30450</v>
      </c>
      <c r="C211" s="1"/>
      <c r="E211" s="83">
        <f>'LEVEL 3'!K231</f>
        <v>15121.6</v>
      </c>
      <c r="F211" s="1"/>
      <c r="H211" s="83">
        <f t="shared" si="18"/>
        <v>45571.6</v>
      </c>
      <c r="I211" s="1"/>
      <c r="K211" s="83">
        <f>B211/'Scenario 1 - Phase 1'!$E$8</f>
        <v>87.752161383285298</v>
      </c>
      <c r="L211" s="1"/>
      <c r="N211" s="83">
        <f>E211/'LEVEL 3'!$E$8</f>
        <v>77.946391752577327</v>
      </c>
      <c r="O211" s="1"/>
      <c r="Q211" s="83">
        <f>H211/('Scenario 1 - Phase 1'!$E$8+'LEVEL 3'!$E$8)</f>
        <v>84.235859519408507</v>
      </c>
      <c r="R211" s="1"/>
      <c r="T211" s="197">
        <f>B211/'Scenario 1 - Phase 1'!$B$8</f>
        <v>9.7865283375436291E-2</v>
      </c>
      <c r="U211" s="193"/>
      <c r="V211" s="194"/>
      <c r="W211" s="197">
        <f>E211/'LEVEL 3'!$B$8</f>
        <v>7.7037429504455163E-2</v>
      </c>
      <c r="X211" s="193"/>
      <c r="Y211" s="194"/>
      <c r="Z211" s="197">
        <f>H211/('Scenario 1 - Phase 1'!$B$8+'LEVEL 3'!$B$8)</f>
        <v>8.9808466569839054E-2</v>
      </c>
      <c r="AA211" s="1"/>
    </row>
    <row r="212" spans="1:27">
      <c r="A212" s="172" t="s">
        <v>47</v>
      </c>
      <c r="B212" s="83">
        <f>'Scenario 1 - Phase 1'!K227</f>
        <v>0</v>
      </c>
      <c r="C212" s="1"/>
      <c r="E212" s="83">
        <f>'LEVEL 3'!K232</f>
        <v>2975</v>
      </c>
      <c r="F212" s="1"/>
      <c r="H212" s="83">
        <f t="shared" si="18"/>
        <v>2975</v>
      </c>
      <c r="I212" s="1"/>
      <c r="K212" s="83">
        <f>B212/'Scenario 1 - Phase 1'!$E$8</f>
        <v>0</v>
      </c>
      <c r="L212" s="1"/>
      <c r="N212" s="83">
        <f>E212/'LEVEL 3'!$E$8</f>
        <v>15.335051546391753</v>
      </c>
      <c r="O212" s="1"/>
      <c r="Q212" s="83">
        <f>H212/('Scenario 1 - Phase 1'!$E$8+'LEVEL 3'!$E$8)</f>
        <v>5.4990757855822547</v>
      </c>
      <c r="R212" s="1"/>
      <c r="T212" s="197">
        <f>B212/'Scenario 1 - Phase 1'!$B$8</f>
        <v>0</v>
      </c>
      <c r="U212" s="193"/>
      <c r="V212" s="194"/>
      <c r="W212" s="197">
        <f>E212/'LEVEL 3'!$B$8</f>
        <v>1.515622373133492E-2</v>
      </c>
      <c r="X212" s="193"/>
      <c r="Y212" s="194"/>
      <c r="Z212" s="197">
        <f>H212/('Scenario 1 - Phase 1'!$B$8+'LEVEL 3'!$B$8)</f>
        <v>5.8628660842557903E-3</v>
      </c>
      <c r="AA212" s="1"/>
    </row>
    <row r="213" spans="1:27">
      <c r="A213" s="37" t="s">
        <v>526</v>
      </c>
      <c r="B213" s="83">
        <f>'Scenario 1 - Phase 1'!K228</f>
        <v>117000</v>
      </c>
      <c r="C213" s="1"/>
      <c r="E213" s="83">
        <f>'LEVEL 3'!K233</f>
        <v>38250</v>
      </c>
      <c r="F213" s="1"/>
      <c r="H213" s="83">
        <f t="shared" si="18"/>
        <v>155250</v>
      </c>
      <c r="I213" s="1"/>
      <c r="K213" s="83">
        <f>B213/'Scenario 1 - Phase 1'!$E$8</f>
        <v>337.17579250720462</v>
      </c>
      <c r="L213" s="1"/>
      <c r="N213" s="83">
        <f>E213/'LEVEL 3'!$E$8</f>
        <v>197.16494845360825</v>
      </c>
      <c r="O213" s="1"/>
      <c r="Q213" s="83">
        <f>H213/('Scenario 1 - Phase 1'!$E$8+'LEVEL 3'!$E$8)</f>
        <v>286.96857670979665</v>
      </c>
      <c r="R213" s="1"/>
      <c r="T213" s="197">
        <f>B213/'Scenario 1 - Phase 1'!$B$8</f>
        <v>0.37603409375783403</v>
      </c>
      <c r="U213" s="193"/>
      <c r="V213" s="194"/>
      <c r="W213" s="197">
        <f>E213/'LEVEL 3'!$B$8</f>
        <v>0.19486573368859181</v>
      </c>
      <c r="X213" s="193"/>
      <c r="Y213" s="194"/>
      <c r="Z213" s="197">
        <f>H213/('Scenario 1 - Phase 1'!$B$8+'LEVEL 3'!$B$8)</f>
        <v>0.30595292759015513</v>
      </c>
      <c r="AA213" s="1"/>
    </row>
    <row r="214" spans="1:27">
      <c r="A214" s="172" t="s">
        <v>528</v>
      </c>
      <c r="B214" s="83">
        <f>'Scenario 1 - Phase 1'!K229</f>
        <v>85168</v>
      </c>
      <c r="C214" s="1"/>
      <c r="E214" s="83">
        <f>'LEVEL 3'!K234</f>
        <v>66295</v>
      </c>
      <c r="F214" s="1"/>
      <c r="H214" s="83">
        <f t="shared" si="18"/>
        <v>151463</v>
      </c>
      <c r="I214" s="1"/>
      <c r="K214" s="83">
        <f>B214/'Scenario 1 - Phase 1'!$E$8</f>
        <v>245.44092219020172</v>
      </c>
      <c r="L214" s="1"/>
      <c r="N214" s="83">
        <f>E214/'LEVEL 3'!$E$8</f>
        <v>341.72680412371136</v>
      </c>
      <c r="O214" s="1"/>
      <c r="Q214" s="83">
        <f>H214/('Scenario 1 - Phase 1'!$E$8+'LEVEL 3'!$E$8)</f>
        <v>279.96857670979665</v>
      </c>
      <c r="R214" s="1"/>
      <c r="T214" s="197">
        <f>B214/'Scenario 1 - Phase 1'!$B$8</f>
        <v>0.27372710852279669</v>
      </c>
      <c r="U214" s="193"/>
      <c r="V214" s="194"/>
      <c r="W214" s="197">
        <f>E214/'LEVEL 3'!$B$8</f>
        <v>0.33774179908196589</v>
      </c>
      <c r="X214" s="193"/>
      <c r="Y214" s="194"/>
      <c r="Z214" s="197">
        <f>H214/('Scenario 1 - Phase 1'!$B$8+'LEVEL 3'!$B$8)</f>
        <v>0.29848984393937306</v>
      </c>
      <c r="AA214" s="1"/>
    </row>
    <row r="215" spans="1:27">
      <c r="A215" s="172" t="s">
        <v>530</v>
      </c>
      <c r="B215" s="83">
        <f>'Scenario 1 - Phase 1'!K230</f>
        <v>67440</v>
      </c>
      <c r="C215" s="1"/>
      <c r="E215" s="83">
        <f>'LEVEL 3'!K235</f>
        <v>42120</v>
      </c>
      <c r="F215" s="1"/>
      <c r="H215" s="83">
        <f t="shared" si="18"/>
        <v>109560</v>
      </c>
      <c r="I215" s="1"/>
      <c r="K215" s="83">
        <f>B215/'Scenario 1 - Phase 1'!$E$8</f>
        <v>194.35158501440921</v>
      </c>
      <c r="L215" s="1"/>
      <c r="N215" s="83">
        <f>E215/'LEVEL 3'!$E$8</f>
        <v>217.11340206185568</v>
      </c>
      <c r="O215" s="1"/>
      <c r="Q215" s="83">
        <f>H215/('Scenario 1 - Phase 1'!$E$8+'LEVEL 3'!$E$8)</f>
        <v>202.51386321626617</v>
      </c>
      <c r="R215" s="1"/>
      <c r="T215" s="197">
        <f>B215/'Scenario 1 - Phase 1'!$B$8</f>
        <v>0.21674990840195152</v>
      </c>
      <c r="U215" s="193"/>
      <c r="V215" s="194"/>
      <c r="W215" s="197">
        <f>E215/'LEVEL 3'!$B$8</f>
        <v>0.21458156086179053</v>
      </c>
      <c r="X215" s="193"/>
      <c r="Y215" s="194"/>
      <c r="Z215" s="197">
        <f>H215/('Scenario 1 - Phase 1'!$B$8+'LEVEL 3'!$B$8)</f>
        <v>0.21591112880371913</v>
      </c>
      <c r="AA215" s="1"/>
    </row>
    <row r="216" spans="1:27">
      <c r="A216" s="172" t="s">
        <v>532</v>
      </c>
      <c r="B216" s="83">
        <f>'Scenario 1 - Phase 1'!K231</f>
        <v>215140</v>
      </c>
      <c r="C216" s="1"/>
      <c r="E216" s="83">
        <f>'LEVEL 3'!K236</f>
        <v>89086</v>
      </c>
      <c r="F216" s="1"/>
      <c r="H216" s="83">
        <f t="shared" si="18"/>
        <v>304226</v>
      </c>
      <c r="I216" s="1"/>
      <c r="K216" s="83">
        <f>B216/'Scenario 1 - Phase 1'!$E$8</f>
        <v>620</v>
      </c>
      <c r="L216" s="1"/>
      <c r="N216" s="83">
        <f>E216/'LEVEL 3'!$E$8</f>
        <v>459.20618556701032</v>
      </c>
      <c r="O216" s="1"/>
      <c r="Q216" s="83">
        <f>H216/('Scenario 1 - Phase 1'!$E$8+'LEVEL 3'!$E$8)</f>
        <v>562.34011090573017</v>
      </c>
      <c r="R216" s="1"/>
      <c r="T216" s="197">
        <f>B216/'Scenario 1 - Phase 1'!$B$8</f>
        <v>0.69145277718855058</v>
      </c>
      <c r="U216" s="193"/>
      <c r="V216" s="194"/>
      <c r="W216" s="197">
        <f>E216/'LEVEL 3'!$B$8</f>
        <v>0.45385120918645466</v>
      </c>
      <c r="X216" s="193"/>
      <c r="Y216" s="194"/>
      <c r="Z216" s="197">
        <f>H216/('Scenario 1 - Phase 1'!$B$8+'LEVEL 3'!$B$8)</f>
        <v>0.59954161255421923</v>
      </c>
      <c r="AA216" s="1"/>
    </row>
    <row r="217" spans="1:27" hidden="1">
      <c r="A217" s="37" t="s">
        <v>534</v>
      </c>
      <c r="B217" s="83">
        <f>'Scenario 1 - Phase 1'!K232</f>
        <v>0</v>
      </c>
      <c r="C217" s="1"/>
      <c r="E217" s="83">
        <f>'LEVEL 3'!K237</f>
        <v>0</v>
      </c>
      <c r="F217" s="1"/>
      <c r="H217" s="83">
        <f t="shared" si="18"/>
        <v>0</v>
      </c>
      <c r="I217" s="1"/>
      <c r="K217" s="83">
        <f>B217/'Scenario 1 - Phase 1'!$E$8</f>
        <v>0</v>
      </c>
      <c r="L217" s="1"/>
      <c r="N217" s="83">
        <f>E217/'LEVEL 3'!$E$8</f>
        <v>0</v>
      </c>
      <c r="O217" s="1"/>
      <c r="Q217" s="83">
        <f>H217/('Scenario 1 - Phase 1'!$E$8+'LEVEL 3'!$E$8)</f>
        <v>0</v>
      </c>
      <c r="R217" s="1"/>
      <c r="T217" s="197">
        <f>B217/'Scenario 1 - Phase 1'!$B$8</f>
        <v>0</v>
      </c>
      <c r="U217" s="193"/>
      <c r="V217" s="194"/>
      <c r="W217" s="197">
        <f>E217/'LEVEL 3'!$B$8</f>
        <v>0</v>
      </c>
      <c r="X217" s="193"/>
      <c r="Y217" s="194"/>
      <c r="Z217" s="197">
        <f>H217/('Scenario 1 - Phase 1'!$B$8+'LEVEL 3'!$B$8)</f>
        <v>0</v>
      </c>
      <c r="AA217" s="1"/>
    </row>
    <row r="218" spans="1:27" hidden="1">
      <c r="A218" s="37" t="s">
        <v>536</v>
      </c>
      <c r="B218" s="83">
        <f>'Scenario 1 - Phase 1'!K233</f>
        <v>19320</v>
      </c>
      <c r="C218" s="1"/>
      <c r="E218" s="83">
        <f>'LEVEL 3'!K238</f>
        <v>10000</v>
      </c>
      <c r="F218" s="1"/>
      <c r="H218" s="83">
        <f t="shared" si="18"/>
        <v>29320</v>
      </c>
      <c r="I218" s="1"/>
      <c r="K218" s="83">
        <f>B218/'Scenario 1 - Phase 1'!$E$8</f>
        <v>55.677233429394811</v>
      </c>
      <c r="L218" s="1"/>
      <c r="N218" s="83">
        <f>E218/'LEVEL 3'!$E$8</f>
        <v>51.546391752577321</v>
      </c>
      <c r="O218" s="1"/>
      <c r="Q218" s="83">
        <f>H218/('Scenario 1 - Phase 1'!$E$8+'LEVEL 3'!$E$8)</f>
        <v>54.195933456561924</v>
      </c>
      <c r="R218" s="1"/>
      <c r="T218" s="197">
        <f>B218/'Scenario 1 - Phase 1'!$B$8</f>
        <v>6.209383496924234E-2</v>
      </c>
      <c r="U218" s="193"/>
      <c r="V218" s="194"/>
      <c r="W218" s="197">
        <f>E218/'LEVEL 3'!$B$8</f>
        <v>5.0945289853226619E-2</v>
      </c>
      <c r="X218" s="193"/>
      <c r="Y218" s="194"/>
      <c r="Z218" s="197">
        <f>H218/('Scenario 1 - Phase 1'!$B$8+'LEVEL 3'!$B$8)</f>
        <v>5.7781254988362951E-2</v>
      </c>
      <c r="AA218" s="1"/>
    </row>
    <row r="219" spans="1:27" hidden="1">
      <c r="A219" s="37" t="s">
        <v>538</v>
      </c>
      <c r="B219" s="83">
        <f>'Scenario 1 - Phase 1'!K234</f>
        <v>28969.199999999997</v>
      </c>
      <c r="C219" s="1"/>
      <c r="E219" s="83">
        <f>'LEVEL 3'!K239</f>
        <v>12250</v>
      </c>
      <c r="F219" s="1"/>
      <c r="H219" s="83">
        <f t="shared" si="18"/>
        <v>41219.199999999997</v>
      </c>
      <c r="I219" s="1"/>
      <c r="K219" s="83">
        <f>B219/'Scenario 1 - Phase 1'!$E$8</f>
        <v>83.484726224783856</v>
      </c>
      <c r="L219" s="1"/>
      <c r="N219" s="83">
        <f>E219/'LEVEL 3'!$E$8</f>
        <v>63.144329896907216</v>
      </c>
      <c r="O219" s="1"/>
      <c r="Q219" s="83">
        <f>H219/('Scenario 1 - Phase 1'!$E$8+'LEVEL 3'!$E$8)</f>
        <v>76.19075785582254</v>
      </c>
      <c r="R219" s="1"/>
      <c r="T219" s="197">
        <f>B219/'Scenario 1 - Phase 1'!$B$8</f>
        <v>9.3106041614439694E-2</v>
      </c>
      <c r="U219" s="193"/>
      <c r="V219" s="194"/>
      <c r="W219" s="197">
        <f>E219/'LEVEL 3'!$B$8</f>
        <v>6.2407980070202609E-2</v>
      </c>
      <c r="X219" s="193"/>
      <c r="Y219" s="194"/>
      <c r="Z219" s="197">
        <f>H219/('Scenario 1 - Phase 1'!$B$8+'LEVEL 3'!$B$8)</f>
        <v>8.123114275635504E-2</v>
      </c>
      <c r="AA219" s="1"/>
    </row>
    <row r="220" spans="1:27">
      <c r="A220" s="37" t="s">
        <v>540</v>
      </c>
      <c r="B220" s="83">
        <f>'Scenario 1 - Phase 1'!K235</f>
        <v>162550</v>
      </c>
      <c r="C220" s="1"/>
      <c r="E220" s="83">
        <f>'LEVEL 3'!K240</f>
        <v>92505</v>
      </c>
      <c r="F220" s="1"/>
      <c r="H220" s="83">
        <f t="shared" si="18"/>
        <v>255055</v>
      </c>
      <c r="I220" s="1"/>
      <c r="K220" s="83">
        <f>B220/'Scenario 1 - Phase 1'!$E$8</f>
        <v>468.44380403458212</v>
      </c>
      <c r="L220" s="1"/>
      <c r="N220" s="83">
        <f>E220/'LEVEL 3'!$E$8</f>
        <v>476.82989690721649</v>
      </c>
      <c r="O220" s="1"/>
      <c r="Q220" s="83">
        <f>H220/('Scenario 1 - Phase 1'!$E$8+'LEVEL 3'!$E$8)</f>
        <v>471.4510166358595</v>
      </c>
      <c r="R220" s="1"/>
      <c r="T220" s="197">
        <f>B220/'Scenario 1 - Phase 1'!$B$8</f>
        <v>0.5224302729943241</v>
      </c>
      <c r="U220" s="193"/>
      <c r="V220" s="194"/>
      <c r="W220" s="197">
        <f>E220/'LEVEL 3'!$B$8</f>
        <v>0.47126940378727283</v>
      </c>
      <c r="X220" s="193"/>
      <c r="Y220" s="194"/>
      <c r="Z220" s="197">
        <f>H220/('Scenario 1 - Phase 1'!$B$8+'LEVEL 3'!$B$8)</f>
        <v>0.50263976777138175</v>
      </c>
      <c r="AA220" s="1"/>
    </row>
    <row r="221" spans="1:27">
      <c r="A221" s="37" t="s">
        <v>543</v>
      </c>
      <c r="B221" s="83">
        <f>'Scenario 1 - Phase 1'!K236</f>
        <v>24850</v>
      </c>
      <c r="C221" s="1"/>
      <c r="E221" s="83">
        <f>'LEVEL 3'!K241</f>
        <v>9940</v>
      </c>
      <c r="F221" s="1"/>
      <c r="H221" s="83">
        <f t="shared" si="18"/>
        <v>34790</v>
      </c>
      <c r="I221" s="1"/>
      <c r="K221" s="83">
        <f>B221/'Scenario 1 - Phase 1'!$E$8</f>
        <v>71.61383285302594</v>
      </c>
      <c r="L221" s="1"/>
      <c r="N221" s="83">
        <f>E221/'LEVEL 3'!$E$8</f>
        <v>51.237113402061858</v>
      </c>
      <c r="O221" s="1"/>
      <c r="Q221" s="83">
        <f>H221/('Scenario 1 - Phase 1'!$E$8+'LEVEL 3'!$E$8)</f>
        <v>64.306839186691306</v>
      </c>
      <c r="R221" s="1"/>
      <c r="T221" s="197">
        <f>B221/'Scenario 1 - Phase 1'!$B$8</f>
        <v>7.98670703408733E-2</v>
      </c>
      <c r="U221" s="193"/>
      <c r="V221" s="194"/>
      <c r="W221" s="197">
        <f>E221/'LEVEL 3'!$B$8</f>
        <v>5.0639618114107263E-2</v>
      </c>
      <c r="X221" s="193"/>
      <c r="Y221" s="194"/>
      <c r="Z221" s="197">
        <f>H221/('Scenario 1 - Phase 1'!$B$8+'LEVEL 3'!$B$8)</f>
        <v>6.8561045738238305E-2</v>
      </c>
      <c r="AA221" s="1"/>
    </row>
    <row r="222" spans="1:27">
      <c r="A222" s="37" t="s">
        <v>545</v>
      </c>
      <c r="B222" s="83">
        <f>'Scenario 1 - Phase 1'!K237</f>
        <v>15000</v>
      </c>
      <c r="C222" s="1"/>
      <c r="E222" s="83">
        <f>'LEVEL 3'!K242</f>
        <v>10000</v>
      </c>
      <c r="F222" s="1"/>
      <c r="H222" s="83">
        <f t="shared" si="18"/>
        <v>25000</v>
      </c>
      <c r="I222" s="1"/>
      <c r="K222" s="83">
        <f>B222/'Scenario 1 - Phase 1'!$E$8</f>
        <v>43.227665706051873</v>
      </c>
      <c r="L222" s="1"/>
      <c r="N222" s="83">
        <f>E222/'LEVEL 3'!$E$8</f>
        <v>51.546391752577321</v>
      </c>
      <c r="O222" s="1"/>
      <c r="Q222" s="83">
        <f>H222/('Scenario 1 - Phase 1'!$E$8+'LEVEL 3'!$E$8)</f>
        <v>46.210720887245841</v>
      </c>
      <c r="R222" s="1"/>
      <c r="T222" s="197">
        <f>B222/'Scenario 1 - Phase 1'!$B$8</f>
        <v>4.8209499199722311E-2</v>
      </c>
      <c r="U222" s="193"/>
      <c r="V222" s="194"/>
      <c r="W222" s="197">
        <f>E222/'LEVEL 3'!$B$8</f>
        <v>5.0945289853226619E-2</v>
      </c>
      <c r="X222" s="193"/>
      <c r="Y222" s="194"/>
      <c r="Z222" s="197">
        <f>H222/('Scenario 1 - Phase 1'!$B$8+'LEVEL 3'!$B$8)</f>
        <v>4.9267782220636894E-2</v>
      </c>
      <c r="AA222" s="1"/>
    </row>
    <row r="223" spans="1:27">
      <c r="A223" s="37" t="s">
        <v>547</v>
      </c>
      <c r="B223" s="83">
        <f>'Scenario 1 - Phase 1'!K238</f>
        <v>35700</v>
      </c>
      <c r="C223" s="1"/>
      <c r="E223" s="83">
        <f>'LEVEL 3'!K243</f>
        <v>10500</v>
      </c>
      <c r="F223" s="1"/>
      <c r="H223" s="83">
        <f t="shared" si="18"/>
        <v>46200</v>
      </c>
      <c r="I223" s="1"/>
      <c r="K223" s="83">
        <f>B223/'Scenario 1 - Phase 1'!$E$8</f>
        <v>102.88184438040346</v>
      </c>
      <c r="L223" s="1"/>
      <c r="N223" s="83">
        <f>E223/'LEVEL 3'!$E$8</f>
        <v>54.123711340206185</v>
      </c>
      <c r="O223" s="1"/>
      <c r="Q223" s="83">
        <f>H223/('Scenario 1 - Phase 1'!$E$8+'LEVEL 3'!$E$8)</f>
        <v>85.39741219963031</v>
      </c>
      <c r="R223" s="1"/>
      <c r="T223" s="197">
        <f>B223/'Scenario 1 - Phase 1'!$B$8</f>
        <v>0.1147386080953391</v>
      </c>
      <c r="U223" s="193"/>
      <c r="V223" s="194"/>
      <c r="W223" s="197">
        <f>E223/'LEVEL 3'!$B$8</f>
        <v>5.3492554345887948E-2</v>
      </c>
      <c r="X223" s="193"/>
      <c r="Y223" s="194"/>
      <c r="Z223" s="197">
        <f>H223/('Scenario 1 - Phase 1'!$B$8+'LEVEL 3'!$B$8)</f>
        <v>9.1046861543736979E-2</v>
      </c>
      <c r="AA223" s="1"/>
    </row>
    <row r="224" spans="1:27">
      <c r="A224" s="37" t="s">
        <v>70</v>
      </c>
      <c r="B224" s="83">
        <f>'Scenario 1 - Phase 1'!K239</f>
        <v>38100</v>
      </c>
      <c r="C224" s="1"/>
      <c r="E224" s="83">
        <f>'LEVEL 3'!K244</f>
        <v>21000</v>
      </c>
      <c r="F224" s="1"/>
      <c r="H224" s="83">
        <f t="shared" si="18"/>
        <v>59100</v>
      </c>
      <c r="I224" s="1"/>
      <c r="K224" s="83">
        <f>B224/'Scenario 1 - Phase 1'!$E$8</f>
        <v>109.79827089337176</v>
      </c>
      <c r="L224" s="1"/>
      <c r="N224" s="83">
        <f>E224/'LEVEL 3'!$E$8</f>
        <v>108.24742268041237</v>
      </c>
      <c r="O224" s="1"/>
      <c r="Q224" s="83">
        <f>H224/('Scenario 1 - Phase 1'!$E$8+'LEVEL 3'!$E$8)</f>
        <v>109.24214417744916</v>
      </c>
      <c r="R224" s="1"/>
      <c r="T224" s="197">
        <f>B224/'Scenario 1 - Phase 1'!$B$8</f>
        <v>0.12245212796729467</v>
      </c>
      <c r="U224" s="193"/>
      <c r="V224" s="194"/>
      <c r="W224" s="197">
        <f>E224/'LEVEL 3'!$B$8</f>
        <v>0.1069851086917759</v>
      </c>
      <c r="X224" s="193"/>
      <c r="Y224" s="194"/>
      <c r="Z224" s="197">
        <f>H224/('Scenario 1 - Phase 1'!$B$8+'LEVEL 3'!$B$8)</f>
        <v>0.11646903716958562</v>
      </c>
      <c r="AA224" s="1"/>
    </row>
    <row r="225" spans="1:27">
      <c r="A225" s="37" t="s">
        <v>553</v>
      </c>
      <c r="B225" s="83">
        <f>'Scenario 1 - Phase 1'!K240</f>
        <v>7800</v>
      </c>
      <c r="C225" s="1"/>
      <c r="E225" s="83">
        <f>'LEVEL 3'!K245</f>
        <v>3900</v>
      </c>
      <c r="F225" s="1"/>
      <c r="H225" s="83">
        <f t="shared" si="18"/>
        <v>11700</v>
      </c>
      <c r="I225" s="1"/>
      <c r="K225" s="83">
        <f>B225/'Scenario 1 - Phase 1'!$E$8</f>
        <v>22.478386167146976</v>
      </c>
      <c r="L225" s="1"/>
      <c r="N225" s="83">
        <f>E225/'LEVEL 3'!$E$8</f>
        <v>20.103092783505154</v>
      </c>
      <c r="O225" s="1"/>
      <c r="Q225" s="83">
        <f>H225/('Scenario 1 - Phase 1'!$E$8+'LEVEL 3'!$E$8)</f>
        <v>21.626617375231053</v>
      </c>
      <c r="R225" s="1"/>
      <c r="T225" s="197">
        <f>B225/'Scenario 1 - Phase 1'!$B$8</f>
        <v>2.5068939583855605E-2</v>
      </c>
      <c r="U225" s="193"/>
      <c r="V225" s="194"/>
      <c r="W225" s="197">
        <f>E225/'LEVEL 3'!$B$8</f>
        <v>1.9868663042758382E-2</v>
      </c>
      <c r="X225" s="193"/>
      <c r="Y225" s="194"/>
      <c r="Z225" s="197">
        <f>H225/('Scenario 1 - Phase 1'!$B$8+'LEVEL 3'!$B$8)</f>
        <v>2.3057322079258067E-2</v>
      </c>
      <c r="AA225" s="1"/>
    </row>
    <row r="226" spans="1:27" hidden="1">
      <c r="A226" s="37" t="s">
        <v>554</v>
      </c>
      <c r="B226" s="83">
        <f>'Scenario 1 - Phase 1'!K241</f>
        <v>0</v>
      </c>
      <c r="C226" s="1"/>
      <c r="E226" s="83">
        <f>'LEVEL 3'!K246</f>
        <v>6000</v>
      </c>
      <c r="F226" s="1"/>
      <c r="H226" s="83">
        <f t="shared" si="18"/>
        <v>6000</v>
      </c>
      <c r="I226" s="1"/>
      <c r="K226" s="83">
        <f>B226/'Scenario 1 - Phase 1'!$E$8</f>
        <v>0</v>
      </c>
      <c r="L226" s="1"/>
      <c r="N226" s="83">
        <f>E226/'LEVEL 3'!$E$8</f>
        <v>30.927835051546392</v>
      </c>
      <c r="O226" s="1"/>
      <c r="Q226" s="83">
        <f>H226/('Scenario 1 - Phase 1'!$E$8+'LEVEL 3'!$E$8)</f>
        <v>11.090573012939002</v>
      </c>
      <c r="R226" s="1"/>
      <c r="T226" s="197">
        <f>B226/'Scenario 1 - Phase 1'!$B$8</f>
        <v>0</v>
      </c>
      <c r="U226" s="193"/>
      <c r="V226" s="194"/>
      <c r="W226" s="197">
        <f>E226/'LEVEL 3'!$B$8</f>
        <v>3.0567173911935971E-2</v>
      </c>
      <c r="X226" s="193"/>
      <c r="Y226" s="194"/>
      <c r="Z226" s="197">
        <f>H226/('Scenario 1 - Phase 1'!$B$8+'LEVEL 3'!$B$8)</f>
        <v>1.1824267732952854E-2</v>
      </c>
      <c r="AA226" s="1"/>
    </row>
    <row r="227" spans="1:27" hidden="1">
      <c r="A227" s="37" t="s">
        <v>556</v>
      </c>
      <c r="B227" s="83">
        <f>'Scenario 1 - Phase 1'!K242</f>
        <v>0</v>
      </c>
      <c r="C227" s="1"/>
      <c r="E227" s="83">
        <f>'LEVEL 3'!K247</f>
        <v>0</v>
      </c>
      <c r="F227" s="1"/>
      <c r="H227" s="83">
        <f t="shared" si="18"/>
        <v>0</v>
      </c>
      <c r="I227" s="1"/>
      <c r="K227" s="83">
        <f>B227/'Scenario 1 - Phase 1'!$E$8</f>
        <v>0</v>
      </c>
      <c r="L227" s="1"/>
      <c r="N227" s="83">
        <f>E227/'LEVEL 3'!$E$8</f>
        <v>0</v>
      </c>
      <c r="O227" s="1"/>
      <c r="Q227" s="83">
        <f>H227/('Scenario 1 - Phase 1'!$E$8+'LEVEL 3'!$E$8)</f>
        <v>0</v>
      </c>
      <c r="R227" s="1"/>
      <c r="T227" s="197">
        <f>B227/'Scenario 1 - Phase 1'!$B$8</f>
        <v>0</v>
      </c>
      <c r="U227" s="193"/>
      <c r="V227" s="194"/>
      <c r="W227" s="197">
        <f>E227/'LEVEL 3'!$B$8</f>
        <v>0</v>
      </c>
      <c r="X227" s="193"/>
      <c r="Y227" s="194"/>
      <c r="Z227" s="197">
        <f>H227/('Scenario 1 - Phase 1'!$B$8+'LEVEL 3'!$B$8)</f>
        <v>0</v>
      </c>
      <c r="AA227" s="1"/>
    </row>
    <row r="228" spans="1:27" hidden="1">
      <c r="A228" s="37" t="s">
        <v>558</v>
      </c>
      <c r="B228" s="83">
        <f>'Scenario 1 - Phase 1'!K243</f>
        <v>0</v>
      </c>
      <c r="C228" s="1"/>
      <c r="E228" s="83">
        <f>'LEVEL 3'!K248</f>
        <v>0</v>
      </c>
      <c r="F228" s="1"/>
      <c r="H228" s="83">
        <f t="shared" si="18"/>
        <v>0</v>
      </c>
      <c r="I228" s="1"/>
      <c r="K228" s="83">
        <f>B228/'Scenario 1 - Phase 1'!$E$8</f>
        <v>0</v>
      </c>
      <c r="L228" s="1"/>
      <c r="N228" s="83">
        <f>E228/'LEVEL 3'!$E$8</f>
        <v>0</v>
      </c>
      <c r="O228" s="1"/>
      <c r="Q228" s="83">
        <f>H228/('Scenario 1 - Phase 1'!$E$8+'LEVEL 3'!$E$8)</f>
        <v>0</v>
      </c>
      <c r="R228" s="1"/>
      <c r="T228" s="197">
        <f>B228/'Scenario 1 - Phase 1'!$B$8</f>
        <v>0</v>
      </c>
      <c r="U228" s="193"/>
      <c r="V228" s="194"/>
      <c r="W228" s="197">
        <f>E228/'LEVEL 3'!$B$8</f>
        <v>0</v>
      </c>
      <c r="X228" s="193"/>
      <c r="Y228" s="194"/>
      <c r="Z228" s="197">
        <f>H228/('Scenario 1 - Phase 1'!$B$8+'LEVEL 3'!$B$8)</f>
        <v>0</v>
      </c>
      <c r="AA228" s="1"/>
    </row>
    <row r="229" spans="1:27" hidden="1">
      <c r="A229" s="37" t="s">
        <v>560</v>
      </c>
      <c r="B229" s="83">
        <f>'Scenario 1 - Phase 1'!K244</f>
        <v>0</v>
      </c>
      <c r="C229" s="1"/>
      <c r="E229" s="83">
        <f>'LEVEL 3'!K249</f>
        <v>3900</v>
      </c>
      <c r="F229" s="1"/>
      <c r="H229" s="83">
        <f t="shared" si="18"/>
        <v>3900</v>
      </c>
      <c r="I229" s="1"/>
      <c r="K229" s="83">
        <f>B229/'Scenario 1 - Phase 1'!$E$8</f>
        <v>0</v>
      </c>
      <c r="L229" s="1"/>
      <c r="N229" s="83">
        <f>E229/'LEVEL 3'!$E$8</f>
        <v>20.103092783505154</v>
      </c>
      <c r="O229" s="1"/>
      <c r="Q229" s="83">
        <f>H229/('Scenario 1 - Phase 1'!$E$8+'LEVEL 3'!$E$8)</f>
        <v>7.208872458410351</v>
      </c>
      <c r="R229" s="1"/>
      <c r="T229" s="197">
        <f>B229/'Scenario 1 - Phase 1'!$B$8</f>
        <v>0</v>
      </c>
      <c r="U229" s="193"/>
      <c r="V229" s="194"/>
      <c r="W229" s="197">
        <f>E229/'LEVEL 3'!$B$8</f>
        <v>1.9868663042758382E-2</v>
      </c>
      <c r="X229" s="193"/>
      <c r="Y229" s="194"/>
      <c r="Z229" s="197">
        <f>H229/('Scenario 1 - Phase 1'!$B$8+'LEVEL 3'!$B$8)</f>
        <v>7.6857740264193557E-3</v>
      </c>
      <c r="AA229" s="1"/>
    </row>
    <row r="230" spans="1:27" hidden="1">
      <c r="A230" s="37" t="s">
        <v>562</v>
      </c>
      <c r="B230" s="83">
        <f>'Scenario 1 - Phase 1'!K245</f>
        <v>29250</v>
      </c>
      <c r="C230" s="1"/>
      <c r="E230" s="83">
        <f>'LEVEL 3'!K250</f>
        <v>15000</v>
      </c>
      <c r="F230" s="1"/>
      <c r="H230" s="83">
        <f t="shared" si="18"/>
        <v>44250</v>
      </c>
      <c r="I230" s="1"/>
      <c r="K230" s="83">
        <f>B230/'Scenario 1 - Phase 1'!$E$8</f>
        <v>84.293948126801155</v>
      </c>
      <c r="L230" s="1"/>
      <c r="N230" s="83">
        <f>E230/'LEVEL 3'!$E$8</f>
        <v>77.319587628865975</v>
      </c>
      <c r="O230" s="1"/>
      <c r="Q230" s="83">
        <f>H230/('Scenario 1 - Phase 1'!$E$8+'LEVEL 3'!$E$8)</f>
        <v>81.792975970425132</v>
      </c>
      <c r="R230" s="1"/>
      <c r="T230" s="197">
        <f>B230/'Scenario 1 - Phase 1'!$B$8</f>
        <v>9.4008523439458508E-2</v>
      </c>
      <c r="U230" s="193"/>
      <c r="V230" s="194"/>
      <c r="W230" s="197">
        <f>E230/'LEVEL 3'!$B$8</f>
        <v>7.6417934779839936E-2</v>
      </c>
      <c r="X230" s="193"/>
      <c r="Y230" s="194"/>
      <c r="Z230" s="197">
        <f>H230/('Scenario 1 - Phase 1'!$B$8+'LEVEL 3'!$B$8)</f>
        <v>8.7203974530527306E-2</v>
      </c>
      <c r="AA230" s="1"/>
    </row>
    <row r="231" spans="1:27">
      <c r="A231" s="172" t="s">
        <v>564</v>
      </c>
      <c r="B231" s="83">
        <f>'Scenario 1 - Phase 1'!K246</f>
        <v>192198</v>
      </c>
      <c r="C231" s="1"/>
      <c r="E231" s="83">
        <f>'LEVEL 3'!K251</f>
        <v>98343</v>
      </c>
      <c r="F231" s="1"/>
      <c r="H231" s="83">
        <f t="shared" si="18"/>
        <v>290541</v>
      </c>
      <c r="I231" s="1"/>
      <c r="K231" s="83">
        <f>B231/'Scenario 1 - Phase 1'!$E$8</f>
        <v>553.88472622478389</v>
      </c>
      <c r="L231" s="1"/>
      <c r="N231" s="83">
        <f>E231/'LEVEL 3'!$E$8</f>
        <v>506.92268041237111</v>
      </c>
      <c r="O231" s="1"/>
      <c r="Q231" s="83">
        <f>H231/('Scenario 1 - Phase 1'!$E$8+'LEVEL 3'!$E$8)</f>
        <v>537.0443622920518</v>
      </c>
      <c r="R231" s="1"/>
      <c r="T231" s="197">
        <f>B231/'Scenario 1 - Phase 1'!$B$8</f>
        <v>0.6177179551458819</v>
      </c>
      <c r="U231" s="193"/>
      <c r="V231" s="194"/>
      <c r="W231" s="197">
        <f>E231/'LEVEL 3'!$B$8</f>
        <v>0.50101126400358653</v>
      </c>
      <c r="X231" s="193"/>
      <c r="Y231" s="194"/>
      <c r="Z231" s="197">
        <f>H231/('Scenario 1 - Phase 1'!$B$8+'LEVEL 3'!$B$8)</f>
        <v>0.57257242856664259</v>
      </c>
      <c r="AA231" s="1"/>
    </row>
    <row r="232" spans="1:27" hidden="1">
      <c r="A232" s="172" t="s">
        <v>566</v>
      </c>
      <c r="B232" s="83">
        <f>'Scenario 1 - Phase 1'!K247</f>
        <v>0</v>
      </c>
      <c r="C232" s="1"/>
      <c r="E232" s="83">
        <f>'LEVEL 3'!K252</f>
        <v>0</v>
      </c>
      <c r="F232" s="1"/>
      <c r="H232" s="83">
        <f t="shared" si="18"/>
        <v>0</v>
      </c>
      <c r="I232" s="1"/>
      <c r="K232" s="83">
        <f>B232/'Scenario 1 - Phase 1'!$E$8</f>
        <v>0</v>
      </c>
      <c r="L232" s="1"/>
      <c r="N232" s="83">
        <f>E232/'LEVEL 3'!$E$8</f>
        <v>0</v>
      </c>
      <c r="O232" s="1"/>
      <c r="Q232" s="83">
        <f>H232/('Scenario 1 - Phase 1'!$E$8+'LEVEL 3'!$E$8)</f>
        <v>0</v>
      </c>
      <c r="R232" s="1"/>
      <c r="T232" s="197">
        <f>B232/'Scenario 1 - Phase 1'!$B$8</f>
        <v>0</v>
      </c>
      <c r="U232" s="193"/>
      <c r="V232" s="194"/>
      <c r="W232" s="197">
        <f>E232/'LEVEL 3'!$B$8</f>
        <v>0</v>
      </c>
      <c r="X232" s="193"/>
      <c r="Y232" s="194"/>
      <c r="Z232" s="197">
        <f>H232/('Scenario 1 - Phase 1'!$B$8+'LEVEL 3'!$B$8)</f>
        <v>0</v>
      </c>
      <c r="AA232" s="1"/>
    </row>
    <row r="233" spans="1:27">
      <c r="A233" s="37" t="s">
        <v>568</v>
      </c>
      <c r="B233" s="83">
        <f>'Scenario 1 - Phase 1'!K248</f>
        <v>150000</v>
      </c>
      <c r="C233" s="1"/>
      <c r="E233" s="83">
        <f>'LEVEL 3'!K253</f>
        <v>15000</v>
      </c>
      <c r="F233" s="1"/>
      <c r="H233" s="83">
        <f t="shared" si="18"/>
        <v>165000</v>
      </c>
      <c r="I233" s="1"/>
      <c r="K233" s="83">
        <f>B233/'Scenario 1 - Phase 1'!$E$8</f>
        <v>432.27665706051874</v>
      </c>
      <c r="L233" s="1"/>
      <c r="N233" s="83">
        <f>E233/'LEVEL 3'!$E$8</f>
        <v>77.319587628865975</v>
      </c>
      <c r="O233" s="1"/>
      <c r="Q233" s="83">
        <f>H233/('Scenario 1 - Phase 1'!$E$8+'LEVEL 3'!$E$8)</f>
        <v>304.99075785582255</v>
      </c>
      <c r="R233" s="1"/>
      <c r="T233" s="197">
        <f>B233/'Scenario 1 - Phase 1'!$B$8</f>
        <v>0.48209499199722311</v>
      </c>
      <c r="U233" s="193"/>
      <c r="V233" s="194"/>
      <c r="W233" s="197">
        <f>E233/'LEVEL 3'!$B$8</f>
        <v>7.6417934779839936E-2</v>
      </c>
      <c r="X233" s="193"/>
      <c r="Y233" s="194"/>
      <c r="Z233" s="197">
        <f>H233/('Scenario 1 - Phase 1'!$B$8+'LEVEL 3'!$B$8)</f>
        <v>0.3251673626562035</v>
      </c>
      <c r="AA233" s="1"/>
    </row>
    <row r="234" spans="1:27" hidden="1">
      <c r="A234" s="37" t="s">
        <v>570</v>
      </c>
      <c r="B234" s="83">
        <f>'Scenario 1 - Phase 1'!K249</f>
        <v>22000</v>
      </c>
      <c r="C234" s="1"/>
      <c r="E234" s="83">
        <f>'LEVEL 3'!K254</f>
        <v>11000</v>
      </c>
      <c r="F234" s="1"/>
      <c r="H234" s="83">
        <f t="shared" si="18"/>
        <v>33000</v>
      </c>
      <c r="I234" s="1"/>
      <c r="K234" s="83">
        <f>B234/'Scenario 1 - Phase 1'!$E$8</f>
        <v>63.400576368876081</v>
      </c>
      <c r="L234" s="1"/>
      <c r="N234" s="83">
        <f>E234/'LEVEL 3'!$E$8</f>
        <v>56.701030927835049</v>
      </c>
      <c r="O234" s="1"/>
      <c r="Q234" s="83">
        <f>H234/('Scenario 1 - Phase 1'!$E$8+'LEVEL 3'!$E$8)</f>
        <v>60.998151571164513</v>
      </c>
      <c r="R234" s="1"/>
      <c r="T234" s="197">
        <f>B234/'Scenario 1 - Phase 1'!$B$8</f>
        <v>7.0707265492926066E-2</v>
      </c>
      <c r="U234" s="193"/>
      <c r="V234" s="194"/>
      <c r="W234" s="197">
        <f>E234/'LEVEL 3'!$B$8</f>
        <v>5.6039818838549284E-2</v>
      </c>
      <c r="X234" s="193"/>
      <c r="Y234" s="194"/>
      <c r="Z234" s="197">
        <f>H234/('Scenario 1 - Phase 1'!$B$8+'LEVEL 3'!$B$8)</f>
        <v>6.5033472531240699E-2</v>
      </c>
      <c r="AA234" s="1"/>
    </row>
    <row r="235" spans="1:27" hidden="1">
      <c r="A235" s="37" t="s">
        <v>572</v>
      </c>
      <c r="B235" s="83">
        <f>'Scenario 1 - Phase 1'!K250</f>
        <v>14000</v>
      </c>
      <c r="C235" s="1"/>
      <c r="E235" s="83">
        <f>'LEVEL 3'!K255</f>
        <v>7000</v>
      </c>
      <c r="F235" s="1"/>
      <c r="H235" s="83">
        <f t="shared" si="18"/>
        <v>21000</v>
      </c>
      <c r="I235" s="1"/>
      <c r="K235" s="83">
        <f>B235/'Scenario 1 - Phase 1'!$E$8</f>
        <v>40.345821325648416</v>
      </c>
      <c r="L235" s="1"/>
      <c r="N235" s="83">
        <f>E235/'LEVEL 3'!$E$8</f>
        <v>36.082474226804123</v>
      </c>
      <c r="O235" s="1"/>
      <c r="Q235" s="83">
        <f>H235/('Scenario 1 - Phase 1'!$E$8+'LEVEL 3'!$E$8)</f>
        <v>38.817005545286506</v>
      </c>
      <c r="R235" s="1"/>
      <c r="T235" s="197">
        <f>B235/'Scenario 1 - Phase 1'!$B$8</f>
        <v>4.499553258640749E-2</v>
      </c>
      <c r="U235" s="193"/>
      <c r="V235" s="194"/>
      <c r="W235" s="197">
        <f>E235/'LEVEL 3'!$B$8</f>
        <v>3.5661702897258632E-2</v>
      </c>
      <c r="X235" s="193"/>
      <c r="Y235" s="194"/>
      <c r="Z235" s="197">
        <f>H235/('Scenario 1 - Phase 1'!$B$8+'LEVEL 3'!$B$8)</f>
        <v>4.1384937065334991E-2</v>
      </c>
      <c r="AA235" s="1"/>
    </row>
    <row r="236" spans="1:27">
      <c r="A236" s="37" t="s">
        <v>53</v>
      </c>
      <c r="B236" s="83">
        <f>'Scenario 1 - Phase 1'!K251</f>
        <v>3659829</v>
      </c>
      <c r="C236" s="1"/>
      <c r="E236" s="83">
        <f>'LEVEL 3'!K256</f>
        <v>669885.16845824628</v>
      </c>
      <c r="F236" s="1"/>
      <c r="H236" s="83">
        <f t="shared" si="18"/>
        <v>4329714.1684582466</v>
      </c>
      <c r="I236" s="1"/>
      <c r="K236" s="83">
        <f>B236/'Scenario 1 - Phase 1'!$E$8</f>
        <v>10547.057636887608</v>
      </c>
      <c r="L236" s="1"/>
      <c r="N236" s="83">
        <f>E236/'LEVEL 3'!$E$8</f>
        <v>3453.0163322590015</v>
      </c>
      <c r="O236" s="1"/>
      <c r="Q236" s="83">
        <f>H236/('Scenario 1 - Phase 1'!$E$8+'LEVEL 3'!$E$8)</f>
        <v>8003.1685184071102</v>
      </c>
      <c r="R236" s="1"/>
      <c r="T236" s="197">
        <f>B236/'Scenario 1 - Phase 1'!$B$8</f>
        <v>11.762568216441368</v>
      </c>
      <c r="U236" s="193"/>
      <c r="V236" s="194"/>
      <c r="W236" s="197">
        <f>E236/'LEVEL 3'!$B$8</f>
        <v>3.41274940754829</v>
      </c>
      <c r="X236" s="193"/>
      <c r="Y236" s="194"/>
      <c r="Z236" s="197">
        <f>H236/('Scenario 1 - Phase 1'!$B$8+'LEVEL 3'!$B$8)</f>
        <v>8.5326165891682741</v>
      </c>
      <c r="AA236" s="1"/>
    </row>
    <row r="237" spans="1:27" hidden="1">
      <c r="A237" s="37" t="s">
        <v>575</v>
      </c>
      <c r="B237" s="83">
        <f>'Scenario 1 - Phase 1'!K252</f>
        <v>0</v>
      </c>
      <c r="C237" s="1"/>
      <c r="E237" s="83">
        <f>'LEVEL 3'!K257</f>
        <v>0</v>
      </c>
      <c r="F237" s="1"/>
      <c r="H237" s="83">
        <f t="shared" si="18"/>
        <v>0</v>
      </c>
      <c r="I237" s="1"/>
      <c r="K237" s="83">
        <f>B237/'Scenario 1 - Phase 1'!$E$8</f>
        <v>0</v>
      </c>
      <c r="L237" s="1"/>
      <c r="N237" s="83">
        <f>E237/'LEVEL 3'!$E$8</f>
        <v>0</v>
      </c>
      <c r="O237" s="1"/>
      <c r="Q237" s="83">
        <f>H237/('Scenario 1 - Phase 1'!$E$8+'LEVEL 3'!$E$8)</f>
        <v>0</v>
      </c>
      <c r="R237" s="1"/>
      <c r="T237" s="197">
        <f>B237/'Scenario 1 - Phase 1'!$B$8</f>
        <v>0</v>
      </c>
      <c r="U237" s="193"/>
      <c r="V237" s="194"/>
      <c r="W237" s="197">
        <f>E237/'LEVEL 3'!$B$8</f>
        <v>0</v>
      </c>
      <c r="X237" s="193"/>
      <c r="Y237" s="194"/>
      <c r="Z237" s="197">
        <f>H237/('Scenario 1 - Phase 1'!$B$8+'LEVEL 3'!$B$8)</f>
        <v>0</v>
      </c>
      <c r="AA237" s="1"/>
    </row>
    <row r="238" spans="1:27" hidden="1">
      <c r="A238" s="37" t="s">
        <v>576</v>
      </c>
      <c r="B238" s="83">
        <f>'Scenario 1 - Phase 1'!K253</f>
        <v>0</v>
      </c>
      <c r="C238" s="1"/>
      <c r="E238" s="83">
        <f>'LEVEL 3'!K258</f>
        <v>0</v>
      </c>
      <c r="F238" s="1"/>
      <c r="H238" s="83">
        <f t="shared" si="18"/>
        <v>0</v>
      </c>
      <c r="I238" s="1"/>
      <c r="K238" s="83">
        <f>B238/'Scenario 1 - Phase 1'!$E$8</f>
        <v>0</v>
      </c>
      <c r="L238" s="1"/>
      <c r="N238" s="83">
        <f>E238/'LEVEL 3'!$E$8</f>
        <v>0</v>
      </c>
      <c r="O238" s="1"/>
      <c r="Q238" s="83">
        <f>H238/('Scenario 1 - Phase 1'!$E$8+'LEVEL 3'!$E$8)</f>
        <v>0</v>
      </c>
      <c r="R238" s="1"/>
      <c r="T238" s="197">
        <f>B238/'Scenario 1 - Phase 1'!$B$8</f>
        <v>0</v>
      </c>
      <c r="U238" s="193"/>
      <c r="V238" s="194"/>
      <c r="W238" s="197">
        <f>E238/'LEVEL 3'!$B$8</f>
        <v>0</v>
      </c>
      <c r="X238" s="193"/>
      <c r="Y238" s="194"/>
      <c r="Z238" s="197">
        <f>H238/('Scenario 1 - Phase 1'!$B$8+'LEVEL 3'!$B$8)</f>
        <v>0</v>
      </c>
      <c r="AA238" s="1"/>
    </row>
    <row r="239" spans="1:27">
      <c r="A239" s="172" t="s">
        <v>578</v>
      </c>
      <c r="B239" s="83">
        <f>'Scenario 1 - Phase 1'!K254</f>
        <v>4500</v>
      </c>
      <c r="C239" s="1"/>
      <c r="E239" s="83">
        <f>'LEVEL 3'!K259</f>
        <v>5000</v>
      </c>
      <c r="F239" s="1"/>
      <c r="H239" s="83">
        <f t="shared" si="18"/>
        <v>9500</v>
      </c>
      <c r="I239" s="1"/>
      <c r="K239" s="83">
        <f>B239/'Scenario 1 - Phase 1'!$E$8</f>
        <v>12.968299711815561</v>
      </c>
      <c r="L239" s="1"/>
      <c r="N239" s="83">
        <f>E239/'LEVEL 3'!$E$8</f>
        <v>25.773195876288661</v>
      </c>
      <c r="O239" s="1"/>
      <c r="Q239" s="83">
        <f>H239/('Scenario 1 - Phase 1'!$E$8+'LEVEL 3'!$E$8)</f>
        <v>17.560073937153419</v>
      </c>
      <c r="R239" s="1"/>
      <c r="T239" s="197">
        <f>B239/'Scenario 1 - Phase 1'!$B$8</f>
        <v>1.4462849759916694E-2</v>
      </c>
      <c r="U239" s="193"/>
      <c r="V239" s="194"/>
      <c r="W239" s="197">
        <f>E239/'LEVEL 3'!$B$8</f>
        <v>2.547264492661331E-2</v>
      </c>
      <c r="X239" s="193"/>
      <c r="Y239" s="194"/>
      <c r="Z239" s="197">
        <f>H239/('Scenario 1 - Phase 1'!$B$8+'LEVEL 3'!$B$8)</f>
        <v>1.8721757243842022E-2</v>
      </c>
      <c r="AA239" s="1"/>
    </row>
    <row r="240" spans="1:27">
      <c r="A240" s="172" t="s">
        <v>579</v>
      </c>
      <c r="B240" s="83">
        <f>'Scenario 1 - Phase 1'!K255</f>
        <v>19250</v>
      </c>
      <c r="C240" s="1"/>
      <c r="E240" s="83">
        <f>'LEVEL 3'!K260</f>
        <v>414871.13888888888</v>
      </c>
      <c r="F240" s="1"/>
      <c r="H240" s="83">
        <f t="shared" si="18"/>
        <v>434121.13888888888</v>
      </c>
      <c r="I240" s="1"/>
      <c r="K240" s="83">
        <f>B240/'Scenario 1 - Phase 1'!$E$8</f>
        <v>55.475504322766568</v>
      </c>
      <c r="L240" s="1"/>
      <c r="N240" s="83">
        <f>E240/'LEVEL 3'!$E$8</f>
        <v>2138.5110252004583</v>
      </c>
      <c r="O240" s="1"/>
      <c r="Q240" s="83">
        <f>H240/('Scenario 1 - Phase 1'!$E$8+'LEVEL 3'!$E$8)</f>
        <v>802.44203121790918</v>
      </c>
      <c r="R240" s="1"/>
      <c r="T240" s="197">
        <f>B240/'Scenario 1 - Phase 1'!$B$8</f>
        <v>6.1868857306310303E-2</v>
      </c>
      <c r="U240" s="193"/>
      <c r="V240" s="194"/>
      <c r="W240" s="197">
        <f>E240/'LEVEL 3'!$B$8</f>
        <v>2.1135730422432681</v>
      </c>
      <c r="X240" s="193"/>
      <c r="Y240" s="194"/>
      <c r="Z240" s="197">
        <f>H240/('Scenario 1 - Phase 1'!$B$8+'LEVEL 3'!$B$8)</f>
        <v>0.85552742912610558</v>
      </c>
      <c r="AA240" s="1"/>
    </row>
    <row r="241" spans="1:27">
      <c r="A241" s="172" t="s">
        <v>580</v>
      </c>
      <c r="B241" s="83">
        <f>'Scenario 1 - Phase 1'!K256</f>
        <v>920</v>
      </c>
      <c r="C241" s="1"/>
      <c r="E241" s="83">
        <f>'LEVEL 3'!K261</f>
        <v>50205</v>
      </c>
      <c r="F241" s="1"/>
      <c r="H241" s="83">
        <f t="shared" si="18"/>
        <v>51125</v>
      </c>
      <c r="I241" s="1"/>
      <c r="K241" s="83">
        <f>B241/'Scenario 1 - Phase 1'!$E$8</f>
        <v>2.6512968299711814</v>
      </c>
      <c r="L241" s="1"/>
      <c r="N241" s="83">
        <f>E241/'LEVEL 3'!$E$8</f>
        <v>258.78865979381442</v>
      </c>
      <c r="O241" s="1"/>
      <c r="Q241" s="83">
        <f>H241/('Scenario 1 - Phase 1'!$E$8+'LEVEL 3'!$E$8)</f>
        <v>94.500924214417751</v>
      </c>
      <c r="R241" s="1"/>
      <c r="T241" s="197">
        <f>B241/'Scenario 1 - Phase 1'!$B$8</f>
        <v>2.9568492842496352E-3</v>
      </c>
      <c r="U241" s="193"/>
      <c r="V241" s="194"/>
      <c r="W241" s="197">
        <f>E241/'LEVEL 3'!$B$8</f>
        <v>0.25577082770812426</v>
      </c>
      <c r="X241" s="193"/>
      <c r="Y241" s="194"/>
      <c r="Z241" s="197">
        <f>H241/('Scenario 1 - Phase 1'!$B$8+'LEVEL 3'!$B$8)</f>
        <v>0.10075261464120244</v>
      </c>
      <c r="AA241" s="1"/>
    </row>
    <row r="242" spans="1:27">
      <c r="A242" s="172" t="s">
        <v>581</v>
      </c>
      <c r="B242" s="83">
        <f>'Scenario 1 - Phase 1'!K257</f>
        <v>25544</v>
      </c>
      <c r="C242" s="1"/>
      <c r="E242" s="83">
        <f>'LEVEL 3'!K262</f>
        <v>32531</v>
      </c>
      <c r="F242" s="1"/>
      <c r="H242" s="83">
        <f t="shared" si="18"/>
        <v>58075</v>
      </c>
      <c r="I242" s="1"/>
      <c r="K242" s="83">
        <f>B242/'Scenario 1 - Phase 1'!$E$8</f>
        <v>73.61383285302594</v>
      </c>
      <c r="L242" s="1"/>
      <c r="N242" s="83">
        <f>E242/'LEVEL 3'!$E$8</f>
        <v>167.68556701030928</v>
      </c>
      <c r="O242" s="1"/>
      <c r="Q242" s="83">
        <f>H242/('Scenario 1 - Phase 1'!$E$8+'LEVEL 3'!$E$8)</f>
        <v>107.34750462107209</v>
      </c>
      <c r="R242" s="1"/>
      <c r="T242" s="197">
        <f>B242/'Scenario 1 - Phase 1'!$B$8</f>
        <v>8.2097563170513782E-2</v>
      </c>
      <c r="U242" s="193"/>
      <c r="V242" s="194"/>
      <c r="W242" s="197">
        <f>E242/'LEVEL 3'!$B$8</f>
        <v>0.16573012242153151</v>
      </c>
      <c r="X242" s="193"/>
      <c r="Y242" s="194"/>
      <c r="Z242" s="197">
        <f>H242/('Scenario 1 - Phase 1'!$B$8+'LEVEL 3'!$B$8)</f>
        <v>0.1144490580985395</v>
      </c>
      <c r="AA242" s="1"/>
    </row>
    <row r="243" spans="1:27">
      <c r="A243" s="33" t="s">
        <v>582</v>
      </c>
      <c r="B243" s="82"/>
      <c r="C243" s="102">
        <f>SUM(B244:B258)</f>
        <v>2578601.0384615385</v>
      </c>
      <c r="E243" s="82"/>
      <c r="F243" s="102">
        <f>SUM(E244:E258)</f>
        <v>1217483</v>
      </c>
      <c r="H243" s="82"/>
      <c r="I243" s="102">
        <f>SUM(H244:H258)</f>
        <v>3796084.0384615385</v>
      </c>
      <c r="K243" s="82"/>
      <c r="L243" s="102">
        <f>SUM(K244:K258)</f>
        <v>7431.1269119929066</v>
      </c>
      <c r="N243" s="82"/>
      <c r="O243" s="102">
        <f>SUM(N244:N258)</f>
        <v>6275.6855670103087</v>
      </c>
      <c r="Q243" s="82"/>
      <c r="R243" s="102">
        <f>SUM(Q244:Q258)</f>
        <v>7016.7911986350064</v>
      </c>
      <c r="T243" s="82"/>
      <c r="U243" s="201">
        <f>C243/'Scenario 1 - Phase 1'!$B$8</f>
        <v>8.2875376466743109</v>
      </c>
      <c r="V243" s="199"/>
      <c r="W243" s="203"/>
      <c r="X243" s="201">
        <f>F243/'LEVEL 3'!$B$8</f>
        <v>6.2025024326375906</v>
      </c>
      <c r="Y243" s="199"/>
      <c r="Z243" s="203"/>
      <c r="AA243" s="201">
        <f>I243/('Scenario 1 - Phase 1'!$B$8+'LEVEL 3'!$B$8)</f>
        <v>7.4809856679263556</v>
      </c>
    </row>
    <row r="244" spans="1:27">
      <c r="A244" s="35" t="s">
        <v>584</v>
      </c>
      <c r="B244" s="71">
        <f>'Scenario 1 - Phase 1'!K259</f>
        <v>124960.03846153847</v>
      </c>
      <c r="C244" s="1"/>
      <c r="E244" s="71">
        <f>'LEVEL 3'!K265</f>
        <v>72750</v>
      </c>
      <c r="F244" s="1"/>
      <c r="H244" s="71">
        <f t="shared" ref="H244:H258" si="19">B244+E244</f>
        <v>197710.03846153847</v>
      </c>
      <c r="I244" s="1"/>
      <c r="K244" s="71">
        <f>B244/'Scenario 1 - Phase 1'!$E$8</f>
        <v>360.11538461538464</v>
      </c>
      <c r="L244" s="1"/>
      <c r="N244" s="71">
        <f>E244/'LEVEL 3'!$E$8</f>
        <v>375</v>
      </c>
      <c r="O244" s="1"/>
      <c r="Q244" s="71">
        <f>H244/('Scenario 1 - Phase 1'!$E$8+'LEVEL 3'!$E$8)</f>
        <v>365.45293615811175</v>
      </c>
      <c r="R244" s="1"/>
      <c r="T244" s="195">
        <f>B244/'Scenario 1 - Phase 1'!$B$8</f>
        <v>0.40161739161392057</v>
      </c>
      <c r="U244" s="193"/>
      <c r="V244" s="194"/>
      <c r="W244" s="195">
        <f>E244/'LEVEL 3'!$B$8</f>
        <v>0.37062698368222369</v>
      </c>
      <c r="X244" s="193"/>
      <c r="Y244" s="194"/>
      <c r="Z244" s="195">
        <f>H244/('Scenario 1 - Phase 1'!$B$8+'LEVEL 3'!$B$8)</f>
        <v>0.38962940471027285</v>
      </c>
      <c r="AA244" s="1"/>
    </row>
    <row r="245" spans="1:27">
      <c r="A245" s="37" t="s">
        <v>587</v>
      </c>
      <c r="B245" s="83">
        <f>'Scenario 1 - Phase 1'!K260</f>
        <v>0</v>
      </c>
      <c r="C245" s="1"/>
      <c r="E245" s="83">
        <f>'LEVEL 3'!K266</f>
        <v>10000</v>
      </c>
      <c r="F245" s="1"/>
      <c r="H245" s="83">
        <f t="shared" si="19"/>
        <v>10000</v>
      </c>
      <c r="I245" s="1"/>
      <c r="K245" s="83">
        <f>B245/'Scenario 1 - Phase 1'!$E$8</f>
        <v>0</v>
      </c>
      <c r="L245" s="1"/>
      <c r="N245" s="83">
        <f>E245/'LEVEL 3'!$E$8</f>
        <v>51.546391752577321</v>
      </c>
      <c r="O245" s="1"/>
      <c r="Q245" s="83">
        <f>H245/('Scenario 1 - Phase 1'!$E$8+'LEVEL 3'!$E$8)</f>
        <v>18.484288354898336</v>
      </c>
      <c r="R245" s="1"/>
      <c r="T245" s="197">
        <f>B245/'Scenario 1 - Phase 1'!$B$8</f>
        <v>0</v>
      </c>
      <c r="U245" s="193"/>
      <c r="V245" s="194"/>
      <c r="W245" s="197">
        <f>E245/'LEVEL 3'!$B$8</f>
        <v>5.0945289853226619E-2</v>
      </c>
      <c r="X245" s="193"/>
      <c r="Y245" s="194"/>
      <c r="Z245" s="197">
        <f>H245/('Scenario 1 - Phase 1'!$B$8+'LEVEL 3'!$B$8)</f>
        <v>1.9707112888254757E-2</v>
      </c>
      <c r="AA245" s="1"/>
    </row>
    <row r="246" spans="1:27">
      <c r="A246" s="174" t="s">
        <v>589</v>
      </c>
      <c r="B246" s="83">
        <f>'Scenario 1 - Phase 1'!K261</f>
        <v>1384327</v>
      </c>
      <c r="C246" s="1"/>
      <c r="E246" s="83">
        <f>'LEVEL 3'!K267</f>
        <v>424224</v>
      </c>
      <c r="F246" s="1"/>
      <c r="H246" s="83">
        <f t="shared" si="19"/>
        <v>1808551</v>
      </c>
      <c r="I246" s="1"/>
      <c r="K246" s="83">
        <f>B246/'Scenario 1 - Phase 1'!$E$8</f>
        <v>3989.4149855907781</v>
      </c>
      <c r="L246" s="1"/>
      <c r="N246" s="83">
        <f>E246/'LEVEL 3'!$E$8</f>
        <v>2186.7216494845361</v>
      </c>
      <c r="O246" s="1"/>
      <c r="Q246" s="83">
        <f>H246/('Scenario 1 - Phase 1'!$E$8+'LEVEL 3'!$E$8)</f>
        <v>3342.977818853974</v>
      </c>
      <c r="R246" s="1"/>
      <c r="T246" s="197">
        <f>B246/'Scenario 1 - Phase 1'!$B$8</f>
        <v>4.4491807599102664</v>
      </c>
      <c r="U246" s="193"/>
      <c r="V246" s="194"/>
      <c r="W246" s="197">
        <f>E246/'LEVEL 3'!$B$8</f>
        <v>2.1612214642695209</v>
      </c>
      <c r="X246" s="193"/>
      <c r="Y246" s="194"/>
      <c r="Z246" s="197">
        <f>H246/('Scenario 1 - Phase 1'!$B$8+'LEVEL 3'!$B$8)</f>
        <v>3.5641318721166031</v>
      </c>
      <c r="AA246" s="1"/>
    </row>
    <row r="247" spans="1:27">
      <c r="A247" s="174" t="s">
        <v>590</v>
      </c>
      <c r="B247" s="83">
        <f>'Scenario 1 - Phase 1'!K262</f>
        <v>446750</v>
      </c>
      <c r="C247" s="1"/>
      <c r="E247" s="83">
        <f>'LEVEL 3'!K268</f>
        <v>68283</v>
      </c>
      <c r="F247" s="1"/>
      <c r="H247" s="83">
        <f t="shared" si="19"/>
        <v>515033</v>
      </c>
      <c r="I247" s="1"/>
      <c r="K247" s="83">
        <f>B247/'Scenario 1 - Phase 1'!$E$8</f>
        <v>1287.4639769452449</v>
      </c>
      <c r="L247" s="1"/>
      <c r="N247" s="83">
        <f>E247/'LEVEL 3'!$E$8</f>
        <v>351.9742268041237</v>
      </c>
      <c r="O247" s="1"/>
      <c r="Q247" s="83">
        <f>H247/('Scenario 1 - Phase 1'!$E$8+'LEVEL 3'!$E$8)</f>
        <v>952.0018484288355</v>
      </c>
      <c r="R247" s="1"/>
      <c r="T247" s="197">
        <f>B247/'Scenario 1 - Phase 1'!$B$8</f>
        <v>1.4358395844983962</v>
      </c>
      <c r="U247" s="193"/>
      <c r="V247" s="194"/>
      <c r="W247" s="197">
        <f>E247/'LEVEL 3'!$B$8</f>
        <v>0.34786972270478733</v>
      </c>
      <c r="X247" s="193"/>
      <c r="Y247" s="194"/>
      <c r="Z247" s="197">
        <f>H247/('Scenario 1 - Phase 1'!$B$8+'LEVEL 3'!$B$8)</f>
        <v>1.0149813472176512</v>
      </c>
      <c r="AA247" s="1"/>
    </row>
    <row r="248" spans="1:27" hidden="1">
      <c r="A248" s="206" t="s">
        <v>592</v>
      </c>
      <c r="B248" s="83">
        <f>'Scenario 1 - Phase 1'!K263</f>
        <v>0</v>
      </c>
      <c r="C248" s="1"/>
      <c r="E248" s="83">
        <f>'LEVEL 3'!K269</f>
        <v>0</v>
      </c>
      <c r="F248" s="1"/>
      <c r="H248" s="83">
        <f t="shared" si="19"/>
        <v>0</v>
      </c>
      <c r="I248" s="1"/>
      <c r="K248" s="83">
        <f>B248/'Scenario 1 - Phase 1'!$E$8</f>
        <v>0</v>
      </c>
      <c r="L248" s="1"/>
      <c r="N248" s="83">
        <f>E248/'LEVEL 3'!$E$8</f>
        <v>0</v>
      </c>
      <c r="O248" s="1"/>
      <c r="Q248" s="83">
        <f>H248/('Scenario 1 - Phase 1'!$E$8+'LEVEL 3'!$E$8)</f>
        <v>0</v>
      </c>
      <c r="R248" s="1"/>
      <c r="T248" s="197">
        <f>B248/'Scenario 1 - Phase 1'!$B$8</f>
        <v>0</v>
      </c>
      <c r="U248" s="193"/>
      <c r="V248" s="194"/>
      <c r="W248" s="197">
        <f>E248/'LEVEL 3'!$B$8</f>
        <v>0</v>
      </c>
      <c r="X248" s="193"/>
      <c r="Y248" s="194"/>
      <c r="Z248" s="197">
        <f>H248/('Scenario 1 - Phase 1'!$B$8+'LEVEL 3'!$B$8)</f>
        <v>0</v>
      </c>
      <c r="AA248" s="1"/>
    </row>
    <row r="249" spans="1:27" hidden="1">
      <c r="A249" s="37" t="s">
        <v>594</v>
      </c>
      <c r="B249" s="83">
        <f>'Scenario 1 - Phase 1'!K264</f>
        <v>5000</v>
      </c>
      <c r="C249" s="1"/>
      <c r="E249" s="83">
        <f>'LEVEL 3'!K270</f>
        <v>5000</v>
      </c>
      <c r="F249" s="1"/>
      <c r="H249" s="83">
        <f t="shared" si="19"/>
        <v>10000</v>
      </c>
      <c r="I249" s="1"/>
      <c r="K249" s="83">
        <f>B249/'Scenario 1 - Phase 1'!$E$8</f>
        <v>14.409221902017292</v>
      </c>
      <c r="L249" s="1"/>
      <c r="N249" s="83">
        <f>E249/'LEVEL 3'!$E$8</f>
        <v>25.773195876288661</v>
      </c>
      <c r="O249" s="1"/>
      <c r="Q249" s="83">
        <f>H249/('Scenario 1 - Phase 1'!$E$8+'LEVEL 3'!$E$8)</f>
        <v>18.484288354898336</v>
      </c>
      <c r="R249" s="1"/>
      <c r="T249" s="197">
        <f>B249/'Scenario 1 - Phase 1'!$B$8</f>
        <v>1.6069833066574106E-2</v>
      </c>
      <c r="U249" s="193"/>
      <c r="V249" s="194"/>
      <c r="W249" s="197">
        <f>E249/'LEVEL 3'!$B$8</f>
        <v>2.547264492661331E-2</v>
      </c>
      <c r="X249" s="193"/>
      <c r="Y249" s="194"/>
      <c r="Z249" s="197">
        <f>H249/('Scenario 1 - Phase 1'!$B$8+'LEVEL 3'!$B$8)</f>
        <v>1.9707112888254757E-2</v>
      </c>
      <c r="AA249" s="1"/>
    </row>
    <row r="250" spans="1:27">
      <c r="A250" s="37" t="s">
        <v>596</v>
      </c>
      <c r="B250" s="83">
        <f>'Scenario 1 - Phase 1'!K265</f>
        <v>200000</v>
      </c>
      <c r="C250" s="1"/>
      <c r="E250" s="83">
        <f>'LEVEL 3'!K272</f>
        <v>136424</v>
      </c>
      <c r="F250" s="1"/>
      <c r="H250" s="83">
        <f t="shared" si="19"/>
        <v>336424</v>
      </c>
      <c r="I250" s="1"/>
      <c r="K250" s="83">
        <f>B250/'Scenario 1 - Phase 1'!$E$8</f>
        <v>576.36887608069162</v>
      </c>
      <c r="L250" s="1"/>
      <c r="N250" s="83">
        <f>E250/'LEVEL 3'!$E$8</f>
        <v>703.21649484536078</v>
      </c>
      <c r="O250" s="1"/>
      <c r="Q250" s="83">
        <f>H250/('Scenario 1 - Phase 1'!$E$8+'LEVEL 3'!$E$8)</f>
        <v>621.85582255083182</v>
      </c>
      <c r="R250" s="1"/>
      <c r="T250" s="197">
        <f>B250/'Scenario 1 - Phase 1'!$B$8</f>
        <v>0.64279332266296418</v>
      </c>
      <c r="U250" s="193"/>
      <c r="V250" s="194"/>
      <c r="W250" s="197">
        <f>E250/'LEVEL 3'!$B$8</f>
        <v>0.69501602229365889</v>
      </c>
      <c r="X250" s="193"/>
      <c r="Y250" s="194"/>
      <c r="Z250" s="197">
        <f>H250/('Scenario 1 - Phase 1'!$B$8+'LEVEL 3'!$B$8)</f>
        <v>0.66299457463182188</v>
      </c>
      <c r="AA250" s="1"/>
    </row>
    <row r="251" spans="1:27" hidden="1">
      <c r="A251" s="37" t="s">
        <v>598</v>
      </c>
      <c r="B251" s="83">
        <f>'Scenario 1 - Phase 1'!K266</f>
        <v>10000</v>
      </c>
      <c r="C251" s="1"/>
      <c r="E251" s="83">
        <f>'LEVEL 3'!K273</f>
        <v>0</v>
      </c>
      <c r="F251" s="1"/>
      <c r="H251" s="83">
        <f t="shared" si="19"/>
        <v>10000</v>
      </c>
      <c r="I251" s="1"/>
      <c r="K251" s="83">
        <f>B251/'Scenario 1 - Phase 1'!$E$8</f>
        <v>28.818443804034583</v>
      </c>
      <c r="L251" s="1"/>
      <c r="N251" s="83">
        <f>E251/'LEVEL 3'!$E$8</f>
        <v>0</v>
      </c>
      <c r="O251" s="1"/>
      <c r="Q251" s="83">
        <f>H251/('Scenario 1 - Phase 1'!$E$8+'LEVEL 3'!$E$8)</f>
        <v>18.484288354898336</v>
      </c>
      <c r="R251" s="1"/>
      <c r="T251" s="197">
        <f>B251/'Scenario 1 - Phase 1'!$B$8</f>
        <v>3.2139666133148212E-2</v>
      </c>
      <c r="U251" s="193"/>
      <c r="V251" s="194"/>
      <c r="W251" s="197">
        <f>E251/'LEVEL 3'!$B$8</f>
        <v>0</v>
      </c>
      <c r="X251" s="193"/>
      <c r="Y251" s="194"/>
      <c r="Z251" s="197">
        <f>H251/('Scenario 1 - Phase 1'!$B$8+'LEVEL 3'!$B$8)</f>
        <v>1.9707112888254757E-2</v>
      </c>
      <c r="AA251" s="1"/>
    </row>
    <row r="252" spans="1:27" hidden="1">
      <c r="A252" s="37" t="s">
        <v>600</v>
      </c>
      <c r="B252" s="83">
        <f>'Scenario 1 - Phase 1'!K267</f>
        <v>0</v>
      </c>
      <c r="C252" s="1"/>
      <c r="E252" s="83">
        <f>'LEVEL 3'!K274</f>
        <v>0</v>
      </c>
      <c r="F252" s="1"/>
      <c r="H252" s="83">
        <f t="shared" si="19"/>
        <v>0</v>
      </c>
      <c r="I252" s="1"/>
      <c r="K252" s="83">
        <f>B252/'Scenario 1 - Phase 1'!$E$8</f>
        <v>0</v>
      </c>
      <c r="L252" s="1"/>
      <c r="N252" s="83">
        <f>E252/'LEVEL 3'!$E$8</f>
        <v>0</v>
      </c>
      <c r="O252" s="1"/>
      <c r="Q252" s="83">
        <f>H252/('Scenario 1 - Phase 1'!$E$8+'LEVEL 3'!$E$8)</f>
        <v>0</v>
      </c>
      <c r="R252" s="1"/>
      <c r="T252" s="197">
        <f>B252/'Scenario 1 - Phase 1'!$B$8</f>
        <v>0</v>
      </c>
      <c r="U252" s="193"/>
      <c r="V252" s="194"/>
      <c r="W252" s="197">
        <f>E252/'LEVEL 3'!$B$8</f>
        <v>0</v>
      </c>
      <c r="X252" s="193"/>
      <c r="Y252" s="194"/>
      <c r="Z252" s="197">
        <f>H252/('Scenario 1 - Phase 1'!$B$8+'LEVEL 3'!$B$8)</f>
        <v>0</v>
      </c>
      <c r="AA252" s="1"/>
    </row>
    <row r="253" spans="1:27" hidden="1">
      <c r="A253" s="37" t="s">
        <v>602</v>
      </c>
      <c r="B253" s="83">
        <f>'Scenario 1 - Phase 1'!K268</f>
        <v>0</v>
      </c>
      <c r="C253" s="1"/>
      <c r="E253" s="83">
        <f>'LEVEL 3'!K275</f>
        <v>0</v>
      </c>
      <c r="F253" s="1"/>
      <c r="H253" s="83">
        <f t="shared" si="19"/>
        <v>0</v>
      </c>
      <c r="I253" s="1"/>
      <c r="K253" s="83">
        <f>B253/'Scenario 1 - Phase 1'!$E$8</f>
        <v>0</v>
      </c>
      <c r="L253" s="1"/>
      <c r="N253" s="83">
        <f>E253/'LEVEL 3'!$E$8</f>
        <v>0</v>
      </c>
      <c r="O253" s="1"/>
      <c r="Q253" s="83">
        <f>H253/('Scenario 1 - Phase 1'!$E$8+'LEVEL 3'!$E$8)</f>
        <v>0</v>
      </c>
      <c r="R253" s="1"/>
      <c r="T253" s="197">
        <f>B253/'Scenario 1 - Phase 1'!$B$8</f>
        <v>0</v>
      </c>
      <c r="U253" s="193"/>
      <c r="V253" s="194"/>
      <c r="W253" s="197">
        <f>E253/'LEVEL 3'!$B$8</f>
        <v>0</v>
      </c>
      <c r="X253" s="193"/>
      <c r="Y253" s="194"/>
      <c r="Z253" s="197">
        <f>H253/('Scenario 1 - Phase 1'!$B$8+'LEVEL 3'!$B$8)</f>
        <v>0</v>
      </c>
      <c r="AA253" s="1"/>
    </row>
    <row r="254" spans="1:27" hidden="1">
      <c r="A254" s="37" t="s">
        <v>604</v>
      </c>
      <c r="B254" s="83">
        <f>'Scenario 1 - Phase 1'!K269</f>
        <v>0</v>
      </c>
      <c r="C254" s="1"/>
      <c r="E254" s="83">
        <f>'LEVEL 3'!K276</f>
        <v>0</v>
      </c>
      <c r="F254" s="1"/>
      <c r="H254" s="83">
        <f t="shared" si="19"/>
        <v>0</v>
      </c>
      <c r="I254" s="1"/>
      <c r="K254" s="83">
        <f>B254/'Scenario 1 - Phase 1'!$E$8</f>
        <v>0</v>
      </c>
      <c r="L254" s="1"/>
      <c r="N254" s="83">
        <f>E254/'LEVEL 3'!$E$8</f>
        <v>0</v>
      </c>
      <c r="O254" s="1"/>
      <c r="Q254" s="83">
        <f>H254/('Scenario 1 - Phase 1'!$E$8+'LEVEL 3'!$E$8)</f>
        <v>0</v>
      </c>
      <c r="R254" s="1"/>
      <c r="T254" s="197">
        <f>B254/'Scenario 1 - Phase 1'!$B$8</f>
        <v>0</v>
      </c>
      <c r="U254" s="193"/>
      <c r="V254" s="194"/>
      <c r="W254" s="197">
        <f>E254/'LEVEL 3'!$B$8</f>
        <v>0</v>
      </c>
      <c r="X254" s="193"/>
      <c r="Y254" s="194"/>
      <c r="Z254" s="197">
        <f>H254/('Scenario 1 - Phase 1'!$B$8+'LEVEL 3'!$B$8)</f>
        <v>0</v>
      </c>
      <c r="AA254" s="1"/>
    </row>
    <row r="255" spans="1:27">
      <c r="A255" s="172" t="s">
        <v>606</v>
      </c>
      <c r="B255" s="83">
        <f>'Scenario 1 - Phase 1'!K270</f>
        <v>349900</v>
      </c>
      <c r="C255" s="1"/>
      <c r="E255" s="83">
        <f>'LEVEL 3'!K277</f>
        <v>299756</v>
      </c>
      <c r="F255" s="1"/>
      <c r="H255" s="83">
        <f t="shared" si="19"/>
        <v>649656</v>
      </c>
      <c r="I255" s="1"/>
      <c r="K255" s="83">
        <f>B255/'Scenario 1 - Phase 1'!$E$8</f>
        <v>1008.35734870317</v>
      </c>
      <c r="L255" s="1"/>
      <c r="N255" s="83">
        <f>E255/'LEVEL 3'!$E$8</f>
        <v>1545.1340206185566</v>
      </c>
      <c r="O255" s="1"/>
      <c r="Q255" s="83">
        <f>H255/('Scenario 1 - Phase 1'!$E$8+'LEVEL 3'!$E$8)</f>
        <v>1200.8428835489833</v>
      </c>
      <c r="R255" s="1"/>
      <c r="T255" s="197">
        <f>B255/'Scenario 1 - Phase 1'!$B$8</f>
        <v>1.1245669179988558</v>
      </c>
      <c r="U255" s="193"/>
      <c r="V255" s="194"/>
      <c r="W255" s="197">
        <f>E255/'LEVEL 3'!$B$8</f>
        <v>1.5271156305243798</v>
      </c>
      <c r="X255" s="193"/>
      <c r="Y255" s="194"/>
      <c r="Z255" s="197">
        <f>H255/('Scenario 1 - Phase 1'!$B$8+'LEVEL 3'!$B$8)</f>
        <v>1.2802844130532034</v>
      </c>
      <c r="AA255" s="1"/>
    </row>
    <row r="256" spans="1:27">
      <c r="A256" s="172" t="s">
        <v>607</v>
      </c>
      <c r="B256" s="83">
        <f>'Scenario 1 - Phase 1'!K271</f>
        <v>57664</v>
      </c>
      <c r="C256" s="1"/>
      <c r="E256" s="83">
        <f>'LEVEL 3'!K278</f>
        <v>51885</v>
      </c>
      <c r="F256" s="1"/>
      <c r="H256" s="83">
        <f t="shared" si="19"/>
        <v>109549</v>
      </c>
      <c r="I256" s="1"/>
      <c r="K256" s="83">
        <f>B256/'Scenario 1 - Phase 1'!$E$8</f>
        <v>166.17867435158502</v>
      </c>
      <c r="L256" s="1"/>
      <c r="N256" s="83">
        <f>E256/'LEVEL 3'!$E$8</f>
        <v>267.44845360824741</v>
      </c>
      <c r="O256" s="1"/>
      <c r="Q256" s="83">
        <f>H256/('Scenario 1 - Phase 1'!$E$8+'LEVEL 3'!$E$8)</f>
        <v>202.49353049907577</v>
      </c>
      <c r="R256" s="1"/>
      <c r="T256" s="197">
        <f>B256/'Scenario 1 - Phase 1'!$B$8</f>
        <v>0.18533017079018582</v>
      </c>
      <c r="U256" s="193"/>
      <c r="V256" s="194"/>
      <c r="W256" s="197">
        <f>E256/'LEVEL 3'!$B$8</f>
        <v>0.26432963640346629</v>
      </c>
      <c r="X256" s="193"/>
      <c r="Y256" s="194"/>
      <c r="Z256" s="197">
        <f>H256/('Scenario 1 - Phase 1'!$B$8+'LEVEL 3'!$B$8)</f>
        <v>0.21588945097954204</v>
      </c>
      <c r="AA256" s="1"/>
    </row>
    <row r="257" spans="1:27" hidden="1">
      <c r="A257" s="37" t="s">
        <v>592</v>
      </c>
      <c r="B257" s="83">
        <f>'Scenario 1 - Phase 1'!K272</f>
        <v>0</v>
      </c>
      <c r="C257" s="1"/>
      <c r="E257" s="83">
        <f>'LEVEL 3'!K279</f>
        <v>0</v>
      </c>
      <c r="F257" s="1"/>
      <c r="H257" s="83">
        <f t="shared" si="19"/>
        <v>0</v>
      </c>
      <c r="I257" s="1"/>
      <c r="K257" s="83">
        <f>B257/'Scenario 1 - Phase 1'!$E$8</f>
        <v>0</v>
      </c>
      <c r="L257" s="1"/>
      <c r="N257" s="83">
        <f>E257/'LEVEL 3'!$E$8</f>
        <v>0</v>
      </c>
      <c r="O257" s="1"/>
      <c r="Q257" s="83">
        <f>H257/('Scenario 1 - Phase 1'!$E$8+'LEVEL 3'!$E$8)</f>
        <v>0</v>
      </c>
      <c r="R257" s="1"/>
      <c r="T257" s="197">
        <f>B257/'Scenario 1 - Phase 1'!$B$8</f>
        <v>0</v>
      </c>
      <c r="U257" s="193"/>
      <c r="V257" s="194"/>
      <c r="W257" s="197">
        <f>E257/'LEVEL 3'!$B$8</f>
        <v>0</v>
      </c>
      <c r="X257" s="193"/>
      <c r="Y257" s="194"/>
      <c r="Z257" s="197">
        <f>H257/('Scenario 1 - Phase 1'!$B$8+'LEVEL 3'!$B$8)</f>
        <v>0</v>
      </c>
      <c r="AA257" s="1"/>
    </row>
    <row r="258" spans="1:27">
      <c r="A258" s="172" t="s">
        <v>608</v>
      </c>
      <c r="B258" s="83">
        <f>'Scenario 1 - Phase 1'!K273</f>
        <v>0</v>
      </c>
      <c r="C258" s="1"/>
      <c r="E258" s="83">
        <f>'LEVEL 3'!K280</f>
        <v>149161</v>
      </c>
      <c r="F258" s="1"/>
      <c r="H258" s="83">
        <f t="shared" si="19"/>
        <v>149161</v>
      </c>
      <c r="I258" s="1"/>
      <c r="K258" s="83">
        <f>B258/'Scenario 1 - Phase 1'!$E$8</f>
        <v>0</v>
      </c>
      <c r="L258" s="1"/>
      <c r="N258" s="83">
        <f>E258/'LEVEL 3'!$E$8</f>
        <v>768.87113402061857</v>
      </c>
      <c r="O258" s="1"/>
      <c r="Q258" s="83">
        <f>H258/('Scenario 1 - Phase 1'!$E$8+'LEVEL 3'!$E$8)</f>
        <v>275.71349353049908</v>
      </c>
      <c r="R258" s="1"/>
      <c r="T258" s="197">
        <f>B258/'Scenario 1 - Phase 1'!$B$8</f>
        <v>0</v>
      </c>
      <c r="U258" s="193"/>
      <c r="V258" s="194"/>
      <c r="W258" s="197">
        <f>E258/'LEVEL 3'!$B$8</f>
        <v>0.75990503797971354</v>
      </c>
      <c r="X258" s="193"/>
      <c r="Y258" s="194"/>
      <c r="Z258" s="197">
        <f>H258/('Scenario 1 - Phase 1'!$B$8+'LEVEL 3'!$B$8)</f>
        <v>0.29395326655249682</v>
      </c>
      <c r="AA258" s="1"/>
    </row>
    <row r="259" spans="1:27" hidden="1">
      <c r="A259" s="33" t="s">
        <v>609</v>
      </c>
      <c r="B259" s="82"/>
      <c r="C259" s="102">
        <f>SUM(B260)</f>
        <v>7500</v>
      </c>
      <c r="E259" s="82"/>
      <c r="F259" s="102">
        <f>SUM(E260)</f>
        <v>7500</v>
      </c>
      <c r="H259" s="82"/>
      <c r="I259" s="102">
        <f>SUM(H260)</f>
        <v>15000</v>
      </c>
      <c r="K259" s="82"/>
      <c r="L259" s="102">
        <f>SUM(K260)</f>
        <v>21.613832853025936</v>
      </c>
      <c r="N259" s="82"/>
      <c r="O259" s="102">
        <f>SUM(N260)</f>
        <v>38.659793814432987</v>
      </c>
      <c r="Q259" s="82"/>
      <c r="R259" s="102">
        <f>SUM(Q260)</f>
        <v>27.726432532347506</v>
      </c>
      <c r="T259" s="82"/>
      <c r="U259" s="201">
        <f>C259/'Scenario 1 - Phase 1'!$B$8</f>
        <v>2.4104749599861156E-2</v>
      </c>
      <c r="V259" s="199"/>
      <c r="W259" s="203"/>
      <c r="X259" s="201">
        <f>F259/'LEVEL 3'!$B$8</f>
        <v>3.8208967389919968E-2</v>
      </c>
      <c r="Y259" s="199"/>
      <c r="Z259" s="203"/>
      <c r="AA259" s="201">
        <f>I259/('Scenario 1 - Phase 1'!$B$8+'LEVEL 3'!$B$8)</f>
        <v>2.9560669332382137E-2</v>
      </c>
    </row>
    <row r="260" spans="1:27" hidden="1">
      <c r="A260" s="34" t="s">
        <v>611</v>
      </c>
      <c r="B260" s="65">
        <f>'Scenario 1 - Phase 1'!K275</f>
        <v>7500</v>
      </c>
      <c r="C260" s="1"/>
      <c r="E260" s="65">
        <f>'LEVEL 3'!K282</f>
        <v>7500</v>
      </c>
      <c r="F260" s="1"/>
      <c r="H260" s="65">
        <f>B260+E260</f>
        <v>15000</v>
      </c>
      <c r="I260" s="1"/>
      <c r="K260" s="65">
        <f>B260/'Scenario 1 - Phase 1'!$E$8</f>
        <v>21.613832853025936</v>
      </c>
      <c r="L260" s="1"/>
      <c r="N260" s="65">
        <f>E260/'LEVEL 3'!$E$8</f>
        <v>38.659793814432987</v>
      </c>
      <c r="O260" s="1"/>
      <c r="Q260" s="65">
        <f>H260/('Scenario 1 - Phase 1'!$E$8+'LEVEL 3'!$E$8)</f>
        <v>27.726432532347506</v>
      </c>
      <c r="R260" s="1"/>
      <c r="T260" s="192">
        <f>B260/'Scenario 1 - Phase 1'!$B$8</f>
        <v>2.4104749599861156E-2</v>
      </c>
      <c r="U260" s="193"/>
      <c r="V260" s="194"/>
      <c r="W260" s="192">
        <f>E260/'LEVEL 3'!$B$8</f>
        <v>3.8208967389919968E-2</v>
      </c>
      <c r="X260" s="193"/>
      <c r="Y260" s="194"/>
      <c r="Z260" s="192">
        <f>H260/('Scenario 1 - Phase 1'!$B$8+'LEVEL 3'!$B$8)</f>
        <v>2.9560669332382137E-2</v>
      </c>
      <c r="AA260" s="1"/>
    </row>
    <row r="261" spans="1:27">
      <c r="A261" s="33" t="s">
        <v>613</v>
      </c>
      <c r="B261" s="82"/>
      <c r="C261" s="102">
        <f>SUM(B262:B264)</f>
        <v>335539.30769230769</v>
      </c>
      <c r="E261" s="82"/>
      <c r="F261" s="102">
        <f>SUM(E262:E264)</f>
        <v>392850</v>
      </c>
      <c r="H261" s="82"/>
      <c r="I261" s="102">
        <f>SUM(H262:H264)</f>
        <v>728389.30769230775</v>
      </c>
      <c r="K261" s="82"/>
      <c r="L261" s="102">
        <f>SUM(K262:K264)</f>
        <v>966.97206827754371</v>
      </c>
      <c r="N261" s="82"/>
      <c r="O261" s="102">
        <f>SUM(N262:N264)</f>
        <v>2024.9999999999998</v>
      </c>
      <c r="Q261" s="82"/>
      <c r="R261" s="102">
        <f>SUM(Q262:Q264)</f>
        <v>1346.3757998009385</v>
      </c>
      <c r="T261" s="82"/>
      <c r="U261" s="201">
        <f>C261/'Scenario 1 - Phase 1'!$B$8</f>
        <v>1.0784121323778457</v>
      </c>
      <c r="V261" s="199"/>
      <c r="W261" s="203"/>
      <c r="X261" s="201">
        <f>F261/'LEVEL 3'!$B$8</f>
        <v>2.0013857118840077</v>
      </c>
      <c r="Y261" s="199"/>
      <c r="Z261" s="203"/>
      <c r="AA261" s="201">
        <f>I261/('Scenario 1 - Phase 1'!$B$8+'LEVEL 3'!$B$8)</f>
        <v>1.4354450313290039</v>
      </c>
    </row>
    <row r="262" spans="1:27">
      <c r="A262" s="35" t="s">
        <v>615</v>
      </c>
      <c r="B262" s="71">
        <f>'Scenario 1 - Phase 1'!K277</f>
        <v>314702.30769230769</v>
      </c>
      <c r="C262" s="1"/>
      <c r="E262" s="71">
        <f>'LEVEL 3'!K284</f>
        <v>326850</v>
      </c>
      <c r="F262" s="1"/>
      <c r="H262" s="71">
        <f t="shared" ref="H262:H264" si="20">B262+E262</f>
        <v>641552.30769230775</v>
      </c>
      <c r="I262" s="1"/>
      <c r="K262" s="71">
        <f>B262/'Scenario 1 - Phase 1'!$E$8</f>
        <v>906.92307692307691</v>
      </c>
      <c r="L262" s="1"/>
      <c r="N262" s="71">
        <f>E262/'LEVEL 3'!$E$8</f>
        <v>1684.7938144329896</v>
      </c>
      <c r="O262" s="1"/>
      <c r="Q262" s="71">
        <f>H262/('Scenario 1 - Phase 1'!$E$8+'LEVEL 3'!$E$8)</f>
        <v>1185.8637850135078</v>
      </c>
      <c r="R262" s="1"/>
      <c r="T262" s="195">
        <f>B262/'Scenario 1 - Phase 1'!$B$8</f>
        <v>1.0114427100562049</v>
      </c>
      <c r="U262" s="193"/>
      <c r="V262" s="194"/>
      <c r="W262" s="195">
        <f>E262/'LEVEL 3'!$B$8</f>
        <v>1.665146798852712</v>
      </c>
      <c r="X262" s="193"/>
      <c r="Y262" s="194"/>
      <c r="Z262" s="195">
        <f>H262/('Scenario 1 - Phase 1'!$B$8+'LEVEL 3'!$B$8)</f>
        <v>1.264314375141266</v>
      </c>
      <c r="AA262" s="1"/>
    </row>
    <row r="263" spans="1:27" hidden="1">
      <c r="A263" s="37" t="s">
        <v>617</v>
      </c>
      <c r="B263" s="83">
        <f>'Scenario 1 - Phase 1'!K278</f>
        <v>20837</v>
      </c>
      <c r="C263" s="1"/>
      <c r="E263" s="83">
        <f>'LEVEL 3'!K285</f>
        <v>31000</v>
      </c>
      <c r="F263" s="1"/>
      <c r="H263" s="83">
        <f t="shared" si="20"/>
        <v>51837</v>
      </c>
      <c r="I263" s="1"/>
      <c r="K263" s="83">
        <f>B263/'Scenario 1 - Phase 1'!$E$8</f>
        <v>60.048991354466857</v>
      </c>
      <c r="L263" s="1"/>
      <c r="N263" s="83">
        <f>E263/'LEVEL 3'!$E$8</f>
        <v>159.79381443298968</v>
      </c>
      <c r="O263" s="1"/>
      <c r="Q263" s="83">
        <f>H263/('Scenario 1 - Phase 1'!$E$8+'LEVEL 3'!$E$8)</f>
        <v>95.817005545286506</v>
      </c>
      <c r="R263" s="1"/>
      <c r="T263" s="197">
        <f>B263/'Scenario 1 - Phase 1'!$B$8</f>
        <v>6.6969422321640923E-2</v>
      </c>
      <c r="U263" s="193"/>
      <c r="V263" s="194"/>
      <c r="W263" s="197">
        <f>E263/'LEVEL 3'!$B$8</f>
        <v>0.15793039854500251</v>
      </c>
      <c r="X263" s="193"/>
      <c r="Y263" s="194"/>
      <c r="Z263" s="197">
        <f>H263/('Scenario 1 - Phase 1'!$B$8+'LEVEL 3'!$B$8)</f>
        <v>0.10215576107884619</v>
      </c>
      <c r="AA263" s="1"/>
    </row>
    <row r="264" spans="1:27" hidden="1">
      <c r="A264" s="37" t="s">
        <v>619</v>
      </c>
      <c r="B264" s="83">
        <f>'Scenario 1 - Phase 1'!K279</f>
        <v>0</v>
      </c>
      <c r="C264" s="1"/>
      <c r="E264" s="83">
        <f>'LEVEL 3'!K286</f>
        <v>35000</v>
      </c>
      <c r="F264" s="1"/>
      <c r="H264" s="83">
        <f t="shared" si="20"/>
        <v>35000</v>
      </c>
      <c r="I264" s="1"/>
      <c r="K264" s="83">
        <f>B264/'Scenario 1 - Phase 1'!$E$8</f>
        <v>0</v>
      </c>
      <c r="L264" s="1"/>
      <c r="N264" s="83">
        <f>E264/'LEVEL 3'!$E$8</f>
        <v>180.41237113402062</v>
      </c>
      <c r="O264" s="1"/>
      <c r="Q264" s="83">
        <f>H264/('Scenario 1 - Phase 1'!$E$8+'LEVEL 3'!$E$8)</f>
        <v>64.695009242144181</v>
      </c>
      <c r="R264" s="1"/>
      <c r="T264" s="197">
        <f>B264/'Scenario 1 - Phase 1'!$B$8</f>
        <v>0</v>
      </c>
      <c r="U264" s="193"/>
      <c r="V264" s="194"/>
      <c r="W264" s="197">
        <f>E264/'LEVEL 3'!$B$8</f>
        <v>0.17830851448629317</v>
      </c>
      <c r="X264" s="193"/>
      <c r="Y264" s="194"/>
      <c r="Z264" s="197">
        <f>H264/('Scenario 1 - Phase 1'!$B$8+'LEVEL 3'!$B$8)</f>
        <v>6.8974895108891654E-2</v>
      </c>
      <c r="AA264" s="1"/>
    </row>
    <row r="265" spans="1:27" hidden="1">
      <c r="A265" s="33" t="s">
        <v>621</v>
      </c>
      <c r="B265" s="82"/>
      <c r="C265" s="102">
        <f>SUM(B266:B274)</f>
        <v>315942.12</v>
      </c>
      <c r="E265" s="82"/>
      <c r="F265" s="102">
        <f>SUM(E266:E274)</f>
        <v>234787.5</v>
      </c>
      <c r="H265" s="82"/>
      <c r="I265" s="102">
        <f>SUM(H266:H274)</f>
        <v>550729.62</v>
      </c>
      <c r="K265" s="82"/>
      <c r="L265" s="102">
        <f>SUM(K266:K274)</f>
        <v>910.49602305475503</v>
      </c>
      <c r="N265" s="82"/>
      <c r="O265" s="102">
        <f>SUM(N266:N274)</f>
        <v>1210.2448453608245</v>
      </c>
      <c r="Q265" s="82"/>
      <c r="R265" s="102">
        <f>SUM(Q266:Q274)</f>
        <v>1017.9845101663585</v>
      </c>
      <c r="T265" s="82"/>
      <c r="U265" s="201">
        <f>C265/'Scenario 1 - Phase 1'!$B$8</f>
        <v>1.0154274254199047</v>
      </c>
      <c r="V265" s="199"/>
      <c r="W265" s="203"/>
      <c r="X265" s="201">
        <f>F265/'LEVEL 3'!$B$8</f>
        <v>1.1961317241414444</v>
      </c>
      <c r="Y265" s="199"/>
      <c r="Z265" s="203"/>
      <c r="AA265" s="201">
        <f>I265/('Scenario 1 - Phase 1'!$B$8+'LEVEL 3'!$B$8)</f>
        <v>1.0853290792245645</v>
      </c>
    </row>
    <row r="266" spans="1:27" hidden="1">
      <c r="A266" s="35" t="s">
        <v>623</v>
      </c>
      <c r="B266" s="71">
        <f>'Scenario 1 - Phase 1'!K281</f>
        <v>34093.799999999996</v>
      </c>
      <c r="C266" s="1"/>
      <c r="E266" s="71">
        <f>'LEVEL 3'!K288</f>
        <v>49000</v>
      </c>
      <c r="F266" s="1"/>
      <c r="H266" s="71">
        <f t="shared" ref="H266:H274" si="21">B266+E266</f>
        <v>83093.799999999988</v>
      </c>
      <c r="I266" s="1"/>
      <c r="K266" s="71">
        <f>B266/'Scenario 1 - Phase 1'!$E$8</f>
        <v>98.253025936599414</v>
      </c>
      <c r="L266" s="1"/>
      <c r="N266" s="71">
        <f>E266/'LEVEL 3'!$E$8</f>
        <v>252.57731958762886</v>
      </c>
      <c r="O266" s="1"/>
      <c r="Q266" s="71">
        <f>H266/('Scenario 1 - Phase 1'!$E$8+'LEVEL 3'!$E$8)</f>
        <v>153.59297597042513</v>
      </c>
      <c r="R266" s="1"/>
      <c r="T266" s="195">
        <f>B266/'Scenario 1 - Phase 1'!$B$8</f>
        <v>0.10957633492103283</v>
      </c>
      <c r="U266" s="193"/>
      <c r="V266" s="194"/>
      <c r="W266" s="195">
        <f>E266/'LEVEL 3'!$B$8</f>
        <v>0.24963192028081044</v>
      </c>
      <c r="X266" s="193"/>
      <c r="Y266" s="194"/>
      <c r="Z266" s="195">
        <f>H266/('Scenario 1 - Phase 1'!$B$8+'LEVEL 3'!$B$8)</f>
        <v>0.16375388969140631</v>
      </c>
      <c r="AA266" s="1"/>
    </row>
    <row r="267" spans="1:27" hidden="1">
      <c r="A267" s="37" t="s">
        <v>625</v>
      </c>
      <c r="B267" s="83">
        <f>'Scenario 1 - Phase 1'!K282</f>
        <v>18041.399999999998</v>
      </c>
      <c r="C267" s="1"/>
      <c r="E267" s="83">
        <f>'LEVEL 3'!K289</f>
        <v>5000</v>
      </c>
      <c r="F267" s="1"/>
      <c r="H267" s="83">
        <f t="shared" si="21"/>
        <v>23041.399999999998</v>
      </c>
      <c r="I267" s="1"/>
      <c r="K267" s="83">
        <f>B267/'Scenario 1 - Phase 1'!$E$8</f>
        <v>51.992507204610945</v>
      </c>
      <c r="L267" s="1"/>
      <c r="N267" s="83">
        <f>E267/'LEVEL 3'!$E$8</f>
        <v>25.773195876288661</v>
      </c>
      <c r="O267" s="1"/>
      <c r="Q267" s="83">
        <f>H267/('Scenario 1 - Phase 1'!$E$8+'LEVEL 3'!$E$8)</f>
        <v>42.590388170055448</v>
      </c>
      <c r="R267" s="1"/>
      <c r="T267" s="197">
        <f>B267/'Scenario 1 - Phase 1'!$B$8</f>
        <v>5.7984457257458002E-2</v>
      </c>
      <c r="U267" s="193"/>
      <c r="V267" s="194"/>
      <c r="W267" s="197">
        <f>E267/'LEVEL 3'!$B$8</f>
        <v>2.547264492661331E-2</v>
      </c>
      <c r="X267" s="193"/>
      <c r="Y267" s="194"/>
      <c r="Z267" s="197">
        <f>H267/('Scenario 1 - Phase 1'!$B$8+'LEVEL 3'!$B$8)</f>
        <v>4.5407947090343313E-2</v>
      </c>
      <c r="AA267" s="1"/>
    </row>
    <row r="268" spans="1:27" hidden="1">
      <c r="A268" s="37" t="s">
        <v>627</v>
      </c>
      <c r="B268" s="83">
        <f>'Scenario 1 - Phase 1'!K283</f>
        <v>21879</v>
      </c>
      <c r="C268" s="1"/>
      <c r="E268" s="83">
        <f>'LEVEL 3'!K290</f>
        <v>5000</v>
      </c>
      <c r="F268" s="1"/>
      <c r="H268" s="83">
        <f t="shared" si="21"/>
        <v>26879</v>
      </c>
      <c r="I268" s="1"/>
      <c r="K268" s="83">
        <f>B268/'Scenario 1 - Phase 1'!$E$8</f>
        <v>63.051873198847261</v>
      </c>
      <c r="L268" s="1"/>
      <c r="N268" s="83">
        <f>E268/'LEVEL 3'!$E$8</f>
        <v>25.773195876288661</v>
      </c>
      <c r="O268" s="1"/>
      <c r="Q268" s="83">
        <f>H268/('Scenario 1 - Phase 1'!$E$8+'LEVEL 3'!$E$8)</f>
        <v>49.683918669131238</v>
      </c>
      <c r="R268" s="1"/>
      <c r="T268" s="197">
        <f>B268/'Scenario 1 - Phase 1'!$B$8</f>
        <v>7.0318375532714972E-2</v>
      </c>
      <c r="U268" s="193"/>
      <c r="V268" s="194"/>
      <c r="W268" s="197">
        <f>E268/'LEVEL 3'!$B$8</f>
        <v>2.547264492661331E-2</v>
      </c>
      <c r="X268" s="193"/>
      <c r="Y268" s="194"/>
      <c r="Z268" s="197">
        <f>H268/('Scenario 1 - Phase 1'!$B$8+'LEVEL 3'!$B$8)</f>
        <v>5.2970748732339965E-2</v>
      </c>
      <c r="AA268" s="1"/>
    </row>
    <row r="269" spans="1:27" hidden="1">
      <c r="A269" s="37" t="s">
        <v>629</v>
      </c>
      <c r="B269" s="83">
        <f>'Scenario 1 - Phase 1'!K284</f>
        <v>77435.279999999984</v>
      </c>
      <c r="C269" s="1"/>
      <c r="E269" s="83">
        <f>'LEVEL 3'!K291</f>
        <v>28297.500000000004</v>
      </c>
      <c r="F269" s="1"/>
      <c r="H269" s="83">
        <f t="shared" si="21"/>
        <v>105732.77999999998</v>
      </c>
      <c r="I269" s="1"/>
      <c r="K269" s="83">
        <f>B269/'Scenario 1 - Phase 1'!$E$8</f>
        <v>223.15642651296827</v>
      </c>
      <c r="L269" s="1"/>
      <c r="N269" s="83">
        <f>E269/'LEVEL 3'!$E$8</f>
        <v>145.86340206185568</v>
      </c>
      <c r="O269" s="1"/>
      <c r="Q269" s="83">
        <f>H269/('Scenario 1 - Phase 1'!$E$8+'LEVEL 3'!$E$8)</f>
        <v>195.43951940850275</v>
      </c>
      <c r="R269" s="1"/>
      <c r="T269" s="197">
        <f>B269/'Scenario 1 - Phase 1'!$B$8</f>
        <v>0.24887440461268484</v>
      </c>
      <c r="U269" s="193"/>
      <c r="V269" s="194"/>
      <c r="W269" s="197">
        <f>E269/'LEVEL 3'!$B$8</f>
        <v>0.14416243396216805</v>
      </c>
      <c r="X269" s="193"/>
      <c r="Y269" s="194"/>
      <c r="Z269" s="197">
        <f>H269/('Scenario 1 - Phase 1'!$B$8+'LEVEL 3'!$B$8)</f>
        <v>0.20836878314490045</v>
      </c>
      <c r="AA269" s="1"/>
    </row>
    <row r="270" spans="1:27" hidden="1">
      <c r="A270" s="37" t="s">
        <v>631</v>
      </c>
      <c r="B270" s="83">
        <f>'Scenario 1 - Phase 1'!K285</f>
        <v>46870.2</v>
      </c>
      <c r="C270" s="1"/>
      <c r="E270" s="83">
        <f>'LEVEL 3'!K292</f>
        <v>37240</v>
      </c>
      <c r="F270" s="1"/>
      <c r="H270" s="83">
        <f t="shared" si="21"/>
        <v>84110.2</v>
      </c>
      <c r="I270" s="1"/>
      <c r="K270" s="83">
        <f>B270/'Scenario 1 - Phase 1'!$E$8</f>
        <v>135.07262247838617</v>
      </c>
      <c r="L270" s="1"/>
      <c r="N270" s="83">
        <f>E270/'LEVEL 3'!$E$8</f>
        <v>191.95876288659792</v>
      </c>
      <c r="O270" s="1"/>
      <c r="Q270" s="83">
        <f>H270/('Scenario 1 - Phase 1'!$E$8+'LEVEL 3'!$E$8)</f>
        <v>155.47171903881701</v>
      </c>
      <c r="R270" s="1"/>
      <c r="T270" s="197">
        <f>B270/'Scenario 1 - Phase 1'!$B$8</f>
        <v>0.15063925795938832</v>
      </c>
      <c r="U270" s="193"/>
      <c r="V270" s="194"/>
      <c r="W270" s="197">
        <f>E270/'LEVEL 3'!$B$8</f>
        <v>0.18972025941341594</v>
      </c>
      <c r="X270" s="193"/>
      <c r="Y270" s="194"/>
      <c r="Z270" s="197">
        <f>H270/('Scenario 1 - Phase 1'!$B$8+'LEVEL 3'!$B$8)</f>
        <v>0.16575692064536854</v>
      </c>
      <c r="AA270" s="1"/>
    </row>
    <row r="271" spans="1:27" hidden="1">
      <c r="A271" s="37" t="s">
        <v>633</v>
      </c>
      <c r="B271" s="83">
        <f>'Scenario 1 - Phase 1'!K286</f>
        <v>41467.139999999992</v>
      </c>
      <c r="C271" s="1"/>
      <c r="E271" s="83">
        <f>'LEVEL 3'!K293</f>
        <v>56350.000000000007</v>
      </c>
      <c r="F271" s="1"/>
      <c r="H271" s="83">
        <f t="shared" si="21"/>
        <v>97817.14</v>
      </c>
      <c r="I271" s="1"/>
      <c r="K271" s="83">
        <f>B271/'Scenario 1 - Phase 1'!$E$8</f>
        <v>119.50184438040344</v>
      </c>
      <c r="L271" s="1"/>
      <c r="N271" s="83">
        <f>E271/'LEVEL 3'!$E$8</f>
        <v>290.46391752577324</v>
      </c>
      <c r="O271" s="1"/>
      <c r="Q271" s="83">
        <f>H271/('Scenario 1 - Phase 1'!$E$8+'LEVEL 3'!$E$8)</f>
        <v>180.80802218114601</v>
      </c>
      <c r="R271" s="1"/>
      <c r="T271" s="197">
        <f>B271/'Scenario 1 - Phase 1'!$B$8</f>
        <v>0.13327400350965152</v>
      </c>
      <c r="U271" s="193"/>
      <c r="V271" s="194"/>
      <c r="W271" s="197">
        <f>E271/'LEVEL 3'!$B$8</f>
        <v>0.28707670832293203</v>
      </c>
      <c r="X271" s="193"/>
      <c r="Y271" s="194"/>
      <c r="Z271" s="197">
        <f>H271/('Scenario 1 - Phase 1'!$B$8+'LEVEL 3'!$B$8)</f>
        <v>0.192769342038622</v>
      </c>
      <c r="AA271" s="1"/>
    </row>
    <row r="272" spans="1:27" hidden="1">
      <c r="A272" s="37" t="s">
        <v>635</v>
      </c>
      <c r="B272" s="83">
        <f>'Scenario 1 - Phase 1'!K287</f>
        <v>9547.1999999999989</v>
      </c>
      <c r="C272" s="1"/>
      <c r="E272" s="83">
        <f>'LEVEL 3'!K294</f>
        <v>19600</v>
      </c>
      <c r="F272" s="1"/>
      <c r="H272" s="83">
        <f t="shared" si="21"/>
        <v>29147.199999999997</v>
      </c>
      <c r="I272" s="1"/>
      <c r="K272" s="83">
        <f>B272/'Scenario 1 - Phase 1'!$E$8</f>
        <v>27.513544668587894</v>
      </c>
      <c r="L272" s="1"/>
      <c r="N272" s="83">
        <f>E272/'LEVEL 3'!$E$8</f>
        <v>101.03092783505154</v>
      </c>
      <c r="O272" s="1"/>
      <c r="Q272" s="83">
        <f>H272/('Scenario 1 - Phase 1'!$E$8+'LEVEL 3'!$E$8)</f>
        <v>53.876524953789271</v>
      </c>
      <c r="R272" s="1"/>
      <c r="T272" s="197">
        <f>B272/'Scenario 1 - Phase 1'!$B$8</f>
        <v>3.0684382050639253E-2</v>
      </c>
      <c r="U272" s="193"/>
      <c r="V272" s="194"/>
      <c r="W272" s="197">
        <f>E272/'LEVEL 3'!$B$8</f>
        <v>9.9852768112324172E-2</v>
      </c>
      <c r="X272" s="193"/>
      <c r="Y272" s="194"/>
      <c r="Z272" s="197">
        <f>H272/('Scenario 1 - Phase 1'!$B$8+'LEVEL 3'!$B$8)</f>
        <v>5.74407160776539E-2</v>
      </c>
      <c r="AA272" s="1"/>
    </row>
    <row r="273" spans="1:27" hidden="1">
      <c r="A273" s="37" t="s">
        <v>637</v>
      </c>
      <c r="B273" s="83">
        <f>'Scenario 1 - Phase 1'!K288</f>
        <v>8381.8799999999992</v>
      </c>
      <c r="C273" s="1"/>
      <c r="E273" s="83">
        <f>'LEVEL 3'!K295</f>
        <v>14700.000000000002</v>
      </c>
      <c r="F273" s="1"/>
      <c r="H273" s="83">
        <f t="shared" si="21"/>
        <v>23081.88</v>
      </c>
      <c r="I273" s="1"/>
      <c r="K273" s="83">
        <f>B273/'Scenario 1 - Phase 1'!$E$8</f>
        <v>24.155273775216138</v>
      </c>
      <c r="L273" s="1"/>
      <c r="N273" s="83">
        <f>E273/'LEVEL 3'!$E$8</f>
        <v>75.773195876288668</v>
      </c>
      <c r="O273" s="1"/>
      <c r="Q273" s="83">
        <f>H273/('Scenario 1 - Phase 1'!$E$8+'LEVEL 3'!$E$8)</f>
        <v>42.665212569316083</v>
      </c>
      <c r="R273" s="1"/>
      <c r="T273" s="197">
        <f>B273/'Scenario 1 - Phase 1'!$B$8</f>
        <v>2.6939082476811229E-2</v>
      </c>
      <c r="U273" s="193"/>
      <c r="V273" s="194"/>
      <c r="W273" s="197">
        <f>E273/'LEVEL 3'!$B$8</f>
        <v>7.488957608424314E-2</v>
      </c>
      <c r="X273" s="193"/>
      <c r="Y273" s="194"/>
      <c r="Z273" s="197">
        <f>H273/('Scenario 1 - Phase 1'!$B$8+'LEVEL 3'!$B$8)</f>
        <v>4.5487721483314973E-2</v>
      </c>
      <c r="AA273" s="1"/>
    </row>
    <row r="274" spans="1:27" hidden="1">
      <c r="A274" s="37" t="s">
        <v>639</v>
      </c>
      <c r="B274" s="83">
        <f>'Scenario 1 - Phase 1'!K289</f>
        <v>58226.22</v>
      </c>
      <c r="C274" s="1"/>
      <c r="E274" s="83">
        <f>'LEVEL 3'!K296</f>
        <v>19600</v>
      </c>
      <c r="F274" s="1"/>
      <c r="H274" s="83">
        <f t="shared" si="21"/>
        <v>77826.22</v>
      </c>
      <c r="I274" s="1"/>
      <c r="K274" s="83">
        <f>B274/'Scenario 1 - Phase 1'!$E$8</f>
        <v>167.79890489913544</v>
      </c>
      <c r="L274" s="1"/>
      <c r="N274" s="83">
        <f>E274/'LEVEL 3'!$E$8</f>
        <v>101.03092783505154</v>
      </c>
      <c r="O274" s="1"/>
      <c r="Q274" s="83">
        <f>H274/('Scenario 1 - Phase 1'!$E$8+'LEVEL 3'!$E$8)</f>
        <v>143.85622920517559</v>
      </c>
      <c r="R274" s="1"/>
      <c r="T274" s="197">
        <f>B274/'Scenario 1 - Phase 1'!$B$8</f>
        <v>0.18713712709952368</v>
      </c>
      <c r="U274" s="193"/>
      <c r="V274" s="194"/>
      <c r="W274" s="197">
        <f>E274/'LEVEL 3'!$B$8</f>
        <v>9.9852768112324172E-2</v>
      </c>
      <c r="X274" s="193"/>
      <c r="Y274" s="194"/>
      <c r="Z274" s="197">
        <f>H274/('Scenario 1 - Phase 1'!$B$8+'LEVEL 3'!$B$8)</f>
        <v>0.15337301032061501</v>
      </c>
      <c r="AA274" s="1"/>
    </row>
    <row r="275" spans="1:27" hidden="1">
      <c r="A275" s="33" t="s">
        <v>696</v>
      </c>
      <c r="B275" s="82"/>
      <c r="C275" s="102">
        <f>SUM(B276:B283)</f>
        <v>1288500</v>
      </c>
      <c r="E275" s="82"/>
      <c r="F275" s="102">
        <f>SUM(E276:E283)</f>
        <v>0</v>
      </c>
      <c r="H275" s="82"/>
      <c r="I275" s="102">
        <f>SUM(H276:H283)</f>
        <v>1288500</v>
      </c>
      <c r="K275" s="82"/>
      <c r="L275" s="102">
        <f>SUM(K276:K283)</f>
        <v>3713.2564841498561</v>
      </c>
      <c r="N275" s="82"/>
      <c r="O275" s="102">
        <f>SUM(N276:N283)</f>
        <v>0</v>
      </c>
      <c r="Q275" s="82"/>
      <c r="R275" s="102">
        <f>SUM(Q276:Q283)</f>
        <v>2381.7005545286506</v>
      </c>
      <c r="T275" s="82"/>
      <c r="U275" s="201">
        <f>C275/'Scenario 1 - Phase 1'!$B$8</f>
        <v>4.1411959812561463</v>
      </c>
      <c r="V275" s="199"/>
      <c r="W275" s="203"/>
      <c r="X275" s="201">
        <f>F275/'LEVEL 3'!$B$8</f>
        <v>0</v>
      </c>
      <c r="Y275" s="199"/>
      <c r="Z275" s="203"/>
      <c r="AA275" s="201">
        <f>I275/('Scenario 1 - Phase 1'!$B$8+'LEVEL 3'!$B$8)</f>
        <v>2.5392614956516257</v>
      </c>
    </row>
    <row r="276" spans="1:27" hidden="1">
      <c r="A276" s="35" t="s">
        <v>696</v>
      </c>
      <c r="B276" s="71">
        <f>'Scenario 1 - Phase 1'!K291</f>
        <v>1288500</v>
      </c>
      <c r="C276" s="1"/>
      <c r="E276" s="71">
        <f>'LEVEL 3'!K298</f>
        <v>0</v>
      </c>
      <c r="F276" s="1"/>
      <c r="H276" s="71">
        <f t="shared" ref="H276:H283" si="22">B276+E276</f>
        <v>1288500</v>
      </c>
      <c r="I276" s="1"/>
      <c r="K276" s="71">
        <f>B276/'Scenario 1 - Phase 1'!$E$8</f>
        <v>3713.2564841498561</v>
      </c>
      <c r="L276" s="1"/>
      <c r="N276" s="71">
        <f>E276/'LEVEL 3'!$E$8</f>
        <v>0</v>
      </c>
      <c r="O276" s="1"/>
      <c r="Q276" s="71">
        <f>H276/('Scenario 1 - Phase 1'!$E$8+'LEVEL 3'!$E$8)</f>
        <v>2381.7005545286506</v>
      </c>
      <c r="R276" s="1"/>
      <c r="T276" s="195">
        <f>B276/'Scenario 1 - Phase 1'!$B$8</f>
        <v>4.1411959812561463</v>
      </c>
      <c r="U276" s="193"/>
      <c r="V276" s="194"/>
      <c r="W276" s="195">
        <f>E276/'LEVEL 3'!$B$8</f>
        <v>0</v>
      </c>
      <c r="X276" s="193"/>
      <c r="Y276" s="194"/>
      <c r="Z276" s="195">
        <f>H276/('Scenario 1 - Phase 1'!$B$8+'LEVEL 3'!$B$8)</f>
        <v>2.5392614956516257</v>
      </c>
      <c r="AA276" s="1"/>
    </row>
    <row r="277" spans="1:27" hidden="1">
      <c r="A277" s="37" t="s">
        <v>895</v>
      </c>
      <c r="B277" s="83">
        <f>'Scenario 1 - Phase 1'!K292</f>
        <v>0</v>
      </c>
      <c r="C277" s="1"/>
      <c r="E277" s="83">
        <f>'LEVEL 3'!K299</f>
        <v>0</v>
      </c>
      <c r="F277" s="1"/>
      <c r="H277" s="83">
        <f t="shared" si="22"/>
        <v>0</v>
      </c>
      <c r="I277" s="1"/>
      <c r="K277" s="83">
        <f>B277/'Scenario 1 - Phase 1'!$E$8</f>
        <v>0</v>
      </c>
      <c r="L277" s="1"/>
      <c r="N277" s="83">
        <f>E277/'LEVEL 3'!$E$8</f>
        <v>0</v>
      </c>
      <c r="O277" s="1"/>
      <c r="Q277" s="83">
        <f>H277/('Scenario 1 - Phase 1'!$E$8+'LEVEL 3'!$E$8)</f>
        <v>0</v>
      </c>
      <c r="R277" s="1"/>
      <c r="T277" s="197">
        <f>B277/'Scenario 1 - Phase 1'!$B$8</f>
        <v>0</v>
      </c>
      <c r="U277" s="193"/>
      <c r="V277" s="194"/>
      <c r="W277" s="197">
        <f>E277/'LEVEL 3'!$B$8</f>
        <v>0</v>
      </c>
      <c r="X277" s="193"/>
      <c r="Y277" s="194"/>
      <c r="Z277" s="197">
        <f>H277/('Scenario 1 - Phase 1'!$B$8+'LEVEL 3'!$B$8)</f>
        <v>0</v>
      </c>
      <c r="AA277" s="1"/>
    </row>
    <row r="278" spans="1:27" hidden="1">
      <c r="A278" s="37" t="s">
        <v>896</v>
      </c>
      <c r="B278" s="83">
        <f>'Scenario 1 - Phase 1'!K293</f>
        <v>0</v>
      </c>
      <c r="C278" s="1"/>
      <c r="E278" s="83">
        <f>'LEVEL 3'!K300</f>
        <v>0</v>
      </c>
      <c r="F278" s="1"/>
      <c r="H278" s="83">
        <f t="shared" si="22"/>
        <v>0</v>
      </c>
      <c r="I278" s="1"/>
      <c r="K278" s="83">
        <f>B278/'Scenario 1 - Phase 1'!$E$8</f>
        <v>0</v>
      </c>
      <c r="L278" s="1"/>
      <c r="N278" s="83">
        <f>E278/'LEVEL 3'!$E$8</f>
        <v>0</v>
      </c>
      <c r="O278" s="1"/>
      <c r="Q278" s="83">
        <f>H278/('Scenario 1 - Phase 1'!$E$8+'LEVEL 3'!$E$8)</f>
        <v>0</v>
      </c>
      <c r="R278" s="1"/>
      <c r="T278" s="197">
        <f>B278/'Scenario 1 - Phase 1'!$B$8</f>
        <v>0</v>
      </c>
      <c r="U278" s="193"/>
      <c r="V278" s="194"/>
      <c r="W278" s="197">
        <f>E278/'LEVEL 3'!$B$8</f>
        <v>0</v>
      </c>
      <c r="X278" s="193"/>
      <c r="Y278" s="194"/>
      <c r="Z278" s="197">
        <f>H278/('Scenario 1 - Phase 1'!$B$8+'LEVEL 3'!$B$8)</f>
        <v>0</v>
      </c>
      <c r="AA278" s="1"/>
    </row>
    <row r="279" spans="1:27" hidden="1">
      <c r="A279" s="37" t="s">
        <v>897</v>
      </c>
      <c r="B279" s="83">
        <f>'Scenario 1 - Phase 1'!K294</f>
        <v>0</v>
      </c>
      <c r="C279" s="1"/>
      <c r="E279" s="83">
        <f>'LEVEL 3'!K301</f>
        <v>0</v>
      </c>
      <c r="F279" s="1"/>
      <c r="H279" s="83">
        <f t="shared" si="22"/>
        <v>0</v>
      </c>
      <c r="I279" s="1"/>
      <c r="K279" s="83">
        <f>B279/'Scenario 1 - Phase 1'!$E$8</f>
        <v>0</v>
      </c>
      <c r="L279" s="1"/>
      <c r="N279" s="83">
        <f>E279/'LEVEL 3'!$E$8</f>
        <v>0</v>
      </c>
      <c r="O279" s="1"/>
      <c r="Q279" s="83">
        <f>H279/('Scenario 1 - Phase 1'!$E$8+'LEVEL 3'!$E$8)</f>
        <v>0</v>
      </c>
      <c r="R279" s="1"/>
      <c r="T279" s="197">
        <f>B279/'Scenario 1 - Phase 1'!$B$8</f>
        <v>0</v>
      </c>
      <c r="U279" s="193"/>
      <c r="V279" s="194"/>
      <c r="W279" s="197">
        <f>E279/'LEVEL 3'!$B$8</f>
        <v>0</v>
      </c>
      <c r="X279" s="193"/>
      <c r="Y279" s="194"/>
      <c r="Z279" s="197">
        <f>H279/('Scenario 1 - Phase 1'!$B$8+'LEVEL 3'!$B$8)</f>
        <v>0</v>
      </c>
      <c r="AA279" s="1"/>
    </row>
    <row r="280" spans="1:27" hidden="1">
      <c r="A280" s="37" t="s">
        <v>898</v>
      </c>
      <c r="B280" s="83">
        <f>'Scenario 1 - Phase 1'!K295</f>
        <v>0</v>
      </c>
      <c r="C280" s="1"/>
      <c r="E280" s="83">
        <f>'LEVEL 3'!K302</f>
        <v>0</v>
      </c>
      <c r="F280" s="1"/>
      <c r="H280" s="83">
        <f t="shared" si="22"/>
        <v>0</v>
      </c>
      <c r="I280" s="1"/>
      <c r="K280" s="83">
        <f>B280/'Scenario 1 - Phase 1'!$E$8</f>
        <v>0</v>
      </c>
      <c r="L280" s="1"/>
      <c r="N280" s="83">
        <f>E280/'LEVEL 3'!$E$8</f>
        <v>0</v>
      </c>
      <c r="O280" s="1"/>
      <c r="Q280" s="83">
        <f>H280/('Scenario 1 - Phase 1'!$E$8+'LEVEL 3'!$E$8)</f>
        <v>0</v>
      </c>
      <c r="R280" s="1"/>
      <c r="T280" s="197">
        <f>B280/'Scenario 1 - Phase 1'!$B$8</f>
        <v>0</v>
      </c>
      <c r="U280" s="193"/>
      <c r="V280" s="194"/>
      <c r="W280" s="197">
        <f>E280/'LEVEL 3'!$B$8</f>
        <v>0</v>
      </c>
      <c r="X280" s="193"/>
      <c r="Y280" s="194"/>
      <c r="Z280" s="197">
        <f>H280/('Scenario 1 - Phase 1'!$B$8+'LEVEL 3'!$B$8)</f>
        <v>0</v>
      </c>
      <c r="AA280" s="1"/>
    </row>
    <row r="281" spans="1:27" hidden="1">
      <c r="A281" s="37" t="s">
        <v>899</v>
      </c>
      <c r="B281" s="83">
        <f>'Scenario 1 - Phase 1'!K296</f>
        <v>0</v>
      </c>
      <c r="C281" s="1"/>
      <c r="E281" s="83">
        <f>'LEVEL 3'!K303</f>
        <v>0</v>
      </c>
      <c r="F281" s="1"/>
      <c r="H281" s="83">
        <f t="shared" si="22"/>
        <v>0</v>
      </c>
      <c r="I281" s="1"/>
      <c r="K281" s="83">
        <f>B281/'Scenario 1 - Phase 1'!$E$8</f>
        <v>0</v>
      </c>
      <c r="L281" s="1"/>
      <c r="N281" s="83">
        <f>E281/'LEVEL 3'!$E$8</f>
        <v>0</v>
      </c>
      <c r="O281" s="1"/>
      <c r="Q281" s="83">
        <f>H281/('Scenario 1 - Phase 1'!$E$8+'LEVEL 3'!$E$8)</f>
        <v>0</v>
      </c>
      <c r="R281" s="1"/>
      <c r="T281" s="197">
        <f>B281/'Scenario 1 - Phase 1'!$B$8</f>
        <v>0</v>
      </c>
      <c r="U281" s="193"/>
      <c r="V281" s="194"/>
      <c r="W281" s="197">
        <f>E281/'LEVEL 3'!$B$8</f>
        <v>0</v>
      </c>
      <c r="X281" s="193"/>
      <c r="Y281" s="194"/>
      <c r="Z281" s="197">
        <f>H281/('Scenario 1 - Phase 1'!$B$8+'LEVEL 3'!$B$8)</f>
        <v>0</v>
      </c>
      <c r="AA281" s="1"/>
    </row>
    <row r="282" spans="1:27" hidden="1">
      <c r="A282" s="37" t="s">
        <v>900</v>
      </c>
      <c r="B282" s="83">
        <f>'Scenario 1 - Phase 1'!K297</f>
        <v>0</v>
      </c>
      <c r="C282" s="1"/>
      <c r="E282" s="83">
        <f>'LEVEL 3'!K304</f>
        <v>0</v>
      </c>
      <c r="F282" s="1"/>
      <c r="H282" s="83">
        <f t="shared" si="22"/>
        <v>0</v>
      </c>
      <c r="I282" s="1"/>
      <c r="K282" s="83">
        <f>B282/'Scenario 1 - Phase 1'!$E$8</f>
        <v>0</v>
      </c>
      <c r="L282" s="1"/>
      <c r="N282" s="83">
        <f>E282/'LEVEL 3'!$E$8</f>
        <v>0</v>
      </c>
      <c r="O282" s="1"/>
      <c r="Q282" s="83">
        <f>H282/('Scenario 1 - Phase 1'!$E$8+'LEVEL 3'!$E$8)</f>
        <v>0</v>
      </c>
      <c r="R282" s="1"/>
      <c r="T282" s="197">
        <f>B282/'Scenario 1 - Phase 1'!$B$8</f>
        <v>0</v>
      </c>
      <c r="U282" s="193"/>
      <c r="V282" s="194"/>
      <c r="W282" s="197">
        <f>E282/'LEVEL 3'!$B$8</f>
        <v>0</v>
      </c>
      <c r="X282" s="193"/>
      <c r="Y282" s="194"/>
      <c r="Z282" s="197">
        <f>H282/('Scenario 1 - Phase 1'!$B$8+'LEVEL 3'!$B$8)</f>
        <v>0</v>
      </c>
      <c r="AA282" s="1"/>
    </row>
    <row r="283" spans="1:27" hidden="1">
      <c r="A283" s="37" t="s">
        <v>901</v>
      </c>
      <c r="B283" s="83">
        <f>'Scenario 1 - Phase 1'!K298</f>
        <v>0</v>
      </c>
      <c r="C283" s="1"/>
      <c r="E283" s="83">
        <f>'LEVEL 3'!K305</f>
        <v>0</v>
      </c>
      <c r="F283" s="1"/>
      <c r="H283" s="83">
        <f t="shared" si="22"/>
        <v>0</v>
      </c>
      <c r="I283" s="1"/>
      <c r="K283" s="83">
        <f>B283/'Scenario 1 - Phase 1'!$E$8</f>
        <v>0</v>
      </c>
      <c r="L283" s="1"/>
      <c r="N283" s="83">
        <f>E283/'LEVEL 3'!$E$8</f>
        <v>0</v>
      </c>
      <c r="O283" s="1"/>
      <c r="Q283" s="83">
        <f>H283/('Scenario 1 - Phase 1'!$E$8+'LEVEL 3'!$E$8)</f>
        <v>0</v>
      </c>
      <c r="R283" s="1"/>
      <c r="T283" s="197">
        <f>B283/'Scenario 1 - Phase 1'!$B$8</f>
        <v>0</v>
      </c>
      <c r="U283" s="193"/>
      <c r="V283" s="194"/>
      <c r="W283" s="197">
        <f>E283/'LEVEL 3'!$B$8</f>
        <v>0</v>
      </c>
      <c r="X283" s="193"/>
      <c r="Y283" s="194"/>
      <c r="Z283" s="197">
        <f>H283/('Scenario 1 - Phase 1'!$B$8+'LEVEL 3'!$B$8)</f>
        <v>0</v>
      </c>
      <c r="AA283" s="1"/>
    </row>
    <row r="284" spans="1:27">
      <c r="A284" s="33" t="s">
        <v>644</v>
      </c>
      <c r="B284" s="82"/>
      <c r="C284" s="102">
        <f>SUM(B285)</f>
        <v>928655.91990978911</v>
      </c>
      <c r="E284" s="82"/>
      <c r="F284" s="102">
        <f>SUM(E285)</f>
        <v>516914.98930080794</v>
      </c>
      <c r="H284" s="82"/>
      <c r="I284" s="102">
        <f>SUM(H285)</f>
        <v>1445570.9092105972</v>
      </c>
      <c r="K284" s="82"/>
      <c r="L284" s="102">
        <f>SUM(K285)</f>
        <v>2676.2418441204295</v>
      </c>
      <c r="N284" s="82"/>
      <c r="O284" s="102">
        <f>SUM(N285)</f>
        <v>2664.5102541278761</v>
      </c>
      <c r="Q284" s="82"/>
      <c r="R284" s="102">
        <f>SUM(Q285)</f>
        <v>2672.0349523301243</v>
      </c>
      <c r="T284" s="82"/>
      <c r="U284" s="201">
        <f>C284/'Scenario 1 - Phase 1'!$B$8</f>
        <v>2.9846691218472245</v>
      </c>
      <c r="V284" s="199"/>
      <c r="W284" s="203"/>
      <c r="X284" s="201">
        <f>F284/'LEVEL 3'!$B$8</f>
        <v>2.6334383959407197</v>
      </c>
      <c r="Y284" s="199"/>
      <c r="Z284" s="203"/>
      <c r="AA284" s="201">
        <f>I284/('Scenario 1 - Phase 1'!$B$8+'LEVEL 3'!$B$8)</f>
        <v>2.8488029095790308</v>
      </c>
    </row>
    <row r="285" spans="1:27">
      <c r="A285" s="34" t="s">
        <v>644</v>
      </c>
      <c r="B285" s="65">
        <f>'Scenario 1 - Phase 1'!K300</f>
        <v>928655.91990978911</v>
      </c>
      <c r="C285" s="1"/>
      <c r="E285" s="65">
        <f>'LEVEL 3'!K308</f>
        <v>516914.98930080794</v>
      </c>
      <c r="F285" s="1"/>
      <c r="H285" s="65">
        <f>B285+E285</f>
        <v>1445570.9092105972</v>
      </c>
      <c r="I285" s="1"/>
      <c r="K285" s="65">
        <f>B285/'Scenario 1 - Phase 1'!$E$8</f>
        <v>2676.2418441204295</v>
      </c>
      <c r="L285" s="1"/>
      <c r="N285" s="65">
        <f>E285/'LEVEL 3'!$E$8</f>
        <v>2664.5102541278761</v>
      </c>
      <c r="O285" s="1"/>
      <c r="Q285" s="65">
        <f>H285/('Scenario 1 - Phase 1'!$E$8+'LEVEL 3'!$E$8)</f>
        <v>2672.0349523301243</v>
      </c>
      <c r="R285" s="1"/>
      <c r="T285" s="192">
        <f>B285/'Scenario 1 - Phase 1'!$B$8</f>
        <v>2.9846691218472245</v>
      </c>
      <c r="U285" s="193"/>
      <c r="V285" s="194"/>
      <c r="W285" s="192">
        <f>E285/'LEVEL 3'!$B$8</f>
        <v>2.6334383959407197</v>
      </c>
      <c r="X285" s="193"/>
      <c r="Y285" s="194"/>
      <c r="Z285" s="192">
        <f>H285/('Scenario 1 - Phase 1'!$B$8+'LEVEL 3'!$B$8)</f>
        <v>2.8488029095790308</v>
      </c>
      <c r="AA285" s="1"/>
    </row>
    <row r="286" spans="1:27">
      <c r="A286" s="33" t="s">
        <v>645</v>
      </c>
      <c r="B286" s="82"/>
      <c r="C286" s="102">
        <f>SUM(B287:B300)</f>
        <v>2097795.2000000002</v>
      </c>
      <c r="E286" s="82"/>
      <c r="F286" s="102">
        <f>SUM(E287:E300)</f>
        <v>691024.09</v>
      </c>
      <c r="H286" s="82"/>
      <c r="I286" s="102">
        <f>SUM(H287:H300)</f>
        <v>2788819.29</v>
      </c>
      <c r="K286" s="82"/>
      <c r="L286" s="102">
        <f>SUM(K287:K300)</f>
        <v>6045.5193083573486</v>
      </c>
      <c r="N286" s="82"/>
      <c r="O286" s="102">
        <f>SUM(N287:N300)</f>
        <v>3561.9798453608246</v>
      </c>
      <c r="Q286" s="82"/>
      <c r="R286" s="102">
        <f>SUM(Q287:Q300)</f>
        <v>5154.9339926062839</v>
      </c>
      <c r="T286" s="82"/>
      <c r="U286" s="201">
        <f>C286/'Scenario 1 - Phase 1'!$B$8</f>
        <v>6.7422437343720878</v>
      </c>
      <c r="V286" s="199"/>
      <c r="W286" s="203"/>
      <c r="X286" s="201">
        <f>F286/'LEVEL 3'!$B$8</f>
        <v>3.5204422560612159</v>
      </c>
      <c r="Y286" s="199"/>
      <c r="Z286" s="203"/>
      <c r="AA286" s="201">
        <f>I286/('Scenario 1 - Phase 1'!$B$8+'LEVEL 3'!$B$8)</f>
        <v>5.4959576572972484</v>
      </c>
    </row>
    <row r="287" spans="1:27" hidden="1">
      <c r="A287" s="35" t="s">
        <v>647</v>
      </c>
      <c r="B287" s="71">
        <f>'Scenario 1 - Phase 1'!K302</f>
        <v>10000</v>
      </c>
      <c r="C287" s="1"/>
      <c r="E287" s="71">
        <f>'LEVEL 3'!K310</f>
        <v>10000</v>
      </c>
      <c r="F287" s="1"/>
      <c r="H287" s="71">
        <f t="shared" ref="H287:H300" si="23">B287+E287</f>
        <v>20000</v>
      </c>
      <c r="I287" s="1"/>
      <c r="K287" s="71">
        <f>B287/'Scenario 1 - Phase 1'!$E$8</f>
        <v>28.818443804034583</v>
      </c>
      <c r="L287" s="1"/>
      <c r="N287" s="71">
        <f>E287/'LEVEL 3'!$E$8</f>
        <v>51.546391752577321</v>
      </c>
      <c r="O287" s="1"/>
      <c r="Q287" s="71">
        <f>H287/('Scenario 1 - Phase 1'!$E$8+'LEVEL 3'!$E$8)</f>
        <v>36.968576709796672</v>
      </c>
      <c r="R287" s="1"/>
      <c r="T287" s="195">
        <f>B287/'Scenario 1 - Phase 1'!$B$8</f>
        <v>3.2139666133148212E-2</v>
      </c>
      <c r="U287" s="193"/>
      <c r="V287" s="194"/>
      <c r="W287" s="195">
        <f>E287/'LEVEL 3'!$B$8</f>
        <v>5.0945289853226619E-2</v>
      </c>
      <c r="X287" s="193"/>
      <c r="Y287" s="194"/>
      <c r="Z287" s="195">
        <f>H287/('Scenario 1 - Phase 1'!$B$8+'LEVEL 3'!$B$8)</f>
        <v>3.9414225776509514E-2</v>
      </c>
      <c r="AA287" s="1"/>
    </row>
    <row r="288" spans="1:27" hidden="1">
      <c r="A288" s="37" t="s">
        <v>650</v>
      </c>
      <c r="B288" s="83">
        <f>'Scenario 1 - Phase 1'!K303</f>
        <v>0</v>
      </c>
      <c r="C288" s="1"/>
      <c r="E288" s="83">
        <f>'LEVEL 3'!K311</f>
        <v>0</v>
      </c>
      <c r="F288" s="1"/>
      <c r="H288" s="83">
        <f t="shared" si="23"/>
        <v>0</v>
      </c>
      <c r="I288" s="1"/>
      <c r="K288" s="83">
        <f>B288/'Scenario 1 - Phase 1'!$E$8</f>
        <v>0</v>
      </c>
      <c r="L288" s="1"/>
      <c r="N288" s="83">
        <f>E288/'LEVEL 3'!$E$8</f>
        <v>0</v>
      </c>
      <c r="O288" s="1"/>
      <c r="Q288" s="83">
        <f>H288/('Scenario 1 - Phase 1'!$E$8+'LEVEL 3'!$E$8)</f>
        <v>0</v>
      </c>
      <c r="R288" s="1"/>
      <c r="T288" s="197">
        <f>B288/'Scenario 1 - Phase 1'!$B$8</f>
        <v>0</v>
      </c>
      <c r="U288" s="193"/>
      <c r="V288" s="194"/>
      <c r="W288" s="197">
        <f>E288/'LEVEL 3'!$B$8</f>
        <v>0</v>
      </c>
      <c r="X288" s="193"/>
      <c r="Y288" s="194"/>
      <c r="Z288" s="197">
        <f>H288/('Scenario 1 - Phase 1'!$B$8+'LEVEL 3'!$B$8)</f>
        <v>0</v>
      </c>
      <c r="AA288" s="1"/>
    </row>
    <row r="289" spans="1:27" hidden="1">
      <c r="A289" s="37" t="s">
        <v>652</v>
      </c>
      <c r="B289" s="83">
        <f>'Scenario 1 - Phase 1'!K304</f>
        <v>21000</v>
      </c>
      <c r="C289" s="1"/>
      <c r="E289" s="83">
        <f>'LEVEL 3'!K312</f>
        <v>0</v>
      </c>
      <c r="F289" s="1"/>
      <c r="H289" s="83">
        <f t="shared" si="23"/>
        <v>21000</v>
      </c>
      <c r="I289" s="1"/>
      <c r="K289" s="83">
        <f>B289/'Scenario 1 - Phase 1'!$E$8</f>
        <v>60.518731988472624</v>
      </c>
      <c r="L289" s="1"/>
      <c r="N289" s="83">
        <f>E289/'LEVEL 3'!$E$8</f>
        <v>0</v>
      </c>
      <c r="O289" s="1"/>
      <c r="Q289" s="83">
        <f>H289/('Scenario 1 - Phase 1'!$E$8+'LEVEL 3'!$E$8)</f>
        <v>38.817005545286506</v>
      </c>
      <c r="R289" s="1"/>
      <c r="T289" s="197">
        <f>B289/'Scenario 1 - Phase 1'!$B$8</f>
        <v>6.7493298879611238E-2</v>
      </c>
      <c r="U289" s="193"/>
      <c r="V289" s="194"/>
      <c r="W289" s="197">
        <f>E289/'LEVEL 3'!$B$8</f>
        <v>0</v>
      </c>
      <c r="X289" s="193"/>
      <c r="Y289" s="194"/>
      <c r="Z289" s="197">
        <f>H289/('Scenario 1 - Phase 1'!$B$8+'LEVEL 3'!$B$8)</f>
        <v>4.1384937065334991E-2</v>
      </c>
      <c r="AA289" s="1"/>
    </row>
    <row r="290" spans="1:27" hidden="1">
      <c r="A290" s="37" t="s">
        <v>654</v>
      </c>
      <c r="B290" s="83">
        <f>'Scenario 1 - Phase 1'!K305</f>
        <v>21900</v>
      </c>
      <c r="C290" s="1"/>
      <c r="E290" s="83">
        <f>'LEVEL 3'!K313</f>
        <v>22000</v>
      </c>
      <c r="F290" s="1"/>
      <c r="H290" s="83">
        <f t="shared" si="23"/>
        <v>43900</v>
      </c>
      <c r="I290" s="1"/>
      <c r="K290" s="83">
        <f>B290/'Scenario 1 - Phase 1'!$E$8</f>
        <v>63.112391930835734</v>
      </c>
      <c r="L290" s="1"/>
      <c r="N290" s="83">
        <f>E290/'LEVEL 3'!$E$8</f>
        <v>113.4020618556701</v>
      </c>
      <c r="O290" s="1"/>
      <c r="Q290" s="83">
        <f>H290/('Scenario 1 - Phase 1'!$E$8+'LEVEL 3'!$E$8)</f>
        <v>81.146025878003698</v>
      </c>
      <c r="R290" s="1"/>
      <c r="T290" s="197">
        <f>B290/'Scenario 1 - Phase 1'!$B$8</f>
        <v>7.0385868831594575E-2</v>
      </c>
      <c r="U290" s="193"/>
      <c r="V290" s="194"/>
      <c r="W290" s="197">
        <f>E290/'LEVEL 3'!$B$8</f>
        <v>0.11207963767709857</v>
      </c>
      <c r="X290" s="193"/>
      <c r="Y290" s="194"/>
      <c r="Z290" s="197">
        <f>H290/('Scenario 1 - Phase 1'!$B$8+'LEVEL 3'!$B$8)</f>
        <v>8.6514225579438386E-2</v>
      </c>
      <c r="AA290" s="1"/>
    </row>
    <row r="291" spans="1:27">
      <c r="A291" s="39" t="s">
        <v>656</v>
      </c>
      <c r="B291" s="83">
        <f>'Scenario 1 - Phase 1'!K306</f>
        <v>190000</v>
      </c>
      <c r="C291" s="1"/>
      <c r="E291" s="83">
        <f>'LEVEL 3'!K314</f>
        <v>43676.49</v>
      </c>
      <c r="F291" s="1"/>
      <c r="H291" s="83">
        <f t="shared" si="23"/>
        <v>233676.49</v>
      </c>
      <c r="I291" s="1"/>
      <c r="K291" s="83">
        <f>B291/'Scenario 1 - Phase 1'!$E$8</f>
        <v>547.55043227665703</v>
      </c>
      <c r="L291" s="1"/>
      <c r="N291" s="83">
        <f>E291/'LEVEL 3'!$E$8</f>
        <v>225.13654639175257</v>
      </c>
      <c r="O291" s="1"/>
      <c r="Q291" s="83">
        <f>H291/('Scenario 1 - Phase 1'!$E$8+'LEVEL 3'!$E$8)</f>
        <v>431.93436229205173</v>
      </c>
      <c r="R291" s="1"/>
      <c r="T291" s="197">
        <f>B291/'Scenario 1 - Phase 1'!$B$8</f>
        <v>0.61065365652981596</v>
      </c>
      <c r="U291" s="193"/>
      <c r="V291" s="194"/>
      <c r="W291" s="197">
        <f>E291/'LEVEL 3'!$B$8</f>
        <v>0.22251114428215538</v>
      </c>
      <c r="X291" s="193"/>
      <c r="Y291" s="194"/>
      <c r="Z291" s="197">
        <f>H291/('Scenario 1 - Phase 1'!$B$8+'LEVEL 3'!$B$8)</f>
        <v>0.4605088967761134</v>
      </c>
      <c r="AA291" s="1"/>
    </row>
    <row r="292" spans="1:27" hidden="1">
      <c r="A292" s="39" t="s">
        <v>659</v>
      </c>
      <c r="B292" s="83">
        <f>'Scenario 1 - Phase 1'!K307</f>
        <v>0</v>
      </c>
      <c r="C292" s="1"/>
      <c r="E292" s="83">
        <f>'LEVEL 3'!K315</f>
        <v>0</v>
      </c>
      <c r="F292" s="1"/>
      <c r="H292" s="83">
        <f t="shared" si="23"/>
        <v>0</v>
      </c>
      <c r="I292" s="1"/>
      <c r="K292" s="83">
        <f>B292/'Scenario 1 - Phase 1'!$E$8</f>
        <v>0</v>
      </c>
      <c r="L292" s="1"/>
      <c r="N292" s="83">
        <f>E292/'LEVEL 3'!$E$8</f>
        <v>0</v>
      </c>
      <c r="O292" s="1"/>
      <c r="Q292" s="83">
        <f>H292/('Scenario 1 - Phase 1'!$E$8+'LEVEL 3'!$E$8)</f>
        <v>0</v>
      </c>
      <c r="R292" s="1"/>
      <c r="T292" s="197">
        <f>B292/'Scenario 1 - Phase 1'!$B$8</f>
        <v>0</v>
      </c>
      <c r="U292" s="193"/>
      <c r="V292" s="194"/>
      <c r="W292" s="197">
        <f>E292/'LEVEL 3'!$B$8</f>
        <v>0</v>
      </c>
      <c r="X292" s="193"/>
      <c r="Y292" s="194"/>
      <c r="Z292" s="197">
        <f>H292/('Scenario 1 - Phase 1'!$B$8+'LEVEL 3'!$B$8)</f>
        <v>0</v>
      </c>
      <c r="AA292" s="1"/>
    </row>
    <row r="293" spans="1:27" hidden="1">
      <c r="A293" s="39" t="s">
        <v>661</v>
      </c>
      <c r="B293" s="83">
        <f>'Scenario 1 - Phase 1'!K308</f>
        <v>15000</v>
      </c>
      <c r="C293" s="1"/>
      <c r="E293" s="83">
        <f>'LEVEL 3'!K316</f>
        <v>15000</v>
      </c>
      <c r="F293" s="1"/>
      <c r="H293" s="83">
        <f t="shared" si="23"/>
        <v>30000</v>
      </c>
      <c r="I293" s="1"/>
      <c r="K293" s="83">
        <f>B293/'Scenario 1 - Phase 1'!$E$8</f>
        <v>43.227665706051873</v>
      </c>
      <c r="L293" s="1"/>
      <c r="N293" s="83">
        <f>E293/'LEVEL 3'!$E$8</f>
        <v>77.319587628865975</v>
      </c>
      <c r="O293" s="1"/>
      <c r="Q293" s="83">
        <f>H293/('Scenario 1 - Phase 1'!$E$8+'LEVEL 3'!$E$8)</f>
        <v>55.452865064695011</v>
      </c>
      <c r="R293" s="1"/>
      <c r="T293" s="197">
        <f>B293/'Scenario 1 - Phase 1'!$B$8</f>
        <v>4.8209499199722311E-2</v>
      </c>
      <c r="U293" s="193"/>
      <c r="V293" s="194"/>
      <c r="W293" s="197">
        <f>E293/'LEVEL 3'!$B$8</f>
        <v>7.6417934779839936E-2</v>
      </c>
      <c r="X293" s="193"/>
      <c r="Y293" s="194"/>
      <c r="Z293" s="197">
        <f>H293/('Scenario 1 - Phase 1'!$B$8+'LEVEL 3'!$B$8)</f>
        <v>5.9121338664764274E-2</v>
      </c>
      <c r="AA293" s="1"/>
    </row>
    <row r="294" spans="1:27" hidden="1">
      <c r="A294" s="39" t="s">
        <v>663</v>
      </c>
      <c r="B294" s="83">
        <f>'Scenario 1 - Phase 1'!K309</f>
        <v>5000</v>
      </c>
      <c r="C294" s="1"/>
      <c r="E294" s="83">
        <f>'LEVEL 3'!K317</f>
        <v>5000</v>
      </c>
      <c r="F294" s="1"/>
      <c r="H294" s="83">
        <f t="shared" si="23"/>
        <v>10000</v>
      </c>
      <c r="I294" s="1"/>
      <c r="K294" s="83">
        <f>B294/'Scenario 1 - Phase 1'!$E$8</f>
        <v>14.409221902017292</v>
      </c>
      <c r="L294" s="1"/>
      <c r="N294" s="83">
        <f>E294/'LEVEL 3'!$E$8</f>
        <v>25.773195876288661</v>
      </c>
      <c r="O294" s="1"/>
      <c r="Q294" s="83">
        <f>H294/('Scenario 1 - Phase 1'!$E$8+'LEVEL 3'!$E$8)</f>
        <v>18.484288354898336</v>
      </c>
      <c r="R294" s="1"/>
      <c r="T294" s="197">
        <f>B294/'Scenario 1 - Phase 1'!$B$8</f>
        <v>1.6069833066574106E-2</v>
      </c>
      <c r="U294" s="193"/>
      <c r="V294" s="194"/>
      <c r="W294" s="197">
        <f>E294/'LEVEL 3'!$B$8</f>
        <v>2.547264492661331E-2</v>
      </c>
      <c r="X294" s="193"/>
      <c r="Y294" s="194"/>
      <c r="Z294" s="197">
        <f>H294/('Scenario 1 - Phase 1'!$B$8+'LEVEL 3'!$B$8)</f>
        <v>1.9707112888254757E-2</v>
      </c>
      <c r="AA294" s="1"/>
    </row>
    <row r="295" spans="1:27" hidden="1">
      <c r="A295" s="39" t="s">
        <v>665</v>
      </c>
      <c r="B295" s="83">
        <f>'Scenario 1 - Phase 1'!K310</f>
        <v>0</v>
      </c>
      <c r="C295" s="1"/>
      <c r="E295" s="83">
        <f>'LEVEL 3'!K318</f>
        <v>0</v>
      </c>
      <c r="F295" s="1"/>
      <c r="H295" s="83">
        <f t="shared" si="23"/>
        <v>0</v>
      </c>
      <c r="I295" s="1"/>
      <c r="K295" s="83">
        <f>B295/'Scenario 1 - Phase 1'!$E$8</f>
        <v>0</v>
      </c>
      <c r="L295" s="1"/>
      <c r="N295" s="83">
        <f>E295/'LEVEL 3'!$E$8</f>
        <v>0</v>
      </c>
      <c r="O295" s="1"/>
      <c r="Q295" s="83">
        <f>H295/('Scenario 1 - Phase 1'!$E$8+'LEVEL 3'!$E$8)</f>
        <v>0</v>
      </c>
      <c r="R295" s="1"/>
      <c r="T295" s="197">
        <f>B295/'Scenario 1 - Phase 1'!$B$8</f>
        <v>0</v>
      </c>
      <c r="U295" s="193"/>
      <c r="V295" s="194"/>
      <c r="W295" s="197">
        <f>E295/'LEVEL 3'!$B$8</f>
        <v>0</v>
      </c>
      <c r="X295" s="193"/>
      <c r="Y295" s="194"/>
      <c r="Z295" s="197">
        <f>H295/('Scenario 1 - Phase 1'!$B$8+'LEVEL 3'!$B$8)</f>
        <v>0</v>
      </c>
      <c r="AA295" s="1"/>
    </row>
    <row r="296" spans="1:27">
      <c r="A296" s="37" t="s">
        <v>667</v>
      </c>
      <c r="B296" s="83">
        <f>'Scenario 1 - Phase 1'!K311</f>
        <v>1646400</v>
      </c>
      <c r="C296" s="1"/>
      <c r="E296" s="83">
        <f>'LEVEL 3'!K319</f>
        <v>500000</v>
      </c>
      <c r="F296" s="1"/>
      <c r="H296" s="83">
        <f t="shared" si="23"/>
        <v>2146400</v>
      </c>
      <c r="I296" s="1"/>
      <c r="K296" s="83">
        <f>B296/'Scenario 1 - Phase 1'!$E$8</f>
        <v>4744.6685878962535</v>
      </c>
      <c r="L296" s="1"/>
      <c r="N296" s="83">
        <f>E296/'LEVEL 3'!$E$8</f>
        <v>2577.319587628866</v>
      </c>
      <c r="O296" s="1"/>
      <c r="Q296" s="83">
        <f>H296/('Scenario 1 - Phase 1'!$E$8+'LEVEL 3'!$E$8)</f>
        <v>3967.4676524953788</v>
      </c>
      <c r="R296" s="1"/>
      <c r="T296" s="197">
        <f>B296/'Scenario 1 - Phase 1'!$B$8</f>
        <v>5.2914746321615214</v>
      </c>
      <c r="U296" s="193"/>
      <c r="V296" s="194"/>
      <c r="W296" s="197">
        <f>E296/'LEVEL 3'!$B$8</f>
        <v>2.547264492661331</v>
      </c>
      <c r="X296" s="193"/>
      <c r="Y296" s="194"/>
      <c r="Z296" s="197">
        <f>H296/('Scenario 1 - Phase 1'!$B$8+'LEVEL 3'!$B$8)</f>
        <v>4.2299347103350016</v>
      </c>
      <c r="AA296" s="1"/>
    </row>
    <row r="297" spans="1:27">
      <c r="A297" s="37" t="s">
        <v>670</v>
      </c>
      <c r="B297" s="83">
        <f>'Scenario 1 - Phase 1'!K312</f>
        <v>144295.20000000001</v>
      </c>
      <c r="C297" s="1"/>
      <c r="E297" s="83">
        <f>'LEVEL 3'!K320</f>
        <v>72147.600000000006</v>
      </c>
      <c r="F297" s="1"/>
      <c r="H297" s="83">
        <f t="shared" si="23"/>
        <v>216442.80000000002</v>
      </c>
      <c r="I297" s="1"/>
      <c r="K297" s="83">
        <f>B297/'Scenario 1 - Phase 1'!$E$8</f>
        <v>415.83631123919309</v>
      </c>
      <c r="L297" s="1"/>
      <c r="N297" s="83">
        <f>E297/'LEVEL 3'!$E$8</f>
        <v>371.89484536082477</v>
      </c>
      <c r="O297" s="1"/>
      <c r="Q297" s="83">
        <f>H297/('Scenario 1 - Phase 1'!$E$8+'LEVEL 3'!$E$8)</f>
        <v>400.07911275415898</v>
      </c>
      <c r="R297" s="1"/>
      <c r="T297" s="197">
        <f>B297/'Scenario 1 - Phase 1'!$B$8</f>
        <v>0.46375995526158476</v>
      </c>
      <c r="U297" s="193"/>
      <c r="V297" s="194"/>
      <c r="W297" s="197">
        <f>E297/'LEVEL 3'!$B$8</f>
        <v>0.36755803942146531</v>
      </c>
      <c r="X297" s="193"/>
      <c r="Y297" s="194"/>
      <c r="Z297" s="197">
        <f>H297/('Scenario 1 - Phase 1'!$B$8+'LEVEL 3'!$B$8)</f>
        <v>0.42654626934499473</v>
      </c>
      <c r="AA297" s="1"/>
    </row>
    <row r="298" spans="1:27" hidden="1">
      <c r="A298" s="39" t="s">
        <v>672</v>
      </c>
      <c r="B298" s="83">
        <f>'Scenario 1 - Phase 1'!K313</f>
        <v>39000</v>
      </c>
      <c r="C298" s="1"/>
      <c r="E298" s="83">
        <f>'LEVEL 3'!K321</f>
        <v>20000</v>
      </c>
      <c r="F298" s="1"/>
      <c r="H298" s="83">
        <f t="shared" si="23"/>
        <v>59000</v>
      </c>
      <c r="I298" s="1"/>
      <c r="K298" s="83">
        <f>B298/'Scenario 1 - Phase 1'!$E$8</f>
        <v>112.39193083573487</v>
      </c>
      <c r="L298" s="1"/>
      <c r="N298" s="83">
        <f>E298/'LEVEL 3'!$E$8</f>
        <v>103.09278350515464</v>
      </c>
      <c r="O298" s="1"/>
      <c r="Q298" s="83">
        <f>H298/('Scenario 1 - Phase 1'!$E$8+'LEVEL 3'!$E$8)</f>
        <v>109.05730129390018</v>
      </c>
      <c r="R298" s="1"/>
      <c r="T298" s="197">
        <f>B298/'Scenario 1 - Phase 1'!$B$8</f>
        <v>0.12534469791927802</v>
      </c>
      <c r="U298" s="193"/>
      <c r="V298" s="194"/>
      <c r="W298" s="197">
        <f>E298/'LEVEL 3'!$B$8</f>
        <v>0.10189057970645324</v>
      </c>
      <c r="X298" s="193"/>
      <c r="Y298" s="194"/>
      <c r="Z298" s="197">
        <f>H298/('Scenario 1 - Phase 1'!$B$8+'LEVEL 3'!$B$8)</f>
        <v>0.11627196604070307</v>
      </c>
      <c r="AA298" s="1"/>
    </row>
    <row r="299" spans="1:27" hidden="1">
      <c r="A299" s="39" t="s">
        <v>673</v>
      </c>
      <c r="B299" s="83">
        <f>'Scenario 1 - Phase 1'!K314</f>
        <v>4000</v>
      </c>
      <c r="C299" s="1"/>
      <c r="E299" s="83">
        <f>'LEVEL 3'!K322</f>
        <v>2000</v>
      </c>
      <c r="F299" s="1"/>
      <c r="H299" s="83">
        <f t="shared" si="23"/>
        <v>6000</v>
      </c>
      <c r="I299" s="1"/>
      <c r="K299" s="83">
        <f>B299/'Scenario 1 - Phase 1'!$E$8</f>
        <v>11.527377521613833</v>
      </c>
      <c r="L299" s="1"/>
      <c r="N299" s="83">
        <f>E299/'LEVEL 3'!$E$8</f>
        <v>10.309278350515465</v>
      </c>
      <c r="O299" s="1"/>
      <c r="Q299" s="83">
        <f>H299/('Scenario 1 - Phase 1'!$E$8+'LEVEL 3'!$E$8)</f>
        <v>11.090573012939002</v>
      </c>
      <c r="R299" s="1"/>
      <c r="T299" s="197">
        <f>B299/'Scenario 1 - Phase 1'!$B$8</f>
        <v>1.2855866453259283E-2</v>
      </c>
      <c r="U299" s="193"/>
      <c r="V299" s="194"/>
      <c r="W299" s="197">
        <f>E299/'LEVEL 3'!$B$8</f>
        <v>1.0189057970645324E-2</v>
      </c>
      <c r="X299" s="193"/>
      <c r="Y299" s="194"/>
      <c r="Z299" s="197">
        <f>H299/('Scenario 1 - Phase 1'!$B$8+'LEVEL 3'!$B$8)</f>
        <v>1.1824267732952854E-2</v>
      </c>
      <c r="AA299" s="1"/>
    </row>
    <row r="300" spans="1:27" hidden="1">
      <c r="A300" s="39" t="s">
        <v>675</v>
      </c>
      <c r="B300" s="83">
        <f>'Scenario 1 - Phase 1'!K315</f>
        <v>1200</v>
      </c>
      <c r="C300" s="1"/>
      <c r="E300" s="83">
        <f>'LEVEL 3'!K323</f>
        <v>1200</v>
      </c>
      <c r="F300" s="1"/>
      <c r="H300" s="83">
        <f t="shared" si="23"/>
        <v>2400</v>
      </c>
      <c r="I300" s="1"/>
      <c r="K300" s="83">
        <f>B300/'Scenario 1 - Phase 1'!$E$8</f>
        <v>3.4582132564841497</v>
      </c>
      <c r="L300" s="1"/>
      <c r="N300" s="83">
        <f>E300/'LEVEL 3'!$E$8</f>
        <v>6.1855670103092786</v>
      </c>
      <c r="O300" s="1"/>
      <c r="Q300" s="83">
        <f>H300/('Scenario 1 - Phase 1'!$E$8+'LEVEL 3'!$E$8)</f>
        <v>4.4362292051756009</v>
      </c>
      <c r="R300" s="1"/>
      <c r="T300" s="197">
        <f>B300/'Scenario 1 - Phase 1'!$B$8</f>
        <v>3.8567599359777853E-3</v>
      </c>
      <c r="U300" s="193"/>
      <c r="V300" s="194"/>
      <c r="W300" s="197">
        <f>E300/'LEVEL 3'!$B$8</f>
        <v>6.1134347823871941E-3</v>
      </c>
      <c r="X300" s="193"/>
      <c r="Y300" s="194"/>
      <c r="Z300" s="197">
        <f>H300/('Scenario 1 - Phase 1'!$B$8+'LEVEL 3'!$B$8)</f>
        <v>4.7297070931811422E-3</v>
      </c>
      <c r="AA300" s="1"/>
    </row>
    <row r="301" spans="1:27">
      <c r="A301" s="33" t="s">
        <v>677</v>
      </c>
      <c r="B301" s="82"/>
      <c r="C301" s="102">
        <f>SUM(B302)</f>
        <v>2468500.7757699625</v>
      </c>
      <c r="E301" s="82"/>
      <c r="F301" s="102">
        <f>SUM(E302)</f>
        <v>1674318</v>
      </c>
      <c r="H301" s="82"/>
      <c r="I301" s="102">
        <f>SUM(H302)</f>
        <v>4142818.7757699625</v>
      </c>
      <c r="K301" s="82"/>
      <c r="L301" s="102">
        <f>SUM(K302)</f>
        <v>7113.8350886742437</v>
      </c>
      <c r="N301" s="82"/>
      <c r="O301" s="102">
        <f>SUM(N302)</f>
        <v>8630.5051546391751</v>
      </c>
      <c r="Q301" s="82"/>
      <c r="R301" s="102">
        <f>SUM(Q302)</f>
        <v>7657.7056853418899</v>
      </c>
      <c r="T301" s="82"/>
      <c r="U301" s="201">
        <f>C301/'Scenario 1 - Phase 1'!$B$8</f>
        <v>7.933679078266394</v>
      </c>
      <c r="V301" s="199"/>
      <c r="W301" s="203"/>
      <c r="X301" s="201">
        <f>F301/'LEVEL 3'!$B$8</f>
        <v>8.5298615816474683</v>
      </c>
      <c r="Y301" s="199"/>
      <c r="Z301" s="203"/>
      <c r="AA301" s="201">
        <f>I301/('Scenario 1 - Phase 1'!$B$8+'LEVEL 3'!$B$8)</f>
        <v>8.1642997289680022</v>
      </c>
    </row>
    <row r="302" spans="1:27">
      <c r="A302" s="34" t="s">
        <v>677</v>
      </c>
      <c r="B302" s="65">
        <f>'Scenario 1 - Phase 1'!K317</f>
        <v>2468500.7757699625</v>
      </c>
      <c r="C302" s="1"/>
      <c r="E302" s="65">
        <f>'LEVEL 3'!K325</f>
        <v>1674318</v>
      </c>
      <c r="F302" s="1"/>
      <c r="H302" s="65">
        <f>B302+E302</f>
        <v>4142818.7757699625</v>
      </c>
      <c r="I302" s="1"/>
      <c r="K302" s="65">
        <f>B302/'Scenario 1 - Phase 1'!$E$8</f>
        <v>7113.8350886742437</v>
      </c>
      <c r="L302" s="1"/>
      <c r="N302" s="65">
        <f>E302/'LEVEL 3'!$E$8</f>
        <v>8630.5051546391751</v>
      </c>
      <c r="O302" s="1"/>
      <c r="Q302" s="65">
        <f>H302/('Scenario 1 - Phase 1'!$E$8+'LEVEL 3'!$E$8)</f>
        <v>7657.7056853418899</v>
      </c>
      <c r="R302" s="1"/>
      <c r="T302" s="192">
        <f>B302/'Scenario 1 - Phase 1'!$B$8</f>
        <v>7.933679078266394</v>
      </c>
      <c r="U302" s="193"/>
      <c r="V302" s="194"/>
      <c r="W302" s="192">
        <f>E302/'LEVEL 3'!$B$8</f>
        <v>8.5298615816474683</v>
      </c>
      <c r="X302" s="193"/>
      <c r="Y302" s="194"/>
      <c r="Z302" s="192">
        <f>H302/('Scenario 1 - Phase 1'!$B$8+'LEVEL 3'!$B$8)</f>
        <v>8.1642997289680022</v>
      </c>
      <c r="AA302" s="1"/>
    </row>
    <row r="303" spans="1:27">
      <c r="A303" s="33" t="s">
        <v>680</v>
      </c>
      <c r="B303" s="82"/>
      <c r="C303" s="102">
        <f>SUM(B304)</f>
        <v>603626.34794136288</v>
      </c>
      <c r="E303" s="82"/>
      <c r="F303" s="102">
        <f>SUM(E304)</f>
        <v>336354.04304552515</v>
      </c>
      <c r="H303" s="82"/>
      <c r="I303" s="102">
        <f>SUM(H304)</f>
        <v>939980.39098688797</v>
      </c>
      <c r="K303" s="82"/>
      <c r="L303" s="102">
        <f>SUM(K304)</f>
        <v>1739.5571986782793</v>
      </c>
      <c r="N303" s="82"/>
      <c r="O303" s="102">
        <f>SUM(N304)</f>
        <v>1733.7837270387895</v>
      </c>
      <c r="Q303" s="82"/>
      <c r="R303" s="102">
        <f>SUM(Q304)</f>
        <v>1737.4868594951718</v>
      </c>
      <c r="T303" s="82"/>
      <c r="U303" s="201">
        <f>C303/'Scenario 1 - Phase 1'!$B$8</f>
        <v>1.9400349292006958</v>
      </c>
      <c r="V303" s="199"/>
      <c r="W303" s="203"/>
      <c r="X303" s="201">
        <f>F303/'LEVEL 3'!$B$8</f>
        <v>1.7135654216258942</v>
      </c>
      <c r="Y303" s="199"/>
      <c r="Z303" s="203"/>
      <c r="AA303" s="201">
        <f>I303/('Scenario 1 - Phase 1'!$B$8+'LEVEL 3'!$B$8)</f>
        <v>1.8524299677924447</v>
      </c>
    </row>
    <row r="304" spans="1:27">
      <c r="A304" s="34" t="s">
        <v>680</v>
      </c>
      <c r="B304" s="65">
        <f>'Scenario 1 - Phase 1'!K319</f>
        <v>603626.34794136288</v>
      </c>
      <c r="C304" s="1"/>
      <c r="E304" s="65">
        <f>'LEVEL 3'!K327</f>
        <v>336354.04304552515</v>
      </c>
      <c r="F304" s="1"/>
      <c r="H304" s="65">
        <f>B304+E304</f>
        <v>939980.39098688797</v>
      </c>
      <c r="I304" s="1"/>
      <c r="K304" s="65">
        <f>B304/'Scenario 1 - Phase 1'!$E$8</f>
        <v>1739.5571986782793</v>
      </c>
      <c r="L304" s="1"/>
      <c r="N304" s="65">
        <f>E304/'LEVEL 3'!$E$8</f>
        <v>1733.7837270387895</v>
      </c>
      <c r="O304" s="1"/>
      <c r="Q304" s="65">
        <f>H304/('Scenario 1 - Phase 1'!$E$8+'LEVEL 3'!$E$8)</f>
        <v>1737.4868594951718</v>
      </c>
      <c r="R304" s="1"/>
      <c r="T304" s="192">
        <f>B304/'Scenario 1 - Phase 1'!$B$8</f>
        <v>1.9400349292006958</v>
      </c>
      <c r="U304" s="193"/>
      <c r="V304" s="194"/>
      <c r="W304" s="192">
        <f>E304/'LEVEL 3'!$B$8</f>
        <v>1.7135654216258942</v>
      </c>
      <c r="X304" s="193"/>
      <c r="Y304" s="194"/>
      <c r="Z304" s="192">
        <f>H304/('Scenario 1 - Phase 1'!$B$8+'LEVEL 3'!$B$8)</f>
        <v>1.8524299677924447</v>
      </c>
      <c r="AA304" s="1"/>
    </row>
    <row r="305" spans="1:27">
      <c r="A305" s="33" t="s">
        <v>684</v>
      </c>
      <c r="B305" s="82"/>
      <c r="C305" s="102">
        <f>SUM(B306:B308)</f>
        <v>330512.02330501011</v>
      </c>
      <c r="E305" s="82"/>
      <c r="F305" s="102">
        <f>SUM(E306:E308)</f>
        <v>515160.29057296121</v>
      </c>
      <c r="H305" s="82"/>
      <c r="I305" s="102">
        <f>SUM(H306:H308)</f>
        <v>845672.31387797138</v>
      </c>
      <c r="K305" s="82"/>
      <c r="L305" s="102">
        <f>SUM(K306:K308)</f>
        <v>952.48421701732013</v>
      </c>
      <c r="N305" s="82"/>
      <c r="O305" s="102">
        <f>SUM(N306:N308)</f>
        <v>2655.4654153245424</v>
      </c>
      <c r="Q305" s="82"/>
      <c r="R305" s="102">
        <f>SUM(Q306:Q308)</f>
        <v>1563.1650903474515</v>
      </c>
      <c r="T305" s="82"/>
      <c r="U305" s="201">
        <f>C305/'Scenario 1 - Phase 1'!$B$8</f>
        <v>1.0622546082014326</v>
      </c>
      <c r="V305" s="199"/>
      <c r="W305" s="203"/>
      <c r="X305" s="201">
        <f>F305/'LEVEL 3'!$B$8</f>
        <v>2.6244990324111956</v>
      </c>
      <c r="Y305" s="199"/>
      <c r="Z305" s="203"/>
      <c r="AA305" s="201">
        <f>I305/('Scenario 1 - Phase 1'!$B$8+'LEVEL 3'!$B$8)</f>
        <v>1.6665759756064793</v>
      </c>
    </row>
    <row r="306" spans="1:27">
      <c r="A306" s="35" t="s">
        <v>685</v>
      </c>
      <c r="B306" s="71">
        <f>'Scenario 1 - Phase 1'!K321</f>
        <v>165256.01165250505</v>
      </c>
      <c r="C306" s="1"/>
      <c r="E306" s="71">
        <f>'LEVEL 3'!K329</f>
        <v>257580.14528648061</v>
      </c>
      <c r="F306" s="1"/>
      <c r="H306" s="71">
        <f t="shared" ref="H306:H308" si="24">B306+E306</f>
        <v>422836.15693898569</v>
      </c>
      <c r="I306" s="1"/>
      <c r="K306" s="71">
        <f>B306/'Scenario 1 - Phase 1'!$E$8</f>
        <v>476.24210850866012</v>
      </c>
      <c r="L306" s="1"/>
      <c r="N306" s="71">
        <f>E306/'LEVEL 3'!$E$8</f>
        <v>1327.7327076622712</v>
      </c>
      <c r="O306" s="1"/>
      <c r="Q306" s="71">
        <f>H306/('Scenario 1 - Phase 1'!$E$8+'LEVEL 3'!$E$8)</f>
        <v>781.58254517372586</v>
      </c>
      <c r="R306" s="1"/>
      <c r="T306" s="195">
        <f>B306/'Scenario 1 - Phase 1'!$B$8</f>
        <v>0.53112730410071629</v>
      </c>
      <c r="U306" s="193"/>
      <c r="V306" s="194"/>
      <c r="W306" s="195">
        <f>E306/'LEVEL 3'!$B$8</f>
        <v>1.3122495162055978</v>
      </c>
      <c r="X306" s="193"/>
      <c r="Y306" s="194"/>
      <c r="Z306" s="195">
        <f>H306/('Scenario 1 - Phase 1'!$B$8+'LEVEL 3'!$B$8)</f>
        <v>0.83328798780323965</v>
      </c>
      <c r="AA306" s="1"/>
    </row>
    <row r="307" spans="1:27">
      <c r="A307" s="39" t="s">
        <v>688</v>
      </c>
      <c r="B307" s="83">
        <f>'Scenario 1 - Phase 1'!K322</f>
        <v>8262.8005826252538</v>
      </c>
      <c r="C307" s="1"/>
      <c r="E307" s="83">
        <f>'LEVEL 3'!K330</f>
        <v>12879.007264324031</v>
      </c>
      <c r="F307" s="1"/>
      <c r="H307" s="83">
        <f t="shared" si="24"/>
        <v>21141.807846949283</v>
      </c>
      <c r="I307" s="1"/>
      <c r="K307" s="83">
        <f>B307/'Scenario 1 - Phase 1'!$E$8</f>
        <v>23.812105425433007</v>
      </c>
      <c r="L307" s="1"/>
      <c r="N307" s="83">
        <f>E307/'LEVEL 3'!$E$8</f>
        <v>66.386635383113557</v>
      </c>
      <c r="O307" s="1"/>
      <c r="Q307" s="83">
        <f>H307/('Scenario 1 - Phase 1'!$E$8+'LEVEL 3'!$E$8)</f>
        <v>39.079127258686292</v>
      </c>
      <c r="R307" s="1"/>
      <c r="T307" s="197">
        <f>B307/'Scenario 1 - Phase 1'!$B$8</f>
        <v>2.6556365205035817E-2</v>
      </c>
      <c r="U307" s="193"/>
      <c r="V307" s="194"/>
      <c r="W307" s="197">
        <f>E307/'LEVEL 3'!$B$8</f>
        <v>6.5612475810279902E-2</v>
      </c>
      <c r="X307" s="193"/>
      <c r="Y307" s="194"/>
      <c r="Z307" s="197">
        <f>H307/('Scenario 1 - Phase 1'!$B$8+'LEVEL 3'!$B$8)</f>
        <v>4.1664399390161977E-2</v>
      </c>
      <c r="AA307" s="1"/>
    </row>
    <row r="308" spans="1:27">
      <c r="A308" s="39" t="s">
        <v>690</v>
      </c>
      <c r="B308" s="83">
        <f>'Scenario 1 - Phase 1'!K323</f>
        <v>156993.21106987979</v>
      </c>
      <c r="C308" s="1"/>
      <c r="E308" s="83">
        <f>'LEVEL 3'!K331</f>
        <v>244701.13802215658</v>
      </c>
      <c r="F308" s="1"/>
      <c r="H308" s="83">
        <f t="shared" si="24"/>
        <v>401694.34909203637</v>
      </c>
      <c r="I308" s="1"/>
      <c r="K308" s="83">
        <f>B308/'Scenario 1 - Phase 1'!$E$8</f>
        <v>452.43000308322706</v>
      </c>
      <c r="L308" s="1"/>
      <c r="N308" s="83">
        <f>E308/'LEVEL 3'!$E$8</f>
        <v>1261.3460722791576</v>
      </c>
      <c r="O308" s="1"/>
      <c r="Q308" s="83">
        <f>H308/('Scenario 1 - Phase 1'!$E$8+'LEVEL 3'!$E$8)</f>
        <v>742.50341791503945</v>
      </c>
      <c r="R308" s="1"/>
      <c r="T308" s="197">
        <f>B308/'Scenario 1 - Phase 1'!$B$8</f>
        <v>0.50457093889568039</v>
      </c>
      <c r="U308" s="193"/>
      <c r="V308" s="194"/>
      <c r="W308" s="197">
        <f>E308/'LEVEL 3'!$B$8</f>
        <v>1.246637040395318</v>
      </c>
      <c r="X308" s="193"/>
      <c r="Y308" s="194"/>
      <c r="Z308" s="197">
        <f>H308/('Scenario 1 - Phase 1'!$B$8+'LEVEL 3'!$B$8)</f>
        <v>0.79162358841307756</v>
      </c>
      <c r="AA308" s="1"/>
    </row>
    <row r="309" spans="1:27">
      <c r="A309" s="33" t="s">
        <v>692</v>
      </c>
      <c r="B309" s="82"/>
      <c r="C309" s="102">
        <f>SUM(B310)</f>
        <v>4389635.988993247</v>
      </c>
      <c r="E309" s="82"/>
      <c r="F309" s="102">
        <f>SUM(E310)</f>
        <v>1674318</v>
      </c>
      <c r="H309" s="82"/>
      <c r="I309" s="102">
        <f>SUM(H310)</f>
        <v>6063953.988993247</v>
      </c>
      <c r="K309" s="82"/>
      <c r="L309" s="102">
        <f>C309/'Scenario 1 - Phase 1'!$E$8</f>
        <v>12650.247806896965</v>
      </c>
      <c r="N309" s="82"/>
      <c r="O309" s="102">
        <f>F309/'LEVEL 3'!$E$8</f>
        <v>8630.5051546391751</v>
      </c>
      <c r="Q309" s="82"/>
      <c r="R309" s="102">
        <f>I309/('Scenario 1 - Phase 1'!$E$8+'LEVEL 3'!$E$8)</f>
        <v>11208.787410338718</v>
      </c>
      <c r="T309" s="82"/>
      <c r="U309" s="201">
        <f>C309/'Scenario 1 - Phase 1'!$B$8</f>
        <v>14.10814351322948</v>
      </c>
      <c r="V309" s="199"/>
      <c r="W309" s="203"/>
      <c r="X309" s="201">
        <f>F309/'LEVEL 3'!$B$8</f>
        <v>8.5298615816474683</v>
      </c>
      <c r="Y309" s="199"/>
      <c r="Z309" s="203"/>
      <c r="AA309" s="201">
        <f>I309/('Scenario 1 - Phase 1'!$B$8+'LEVEL 3'!$B$8)</f>
        <v>11.950302581027266</v>
      </c>
    </row>
    <row r="310" spans="1:27">
      <c r="A310" s="32" t="s">
        <v>694</v>
      </c>
      <c r="B310" s="53">
        <f>'Scenario 1 - Phase 1'!K325</f>
        <v>4389635.988993247</v>
      </c>
      <c r="C310" s="1"/>
      <c r="E310" s="53">
        <f>'LEVEL 3'!K334</f>
        <v>1674318</v>
      </c>
      <c r="F310" s="1"/>
      <c r="H310" s="53">
        <f>B310+E310</f>
        <v>6063953.988993247</v>
      </c>
      <c r="I310" s="1"/>
      <c r="K310" s="53">
        <f>B310/'Scenario 1 - Phase 1'!$E$8</f>
        <v>12650.247806896965</v>
      </c>
      <c r="L310" s="1"/>
      <c r="N310" s="53">
        <f>E310/'LEVEL 3'!$E$8</f>
        <v>8630.5051546391751</v>
      </c>
      <c r="O310" s="1"/>
      <c r="Q310" s="53">
        <f>H310/('Scenario 1 - Phase 1'!$E$8+'LEVEL 3'!$E$8)</f>
        <v>11208.787410338718</v>
      </c>
      <c r="R310" s="1"/>
      <c r="T310" s="191">
        <f>B310/'Scenario 1 - Phase 1'!$B$8</f>
        <v>14.10814351322948</v>
      </c>
      <c r="U310" s="193"/>
      <c r="V310" s="194"/>
      <c r="W310" s="191">
        <f>E310/'LEVEL 3'!$B$8</f>
        <v>8.5298615816474683</v>
      </c>
      <c r="X310" s="193"/>
      <c r="Y310" s="194"/>
      <c r="Z310" s="191">
        <f>H310/('Scenario 1 - Phase 1'!$B$8+'LEVEL 3'!$B$8)</f>
        <v>11.950302581027266</v>
      </c>
      <c r="AA310" s="1"/>
    </row>
    <row r="311" spans="1:27" ht="15.75" thickBot="1">
      <c r="A311" s="118" t="s">
        <v>695</v>
      </c>
      <c r="B311" s="122"/>
      <c r="C311" s="123">
        <f>SUM(C5:C310)</f>
        <v>59260085.851408847</v>
      </c>
      <c r="E311" s="122"/>
      <c r="F311" s="123" t="e">
        <f>SUM(F5:F310)</f>
        <v>#REF!</v>
      </c>
      <c r="H311" s="122"/>
      <c r="I311" s="123" t="e">
        <f>SUM(I5:I310)</f>
        <v>#REF!</v>
      </c>
      <c r="K311" s="122"/>
      <c r="L311" s="123">
        <f>SUM(L5:L310)</f>
        <v>170778.34539310908</v>
      </c>
      <c r="N311" s="122"/>
      <c r="O311" s="123" t="e">
        <f>SUM(O5:O310)</f>
        <v>#REF!</v>
      </c>
      <c r="Q311" s="122"/>
      <c r="R311" s="123" t="e">
        <f>SUM(R5:R310)</f>
        <v>#REF!</v>
      </c>
      <c r="T311" s="122"/>
      <c r="U311" s="204">
        <f>C311/'Scenario 1 - Phase 1'!$B$8</f>
        <v>190.45993742859804</v>
      </c>
      <c r="V311" s="199"/>
      <c r="W311" s="205"/>
      <c r="X311" s="204" t="e">
        <f>F311/'LEVEL 3'!$B$8</f>
        <v>#REF!</v>
      </c>
      <c r="Y311" s="199"/>
      <c r="Z311" s="205"/>
      <c r="AA311" s="204" t="e">
        <f>I311/('Scenario 1 - Phase 1'!$B$8+'LEVEL 3'!$B$8)</f>
        <v>#REF!</v>
      </c>
    </row>
    <row r="312" spans="1:27">
      <c r="A312" t="s">
        <v>998</v>
      </c>
      <c r="B312" s="187">
        <f>SUM(B6:B311)</f>
        <v>59260085.851408839</v>
      </c>
      <c r="E312" s="187" t="e">
        <f>SUM(E6:E311)</f>
        <v>#REF!</v>
      </c>
      <c r="H312" s="187" t="e">
        <f>SUM(H6:H311)</f>
        <v>#REF!</v>
      </c>
      <c r="K312" s="187">
        <f>SUM(K6:K311)</f>
        <v>170778.34539310908</v>
      </c>
      <c r="N312" s="187" t="e">
        <f>SUM(N6:N311)</f>
        <v>#REF!</v>
      </c>
      <c r="Q312" s="187" t="e">
        <f>SUM(Q6:Q311)</f>
        <v>#REF!</v>
      </c>
      <c r="T312" s="194">
        <f>B312/'Scenario 1 - Phase 1'!$B$8</f>
        <v>190.45993742859801</v>
      </c>
      <c r="U312" s="194"/>
      <c r="V312" s="194"/>
      <c r="W312" s="194" t="e">
        <f>E312/'LEVEL 3'!$B$8</f>
        <v>#REF!</v>
      </c>
      <c r="X312" s="194"/>
      <c r="Y312" s="194"/>
      <c r="Z312" s="194" t="e">
        <f>H312/('Scenario 1 - Phase 1'!$B$8+'LEVEL 3'!$B$8)</f>
        <v>#REF!</v>
      </c>
    </row>
  </sheetData>
  <conditionalFormatting sqref="A5:B310 A311:C311">
    <cfRule type="expression" dxfId="22" priority="19">
      <formula>MOD(ROW(),2)</formula>
    </cfRule>
  </conditionalFormatting>
  <conditionalFormatting sqref="C5 C7 C9 C19:C20 C29 C35 C44 C57 C69 C85 C122 C139 C141 C150 C154 C156 C159 C163 C169 C171 C188 C192 C196 C206 C243 C259 C261 C265 C275 C284 C286 C301 C303 C305 C309">
    <cfRule type="expression" dxfId="21" priority="16">
      <formula>MOD(ROW(),2)</formula>
    </cfRule>
  </conditionalFormatting>
  <conditionalFormatting sqref="E5:E311">
    <cfRule type="expression" dxfId="20" priority="18">
      <formula>MOD(ROW(),2)</formula>
    </cfRule>
  </conditionalFormatting>
  <conditionalFormatting sqref="F5 F7 F9 F19:F20 F29 F35 F44 F57 F69 F85 F122 F139 F141 F150 F154 F156 F159 F163 F169 F171 F188 F192 F196 F206 F243 F259 F261 F265 F275 F284 F286 F301 F303 F305 F309 F311">
    <cfRule type="expression" dxfId="19" priority="15">
      <formula>MOD(ROW(),2)</formula>
    </cfRule>
  </conditionalFormatting>
  <conditionalFormatting sqref="H5:H311">
    <cfRule type="expression" dxfId="18" priority="17">
      <formula>MOD(ROW(),2)</formula>
    </cfRule>
  </conditionalFormatting>
  <conditionalFormatting sqref="I5 I7 I9 I19:I20 I29 I35 I44 I57 I69 I85 I122 I139 I141 I150 I154 I156 I159 I163 I169 I171 I188 I192 I196 I206 I243 I259 I261 I265 I275 I284 I286 I301 I303 I305 I309 I311">
    <cfRule type="expression" dxfId="17" priority="14">
      <formula>MOD(ROW(),2)</formula>
    </cfRule>
  </conditionalFormatting>
  <conditionalFormatting sqref="K5:K310 K311:L311">
    <cfRule type="expression" dxfId="16" priority="13">
      <formula>MOD(ROW(),2)</formula>
    </cfRule>
  </conditionalFormatting>
  <conditionalFormatting sqref="L5 L7 L9 L19:L20 L29 L35 L44 L57 L69 L85 L122 L139 L141 L150 L154 L156 L159 L163 L169 L171 L188 L192 L196 L206 L243 L259 L261 L265 L275 L284 L286 L301 L303 L305 L309">
    <cfRule type="expression" dxfId="15" priority="10">
      <formula>MOD(ROW(),2)</formula>
    </cfRule>
  </conditionalFormatting>
  <conditionalFormatting sqref="N5:N311">
    <cfRule type="expression" dxfId="14" priority="12">
      <formula>MOD(ROW(),2)</formula>
    </cfRule>
  </conditionalFormatting>
  <conditionalFormatting sqref="O5 O7 O9 O19:O20 O29 O35 O44 O57 O69 O85 O122 O139 O141 O150 O154 O156 O159 O163 O169 O171 O188 O192 O196 O206 O243 O259 O261 O265 O275 O284 O286 O301 O303 O305 O309 O311">
    <cfRule type="expression" dxfId="13" priority="9">
      <formula>MOD(ROW(),2)</formula>
    </cfRule>
  </conditionalFormatting>
  <conditionalFormatting sqref="Q5:Q311">
    <cfRule type="expression" dxfId="12" priority="11">
      <formula>MOD(ROW(),2)</formula>
    </cfRule>
  </conditionalFormatting>
  <conditionalFormatting sqref="R5 R7 R9 R19:R20 R29 R35 R44 R57 R69 R85 R122 R139 R141 R150 R154 R156 R159 R163 R169 R171 R188 R192 R196 R206 R243 R259 R261 R265 R275 R284 R286 R301 R303 R305 R309 R311">
    <cfRule type="expression" dxfId="11" priority="8">
      <formula>MOD(ROW(),2)</formula>
    </cfRule>
  </conditionalFormatting>
  <conditionalFormatting sqref="T5:T310 T311:U311">
    <cfRule type="expression" dxfId="10" priority="7">
      <formula>MOD(ROW(),2)</formula>
    </cfRule>
  </conditionalFormatting>
  <conditionalFormatting sqref="U5 U7 U9 U19:U20 U29 U35 U44 U57 U69 U85 U122 U139 U141 U150 U154 U156 U159 U163 U169 U171 U188 U192 U196 U206 U243 U259 U261 U265 U275 U284 U286 U301 U303 U305 U309">
    <cfRule type="expression" dxfId="9" priority="4">
      <formula>MOD(ROW(),2)</formula>
    </cfRule>
  </conditionalFormatting>
  <conditionalFormatting sqref="W5:W311">
    <cfRule type="expression" dxfId="8" priority="6">
      <formula>MOD(ROW(),2)</formula>
    </cfRule>
  </conditionalFormatting>
  <conditionalFormatting sqref="X5 X7 X9 X19:X20 X29 X35 X44 X57 X69 X85 X122 X139 X141 X150 X154 X156 X159 X163 X169 X171 X188 X192 X196 X206 X243 X259 X261 X265 X275 X284 X286 X301 X303 X305 X309 X311">
    <cfRule type="expression" dxfId="7" priority="3">
      <formula>MOD(ROW(),2)</formula>
    </cfRule>
  </conditionalFormatting>
  <conditionalFormatting sqref="Z5:Z311">
    <cfRule type="expression" dxfId="6" priority="1">
      <formula>MOD(ROW(),2)</formula>
    </cfRule>
  </conditionalFormatting>
  <conditionalFormatting sqref="AA5 AA7 AA9 AA19:AA20 AA29 AA35 AA44 AA57 AA69 AA85 AA122 AA139 AA141 AA150 AA154 AA156 AA159 AA163 AA169 AA171 AA188 AA192 AA196 AA206 AA243 AA259 AA261 AA265 AA275 AA284 AA286 AA301 AA303 AA305 AA309 AA311">
    <cfRule type="expression" dxfId="5" priority="2">
      <formula>MOD(ROW(),2)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B21C-CDB4-4355-9BDF-854D8D038A2A}">
  <dimension ref="G10:M16"/>
  <sheetViews>
    <sheetView workbookViewId="0">
      <selection activeCell="F8" sqref="F8:H8"/>
    </sheetView>
  </sheetViews>
  <sheetFormatPr defaultRowHeight="15"/>
  <cols>
    <col min="8" max="8" width="12.7109375" customWidth="1"/>
    <col min="10" max="10" width="11.140625" customWidth="1"/>
    <col min="11" max="11" width="9.7109375" customWidth="1"/>
    <col min="12" max="12" width="14.42578125" customWidth="1"/>
    <col min="13" max="13" width="14.85546875" customWidth="1"/>
  </cols>
  <sheetData>
    <row r="10" spans="7:13">
      <c r="J10" s="109" t="s">
        <v>6</v>
      </c>
      <c r="K10" s="109" t="s">
        <v>999</v>
      </c>
      <c r="L10" s="109" t="s">
        <v>1000</v>
      </c>
      <c r="M10" s="109" t="s">
        <v>1001</v>
      </c>
    </row>
    <row r="11" spans="7:13">
      <c r="H11">
        <v>3200</v>
      </c>
      <c r="I11">
        <v>3700</v>
      </c>
      <c r="J11" s="110" t="s">
        <v>1002</v>
      </c>
      <c r="K11" s="110">
        <v>13</v>
      </c>
      <c r="L11" s="107">
        <f>$I$12</f>
        <v>168.18181818181819</v>
      </c>
      <c r="M11" s="108">
        <f>K11*$I$12</f>
        <v>2186.3636363636365</v>
      </c>
    </row>
    <row r="12" spans="7:13">
      <c r="H12" s="104">
        <f>H11/22</f>
        <v>145.45454545454547</v>
      </c>
      <c r="I12" s="104">
        <f>I11/22</f>
        <v>168.18181818181819</v>
      </c>
      <c r="J12" s="110" t="s">
        <v>1003</v>
      </c>
      <c r="K12" s="110">
        <v>17</v>
      </c>
      <c r="L12" s="107">
        <f t="shared" ref="L12:L15" si="0">$I$12</f>
        <v>168.18181818181819</v>
      </c>
      <c r="M12" s="108">
        <f t="shared" ref="M12:M15" si="1">K12*$I$12</f>
        <v>2859.090909090909</v>
      </c>
    </row>
    <row r="13" spans="7:13">
      <c r="J13" s="110" t="s">
        <v>1004</v>
      </c>
      <c r="K13" s="110">
        <v>22</v>
      </c>
      <c r="L13" s="107">
        <f t="shared" si="0"/>
        <v>168.18181818181819</v>
      </c>
      <c r="M13" s="108">
        <f t="shared" si="1"/>
        <v>3700</v>
      </c>
    </row>
    <row r="14" spans="7:13">
      <c r="G14" s="104">
        <v>135</v>
      </c>
      <c r="H14" s="105">
        <f>G14*22</f>
        <v>2970</v>
      </c>
      <c r="J14" s="110" t="s">
        <v>1005</v>
      </c>
      <c r="K14" s="110">
        <v>15</v>
      </c>
      <c r="L14" s="107">
        <f t="shared" si="0"/>
        <v>168.18181818181819</v>
      </c>
      <c r="M14" s="108">
        <f t="shared" si="1"/>
        <v>2522.727272727273</v>
      </c>
    </row>
    <row r="15" spans="7:13">
      <c r="G15">
        <f>500/22</f>
        <v>22.727272727272727</v>
      </c>
      <c r="J15" s="110">
        <v>3</v>
      </c>
      <c r="K15" s="110">
        <v>14</v>
      </c>
      <c r="L15" s="107">
        <f t="shared" si="0"/>
        <v>168.18181818181819</v>
      </c>
      <c r="M15" s="108">
        <f t="shared" si="1"/>
        <v>2354.5454545454545</v>
      </c>
    </row>
    <row r="16" spans="7:13">
      <c r="G16" s="106">
        <f>G14+G15</f>
        <v>157.72727272727272</v>
      </c>
      <c r="H16" s="106">
        <f>G16*22</f>
        <v>3470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f068e7-c9bb-4725-97f3-1c2dc85159f3">
      <Terms xmlns="http://schemas.microsoft.com/office/infopath/2007/PartnerControls"/>
    </lcf76f155ced4ddcb4097134ff3c332f>
    <TaxCatchAll xmlns="4e92597e-5b46-4d1b-902f-47e9ae7c3c2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117A48C4ED034C8E36595417A70FA7" ma:contentTypeVersion="13" ma:contentTypeDescription="Create a new document." ma:contentTypeScope="" ma:versionID="beda784ec6848bd6b033ef57eda2c7f3">
  <xsd:schema xmlns:xsd="http://www.w3.org/2001/XMLSchema" xmlns:xs="http://www.w3.org/2001/XMLSchema" xmlns:p="http://schemas.microsoft.com/office/2006/metadata/properties" xmlns:ns2="2ef068e7-c9bb-4725-97f3-1c2dc85159f3" xmlns:ns3="4e92597e-5b46-4d1b-902f-47e9ae7c3c22" targetNamespace="http://schemas.microsoft.com/office/2006/metadata/properties" ma:root="true" ma:fieldsID="48345bc7d524223f544a20acb54cdae8" ns2:_="" ns3:_="">
    <xsd:import namespace="2ef068e7-c9bb-4725-97f3-1c2dc85159f3"/>
    <xsd:import namespace="4e92597e-5b46-4d1b-902f-47e9ae7c3c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068e7-c9bb-4725-97f3-1c2dc85159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8da4bc3-7db5-4444-a7c1-2e26fae20a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2597e-5b46-4d1b-902f-47e9ae7c3c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403f9da-2e20-4aac-a6a2-483043c2b3f0}" ma:internalName="TaxCatchAll" ma:showField="CatchAllData" ma:web="4e92597e-5b46-4d1b-902f-47e9ae7c3c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B9CD29-CBF2-4170-A229-3F7BF74EBDBE}"/>
</file>

<file path=customXml/itemProps2.xml><?xml version="1.0" encoding="utf-8"?>
<ds:datastoreItem xmlns:ds="http://schemas.openxmlformats.org/officeDocument/2006/customXml" ds:itemID="{C3A83DA4-2F47-4D13-A40A-E602F1E66AD5}"/>
</file>

<file path=customXml/itemProps3.xml><?xml version="1.0" encoding="utf-8"?>
<ds:datastoreItem xmlns:ds="http://schemas.openxmlformats.org/officeDocument/2006/customXml" ds:itemID="{9D00679B-8BCB-4E7B-A737-98CCA070CA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Alvarez</dc:creator>
  <cp:keywords/>
  <dc:description/>
  <cp:lastModifiedBy/>
  <cp:revision/>
  <dcterms:created xsi:type="dcterms:W3CDTF">2024-07-09T19:23:16Z</dcterms:created>
  <dcterms:modified xsi:type="dcterms:W3CDTF">2026-06-18T16:07:47Z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0x01010056117A48C4ED034C8E36595417A70FA7</vt:lpwstr>
  </property>
  <property fmtid="{D5CDD505-2E9C-101B-9397-08002B2CF9AE}" pid="3" name="MediaServiceImageTags">
    <vt:lpwstr/>
  </property>
  <property fmtid="{D5CDD505-2E9C-101B-9397-08002B2CF9AE}" pid="4" name="_ExtendedDescription">
    <vt:lpwstr/>
  </property>
</Properties>
</file>