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ovationco.sharepoint.com/sites/Construction/Shared Documents/Robindale &amp; 215/02 - Project Budgets &amp; Draws - MP/01 - Pre-Construction Budgets/Construction budget/Level 3/"/>
    </mc:Choice>
  </mc:AlternateContent>
  <xr:revisionPtr revIDLastSave="0" documentId="8_{7C51D356-103A-4146-9E54-A2C6E06DD5FD}" xr6:coauthVersionLast="47" xr6:coauthVersionMax="47" xr10:uidLastSave="{00000000-0000-0000-0000-000000000000}"/>
  <bookViews>
    <workbookView xWindow="28680" yWindow="-240" windowWidth="29040" windowHeight="15720" tabRatio="761" firstSheet="1" activeTab="1" xr2:uid="{BCEF1F00-A512-4B9F-809E-76DD128E087A}"/>
  </bookViews>
  <sheets>
    <sheet name="_REFERENCE888777888" sheetId="21" state="veryHidden" r:id="rId1"/>
    <sheet name="LEVEL 3" sheetId="22" r:id="rId2"/>
    <sheet name="Comparison - Level 3" sheetId="23" r:id="rId3"/>
    <sheet name="LEVEL 2.1" sheetId="20" r:id="rId4"/>
    <sheet name="Assumptions &amp; Takeoffs" sheetId="10" r:id="rId5"/>
    <sheet name="LEVEL 2" sheetId="19" r:id="rId6"/>
    <sheet name="Comparison" sheetId="12" r:id="rId7"/>
    <sheet name="What Changed" sheetId="18" r:id="rId8"/>
    <sheet name="Unit Pricing Comparison" sheetId="4" r:id="rId9"/>
    <sheet name="Division Comparison" sheetId="7" r:id="rId10"/>
    <sheet name="Comparison to Projects" sheetId="8" r:id="rId11"/>
    <sheet name="LEVEL 1.2 BUDGET" sheetId="9" r:id="rId12"/>
    <sheet name="LEVEL 1.1 BUDGET" sheetId="1" r:id="rId13"/>
    <sheet name="Combined - vErik" sheetId="2" r:id="rId14"/>
    <sheet name="Sheet2" sheetId="11" r:id="rId15"/>
    <sheet name="Sheet3" sheetId="15" r:id="rId16"/>
    <sheet name="Sheet1"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A" localSheetId="13">#REF!</definedName>
    <definedName name="\A" localSheetId="9">#REF!</definedName>
    <definedName name="\A" localSheetId="8">#REF!</definedName>
    <definedName name="\A" localSheetId="7">#REF!</definedName>
    <definedName name="\A">#REF!</definedName>
    <definedName name="\B" localSheetId="13">#REF!</definedName>
    <definedName name="\B" localSheetId="8">#REF!</definedName>
    <definedName name="\B" localSheetId="7">#REF!</definedName>
    <definedName name="\B">#REF!</definedName>
    <definedName name="\C" localSheetId="13">#REF!</definedName>
    <definedName name="\C" localSheetId="7">#REF!</definedName>
    <definedName name="\C">#REF!</definedName>
    <definedName name="\D" localSheetId="13">#REF!</definedName>
    <definedName name="\D" localSheetId="7">#REF!</definedName>
    <definedName name="\D">#REF!</definedName>
    <definedName name="\E" localSheetId="13">#REF!</definedName>
    <definedName name="\E" localSheetId="7">#REF!</definedName>
    <definedName name="\E">#REF!</definedName>
    <definedName name="\F" localSheetId="13">#REF!</definedName>
    <definedName name="\F" localSheetId="7">#REF!</definedName>
    <definedName name="\F">#REF!</definedName>
    <definedName name="\i" localSheetId="13">#REF!</definedName>
    <definedName name="\i" localSheetId="7">#REF!</definedName>
    <definedName name="\i">#REF!</definedName>
    <definedName name="\M" localSheetId="13">#REF!</definedName>
    <definedName name="\M" localSheetId="7">#REF!</definedName>
    <definedName name="\M">#REF!</definedName>
    <definedName name="\N" localSheetId="13">#REF!</definedName>
    <definedName name="\N" localSheetId="7">#REF!</definedName>
    <definedName name="\N">#REF!</definedName>
    <definedName name="\O" localSheetId="13">#REF!</definedName>
    <definedName name="\O" localSheetId="7">#REF!</definedName>
    <definedName name="\O">#REF!</definedName>
    <definedName name="\P" localSheetId="13">#REF!</definedName>
    <definedName name="\P" localSheetId="7">#REF!</definedName>
    <definedName name="\P">#REF!</definedName>
    <definedName name="\Q" localSheetId="13">#REF!</definedName>
    <definedName name="\Q" localSheetId="7">#REF!</definedName>
    <definedName name="\Q">#REF!</definedName>
    <definedName name="\S" localSheetId="13">#REF!</definedName>
    <definedName name="\S" localSheetId="7">#REF!</definedName>
    <definedName name="\S">#REF!</definedName>
    <definedName name="\T" localSheetId="13">#REF!</definedName>
    <definedName name="\T" localSheetId="7">#REF!</definedName>
    <definedName name="\T">#REF!</definedName>
    <definedName name="\U" localSheetId="13">#REF!</definedName>
    <definedName name="\U" localSheetId="7">#REF!</definedName>
    <definedName name="\U">#REF!</definedName>
    <definedName name="\w" localSheetId="13">#REF!</definedName>
    <definedName name="\w" localSheetId="7">#REF!</definedName>
    <definedName name="\w">#REF!</definedName>
    <definedName name="\X" localSheetId="13">#REF!</definedName>
    <definedName name="\X" localSheetId="7">#REF!</definedName>
    <definedName name="\X">#REF!</definedName>
    <definedName name="\Y" localSheetId="13">#REF!</definedName>
    <definedName name="\Y" localSheetId="7">#REF!</definedName>
    <definedName name="\Y">#REF!</definedName>
    <definedName name="\Z" localSheetId="13">#REF!</definedName>
    <definedName name="\Z" localSheetId="7">#REF!</definedName>
    <definedName name="\Z">#REF!</definedName>
    <definedName name="____7HILLS" localSheetId="13">#REF!</definedName>
    <definedName name="____7HILLS" localSheetId="7">#REF!</definedName>
    <definedName name="____7HILLS">#REF!</definedName>
    <definedName name="____Ins2" localSheetId="13">#REF!</definedName>
    <definedName name="____Ins2" localSheetId="7">#REF!</definedName>
    <definedName name="____Ins2">#REF!</definedName>
    <definedName name="____Ins3" localSheetId="13">#REF!</definedName>
    <definedName name="____Ins3" localSheetId="7">#REF!</definedName>
    <definedName name="____Ins3">#REF!</definedName>
    <definedName name="____NML9798" localSheetId="13">#REF!</definedName>
    <definedName name="____NML9798" localSheetId="7">#REF!</definedName>
    <definedName name="____NML9798">#REF!</definedName>
    <definedName name="____NML98" localSheetId="13">#REF!</definedName>
    <definedName name="____NML98" localSheetId="7">#REF!</definedName>
    <definedName name="____NML98">#REF!</definedName>
    <definedName name="____PEG1" localSheetId="13">#REF!</definedName>
    <definedName name="____PEG1" localSheetId="7">#REF!</definedName>
    <definedName name="____PEG1">#REF!</definedName>
    <definedName name="____RR1" localSheetId="13">#REF!</definedName>
    <definedName name="____RR1" localSheetId="7">#REF!</definedName>
    <definedName name="____RR1">#REF!</definedName>
    <definedName name="____SKY98" localSheetId="13">#REF!</definedName>
    <definedName name="____SKY98" localSheetId="7">#REF!</definedName>
    <definedName name="____SKY98">#REF!</definedName>
    <definedName name="___1Module2_.PRINT_BCCAM">#N/A</definedName>
    <definedName name="___7HILLS" localSheetId="13">#REF!</definedName>
    <definedName name="___7HILLS" localSheetId="9">#REF!</definedName>
    <definedName name="___7HILLS" localSheetId="8">#REF!</definedName>
    <definedName name="___7HILLS" localSheetId="7">#REF!</definedName>
    <definedName name="___7HILLS">#REF!</definedName>
    <definedName name="___Ins2" localSheetId="13">#REF!</definedName>
    <definedName name="___Ins2" localSheetId="9">#REF!</definedName>
    <definedName name="___Ins2" localSheetId="8">#REF!</definedName>
    <definedName name="___Ins2" localSheetId="7">#REF!</definedName>
    <definedName name="___Ins2">#REF!</definedName>
    <definedName name="___Ins3" localSheetId="13">#REF!</definedName>
    <definedName name="___Ins3" localSheetId="9">#REF!</definedName>
    <definedName name="___Ins3" localSheetId="8">#REF!</definedName>
    <definedName name="___Ins3" localSheetId="7">#REF!</definedName>
    <definedName name="___Ins3">#REF!</definedName>
    <definedName name="___MT1" localSheetId="13">#REF!</definedName>
    <definedName name="___MT1" localSheetId="7">#REF!</definedName>
    <definedName name="___MT1">#REF!</definedName>
    <definedName name="___MT2" localSheetId="13">#REF!</definedName>
    <definedName name="___MT2" localSheetId="7">#REF!</definedName>
    <definedName name="___MT2">#REF!</definedName>
    <definedName name="___MT3" localSheetId="13">#REF!</definedName>
    <definedName name="___MT3" localSheetId="7">#REF!</definedName>
    <definedName name="___MT3">#REF!</definedName>
    <definedName name="___NML9798" localSheetId="13">#REF!</definedName>
    <definedName name="___NML9798" localSheetId="7">#REF!</definedName>
    <definedName name="___NML9798">#REF!</definedName>
    <definedName name="___NML98" localSheetId="13">#REF!</definedName>
    <definedName name="___NML98" localSheetId="7">#REF!</definedName>
    <definedName name="___NML98">#REF!</definedName>
    <definedName name="___PEG1" localSheetId="13">#REF!</definedName>
    <definedName name="___PEG1" localSheetId="7">#REF!</definedName>
    <definedName name="___PEG1">#REF!</definedName>
    <definedName name="___RR1" localSheetId="13">#REF!</definedName>
    <definedName name="___RR1" localSheetId="7">#REF!</definedName>
    <definedName name="___RR1">#REF!</definedName>
    <definedName name="___SKY98" localSheetId="13">#REF!</definedName>
    <definedName name="___SKY98" localSheetId="7">#REF!</definedName>
    <definedName name="___SKY98">#REF!</definedName>
    <definedName name="__123Graph_A" hidden="1">[1]OCT!$B$13:$B$29</definedName>
    <definedName name="__123Graph_B" hidden="1">[1]OCT!$C$13:$C$29</definedName>
    <definedName name="__123Graph_C" hidden="1">[1]OCT!$D$13:$D$29</definedName>
    <definedName name="__123Graph_D" hidden="1">[1]OCT!$E$13:$E$29</definedName>
    <definedName name="__123Graph_E" hidden="1">[1]OCT!$F$13:$F$29</definedName>
    <definedName name="__123Graph_F" hidden="1">[1]OCT!$G$13:$G$29</definedName>
    <definedName name="__1Module2_.PRINT_BCCAM">#N/A</definedName>
    <definedName name="__2Module2_.PRINT_BCPR">#N/A</definedName>
    <definedName name="__3Module2_.PRINT_BCTAX">#N/A</definedName>
    <definedName name="__4Module2_.PRINT_HSUM">#N/A</definedName>
    <definedName name="__5_96100" localSheetId="13">#REF!</definedName>
    <definedName name="__5_96100" localSheetId="9">#REF!</definedName>
    <definedName name="__5_96100" localSheetId="8">#REF!</definedName>
    <definedName name="__5_96100" localSheetId="7">#REF!</definedName>
    <definedName name="__5_96100">#REF!</definedName>
    <definedName name="__7HILLS" localSheetId="13">#REF!</definedName>
    <definedName name="__7HILLS" localSheetId="9">#REF!</definedName>
    <definedName name="__7HILLS" localSheetId="8">#REF!</definedName>
    <definedName name="__7HILLS" localSheetId="7">#REF!</definedName>
    <definedName name="__7HILLS">#REF!</definedName>
    <definedName name="__96100" localSheetId="13">#REF!</definedName>
    <definedName name="__96100" localSheetId="9">#REF!</definedName>
    <definedName name="__96100" localSheetId="8">#REF!</definedName>
    <definedName name="__96100" localSheetId="7">#REF!</definedName>
    <definedName name="__96100">#REF!</definedName>
    <definedName name="__FDS_HYPERLINK_TOGGLE_STATE__" hidden="1">"ON"</definedName>
    <definedName name="__Ins2" localSheetId="13">#REF!</definedName>
    <definedName name="__Ins2" localSheetId="9">#REF!</definedName>
    <definedName name="__Ins2" localSheetId="8">#REF!</definedName>
    <definedName name="__Ins2" localSheetId="7">#REF!</definedName>
    <definedName name="__Ins2">#REF!</definedName>
    <definedName name="__Ins3" localSheetId="13">#REF!</definedName>
    <definedName name="__Ins3" localSheetId="9">#REF!</definedName>
    <definedName name="__Ins3" localSheetId="8">#REF!</definedName>
    <definedName name="__Ins3" localSheetId="7">#REF!</definedName>
    <definedName name="__Ins3">#REF!</definedName>
    <definedName name="__MT1" localSheetId="13">#REF!</definedName>
    <definedName name="__MT1" localSheetId="9">#REF!</definedName>
    <definedName name="__MT1" localSheetId="8">#REF!</definedName>
    <definedName name="__MT1" localSheetId="7">#REF!</definedName>
    <definedName name="__MT1">#REF!</definedName>
    <definedName name="__MT2" localSheetId="13">#REF!</definedName>
    <definedName name="__MT2" localSheetId="7">#REF!</definedName>
    <definedName name="__MT2">#REF!</definedName>
    <definedName name="__MT3" localSheetId="13">#REF!</definedName>
    <definedName name="__MT3" localSheetId="7">#REF!</definedName>
    <definedName name="__MT3">#REF!</definedName>
    <definedName name="__NML9798" localSheetId="13">#REF!</definedName>
    <definedName name="__NML9798" localSheetId="7">#REF!</definedName>
    <definedName name="__NML9798">#REF!</definedName>
    <definedName name="__NML98" localSheetId="13">#REF!</definedName>
    <definedName name="__NML98" localSheetId="7">#REF!</definedName>
    <definedName name="__NML98">#REF!</definedName>
    <definedName name="__PEG1" localSheetId="13">#REF!</definedName>
    <definedName name="__PEG1" localSheetId="7">#REF!</definedName>
    <definedName name="__PEG1">#REF!</definedName>
    <definedName name="__RR1" localSheetId="13">#REF!</definedName>
    <definedName name="__RR1" localSheetId="7">#REF!</definedName>
    <definedName name="__RR1">#REF!</definedName>
    <definedName name="__SKY98" localSheetId="13">#REF!</definedName>
    <definedName name="__SKY98" localSheetId="7">#REF!</definedName>
    <definedName name="__SKY98">#REF!</definedName>
    <definedName name="__soa202" localSheetId="13">#REF!</definedName>
    <definedName name="__soa202" localSheetId="7">#REF!</definedName>
    <definedName name="__soa202">#REF!</definedName>
    <definedName name="__soa207" localSheetId="13">#REF!</definedName>
    <definedName name="__soa207" localSheetId="7">#REF!</definedName>
    <definedName name="__soa207">#REF!</definedName>
    <definedName name="__soa231" localSheetId="13">#REF!</definedName>
    <definedName name="__soa231" localSheetId="7">#REF!</definedName>
    <definedName name="__soa231">#REF!</definedName>
    <definedName name="__soa236" localSheetId="13">#REF!</definedName>
    <definedName name="__soa236" localSheetId="7">#REF!</definedName>
    <definedName name="__soa236">#REF!</definedName>
    <definedName name="_10Module2_.PRINT_HSUM">#N/A</definedName>
    <definedName name="_1201T1" localSheetId="13">#REF!</definedName>
    <definedName name="_1201T1" localSheetId="9">#REF!</definedName>
    <definedName name="_1201T1" localSheetId="8">#REF!</definedName>
    <definedName name="_1201T1" localSheetId="7">#REF!</definedName>
    <definedName name="_1201T1">#REF!</definedName>
    <definedName name="_1202T1">#N/A</definedName>
    <definedName name="_1206T1" localSheetId="13">#REF!</definedName>
    <definedName name="_1206T1" localSheetId="9">#REF!</definedName>
    <definedName name="_1206T1" localSheetId="8">#REF!</definedName>
    <definedName name="_1206T1" localSheetId="7">#REF!</definedName>
    <definedName name="_1206T1">#REF!</definedName>
    <definedName name="_1207T1" localSheetId="13">#REF!</definedName>
    <definedName name="_1207T1" localSheetId="9">#REF!</definedName>
    <definedName name="_1207T1" localSheetId="8">#REF!</definedName>
    <definedName name="_1207T1" localSheetId="7">#REF!</definedName>
    <definedName name="_1207T1">#REF!</definedName>
    <definedName name="_1208T1" localSheetId="13">#REF!</definedName>
    <definedName name="_1208T1" localSheetId="9">#REF!</definedName>
    <definedName name="_1208T1" localSheetId="8">#REF!</definedName>
    <definedName name="_1208T1" localSheetId="7">#REF!</definedName>
    <definedName name="_1208T1">#REF!</definedName>
    <definedName name="_1210T1" localSheetId="13">#REF!</definedName>
    <definedName name="_1210T1" localSheetId="7">#REF!</definedName>
    <definedName name="_1210T1">#REF!</definedName>
    <definedName name="_1211T1" localSheetId="13">#REF!</definedName>
    <definedName name="_1211T1" localSheetId="7">#REF!</definedName>
    <definedName name="_1211T1">#REF!</definedName>
    <definedName name="_1216T1" localSheetId="13">#REF!</definedName>
    <definedName name="_1216T1" localSheetId="7">#REF!</definedName>
    <definedName name="_1216T1">#REF!</definedName>
    <definedName name="_1217T1" localSheetId="13">#REF!</definedName>
    <definedName name="_1217T1" localSheetId="7">#REF!</definedName>
    <definedName name="_1217T1">#REF!</definedName>
    <definedName name="_1218T1" localSheetId="13">#REF!</definedName>
    <definedName name="_1218T1" localSheetId="7">#REF!</definedName>
    <definedName name="_1218T1">#REF!</definedName>
    <definedName name="_1219T1" localSheetId="13">#REF!</definedName>
    <definedName name="_1219T1" localSheetId="7">#REF!</definedName>
    <definedName name="_1219T1">#REF!</definedName>
    <definedName name="_1220T1" localSheetId="13">#REF!</definedName>
    <definedName name="_1220T1" localSheetId="7">#REF!</definedName>
    <definedName name="_1220T1">#REF!</definedName>
    <definedName name="_1220T2" localSheetId="13">#REF!</definedName>
    <definedName name="_1220T2" localSheetId="7">#REF!</definedName>
    <definedName name="_1220T2">#REF!</definedName>
    <definedName name="_1221T1" localSheetId="13">#REF!</definedName>
    <definedName name="_1221T1" localSheetId="7">#REF!</definedName>
    <definedName name="_1221T1">#REF!</definedName>
    <definedName name="_1222T1" localSheetId="13">#REF!</definedName>
    <definedName name="_1222T1" localSheetId="7">#REF!</definedName>
    <definedName name="_1222T1">#REF!</definedName>
    <definedName name="_1223T1" localSheetId="13">#REF!</definedName>
    <definedName name="_1223T1" localSheetId="7">#REF!</definedName>
    <definedName name="_1223T1">#REF!</definedName>
    <definedName name="_1224T1" localSheetId="13">#REF!</definedName>
    <definedName name="_1224T1" localSheetId="7">#REF!</definedName>
    <definedName name="_1224T1">#REF!</definedName>
    <definedName name="_1226T2" localSheetId="13">#REF!</definedName>
    <definedName name="_1226T2" localSheetId="7">#REF!</definedName>
    <definedName name="_1226T2">#REF!</definedName>
    <definedName name="_1231T" localSheetId="13">#REF!</definedName>
    <definedName name="_1231T" localSheetId="7">#REF!</definedName>
    <definedName name="_1231T">#REF!</definedName>
    <definedName name="_1231T1" localSheetId="13">#REF!</definedName>
    <definedName name="_1231T1" localSheetId="7">#REF!</definedName>
    <definedName name="_1231T1">#REF!</definedName>
    <definedName name="_1233T1" localSheetId="13">#REF!</definedName>
    <definedName name="_1233T1" localSheetId="7">#REF!</definedName>
    <definedName name="_1233T1">#REF!</definedName>
    <definedName name="_1234T2" localSheetId="13">#REF!</definedName>
    <definedName name="_1234T2" localSheetId="7">#REF!</definedName>
    <definedName name="_1234T2">#REF!</definedName>
    <definedName name="_1235T1" localSheetId="13">#REF!</definedName>
    <definedName name="_1235T1" localSheetId="7">#REF!</definedName>
    <definedName name="_1235T1">#REF!</definedName>
    <definedName name="_1236T1" localSheetId="13">#REF!</definedName>
    <definedName name="_1236T1" localSheetId="7">#REF!</definedName>
    <definedName name="_1236T1">#REF!</definedName>
    <definedName name="_1238T1" localSheetId="13">#REF!</definedName>
    <definedName name="_1238T1" localSheetId="7">#REF!</definedName>
    <definedName name="_1238T1">#REF!</definedName>
    <definedName name="_1239T1" localSheetId="13">#REF!</definedName>
    <definedName name="_1239T1" localSheetId="7">#REF!</definedName>
    <definedName name="_1239T1">#REF!</definedName>
    <definedName name="_1239T3" localSheetId="13">#REF!</definedName>
    <definedName name="_1239T3" localSheetId="7">#REF!</definedName>
    <definedName name="_1239T3">#REF!</definedName>
    <definedName name="_1240T1" localSheetId="13">#REF!</definedName>
    <definedName name="_1240T1" localSheetId="7">#REF!</definedName>
    <definedName name="_1240T1">#REF!</definedName>
    <definedName name="_1248T3" localSheetId="13">#REF!</definedName>
    <definedName name="_1248T3" localSheetId="7">#REF!</definedName>
    <definedName name="_1248T3">#REF!</definedName>
    <definedName name="_1251T1" localSheetId="13">#REF!</definedName>
    <definedName name="_1251T1" localSheetId="7">#REF!</definedName>
    <definedName name="_1251T1">#REF!</definedName>
    <definedName name="_1251T2" localSheetId="13">#REF!</definedName>
    <definedName name="_1251T2" localSheetId="7">#REF!</definedName>
    <definedName name="_1251T2">#REF!</definedName>
    <definedName name="_1252T1" localSheetId="13">#REF!</definedName>
    <definedName name="_1252T1" localSheetId="7">#REF!</definedName>
    <definedName name="_1252T1">#REF!</definedName>
    <definedName name="_1252T2" localSheetId="13">#REF!</definedName>
    <definedName name="_1252T2" localSheetId="7">#REF!</definedName>
    <definedName name="_1252T2">#REF!</definedName>
    <definedName name="_1256T1" localSheetId="13">#REF!</definedName>
    <definedName name="_1256T1" localSheetId="7">#REF!</definedName>
    <definedName name="_1256T1">#REF!</definedName>
    <definedName name="_1257T1" localSheetId="13">#REF!</definedName>
    <definedName name="_1257T1" localSheetId="7">#REF!</definedName>
    <definedName name="_1257T1">#REF!</definedName>
    <definedName name="_1258T1" localSheetId="13">#REF!</definedName>
    <definedName name="_1258T1" localSheetId="7">#REF!</definedName>
    <definedName name="_1258T1">#REF!</definedName>
    <definedName name="_1260T1" localSheetId="13">#REF!</definedName>
    <definedName name="_1260T1" localSheetId="7">#REF!</definedName>
    <definedName name="_1260T1">#REF!</definedName>
    <definedName name="_1260T2" localSheetId="13">#REF!</definedName>
    <definedName name="_1260T2" localSheetId="7">#REF!</definedName>
    <definedName name="_1260T2">#REF!</definedName>
    <definedName name="_1261T1" localSheetId="13">#REF!</definedName>
    <definedName name="_1261T1" localSheetId="7">#REF!</definedName>
    <definedName name="_1261T1">#REF!</definedName>
    <definedName name="_1262T1" localSheetId="13">#REF!</definedName>
    <definedName name="_1262T1" localSheetId="7">#REF!</definedName>
    <definedName name="_1262T1">#REF!</definedName>
    <definedName name="_1264T1" localSheetId="13">#REF!</definedName>
    <definedName name="_1264T1" localSheetId="7">#REF!</definedName>
    <definedName name="_1264T1">#REF!</definedName>
    <definedName name="_1265T1" localSheetId="13">#REF!</definedName>
    <definedName name="_1265T1" localSheetId="7">#REF!</definedName>
    <definedName name="_1265T1">#REF!</definedName>
    <definedName name="_1268T2" localSheetId="13">#REF!</definedName>
    <definedName name="_1268T2" localSheetId="7">#REF!</definedName>
    <definedName name="_1268T2">#REF!</definedName>
    <definedName name="_1273T1" localSheetId="13">#REF!</definedName>
    <definedName name="_1273T1" localSheetId="7">#REF!</definedName>
    <definedName name="_1273T1">#REF!</definedName>
    <definedName name="_1276T1" localSheetId="13">#REF!</definedName>
    <definedName name="_1276T1" localSheetId="7">#REF!</definedName>
    <definedName name="_1276T1">#REF!</definedName>
    <definedName name="_1280T1" localSheetId="13">#REF!</definedName>
    <definedName name="_1280T1" localSheetId="7">#REF!</definedName>
    <definedName name="_1280T1">#REF!</definedName>
    <definedName name="_1281T1" localSheetId="13">#REF!</definedName>
    <definedName name="_1281T1" localSheetId="7">#REF!</definedName>
    <definedName name="_1281T1">#REF!</definedName>
    <definedName name="_12Module2_.PRINT_HSUM">#N/A</definedName>
    <definedName name="_13_96100" localSheetId="13">#REF!</definedName>
    <definedName name="_13_96100" localSheetId="9">#REF!</definedName>
    <definedName name="_13_96100" localSheetId="8">#REF!</definedName>
    <definedName name="_13_96100" localSheetId="7">#REF!</definedName>
    <definedName name="_13_96100">#REF!</definedName>
    <definedName name="_1Module2_.PRINT_BCCAM">#N/A</definedName>
    <definedName name="_2" localSheetId="13">#REF!</definedName>
    <definedName name="_2" localSheetId="9">#REF!</definedName>
    <definedName name="_2" localSheetId="8">#REF!</definedName>
    <definedName name="_2" localSheetId="7">#REF!</definedName>
    <definedName name="_2">#REF!</definedName>
    <definedName name="_2002_B_C_BUDGET" localSheetId="13">#REF!</definedName>
    <definedName name="_2002_B_C_BUDGET" localSheetId="9">#REF!</definedName>
    <definedName name="_2002_B_C_BUDGET" localSheetId="8">#REF!</definedName>
    <definedName name="_2002_B_C_BUDGET" localSheetId="7">#REF!</definedName>
    <definedName name="_2002_B_C_BUDGET">#REF!</definedName>
    <definedName name="_2Module2_.PRINT_BCPR">#N/A</definedName>
    <definedName name="_3" localSheetId="13">#REF!</definedName>
    <definedName name="_3" localSheetId="9">#REF!</definedName>
    <definedName name="_3" localSheetId="8">#REF!</definedName>
    <definedName name="_3" localSheetId="7">#REF!</definedName>
    <definedName name="_3">#REF!</definedName>
    <definedName name="_3Module2_.PRINT_BCCAM">#N/A</definedName>
    <definedName name="_3Module2_.PRINT_BCTAX">#N/A</definedName>
    <definedName name="_4Module2_.PRINT_BCPR">#N/A</definedName>
    <definedName name="_4Module2_.PRINT_HSUM">#N/A</definedName>
    <definedName name="_5_96100" localSheetId="13">#REF!</definedName>
    <definedName name="_5_96100" localSheetId="9">#REF!</definedName>
    <definedName name="_5_96100" localSheetId="8">#REF!</definedName>
    <definedName name="_5_96100" localSheetId="7">#REF!</definedName>
    <definedName name="_5_96100">#REF!</definedName>
    <definedName name="_6Module2_.PRINT_BCPR">#N/A</definedName>
    <definedName name="_7HILLS" localSheetId="13">#REF!</definedName>
    <definedName name="_7HILLS" localSheetId="9">#REF!</definedName>
    <definedName name="_7HILLS" localSheetId="8">#REF!</definedName>
    <definedName name="_7HILLS" localSheetId="7">#REF!</definedName>
    <definedName name="_7HILLS">#REF!</definedName>
    <definedName name="_7Module2_.PRINT_BCTAX">#N/A</definedName>
    <definedName name="_96100" localSheetId="13">#REF!</definedName>
    <definedName name="_96100" localSheetId="9">#REF!</definedName>
    <definedName name="_96100" localSheetId="8">#REF!</definedName>
    <definedName name="_96100" localSheetId="7">#REF!</definedName>
    <definedName name="_96100">#REF!</definedName>
    <definedName name="_9Module2_.PRINT_BCTAX">#N/A</definedName>
    <definedName name="_Fill" localSheetId="13" hidden="1">#REF!</definedName>
    <definedName name="_Fill" localSheetId="9" hidden="1">#REF!</definedName>
    <definedName name="_Fill" localSheetId="8" hidden="1">#REF!</definedName>
    <definedName name="_Fill" localSheetId="7" hidden="1">#REF!</definedName>
    <definedName name="_Fill" hidden="1">#REF!</definedName>
    <definedName name="_xlnm._FilterDatabase" localSheetId="13" hidden="1">'Combined - vErik'!$A$19:$L$364</definedName>
    <definedName name="_xlnm._FilterDatabase" localSheetId="6" hidden="1">Comparison!$E$10:$E$310</definedName>
    <definedName name="_xlnm._FilterDatabase" localSheetId="2" hidden="1">'Comparison - Level 3'!$E$10:$E$310</definedName>
    <definedName name="_xlnm._FilterDatabase" localSheetId="9" hidden="1">#REF!</definedName>
    <definedName name="_xlnm._FilterDatabase" localSheetId="12" hidden="1">'LEVEL 1.1 BUDGET'!$A$1:$V$358</definedName>
    <definedName name="_xlnm._FilterDatabase" localSheetId="11" hidden="1">'LEVEL 1.2 BUDGET'!$B$13:$K$316</definedName>
    <definedName name="_xlnm._FilterDatabase" localSheetId="5" hidden="1">'LEVEL 2'!$B$13:$K$317</definedName>
    <definedName name="_xlnm._FilterDatabase" localSheetId="3" hidden="1">'LEVEL 2.1'!$B$13:$K$317</definedName>
    <definedName name="_xlnm._FilterDatabase" localSheetId="1" hidden="1">'LEVEL 3'!$B$13:$K$317</definedName>
    <definedName name="_xlnm._FilterDatabase" localSheetId="8" hidden="1">'Unit Pricing Comparison'!$A$2:$F$29</definedName>
    <definedName name="_xlnm._FilterDatabase" localSheetId="7" hidden="1">#REF!</definedName>
    <definedName name="_xlnm._FilterDatabase" hidden="1">#REF!</definedName>
    <definedName name="_Ins2" localSheetId="13">#REF!</definedName>
    <definedName name="_Ins2" localSheetId="9">#REF!</definedName>
    <definedName name="_Ins2" localSheetId="8">#REF!</definedName>
    <definedName name="_Ins2" localSheetId="7">#REF!</definedName>
    <definedName name="_Ins2">#REF!</definedName>
    <definedName name="_Ins3" localSheetId="13">#REF!</definedName>
    <definedName name="_Ins3" localSheetId="8">#REF!</definedName>
    <definedName name="_Ins3" localSheetId="7">#REF!</definedName>
    <definedName name="_Ins3">#REF!</definedName>
    <definedName name="_Key1" localSheetId="13" hidden="1">#REF!</definedName>
    <definedName name="_Key1" localSheetId="7" hidden="1">#REF!</definedName>
    <definedName name="_Key1" hidden="1">#REF!</definedName>
    <definedName name="_Key2" localSheetId="13" hidden="1">#REF!</definedName>
    <definedName name="_Key2" localSheetId="7" hidden="1">#REF!</definedName>
    <definedName name="_Key2" hidden="1">#REF!</definedName>
    <definedName name="_MT1" localSheetId="13">#REF!</definedName>
    <definedName name="_MT1" localSheetId="7">#REF!</definedName>
    <definedName name="_MT1">#REF!</definedName>
    <definedName name="_MT2" localSheetId="13">#REF!</definedName>
    <definedName name="_MT2" localSheetId="7">#REF!</definedName>
    <definedName name="_MT2">#REF!</definedName>
    <definedName name="_MT3" localSheetId="13">#REF!</definedName>
    <definedName name="_MT3" localSheetId="7">#REF!</definedName>
    <definedName name="_MT3">#REF!</definedName>
    <definedName name="_NML9798" localSheetId="13">#REF!</definedName>
    <definedName name="_NML9798" localSheetId="7">#REF!</definedName>
    <definedName name="_NML9798">#REF!</definedName>
    <definedName name="_NML98" localSheetId="13">#REF!</definedName>
    <definedName name="_NML98" localSheetId="7">#REF!</definedName>
    <definedName name="_NML98">#REF!</definedName>
    <definedName name="_Order1" hidden="1">255</definedName>
    <definedName name="_Order2" hidden="1">0</definedName>
    <definedName name="_PEG1" localSheetId="13">#REF!</definedName>
    <definedName name="_PEG1" localSheetId="7">#REF!</definedName>
    <definedName name="_PEG1">#REF!</definedName>
    <definedName name="_PR1" localSheetId="13">#REF!</definedName>
    <definedName name="_PR1" localSheetId="7">#REF!</definedName>
    <definedName name="_PR1">#REF!</definedName>
    <definedName name="_pr2" localSheetId="13">#REF!</definedName>
    <definedName name="_pr2" localSheetId="7">#REF!</definedName>
    <definedName name="_pr2">#REF!</definedName>
    <definedName name="_Regression_X" hidden="1">'[2]5CM95'!#REF!</definedName>
    <definedName name="_RR1" localSheetId="13">#REF!</definedName>
    <definedName name="_RR1" localSheetId="9">#REF!</definedName>
    <definedName name="_RR1" localSheetId="8">#REF!</definedName>
    <definedName name="_RR1" localSheetId="7">#REF!</definedName>
    <definedName name="_RR1">#REF!</definedName>
    <definedName name="_SKY98" localSheetId="13">#REF!</definedName>
    <definedName name="_SKY98" localSheetId="8">#REF!</definedName>
    <definedName name="_SKY98" localSheetId="7">#REF!</definedName>
    <definedName name="_SKY98">#REF!</definedName>
    <definedName name="_Sort" localSheetId="13" hidden="1">#REF!</definedName>
    <definedName name="_Sort" localSheetId="8" hidden="1">#REF!</definedName>
    <definedName name="_Sort" localSheetId="7" hidden="1">#REF!</definedName>
    <definedName name="_Sort" hidden="1">#REF!</definedName>
    <definedName name="A" localSheetId="13">#REF!</definedName>
    <definedName name="A" localSheetId="7">#REF!</definedName>
    <definedName name="A">#REF!</definedName>
    <definedName name="A.G._EDWARDS" localSheetId="13">#REF!</definedName>
    <definedName name="A.G._EDWARDS" localSheetId="7">#REF!</definedName>
    <definedName name="A.G._EDWARDS">#REF!</definedName>
    <definedName name="aa" localSheetId="13">#REF!</definedName>
    <definedName name="aa" localSheetId="7">#REF!</definedName>
    <definedName name="aa">#REF!</definedName>
    <definedName name="aac" localSheetId="13">#REF!</definedName>
    <definedName name="aac" localSheetId="7">#REF!</definedName>
    <definedName name="aac">#REF!</definedName>
    <definedName name="Absorption">'[3]AVI-JV-PROFORMA'!#REF!</definedName>
    <definedName name="AbsorptionDataTablesDual" localSheetId="13">#REF!</definedName>
    <definedName name="AbsorptionDataTablesDual" localSheetId="9">#REF!</definedName>
    <definedName name="AbsorptionDataTablesDual" localSheetId="8">#REF!</definedName>
    <definedName name="AbsorptionDataTablesDual" localSheetId="7">#REF!</definedName>
    <definedName name="AbsorptionDataTablesDual">#REF!</definedName>
    <definedName name="AbsorptionDataTablesSingle" localSheetId="13">#REF!</definedName>
    <definedName name="AbsorptionDataTablesSingle" localSheetId="8">#REF!</definedName>
    <definedName name="AbsorptionDataTablesSingle" localSheetId="7">#REF!</definedName>
    <definedName name="AbsorptionDataTablesSingle">#REF!</definedName>
    <definedName name="AbsorptionForSingleTables" localSheetId="13">[4]Assumptions!#REF!</definedName>
    <definedName name="AbsorptionForSingleTables" localSheetId="8">[4]Assumptions!#REF!</definedName>
    <definedName name="AbsorptionForSingleTables">[4]Assumptions!#REF!</definedName>
    <definedName name="AbsorptionRangeResults" localSheetId="13">#REF!</definedName>
    <definedName name="AbsorptionRangeResults" localSheetId="9">#REF!</definedName>
    <definedName name="AbsorptionRangeResults" localSheetId="8">#REF!</definedName>
    <definedName name="AbsorptionRangeResults" localSheetId="7">#REF!</definedName>
    <definedName name="AbsorptionRangeResults">#REF!</definedName>
    <definedName name="AbsorptionTablesDual" localSheetId="13">[4]Assumptions!#REF!</definedName>
    <definedName name="AbsorptionTablesDual" localSheetId="9">[4]Assumptions!#REF!</definedName>
    <definedName name="AbsorptionTablesDual" localSheetId="8">[4]Assumptions!#REF!</definedName>
    <definedName name="AbsorptionTablesDual">[4]Assumptions!#REF!</definedName>
    <definedName name="AbsorptionTablesSingle" localSheetId="13">[4]Assumptions!#REF!</definedName>
    <definedName name="AbsorptionTablesSingle" localSheetId="8">[4]Assumptions!#REF!</definedName>
    <definedName name="AbsorptionTablesSingle">[4]Assumptions!#REF!</definedName>
    <definedName name="Absortion" localSheetId="13">'[5]AVI-JV-PROFORMA'!#REF!</definedName>
    <definedName name="Absortion" localSheetId="8">'[5]AVI-JV-PROFORMA'!#REF!</definedName>
    <definedName name="Absortion">'[5]AVI-JV-PROFORMA'!#REF!</definedName>
    <definedName name="accrdays" localSheetId="13">#REF!</definedName>
    <definedName name="accrdays" localSheetId="9">#REF!</definedName>
    <definedName name="accrdays" localSheetId="8">#REF!</definedName>
    <definedName name="accrdays" localSheetId="7">#REF!</definedName>
    <definedName name="accrdays">#REF!</definedName>
    <definedName name="accruals" localSheetId="13">#REF!</definedName>
    <definedName name="accruals" localSheetId="8">#REF!</definedName>
    <definedName name="accruals" localSheetId="7">#REF!</definedName>
    <definedName name="accruals">#REF!</definedName>
    <definedName name="acov" localSheetId="13">#REF!</definedName>
    <definedName name="acov" localSheetId="8">#REF!</definedName>
    <definedName name="acov" localSheetId="7">#REF!</definedName>
    <definedName name="acov">#REF!</definedName>
    <definedName name="actual_360_grossyield" localSheetId="13">#REF!</definedName>
    <definedName name="actual_360_grossyield" localSheetId="7">#REF!</definedName>
    <definedName name="actual_360_grossyield">#REF!</definedName>
    <definedName name="ACwvu.ALL." localSheetId="13" hidden="1">#REF!</definedName>
    <definedName name="ACwvu.ALL." localSheetId="7" hidden="1">#REF!</definedName>
    <definedName name="ACwvu.ALL." hidden="1">#REF!</definedName>
    <definedName name="ACwvu.CAM._.RATES." localSheetId="13" hidden="1">#REF!</definedName>
    <definedName name="ACwvu.CAM._.RATES." localSheetId="7" hidden="1">#REF!</definedName>
    <definedName name="ACwvu.CAM._.RATES." hidden="1">#REF!</definedName>
    <definedName name="ACwvu.CAM._.RECOVERIES." hidden="1">'[6]SCHEDULE B+C'!$BV$162</definedName>
    <definedName name="ACwvu.CAM._.RECOVERY." localSheetId="13" hidden="1">#REF!</definedName>
    <definedName name="ACwvu.CAM._.RECOVERY." localSheetId="9" hidden="1">#REF!</definedName>
    <definedName name="ACwvu.CAM._.RECOVERY." localSheetId="8" hidden="1">#REF!</definedName>
    <definedName name="ACwvu.CAM._.RECOVERY." localSheetId="7" hidden="1">#REF!</definedName>
    <definedName name="ACwvu.CAM._.RECOVERY." hidden="1">#REF!</definedName>
    <definedName name="ACwvu.CAM._.TABLE." hidden="1">'[6]SCHEDULE B+C'!$BW$210</definedName>
    <definedName name="ACwvu.INSURANCE._.RECOVERIES." hidden="1">'[6]SCHEDULE B+C'!$CY$159</definedName>
    <definedName name="ACwvu.LSMEET." localSheetId="13" hidden="1">#REF!</definedName>
    <definedName name="ACwvu.LSMEET." localSheetId="9" hidden="1">#REF!</definedName>
    <definedName name="ACwvu.LSMEET." localSheetId="8" hidden="1">#REF!</definedName>
    <definedName name="ACwvu.LSMEET." localSheetId="7" hidden="1">#REF!</definedName>
    <definedName name="ACwvu.LSMEET." hidden="1">#REF!</definedName>
    <definedName name="ACwvu.MARKETING._.REVENUE." localSheetId="13" hidden="1">#REF!</definedName>
    <definedName name="ACwvu.MARKETING._.REVENUE." localSheetId="8" hidden="1">#REF!</definedName>
    <definedName name="ACwvu.MARKETING._.REVENUE." localSheetId="7" hidden="1">#REF!</definedName>
    <definedName name="ACwvu.MARKETING._.REVENUE." hidden="1">#REF!</definedName>
    <definedName name="ACwvu.MINIMUM._.RENT." hidden="1">'[6]SCHEDULE B+C'!$A$1</definedName>
    <definedName name="ACwvu.OCCUPANCY." localSheetId="13" hidden="1">#REF!</definedName>
    <definedName name="ACwvu.OCCUPANCY." localSheetId="9" hidden="1">#REF!</definedName>
    <definedName name="ACwvu.OCCUPANCY." localSheetId="8" hidden="1">#REF!</definedName>
    <definedName name="ACwvu.OCCUPANCY." localSheetId="7" hidden="1">#REF!</definedName>
    <definedName name="ACwvu.OCCUPANCY." hidden="1">#REF!</definedName>
    <definedName name="ACwvu.OCCUPANCY._.ANALYSIS." hidden="1">'[6]SCHEDULE B+C'!$BI$168</definedName>
    <definedName name="ACwvu.PERCENTAGE._.RENT." hidden="1">'[6]SCHEDULE B+C'!$G$1:$G$65536</definedName>
    <definedName name="ACwvu.TAX._.RATES." localSheetId="13" hidden="1">#REF!</definedName>
    <definedName name="ACwvu.TAX._.RATES." localSheetId="9" hidden="1">#REF!</definedName>
    <definedName name="ACwvu.TAX._.RATES." localSheetId="8" hidden="1">#REF!</definedName>
    <definedName name="ACwvu.TAX._.RATES." localSheetId="7" hidden="1">#REF!</definedName>
    <definedName name="ACwvu.TAX._.RATES." hidden="1">#REF!</definedName>
    <definedName name="ACwvu.TAX._.RECOVERIES." hidden="1">'[6]SCHEDULE B+C'!$CK$167</definedName>
    <definedName name="ACwvu.TAX._.RECOVERY." localSheetId="13" hidden="1">#REF!</definedName>
    <definedName name="ACwvu.TAX._.RECOVERY." localSheetId="9" hidden="1">#REF!</definedName>
    <definedName name="ACwvu.TAX._.RECOVERY." localSheetId="8" hidden="1">#REF!</definedName>
    <definedName name="ACwvu.TAX._.RECOVERY." localSheetId="7" hidden="1">#REF!</definedName>
    <definedName name="ACwvu.TAX._.RECOVERY." hidden="1">#REF!</definedName>
    <definedName name="ACwvu.WAT." localSheetId="13" hidden="1">#REF!</definedName>
    <definedName name="ACwvu.WAT." localSheetId="8" hidden="1">#REF!</definedName>
    <definedName name="ACwvu.WAT." localSheetId="7" hidden="1">#REF!</definedName>
    <definedName name="ACwvu.WAT." hidden="1">#REF!</definedName>
    <definedName name="adfg" localSheetId="13">(VLOOKUP('Combined - vErik'!Grade_4,'Combined - vErik'!fnjh,2))</definedName>
    <definedName name="adfg" localSheetId="9">(VLOOKUP(Grade_4,fnjh,2))</definedName>
    <definedName name="adfg" localSheetId="8">(VLOOKUP(Grade_4,'Unit Pricing Comparison'!fnjh,2))</definedName>
    <definedName name="adfg" localSheetId="7">(VLOOKUP('What Changed'!Grade_4,'What Changed'!fnjh,2))</definedName>
    <definedName name="adfg">(VLOOKUP(Grade_4,fnjh,2))</definedName>
    <definedName name="ADJ" localSheetId="13">#REF!</definedName>
    <definedName name="ADJ" localSheetId="9">#REF!</definedName>
    <definedName name="ADJ" localSheetId="8">#REF!</definedName>
    <definedName name="ADJ" localSheetId="7">#REF!</definedName>
    <definedName name="ADJ">#REF!</definedName>
    <definedName name="ADJBF" localSheetId="13">#REF!</definedName>
    <definedName name="ADJBF" localSheetId="8">#REF!</definedName>
    <definedName name="ADJBF" localSheetId="7">#REF!</definedName>
    <definedName name="ADJBF">#REF!</definedName>
    <definedName name="Adjustable_term_1" localSheetId="13">#REF!</definedName>
    <definedName name="Adjustable_term_1" localSheetId="8">#REF!</definedName>
    <definedName name="Adjustable_term_1" localSheetId="7">#REF!</definedName>
    <definedName name="Adjustable_term_1">#REF!</definedName>
    <definedName name="Adjustable_term_2" localSheetId="13">#REF!</definedName>
    <definedName name="Adjustable_term_2" localSheetId="7">#REF!</definedName>
    <definedName name="Adjustable_term_2">#REF!</definedName>
    <definedName name="Adjustable_term_3" localSheetId="13">#REF!</definedName>
    <definedName name="Adjustable_term_3" localSheetId="7">#REF!</definedName>
    <definedName name="Adjustable_term_3">#REF!</definedName>
    <definedName name="Adjustable_term_4" localSheetId="13">#REF!</definedName>
    <definedName name="Adjustable_term_4" localSheetId="7">#REF!</definedName>
    <definedName name="Adjustable_term_4">#REF!</definedName>
    <definedName name="Adjustable_term_5" localSheetId="13">#REF!</definedName>
    <definedName name="Adjustable_term_5" localSheetId="7">#REF!</definedName>
    <definedName name="Adjustable_term_5">#REF!</definedName>
    <definedName name="Adjustable_term_6" localSheetId="13">#REF!</definedName>
    <definedName name="Adjustable_term_6" localSheetId="7">#REF!</definedName>
    <definedName name="Adjustable_term_6">#REF!</definedName>
    <definedName name="adjusted_grossyield_bond" localSheetId="13">#REF!</definedName>
    <definedName name="adjusted_grossyield_bond" localSheetId="7">#REF!</definedName>
    <definedName name="adjusted_grossyield_bond">#REF!</definedName>
    <definedName name="Adjusted_Spread_1" localSheetId="13">#REF!</definedName>
    <definedName name="Adjusted_Spread_1" localSheetId="7">#REF!</definedName>
    <definedName name="Adjusted_Spread_1">#REF!</definedName>
    <definedName name="Adjusted_Spread_2" localSheetId="13">#REF!</definedName>
    <definedName name="Adjusted_Spread_2" localSheetId="7">#REF!</definedName>
    <definedName name="Adjusted_Spread_2">#REF!</definedName>
    <definedName name="Adjusted_Spread_3" localSheetId="13">#REF!</definedName>
    <definedName name="Adjusted_Spread_3" localSheetId="7">#REF!</definedName>
    <definedName name="Adjusted_Spread_3">#REF!</definedName>
    <definedName name="Adjusted_Spread_4" localSheetId="13">#REF!</definedName>
    <definedName name="Adjusted_Spread_4" localSheetId="7">#REF!</definedName>
    <definedName name="Adjusted_Spread_4">#REF!</definedName>
    <definedName name="Adjusted_Spread_5" localSheetId="13">#REF!</definedName>
    <definedName name="Adjusted_Spread_5" localSheetId="7">#REF!</definedName>
    <definedName name="Adjusted_Spread_5">#REF!</definedName>
    <definedName name="Adjusted_Spread_6" localSheetId="13">#REF!</definedName>
    <definedName name="Adjusted_Spread_6" localSheetId="7">#REF!</definedName>
    <definedName name="Adjusted_Spread_6">#REF!</definedName>
    <definedName name="ADJVFP" localSheetId="13">#REF!</definedName>
    <definedName name="ADJVFP" localSheetId="7">#REF!</definedName>
    <definedName name="ADJVFP">#REF!</definedName>
    <definedName name="ADJWSP" localSheetId="13">#REF!</definedName>
    <definedName name="ADJWSP" localSheetId="7">#REF!</definedName>
    <definedName name="ADJWSP">#REF!</definedName>
    <definedName name="AdminServices_Gross" localSheetId="13">#REF!</definedName>
    <definedName name="AdminServices_Gross" localSheetId="7">#REF!</definedName>
    <definedName name="AdminServices_Gross">#REF!</definedName>
    <definedName name="Advance_Arrears_1" localSheetId="13">#REF!</definedName>
    <definedName name="Advance_Arrears_1" localSheetId="7">#REF!</definedName>
    <definedName name="Advance_Arrears_1">#REF!</definedName>
    <definedName name="Advance_Arrears_2" localSheetId="13">#REF!</definedName>
    <definedName name="Advance_Arrears_2" localSheetId="7">#REF!</definedName>
    <definedName name="Advance_Arrears_2">#REF!</definedName>
    <definedName name="Advance_Arrears_3" localSheetId="13">#REF!</definedName>
    <definedName name="Advance_Arrears_3" localSheetId="7">#REF!</definedName>
    <definedName name="Advance_Arrears_3">#REF!</definedName>
    <definedName name="Advance_Arrears_4" localSheetId="13">#REF!</definedName>
    <definedName name="Advance_Arrears_4" localSheetId="7">#REF!</definedName>
    <definedName name="Advance_Arrears_4">#REF!</definedName>
    <definedName name="Advance_Arrears_5" localSheetId="13">#REF!</definedName>
    <definedName name="Advance_Arrears_5" localSheetId="7">#REF!</definedName>
    <definedName name="Advance_Arrears_5">#REF!</definedName>
    <definedName name="Advance_Arrears_6" localSheetId="13">#REF!</definedName>
    <definedName name="Advance_Arrears_6" localSheetId="7">#REF!</definedName>
    <definedName name="Advance_Arrears_6">#REF!</definedName>
    <definedName name="AEstDS">[7]AMORT!$M$6</definedName>
    <definedName name="aexpense">'[8]PRO FORMA'!#REF!</definedName>
    <definedName name="After_Tax_Cost_of_Equity" localSheetId="13">#REF!</definedName>
    <definedName name="After_Tax_Cost_of_Equity" localSheetId="9">#REF!</definedName>
    <definedName name="After_Tax_Cost_of_Equity" localSheetId="8">#REF!</definedName>
    <definedName name="After_Tax_Cost_of_Equity" localSheetId="7">#REF!</definedName>
    <definedName name="After_Tax_Cost_of_Equity">#REF!</definedName>
    <definedName name="ag" localSheetId="13">(VLOOKUP('Combined - vErik'!Grade_5,'Combined - vErik'!fnjh,2))</definedName>
    <definedName name="ag" localSheetId="9">(VLOOKUP(Grade_5,fnjh,2))</definedName>
    <definedName name="ag" localSheetId="8">(VLOOKUP(Grade_5,'Unit Pricing Comparison'!fnjh,2))</definedName>
    <definedName name="ag" localSheetId="7">(VLOOKUP('What Changed'!Grade_5,'What Changed'!fnjh,2))</definedName>
    <definedName name="ag">(VLOOKUP(Grade_5,fnjh,2))</definedName>
    <definedName name="agea" localSheetId="13">#REF!</definedName>
    <definedName name="agea" localSheetId="9">#REF!</definedName>
    <definedName name="agea" localSheetId="8">#REF!</definedName>
    <definedName name="agea" localSheetId="7">#REF!</definedName>
    <definedName name="agea">#REF!</definedName>
    <definedName name="agha" localSheetId="13">#REF!</definedName>
    <definedName name="agha" localSheetId="8">#REF!</definedName>
    <definedName name="agha" localSheetId="7">#REF!</definedName>
    <definedName name="agha">#REF!</definedName>
    <definedName name="ALL">[9]A!$A$1:$Q$241</definedName>
    <definedName name="AllNewRepriced_OverUnderTarget" localSheetId="13">#REF!</definedName>
    <definedName name="AllNewRepriced_OverUnderTarget" localSheetId="9">#REF!</definedName>
    <definedName name="AllNewRepriced_OverUnderTarget" localSheetId="8">#REF!</definedName>
    <definedName name="AllNewRepriced_OverUnderTarget" localSheetId="7">#REF!</definedName>
    <definedName name="AllNewRepriced_OverUnderTarget">#REF!</definedName>
    <definedName name="AllNewRepricedCredits_ROA" localSheetId="13">#REF!</definedName>
    <definedName name="AllNewRepricedCredits_ROA" localSheetId="8">#REF!</definedName>
    <definedName name="AllNewRepricedCredits_ROA" localSheetId="7">#REF!</definedName>
    <definedName name="AllNewRepricedCredits_ROA">#REF!</definedName>
    <definedName name="AllNewRepricedCredits_ROE" localSheetId="13">#REF!</definedName>
    <definedName name="AllNewRepricedCredits_ROE" localSheetId="8">#REF!</definedName>
    <definedName name="AllNewRepricedCredits_ROE" localSheetId="7">#REF!</definedName>
    <definedName name="AllNewRepricedCredits_ROE">#REF!</definedName>
    <definedName name="alloc" localSheetId="13">#REF!</definedName>
    <definedName name="alloc" localSheetId="7">#REF!</definedName>
    <definedName name="alloc">#REF!</definedName>
    <definedName name="Alloc._Check" localSheetId="13">#REF!</definedName>
    <definedName name="Alloc._Check" localSheetId="7">#REF!</definedName>
    <definedName name="Alloc._Check">#REF!</definedName>
    <definedName name="Alloc_Lookup_1" localSheetId="13">(VLOOKUP('Combined - vErik'!Grade_1,'Combined - vErik'!AllocTable,2))</definedName>
    <definedName name="Alloc_Lookup_1" localSheetId="9">(VLOOKUP(Grade_1,'Division Comparison'!AllocTable,2))</definedName>
    <definedName name="Alloc_Lookup_1" localSheetId="8">(VLOOKUP('Unit Pricing Comparison'!Grade_1,'Unit Pricing Comparison'!AllocTable,2))</definedName>
    <definedName name="Alloc_Lookup_1" localSheetId="7">(VLOOKUP('What Changed'!Grade_1,'What Changed'!AllocTable,2))</definedName>
    <definedName name="Alloc_Lookup_1">(VLOOKUP(Grade_1,AllocTable,2))</definedName>
    <definedName name="Alloc_Lookup_2" localSheetId="13">(VLOOKUP('Combined - vErik'!Grade_2,'Combined - vErik'!AllocTable,2))</definedName>
    <definedName name="Alloc_Lookup_2" localSheetId="9">(VLOOKUP(Grade_2,'Division Comparison'!AllocTable,2))</definedName>
    <definedName name="Alloc_Lookup_2" localSheetId="8">(VLOOKUP('Unit Pricing Comparison'!Grade_2,'Unit Pricing Comparison'!AllocTable,2))</definedName>
    <definedName name="Alloc_Lookup_2" localSheetId="7">(VLOOKUP('What Changed'!Grade_2,'What Changed'!AllocTable,2))</definedName>
    <definedName name="Alloc_Lookup_2">(VLOOKUP(Grade_2,AllocTable,2))</definedName>
    <definedName name="Alloc_Lookup_3" localSheetId="13">(VLOOKUP('Combined - vErik'!Grade_3,'Combined - vErik'!AllocTable,2))</definedName>
    <definedName name="Alloc_Lookup_3" localSheetId="9">(VLOOKUP(Grade_3,'Division Comparison'!AllocTable,2))</definedName>
    <definedName name="Alloc_Lookup_3" localSheetId="8">(VLOOKUP(Grade_3,'Unit Pricing Comparison'!AllocTable,2))</definedName>
    <definedName name="Alloc_Lookup_3" localSheetId="7">(VLOOKUP('What Changed'!Grade_3,'What Changed'!AllocTable,2))</definedName>
    <definedName name="Alloc_Lookup_3">(VLOOKUP(Grade_3,AllocTable,2))</definedName>
    <definedName name="Alloc_Lookup_4" localSheetId="13">(VLOOKUP('Combined - vErik'!Grade_4,'Combined - vErik'!AllocTable,2))</definedName>
    <definedName name="Alloc_Lookup_4" localSheetId="9">(VLOOKUP(Grade_4,'Division Comparison'!AllocTable,2))</definedName>
    <definedName name="Alloc_Lookup_4" localSheetId="8">(VLOOKUP(Grade_4,'Unit Pricing Comparison'!AllocTable,2))</definedName>
    <definedName name="Alloc_Lookup_4" localSheetId="7">(VLOOKUP('What Changed'!Grade_4,'What Changed'!AllocTable,2))</definedName>
    <definedName name="Alloc_Lookup_4">(VLOOKUP(Grade_4,AllocTable,2))</definedName>
    <definedName name="Alloc_Lookup_5" localSheetId="13">(VLOOKUP('Combined - vErik'!Grade_5,'Combined - vErik'!AllocTable,2))</definedName>
    <definedName name="Alloc_Lookup_5" localSheetId="9">(VLOOKUP(Grade_5,'Division Comparison'!AllocTable,2))</definedName>
    <definedName name="Alloc_Lookup_5" localSheetId="8">(VLOOKUP(Grade_5,'Unit Pricing Comparison'!AllocTable,2))</definedName>
    <definedName name="Alloc_Lookup_5" localSheetId="7">(VLOOKUP('What Changed'!Grade_5,'What Changed'!AllocTable,2))</definedName>
    <definedName name="Alloc_Lookup_5">(VLOOKUP(Grade_5,AllocTable,2))</definedName>
    <definedName name="Alloc_Lookup_6" localSheetId="13">(VLOOKUP('Combined - vErik'!Grade_6,'Combined - vErik'!AllocTable,2))</definedName>
    <definedName name="Alloc_Lookup_6" localSheetId="9">(VLOOKUP(Grade_6,'Division Comparison'!AllocTable,2))</definedName>
    <definedName name="Alloc_Lookup_6" localSheetId="8">(VLOOKUP(Grade_6,'Unit Pricing Comparison'!AllocTable,2))</definedName>
    <definedName name="Alloc_Lookup_6" localSheetId="7">(VLOOKUP('What Changed'!Grade_6,'What Changed'!AllocTable,2))</definedName>
    <definedName name="Alloc_Lookup_6">(VLOOKUP(Grade_6,AllocTable,2))</definedName>
    <definedName name="AllocTable" localSheetId="13">#REF!</definedName>
    <definedName name="AllocTable" localSheetId="9">#REF!</definedName>
    <definedName name="AllocTable" localSheetId="8">#REF!</definedName>
    <definedName name="AllocTable" localSheetId="7">#REF!</definedName>
    <definedName name="AllocTable">#REF!</definedName>
    <definedName name="AllOtherCont" localSheetId="13">[10]Assumptions!#REF!</definedName>
    <definedName name="AllOtherCont" localSheetId="9">[10]Assumptions!#REF!</definedName>
    <definedName name="AllOtherCont" localSheetId="8">[10]Assumptions!#REF!</definedName>
    <definedName name="AllOtherCont">[10]Assumptions!#REF!</definedName>
    <definedName name="ALLSTATT" localSheetId="13">#REF!</definedName>
    <definedName name="ALLSTATT" localSheetId="9">#REF!</definedName>
    <definedName name="ALLSTATT" localSheetId="8">#REF!</definedName>
    <definedName name="ALLSTATT" localSheetId="7">#REF!</definedName>
    <definedName name="ALLSTATT">#REF!</definedName>
    <definedName name="ALX2003A">'[11]CFALX 2003A Consol'!$A$1</definedName>
    <definedName name="ambac" localSheetId="13">#REF!</definedName>
    <definedName name="ambac" localSheetId="9">#REF!</definedName>
    <definedName name="ambac" localSheetId="8">#REF!</definedName>
    <definedName name="ambac" localSheetId="7">#REF!</definedName>
    <definedName name="ambac">#REF!</definedName>
    <definedName name="Amort">[12]Proforma!$G$32</definedName>
    <definedName name="Amort_Actual" localSheetId="13">#REF!</definedName>
    <definedName name="Amort_Actual" localSheetId="9">#REF!</definedName>
    <definedName name="Amort_Actual" localSheetId="8">#REF!</definedName>
    <definedName name="Amort_Actual" localSheetId="7">#REF!</definedName>
    <definedName name="Amort_Actual">#REF!</definedName>
    <definedName name="amorta" localSheetId="13">#REF!</definedName>
    <definedName name="amorta" localSheetId="8">#REF!</definedName>
    <definedName name="amorta" localSheetId="7">#REF!</definedName>
    <definedName name="amorta">#REF!</definedName>
    <definedName name="Amortization_1" localSheetId="13">#REF!</definedName>
    <definedName name="Amortization_1" localSheetId="8">#REF!</definedName>
    <definedName name="Amortization_1" localSheetId="7">#REF!</definedName>
    <definedName name="Amortization_1">#REF!</definedName>
    <definedName name="Amortization_1D" localSheetId="13">#REF!</definedName>
    <definedName name="Amortization_1D" localSheetId="7">#REF!</definedName>
    <definedName name="Amortization_1D">#REF!</definedName>
    <definedName name="Amortization_2" localSheetId="13">#REF!</definedName>
    <definedName name="Amortization_2" localSheetId="7">#REF!</definedName>
    <definedName name="Amortization_2">#REF!</definedName>
    <definedName name="Amortization_2D" localSheetId="13">#REF!</definedName>
    <definedName name="Amortization_2D" localSheetId="7">#REF!</definedName>
    <definedName name="Amortization_2D">#REF!</definedName>
    <definedName name="Amortization_3" localSheetId="13">#REF!</definedName>
    <definedName name="Amortization_3" localSheetId="7">#REF!</definedName>
    <definedName name="Amortization_3">#REF!</definedName>
    <definedName name="Amortization_3D" localSheetId="13">#REF!</definedName>
    <definedName name="Amortization_3D" localSheetId="7">#REF!</definedName>
    <definedName name="Amortization_3D">#REF!</definedName>
    <definedName name="Amortization_4" localSheetId="13">#REF!</definedName>
    <definedName name="Amortization_4" localSheetId="7">#REF!</definedName>
    <definedName name="Amortization_4">#REF!</definedName>
    <definedName name="Amortization_4D" localSheetId="13">#REF!</definedName>
    <definedName name="Amortization_4D" localSheetId="7">#REF!</definedName>
    <definedName name="Amortization_4D">#REF!</definedName>
    <definedName name="Amortization_5" localSheetId="13">#REF!</definedName>
    <definedName name="Amortization_5" localSheetId="7">#REF!</definedName>
    <definedName name="Amortization_5">#REF!</definedName>
    <definedName name="Amortization_5D" localSheetId="13">#REF!</definedName>
    <definedName name="Amortization_5D" localSheetId="7">#REF!</definedName>
    <definedName name="Amortization_5D">#REF!</definedName>
    <definedName name="Amortization_6" localSheetId="13">#REF!</definedName>
    <definedName name="Amortization_6" localSheetId="7">#REF!</definedName>
    <definedName name="Amortization_6">#REF!</definedName>
    <definedName name="Amortization_6D" localSheetId="13">#REF!</definedName>
    <definedName name="Amortization_6D" localSheetId="7">#REF!</definedName>
    <definedName name="Amortization_6D">#REF!</definedName>
    <definedName name="AMOUNT" localSheetId="13">#REF!</definedName>
    <definedName name="AMOUNT" localSheetId="7">#REF!</definedName>
    <definedName name="AMOUNT">#REF!</definedName>
    <definedName name="AMT_DEBT_SERVICE" localSheetId="13">#REF!</definedName>
    <definedName name="AMT_DEBT_SERVICE" localSheetId="7">#REF!</definedName>
    <definedName name="AMT_DEBT_SERVICE">#REF!</definedName>
    <definedName name="AnalysisStartDate">[13]Assumptions!$C$17</definedName>
    <definedName name="Anlzd_Months" localSheetId="13">#REF!</definedName>
    <definedName name="Anlzd_Months" localSheetId="9">#REF!</definedName>
    <definedName name="Anlzd_Months" localSheetId="8">#REF!</definedName>
    <definedName name="Anlzd_Months" localSheetId="7">#REF!</definedName>
    <definedName name="Anlzd_Months">#REF!</definedName>
    <definedName name="ANN_INC_IN_EXPENSES" localSheetId="13">'[3]AVI-JV-PROFORMA'!#REF!</definedName>
    <definedName name="ANN_INC_IN_EXPENSES" localSheetId="9">'[3]AVI-JV-PROFORMA'!#REF!</definedName>
    <definedName name="ANN_INC_IN_EXPENSES" localSheetId="8">'[3]AVI-JV-PROFORMA'!#REF!</definedName>
    <definedName name="ANN_INC_IN_EXPENSES">'[3]AVI-JV-PROFORMA'!#REF!</definedName>
    <definedName name="ANN_INC_IN_RENT" localSheetId="13">#REF!</definedName>
    <definedName name="ANN_INC_IN_RENT" localSheetId="9">#REF!</definedName>
    <definedName name="ANN_INC_IN_RENT" localSheetId="8">#REF!</definedName>
    <definedName name="ANN_INC_IN_RENT" localSheetId="7">#REF!</definedName>
    <definedName name="ANN_INC_IN_RENT">#REF!</definedName>
    <definedName name="Annual_interest_rate" localSheetId="13">#REF!</definedName>
    <definedName name="Annual_interest_rate" localSheetId="8">#REF!</definedName>
    <definedName name="Annual_interest_rate" localSheetId="7">#REF!</definedName>
    <definedName name="Annual_interest_rate">#REF!</definedName>
    <definedName name="AnnualFees_1" localSheetId="13">#REF!</definedName>
    <definedName name="AnnualFees_1" localSheetId="8">#REF!</definedName>
    <definedName name="AnnualFees_1" localSheetId="7">#REF!</definedName>
    <definedName name="AnnualFees_1">#REF!</definedName>
    <definedName name="AnnualFees_2" localSheetId="13">#REF!</definedName>
    <definedName name="AnnualFees_2" localSheetId="7">#REF!</definedName>
    <definedName name="AnnualFees_2">#REF!</definedName>
    <definedName name="AnnualFees_3" localSheetId="13">#REF!</definedName>
    <definedName name="AnnualFees_3" localSheetId="7">#REF!</definedName>
    <definedName name="AnnualFees_3">#REF!</definedName>
    <definedName name="AnnualFees_4" localSheetId="13">#REF!</definedName>
    <definedName name="AnnualFees_4" localSheetId="7">#REF!</definedName>
    <definedName name="AnnualFees_4">#REF!</definedName>
    <definedName name="AnnualFees_5" localSheetId="13">#REF!</definedName>
    <definedName name="AnnualFees_5" localSheetId="7">#REF!</definedName>
    <definedName name="AnnualFees_5">#REF!</definedName>
    <definedName name="AnnualFees_6" localSheetId="13">#REF!</definedName>
    <definedName name="AnnualFees_6" localSheetId="7">#REF!</definedName>
    <definedName name="AnnualFees_6">#REF!</definedName>
    <definedName name="annualpayment">'[14]Loan Information'!$C$44</definedName>
    <definedName name="AnnualPermPmt">'[15]amr sch'!$J$4</definedName>
    <definedName name="Anoigrowth" localSheetId="13">#REF!</definedName>
    <definedName name="Anoigrowth" localSheetId="9">#REF!</definedName>
    <definedName name="Anoigrowth" localSheetId="8">#REF!</definedName>
    <definedName name="Anoigrowth" localSheetId="7">#REF!</definedName>
    <definedName name="Anoigrowth">#REF!</definedName>
    <definedName name="apn">[15]Assumptions!$C$9</definedName>
    <definedName name="APPicture">INDIRECT('[16]Source Data'!$J$9)</definedName>
    <definedName name="apple" localSheetId="13">#REF!</definedName>
    <definedName name="apple" localSheetId="9">#REF!</definedName>
    <definedName name="apple" localSheetId="8">#REF!</definedName>
    <definedName name="apple" localSheetId="7">#REF!</definedName>
    <definedName name="apple">#REF!</definedName>
    <definedName name="applicationfee" localSheetId="13">#REF!</definedName>
    <definedName name="applicationfee" localSheetId="9">#REF!</definedName>
    <definedName name="applicationfee" localSheetId="8">#REF!</definedName>
    <definedName name="applicationfee" localSheetId="7">#REF!</definedName>
    <definedName name="applicationfee">#REF!</definedName>
    <definedName name="applicationfeecheck" localSheetId="13">#REF!</definedName>
    <definedName name="applicationfeecheck" localSheetId="7">#REF!</definedName>
    <definedName name="applicationfeecheck">#REF!</definedName>
    <definedName name="applicationfeeLC" localSheetId="13">#REF!</definedName>
    <definedName name="applicationfeeLC" localSheetId="7">#REF!</definedName>
    <definedName name="applicationfeeLC">#REF!</definedName>
    <definedName name="applicatoinfeewired" localSheetId="13">#REF!</definedName>
    <definedName name="applicatoinfeewired" localSheetId="7">#REF!</definedName>
    <definedName name="applicatoinfeewired">#REF!</definedName>
    <definedName name="AppraisalEGI" localSheetId="13">#REF!</definedName>
    <definedName name="AppraisalEGI" localSheetId="7">#REF!</definedName>
    <definedName name="AppraisalEGI">#REF!</definedName>
    <definedName name="appraised" localSheetId="13">#REF!</definedName>
    <definedName name="appraised" localSheetId="7">#REF!</definedName>
    <definedName name="appraised">#REF!</definedName>
    <definedName name="april">#N/A</definedName>
    <definedName name="area1" localSheetId="13">#REF!</definedName>
    <definedName name="area1" localSheetId="9">#REF!</definedName>
    <definedName name="area1" localSheetId="8">#REF!</definedName>
    <definedName name="area1" localSheetId="7">#REF!</definedName>
    <definedName name="area1">#REF!</definedName>
    <definedName name="arggg" localSheetId="13">#REF!</definedName>
    <definedName name="arggg" localSheetId="9">#REF!</definedName>
    <definedName name="arggg" localSheetId="8">#REF!</definedName>
    <definedName name="arggg" localSheetId="7">#REF!</definedName>
    <definedName name="arggg">#REF!</definedName>
    <definedName name="ARPicture">INDIRECT('[16]Source Data'!$J$10)</definedName>
    <definedName name="asd" localSheetId="13">#REF!</definedName>
    <definedName name="asd" localSheetId="9">#REF!</definedName>
    <definedName name="asd" localSheetId="8">#REF!</definedName>
    <definedName name="asd" localSheetId="7">#REF!</definedName>
    <definedName name="asd">#REF!</definedName>
    <definedName name="AssDualTable12" localSheetId="13">[4]Assumptions!#REF!</definedName>
    <definedName name="AssDualTable12" localSheetId="9">[4]Assumptions!#REF!</definedName>
    <definedName name="AssDualTable12" localSheetId="8">[4]Assumptions!#REF!</definedName>
    <definedName name="AssDualTable12">[4]Assumptions!#REF!</definedName>
    <definedName name="AssDualTable12Cells" localSheetId="13">[4]Assumptions!#REF!</definedName>
    <definedName name="AssDualTable12Cells" localSheetId="9">[4]Assumptions!#REF!</definedName>
    <definedName name="AssDualTable12Cells" localSheetId="8">[4]Assumptions!#REF!</definedName>
    <definedName name="AssDualTable12Cells">[4]Assumptions!#REF!</definedName>
    <definedName name="AssDualTable13" localSheetId="13">[4]Assumptions!#REF!</definedName>
    <definedName name="AssDualTable13" localSheetId="8">[4]Assumptions!#REF!</definedName>
    <definedName name="AssDualTable13">[4]Assumptions!#REF!</definedName>
    <definedName name="AssDualTable14" localSheetId="13">[4]Assumptions!#REF!</definedName>
    <definedName name="AssDualTable14" localSheetId="8">[4]Assumptions!#REF!</definedName>
    <definedName name="AssDualTable14">[4]Assumptions!#REF!</definedName>
    <definedName name="AssDualTable15">[4]Assumptions!#REF!</definedName>
    <definedName name="AssDualTable16">[4]Assumptions!#REF!</definedName>
    <definedName name="ASSET" localSheetId="13">#REF!</definedName>
    <definedName name="ASSET" localSheetId="9">#REF!</definedName>
    <definedName name="ASSET" localSheetId="8">#REF!</definedName>
    <definedName name="ASSET" localSheetId="7">#REF!</definedName>
    <definedName name="ASSET">#REF!</definedName>
    <definedName name="assump" localSheetId="13">#REF!</definedName>
    <definedName name="assump" localSheetId="8">#REF!</definedName>
    <definedName name="assump" localSheetId="7">#REF!</definedName>
    <definedName name="assump">#REF!</definedName>
    <definedName name="ASSUMPTIONS___INPUT" localSheetId="13">#REF!</definedName>
    <definedName name="ASSUMPTIONS___INPUT" localSheetId="8">#REF!</definedName>
    <definedName name="ASSUMPTIONS___INPUT" localSheetId="7">#REF!</definedName>
    <definedName name="ASSUMPTIONS___INPUT">#REF!</definedName>
    <definedName name="AssumptionsInputRange">[4]Assumptions!$E$5:$G$9,[4]Assumptions!$E$11,[4]Assumptions!$E$12,[4]Assumptions!$L$5:$L$6,[4]Assumptions!$L$12,[4]Assumptions!$F$17:$K$17,[4]Assumptions!$F$19:$K$23,[4]Assumptions!$E$24,[4]Assumptions!$F$31:$K$34,[4]Assumptions!$F$36:$K$36,[4]Assumptions!$F$49:$K$49</definedName>
    <definedName name="AssumptionsPrint" localSheetId="13">#REF!</definedName>
    <definedName name="AssumptionsPrint" localSheetId="9">#REF!</definedName>
    <definedName name="AssumptionsPrint" localSheetId="8">#REF!</definedName>
    <definedName name="AssumptionsPrint" localSheetId="7">#REF!</definedName>
    <definedName name="AssumptionsPrint">#REF!</definedName>
    <definedName name="atermmat" localSheetId="13">#REF!</definedName>
    <definedName name="atermmat" localSheetId="8">#REF!</definedName>
    <definedName name="atermmat" localSheetId="7">#REF!</definedName>
    <definedName name="atermmat">#REF!</definedName>
    <definedName name="avebasedrent">'[15]income stmt yr0'!$N$11</definedName>
    <definedName name="AVERAGEGLA" localSheetId="13">#REF!</definedName>
    <definedName name="AVERAGEGLA" localSheetId="9">#REF!</definedName>
    <definedName name="AVERAGEGLA" localSheetId="8">#REF!</definedName>
    <definedName name="AVERAGEGLA" localSheetId="7">#REF!</definedName>
    <definedName name="AVERAGEGLA">#REF!</definedName>
    <definedName name="AVERAGEGOA" localSheetId="13">#REF!</definedName>
    <definedName name="AVERAGEGOA" localSheetId="8">#REF!</definedName>
    <definedName name="AVERAGEGOA" localSheetId="7">#REF!</definedName>
    <definedName name="AVERAGEGOA">#REF!</definedName>
    <definedName name="AverageLife" localSheetId="13">#REF!</definedName>
    <definedName name="AverageLife" localSheetId="8">#REF!</definedName>
    <definedName name="AverageLife" localSheetId="7">#REF!</definedName>
    <definedName name="AverageLife">#REF!</definedName>
    <definedName name="AvgDirConstCost">[4]Assumptions!$L$47</definedName>
    <definedName name="BADDEBT" localSheetId="13">#REF!</definedName>
    <definedName name="BADDEBT" localSheetId="9">#REF!</definedName>
    <definedName name="BADDEBT" localSheetId="8">#REF!</definedName>
    <definedName name="BADDEBT" localSheetId="7">#REF!</definedName>
    <definedName name="BADDEBT">#REF!</definedName>
    <definedName name="BAL" localSheetId="13">'[17]12_96 CAM'!#REF!</definedName>
    <definedName name="BAL" localSheetId="9">'[17]12_96 CAM'!#REF!</definedName>
    <definedName name="BAL" localSheetId="8">'[17]12_96 CAM'!#REF!</definedName>
    <definedName name="BAL">'[17]12_96 CAM'!#REF!</definedName>
    <definedName name="Bal_Def_Surplus" localSheetId="13">#REF!</definedName>
    <definedName name="Bal_Def_Surplus" localSheetId="9">#REF!</definedName>
    <definedName name="Bal_Def_Surplus" localSheetId="8">#REF!</definedName>
    <definedName name="Bal_Def_Surplus" localSheetId="7">#REF!</definedName>
    <definedName name="Bal_Def_Surplus">#REF!</definedName>
    <definedName name="BALANCE" localSheetId="13">#REF!</definedName>
    <definedName name="BALANCE" localSheetId="8">#REF!</definedName>
    <definedName name="BALANCE" localSheetId="7">#REF!</definedName>
    <definedName name="BALANCE">#REF!</definedName>
    <definedName name="BalanceAtMaturity" localSheetId="13">#REF!</definedName>
    <definedName name="BalanceAtMaturity" localSheetId="8">#REF!</definedName>
    <definedName name="BalanceAtMaturity" localSheetId="7">#REF!</definedName>
    <definedName name="BalanceAtMaturity">#REF!</definedName>
    <definedName name="BalAvailable" localSheetId="13">#REF!</definedName>
    <definedName name="BalAvailable" localSheetId="7">#REF!</definedName>
    <definedName name="BalAvailable">#REF!</definedName>
    <definedName name="BALLOON_BAL" localSheetId="13">#REF!</definedName>
    <definedName name="BALLOON_BAL" localSheetId="7">#REF!</definedName>
    <definedName name="BALLOON_BAL">#REF!</definedName>
    <definedName name="Balloonbalance" localSheetId="13">#REF!</definedName>
    <definedName name="Balloonbalance" localSheetId="7">#REF!</definedName>
    <definedName name="Balloonbalance">#REF!</definedName>
    <definedName name="BalNeeded" localSheetId="13">#REF!</definedName>
    <definedName name="BalNeeded" localSheetId="7">#REF!</definedName>
    <definedName name="BalNeeded">#REF!</definedName>
    <definedName name="BAMORT" localSheetId="13">#REF!</definedName>
    <definedName name="BAMORT" localSheetId="7">#REF!</definedName>
    <definedName name="BAMORT">#REF!</definedName>
    <definedName name="BARATZ" localSheetId="13">#REF!</definedName>
    <definedName name="BARATZ" localSheetId="7">#REF!</definedName>
    <definedName name="BARATZ">#REF!</definedName>
    <definedName name="BASE" localSheetId="13">#REF!</definedName>
    <definedName name="BASE" localSheetId="7">#REF!</definedName>
    <definedName name="BASE">#REF!</definedName>
    <definedName name="BASE_BORDER" localSheetId="13">#REF!</definedName>
    <definedName name="BASE_BORDER" localSheetId="7">#REF!</definedName>
    <definedName name="BASE_BORDER">#REF!</definedName>
    <definedName name="bcov" localSheetId="13">#REF!</definedName>
    <definedName name="bcov" localSheetId="7">#REF!</definedName>
    <definedName name="bcov">#REF!</definedName>
    <definedName name="BD">#N/A</definedName>
    <definedName name="BDEBTSERVICE" localSheetId="13">#REF!</definedName>
    <definedName name="BDEBTSERVICE" localSheetId="9">#REF!</definedName>
    <definedName name="BDEBTSERVICE" localSheetId="8">#REF!</definedName>
    <definedName name="BDEBTSERVICE" localSheetId="7">#REF!</definedName>
    <definedName name="BDEBTSERVICE">#REF!</definedName>
    <definedName name="Beg.Bal" localSheetId="13">IF(#REF!&lt;&gt;"",#REF!,"")</definedName>
    <definedName name="Beg.Bal" localSheetId="9">IF(#REF!&lt;&gt;"",#REF!,"")</definedName>
    <definedName name="Beg.Bal" localSheetId="8">IF(#REF!&lt;&gt;"",#REF!,"")</definedName>
    <definedName name="Beg.Bal" localSheetId="7">IF(#REF!&lt;&gt;"",#REF!,"")</definedName>
    <definedName name="Beg.Bal">IF(#REF!&lt;&gt;"",#REF!,"")</definedName>
    <definedName name="BEGBAL" localSheetId="13">#REF!</definedName>
    <definedName name="BEGBAL" localSheetId="9">#REF!</definedName>
    <definedName name="BEGBAL" localSheetId="8">#REF!</definedName>
    <definedName name="BEGBAL" localSheetId="7">#REF!</definedName>
    <definedName name="BEGBAL">#REF!</definedName>
    <definedName name="BeginInflationDate" localSheetId="13">[10]Assumptions!#REF!</definedName>
    <definedName name="BeginInflationDate" localSheetId="9">[10]Assumptions!#REF!</definedName>
    <definedName name="BeginInflationDate" localSheetId="8">[10]Assumptions!#REF!</definedName>
    <definedName name="BeginInflationDate">[10]Assumptions!#REF!</definedName>
    <definedName name="BERNICK" localSheetId="13">#REF!</definedName>
    <definedName name="BERNICK" localSheetId="9">#REF!</definedName>
    <definedName name="BERNICK" localSheetId="8">#REF!</definedName>
    <definedName name="BERNICK" localSheetId="7">#REF!</definedName>
    <definedName name="BERNICK">#REF!</definedName>
    <definedName name="bey" localSheetId="13">#REF!</definedName>
    <definedName name="bey" localSheetId="8">#REF!</definedName>
    <definedName name="bey" localSheetId="7">#REF!</definedName>
    <definedName name="bey">#REF!</definedName>
    <definedName name="BFM" localSheetId="13">#REF!</definedName>
    <definedName name="BFM" localSheetId="8">#REF!</definedName>
    <definedName name="BFM" localSheetId="7">#REF!</definedName>
    <definedName name="BFM">#REF!</definedName>
    <definedName name="BFMLC" localSheetId="13">#REF!</definedName>
    <definedName name="BFMLC" localSheetId="7">#REF!</definedName>
    <definedName name="BFMLC">#REF!</definedName>
    <definedName name="BIA" localSheetId="13">#REF!</definedName>
    <definedName name="BIA" localSheetId="7">#REF!</definedName>
    <definedName name="BIA">#REF!</definedName>
    <definedName name="BIASWEEP_NETREV" localSheetId="13">#REF!</definedName>
    <definedName name="BIASWEEP_NETREV" localSheetId="7">#REF!</definedName>
    <definedName name="BIASWEEP_NETREV">#REF!</definedName>
    <definedName name="bip" localSheetId="13">#REF!</definedName>
    <definedName name="bip" localSheetId="7">#REF!</definedName>
    <definedName name="bip">#REF!</definedName>
    <definedName name="blank" localSheetId="13">#REF!</definedName>
    <definedName name="blank" localSheetId="7">#REF!</definedName>
    <definedName name="blank">#REF!</definedName>
    <definedName name="blank_1" localSheetId="13">#REF!</definedName>
    <definedName name="blank_1" localSheetId="7">#REF!</definedName>
    <definedName name="blank_1">#REF!</definedName>
    <definedName name="blank_2" localSheetId="13">#REF!</definedName>
    <definedName name="blank_2" localSheetId="7">#REF!</definedName>
    <definedName name="blank_2">#REF!</definedName>
    <definedName name="blank_3" localSheetId="13">#REF!</definedName>
    <definedName name="blank_3" localSheetId="7">#REF!</definedName>
    <definedName name="blank_3">#REF!</definedName>
    <definedName name="blank_4" localSheetId="13">#REF!</definedName>
    <definedName name="blank_4" localSheetId="7">#REF!</definedName>
    <definedName name="blank_4">#REF!</definedName>
    <definedName name="BLDG" localSheetId="13">#REF!</definedName>
    <definedName name="BLDG" localSheetId="7">#REF!</definedName>
    <definedName name="BLDG">#REF!</definedName>
    <definedName name="BLOAN" localSheetId="13">#REF!</definedName>
    <definedName name="BLOAN" localSheetId="7">#REF!</definedName>
    <definedName name="BLOAN">#REF!</definedName>
    <definedName name="BlueDualScreen" localSheetId="13">#REF!</definedName>
    <definedName name="BlueDualScreen" localSheetId="7">#REF!</definedName>
    <definedName name="BlueDualScreen">#REF!</definedName>
    <definedName name="BlueSingleScreen" localSheetId="13">#REF!</definedName>
    <definedName name="BlueSingleScreen" localSheetId="7">#REF!</definedName>
    <definedName name="BlueSingleScreen">#REF!</definedName>
    <definedName name="bmat" localSheetId="13">#REF!</definedName>
    <definedName name="bmat" localSheetId="7">#REF!</definedName>
    <definedName name="bmat">#REF!</definedName>
    <definedName name="BODY" localSheetId="13">#REF!</definedName>
    <definedName name="BODY" localSheetId="7">#REF!</definedName>
    <definedName name="BODY">#REF!</definedName>
    <definedName name="BOM_30" localSheetId="13">#REF!</definedName>
    <definedName name="BOM_30" localSheetId="7">#REF!</definedName>
    <definedName name="BOM_30">#REF!</definedName>
    <definedName name="BOM_Act" localSheetId="13">#REF!</definedName>
    <definedName name="BOM_Act" localSheetId="7">#REF!</definedName>
    <definedName name="BOM_Act">#REF!</definedName>
    <definedName name="bond" localSheetId="13">#REF!</definedName>
    <definedName name="bond" localSheetId="7">#REF!</definedName>
    <definedName name="bond">#REF!</definedName>
    <definedName name="bonda" localSheetId="13">#REF!</definedName>
    <definedName name="bonda" localSheetId="7">#REF!</definedName>
    <definedName name="bonda">#REF!</definedName>
    <definedName name="bondb" localSheetId="13">#REF!</definedName>
    <definedName name="bondb" localSheetId="7">#REF!</definedName>
    <definedName name="bondb">#REF!</definedName>
    <definedName name="BONDS" localSheetId="13">#REF!</definedName>
    <definedName name="BONDS" localSheetId="7">#REF!</definedName>
    <definedName name="BONDS">#REF!</definedName>
    <definedName name="Borrower" localSheetId="13">#REF!</definedName>
    <definedName name="Borrower" localSheetId="7">#REF!</definedName>
    <definedName name="Borrower">#REF!</definedName>
    <definedName name="borrower_comment" localSheetId="13">#REF!</definedName>
    <definedName name="borrower_comment" localSheetId="7">#REF!</definedName>
    <definedName name="borrower_comment">#REF!</definedName>
    <definedName name="BRIDGE_DATA">'[18]BRDG DTA'!$A$13:$P$49</definedName>
    <definedName name="Broker" localSheetId="13">#REF!</definedName>
    <definedName name="Broker" localSheetId="9">#REF!</definedName>
    <definedName name="Broker" localSheetId="8">#REF!</definedName>
    <definedName name="Broker" localSheetId="7">#REF!</definedName>
    <definedName name="Broker">#REF!</definedName>
    <definedName name="Brokerage_GrossRev" localSheetId="13">#REF!</definedName>
    <definedName name="Brokerage_GrossRev" localSheetId="8">#REF!</definedName>
    <definedName name="Brokerage_GrossRev" localSheetId="7">#REF!</definedName>
    <definedName name="Brokerage_GrossRev">#REF!</definedName>
    <definedName name="BS">#N/A</definedName>
    <definedName name="buildingcostpersqft" localSheetId="13">#REF!</definedName>
    <definedName name="buildingcostpersqft" localSheetId="9">#REF!</definedName>
    <definedName name="buildingcostpersqft" localSheetId="8">#REF!</definedName>
    <definedName name="buildingcostpersqft" localSheetId="7">#REF!</definedName>
    <definedName name="buildingcostpersqft">#REF!</definedName>
    <definedName name="BusBasic" localSheetId="13">#REF!</definedName>
    <definedName name="BusBasic" localSheetId="9">#REF!</definedName>
    <definedName name="BusBasic" localSheetId="8">#REF!</definedName>
    <definedName name="BusBasic" localSheetId="7">#REF!</definedName>
    <definedName name="BusBasic">#REF!</definedName>
    <definedName name="BusCkg_Balances" localSheetId="13">#REF!</definedName>
    <definedName name="BusCkg_Balances" localSheetId="7">#REF!</definedName>
    <definedName name="BusCkg_Balances">#REF!</definedName>
    <definedName name="BusMoneyMktCkg" localSheetId="13">#REF!</definedName>
    <definedName name="BusMoneyMktCkg" localSheetId="7">#REF!</definedName>
    <definedName name="BusMoneyMktCkg">#REF!</definedName>
    <definedName name="BusMoneyMktSavings" localSheetId="13">#REF!</definedName>
    <definedName name="BusMoneyMktSavings" localSheetId="7">#REF!</definedName>
    <definedName name="BusMoneyMktSavings">#REF!</definedName>
    <definedName name="BusSaver" localSheetId="13">#REF!</definedName>
    <definedName name="BusSaver" localSheetId="7">#REF!</definedName>
    <definedName name="BusSaver">#REF!</definedName>
    <definedName name="BusTIMMA" localSheetId="13">#REF!</definedName>
    <definedName name="BusTIMMA" localSheetId="7">#REF!</definedName>
    <definedName name="BusTIMMA">#REF!</definedName>
    <definedName name="Buydown_grossyield" localSheetId="13">#REF!</definedName>
    <definedName name="Buydown_grossyield" localSheetId="7">#REF!</definedName>
    <definedName name="Buydown_grossyield">#REF!</definedName>
    <definedName name="CA_1" localSheetId="13">#REF!</definedName>
    <definedName name="CA_1" localSheetId="7">#REF!</definedName>
    <definedName name="CA_1">#REF!</definedName>
    <definedName name="CA_2" localSheetId="13">#REF!</definedName>
    <definedName name="CA_2" localSheetId="7">#REF!</definedName>
    <definedName name="CA_2">#REF!</definedName>
    <definedName name="CA_3" localSheetId="13">#REF!</definedName>
    <definedName name="CA_3" localSheetId="7">#REF!</definedName>
    <definedName name="CA_3">#REF!</definedName>
    <definedName name="CA_4" localSheetId="13">#REF!</definedName>
    <definedName name="CA_4" localSheetId="7">#REF!</definedName>
    <definedName name="CA_4">#REF!</definedName>
    <definedName name="CA_5" localSheetId="13">#REF!</definedName>
    <definedName name="CA_5" localSheetId="7">#REF!</definedName>
    <definedName name="CA_5">#REF!</definedName>
    <definedName name="CA_6" localSheetId="13">#REF!</definedName>
    <definedName name="CA_6" localSheetId="7">#REF!</definedName>
    <definedName name="CA_6">#REF!</definedName>
    <definedName name="CA_7" localSheetId="13">#REF!</definedName>
    <definedName name="CA_7" localSheetId="7">#REF!</definedName>
    <definedName name="CA_7">#REF!</definedName>
    <definedName name="cal_grossrate" localSheetId="13">#REF!</definedName>
    <definedName name="cal_grossrate" localSheetId="7">#REF!</definedName>
    <definedName name="cal_grossrate">#REF!</definedName>
    <definedName name="calc" localSheetId="13">#REF!</definedName>
    <definedName name="calc" localSheetId="7">#REF!</definedName>
    <definedName name="calc">#REF!</definedName>
    <definedName name="Calculated_payment" localSheetId="13">#REF!</definedName>
    <definedName name="Calculated_payment" localSheetId="7">#REF!</definedName>
    <definedName name="Calculated_payment">#REF!</definedName>
    <definedName name="CALL_HELP" localSheetId="13">#REF!</definedName>
    <definedName name="CALL_HELP" localSheetId="7">#REF!</definedName>
    <definedName name="CALL_HELP">#REF!</definedName>
    <definedName name="CAMCODES">[19]PCR96!#REF!</definedName>
    <definedName name="CAMRECOVERIES" localSheetId="13">#REF!</definedName>
    <definedName name="CAMRECOVERIES" localSheetId="9">#REF!</definedName>
    <definedName name="CAMRECOVERIES" localSheetId="8">#REF!</definedName>
    <definedName name="CAMRECOVERIES" localSheetId="7">#REF!</definedName>
    <definedName name="CAMRECOVERIES">#REF!</definedName>
    <definedName name="CAMTABLE" localSheetId="13">#REF!</definedName>
    <definedName name="CAMTABLE" localSheetId="8">#REF!</definedName>
    <definedName name="CAMTABLE" localSheetId="7">#REF!</definedName>
    <definedName name="CAMTABLE">#REF!</definedName>
    <definedName name="Cap_Rate">[12]Proforma!$D$22</definedName>
    <definedName name="CapCorpIntAllocation">[10]Assumptions!#REF!</definedName>
    <definedName name="capirate" localSheetId="13">#REF!</definedName>
    <definedName name="capirate" localSheetId="9">#REF!</definedName>
    <definedName name="capirate" localSheetId="8">#REF!</definedName>
    <definedName name="capirate" localSheetId="7">#REF!</definedName>
    <definedName name="capirate">#REF!</definedName>
    <definedName name="capped" localSheetId="13">#REF!</definedName>
    <definedName name="capped" localSheetId="8">#REF!</definedName>
    <definedName name="capped" localSheetId="7">#REF!</definedName>
    <definedName name="capped">#REF!</definedName>
    <definedName name="CASH_Total_Income" localSheetId="13">#REF!</definedName>
    <definedName name="CASH_Total_Income" localSheetId="8">#REF!</definedName>
    <definedName name="CASH_Total_Income" localSheetId="7">#REF!</definedName>
    <definedName name="CASH_Total_Income">#REF!</definedName>
    <definedName name="cashcushion">[15]Assumptions!$F$156</definedName>
    <definedName name="CashMgmt_GrossRev" localSheetId="13">#REF!</definedName>
    <definedName name="CashMgmt_GrossRev" localSheetId="9">#REF!</definedName>
    <definedName name="CashMgmt_GrossRev" localSheetId="8">#REF!</definedName>
    <definedName name="CashMgmt_GrossRev" localSheetId="7">#REF!</definedName>
    <definedName name="CashMgmt_GrossRev">#REF!</definedName>
    <definedName name="CASHMGMT_NETREV" localSheetId="13">#REF!</definedName>
    <definedName name="CASHMGMT_NETREV" localSheetId="8">#REF!</definedName>
    <definedName name="CASHMGMT_NETREV" localSheetId="7">#REF!</definedName>
    <definedName name="CASHMGMT_NETREV">#REF!</definedName>
    <definedName name="CAST_NA">[18]CAST!$A$13:$P$40</definedName>
    <definedName name="cda">'[20]Sheet 3'!$A$1:$C$4</definedName>
    <definedName name="CDs" localSheetId="13">#REF!</definedName>
    <definedName name="CDs" localSheetId="9">#REF!</definedName>
    <definedName name="CDs" localSheetId="8">#REF!</definedName>
    <definedName name="CDs" localSheetId="7">#REF!</definedName>
    <definedName name="CDs">#REF!</definedName>
    <definedName name="CDs_2" localSheetId="13">#REF!</definedName>
    <definedName name="CDs_2" localSheetId="8">#REF!</definedName>
    <definedName name="CDs_2" localSheetId="7">#REF!</definedName>
    <definedName name="CDs_2">#REF!</definedName>
    <definedName name="CERIDIAN" localSheetId="13">#REF!</definedName>
    <definedName name="CERIDIAN" localSheetId="8">#REF!</definedName>
    <definedName name="CERIDIAN" localSheetId="7">#REF!</definedName>
    <definedName name="CERIDIAN">#REF!</definedName>
    <definedName name="cf">'[21]Inc Rec'!$A$9:$J$648</definedName>
    <definedName name="CFN" localSheetId="13">#REF!</definedName>
    <definedName name="CFN" localSheetId="9">#REF!</definedName>
    <definedName name="CFN" localSheetId="8">#REF!</definedName>
    <definedName name="CFN" localSheetId="7">#REF!</definedName>
    <definedName name="CFN">#REF!</definedName>
    <definedName name="CFW" localSheetId="13">#REF!</definedName>
    <definedName name="CFW" localSheetId="8">#REF!</definedName>
    <definedName name="CFW" localSheetId="7">#REF!</definedName>
    <definedName name="CFW">#REF!</definedName>
    <definedName name="cfyear1" localSheetId="13">#REF!</definedName>
    <definedName name="cfyear1" localSheetId="8">#REF!</definedName>
    <definedName name="cfyear1" localSheetId="7">#REF!</definedName>
    <definedName name="cfyear1">#REF!</definedName>
    <definedName name="CHARGE" localSheetId="13">#REF!</definedName>
    <definedName name="CHARGE" localSheetId="7">#REF!</definedName>
    <definedName name="CHARGE">#REF!</definedName>
    <definedName name="CHESEBROUGH">[18]CHEESB!$A$13:$P$46</definedName>
    <definedName name="City" localSheetId="13">#REF!</definedName>
    <definedName name="City" localSheetId="9">#REF!</definedName>
    <definedName name="City" localSheetId="8">#REF!</definedName>
    <definedName name="City" localSheetId="7">#REF!</definedName>
    <definedName name="City">#REF!</definedName>
    <definedName name="CityStateZip">[15]Assumptions!$C$8</definedName>
    <definedName name="Civil_Eng" localSheetId="13">#REF!</definedName>
    <definedName name="Civil_Eng" localSheetId="9">#REF!</definedName>
    <definedName name="Civil_Eng" localSheetId="8">#REF!</definedName>
    <definedName name="Civil_Eng" localSheetId="7">#REF!</definedName>
    <definedName name="Civil_Eng">#REF!</definedName>
    <definedName name="Civil_eng_b181" localSheetId="13">#REF!</definedName>
    <definedName name="Civil_eng_b181" localSheetId="8">#REF!</definedName>
    <definedName name="Civil_eng_b181" localSheetId="7">#REF!</definedName>
    <definedName name="Civil_eng_b181">#REF!</definedName>
    <definedName name="Civil_eng_b181_amend" localSheetId="13">#REF!</definedName>
    <definedName name="Civil_eng_b181_amend" localSheetId="8">#REF!</definedName>
    <definedName name="Civil_eng_b181_amend" localSheetId="7">#REF!</definedName>
    <definedName name="Civil_eng_b181_amend">#REF!</definedName>
    <definedName name="Civil_eng_blank" localSheetId="13">#REF!</definedName>
    <definedName name="Civil_eng_blank" localSheetId="7">#REF!</definedName>
    <definedName name="Civil_eng_blank">#REF!</definedName>
    <definedName name="civil_eng_coi" localSheetId="13">#REF!</definedName>
    <definedName name="civil_eng_coi" localSheetId="7">#REF!</definedName>
    <definedName name="civil_eng_coi">#REF!</definedName>
    <definedName name="Civil_eng_info" localSheetId="13">#REF!</definedName>
    <definedName name="Civil_eng_info" localSheetId="7">#REF!</definedName>
    <definedName name="Civil_eng_info">#REF!</definedName>
    <definedName name="Civil_eng_license" localSheetId="13">#REF!</definedName>
    <definedName name="Civil_eng_license" localSheetId="7">#REF!</definedName>
    <definedName name="Civil_eng_license">#REF!</definedName>
    <definedName name="Civil_eng_quals" localSheetId="13">#REF!</definedName>
    <definedName name="Civil_eng_quals" localSheetId="7">#REF!</definedName>
    <definedName name="Civil_eng_quals">#REF!</definedName>
    <definedName name="cleaning">[17]CAMINVBU!#REF!</definedName>
    <definedName name="ClientName" localSheetId="13">#REF!</definedName>
    <definedName name="ClientName" localSheetId="9">#REF!</definedName>
    <definedName name="ClientName" localSheetId="8">#REF!</definedName>
    <definedName name="ClientName" localSheetId="7">#REF!</definedName>
    <definedName name="ClientName">#REF!</definedName>
    <definedName name="closinganalyst" localSheetId="13">#REF!</definedName>
    <definedName name="closinganalyst" localSheetId="8">#REF!</definedName>
    <definedName name="closinganalyst" localSheetId="7">#REF!</definedName>
    <definedName name="closinganalyst">#REF!</definedName>
    <definedName name="ClosingCostPercentage" localSheetId="13">[10]Assumptions!#REF!</definedName>
    <definedName name="ClosingCostPercentage" localSheetId="8">[10]Assumptions!#REF!</definedName>
    <definedName name="ClosingCostPercentage">[10]Assumptions!#REF!</definedName>
    <definedName name="CMM" localSheetId="13">#REF!</definedName>
    <definedName name="CMM" localSheetId="9">#REF!</definedName>
    <definedName name="CMM" localSheetId="8">#REF!</definedName>
    <definedName name="CMM" localSheetId="7">#REF!</definedName>
    <definedName name="CMM">#REF!</definedName>
    <definedName name="coa" localSheetId="13">#REF!</definedName>
    <definedName name="coa" localSheetId="8">#REF!</definedName>
    <definedName name="coa" localSheetId="7">#REF!</definedName>
    <definedName name="coa">#REF!</definedName>
    <definedName name="CODE" localSheetId="13">#REF!</definedName>
    <definedName name="CODE" localSheetId="8">#REF!</definedName>
    <definedName name="CODE" localSheetId="7">#REF!</definedName>
    <definedName name="CODE">#REF!</definedName>
    <definedName name="coder" localSheetId="13">#REF!</definedName>
    <definedName name="coder" localSheetId="7">#REF!</definedName>
    <definedName name="coder">#REF!</definedName>
    <definedName name="COF_date" localSheetId="13">#REF!</definedName>
    <definedName name="COF_date" localSheetId="7">#REF!</definedName>
    <definedName name="COF_date">#REF!</definedName>
    <definedName name="coi" localSheetId="13">#REF!</definedName>
    <definedName name="coi" localSheetId="7">#REF!</definedName>
    <definedName name="coi">#REF!</definedName>
    <definedName name="combined" localSheetId="13">#REF!</definedName>
    <definedName name="combined" localSheetId="7">#REF!</definedName>
    <definedName name="combined">#REF!</definedName>
    <definedName name="Comments_company" localSheetId="13">#REF!</definedName>
    <definedName name="Comments_company" localSheetId="7">#REF!</definedName>
    <definedName name="Comments_company">#REF!</definedName>
    <definedName name="CommercialRE" localSheetId="13">#REF!</definedName>
    <definedName name="CommercialRE" localSheetId="7">#REF!</definedName>
    <definedName name="CommercialRE">#REF!</definedName>
    <definedName name="Commit_1" localSheetId="13">#REF!</definedName>
    <definedName name="Commit_1" localSheetId="7">#REF!</definedName>
    <definedName name="Commit_1">#REF!</definedName>
    <definedName name="Commit_2" localSheetId="13">#REF!</definedName>
    <definedName name="Commit_2" localSheetId="7">#REF!</definedName>
    <definedName name="Commit_2">#REF!</definedName>
    <definedName name="Commit_3" localSheetId="13">#REF!</definedName>
    <definedName name="Commit_3" localSheetId="7">#REF!</definedName>
    <definedName name="Commit_3">#REF!</definedName>
    <definedName name="Commit_4" localSheetId="13">#REF!</definedName>
    <definedName name="Commit_4" localSheetId="7">#REF!</definedName>
    <definedName name="Commit_4">#REF!</definedName>
    <definedName name="Commit_5" localSheetId="13">#REF!</definedName>
    <definedName name="Commit_5" localSheetId="7">#REF!</definedName>
    <definedName name="Commit_5">#REF!</definedName>
    <definedName name="Commit_6" localSheetId="13">#REF!</definedName>
    <definedName name="Commit_6" localSheetId="7">#REF!</definedName>
    <definedName name="Commit_6">#REF!</definedName>
    <definedName name="CommitFees_1" localSheetId="13">#REF!</definedName>
    <definedName name="CommitFees_1" localSheetId="7">#REF!</definedName>
    <definedName name="CommitFees_1">#REF!</definedName>
    <definedName name="CommitFees_2" localSheetId="13">#REF!</definedName>
    <definedName name="CommitFees_2" localSheetId="7">#REF!</definedName>
    <definedName name="CommitFees_2">#REF!</definedName>
    <definedName name="CommitFees_3" localSheetId="13">#REF!</definedName>
    <definedName name="CommitFees_3" localSheetId="7">#REF!</definedName>
    <definedName name="CommitFees_3">#REF!</definedName>
    <definedName name="CommitFees_4" localSheetId="13">#REF!</definedName>
    <definedName name="CommitFees_4" localSheetId="7">#REF!</definedName>
    <definedName name="CommitFees_4">#REF!</definedName>
    <definedName name="CommitFees_5" localSheetId="13">#REF!</definedName>
    <definedName name="CommitFees_5" localSheetId="7">#REF!</definedName>
    <definedName name="CommitFees_5">#REF!</definedName>
    <definedName name="CommitFees_6" localSheetId="13">#REF!</definedName>
    <definedName name="CommitFees_6" localSheetId="7">#REF!</definedName>
    <definedName name="CommitFees_6">#REF!</definedName>
    <definedName name="commitmentfee" localSheetId="13">#REF!</definedName>
    <definedName name="commitmentfee" localSheetId="7">#REF!</definedName>
    <definedName name="commitmentfee">#REF!</definedName>
    <definedName name="COMMNUM" localSheetId="13">#REF!</definedName>
    <definedName name="COMMNUM" localSheetId="7">#REF!</definedName>
    <definedName name="COMMNUM">#REF!</definedName>
    <definedName name="CommunityLocation">[15]Assumptions!$C$7</definedName>
    <definedName name="CommunityName">[22]Assumptions!$C$7</definedName>
    <definedName name="Company" localSheetId="13">#REF!</definedName>
    <definedName name="Company" localSheetId="9">#REF!</definedName>
    <definedName name="Company" localSheetId="8">#REF!</definedName>
    <definedName name="Company" localSheetId="7">#REF!</definedName>
    <definedName name="Company">#REF!</definedName>
    <definedName name="Company_Type" localSheetId="13">#REF!</definedName>
    <definedName name="Company_Type" localSheetId="8">#REF!</definedName>
    <definedName name="Company_Type" localSheetId="7">#REF!</definedName>
    <definedName name="Company_Type">#REF!</definedName>
    <definedName name="CompanyName" localSheetId="13">'[10]Table of Contents'!#REF!</definedName>
    <definedName name="CompanyName" localSheetId="8">'[10]Table of Contents'!#REF!</definedName>
    <definedName name="CompanyName">'[10]Table of Contents'!#REF!</definedName>
    <definedName name="Comparison" localSheetId="8">#REF!</definedName>
    <definedName name="Comparison" localSheetId="7">#REF!</definedName>
    <definedName name="Comparison">#REF!</definedName>
    <definedName name="Completed_By" localSheetId="13">#REF!</definedName>
    <definedName name="Completed_By" localSheetId="9">#REF!</definedName>
    <definedName name="Completed_By" localSheetId="8">#REF!</definedName>
    <definedName name="Completed_By" localSheetId="7">#REF!</definedName>
    <definedName name="Completed_By">#REF!</definedName>
    <definedName name="Comps">[11]Comparison!$A$1</definedName>
    <definedName name="Consol_2003A">'[11]2003A v 2003B'!$A$1</definedName>
    <definedName name="Consol_2005E">'[11]2005E Consol'!$A$1</definedName>
    <definedName name="Consolidated" localSheetId="13">#REF!</definedName>
    <definedName name="Consolidated" localSheetId="9">#REF!</definedName>
    <definedName name="Consolidated" localSheetId="8">#REF!</definedName>
    <definedName name="Consolidated" localSheetId="7">#REF!</definedName>
    <definedName name="Consolidated">#REF!</definedName>
    <definedName name="Contents" localSheetId="13">#REF!</definedName>
    <definedName name="Contents" localSheetId="8">#REF!</definedName>
    <definedName name="Contents" localSheetId="7">#REF!</definedName>
    <definedName name="Contents">#REF!</definedName>
    <definedName name="CoNUM" localSheetId="13">#REF!</definedName>
    <definedName name="CoNUM" localSheetId="8">#REF!</definedName>
    <definedName name="CoNUM" localSheetId="7">#REF!</definedName>
    <definedName name="CoNUM">#REF!</definedName>
    <definedName name="CONVERSION">[23]Sheet1!$A$2:$V$272</definedName>
    <definedName name="ConvTable">[24]Conventions!$AA$4:$AK$37</definedName>
    <definedName name="copy" localSheetId="13">#REF!</definedName>
    <definedName name="copy" localSheetId="9">#REF!</definedName>
    <definedName name="copy" localSheetId="8">#REF!</definedName>
    <definedName name="copy" localSheetId="7">#REF!</definedName>
    <definedName name="copy">#REF!</definedName>
    <definedName name="Cost" localSheetId="13">#REF!</definedName>
    <definedName name="Cost" localSheetId="8">#REF!</definedName>
    <definedName name="Cost" localSheetId="7">#REF!</definedName>
    <definedName name="Cost">#REF!</definedName>
    <definedName name="Cost_Center" localSheetId="13">#REF!</definedName>
    <definedName name="Cost_Center" localSheetId="8">#REF!</definedName>
    <definedName name="Cost_Center" localSheetId="7">#REF!</definedName>
    <definedName name="Cost_Center">#REF!</definedName>
    <definedName name="Cost2328_DCAmount" localSheetId="13">#REF!</definedName>
    <definedName name="Cost2328_DCAmount" localSheetId="7">#REF!</definedName>
    <definedName name="Cost2328_DCAmount">#REF!</definedName>
    <definedName name="Cost2328_DCAmount1" localSheetId="13">#REF!</definedName>
    <definedName name="Cost2328_DCAmount1" localSheetId="7">#REF!</definedName>
    <definedName name="Cost2328_DCAmount1">#REF!</definedName>
    <definedName name="Cost2328_DCAmount2" localSheetId="13">#REF!</definedName>
    <definedName name="Cost2328_DCAmount2" localSheetId="7">#REF!</definedName>
    <definedName name="Cost2328_DCAmount2">#REF!</definedName>
    <definedName name="Cost2328_DCAmount3" localSheetId="13">#REF!</definedName>
    <definedName name="Cost2328_DCAmount3" localSheetId="7">#REF!</definedName>
    <definedName name="Cost2328_DCAmount3">#REF!</definedName>
    <definedName name="Cost2328_DCAmount4" localSheetId="13">#REF!</definedName>
    <definedName name="Cost2328_DCAmount4" localSheetId="7">#REF!</definedName>
    <definedName name="Cost2328_DCAmount4">#REF!</definedName>
    <definedName name="Cost2328_DCDesc" localSheetId="13">#REF!</definedName>
    <definedName name="Cost2328_DCDesc" localSheetId="7">#REF!</definedName>
    <definedName name="Cost2328_DCDesc">#REF!</definedName>
    <definedName name="Cost2328_DCDesc1" localSheetId="13">#REF!</definedName>
    <definedName name="Cost2328_DCDesc1" localSheetId="7">#REF!</definedName>
    <definedName name="Cost2328_DCDesc1">#REF!</definedName>
    <definedName name="Cost2328_DCDesc2" localSheetId="13">#REF!</definedName>
    <definedName name="Cost2328_DCDesc2" localSheetId="7">#REF!</definedName>
    <definedName name="Cost2328_DCDesc2">#REF!</definedName>
    <definedName name="Cost2328_DCDesc3" localSheetId="13">#REF!</definedName>
    <definedName name="Cost2328_DCDesc3" localSheetId="7">#REF!</definedName>
    <definedName name="Cost2328_DCDesc3">#REF!</definedName>
    <definedName name="Cost2328_DCDesc4" localSheetId="13">#REF!</definedName>
    <definedName name="Cost2328_DCDesc4" localSheetId="7">#REF!</definedName>
    <definedName name="Cost2328_DCDesc4">#REF!</definedName>
    <definedName name="Cost2328_Notes" localSheetId="13">#REF!</definedName>
    <definedName name="Cost2328_Notes" localSheetId="7">#REF!</definedName>
    <definedName name="Cost2328_Notes">#REF!</definedName>
    <definedName name="Cost2328_NRAmount" localSheetId="13">#REF!</definedName>
    <definedName name="Cost2328_NRAmount" localSheetId="7">#REF!</definedName>
    <definedName name="Cost2328_NRAmount">#REF!</definedName>
    <definedName name="Cost2328_NRAmount1" localSheetId="13">#REF!</definedName>
    <definedName name="Cost2328_NRAmount1" localSheetId="7">#REF!</definedName>
    <definedName name="Cost2328_NRAmount1">#REF!</definedName>
    <definedName name="Cost2328_NRAmount2" localSheetId="13">#REF!</definedName>
    <definedName name="Cost2328_NRAmount2" localSheetId="7">#REF!</definedName>
    <definedName name="Cost2328_NRAmount2">#REF!</definedName>
    <definedName name="Cost2328_NRAmount3" localSheetId="13">#REF!</definedName>
    <definedName name="Cost2328_NRAmount3" localSheetId="7">#REF!</definedName>
    <definedName name="Cost2328_NRAmount3">#REF!</definedName>
    <definedName name="Cost2328_NRDesc" localSheetId="13">#REF!</definedName>
    <definedName name="Cost2328_NRDesc" localSheetId="7">#REF!</definedName>
    <definedName name="Cost2328_NRDesc">#REF!</definedName>
    <definedName name="Cost2328_NRDesc1" localSheetId="13">#REF!</definedName>
    <definedName name="Cost2328_NRDesc1" localSheetId="7">#REF!</definedName>
    <definedName name="Cost2328_NRDesc1">#REF!</definedName>
    <definedName name="Cost2328_NRDesc2" localSheetId="13">#REF!</definedName>
    <definedName name="Cost2328_NRDesc2" localSheetId="7">#REF!</definedName>
    <definedName name="Cost2328_NRDesc2">#REF!</definedName>
    <definedName name="Cost2328_NRDesc3" localSheetId="13">#REF!</definedName>
    <definedName name="Cost2328_NRDesc3" localSheetId="7">#REF!</definedName>
    <definedName name="Cost2328_NRDesc3">#REF!</definedName>
    <definedName name="Cost2328_OCAmount" localSheetId="13">#REF!</definedName>
    <definedName name="Cost2328_OCAmount" localSheetId="7">#REF!</definedName>
    <definedName name="Cost2328_OCAmount">#REF!</definedName>
    <definedName name="Cost2328_OCAmount1" localSheetId="13">#REF!</definedName>
    <definedName name="Cost2328_OCAmount1" localSheetId="7">#REF!</definedName>
    <definedName name="Cost2328_OCAmount1">#REF!</definedName>
    <definedName name="Cost2328_OCAmount2" localSheetId="13">#REF!</definedName>
    <definedName name="Cost2328_OCAmount2" localSheetId="7">#REF!</definedName>
    <definedName name="Cost2328_OCAmount2">#REF!</definedName>
    <definedName name="Cost2328_OCAmount3" localSheetId="13">#REF!</definedName>
    <definedName name="Cost2328_OCAmount3" localSheetId="7">#REF!</definedName>
    <definedName name="Cost2328_OCAmount3">#REF!</definedName>
    <definedName name="Cost2328_OCAmount4" localSheetId="13">#REF!</definedName>
    <definedName name="Cost2328_OCAmount4" localSheetId="7">#REF!</definedName>
    <definedName name="Cost2328_OCAmount4">#REF!</definedName>
    <definedName name="Cost2328_OCDesc" localSheetId="13">#REF!</definedName>
    <definedName name="Cost2328_OCDesc" localSheetId="7">#REF!</definedName>
    <definedName name="Cost2328_OCDesc">#REF!</definedName>
    <definedName name="Cost2328_OCDesc1" localSheetId="13">#REF!</definedName>
    <definedName name="Cost2328_OCDesc1" localSheetId="7">#REF!</definedName>
    <definedName name="Cost2328_OCDesc1">#REF!</definedName>
    <definedName name="Cost2328_OCDesc2" localSheetId="13">#REF!</definedName>
    <definedName name="Cost2328_OCDesc2" localSheetId="7">#REF!</definedName>
    <definedName name="Cost2328_OCDesc2">#REF!</definedName>
    <definedName name="Cost2328_OCDesc3" localSheetId="13">#REF!</definedName>
    <definedName name="Cost2328_OCDesc3" localSheetId="7">#REF!</definedName>
    <definedName name="Cost2328_OCDesc3">#REF!</definedName>
    <definedName name="Cost2328_OCDesc4" localSheetId="13">#REF!</definedName>
    <definedName name="Cost2328_OCDesc4" localSheetId="7">#REF!</definedName>
    <definedName name="Cost2328_OCDesc4">#REF!</definedName>
    <definedName name="Cost2328_OFAmount" localSheetId="13">#REF!</definedName>
    <definedName name="Cost2328_OFAmount" localSheetId="7">#REF!</definedName>
    <definedName name="Cost2328_OFAmount">#REF!</definedName>
    <definedName name="Cost2328_OFAmount1" localSheetId="13">#REF!</definedName>
    <definedName name="Cost2328_OFAmount1" localSheetId="7">#REF!</definedName>
    <definedName name="Cost2328_OFAmount1">#REF!</definedName>
    <definedName name="Cost2328_OFAmount2" localSheetId="13">#REF!</definedName>
    <definedName name="Cost2328_OFAmount2" localSheetId="7">#REF!</definedName>
    <definedName name="Cost2328_OFAmount2">#REF!</definedName>
    <definedName name="Cost2328_OFAmount3" localSheetId="13">#REF!</definedName>
    <definedName name="Cost2328_OFAmount3" localSheetId="7">#REF!</definedName>
    <definedName name="Cost2328_OFAmount3">#REF!</definedName>
    <definedName name="Cost2328_OFAmount4" localSheetId="13">#REF!</definedName>
    <definedName name="Cost2328_OFAmount4" localSheetId="7">#REF!</definedName>
    <definedName name="Cost2328_OFAmount4">#REF!</definedName>
    <definedName name="Cost2328_OFAmount5" localSheetId="13">#REF!</definedName>
    <definedName name="Cost2328_OFAmount5" localSheetId="7">#REF!</definedName>
    <definedName name="Cost2328_OFAmount5">#REF!</definedName>
    <definedName name="Cost2328_OFAmount6" localSheetId="13">#REF!</definedName>
    <definedName name="Cost2328_OFAmount6" localSheetId="7">#REF!</definedName>
    <definedName name="Cost2328_OFAmount6">#REF!</definedName>
    <definedName name="Cost2328_OFDesc" localSheetId="13">#REF!</definedName>
    <definedName name="Cost2328_OFDesc" localSheetId="7">#REF!</definedName>
    <definedName name="Cost2328_OFDesc">#REF!</definedName>
    <definedName name="Cost2328_OFDesc1" localSheetId="13">#REF!</definedName>
    <definedName name="Cost2328_OFDesc1" localSheetId="7">#REF!</definedName>
    <definedName name="Cost2328_OFDesc1">#REF!</definedName>
    <definedName name="Cost2328_OFDesc2" localSheetId="13">#REF!</definedName>
    <definedName name="Cost2328_OFDesc2" localSheetId="7">#REF!</definedName>
    <definedName name="Cost2328_OFDesc2">#REF!</definedName>
    <definedName name="Cost2328_OFDesc3" localSheetId="13">#REF!</definedName>
    <definedName name="Cost2328_OFDesc3" localSheetId="7">#REF!</definedName>
    <definedName name="Cost2328_OFDesc3">#REF!</definedName>
    <definedName name="Cost2328_OFDesc4" localSheetId="13">#REF!</definedName>
    <definedName name="Cost2328_OFDesc4" localSheetId="7">#REF!</definedName>
    <definedName name="Cost2328_OFDesc4">#REF!</definedName>
    <definedName name="Cost2328_OFDesc5" localSheetId="13">#REF!</definedName>
    <definedName name="Cost2328_OFDesc5" localSheetId="7">#REF!</definedName>
    <definedName name="Cost2328_OFDesc5">#REF!</definedName>
    <definedName name="Cost2328_OFDesc6" localSheetId="13">#REF!</definedName>
    <definedName name="Cost2328_OFDesc6" localSheetId="7">#REF!</definedName>
    <definedName name="Cost2328_OFDesc6">#REF!</definedName>
    <definedName name="CostInflation">[4]Assumptions!$G$75</definedName>
    <definedName name="CostingName">[10]Assumptions!#REF!</definedName>
    <definedName name="CouponRate_1" localSheetId="13">#REF!</definedName>
    <definedName name="CouponRate_1" localSheetId="9">#REF!</definedName>
    <definedName name="CouponRate_1" localSheetId="8">#REF!</definedName>
    <definedName name="CouponRate_1" localSheetId="7">#REF!</definedName>
    <definedName name="CouponRate_1">#REF!</definedName>
    <definedName name="CouponRate_2" localSheetId="13">#REF!</definedName>
    <definedName name="CouponRate_2" localSheetId="8">#REF!</definedName>
    <definedName name="CouponRate_2" localSheetId="7">#REF!</definedName>
    <definedName name="CouponRate_2">#REF!</definedName>
    <definedName name="CouponRate_3" localSheetId="13">#REF!</definedName>
    <definedName name="CouponRate_3" localSheetId="8">#REF!</definedName>
    <definedName name="CouponRate_3" localSheetId="7">#REF!</definedName>
    <definedName name="CouponRate_3">#REF!</definedName>
    <definedName name="CouponRate_4" localSheetId="13">#REF!</definedName>
    <definedName name="CouponRate_4" localSheetId="7">#REF!</definedName>
    <definedName name="CouponRate_4">#REF!</definedName>
    <definedName name="CouponRate_5" localSheetId="13">#REF!</definedName>
    <definedName name="CouponRate_5" localSheetId="7">#REF!</definedName>
    <definedName name="CouponRate_5">#REF!</definedName>
    <definedName name="CouponRate_6" localSheetId="13">#REF!</definedName>
    <definedName name="CouponRate_6" localSheetId="7">#REF!</definedName>
    <definedName name="CouponRate_6">#REF!</definedName>
    <definedName name="CoverPagePrint" localSheetId="13">#REF!</definedName>
    <definedName name="CoverPagePrint" localSheetId="7">#REF!</definedName>
    <definedName name="CoverPagePrint">#REF!</definedName>
    <definedName name="cpi" localSheetId="13">#REF!</definedName>
    <definedName name="cpi" localSheetId="7">#REF!</definedName>
    <definedName name="cpi">#REF!</definedName>
    <definedName name="CPM" localSheetId="13">#REF!</definedName>
    <definedName name="CPM" localSheetId="7">#REF!</definedName>
    <definedName name="CPM">#REF!</definedName>
    <definedName name="CPPicture">INDIRECT('[16]Source Data'!$J$7)</definedName>
    <definedName name="CPRATES" localSheetId="13">[19]MVC96!#REF!</definedName>
    <definedName name="CPRATES" localSheetId="9">[19]MVC96!#REF!</definedName>
    <definedName name="CPRATES" localSheetId="8">[19]MVC96!#REF!</definedName>
    <definedName name="CPRATES">[19]MVC96!#REF!</definedName>
    <definedName name="CredInc_CASH" localSheetId="13">#REF!</definedName>
    <definedName name="CredInc_CASH" localSheetId="9">#REF!</definedName>
    <definedName name="CredInc_CASH" localSheetId="8">#REF!</definedName>
    <definedName name="CredInc_CASH" localSheetId="7">#REF!</definedName>
    <definedName name="CredInc_CASH">#REF!</definedName>
    <definedName name="CredInc_FASB" localSheetId="13">#REF!</definedName>
    <definedName name="CredInc_FASB" localSheetId="8">#REF!</definedName>
    <definedName name="CredInc_FASB" localSheetId="7">#REF!</definedName>
    <definedName name="CredInc_FASB">#REF!</definedName>
    <definedName name="credit" localSheetId="13">#REF!</definedName>
    <definedName name="credit" localSheetId="8">#REF!</definedName>
    <definedName name="credit" localSheetId="7">#REF!</definedName>
    <definedName name="credit">#REF!</definedName>
    <definedName name="Credit_Income_Facility_1" localSheetId="13">#REF!</definedName>
    <definedName name="Credit_Income_Facility_1" localSheetId="7">#REF!</definedName>
    <definedName name="Credit_Income_Facility_1">#REF!</definedName>
    <definedName name="Credit_Income_Facility_2" localSheetId="13">#REF!</definedName>
    <definedName name="Credit_Income_Facility_2" localSheetId="7">#REF!</definedName>
    <definedName name="Credit_Income_Facility_2">#REF!</definedName>
    <definedName name="Credit_Income_Facility_3" localSheetId="13">#REF!</definedName>
    <definedName name="Credit_Income_Facility_3" localSheetId="7">#REF!</definedName>
    <definedName name="Credit_Income_Facility_3">#REF!</definedName>
    <definedName name="Credit_Income_Facility_4" localSheetId="13">#REF!</definedName>
    <definedName name="Credit_Income_Facility_4" localSheetId="7">#REF!</definedName>
    <definedName name="Credit_Income_Facility_4">#REF!</definedName>
    <definedName name="Credit_Income_Facility_5" localSheetId="13">#REF!</definedName>
    <definedName name="Credit_Income_Facility_5" localSheetId="7">#REF!</definedName>
    <definedName name="Credit_Income_Facility_5">#REF!</definedName>
    <definedName name="Credit_Income_Facility_6" localSheetId="13">#REF!</definedName>
    <definedName name="Credit_Income_Facility_6" localSheetId="7">#REF!</definedName>
    <definedName name="Credit_Income_Facility_6">#REF!</definedName>
    <definedName name="Credit_Min_Hurdle" localSheetId="13">#REF!</definedName>
    <definedName name="Credit_Min_Hurdle" localSheetId="7">#REF!</definedName>
    <definedName name="Credit_Min_Hurdle">#REF!</definedName>
    <definedName name="Credit_status_1" localSheetId="13">#REF!</definedName>
    <definedName name="Credit_status_1" localSheetId="7">#REF!</definedName>
    <definedName name="Credit_status_1">#REF!</definedName>
    <definedName name="Credit_status_2" localSheetId="13">#REF!</definedName>
    <definedName name="Credit_status_2" localSheetId="7">#REF!</definedName>
    <definedName name="Credit_status_2">#REF!</definedName>
    <definedName name="Credit_status_3" localSheetId="13">#REF!</definedName>
    <definedName name="Credit_status_3" localSheetId="7">#REF!</definedName>
    <definedName name="Credit_status_3">#REF!</definedName>
    <definedName name="Credit_status_4" localSheetId="13">#REF!</definedName>
    <definedName name="Credit_status_4" localSheetId="7">#REF!</definedName>
    <definedName name="Credit_status_4">#REF!</definedName>
    <definedName name="Credit_status_5" localSheetId="13">#REF!</definedName>
    <definedName name="Credit_status_5" localSheetId="7">#REF!</definedName>
    <definedName name="Credit_status_5">#REF!</definedName>
    <definedName name="Credit_status_6" localSheetId="13">#REF!</definedName>
    <definedName name="Credit_status_6" localSheetId="7">#REF!</definedName>
    <definedName name="Credit_status_6">#REF!</definedName>
    <definedName name="Credit_Target_Hurdle" localSheetId="13">#REF!</definedName>
    <definedName name="Credit_Target_Hurdle" localSheetId="7">#REF!</definedName>
    <definedName name="Credit_Target_Hurdle">#REF!</definedName>
    <definedName name="CreditOnly_ROA_1" localSheetId="13">#REF!</definedName>
    <definedName name="CreditOnly_ROA_1" localSheetId="7">#REF!</definedName>
    <definedName name="CreditOnly_ROA_1">#REF!</definedName>
    <definedName name="CreditOnly_ROA_2" localSheetId="13">#REF!</definedName>
    <definedName name="CreditOnly_ROA_2" localSheetId="7">#REF!</definedName>
    <definedName name="CreditOnly_ROA_2">#REF!</definedName>
    <definedName name="CreditOnly_ROA_3" localSheetId="13">#REF!</definedName>
    <definedName name="CreditOnly_ROA_3" localSheetId="7">#REF!</definedName>
    <definedName name="CreditOnly_ROA_3">#REF!</definedName>
    <definedName name="CreditOnly_ROA_4" localSheetId="13">#REF!</definedName>
    <definedName name="CreditOnly_ROA_4" localSheetId="7">#REF!</definedName>
    <definedName name="CreditOnly_ROA_4">#REF!</definedName>
    <definedName name="CreditOnly_ROA_5" localSheetId="13">#REF!</definedName>
    <definedName name="CreditOnly_ROA_5" localSheetId="7">#REF!</definedName>
    <definedName name="CreditOnly_ROA_5">#REF!</definedName>
    <definedName name="CreditOnly_ROA_6" localSheetId="13">#REF!</definedName>
    <definedName name="CreditOnly_ROA_6" localSheetId="7">#REF!</definedName>
    <definedName name="CreditOnly_ROA_6">#REF!</definedName>
    <definedName name="CreditOnly_ROE_1" localSheetId="13">#REF!</definedName>
    <definedName name="CreditOnly_ROE_1" localSheetId="7">#REF!</definedName>
    <definedName name="CreditOnly_ROE_1">#REF!</definedName>
    <definedName name="CreditOnly_ROE_2" localSheetId="13">#REF!</definedName>
    <definedName name="CreditOnly_ROE_2" localSheetId="7">#REF!</definedName>
    <definedName name="CreditOnly_ROE_2">#REF!</definedName>
    <definedName name="CreditOnly_ROE_3" localSheetId="13">#REF!</definedName>
    <definedName name="CreditOnly_ROE_3" localSheetId="7">#REF!</definedName>
    <definedName name="CreditOnly_ROE_3">#REF!</definedName>
    <definedName name="CreditOnly_ROE_4" localSheetId="13">#REF!</definedName>
    <definedName name="CreditOnly_ROE_4" localSheetId="7">#REF!</definedName>
    <definedName name="CreditOnly_ROE_4">#REF!</definedName>
    <definedName name="CreditOnly_ROE_5" localSheetId="13">#REF!</definedName>
    <definedName name="CreditOnly_ROE_5" localSheetId="7">#REF!</definedName>
    <definedName name="CreditOnly_ROE_5">#REF!</definedName>
    <definedName name="CreditOnly_ROE_6" localSheetId="13">#REF!</definedName>
    <definedName name="CreditOnly_ROE_6" localSheetId="7">#REF!</definedName>
    <definedName name="CreditOnly_ROE_6">#REF!</definedName>
    <definedName name="CreditRevcash_forIR_1" localSheetId="13">#REF!</definedName>
    <definedName name="CreditRevcash_forIR_1" localSheetId="7">#REF!</definedName>
    <definedName name="CreditRevcash_forIR_1">#REF!</definedName>
    <definedName name="CreditRevcash_forIR_2" localSheetId="13">#REF!</definedName>
    <definedName name="CreditRevcash_forIR_2" localSheetId="7">#REF!</definedName>
    <definedName name="CreditRevcash_forIR_2">#REF!</definedName>
    <definedName name="CreditRevcash_forIR_3" localSheetId="13">#REF!</definedName>
    <definedName name="CreditRevcash_forIR_3" localSheetId="7">#REF!</definedName>
    <definedName name="CreditRevcash_forIR_3">#REF!</definedName>
    <definedName name="CreditRevcash_forIR_4" localSheetId="13">#REF!</definedName>
    <definedName name="CreditRevcash_forIR_4" localSheetId="7">#REF!</definedName>
    <definedName name="CreditRevcash_forIR_4">#REF!</definedName>
    <definedName name="CreditRevcash_forIR_5" localSheetId="13">#REF!</definedName>
    <definedName name="CreditRevcash_forIR_5" localSheetId="7">#REF!</definedName>
    <definedName name="CreditRevcash_forIR_5">#REF!</definedName>
    <definedName name="CreditRevcash_forIR_6" localSheetId="13">#REF!</definedName>
    <definedName name="CreditRevcash_forIR_6" localSheetId="7">#REF!</definedName>
    <definedName name="CreditRevcash_forIR_6">#REF!</definedName>
    <definedName name="CredRev_CASH_1" localSheetId="13">#REF!</definedName>
    <definedName name="CredRev_CASH_1" localSheetId="7">#REF!</definedName>
    <definedName name="CredRev_CASH_1">#REF!</definedName>
    <definedName name="CredRev_CASH_2" localSheetId="13">#REF!</definedName>
    <definedName name="CredRev_CASH_2" localSheetId="7">#REF!</definedName>
    <definedName name="CredRev_CASH_2">#REF!</definedName>
    <definedName name="CredRev_CASH_3" localSheetId="13">#REF!</definedName>
    <definedName name="CredRev_CASH_3" localSheetId="7">#REF!</definedName>
    <definedName name="CredRev_CASH_3">#REF!</definedName>
    <definedName name="CredRev_CASH_4" localSheetId="13">#REF!</definedName>
    <definedName name="CredRev_CASH_4" localSheetId="7">#REF!</definedName>
    <definedName name="CredRev_CASH_4">#REF!</definedName>
    <definedName name="CredRev_CASH_5" localSheetId="13">#REF!</definedName>
    <definedName name="CredRev_CASH_5" localSheetId="7">#REF!</definedName>
    <definedName name="CredRev_CASH_5">#REF!</definedName>
    <definedName name="CredRev_CASH_6" localSheetId="13">#REF!</definedName>
    <definedName name="CredRev_CASH_6" localSheetId="7">#REF!</definedName>
    <definedName name="CredRev_CASH_6">#REF!</definedName>
    <definedName name="CredRev_FASB_1" localSheetId="13">#REF!</definedName>
    <definedName name="CredRev_FASB_1" localSheetId="7">#REF!</definedName>
    <definedName name="CredRev_FASB_1">#REF!</definedName>
    <definedName name="CredRev_FASB_2" localSheetId="13">#REF!</definedName>
    <definedName name="CredRev_FASB_2" localSheetId="7">#REF!</definedName>
    <definedName name="CredRev_FASB_2">#REF!</definedName>
    <definedName name="CredRev_FASB_3" localSheetId="13">#REF!</definedName>
    <definedName name="CredRev_FASB_3" localSheetId="7">#REF!</definedName>
    <definedName name="CredRev_FASB_3">#REF!</definedName>
    <definedName name="CredRev_FASB_4" localSheetId="13">#REF!</definedName>
    <definedName name="CredRev_FASB_4" localSheetId="7">#REF!</definedName>
    <definedName name="CredRev_FASB_4">#REF!</definedName>
    <definedName name="CredRev_FASB_5" localSheetId="13">#REF!</definedName>
    <definedName name="CredRev_FASB_5" localSheetId="7">#REF!</definedName>
    <definedName name="CredRev_FASB_5">#REF!</definedName>
    <definedName name="CredRev_FASB_6" localSheetId="13">#REF!</definedName>
    <definedName name="CredRev_FASB_6" localSheetId="7">#REF!</definedName>
    <definedName name="CredRev_FASB_6">#REF!</definedName>
    <definedName name="CreRevCASH_1Thru6" localSheetId="13">#REF!</definedName>
    <definedName name="CreRevCASH_1Thru6" localSheetId="7">#REF!</definedName>
    <definedName name="CreRevCASH_1Thru6">#REF!</definedName>
    <definedName name="CreRevFASB_1thru6" localSheetId="13">#REF!</definedName>
    <definedName name="CreRevFASB_1thru6" localSheetId="7">#REF!</definedName>
    <definedName name="CreRevFASB_1thru6">#REF!</definedName>
    <definedName name="CRISP_Number" localSheetId="13">#REF!</definedName>
    <definedName name="CRISP_Number" localSheetId="7">#REF!</definedName>
    <definedName name="CRISP_Number">#REF!</definedName>
    <definedName name="_xlnm.Criteria">'[5]AVI-JV-PROFORMA'!#REF!</definedName>
    <definedName name="CRPicture">INDIRECT('[16]Source Data'!$J$8)</definedName>
    <definedName name="crtname">[25]Sheet2!$A$5:$B$39</definedName>
    <definedName name="CTI" localSheetId="13">#REF!</definedName>
    <definedName name="CTI" localSheetId="9">#REF!</definedName>
    <definedName name="CTI" localSheetId="8">#REF!</definedName>
    <definedName name="CTI" localSheetId="7">#REF!</definedName>
    <definedName name="CTI">#REF!</definedName>
    <definedName name="Cum.Interest" localSheetId="13">IF(#REF!&lt;&gt;"",#REF!+#REF!,"")</definedName>
    <definedName name="Cum.Interest" localSheetId="9">IF(#REF!&lt;&gt;"",#REF!+#REF!,"")</definedName>
    <definedName name="Cum.Interest" localSheetId="8">IF(#REF!&lt;&gt;"",#REF!+#REF!,"")</definedName>
    <definedName name="Cum.Interest" localSheetId="7">IF(#REF!&lt;&gt;"",#REF!+#REF!,"")</definedName>
    <definedName name="Cum.Interest">IF(#REF!&lt;&gt;"",#REF!+#REF!,"")</definedName>
    <definedName name="Current_Commit_Amt_1" localSheetId="13">#REF!</definedName>
    <definedName name="Current_Commit_Amt_1" localSheetId="8">#REF!</definedName>
    <definedName name="Current_Commit_Amt_1" localSheetId="7">#REF!</definedName>
    <definedName name="Current_Commit_Amt_1">#REF!</definedName>
    <definedName name="Current_Commit_Amt_2" localSheetId="13">#REF!</definedName>
    <definedName name="Current_Commit_Amt_2" localSheetId="8">#REF!</definedName>
    <definedName name="Current_Commit_Amt_2" localSheetId="7">#REF!</definedName>
    <definedName name="Current_Commit_Amt_2">#REF!</definedName>
    <definedName name="Current_Commit_Amt_3" localSheetId="13">#REF!</definedName>
    <definedName name="Current_Commit_Amt_3" localSheetId="7">#REF!</definedName>
    <definedName name="Current_Commit_Amt_3">#REF!</definedName>
    <definedName name="Current_Commit_Amt_4" localSheetId="13">#REF!</definedName>
    <definedName name="Current_Commit_Amt_4" localSheetId="7">#REF!</definedName>
    <definedName name="Current_Commit_Amt_4">#REF!</definedName>
    <definedName name="Current_Commit_Amt_5" localSheetId="13">#REF!</definedName>
    <definedName name="Current_Commit_Amt_5" localSheetId="7">#REF!</definedName>
    <definedName name="Current_Commit_Amt_5">#REF!</definedName>
    <definedName name="Current_Commit_Amt_6" localSheetId="13">#REF!</definedName>
    <definedName name="Current_Commit_Amt_6" localSheetId="7">#REF!</definedName>
    <definedName name="Current_Commit_Amt_6">#REF!</definedName>
    <definedName name="CurrentDS">[7]AMORT!$F$6</definedName>
    <definedName name="CWCNo">'[26]User Input'!$B$35</definedName>
    <definedName name="Cwvu._Current_." localSheetId="13" hidden="1">'[6]SCHEDULE E '!$A$3:$IV$13,'[6]SCHEDULE E '!$A$15:$IV$25,'[6]SCHEDULE E '!$A$27:$IV$37,'[6]SCHEDULE E '!$A$39:$IV$49,'[6]SCHEDULE E '!$A$51:$IV$61,'[6]SCHEDULE E '!$A$63:$IV$73,'[6]SCHEDULE E '!$A$75:$IV$85,'[6]SCHEDULE E '!$A$87:$IV$97,'[6]SCHEDULE E '!$A$99:$IV$109,'[6]SCHEDULE E '!$A$111:$IV$121,'[6]SCHEDULE E '!$A$135:$IV$145,'[6]SCHEDULE E '!$A$147:$IV$157,'[6]SCHEDULE E '!$A$159:$IV$169,'[6]SCHEDULE E '!#REF!,'[6]SCHEDULE E '!$A$171:$IV$181,'[6]SCHEDULE E '!$A$183:$IV$193,'[6]SCHEDULE E '!$A$207:$IV$217,'[6]SCHEDULE E '!$A$219:$IV$229,'[6]SCHEDULE E '!$A$231:$IV$241,'[6]SCHEDULE E '!$A$243:$IV$253,'[6]SCHEDULE E '!$A$267:$IV$277,'[6]SCHEDULE E '!$A$279:$IV$289,'[6]SCHEDULE E '!$A$291:$IV$301,'[6]SCHEDULE E '!#REF!</definedName>
    <definedName name="Cwvu._Current_." localSheetId="9" hidden="1">'[6]SCHEDULE E '!$A$3:$IV$13,'[6]SCHEDULE E '!$A$15:$IV$25,'[6]SCHEDULE E '!$A$27:$IV$37,'[6]SCHEDULE E '!$A$39:$IV$49,'[6]SCHEDULE E '!$A$51:$IV$61,'[6]SCHEDULE E '!$A$63:$IV$73,'[6]SCHEDULE E '!$A$75:$IV$85,'[6]SCHEDULE E '!$A$87:$IV$97,'[6]SCHEDULE E '!$A$99:$IV$109,'[6]SCHEDULE E '!$A$111:$IV$121,'[6]SCHEDULE E '!$A$135:$IV$145,'[6]SCHEDULE E '!$A$147:$IV$157,'[6]SCHEDULE E '!$A$159:$IV$169,'[6]SCHEDULE E '!#REF!,'[6]SCHEDULE E '!$A$171:$IV$181,'[6]SCHEDULE E '!$A$183:$IV$193,'[6]SCHEDULE E '!$A$207:$IV$217,'[6]SCHEDULE E '!$A$219:$IV$229,'[6]SCHEDULE E '!$A$231:$IV$241,'[6]SCHEDULE E '!$A$243:$IV$253,'[6]SCHEDULE E '!$A$267:$IV$277,'[6]SCHEDULE E '!$A$279:$IV$289,'[6]SCHEDULE E '!$A$291:$IV$301,'[6]SCHEDULE E '!#REF!</definedName>
    <definedName name="Cwvu._Current_." localSheetId="8" hidden="1">'[6]SCHEDULE E '!$A$3:$IV$13,'[6]SCHEDULE E '!$A$15:$IV$25,'[6]SCHEDULE E '!$A$27:$IV$37,'[6]SCHEDULE E '!$A$39:$IV$49,'[6]SCHEDULE E '!$A$51:$IV$61,'[6]SCHEDULE E '!$A$63:$IV$73,'[6]SCHEDULE E '!$A$75:$IV$85,'[6]SCHEDULE E '!$A$87:$IV$97,'[6]SCHEDULE E '!$A$99:$IV$109,'[6]SCHEDULE E '!$A$111:$IV$121,'[6]SCHEDULE E '!$A$135:$IV$145,'[6]SCHEDULE E '!$A$147:$IV$157,'[6]SCHEDULE E '!$A$159:$IV$169,'[6]SCHEDULE E '!#REF!,'[6]SCHEDULE E '!$A$171:$IV$181,'[6]SCHEDULE E '!$A$183:$IV$193,'[6]SCHEDULE E '!$A$207:$IV$217,'[6]SCHEDULE E '!$A$219:$IV$229,'[6]SCHEDULE E '!$A$231:$IV$241,'[6]SCHEDULE E '!$A$243:$IV$253,'[6]SCHEDULE E '!$A$267:$IV$277,'[6]SCHEDULE E '!$A$279:$IV$289,'[6]SCHEDULE E '!$A$291:$IV$301,'[6]SCHEDULE E '!#REF!</definedName>
    <definedName name="Cwvu._Current_." hidden="1">'[6]SCHEDULE E '!$A$3:$IV$13,'[6]SCHEDULE E '!$A$15:$IV$25,'[6]SCHEDULE E '!$A$27:$IV$37,'[6]SCHEDULE E '!$A$39:$IV$49,'[6]SCHEDULE E '!$A$51:$IV$61,'[6]SCHEDULE E '!$A$63:$IV$73,'[6]SCHEDULE E '!$A$75:$IV$85,'[6]SCHEDULE E '!$A$87:$IV$97,'[6]SCHEDULE E '!$A$99:$IV$109,'[6]SCHEDULE E '!$A$111:$IV$121,'[6]SCHEDULE E '!$A$135:$IV$145,'[6]SCHEDULE E '!$A$147:$IV$157,'[6]SCHEDULE E '!$A$159:$IV$169,'[6]SCHEDULE E '!#REF!,'[6]SCHEDULE E '!$A$171:$IV$181,'[6]SCHEDULE E '!$A$183:$IV$193,'[6]SCHEDULE E '!$A$207:$IV$217,'[6]SCHEDULE E '!$A$219:$IV$229,'[6]SCHEDULE E '!$A$231:$IV$241,'[6]SCHEDULE E '!$A$243:$IV$253,'[6]SCHEDULE E '!$A$267:$IV$277,'[6]SCHEDULE E '!$A$279:$IV$289,'[6]SCHEDULE E '!$A$291:$IV$301,'[6]SCHEDULE E '!#REF!</definedName>
    <definedName name="Cwvu.ACCOUNT._.DETAIL." localSheetId="13" hidden="1">'[6]MARKETING III'!#REF!</definedName>
    <definedName name="Cwvu.ACCOUNT._.DETAIL." localSheetId="9" hidden="1">'[6]MARKETING III'!#REF!</definedName>
    <definedName name="Cwvu.ACCOUNT._.DETAIL." localSheetId="8" hidden="1">'[6]MARKETING III'!#REF!</definedName>
    <definedName name="Cwvu.ACCOUNT._.DETAIL." hidden="1">'[6]MARKETING III'!#REF!</definedName>
    <definedName name="Cwvu.WAT." localSheetId="13" hidden="1">#REF!</definedName>
    <definedName name="Cwvu.WAT." localSheetId="9" hidden="1">#REF!</definedName>
    <definedName name="Cwvu.WAT." localSheetId="8" hidden="1">#REF!</definedName>
    <definedName name="Cwvu.WAT." localSheetId="7" hidden="1">#REF!</definedName>
    <definedName name="Cwvu.WAT." hidden="1">#REF!</definedName>
    <definedName name="d">#N/A</definedName>
    <definedName name="DAILY" localSheetId="13">#REF!</definedName>
    <definedName name="DAILY" localSheetId="9">#REF!</definedName>
    <definedName name="DAILY" localSheetId="8">#REF!</definedName>
    <definedName name="DAILY" localSheetId="7">#REF!</definedName>
    <definedName name="DAILY">#REF!</definedName>
    <definedName name="DATA_01" localSheetId="13" hidden="1">#REF!</definedName>
    <definedName name="DATA_01" localSheetId="8" hidden="1">#REF!</definedName>
    <definedName name="DATA_01" localSheetId="7" hidden="1">#REF!</definedName>
    <definedName name="DATA_01" hidden="1">#REF!</definedName>
    <definedName name="DataDualTable12" localSheetId="13">#REF!</definedName>
    <definedName name="DataDualTable12" localSheetId="7">#REF!</definedName>
    <definedName name="DataDualTable12">#REF!</definedName>
    <definedName name="DataDualTable13" localSheetId="13">#REF!</definedName>
    <definedName name="DataDualTable13" localSheetId="7">#REF!</definedName>
    <definedName name="DataDualTable13">#REF!</definedName>
    <definedName name="DataDualTable14" localSheetId="13">#REF!</definedName>
    <definedName name="DataDualTable14" localSheetId="7">#REF!</definedName>
    <definedName name="DataDualTable14">#REF!</definedName>
    <definedName name="DataDualTable15" localSheetId="13">#REF!</definedName>
    <definedName name="DataDualTable15" localSheetId="7">#REF!</definedName>
    <definedName name="DataDualTable15">#REF!</definedName>
    <definedName name="DataDualTable16" localSheetId="13">#REF!</definedName>
    <definedName name="DataDualTable16" localSheetId="7">#REF!</definedName>
    <definedName name="DataDualTable16">#REF!</definedName>
    <definedName name="DATE" localSheetId="13">#REF!</definedName>
    <definedName name="DATE" localSheetId="7">#REF!</definedName>
    <definedName name="DATE">#REF!</definedName>
    <definedName name="dated" localSheetId="13">#REF!</definedName>
    <definedName name="dated" localSheetId="7">#REF!</definedName>
    <definedName name="dated">#REF!</definedName>
    <definedName name="DateOfAnalysis">[27]Assumptions!$C$15</definedName>
    <definedName name="Day_Differencial_1" localSheetId="13">#REF!</definedName>
    <definedName name="Day_Differencial_1" localSheetId="9">#REF!</definedName>
    <definedName name="Day_Differencial_1" localSheetId="8">#REF!</definedName>
    <definedName name="Day_Differencial_1" localSheetId="7">#REF!</definedName>
    <definedName name="Day_Differencial_1">#REF!</definedName>
    <definedName name="Day_Differencial_2" localSheetId="13">#REF!</definedName>
    <definedName name="Day_Differencial_2" localSheetId="8">#REF!</definedName>
    <definedName name="Day_Differencial_2" localSheetId="7">#REF!</definedName>
    <definedName name="Day_Differencial_2">#REF!</definedName>
    <definedName name="Day_Differencial_3" localSheetId="13">#REF!</definedName>
    <definedName name="Day_Differencial_3" localSheetId="8">#REF!</definedName>
    <definedName name="Day_Differencial_3" localSheetId="7">#REF!</definedName>
    <definedName name="Day_Differencial_3">#REF!</definedName>
    <definedName name="Day_Differencial_4" localSheetId="13">#REF!</definedName>
    <definedName name="Day_Differencial_4" localSheetId="7">#REF!</definedName>
    <definedName name="Day_Differencial_4">#REF!</definedName>
    <definedName name="Day_Differencial_5" localSheetId="13">#REF!</definedName>
    <definedName name="Day_Differencial_5" localSheetId="7">#REF!</definedName>
    <definedName name="Day_Differencial_5">#REF!</definedName>
    <definedName name="Day_Differencial_6" localSheetId="13">#REF!</definedName>
    <definedName name="Day_Differencial_6" localSheetId="7">#REF!</definedName>
    <definedName name="Day_Differencial_6">#REF!</definedName>
    <definedName name="Day_Lookup" localSheetId="13">#REF!</definedName>
    <definedName name="Day_Lookup" localSheetId="7">#REF!</definedName>
    <definedName name="Day_Lookup">#REF!</definedName>
    <definedName name="Day_Table" localSheetId="13">#REF!</definedName>
    <definedName name="Day_Table" localSheetId="7">#REF!</definedName>
    <definedName name="Day_Table">#REF!</definedName>
    <definedName name="days" localSheetId="13">#REF!</definedName>
    <definedName name="days" localSheetId="7">#REF!</definedName>
    <definedName name="days">#REF!</definedName>
    <definedName name="Days_1" localSheetId="13">#REF!</definedName>
    <definedName name="Days_1" localSheetId="7">#REF!</definedName>
    <definedName name="Days_1">#REF!</definedName>
    <definedName name="Days_2" localSheetId="13">#REF!</definedName>
    <definedName name="Days_2" localSheetId="7">#REF!</definedName>
    <definedName name="Days_2">#REF!</definedName>
    <definedName name="Days_3" localSheetId="13">#REF!</definedName>
    <definedName name="Days_3" localSheetId="7">#REF!</definedName>
    <definedName name="Days_3">#REF!</definedName>
    <definedName name="Days_4" localSheetId="13">#REF!</definedName>
    <definedName name="Days_4" localSheetId="7">#REF!</definedName>
    <definedName name="Days_4">#REF!</definedName>
    <definedName name="Days_5" localSheetId="13">#REF!</definedName>
    <definedName name="Days_5" localSheetId="7">#REF!</definedName>
    <definedName name="Days_5">#REF!</definedName>
    <definedName name="Days_6" localSheetId="13">#REF!</definedName>
    <definedName name="Days_6" localSheetId="7">#REF!</definedName>
    <definedName name="Days_6">#REF!</definedName>
    <definedName name="Days_Range" localSheetId="13">#REF!</definedName>
    <definedName name="Days_Range" localSheetId="7">#REF!</definedName>
    <definedName name="Days_Range">#REF!</definedName>
    <definedName name="daysbasis" localSheetId="13">#REF!</definedName>
    <definedName name="daysbasis" localSheetId="7">#REF!</definedName>
    <definedName name="daysbasis">#REF!</definedName>
    <definedName name="dcfltv" localSheetId="13">#REF!</definedName>
    <definedName name="dcfltv" localSheetId="7">#REF!</definedName>
    <definedName name="dcfltv">#REF!</definedName>
    <definedName name="DCFvalue" localSheetId="13">#REF!</definedName>
    <definedName name="DCFvalue" localSheetId="7">#REF!</definedName>
    <definedName name="DCFvalue">#REF!</definedName>
    <definedName name="ddafd" localSheetId="13">#REF!</definedName>
    <definedName name="ddafd" localSheetId="7">#REF!</definedName>
    <definedName name="ddafd">#REF!</definedName>
    <definedName name="ddd">#N/A</definedName>
    <definedName name="debt" localSheetId="13">#REF!</definedName>
    <definedName name="debt" localSheetId="9">#REF!</definedName>
    <definedName name="debt" localSheetId="8">#REF!</definedName>
    <definedName name="debt" localSheetId="7">#REF!</definedName>
    <definedName name="debt">#REF!</definedName>
    <definedName name="Debt_Service">[12]Proforma!$G$28</definedName>
    <definedName name="debt2" localSheetId="13">#REF!</definedName>
    <definedName name="debt2" localSheetId="9">#REF!</definedName>
    <definedName name="debt2" localSheetId="8">#REF!</definedName>
    <definedName name="debt2" localSheetId="7">#REF!</definedName>
    <definedName name="debt2">#REF!</definedName>
    <definedName name="debt3" localSheetId="13">#REF!</definedName>
    <definedName name="debt3" localSheetId="8">#REF!</definedName>
    <definedName name="debt3" localSheetId="7">#REF!</definedName>
    <definedName name="debt3">#REF!</definedName>
    <definedName name="DEC" localSheetId="13">#REF!</definedName>
    <definedName name="DEC" localSheetId="8">#REF!</definedName>
    <definedName name="DEC" localSheetId="7">#REF!</definedName>
    <definedName name="DEC">#REF!</definedName>
    <definedName name="DelayDate" localSheetId="13">#REF!</definedName>
    <definedName name="DelayDate" localSheetId="7">#REF!</definedName>
    <definedName name="DelayDate">#REF!</definedName>
    <definedName name="DelayFactor">[10]Assumptions!#REF!</definedName>
    <definedName name="DELI" localSheetId="13">#REF!</definedName>
    <definedName name="DELI" localSheetId="9">#REF!</definedName>
    <definedName name="DELI" localSheetId="8">#REF!</definedName>
    <definedName name="DELI" localSheetId="7">#REF!</definedName>
    <definedName name="DELI">#REF!</definedName>
    <definedName name="delivdays" localSheetId="13">#REF!</definedName>
    <definedName name="delivdays" localSheetId="8">#REF!</definedName>
    <definedName name="delivdays" localSheetId="7">#REF!</definedName>
    <definedName name="delivdays">#REF!</definedName>
    <definedName name="delivery" localSheetId="13">#REF!</definedName>
    <definedName name="delivery" localSheetId="8">#REF!</definedName>
    <definedName name="delivery" localSheetId="7">#REF!</definedName>
    <definedName name="delivery">#REF!</definedName>
    <definedName name="depr" localSheetId="13">[17]CAMINVBU!#REF!</definedName>
    <definedName name="depr" localSheetId="8">[17]CAMINVBU!#REF!</definedName>
    <definedName name="depr">[17]CAMINVBU!#REF!</definedName>
    <definedName name="deregulated" localSheetId="13">#REF!</definedName>
    <definedName name="deregulated" localSheetId="9">#REF!</definedName>
    <definedName name="deregulated" localSheetId="8">#REF!</definedName>
    <definedName name="deregulated" localSheetId="7">#REF!</definedName>
    <definedName name="deregulated">#REF!</definedName>
    <definedName name="Deriv_CashBasis" localSheetId="13">#REF!</definedName>
    <definedName name="Deriv_CashBasis" localSheetId="8">#REF!</definedName>
    <definedName name="Deriv_CashBasis" localSheetId="7">#REF!</definedName>
    <definedName name="Deriv_CashBasis">#REF!</definedName>
    <definedName name="Deriv_CRISP_REV1" localSheetId="13">#REF!</definedName>
    <definedName name="Deriv_CRISP_REV1" localSheetId="8">#REF!</definedName>
    <definedName name="Deriv_CRISP_REV1" localSheetId="7">#REF!</definedName>
    <definedName name="Deriv_CRISP_REV1">#REF!</definedName>
    <definedName name="Deriv_CRISP_REV2" localSheetId="13">#REF!</definedName>
    <definedName name="Deriv_CRISP_REV2" localSheetId="7">#REF!</definedName>
    <definedName name="Deriv_CRISP_REV2">#REF!</definedName>
    <definedName name="Deriv_CRISP_REV3" localSheetId="13">#REF!</definedName>
    <definedName name="Deriv_CRISP_REV3" localSheetId="7">#REF!</definedName>
    <definedName name="Deriv_CRISP_REV3">#REF!</definedName>
    <definedName name="Deriv_CRISP_REV4" localSheetId="13">#REF!</definedName>
    <definedName name="Deriv_CRISP_REV4" localSheetId="7">#REF!</definedName>
    <definedName name="Deriv_CRISP_REV4">#REF!</definedName>
    <definedName name="Deriv_CRISP_REV5" localSheetId="13">#REF!</definedName>
    <definedName name="Deriv_CRISP_REV5" localSheetId="7">#REF!</definedName>
    <definedName name="Deriv_CRISP_REV5">#REF!</definedName>
    <definedName name="Deriv_CRISP_REV6" localSheetId="13">#REF!</definedName>
    <definedName name="Deriv_CRISP_REV6" localSheetId="7">#REF!</definedName>
    <definedName name="Deriv_CRISP_REV6">#REF!</definedName>
    <definedName name="Deriv_Equity_1" localSheetId="13">#REF!</definedName>
    <definedName name="Deriv_Equity_1" localSheetId="7">#REF!</definedName>
    <definedName name="Deriv_Equity_1">#REF!</definedName>
    <definedName name="Deriv_Equity_2" localSheetId="13">#REF!</definedName>
    <definedName name="Deriv_Equity_2" localSheetId="7">#REF!</definedName>
    <definedName name="Deriv_Equity_2">#REF!</definedName>
    <definedName name="Deriv_Equity_3" localSheetId="13">#REF!</definedName>
    <definedName name="Deriv_Equity_3" localSheetId="7">#REF!</definedName>
    <definedName name="Deriv_Equity_3">#REF!</definedName>
    <definedName name="Deriv_Equity_4" localSheetId="13">#REF!</definedName>
    <definedName name="Deriv_Equity_4" localSheetId="7">#REF!</definedName>
    <definedName name="Deriv_Equity_4">#REF!</definedName>
    <definedName name="Deriv_Equity_5" localSheetId="13">#REF!</definedName>
    <definedName name="Deriv_Equity_5" localSheetId="7">#REF!</definedName>
    <definedName name="Deriv_Equity_5">#REF!</definedName>
    <definedName name="Deriv_Equity_6" localSheetId="13">#REF!</definedName>
    <definedName name="Deriv_Equity_6" localSheetId="7">#REF!</definedName>
    <definedName name="Deriv_Equity_6">#REF!</definedName>
    <definedName name="Deriv_Equivalent" localSheetId="13">#REF!</definedName>
    <definedName name="Deriv_Equivalent" localSheetId="7">#REF!</definedName>
    <definedName name="Deriv_Equivalent">#REF!</definedName>
    <definedName name="Deriv_Error_1" localSheetId="13">#REF!</definedName>
    <definedName name="Deriv_Error_1" localSheetId="7">#REF!</definedName>
    <definedName name="Deriv_Error_1">#REF!</definedName>
    <definedName name="Deriv_Error_2" localSheetId="13">#REF!</definedName>
    <definedName name="Deriv_Error_2" localSheetId="7">#REF!</definedName>
    <definedName name="Deriv_Error_2">#REF!</definedName>
    <definedName name="Deriv_Error_3" localSheetId="13">#REF!</definedName>
    <definedName name="Deriv_Error_3" localSheetId="7">#REF!</definedName>
    <definedName name="Deriv_Error_3">#REF!</definedName>
    <definedName name="Deriv_Error_4" localSheetId="13">#REF!</definedName>
    <definedName name="Deriv_Error_4" localSheetId="7">#REF!</definedName>
    <definedName name="Deriv_Error_4">#REF!</definedName>
    <definedName name="Deriv_Error_5" localSheetId="13">#REF!</definedName>
    <definedName name="Deriv_Error_5" localSheetId="7">#REF!</definedName>
    <definedName name="Deriv_Error_5">#REF!</definedName>
    <definedName name="Deriv_Error_6" localSheetId="13">#REF!</definedName>
    <definedName name="Deriv_Error_6" localSheetId="7">#REF!</definedName>
    <definedName name="Deriv_Error_6">#REF!</definedName>
    <definedName name="Deriv_Grade_1" localSheetId="13">#REF!</definedName>
    <definedName name="Deriv_Grade_1" localSheetId="7">#REF!</definedName>
    <definedName name="Deriv_Grade_1">#REF!</definedName>
    <definedName name="Deriv_Grade_2" localSheetId="13">#REF!</definedName>
    <definedName name="Deriv_Grade_2" localSheetId="7">#REF!</definedName>
    <definedName name="Deriv_Grade_2">#REF!</definedName>
    <definedName name="Deriv_Grade_3" localSheetId="13">#REF!</definedName>
    <definedName name="Deriv_Grade_3" localSheetId="7">#REF!</definedName>
    <definedName name="Deriv_Grade_3">#REF!</definedName>
    <definedName name="Deriv_Grade_4" localSheetId="13">#REF!</definedName>
    <definedName name="Deriv_Grade_4" localSheetId="7">#REF!</definedName>
    <definedName name="Deriv_Grade_4">#REF!</definedName>
    <definedName name="Deriv_Grade_5" localSheetId="13">#REF!</definedName>
    <definedName name="Deriv_Grade_5" localSheetId="7">#REF!</definedName>
    <definedName name="Deriv_Grade_5">#REF!</definedName>
    <definedName name="Deriv_Grade_6" localSheetId="13">#REF!</definedName>
    <definedName name="Deriv_Grade_6" localSheetId="7">#REF!</definedName>
    <definedName name="Deriv_Grade_6">#REF!</definedName>
    <definedName name="Deriv_GrossRev_1" localSheetId="13">#REF!</definedName>
    <definedName name="Deriv_GrossRev_1" localSheetId="7">#REF!</definedName>
    <definedName name="Deriv_GrossRev_1">#REF!</definedName>
    <definedName name="Deriv_GrossRev_2" localSheetId="13">#REF!</definedName>
    <definedName name="Deriv_GrossRev_2" localSheetId="7">#REF!</definedName>
    <definedName name="Deriv_GrossRev_2">#REF!</definedName>
    <definedName name="Deriv_GrossRev_3" localSheetId="13">#REF!</definedName>
    <definedName name="Deriv_GrossRev_3" localSheetId="7">#REF!</definedName>
    <definedName name="Deriv_GrossRev_3">#REF!</definedName>
    <definedName name="Deriv_GrossRev_4" localSheetId="13">#REF!</definedName>
    <definedName name="Deriv_GrossRev_4" localSheetId="7">#REF!</definedName>
    <definedName name="Deriv_GrossRev_4">#REF!</definedName>
    <definedName name="Deriv_GrossRev_5" localSheetId="13">#REF!</definedName>
    <definedName name="Deriv_GrossRev_5" localSheetId="7">#REF!</definedName>
    <definedName name="Deriv_GrossRev_5">#REF!</definedName>
    <definedName name="Deriv_GrossRev_6" localSheetId="13">#REF!</definedName>
    <definedName name="Deriv_GrossRev_6" localSheetId="7">#REF!</definedName>
    <definedName name="Deriv_GrossRev_6">#REF!</definedName>
    <definedName name="Deriv_Income_Cash" localSheetId="13">#REF!</definedName>
    <definedName name="Deriv_Income_Cash" localSheetId="7">#REF!</definedName>
    <definedName name="Deriv_Income_Cash">#REF!</definedName>
    <definedName name="Deriv_Income_FASB" localSheetId="13">#REF!</definedName>
    <definedName name="Deriv_Income_FASB" localSheetId="7">#REF!</definedName>
    <definedName name="Deriv_Income_FASB">#REF!</definedName>
    <definedName name="Deriv_NetRev_1" localSheetId="13">#REF!</definedName>
    <definedName name="Deriv_NetRev_1" localSheetId="7">#REF!</definedName>
    <definedName name="Deriv_NetRev_1">#REF!</definedName>
    <definedName name="Deriv_NetRev_2" localSheetId="13">#REF!</definedName>
    <definedName name="Deriv_NetRev_2" localSheetId="7">#REF!</definedName>
    <definedName name="Deriv_NetRev_2">#REF!</definedName>
    <definedName name="Deriv_NetRev_3" localSheetId="13">#REF!</definedName>
    <definedName name="Deriv_NetRev_3" localSheetId="7">#REF!</definedName>
    <definedName name="Deriv_NetRev_3">#REF!</definedName>
    <definedName name="Deriv_NetRev_4" localSheetId="13">#REF!</definedName>
    <definedName name="Deriv_NetRev_4" localSheetId="7">#REF!</definedName>
    <definedName name="Deriv_NetRev_4">#REF!</definedName>
    <definedName name="Deriv_NetRev_5" localSheetId="13">#REF!</definedName>
    <definedName name="Deriv_NetRev_5" localSheetId="7">#REF!</definedName>
    <definedName name="Deriv_NetRev_5">#REF!</definedName>
    <definedName name="Deriv_NetRev_6" localSheetId="13">#REF!</definedName>
    <definedName name="Deriv_NetRev_6" localSheetId="7">#REF!</definedName>
    <definedName name="Deriv_NetRev_6">#REF!</definedName>
    <definedName name="Deriv_Notional_1" localSheetId="13">#REF!</definedName>
    <definedName name="Deriv_Notional_1" localSheetId="7">#REF!</definedName>
    <definedName name="Deriv_Notional_1">#REF!</definedName>
    <definedName name="Deriv_Notional_2" localSheetId="13">#REF!</definedName>
    <definedName name="Deriv_Notional_2" localSheetId="7">#REF!</definedName>
    <definedName name="Deriv_Notional_2">#REF!</definedName>
    <definedName name="Deriv_Notional_3" localSheetId="13">#REF!</definedName>
    <definedName name="Deriv_Notional_3" localSheetId="7">#REF!</definedName>
    <definedName name="Deriv_Notional_3">#REF!</definedName>
    <definedName name="Deriv_Notional_4" localSheetId="13">#REF!</definedName>
    <definedName name="Deriv_Notional_4" localSheetId="7">#REF!</definedName>
    <definedName name="Deriv_Notional_4">#REF!</definedName>
    <definedName name="Deriv_Notional_5" localSheetId="13">#REF!</definedName>
    <definedName name="Deriv_Notional_5" localSheetId="7">#REF!</definedName>
    <definedName name="Deriv_Notional_5">#REF!</definedName>
    <definedName name="Deriv_Notional_6" localSheetId="13">#REF!</definedName>
    <definedName name="Deriv_Notional_6" localSheetId="7">#REF!</definedName>
    <definedName name="Deriv_Notional_6">#REF!</definedName>
    <definedName name="Deriv_remain_term1" localSheetId="13">#REF!</definedName>
    <definedName name="Deriv_remain_term1" localSheetId="7">#REF!</definedName>
    <definedName name="Deriv_remain_term1">#REF!</definedName>
    <definedName name="Deriv_remain_term2" localSheetId="13">#REF!</definedName>
    <definedName name="Deriv_remain_term2" localSheetId="7">#REF!</definedName>
    <definedName name="Deriv_remain_term2">#REF!</definedName>
    <definedName name="Deriv_remain_term3" localSheetId="13">#REF!</definedName>
    <definedName name="Deriv_remain_term3" localSheetId="7">#REF!</definedName>
    <definedName name="Deriv_remain_term3">#REF!</definedName>
    <definedName name="Deriv_remain_term4" localSheetId="13">#REF!</definedName>
    <definedName name="Deriv_remain_term4" localSheetId="7">#REF!</definedName>
    <definedName name="Deriv_remain_term4">#REF!</definedName>
    <definedName name="Deriv_remain_term5" localSheetId="13">#REF!</definedName>
    <definedName name="Deriv_remain_term5" localSheetId="7">#REF!</definedName>
    <definedName name="Deriv_remain_term5">#REF!</definedName>
    <definedName name="Deriv_remain_term6" localSheetId="13">#REF!</definedName>
    <definedName name="Deriv_remain_term6" localSheetId="7">#REF!</definedName>
    <definedName name="Deriv_remain_term6">#REF!</definedName>
    <definedName name="Deriv_Status_1" localSheetId="13">#REF!</definedName>
    <definedName name="Deriv_Status_1" localSheetId="7">#REF!</definedName>
    <definedName name="Deriv_Status_1">#REF!</definedName>
    <definedName name="Deriv_Status_2" localSheetId="13">#REF!</definedName>
    <definedName name="Deriv_Status_2" localSheetId="7">#REF!</definedName>
    <definedName name="Deriv_Status_2">#REF!</definedName>
    <definedName name="Deriv_Status_3" localSheetId="13">#REF!</definedName>
    <definedName name="Deriv_Status_3" localSheetId="7">#REF!</definedName>
    <definedName name="Deriv_Status_3">#REF!</definedName>
    <definedName name="Deriv_Status_4" localSheetId="13">#REF!</definedName>
    <definedName name="Deriv_Status_4" localSheetId="7">#REF!</definedName>
    <definedName name="Deriv_Status_4">#REF!</definedName>
    <definedName name="Deriv_Status_5" localSheetId="13">#REF!</definedName>
    <definedName name="Deriv_Status_5" localSheetId="7">#REF!</definedName>
    <definedName name="Deriv_Status_5">#REF!</definedName>
    <definedName name="Deriv_Status_6" localSheetId="13">#REF!</definedName>
    <definedName name="Deriv_Status_6" localSheetId="7">#REF!</definedName>
    <definedName name="Deriv_Status_6">#REF!</definedName>
    <definedName name="Deriv_Term_1" localSheetId="13">#REF!</definedName>
    <definedName name="Deriv_Term_1" localSheetId="7">#REF!</definedName>
    <definedName name="Deriv_Term_1">#REF!</definedName>
    <definedName name="Deriv_Term_2" localSheetId="13">#REF!</definedName>
    <definedName name="Deriv_Term_2" localSheetId="7">#REF!</definedName>
    <definedName name="Deriv_Term_2">#REF!</definedName>
    <definedName name="Deriv_Term_3" localSheetId="13">#REF!</definedName>
    <definedName name="Deriv_Term_3" localSheetId="7">#REF!</definedName>
    <definedName name="Deriv_Term_3">#REF!</definedName>
    <definedName name="Deriv_Term_4" localSheetId="13">#REF!</definedName>
    <definedName name="Deriv_Term_4" localSheetId="7">#REF!</definedName>
    <definedName name="Deriv_Term_4">#REF!</definedName>
    <definedName name="Deriv_Term_5" localSheetId="13">#REF!</definedName>
    <definedName name="Deriv_Term_5" localSheetId="7">#REF!</definedName>
    <definedName name="Deriv_Term_5">#REF!</definedName>
    <definedName name="Deriv_Term_6" localSheetId="13">#REF!</definedName>
    <definedName name="Deriv_Term_6" localSheetId="7">#REF!</definedName>
    <definedName name="Deriv_Term_6">#REF!</definedName>
    <definedName name="Design_Professional_Type" localSheetId="13">#REF!</definedName>
    <definedName name="Design_Professional_Type" localSheetId="7">#REF!</definedName>
    <definedName name="Design_Professional_Type">#REF!</definedName>
    <definedName name="DEVELOPER_S_NEW_EQUITY_RETURN" localSheetId="13">#REF!</definedName>
    <definedName name="DEVELOPER_S_NEW_EQUITY_RETURN" localSheetId="7">#REF!</definedName>
    <definedName name="DEVELOPER_S_NEW_EQUITY_RETURN">#REF!</definedName>
    <definedName name="dghghfg">[9]A!$A$132:$Q$192</definedName>
    <definedName name="Differential_1" localSheetId="13">#REF!</definedName>
    <definedName name="Differential_1" localSheetId="9">#REF!</definedName>
    <definedName name="Differential_1" localSheetId="8">#REF!</definedName>
    <definedName name="Differential_1" localSheetId="7">#REF!</definedName>
    <definedName name="Differential_1">#REF!</definedName>
    <definedName name="Differential_2" localSheetId="13">#REF!</definedName>
    <definedName name="Differential_2" localSheetId="8">#REF!</definedName>
    <definedName name="Differential_2" localSheetId="7">#REF!</definedName>
    <definedName name="Differential_2">#REF!</definedName>
    <definedName name="Differential_3" localSheetId="13">#REF!</definedName>
    <definedName name="Differential_3" localSheetId="8">#REF!</definedName>
    <definedName name="Differential_3" localSheetId="7">#REF!</definedName>
    <definedName name="Differential_3">#REF!</definedName>
    <definedName name="Differential_4" localSheetId="13">#REF!</definedName>
    <definedName name="Differential_4" localSheetId="7">#REF!</definedName>
    <definedName name="Differential_4">#REF!</definedName>
    <definedName name="Differential_5" localSheetId="13">#REF!</definedName>
    <definedName name="Differential_5" localSheetId="7">#REF!</definedName>
    <definedName name="Differential_5">#REF!</definedName>
    <definedName name="Differential_6" localSheetId="13">#REF!</definedName>
    <definedName name="Differential_6" localSheetId="7">#REF!</definedName>
    <definedName name="Differential_6">#REF!</definedName>
    <definedName name="DIRECT" localSheetId="13">#REF!</definedName>
    <definedName name="DIRECT" localSheetId="7">#REF!</definedName>
    <definedName name="DIRECT">#REF!</definedName>
    <definedName name="DISBURSE" localSheetId="13">#REF!</definedName>
    <definedName name="DISBURSE" localSheetId="7">#REF!</definedName>
    <definedName name="DISBURSE">#REF!</definedName>
    <definedName name="DISCOUNT" localSheetId="13">#REF!</definedName>
    <definedName name="DISCOUNT" localSheetId="7">#REF!</definedName>
    <definedName name="DISCOUNT">#REF!</definedName>
    <definedName name="Discount_rate" localSheetId="13">#REF!</definedName>
    <definedName name="Discount_rate" localSheetId="7">#REF!</definedName>
    <definedName name="Discount_rate">#REF!</definedName>
    <definedName name="Division_Name" localSheetId="13">#REF!</definedName>
    <definedName name="Division_Name" localSheetId="7">#REF!</definedName>
    <definedName name="Division_Name">#REF!</definedName>
    <definedName name="DivisionName">[22]Assumptions!$C$6</definedName>
    <definedName name="down" localSheetId="13">#REF!</definedName>
    <definedName name="down" localSheetId="9">#REF!</definedName>
    <definedName name="down" localSheetId="8">#REF!</definedName>
    <definedName name="down" localSheetId="7">#REF!</definedName>
    <definedName name="down">#REF!</definedName>
    <definedName name="down04" localSheetId="13">#REF!</definedName>
    <definedName name="down04" localSheetId="8">#REF!</definedName>
    <definedName name="down04" localSheetId="7">#REF!</definedName>
    <definedName name="down04">#REF!</definedName>
    <definedName name="DOWNLOAD" localSheetId="13">#REF!</definedName>
    <definedName name="DOWNLOAD" localSheetId="8">#REF!</definedName>
    <definedName name="DOWNLOAD" localSheetId="7">#REF!</definedName>
    <definedName name="DOWNLOAD">#REF!</definedName>
    <definedName name="download1" localSheetId="13">#REF!</definedName>
    <definedName name="download1" localSheetId="7">#REF!</definedName>
    <definedName name="download1">#REF!</definedName>
    <definedName name="download3" localSheetId="13">#REF!</definedName>
    <definedName name="download3" localSheetId="7">#REF!</definedName>
    <definedName name="download3">#REF!</definedName>
    <definedName name="DRAName">[10]Assumptions!#REF!</definedName>
    <definedName name="DRIVER" localSheetId="13">#REF!</definedName>
    <definedName name="DRIVER" localSheetId="9">#REF!</definedName>
    <definedName name="DRIVER" localSheetId="8">#REF!</definedName>
    <definedName name="DRIVER" localSheetId="7">#REF!</definedName>
    <definedName name="DRIVER">#REF!</definedName>
    <definedName name="DSCR">[12]Proforma!$G$34</definedName>
    <definedName name="dsfsdgf" localSheetId="13">#REF!</definedName>
    <definedName name="dsfsdgf" localSheetId="9">#REF!</definedName>
    <definedName name="dsfsdgf" localSheetId="8">#REF!</definedName>
    <definedName name="dsfsdgf" localSheetId="7">#REF!</definedName>
    <definedName name="dsfsdgf">#REF!</definedName>
    <definedName name="dsra" localSheetId="13">#REF!</definedName>
    <definedName name="dsra" localSheetId="8">#REF!</definedName>
    <definedName name="dsra" localSheetId="7">#REF!</definedName>
    <definedName name="dsra">#REF!</definedName>
    <definedName name="dsrb" localSheetId="13">#REF!</definedName>
    <definedName name="dsrb" localSheetId="8">#REF!</definedName>
    <definedName name="dsrb" localSheetId="7">#REF!</definedName>
    <definedName name="dsrb">#REF!</definedName>
    <definedName name="dsrrate" localSheetId="13">#REF!</definedName>
    <definedName name="dsrrate" localSheetId="7">#REF!</definedName>
    <definedName name="dsrrate">#REF!</definedName>
    <definedName name="dur" localSheetId="13">#REF!</definedName>
    <definedName name="dur" localSheetId="7">#REF!</definedName>
    <definedName name="dur">#REF!</definedName>
    <definedName name="e">[28]ACH!#REF!</definedName>
    <definedName name="ebal" localSheetId="13">#REF!</definedName>
    <definedName name="ebal" localSheetId="9">#REF!</definedName>
    <definedName name="ebal" localSheetId="8">#REF!</definedName>
    <definedName name="ebal" localSheetId="7">#REF!</definedName>
    <definedName name="ebal">#REF!</definedName>
    <definedName name="EconProfit_1" localSheetId="13">#REF!</definedName>
    <definedName name="EconProfit_1" localSheetId="8">#REF!</definedName>
    <definedName name="EconProfit_1" localSheetId="7">#REF!</definedName>
    <definedName name="EconProfit_1">#REF!</definedName>
    <definedName name="EconProfit_2" localSheetId="13">#REF!</definedName>
    <definedName name="EconProfit_2" localSheetId="8">#REF!</definedName>
    <definedName name="EconProfit_2" localSheetId="7">#REF!</definedName>
    <definedName name="EconProfit_2">#REF!</definedName>
    <definedName name="EconProfit_3" localSheetId="13">#REF!</definedName>
    <definedName name="EconProfit_3" localSheetId="7">#REF!</definedName>
    <definedName name="EconProfit_3">#REF!</definedName>
    <definedName name="EconProfit_4" localSheetId="13">#REF!</definedName>
    <definedName name="EconProfit_4" localSheetId="7">#REF!</definedName>
    <definedName name="EconProfit_4">#REF!</definedName>
    <definedName name="EconProfit_5" localSheetId="13">#REF!</definedName>
    <definedName name="EconProfit_5" localSheetId="7">#REF!</definedName>
    <definedName name="EconProfit_5">#REF!</definedName>
    <definedName name="EconProfit_6" localSheetId="13">#REF!</definedName>
    <definedName name="EconProfit_6" localSheetId="7">#REF!</definedName>
    <definedName name="EconProfit_6">#REF!</definedName>
    <definedName name="ECPI" localSheetId="13">#REF!</definedName>
    <definedName name="ECPI" localSheetId="7">#REF!</definedName>
    <definedName name="ECPI">#REF!</definedName>
    <definedName name="ECR_Margin" localSheetId="13">#REF!</definedName>
    <definedName name="ECR_Margin" localSheetId="7">#REF!</definedName>
    <definedName name="ECR_Margin">#REF!</definedName>
    <definedName name="egdf" localSheetId="13">#REF!</definedName>
    <definedName name="egdf" localSheetId="7">#REF!</definedName>
    <definedName name="egdf">#REF!</definedName>
    <definedName name="Employee_Contrib" localSheetId="13">#REF!</definedName>
    <definedName name="Employee_Contrib" localSheetId="7">#REF!</definedName>
    <definedName name="Employee_Contrib">#REF!</definedName>
    <definedName name="Ending.Balance" localSheetId="13">IF(#REF!&lt;&gt;"",#REF!-#REF!,"")</definedName>
    <definedName name="Ending.Balance" localSheetId="9">IF(#REF!&lt;&gt;"",#REF!-#REF!,"")</definedName>
    <definedName name="Ending.Balance" localSheetId="8">IF(#REF!&lt;&gt;"",#REF!-#REF!,"")</definedName>
    <definedName name="Ending.Balance" localSheetId="7">IF(#REF!&lt;&gt;"",#REF!-#REF!,"")</definedName>
    <definedName name="Ending.Balance">IF(#REF!&lt;&gt;"",#REF!-#REF!,"")</definedName>
    <definedName name="endout" localSheetId="13">#REF!</definedName>
    <definedName name="endout" localSheetId="7">#REF!</definedName>
    <definedName name="endout">#REF!</definedName>
    <definedName name="Entered_payment" localSheetId="13">#REF!</definedName>
    <definedName name="Entered_payment" localSheetId="7">#REF!</definedName>
    <definedName name="Entered_payment">#REF!</definedName>
    <definedName name="Equal_Principal_Annual_Table" localSheetId="13">#REF!</definedName>
    <definedName name="Equal_Principal_Annual_Table" localSheetId="7">#REF!</definedName>
    <definedName name="Equal_Principal_Annual_Table">#REF!</definedName>
    <definedName name="Equal_Principal_Monthly_Table" localSheetId="13">#REF!</definedName>
    <definedName name="Equal_Principal_Monthly_Table" localSheetId="7">#REF!</definedName>
    <definedName name="Equal_Principal_Monthly_Table">#REF!</definedName>
    <definedName name="Equal_Principal_Quarterly_Table" localSheetId="13">#REF!</definedName>
    <definedName name="Equal_Principal_Quarterly_Table" localSheetId="7">#REF!</definedName>
    <definedName name="Equal_Principal_Quarterly_Table">#REF!</definedName>
    <definedName name="EQUITY" localSheetId="13">#REF!</definedName>
    <definedName name="EQUITY" localSheetId="7">#REF!</definedName>
    <definedName name="EQUITY">#REF!</definedName>
    <definedName name="Equity_1" localSheetId="13">#REF!</definedName>
    <definedName name="Equity_1" localSheetId="7">#REF!</definedName>
    <definedName name="Equity_1">#REF!</definedName>
    <definedName name="Equity_2" localSheetId="13">#REF!</definedName>
    <definedName name="Equity_2" localSheetId="7">#REF!</definedName>
    <definedName name="Equity_2">#REF!</definedName>
    <definedName name="Equity_3" localSheetId="13">#REF!</definedName>
    <definedName name="Equity_3" localSheetId="7">#REF!</definedName>
    <definedName name="Equity_3">#REF!</definedName>
    <definedName name="Equity_4" localSheetId="13">#REF!</definedName>
    <definedName name="Equity_4" localSheetId="7">#REF!</definedName>
    <definedName name="Equity_4">#REF!</definedName>
    <definedName name="Equity_5" localSheetId="13">#REF!</definedName>
    <definedName name="Equity_5" localSheetId="7">#REF!</definedName>
    <definedName name="Equity_5">#REF!</definedName>
    <definedName name="Equity_6" localSheetId="13">#REF!</definedName>
    <definedName name="Equity_6" localSheetId="7">#REF!</definedName>
    <definedName name="Equity_6">#REF!</definedName>
    <definedName name="Equity_Grade" localSheetId="13">#REF!</definedName>
    <definedName name="Equity_Grade" localSheetId="7">#REF!</definedName>
    <definedName name="Equity_Grade">#REF!</definedName>
    <definedName name="Equity_Lookup" localSheetId="13">#REF!</definedName>
    <definedName name="Equity_Lookup" localSheetId="7">#REF!</definedName>
    <definedName name="Equity_Lookup">#REF!</definedName>
    <definedName name="Equity_TaxFactor" localSheetId="13">#REF!</definedName>
    <definedName name="Equity_TaxFactor" localSheetId="7">#REF!</definedName>
    <definedName name="Equity_TaxFactor">#REF!</definedName>
    <definedName name="Equity_WAvgLife_1" localSheetId="13">#REF!</definedName>
    <definedName name="Equity_WAvgLife_1" localSheetId="7">#REF!</definedName>
    <definedName name="Equity_WAvgLife_1">#REF!</definedName>
    <definedName name="Equity_WAvgLife_2" localSheetId="13">#REF!</definedName>
    <definedName name="Equity_WAvgLife_2" localSheetId="7">#REF!</definedName>
    <definedName name="Equity_WAvgLife_2">#REF!</definedName>
    <definedName name="Equity_WAvgLife_3" localSheetId="13">#REF!</definedName>
    <definedName name="Equity_WAvgLife_3" localSheetId="7">#REF!</definedName>
    <definedName name="Equity_WAvgLife_3">#REF!</definedName>
    <definedName name="Equity_WAvgLife_4" localSheetId="13">#REF!</definedName>
    <definedName name="Equity_WAvgLife_4" localSheetId="7">#REF!</definedName>
    <definedName name="Equity_WAvgLife_4">#REF!</definedName>
    <definedName name="Equity_WAvgLife_5" localSheetId="13">#REF!</definedName>
    <definedName name="Equity_WAvgLife_5" localSheetId="7">#REF!</definedName>
    <definedName name="Equity_WAvgLife_5">#REF!</definedName>
    <definedName name="Equity_WAvgLife_6" localSheetId="13">#REF!</definedName>
    <definedName name="Equity_WAvgLife_6" localSheetId="7">#REF!</definedName>
    <definedName name="Equity_WAvgLife_6">#REF!</definedName>
    <definedName name="EquityLegal_lookup" localSheetId="13">#REF!</definedName>
    <definedName name="EquityLegal_lookup" localSheetId="7">#REF!</definedName>
    <definedName name="EquityLegal_lookup">#REF!</definedName>
    <definedName name="ergregaa">'[3]AVI-JV-PROFORMA'!#REF!</definedName>
    <definedName name="ergterg" localSheetId="13">#REF!</definedName>
    <definedName name="ergterg" localSheetId="9">#REF!</definedName>
    <definedName name="ergterg" localSheetId="8">#REF!</definedName>
    <definedName name="ergterg" localSheetId="7">#REF!</definedName>
    <definedName name="ergterg">#REF!</definedName>
    <definedName name="Error_Message_1" localSheetId="13">#REF!</definedName>
    <definedName name="Error_Message_1" localSheetId="8">#REF!</definedName>
    <definedName name="Error_Message_1" localSheetId="7">#REF!</definedName>
    <definedName name="Error_Message_1">#REF!</definedName>
    <definedName name="Error_Message_10" localSheetId="13">#REF!</definedName>
    <definedName name="Error_Message_10" localSheetId="8">#REF!</definedName>
    <definedName name="Error_Message_10" localSheetId="7">#REF!</definedName>
    <definedName name="Error_Message_10">#REF!</definedName>
    <definedName name="Error_Message_11" localSheetId="13">#REF!</definedName>
    <definedName name="Error_Message_11" localSheetId="7">#REF!</definedName>
    <definedName name="Error_Message_11">#REF!</definedName>
    <definedName name="Error_Message_12" localSheetId="13">#REF!</definedName>
    <definedName name="Error_Message_12" localSheetId="7">#REF!</definedName>
    <definedName name="Error_Message_12">#REF!</definedName>
    <definedName name="Error_Message_2" localSheetId="13">#REF!</definedName>
    <definedName name="Error_Message_2" localSheetId="7">#REF!</definedName>
    <definedName name="Error_Message_2">#REF!</definedName>
    <definedName name="Error_Message_3" localSheetId="13">#REF!</definedName>
    <definedName name="Error_Message_3" localSheetId="7">#REF!</definedName>
    <definedName name="Error_Message_3">#REF!</definedName>
    <definedName name="Error_Message_4" localSheetId="13">#REF!</definedName>
    <definedName name="Error_Message_4" localSheetId="7">#REF!</definedName>
    <definedName name="Error_Message_4">#REF!</definedName>
    <definedName name="Error_message_5" localSheetId="13">#REF!</definedName>
    <definedName name="Error_message_5" localSheetId="7">#REF!</definedName>
    <definedName name="Error_message_5">#REF!</definedName>
    <definedName name="Error_Message_6" localSheetId="13">#REF!</definedName>
    <definedName name="Error_Message_6" localSheetId="7">#REF!</definedName>
    <definedName name="Error_Message_6">#REF!</definedName>
    <definedName name="Error_Message_7" localSheetId="13">#REF!</definedName>
    <definedName name="Error_Message_7" localSheetId="7">#REF!</definedName>
    <definedName name="Error_Message_7">#REF!</definedName>
    <definedName name="Error_Message_8" localSheetId="13">#REF!</definedName>
    <definedName name="Error_Message_8" localSheetId="7">#REF!</definedName>
    <definedName name="Error_Message_8">#REF!</definedName>
    <definedName name="Error_Message_9" localSheetId="13">#REF!</definedName>
    <definedName name="Error_Message_9" localSheetId="7">#REF!</definedName>
    <definedName name="Error_Message_9">#REF!</definedName>
    <definedName name="EST2003A">'[11]CFEST 2003A Consol'!$A$1</definedName>
    <definedName name="Eurosweep" localSheetId="13">#REF!</definedName>
    <definedName name="Eurosweep" localSheetId="9">#REF!</definedName>
    <definedName name="Eurosweep" localSheetId="8">#REF!</definedName>
    <definedName name="Eurosweep" localSheetId="7">#REF!</definedName>
    <definedName name="Eurosweep">#REF!</definedName>
    <definedName name="ewq">[29]Site!$D$133</definedName>
    <definedName name="Excess_Balances" localSheetId="13">#REF!</definedName>
    <definedName name="Excess_Balances" localSheetId="9">#REF!</definedName>
    <definedName name="Excess_Balances" localSheetId="8">#REF!</definedName>
    <definedName name="Excess_Balances" localSheetId="7">#REF!</definedName>
    <definedName name="Excess_Balances">#REF!</definedName>
    <definedName name="EXI.A1603.UNDERWRITTEN.E.I.X">[14]_EXICashFlowImport!$D$2</definedName>
    <definedName name="EXI.A1612.UNDERWRITTEN.E.I.X">[14]_EXICashFlowImport!$D$11</definedName>
    <definedName name="EXI.A1620.UNDERWRITTEN.E.I.X">[14]_EXICashFlowImport!$D$19</definedName>
    <definedName name="EXI.A3840.AMOUNT.E.I.X">[14]_EXIFunnelImport!$D$9</definedName>
    <definedName name="EXI.A3855.AMOUNT.E.I.X">[14]_EXIFunnelImport!$D$24</definedName>
    <definedName name="EXI.A4041.AMOUNT.E.I.X">[14]_EXIFunnelImport!$E$8</definedName>
    <definedName name="EXI.A4054.AMOUNT.E.I.X">[14]_EXIFunnelImport!$E$21</definedName>
    <definedName name="EXI.A4055.AMOUNT.E.I.X">[14]_EXIFunnelImport!$E$22</definedName>
    <definedName name="EXI.A4254.AMOUNT.E.I.X">[14]_EXIFunnelImport!$F$19</definedName>
    <definedName name="EXI.A4257.AMOUNT.E.I.X">[14]_EXIFunnelImport!$F$22</definedName>
    <definedName name="Existing_UpfrontFee_Cash_1" localSheetId="13">#REF!</definedName>
    <definedName name="Existing_UpfrontFee_Cash_1" localSheetId="9">#REF!</definedName>
    <definedName name="Existing_UpfrontFee_Cash_1" localSheetId="8">#REF!</definedName>
    <definedName name="Existing_UpfrontFee_Cash_1" localSheetId="7">#REF!</definedName>
    <definedName name="Existing_UpfrontFee_Cash_1">#REF!</definedName>
    <definedName name="Existing_UpfrontFee_Cash_2" localSheetId="13">#REF!</definedName>
    <definedName name="Existing_UpfrontFee_Cash_2" localSheetId="8">#REF!</definedName>
    <definedName name="Existing_UpfrontFee_Cash_2" localSheetId="7">#REF!</definedName>
    <definedName name="Existing_UpfrontFee_Cash_2">#REF!</definedName>
    <definedName name="Existing_UpfrontFee_Cash_3" localSheetId="13">#REF!</definedName>
    <definedName name="Existing_UpfrontFee_Cash_3" localSheetId="8">#REF!</definedName>
    <definedName name="Existing_UpfrontFee_Cash_3" localSheetId="7">#REF!</definedName>
    <definedName name="Existing_UpfrontFee_Cash_3">#REF!</definedName>
    <definedName name="Existing_UpfrontFee_Cash_4" localSheetId="13">#REF!</definedName>
    <definedName name="Existing_UpfrontFee_Cash_4" localSheetId="7">#REF!</definedName>
    <definedName name="Existing_UpfrontFee_Cash_4">#REF!</definedName>
    <definedName name="Existing_UpfrontFee_Cash_5" localSheetId="13">#REF!</definedName>
    <definedName name="Existing_UpfrontFee_Cash_5" localSheetId="7">#REF!</definedName>
    <definedName name="Existing_UpfrontFee_Cash_5">#REF!</definedName>
    <definedName name="Existing_UpfrontFee_Cash_6" localSheetId="13">#REF!</definedName>
    <definedName name="Existing_UpfrontFee_Cash_6" localSheetId="7">#REF!</definedName>
    <definedName name="Existing_UpfrontFee_Cash_6">#REF!</definedName>
    <definedName name="EXPENSE">'[3]AVI-JV-PROFORMA'!#REF!</definedName>
    <definedName name="ExpenseInflation1">[15]Assumptions!$C$74</definedName>
    <definedName name="ExpenseInflation2">[15]Assumptions!$D$74</definedName>
    <definedName name="ExpenseInflation3">[15]Assumptions!$E$74</definedName>
    <definedName name="EXPFACT" localSheetId="13">#REF!</definedName>
    <definedName name="EXPFACT" localSheetId="9">#REF!</definedName>
    <definedName name="EXPFACT" localSheetId="8">#REF!</definedName>
    <definedName name="EXPFACT" localSheetId="7">#REF!</definedName>
    <definedName name="EXPFACT">#REF!</definedName>
    <definedName name="EXPRESS_EXP" localSheetId="13">'[17]12_96 CAM'!#REF!</definedName>
    <definedName name="EXPRESS_EXP" localSheetId="9">'[17]12_96 CAM'!#REF!</definedName>
    <definedName name="EXPRESS_EXP" localSheetId="8">'[17]12_96 CAM'!#REF!</definedName>
    <definedName name="EXPRESS_EXP">'[17]12_96 CAM'!#REF!</definedName>
    <definedName name="EXPRESS_SQ" localSheetId="13">'[17]12_96 CAM'!#REF!</definedName>
    <definedName name="EXPRESS_SQ" localSheetId="9">'[17]12_96 CAM'!#REF!</definedName>
    <definedName name="EXPRESS_SQ" localSheetId="8">'[17]12_96 CAM'!#REF!</definedName>
    <definedName name="EXPRESS_SQ">'[17]12_96 CAM'!#REF!</definedName>
    <definedName name="EXPTABLE" localSheetId="13">[17]CAMINVBU!#REF!</definedName>
    <definedName name="EXPTABLE" localSheetId="9">[17]CAMINVBU!#REF!</definedName>
    <definedName name="EXPTABLE" localSheetId="8">[17]CAMINVBU!#REF!</definedName>
    <definedName name="EXPTABLE">[17]CAMINVBU!#REF!</definedName>
    <definedName name="externalappraisalltv" localSheetId="13">#REF!</definedName>
    <definedName name="externalappraisalltv" localSheetId="9">#REF!</definedName>
    <definedName name="externalappraisalltv" localSheetId="8">#REF!</definedName>
    <definedName name="externalappraisalltv" localSheetId="7">#REF!</definedName>
    <definedName name="externalappraisalltv">#REF!</definedName>
    <definedName name="Externalappraisalvalue" localSheetId="13">#REF!</definedName>
    <definedName name="Externalappraisalvalue" localSheetId="8">#REF!</definedName>
    <definedName name="Externalappraisalvalue" localSheetId="7">#REF!</definedName>
    <definedName name="Externalappraisalvalue">#REF!</definedName>
    <definedName name="extra" localSheetId="13">#REF!</definedName>
    <definedName name="extra" localSheetId="8">#REF!</definedName>
    <definedName name="extra" localSheetId="7">#REF!</definedName>
    <definedName name="extra">#REF!</definedName>
    <definedName name="Facility_1" localSheetId="13">#REF!</definedName>
    <definedName name="Facility_1" localSheetId="7">#REF!</definedName>
    <definedName name="Facility_1">#REF!</definedName>
    <definedName name="Facility_2" localSheetId="13">#REF!</definedName>
    <definedName name="Facility_2" localSheetId="7">#REF!</definedName>
    <definedName name="Facility_2">#REF!</definedName>
    <definedName name="Facility_3" localSheetId="13">#REF!</definedName>
    <definedName name="Facility_3" localSheetId="7">#REF!</definedName>
    <definedName name="Facility_3">#REF!</definedName>
    <definedName name="Facility_4" localSheetId="13">#REF!</definedName>
    <definedName name="Facility_4" localSheetId="7">#REF!</definedName>
    <definedName name="Facility_4">#REF!</definedName>
    <definedName name="Facility_5" localSheetId="13">#REF!</definedName>
    <definedName name="Facility_5" localSheetId="7">#REF!</definedName>
    <definedName name="Facility_5">#REF!</definedName>
    <definedName name="Facility_6" localSheetId="13">#REF!</definedName>
    <definedName name="Facility_6" localSheetId="7">#REF!</definedName>
    <definedName name="Facility_6">#REF!</definedName>
    <definedName name="Facility_Overhead" localSheetId="13">#REF!</definedName>
    <definedName name="Facility_Overhead" localSheetId="7">#REF!</definedName>
    <definedName name="Facility_Overhead">#REF!</definedName>
    <definedName name="FACILITY_RATING_FROM_MODEL" localSheetId="13">#REF!</definedName>
    <definedName name="FACILITY_RATING_FROM_MODEL" localSheetId="7">#REF!</definedName>
    <definedName name="FACILITY_RATING_FROM_MODEL">#REF!</definedName>
    <definedName name="FACILITY_RATING_PER_RM" localSheetId="13">#REF!</definedName>
    <definedName name="FACILITY_RATING_PER_RM" localSheetId="7">#REF!</definedName>
    <definedName name="FACILITY_RATING_PER_RM">#REF!</definedName>
    <definedName name="Facility_Status_1" localSheetId="13">#REF!</definedName>
    <definedName name="Facility_Status_1" localSheetId="7">#REF!</definedName>
    <definedName name="Facility_Status_1">#REF!</definedName>
    <definedName name="Facility_Status_2" localSheetId="13">#REF!</definedName>
    <definedName name="Facility_Status_2" localSheetId="7">#REF!</definedName>
    <definedName name="Facility_Status_2">#REF!</definedName>
    <definedName name="Facility_Status_3" localSheetId="13">#REF!</definedName>
    <definedName name="Facility_Status_3" localSheetId="7">#REF!</definedName>
    <definedName name="Facility_Status_3">#REF!</definedName>
    <definedName name="Facility_Status_4" localSheetId="13">#REF!</definedName>
    <definedName name="Facility_Status_4" localSheetId="7">#REF!</definedName>
    <definedName name="Facility_Status_4">#REF!</definedName>
    <definedName name="Facility_Status_5" localSheetId="13">#REF!</definedName>
    <definedName name="Facility_Status_5" localSheetId="7">#REF!</definedName>
    <definedName name="Facility_Status_5">#REF!</definedName>
    <definedName name="Facility_Status_6" localSheetId="13">#REF!</definedName>
    <definedName name="Facility_Status_6" localSheetId="7">#REF!</definedName>
    <definedName name="Facility_Status_6">#REF!</definedName>
    <definedName name="Facility_Status_Deriv1" localSheetId="13">#REF!</definedName>
    <definedName name="Facility_Status_Deriv1" localSheetId="7">#REF!</definedName>
    <definedName name="Facility_Status_Deriv1">#REF!</definedName>
    <definedName name="Facility_Status_Deriv2" localSheetId="13">#REF!</definedName>
    <definedName name="Facility_Status_Deriv2" localSheetId="7">#REF!</definedName>
    <definedName name="Facility_Status_Deriv2">#REF!</definedName>
    <definedName name="Facility_Status_Deriv3" localSheetId="13">#REF!</definedName>
    <definedName name="Facility_Status_Deriv3" localSheetId="7">#REF!</definedName>
    <definedName name="Facility_Status_Deriv3">#REF!</definedName>
    <definedName name="Facility_Status_Deriv4" localSheetId="13">#REF!</definedName>
    <definedName name="Facility_Status_Deriv4" localSheetId="7">#REF!</definedName>
    <definedName name="Facility_Status_Deriv4">#REF!</definedName>
    <definedName name="Facility_Status_Deriv5" localSheetId="13">#REF!</definedName>
    <definedName name="Facility_Status_Deriv5" localSheetId="7">#REF!</definedName>
    <definedName name="Facility_Status_Deriv5">#REF!</definedName>
    <definedName name="Facility_Status_Deriv6" localSheetId="13">#REF!</definedName>
    <definedName name="Facility_Status_Deriv6" localSheetId="7">#REF!</definedName>
    <definedName name="Facility_Status_Deriv6">#REF!</definedName>
    <definedName name="FASB_1" localSheetId="13">#REF!</definedName>
    <definedName name="FASB_1" localSheetId="7">#REF!</definedName>
    <definedName name="FASB_1">#REF!</definedName>
    <definedName name="FASB_2" localSheetId="13">#REF!</definedName>
    <definedName name="FASB_2" localSheetId="7">#REF!</definedName>
    <definedName name="FASB_2">#REF!</definedName>
    <definedName name="FASB_3" localSheetId="13">#REF!</definedName>
    <definedName name="FASB_3" localSheetId="7">#REF!</definedName>
    <definedName name="FASB_3">#REF!</definedName>
    <definedName name="FASB_4" localSheetId="13">#REF!</definedName>
    <definedName name="FASB_4" localSheetId="7">#REF!</definedName>
    <definedName name="FASB_4">#REF!</definedName>
    <definedName name="FASB_5" localSheetId="13">#REF!</definedName>
    <definedName name="FASB_5" localSheetId="7">#REF!</definedName>
    <definedName name="FASB_5">#REF!</definedName>
    <definedName name="FASB_6" localSheetId="13">#REF!</definedName>
    <definedName name="FASB_6" localSheetId="7">#REF!</definedName>
    <definedName name="FASB_6">#REF!</definedName>
    <definedName name="FASB_Total_Income" localSheetId="13">#REF!</definedName>
    <definedName name="FASB_Total_Income" localSheetId="7">#REF!</definedName>
    <definedName name="FASB_Total_Income">#REF!</definedName>
    <definedName name="fd" hidden="1">'[30]0900'!#REF!</definedName>
    <definedName name="fdef" localSheetId="13">#REF!</definedName>
    <definedName name="fdef" localSheetId="9">#REF!</definedName>
    <definedName name="fdef" localSheetId="8">#REF!</definedName>
    <definedName name="fdef" localSheetId="7">#REF!</definedName>
    <definedName name="fdef">#REF!</definedName>
    <definedName name="fdsa">[29]Site!$D$67</definedName>
    <definedName name="fee">'[31]Inc Rec'!$A$9:$J$650</definedName>
    <definedName name="FEES" localSheetId="13">#REF!</definedName>
    <definedName name="FEES" localSheetId="9">#REF!</definedName>
    <definedName name="FEES" localSheetId="8">#REF!</definedName>
    <definedName name="FEES" localSheetId="7">#REF!</definedName>
    <definedName name="FEES">#REF!</definedName>
    <definedName name="fghgdh">[9]A!$A$37:$Q$83</definedName>
    <definedName name="Financial_Summary" localSheetId="13">#REF!</definedName>
    <definedName name="Financial_Summary" localSheetId="9">#REF!</definedName>
    <definedName name="Financial_Summary" localSheetId="8">#REF!</definedName>
    <definedName name="Financial_Summary" localSheetId="7">#REF!</definedName>
    <definedName name="Financial_Summary">#REF!</definedName>
    <definedName name="first" localSheetId="13">#REF!</definedName>
    <definedName name="first" localSheetId="8">#REF!</definedName>
    <definedName name="first" localSheetId="7">#REF!</definedName>
    <definedName name="first">#REF!</definedName>
    <definedName name="First_payment_due" localSheetId="13">#REF!</definedName>
    <definedName name="First_payment_due" localSheetId="8">#REF!</definedName>
    <definedName name="First_payment_due" localSheetId="7">#REF!</definedName>
    <definedName name="First_payment_due">#REF!</definedName>
    <definedName name="First_payment_no" localSheetId="13">#REF!</definedName>
    <definedName name="First_payment_no" localSheetId="7">#REF!</definedName>
    <definedName name="First_payment_no">#REF!</definedName>
    <definedName name="FIRST_PROTECT">'[18]FIRST P'!$A$13:$P$46</definedName>
    <definedName name="fix" localSheetId="13">#REF!</definedName>
    <definedName name="fix" localSheetId="9">#REF!</definedName>
    <definedName name="fix" localSheetId="8">#REF!</definedName>
    <definedName name="fix" localSheetId="7">#REF!</definedName>
    <definedName name="fix">#REF!</definedName>
    <definedName name="fnjh" localSheetId="13">#REF!</definedName>
    <definedName name="fnjh" localSheetId="8">#REF!</definedName>
    <definedName name="fnjh" localSheetId="7">#REF!</definedName>
    <definedName name="fnjh">#REF!</definedName>
    <definedName name="FORCE">[18]FORCE!$A$13:$P$38</definedName>
    <definedName name="format">'[32]P TAX INV (2)'!$A$69:$H$132</definedName>
    <definedName name="FORTIS" localSheetId="13">#REF!</definedName>
    <definedName name="FORTIS" localSheetId="9">#REF!</definedName>
    <definedName name="FORTIS" localSheetId="8">#REF!</definedName>
    <definedName name="FORTIS" localSheetId="7">#REF!</definedName>
    <definedName name="FORTIS">#REF!</definedName>
    <definedName name="Free" localSheetId="13">'[3]AVI-JV-PROFORMA'!#REF!</definedName>
    <definedName name="Free" localSheetId="9">'[3]AVI-JV-PROFORMA'!#REF!</definedName>
    <definedName name="Free" localSheetId="8">'[3]AVI-JV-PROFORMA'!#REF!</definedName>
    <definedName name="Free">'[3]AVI-JV-PROFORMA'!#REF!</definedName>
    <definedName name="freee" localSheetId="13">'[5]AVI-JV-PROFORMA'!#REF!</definedName>
    <definedName name="freee" localSheetId="9">'[5]AVI-JV-PROFORMA'!#REF!</definedName>
    <definedName name="freee" localSheetId="8">'[5]AVI-JV-PROFORMA'!#REF!</definedName>
    <definedName name="freee">'[5]AVI-JV-PROFORMA'!#REF!</definedName>
    <definedName name="FULL" localSheetId="13">#REF!</definedName>
    <definedName name="FULL" localSheetId="9">#REF!</definedName>
    <definedName name="FULL" localSheetId="8">#REF!</definedName>
    <definedName name="FULL" localSheetId="7">#REF!</definedName>
    <definedName name="FULL">#REF!</definedName>
    <definedName name="FUNDING_COST1" localSheetId="13">#REF!</definedName>
    <definedName name="FUNDING_COST1" localSheetId="8">#REF!</definedName>
    <definedName name="FUNDING_COST1" localSheetId="7">#REF!</definedName>
    <definedName name="FUNDING_COST1">#REF!</definedName>
    <definedName name="FUNDING_COST2" localSheetId="13">#REF!</definedName>
    <definedName name="FUNDING_COST2" localSheetId="8">#REF!</definedName>
    <definedName name="FUNDING_COST2" localSheetId="7">#REF!</definedName>
    <definedName name="FUNDING_COST2">#REF!</definedName>
    <definedName name="FUNDING_COST3" localSheetId="13">#REF!</definedName>
    <definedName name="FUNDING_COST3" localSheetId="7">#REF!</definedName>
    <definedName name="FUNDING_COST3">#REF!</definedName>
    <definedName name="FUNDING_COST4" localSheetId="13">#REF!</definedName>
    <definedName name="FUNDING_COST4" localSheetId="7">#REF!</definedName>
    <definedName name="FUNDING_COST4">#REF!</definedName>
    <definedName name="FUNDING_COST5" localSheetId="13">#REF!</definedName>
    <definedName name="FUNDING_COST5" localSheetId="7">#REF!</definedName>
    <definedName name="FUNDING_COST5">#REF!</definedName>
    <definedName name="FUNDING_COST6" localSheetId="13">#REF!</definedName>
    <definedName name="FUNDING_COST6" localSheetId="7">#REF!</definedName>
    <definedName name="FUNDING_COST6">#REF!</definedName>
    <definedName name="FX_GrossRev" localSheetId="13">#REF!</definedName>
    <definedName name="FX_GrossRev" localSheetId="7">#REF!</definedName>
    <definedName name="FX_GrossRev">#REF!</definedName>
    <definedName name="FX_NETREV" localSheetId="13">#REF!</definedName>
    <definedName name="FX_NETREV" localSheetId="7">#REF!</definedName>
    <definedName name="FX_NETREV">#REF!</definedName>
    <definedName name="g" localSheetId="13">#REF!</definedName>
    <definedName name="g" localSheetId="7">#REF!</definedName>
    <definedName name="g">#REF!</definedName>
    <definedName name="G0A_DS_80_FS_PEX__DISNEY">'[33]8TX95C'!#REF!</definedName>
    <definedName name="GardenGLA">#N/A</definedName>
    <definedName name="GD" localSheetId="13">#REF!</definedName>
    <definedName name="GD" localSheetId="9">#REF!</definedName>
    <definedName name="GD" localSheetId="8">#REF!</definedName>
    <definedName name="GD" localSheetId="7">#REF!</definedName>
    <definedName name="GD">#REF!</definedName>
    <definedName name="GDEQUITY" localSheetId="13">#REF!</definedName>
    <definedName name="GDEQUITY" localSheetId="9">#REF!</definedName>
    <definedName name="GDEQUITY" localSheetId="8">#REF!</definedName>
    <definedName name="GDEQUITY" localSheetId="7">#REF!</definedName>
    <definedName name="GDEQUITY">#REF!</definedName>
    <definedName name="GENERAL_MILLS">[18]FORCE!$A$13:$P$40</definedName>
    <definedName name="ghghg" localSheetId="13">#REF!</definedName>
    <definedName name="ghghg" localSheetId="9">#REF!</definedName>
    <definedName name="ghghg" localSheetId="8">#REF!</definedName>
    <definedName name="ghghg" localSheetId="7">#REF!</definedName>
    <definedName name="ghghg">#REF!</definedName>
    <definedName name="ghghgh" localSheetId="13">'[34]PR FUNDING'!#REF!</definedName>
    <definedName name="ghghgh" localSheetId="9">'[34]PR FUNDING'!#REF!</definedName>
    <definedName name="ghghgh" localSheetId="8">'[34]PR FUNDING'!#REF!</definedName>
    <definedName name="ghghgh">'[34]PR FUNDING'!#REF!</definedName>
    <definedName name="ghghghg" localSheetId="13">#REF!</definedName>
    <definedName name="ghghghg" localSheetId="9">#REF!</definedName>
    <definedName name="ghghghg" localSheetId="8">#REF!</definedName>
    <definedName name="ghghghg" localSheetId="7">#REF!</definedName>
    <definedName name="ghghghg">#REF!</definedName>
    <definedName name="gla">#N/A</definedName>
    <definedName name="GLA_1" localSheetId="13">#REF!</definedName>
    <definedName name="GLA_1" localSheetId="9">#REF!</definedName>
    <definedName name="GLA_1" localSheetId="8">#REF!</definedName>
    <definedName name="GLA_1" localSheetId="7">#REF!</definedName>
    <definedName name="GLA_1">#REF!</definedName>
    <definedName name="GLA_3" localSheetId="13">#REF!</definedName>
    <definedName name="GLA_3" localSheetId="8">#REF!</definedName>
    <definedName name="GLA_3" localSheetId="7">#REF!</definedName>
    <definedName name="GLA_3">#REF!</definedName>
    <definedName name="GLA_3.15" localSheetId="13">#REF!</definedName>
    <definedName name="GLA_3.15" localSheetId="7">#REF!</definedName>
    <definedName name="GLA_3.15">#REF!</definedName>
    <definedName name="GOAEXT" localSheetId="13">#REF!</definedName>
    <definedName name="GOAEXT" localSheetId="7">#REF!</definedName>
    <definedName name="GOAEXT">#REF!</definedName>
    <definedName name="GOAPEX" localSheetId="13">#REF!</definedName>
    <definedName name="GOAPEX" localSheetId="7">#REF!</definedName>
    <definedName name="GOAPEX">#REF!</definedName>
    <definedName name="GoToMortgagorOtherFeeDesc">'[35]Gen Reqs Breakdown'!#REF!</definedName>
    <definedName name="GPR" localSheetId="13">#REF!</definedName>
    <definedName name="GPR" localSheetId="9">#REF!</definedName>
    <definedName name="GPR" localSheetId="8">#REF!</definedName>
    <definedName name="GPR" localSheetId="7">#REF!</definedName>
    <definedName name="GPR">#REF!</definedName>
    <definedName name="Grade_1" localSheetId="13">#REF!</definedName>
    <definedName name="Grade_1" localSheetId="8">#REF!</definedName>
    <definedName name="Grade_1" localSheetId="7">#REF!</definedName>
    <definedName name="Grade_1">#REF!</definedName>
    <definedName name="Grade_2" localSheetId="13">#REF!</definedName>
    <definedName name="Grade_2" localSheetId="8">#REF!</definedName>
    <definedName name="Grade_2" localSheetId="7">#REF!</definedName>
    <definedName name="Grade_2">#REF!</definedName>
    <definedName name="Grade_3" localSheetId="13">#REF!</definedName>
    <definedName name="Grade_3" localSheetId="7">#REF!</definedName>
    <definedName name="Grade_3">#REF!</definedName>
    <definedName name="Grade_4" localSheetId="13">#REF!</definedName>
    <definedName name="Grade_4" localSheetId="7">#REF!</definedName>
    <definedName name="Grade_4">#REF!</definedName>
    <definedName name="Grade_5" localSheetId="13">#REF!</definedName>
    <definedName name="Grade_5" localSheetId="7">#REF!</definedName>
    <definedName name="Grade_5">#REF!</definedName>
    <definedName name="Grade_6" localSheetId="13">#REF!</definedName>
    <definedName name="Grade_6" localSheetId="7">#REF!</definedName>
    <definedName name="Grade_6">#REF!</definedName>
    <definedName name="grade_attribute_exception" localSheetId="13">#REF!</definedName>
    <definedName name="grade_attribute_exception" localSheetId="7">#REF!</definedName>
    <definedName name="grade_attribute_exception">#REF!</definedName>
    <definedName name="Grade_lookup" localSheetId="13">#REF!</definedName>
    <definedName name="Grade_lookup" localSheetId="7">#REF!</definedName>
    <definedName name="Grade_lookup">#REF!</definedName>
    <definedName name="grade3_criteria" localSheetId="13">#REF!</definedName>
    <definedName name="grade3_criteria" localSheetId="7">#REF!</definedName>
    <definedName name="grade3_criteria">#REF!</definedName>
    <definedName name="gross" localSheetId="13">#REF!</definedName>
    <definedName name="gross" localSheetId="7">#REF!</definedName>
    <definedName name="gross">#REF!</definedName>
    <definedName name="GROSS_LEASABLE_AREA" localSheetId="13">#REF!</definedName>
    <definedName name="GROSS_LEASABLE_AREA" localSheetId="7">#REF!</definedName>
    <definedName name="GROSS_LEASABLE_AREA">#REF!</definedName>
    <definedName name="grossrate_bond" localSheetId="13">#REF!</definedName>
    <definedName name="grossrate_bond" localSheetId="7">#REF!</definedName>
    <definedName name="grossrate_bond">#REF!</definedName>
    <definedName name="GROSSYLD" localSheetId="13">#REF!</definedName>
    <definedName name="GROSSYLD" localSheetId="7">#REF!</definedName>
    <definedName name="GROSSYLD">#REF!</definedName>
    <definedName name="GRRATE" localSheetId="13">#REF!</definedName>
    <definedName name="GRRATE" localSheetId="7">#REF!</definedName>
    <definedName name="GRRATE">#REF!</definedName>
    <definedName name="GSP" localSheetId="13">#REF!</definedName>
    <definedName name="GSP" localSheetId="7">#REF!</definedName>
    <definedName name="GSP">#REF!</definedName>
    <definedName name="guar" localSheetId="13">#REF!</definedName>
    <definedName name="guar" localSheetId="7">#REF!</definedName>
    <definedName name="guar">#REF!</definedName>
    <definedName name="hangout" localSheetId="13">#REF!</definedName>
    <definedName name="hangout" localSheetId="7">#REF!</definedName>
    <definedName name="hangout">#REF!</definedName>
    <definedName name="hd" localSheetId="13">#REF!</definedName>
    <definedName name="hd" localSheetId="7">#REF!</definedName>
    <definedName name="hd">#REF!</definedName>
    <definedName name="HEALTH" localSheetId="13">#REF!</definedName>
    <definedName name="HEALTH" localSheetId="7">#REF!</definedName>
    <definedName name="HEALTH">#REF!</definedName>
    <definedName name="health1" localSheetId="13">#REF!</definedName>
    <definedName name="health1" localSheetId="7">#REF!</definedName>
    <definedName name="health1">#REF!</definedName>
    <definedName name="Healthcare" localSheetId="13">#REF!</definedName>
    <definedName name="Healthcare" localSheetId="7">#REF!</definedName>
    <definedName name="Healthcare">#REF!</definedName>
    <definedName name="hgdhd">'[34]PR FUNDING'!#REF!</definedName>
    <definedName name="hgfhgdh" localSheetId="13">#REF!</definedName>
    <definedName name="hgfhgdh" localSheetId="9">#REF!</definedName>
    <definedName name="hgfhgdh" localSheetId="8">#REF!</definedName>
    <definedName name="hgfhgdh" localSheetId="7">#REF!</definedName>
    <definedName name="hgfhgdh">#REF!</definedName>
    <definedName name="hghghgfh">[9]A!$A$1:$Q$36</definedName>
    <definedName name="hghh" localSheetId="13">#REF!</definedName>
    <definedName name="hghh" localSheetId="9">#REF!</definedName>
    <definedName name="hghh" localSheetId="8">#REF!</definedName>
    <definedName name="hghh" localSheetId="7">#REF!</definedName>
    <definedName name="hghh">#REF!</definedName>
    <definedName name="HIS" localSheetId="13">[36]Underwriting!#REF!</definedName>
    <definedName name="HIS" localSheetId="9">[36]Underwriting!#REF!</definedName>
    <definedName name="HIS" localSheetId="8">[36]Underwriting!#REF!</definedName>
    <definedName name="HIS">[36]Underwriting!#REF!</definedName>
    <definedName name="historicalyear1occupancy" localSheetId="13">[37]Underwriting!#REF!</definedName>
    <definedName name="historicalyear1occupancy" localSheetId="9">[37]Underwriting!#REF!</definedName>
    <definedName name="historicalyear1occupancy" localSheetId="8">[37]Underwriting!#REF!</definedName>
    <definedName name="historicalyear1occupancy">[37]Underwriting!#REF!</definedName>
    <definedName name="historicalyear2occupancy">[37]Underwriting!#REF!</definedName>
    <definedName name="historicalyear3">[37]Underwriting!#REF!</definedName>
    <definedName name="historicalyear3dscr">[37]Underwriting!$I$43</definedName>
    <definedName name="historicalyear3occupancy">[37]Underwriting!#REF!</definedName>
    <definedName name="hj" localSheetId="13">#REF!</definedName>
    <definedName name="hj" localSheetId="9">#REF!</definedName>
    <definedName name="hj" localSheetId="8">#REF!</definedName>
    <definedName name="hj" localSheetId="7">#REF!</definedName>
    <definedName name="hj">#REF!</definedName>
    <definedName name="hjghjh">[9]A!$A$85:$Q$130</definedName>
    <definedName name="HUD_Project_Number">[38]Checklist!$C$28</definedName>
    <definedName name="IAP" localSheetId="13">#REF!</definedName>
    <definedName name="IAP" localSheetId="9">#REF!</definedName>
    <definedName name="IAP" localSheetId="8">#REF!</definedName>
    <definedName name="IAP" localSheetId="7">#REF!</definedName>
    <definedName name="IAP">#REF!</definedName>
    <definedName name="ICDCPriceAmount" localSheetId="13">[4]Assumptions!#REF!</definedName>
    <definedName name="ICDCPriceAmount" localSheetId="9">[4]Assumptions!#REF!</definedName>
    <definedName name="ICDCPriceAmount" localSheetId="8">[4]Assumptions!#REF!</definedName>
    <definedName name="ICDCPriceAmount">[4]Assumptions!#REF!</definedName>
    <definedName name="ID" localSheetId="13">#REF!</definedName>
    <definedName name="ID" localSheetId="9">#REF!</definedName>
    <definedName name="ID" localSheetId="8">#REF!</definedName>
    <definedName name="ID" localSheetId="7">#REF!</definedName>
    <definedName name="ID">#REF!</definedName>
    <definedName name="ID_BUILD" localSheetId="13">'[17]12_96 CAM'!#REF!</definedName>
    <definedName name="ID_BUILD" localSheetId="9">'[17]12_96 CAM'!#REF!</definedName>
    <definedName name="ID_BUILD" localSheetId="8">'[17]12_96 CAM'!#REF!</definedName>
    <definedName name="ID_BUILD">'[17]12_96 CAM'!#REF!</definedName>
    <definedName name="IL_SQ" localSheetId="13">'[17]12_96 CAM'!#REF!</definedName>
    <definedName name="IL_SQ" localSheetId="9">'[17]12_96 CAM'!#REF!</definedName>
    <definedName name="IL_SQ" localSheetId="8">'[17]12_96 CAM'!#REF!</definedName>
    <definedName name="IL_SQ">'[17]12_96 CAM'!#REF!</definedName>
    <definedName name="In_place_GPR" localSheetId="13">#REF!</definedName>
    <definedName name="In_place_GPR" localSheetId="9">#REF!</definedName>
    <definedName name="In_place_GPR" localSheetId="8">#REF!</definedName>
    <definedName name="In_place_GPR" localSheetId="7">#REF!</definedName>
    <definedName name="In_place_GPR">#REF!</definedName>
    <definedName name="Inbedded_fee_for_yield" localSheetId="13">#REF!</definedName>
    <definedName name="Inbedded_fee_for_yield" localSheetId="8">#REF!</definedName>
    <definedName name="Inbedded_fee_for_yield" localSheetId="7">#REF!</definedName>
    <definedName name="Inbedded_fee_for_yield">#REF!</definedName>
    <definedName name="Inbedded_fee_grossyield" localSheetId="13">#REF!</definedName>
    <definedName name="Inbedded_fee_grossyield" localSheetId="8">#REF!</definedName>
    <definedName name="Inbedded_fee_grossyield" localSheetId="7">#REF!</definedName>
    <definedName name="Inbedded_fee_grossyield">#REF!</definedName>
    <definedName name="IncomeStmtSummaryPrint" localSheetId="13">#REF!</definedName>
    <definedName name="IncomeStmtSummaryPrint" localSheetId="7">#REF!</definedName>
    <definedName name="IncomeStmtSummaryPrint">#REF!</definedName>
    <definedName name="INCREADIBLE">[18]INCREDBL!$A$13:$P$41</definedName>
    <definedName name="Increase_Commit_1" localSheetId="13">#REF!</definedName>
    <definedName name="Increase_Commit_1" localSheetId="9">#REF!</definedName>
    <definedName name="Increase_Commit_1" localSheetId="8">#REF!</definedName>
    <definedName name="Increase_Commit_1" localSheetId="7">#REF!</definedName>
    <definedName name="Increase_Commit_1">#REF!</definedName>
    <definedName name="Increase_Commit_2" localSheetId="13">#REF!</definedName>
    <definedName name="Increase_Commit_2" localSheetId="8">#REF!</definedName>
    <definedName name="Increase_Commit_2" localSheetId="7">#REF!</definedName>
    <definedName name="Increase_Commit_2">#REF!</definedName>
    <definedName name="Increase_Commit_3" localSheetId="13">#REF!</definedName>
    <definedName name="Increase_Commit_3" localSheetId="8">#REF!</definedName>
    <definedName name="Increase_Commit_3" localSheetId="7">#REF!</definedName>
    <definedName name="Increase_Commit_3">#REF!</definedName>
    <definedName name="Increase_Commit_4" localSheetId="13">#REF!</definedName>
    <definedName name="Increase_Commit_4" localSheetId="7">#REF!</definedName>
    <definedName name="Increase_Commit_4">#REF!</definedName>
    <definedName name="Increase_Commit_5" localSheetId="13">#REF!</definedName>
    <definedName name="Increase_Commit_5" localSheetId="7">#REF!</definedName>
    <definedName name="Increase_Commit_5">#REF!</definedName>
    <definedName name="Increase_Commit_6" localSheetId="13">#REF!</definedName>
    <definedName name="Increase_Commit_6" localSheetId="7">#REF!</definedName>
    <definedName name="Increase_Commit_6">#REF!</definedName>
    <definedName name="Index_1" localSheetId="13">#REF!</definedName>
    <definedName name="Index_1" localSheetId="7">#REF!</definedName>
    <definedName name="Index_1">#REF!</definedName>
    <definedName name="Index_2" localSheetId="13">#REF!</definedName>
    <definedName name="Index_2" localSheetId="7">#REF!</definedName>
    <definedName name="Index_2">#REF!</definedName>
    <definedName name="Index_3" localSheetId="13">#REF!</definedName>
    <definedName name="Index_3" localSheetId="7">#REF!</definedName>
    <definedName name="Index_3">#REF!</definedName>
    <definedName name="Index_4" localSheetId="13">#REF!</definedName>
    <definedName name="Index_4" localSheetId="7">#REF!</definedName>
    <definedName name="Index_4">#REF!</definedName>
    <definedName name="Index_5" localSheetId="13">#REF!</definedName>
    <definedName name="Index_5" localSheetId="7">#REF!</definedName>
    <definedName name="Index_5">#REF!</definedName>
    <definedName name="Index_6" localSheetId="13">#REF!</definedName>
    <definedName name="Index_6" localSheetId="7">#REF!</definedName>
    <definedName name="Index_6">#REF!</definedName>
    <definedName name="Index_Range" localSheetId="13">#REF!</definedName>
    <definedName name="Index_Range" localSheetId="7">#REF!</definedName>
    <definedName name="Index_Range">#REF!</definedName>
    <definedName name="inflation1">[15]Assumptions!$C$73</definedName>
    <definedName name="inflation2">[15]Assumptions!$D$73</definedName>
    <definedName name="inflation3">[15]Assumptions!$E$73</definedName>
    <definedName name="INFORMIX">[18]INFORMIX!$A$13:$Q$47</definedName>
    <definedName name="INPUT" localSheetId="13">#REF!</definedName>
    <definedName name="INPUT" localSheetId="9">#REF!</definedName>
    <definedName name="INPUT" localSheetId="8">#REF!</definedName>
    <definedName name="INPUT" localSheetId="7">#REF!</definedName>
    <definedName name="INPUT">#REF!</definedName>
    <definedName name="Ins" localSheetId="13">#REF!</definedName>
    <definedName name="Ins" localSheetId="8">#REF!</definedName>
    <definedName name="Ins" localSheetId="7">#REF!</definedName>
    <definedName name="Ins">#REF!</definedName>
    <definedName name="insclaims" localSheetId="13">[17]CAMINVBU!#REF!</definedName>
    <definedName name="insclaims" localSheetId="8">[17]CAMINVBU!#REF!</definedName>
    <definedName name="insclaims">[17]CAMINVBU!#REF!</definedName>
    <definedName name="INSCODE" localSheetId="13">#REF!</definedName>
    <definedName name="INSCODE" localSheetId="9">#REF!</definedName>
    <definedName name="INSCODE" localSheetId="8">#REF!</definedName>
    <definedName name="INSCODE" localSheetId="7">#REF!</definedName>
    <definedName name="INSCODE">#REF!</definedName>
    <definedName name="insurance" localSheetId="13">#REF!</definedName>
    <definedName name="insurance" localSheetId="8">#REF!</definedName>
    <definedName name="insurance" localSheetId="7">#REF!</definedName>
    <definedName name="insurance">#REF!</definedName>
    <definedName name="Int_Pmt_Freq_Table" localSheetId="13">#REF!</definedName>
    <definedName name="Int_Pmt_Freq_Table" localSheetId="8">#REF!</definedName>
    <definedName name="Int_Pmt_Freq_Table" localSheetId="7">#REF!</definedName>
    <definedName name="Int_Pmt_Freq_Table">#REF!</definedName>
    <definedName name="Int_Rate">[12]Proforma!$G$30</definedName>
    <definedName name="IntBearingCkg" localSheetId="13">#REF!</definedName>
    <definedName name="IntBearingCkg" localSheetId="9">#REF!</definedName>
    <definedName name="IntBearingCkg" localSheetId="8">#REF!</definedName>
    <definedName name="IntBearingCkg" localSheetId="7">#REF!</definedName>
    <definedName name="IntBearingCkg">#REF!</definedName>
    <definedName name="Interest" localSheetId="13">IF(#REF!&lt;&gt;"",#REF!*'Combined - vErik'!Periodic_rate,"")</definedName>
    <definedName name="Interest" localSheetId="2">IF(#REF!&lt;&gt;"",#REF!*[39]!Periodic_rate,"")</definedName>
    <definedName name="Interest" localSheetId="9">IF(#REF!&lt;&gt;"",#REF!*'Division Comparison'!Periodic_rate,"")</definedName>
    <definedName name="Interest" localSheetId="3">IF(#REF!&lt;&gt;"",#REF!*[39]!Periodic_rate,"")</definedName>
    <definedName name="Interest" localSheetId="1">IF(#REF!&lt;&gt;"",#REF!*[39]!Periodic_rate,"")</definedName>
    <definedName name="Interest" localSheetId="8">IF(#REF!&lt;&gt;"",#REF!*'Unit Pricing Comparison'!Periodic_rate,"")</definedName>
    <definedName name="Interest" localSheetId="7">IF(#REF!&lt;&gt;"",#REF!*[39]!Periodic_rate,"")</definedName>
    <definedName name="Interest">IF(#REF!&lt;&gt;"",#REF!*[39]!Periodic_rate,"")</definedName>
    <definedName name="Interest_Freq_Factor_1" localSheetId="13">#REF!</definedName>
    <definedName name="Interest_Freq_Factor_1" localSheetId="8">#REF!</definedName>
    <definedName name="Interest_Freq_Factor_1" localSheetId="7">#REF!</definedName>
    <definedName name="Interest_Freq_Factor_1">#REF!</definedName>
    <definedName name="Interest_Freq_Factor_2" localSheetId="13">#REF!</definedName>
    <definedName name="Interest_Freq_Factor_2" localSheetId="8">#REF!</definedName>
    <definedName name="Interest_Freq_Factor_2" localSheetId="7">#REF!</definedName>
    <definedName name="Interest_Freq_Factor_2">#REF!</definedName>
    <definedName name="Interest_Freq_Factor_3" localSheetId="13">#REF!</definedName>
    <definedName name="Interest_Freq_Factor_3" localSheetId="7">#REF!</definedName>
    <definedName name="Interest_Freq_Factor_3">#REF!</definedName>
    <definedName name="Interest_Freq_Factor_4" localSheetId="13">#REF!</definedName>
    <definedName name="Interest_Freq_Factor_4" localSheetId="7">#REF!</definedName>
    <definedName name="Interest_Freq_Factor_4">#REF!</definedName>
    <definedName name="Interest_Freq_Factor_5" localSheetId="13">#REF!</definedName>
    <definedName name="Interest_Freq_Factor_5" localSheetId="7">#REF!</definedName>
    <definedName name="Interest_Freq_Factor_5">#REF!</definedName>
    <definedName name="Interest_Freq_Factor_6" localSheetId="13">#REF!</definedName>
    <definedName name="Interest_Freq_Factor_6" localSheetId="7">#REF!</definedName>
    <definedName name="Interest_Freq_Factor_6">#REF!</definedName>
    <definedName name="Interest_Only_Table" localSheetId="13">#REF!</definedName>
    <definedName name="Interest_Only_Table" localSheetId="7">#REF!</definedName>
    <definedName name="Interest_Only_Table">#REF!</definedName>
    <definedName name="Interest_Payment_Freq_1" localSheetId="13">#REF!</definedName>
    <definedName name="Interest_Payment_Freq_1" localSheetId="7">#REF!</definedName>
    <definedName name="Interest_Payment_Freq_1">#REF!</definedName>
    <definedName name="Interest_Payment_Freq_2" localSheetId="13">#REF!</definedName>
    <definedName name="Interest_Payment_Freq_2" localSheetId="7">#REF!</definedName>
    <definedName name="Interest_Payment_Freq_2">#REF!</definedName>
    <definedName name="Interest_Payment_Freq_3" localSheetId="13">#REF!</definedName>
    <definedName name="Interest_Payment_Freq_3" localSheetId="7">#REF!</definedName>
    <definedName name="Interest_Payment_Freq_3">#REF!</definedName>
    <definedName name="Interest_Payment_Freq_4" localSheetId="13">#REF!</definedName>
    <definedName name="Interest_Payment_Freq_4" localSheetId="7">#REF!</definedName>
    <definedName name="Interest_Payment_Freq_4">#REF!</definedName>
    <definedName name="Interest_Payment_Freq_5" localSheetId="13">#REF!</definedName>
    <definedName name="Interest_Payment_Freq_5" localSheetId="7">#REF!</definedName>
    <definedName name="Interest_Payment_Freq_5">#REF!</definedName>
    <definedName name="Interest_Payment_Freq_6" localSheetId="13">#REF!</definedName>
    <definedName name="Interest_Payment_Freq_6" localSheetId="7">#REF!</definedName>
    <definedName name="Interest_Payment_Freq_6">#REF!</definedName>
    <definedName name="Interest_Type" localSheetId="13">#REF!</definedName>
    <definedName name="Interest_Type" localSheetId="7">#REF!</definedName>
    <definedName name="Interest_Type">#REF!</definedName>
    <definedName name="Interest_type_1" localSheetId="13">#REF!</definedName>
    <definedName name="Interest_type_1" localSheetId="7">#REF!</definedName>
    <definedName name="Interest_type_1">#REF!</definedName>
    <definedName name="Interest_type_2" localSheetId="13">#REF!</definedName>
    <definedName name="Interest_type_2" localSheetId="7">#REF!</definedName>
    <definedName name="Interest_type_2">#REF!</definedName>
    <definedName name="Interest_type_3" localSheetId="13">#REF!</definedName>
    <definedName name="Interest_type_3" localSheetId="7">#REF!</definedName>
    <definedName name="Interest_type_3">#REF!</definedName>
    <definedName name="Interest_type_4" localSheetId="13">#REF!</definedName>
    <definedName name="Interest_type_4" localSheetId="7">#REF!</definedName>
    <definedName name="Interest_type_4">#REF!</definedName>
    <definedName name="Interest_type_5" localSheetId="13">#REF!</definedName>
    <definedName name="Interest_type_5" localSheetId="7">#REF!</definedName>
    <definedName name="Interest_type_5">#REF!</definedName>
    <definedName name="Interest_Type_6" localSheetId="13">#REF!</definedName>
    <definedName name="Interest_Type_6" localSheetId="7">#REF!</definedName>
    <definedName name="Interest_Type_6">#REF!</definedName>
    <definedName name="InterestMarginChange_1" localSheetId="13">#REF!</definedName>
    <definedName name="InterestMarginChange_1" localSheetId="7">#REF!</definedName>
    <definedName name="InterestMarginChange_1">#REF!</definedName>
    <definedName name="InterestMarginChange_2" localSheetId="13">#REF!</definedName>
    <definedName name="InterestMarginChange_2" localSheetId="7">#REF!</definedName>
    <definedName name="InterestMarginChange_2">#REF!</definedName>
    <definedName name="InterestMarginChange_3" localSheetId="13">#REF!</definedName>
    <definedName name="InterestMarginChange_3" localSheetId="7">#REF!</definedName>
    <definedName name="InterestMarginChange_3">#REF!</definedName>
    <definedName name="InterestMarginChange_4" localSheetId="13">#REF!</definedName>
    <definedName name="InterestMarginChange_4" localSheetId="7">#REF!</definedName>
    <definedName name="InterestMarginChange_4">#REF!</definedName>
    <definedName name="InterestMarginChange_5" localSheetId="13">#REF!</definedName>
    <definedName name="InterestMarginChange_5" localSheetId="7">#REF!</definedName>
    <definedName name="InterestMarginChange_5">#REF!</definedName>
    <definedName name="InterestMarginChange_6" localSheetId="13">#REF!</definedName>
    <definedName name="InterestMarginChange_6" localSheetId="7">#REF!</definedName>
    <definedName name="InterestMarginChange_6">#REF!</definedName>
    <definedName name="InterestRate">[15]Assumptions!$G$132</definedName>
    <definedName name="internalcounsel" localSheetId="13">#REF!</definedName>
    <definedName name="internalcounsel" localSheetId="9">#REF!</definedName>
    <definedName name="internalcounsel" localSheetId="8">#REF!</definedName>
    <definedName name="internalcounsel" localSheetId="7">#REF!</definedName>
    <definedName name="internalcounsel">#REF!</definedName>
    <definedName name="International" localSheetId="13">#REF!</definedName>
    <definedName name="International" localSheetId="8">#REF!</definedName>
    <definedName name="International" localSheetId="7">#REF!</definedName>
    <definedName name="International">#REF!</definedName>
    <definedName name="International_GrossRev" localSheetId="13">#REF!</definedName>
    <definedName name="International_GrossRev" localSheetId="8">#REF!</definedName>
    <definedName name="International_GrossRev" localSheetId="7">#REF!</definedName>
    <definedName name="International_GrossRev">#REF!</definedName>
    <definedName name="INTERPOLATED_TBillindex" localSheetId="13">#REF!</definedName>
    <definedName name="INTERPOLATED_TBillindex" localSheetId="7">#REF!</definedName>
    <definedName name="INTERPOLATED_TBillindex">#REF!</definedName>
    <definedName name="INTL_NETREV" localSheetId="13">#REF!</definedName>
    <definedName name="INTL_NETREV" localSheetId="7">#REF!</definedName>
    <definedName name="INTL_NETREV">#REF!</definedName>
    <definedName name="INTonlydebtserv" localSheetId="13">#REF!</definedName>
    <definedName name="INTonlydebtserv" localSheetId="7">#REF!</definedName>
    <definedName name="INTonlydebtserv">#REF!</definedName>
    <definedName name="INTPMTS" localSheetId="13">#REF!</definedName>
    <definedName name="INTPMTS" localSheetId="7">#REF!</definedName>
    <definedName name="INTPMTS">#REF!</definedName>
    <definedName name="IntroPrintArea" localSheetId="13" hidden="1">#REF!</definedName>
    <definedName name="IntroPrintArea" localSheetId="7" hidden="1">#REF!</definedName>
    <definedName name="IntroPrintArea" hidden="1">#REF!</definedName>
    <definedName name="investment_type" localSheetId="13">#REF!</definedName>
    <definedName name="investment_type" localSheetId="7">#REF!</definedName>
    <definedName name="investment_type">#REF!</definedName>
    <definedName name="InvestmentMgt_Gross" localSheetId="13">#REF!</definedName>
    <definedName name="InvestmentMgt_Gross" localSheetId="7">#REF!</definedName>
    <definedName name="InvestmentMgt_Gross">#REF!</definedName>
    <definedName name="InvestmentNumber" localSheetId="13">#REF!</definedName>
    <definedName name="InvestmentNumber" localSheetId="7">#REF!</definedName>
    <definedName name="InvestmentNumber">#REF!</definedName>
    <definedName name="InvestorName1" localSheetId="13">#REF!</definedName>
    <definedName name="InvestorName1" localSheetId="7">#REF!</definedName>
    <definedName name="InvestorName1">#REF!</definedName>
    <definedName name="InvestorName2" localSheetId="13">#REF!</definedName>
    <definedName name="InvestorName2" localSheetId="7">#REF!</definedName>
    <definedName name="InvestorName2">#REF!</definedName>
    <definedName name="InvestorName3" localSheetId="13">#REF!</definedName>
    <definedName name="InvestorName3" localSheetId="7">#REF!</definedName>
    <definedName name="InvestorName3">#REF!</definedName>
    <definedName name="InvestorName4" localSheetId="13">#REF!</definedName>
    <definedName name="InvestorName4" localSheetId="7">#REF!</definedName>
    <definedName name="InvestorName4">#REF!</definedName>
    <definedName name="InvestorName5" localSheetId="13">#REF!</definedName>
    <definedName name="InvestorName5" localSheetId="7">#REF!</definedName>
    <definedName name="InvestorName5">#REF!</definedName>
    <definedName name="Invoice" localSheetId="13">#REF!</definedName>
    <definedName name="Invoice" localSheetId="7">#REF!</definedName>
    <definedName name="Invoice">#REF!</definedName>
    <definedName name="IO_rate">[40]Inputs!$F$16</definedName>
    <definedName name="IPLICO_account1" localSheetId="13">#REF!</definedName>
    <definedName name="IPLICO_account1" localSheetId="9">#REF!</definedName>
    <definedName name="IPLICO_account1" localSheetId="8">#REF!</definedName>
    <definedName name="IPLICO_account1" localSheetId="7">#REF!</definedName>
    <definedName name="IPLICO_account1">#REF!</definedName>
    <definedName name="IPLICO_loanamt1" localSheetId="13">#REF!</definedName>
    <definedName name="IPLICO_loanamt1" localSheetId="8">#REF!</definedName>
    <definedName name="IPLICO_loanamt1" localSheetId="7">#REF!</definedName>
    <definedName name="IPLICO_loanamt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INT" hidden="1">"c373"</definedName>
    <definedName name="IQ_EBITDA_MARGIN" hidden="1">"c372"</definedName>
    <definedName name="IQ_EBITDA_OVER_TOTAL_IE" hidden="1">"c373"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UTI" hidden="1">"c1125"</definedName>
    <definedName name="IQ_REVENUE" hidden="1">"c1122"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IR_Commit_amount_1" localSheetId="13">#REF!</definedName>
    <definedName name="IR_Commit_amount_1" localSheetId="9">#REF!</definedName>
    <definedName name="IR_Commit_amount_1" localSheetId="8">#REF!</definedName>
    <definedName name="IR_Commit_amount_1" localSheetId="7">#REF!</definedName>
    <definedName name="IR_Commit_amount_1">#REF!</definedName>
    <definedName name="IR_Commit_amount_2" localSheetId="13">#REF!</definedName>
    <definedName name="IR_Commit_amount_2" localSheetId="9">#REF!</definedName>
    <definedName name="IR_Commit_amount_2" localSheetId="8">#REF!</definedName>
    <definedName name="IR_Commit_amount_2" localSheetId="7">#REF!</definedName>
    <definedName name="IR_Commit_amount_2">#REF!</definedName>
    <definedName name="IR_Commit_amount_3" localSheetId="13">#REF!</definedName>
    <definedName name="IR_Commit_amount_3" localSheetId="9">#REF!</definedName>
    <definedName name="IR_Commit_amount_3" localSheetId="8">#REF!</definedName>
    <definedName name="IR_Commit_amount_3" localSheetId="7">#REF!</definedName>
    <definedName name="IR_Commit_amount_3">#REF!</definedName>
    <definedName name="IR_Commit_amount_4" localSheetId="13">#REF!</definedName>
    <definedName name="IR_Commit_amount_4" localSheetId="7">#REF!</definedName>
    <definedName name="IR_Commit_amount_4">#REF!</definedName>
    <definedName name="IR_Commit_amount_5" localSheetId="13">#REF!</definedName>
    <definedName name="IR_Commit_amount_5" localSheetId="7">#REF!</definedName>
    <definedName name="IR_Commit_amount_5">#REF!</definedName>
    <definedName name="IR_Commit_amount_6" localSheetId="13">#REF!</definedName>
    <definedName name="IR_Commit_amount_6" localSheetId="7">#REF!</definedName>
    <definedName name="IR_Commit_amount_6">#REF!</definedName>
    <definedName name="IR_Equity_1" localSheetId="13">#REF!</definedName>
    <definedName name="IR_Equity_1" localSheetId="7">#REF!</definedName>
    <definedName name="IR_Equity_1">#REF!</definedName>
    <definedName name="IR_Equity_2" localSheetId="13">#REF!</definedName>
    <definedName name="IR_Equity_2" localSheetId="7">#REF!</definedName>
    <definedName name="IR_Equity_2">#REF!</definedName>
    <definedName name="IR_Equity_3" localSheetId="13">#REF!</definedName>
    <definedName name="IR_Equity_3" localSheetId="7">#REF!</definedName>
    <definedName name="IR_Equity_3">#REF!</definedName>
    <definedName name="IR_Equity_4" localSheetId="13">#REF!</definedName>
    <definedName name="IR_Equity_4" localSheetId="7">#REF!</definedName>
    <definedName name="IR_Equity_4">#REF!</definedName>
    <definedName name="IR_Equity_5" localSheetId="13">#REF!</definedName>
    <definedName name="IR_Equity_5" localSheetId="7">#REF!</definedName>
    <definedName name="IR_Equity_5">#REF!</definedName>
    <definedName name="IR_Equity_6" localSheetId="13">#REF!</definedName>
    <definedName name="IR_Equity_6" localSheetId="7">#REF!</definedName>
    <definedName name="IR_Equity_6">#REF!</definedName>
    <definedName name="IrrCalcFields">[4]Assumptions!$F$192,[4]Assumptions!$F$194,[4]Assumptions!$F$196,[4]Assumptions!$F$198,[4]Assumptions!$F$200</definedName>
    <definedName name="issuer" localSheetId="13">#REF!</definedName>
    <definedName name="issuer" localSheetId="9">#REF!</definedName>
    <definedName name="issuer" localSheetId="8">#REF!</definedName>
    <definedName name="issuer" localSheetId="7">#REF!</definedName>
    <definedName name="issuer">#REF!</definedName>
    <definedName name="JHRE_loanamt1" localSheetId="13">#REF!</definedName>
    <definedName name="JHRE_loanamt1" localSheetId="8">#REF!</definedName>
    <definedName name="JHRE_loanamt1" localSheetId="7">#REF!</definedName>
    <definedName name="JHRE_loanamt1">#REF!</definedName>
    <definedName name="jr6d" localSheetId="13" hidden="1">{"LCPR",#N/A,TRUE,"LC"}</definedName>
    <definedName name="jr6d" localSheetId="9" hidden="1">{"LCPR",#N/A,TRUE,"LC"}</definedName>
    <definedName name="jr6d" localSheetId="8" hidden="1">{"LCPR",#N/A,TRUE,"LC"}</definedName>
    <definedName name="jr6d" localSheetId="7" hidden="1">{"LCPR",#N/A,TRUE,"LC"}</definedName>
    <definedName name="jr6d" hidden="1">{"LCPR",#N/A,TRUE,"LC"}</definedName>
    <definedName name="KEY_EQUIVALENT_GRADE" localSheetId="13">#REF!</definedName>
    <definedName name="KEY_EQUIVALENT_GRADE" localSheetId="9">#REF!</definedName>
    <definedName name="KEY_EQUIVALENT_GRADE" localSheetId="8">#REF!</definedName>
    <definedName name="KEY_EQUIVALENT_GRADE" localSheetId="7">#REF!</definedName>
    <definedName name="KEY_EQUIVALENT_GRADE">#REF!</definedName>
    <definedName name="Key_Global_Fin" localSheetId="13">#REF!</definedName>
    <definedName name="Key_Global_Fin" localSheetId="9">#REF!</definedName>
    <definedName name="Key_Global_Fin" localSheetId="8">#REF!</definedName>
    <definedName name="Key_Global_Fin" localSheetId="7">#REF!</definedName>
    <definedName name="Key_Global_Fin">#REF!</definedName>
    <definedName name="KeyCapitalPartners_GrossRev" localSheetId="13">#REF!</definedName>
    <definedName name="KeyCapitalPartners_GrossRev" localSheetId="9">#REF!</definedName>
    <definedName name="KeyCapitalPartners_GrossRev" localSheetId="8">#REF!</definedName>
    <definedName name="KeyCapitalPartners_GrossRev" localSheetId="7">#REF!</definedName>
    <definedName name="KeyCapitalPartners_GrossRev">#REF!</definedName>
    <definedName name="KeyGlobalFinance_GrossRev" localSheetId="13">#REF!</definedName>
    <definedName name="KeyGlobalFinance_GrossRev" localSheetId="7">#REF!</definedName>
    <definedName name="KeyGlobalFinance_GrossRev">#REF!</definedName>
    <definedName name="KeyInsurance_GrossRev" localSheetId="13">#REF!</definedName>
    <definedName name="KeyInsurance_GrossRev" localSheetId="7">#REF!</definedName>
    <definedName name="KeyInsurance_GrossRev">#REF!</definedName>
    <definedName name="klk" localSheetId="13">#REF!</definedName>
    <definedName name="klk" localSheetId="7">#REF!</definedName>
    <definedName name="klk">#REF!</definedName>
    <definedName name="KNUTSON" localSheetId="13">#REF!</definedName>
    <definedName name="KNUTSON" localSheetId="7">#REF!</definedName>
    <definedName name="KNUTSON">#REF!</definedName>
    <definedName name="LA_1" localSheetId="13">#REF!</definedName>
    <definedName name="LA_1" localSheetId="7">#REF!</definedName>
    <definedName name="LA_1">#REF!</definedName>
    <definedName name="LA_2" localSheetId="13">#REF!</definedName>
    <definedName name="LA_2" localSheetId="7">#REF!</definedName>
    <definedName name="LA_2">#REF!</definedName>
    <definedName name="LA_3" localSheetId="13">#REF!</definedName>
    <definedName name="LA_3" localSheetId="7">#REF!</definedName>
    <definedName name="LA_3">#REF!</definedName>
    <definedName name="LA_4" localSheetId="13">#REF!</definedName>
    <definedName name="LA_4" localSheetId="7">#REF!</definedName>
    <definedName name="LA_4">#REF!</definedName>
    <definedName name="LA_5" localSheetId="13">#REF!</definedName>
    <definedName name="LA_5" localSheetId="7">#REF!</definedName>
    <definedName name="LA_5">#REF!</definedName>
    <definedName name="LA_6" localSheetId="13">#REF!</definedName>
    <definedName name="LA_6" localSheetId="7">#REF!</definedName>
    <definedName name="LA_6">#REF!</definedName>
    <definedName name="LA_7" localSheetId="13">#REF!</definedName>
    <definedName name="LA_7" localSheetId="7">#REF!</definedName>
    <definedName name="LA_7">#REF!</definedName>
    <definedName name="lagdays" localSheetId="13">#REF!</definedName>
    <definedName name="lagdays" localSheetId="7">#REF!</definedName>
    <definedName name="lagdays">#REF!</definedName>
    <definedName name="LAND" localSheetId="13">#REF!</definedName>
    <definedName name="LAND" localSheetId="7">#REF!</definedName>
    <definedName name="LAND">#REF!</definedName>
    <definedName name="LandBasisManualOverride">[10]Assumptions!#REF!</definedName>
    <definedName name="landcostperacre" localSheetId="13">#REF!</definedName>
    <definedName name="landcostperacre" localSheetId="9">#REF!</definedName>
    <definedName name="landcostperacre" localSheetId="8">#REF!</definedName>
    <definedName name="landcostperacre" localSheetId="7">#REF!</definedName>
    <definedName name="landcostperacre">#REF!</definedName>
    <definedName name="landscape" localSheetId="13">[17]CAMINVBU!#REF!</definedName>
    <definedName name="landscape" localSheetId="9">[17]CAMINVBU!#REF!</definedName>
    <definedName name="landscape" localSheetId="8">[17]CAMINVBU!#REF!</definedName>
    <definedName name="landscape">[17]CAMINVBU!#REF!</definedName>
    <definedName name="LargeCorp" localSheetId="13">#REF!</definedName>
    <definedName name="LargeCorp" localSheetId="9">#REF!</definedName>
    <definedName name="LargeCorp" localSheetId="8">#REF!</definedName>
    <definedName name="LargeCorp" localSheetId="7">#REF!</definedName>
    <definedName name="LargeCorp">#REF!</definedName>
    <definedName name="LastApprovedGrade_1" localSheetId="13">#REF!</definedName>
    <definedName name="LastApprovedGrade_1" localSheetId="8">#REF!</definedName>
    <definedName name="LastApprovedGrade_1" localSheetId="7">#REF!</definedName>
    <definedName name="LastApprovedGrade_1">#REF!</definedName>
    <definedName name="LastApprovedGrade_2" localSheetId="13">#REF!</definedName>
    <definedName name="LastApprovedGrade_2" localSheetId="8">#REF!</definedName>
    <definedName name="LastApprovedGrade_2" localSheetId="7">#REF!</definedName>
    <definedName name="LastApprovedGrade_2">#REF!</definedName>
    <definedName name="LastApprovedGrade_3" localSheetId="13">#REF!</definedName>
    <definedName name="LastApprovedGrade_3" localSheetId="7">#REF!</definedName>
    <definedName name="LastApprovedGrade_3">#REF!</definedName>
    <definedName name="LastApprovedGrade_4" localSheetId="13">#REF!</definedName>
    <definedName name="LastApprovedGrade_4" localSheetId="7">#REF!</definedName>
    <definedName name="LastApprovedGrade_4">#REF!</definedName>
    <definedName name="LastApprovedGrade_5" localSheetId="13">#REF!</definedName>
    <definedName name="LastApprovedGrade_5" localSheetId="7">#REF!</definedName>
    <definedName name="LastApprovedGrade_5">#REF!</definedName>
    <definedName name="LastApprovedGrade_6" localSheetId="13">#REF!</definedName>
    <definedName name="LastApprovedGrade_6" localSheetId="7">#REF!</definedName>
    <definedName name="LastApprovedGrade_6">#REF!</definedName>
    <definedName name="LastApprovedIndex_1" localSheetId="13">#REF!</definedName>
    <definedName name="LastApprovedIndex_1" localSheetId="7">#REF!</definedName>
    <definedName name="LastApprovedIndex_1">#REF!</definedName>
    <definedName name="LastApprovedIndex_2" localSheetId="13">#REF!</definedName>
    <definedName name="LastApprovedIndex_2" localSheetId="7">#REF!</definedName>
    <definedName name="LastApprovedIndex_2">#REF!</definedName>
    <definedName name="LastApprovedIndex_3" localSheetId="13">#REF!</definedName>
    <definedName name="LastApprovedIndex_3" localSheetId="7">#REF!</definedName>
    <definedName name="LastApprovedIndex_3">#REF!</definedName>
    <definedName name="LastApprovedIndex_4" localSheetId="13">#REF!</definedName>
    <definedName name="LastApprovedIndex_4" localSheetId="7">#REF!</definedName>
    <definedName name="LastApprovedIndex_4">#REF!</definedName>
    <definedName name="LastApprovedIndex_5" localSheetId="13">#REF!</definedName>
    <definedName name="LastApprovedIndex_5" localSheetId="7">#REF!</definedName>
    <definedName name="LastApprovedIndex_5">#REF!</definedName>
    <definedName name="LastApprovedIndex_6" localSheetId="13">#REF!</definedName>
    <definedName name="LastApprovedIndex_6" localSheetId="7">#REF!</definedName>
    <definedName name="LastApprovedIndex_6">#REF!</definedName>
    <definedName name="LastApprovedSpread_1" localSheetId="13">#REF!</definedName>
    <definedName name="LastApprovedSpread_1" localSheetId="7">#REF!</definedName>
    <definedName name="LastApprovedSpread_1">#REF!</definedName>
    <definedName name="LastApprovedSpread_2" localSheetId="13">#REF!</definedName>
    <definedName name="LastApprovedSpread_2" localSheetId="7">#REF!</definedName>
    <definedName name="LastApprovedSpread_2">#REF!</definedName>
    <definedName name="LastApprovedSpread_3" localSheetId="13">#REF!</definedName>
    <definedName name="LastApprovedSpread_3" localSheetId="7">#REF!</definedName>
    <definedName name="LastApprovedSpread_3">#REF!</definedName>
    <definedName name="LastApprovedSpread_4" localSheetId="13">#REF!</definedName>
    <definedName name="LastApprovedSpread_4" localSheetId="7">#REF!</definedName>
    <definedName name="LastApprovedSpread_4">#REF!</definedName>
    <definedName name="LastApprovedSpread_5" localSheetId="13">#REF!</definedName>
    <definedName name="LastApprovedSpread_5" localSheetId="7">#REF!</definedName>
    <definedName name="LastApprovedSpread_5">#REF!</definedName>
    <definedName name="LastApprovedSpread_6" localSheetId="13">#REF!</definedName>
    <definedName name="LastApprovedSpread_6" localSheetId="7">#REF!</definedName>
    <definedName name="LastApprovedSpread_6">#REF!</definedName>
    <definedName name="LC_PayInArrears_1" localSheetId="13">#REF!</definedName>
    <definedName name="LC_PayInArrears_1" localSheetId="7">#REF!</definedName>
    <definedName name="LC_PayInArrears_1">#REF!</definedName>
    <definedName name="LC_PayInArrears_2" localSheetId="13">#REF!</definedName>
    <definedName name="LC_PayInArrears_2" localSheetId="7">#REF!</definedName>
    <definedName name="LC_PayInArrears_2">#REF!</definedName>
    <definedName name="LC_PayInArrears_3" localSheetId="13">#REF!</definedName>
    <definedName name="LC_PayInArrears_3" localSheetId="7">#REF!</definedName>
    <definedName name="LC_PayInArrears_3">#REF!</definedName>
    <definedName name="LC_PayInArrears_4" localSheetId="13">#REF!</definedName>
    <definedName name="LC_PayInArrears_4" localSheetId="7">#REF!</definedName>
    <definedName name="LC_PayInArrears_4">#REF!</definedName>
    <definedName name="LC_PayInArrears_5" localSheetId="13">#REF!</definedName>
    <definedName name="LC_PayInArrears_5" localSheetId="7">#REF!</definedName>
    <definedName name="LC_PayInArrears_5">#REF!</definedName>
    <definedName name="LC_PayInArrears_6" localSheetId="13">#REF!</definedName>
    <definedName name="LC_PayInArrears_6" localSheetId="7">#REF!</definedName>
    <definedName name="LC_PayInArrears_6">#REF!</definedName>
    <definedName name="Leasing" localSheetId="13">#REF!</definedName>
    <definedName name="Leasing" localSheetId="7">#REF!</definedName>
    <definedName name="Leasing">#REF!</definedName>
    <definedName name="LeftBalance" localSheetId="13">#REF!</definedName>
    <definedName name="LeftBalance" localSheetId="7">#REF!</definedName>
    <definedName name="LeftBalance">#REF!</definedName>
    <definedName name="LeftBalanceQtr" localSheetId="13">#REF!</definedName>
    <definedName name="LeftBalanceQtr" localSheetId="7">#REF!</definedName>
    <definedName name="LeftBalanceQtr">#REF!</definedName>
    <definedName name="LeftBalanceYr" localSheetId="13">#REF!</definedName>
    <definedName name="LeftBalanceYr" localSheetId="7">#REF!</definedName>
    <definedName name="LeftBalanceYr">#REF!</definedName>
    <definedName name="LeftCashFlow" localSheetId="13">#REF!</definedName>
    <definedName name="LeftCashFlow" localSheetId="7">#REF!</definedName>
    <definedName name="LeftCashFlow">#REF!</definedName>
    <definedName name="LeftCashFlowQtr" localSheetId="13">#REF!</definedName>
    <definedName name="LeftCashFlowQtr" localSheetId="7">#REF!</definedName>
    <definedName name="LeftCashFlowQtr">#REF!</definedName>
    <definedName name="LeftCashFlowYr" localSheetId="13">#REF!</definedName>
    <definedName name="LeftCashFlowYr" localSheetId="7">#REF!</definedName>
    <definedName name="LeftCashFlowYr">#REF!</definedName>
    <definedName name="LeftPandL" localSheetId="13">#REF!</definedName>
    <definedName name="LeftPandL" localSheetId="7">#REF!</definedName>
    <definedName name="LeftPandL">#REF!</definedName>
    <definedName name="LeftPandLQtr" localSheetId="13">#REF!</definedName>
    <definedName name="LeftPandLQtr" localSheetId="7">#REF!</definedName>
    <definedName name="LeftPandLQtr">#REF!</definedName>
    <definedName name="LeftPandLYr" localSheetId="13">#REF!</definedName>
    <definedName name="LeftPandLYr" localSheetId="7">#REF!</definedName>
    <definedName name="LeftPandLYr">#REF!</definedName>
    <definedName name="Legal_1" localSheetId="13">#REF!</definedName>
    <definedName name="Legal_1" localSheetId="7">#REF!</definedName>
    <definedName name="Legal_1">#REF!</definedName>
    <definedName name="Legal_2" localSheetId="13">#REF!</definedName>
    <definedName name="Legal_2" localSheetId="7">#REF!</definedName>
    <definedName name="Legal_2">#REF!</definedName>
    <definedName name="Legal_3" localSheetId="13">#REF!</definedName>
    <definedName name="Legal_3" localSheetId="7">#REF!</definedName>
    <definedName name="Legal_3">#REF!</definedName>
    <definedName name="Legal_4" localSheetId="13">#REF!</definedName>
    <definedName name="Legal_4" localSheetId="7">#REF!</definedName>
    <definedName name="Legal_4">#REF!</definedName>
    <definedName name="Legal_5" localSheetId="13">#REF!</definedName>
    <definedName name="Legal_5" localSheetId="7">#REF!</definedName>
    <definedName name="Legal_5">#REF!</definedName>
    <definedName name="Legal_6" localSheetId="13">#REF!</definedName>
    <definedName name="Legal_6" localSheetId="7">#REF!</definedName>
    <definedName name="Legal_6">#REF!</definedName>
    <definedName name="Legal_Table" localSheetId="13">#REF!</definedName>
    <definedName name="Legal_Table" localSheetId="7">#REF!</definedName>
    <definedName name="Legal_Table">#REF!</definedName>
    <definedName name="Lender_JHLICO" localSheetId="13">#REF!</definedName>
    <definedName name="Lender_JHLICO" localSheetId="7">#REF!</definedName>
    <definedName name="Lender_JHLICO">#REF!</definedName>
    <definedName name="Lender_JHREF" localSheetId="13">#REF!</definedName>
    <definedName name="Lender_JHREF" localSheetId="7">#REF!</definedName>
    <definedName name="Lender_JHREF">#REF!</definedName>
    <definedName name="lender_vote" localSheetId="13">#REF!</definedName>
    <definedName name="lender_vote" localSheetId="7">#REF!</definedName>
    <definedName name="lender_vote">#REF!</definedName>
    <definedName name="LEONE">[18]LEONE!$A$13:$P$42</definedName>
    <definedName name="LeveredIRR" localSheetId="13">#REF!</definedName>
    <definedName name="LeveredIRR" localSheetId="9">#REF!</definedName>
    <definedName name="LeveredIRR" localSheetId="8">#REF!</definedName>
    <definedName name="LeveredIRR" localSheetId="7">#REF!</definedName>
    <definedName name="LeveredIRR">#REF!</definedName>
    <definedName name="LFBMonthlyEscalationFactor" localSheetId="13">[10]Assumptions!#REF!</definedName>
    <definedName name="LFBMonthlyEscalationFactor" localSheetId="9">[10]Assumptions!#REF!</definedName>
    <definedName name="LFBMonthlyEscalationFactor" localSheetId="8">[10]Assumptions!#REF!</definedName>
    <definedName name="LFBMonthlyEscalationFactor">[10]Assumptions!#REF!</definedName>
    <definedName name="LIBOR_PRIME_Rate" localSheetId="13">#REF!</definedName>
    <definedName name="LIBOR_PRIME_Rate" localSheetId="9">#REF!</definedName>
    <definedName name="LIBOR_PRIME_Rate" localSheetId="8">#REF!</definedName>
    <definedName name="LIBOR_PRIME_Rate" localSheetId="7">#REF!</definedName>
    <definedName name="LIBOR_PRIME_Rate">#REF!</definedName>
    <definedName name="Libor_PrimeMinus_Sprd1" localSheetId="13">#REF!</definedName>
    <definedName name="Libor_PrimeMinus_Sprd1" localSheetId="8">#REF!</definedName>
    <definedName name="Libor_PrimeMinus_Sprd1" localSheetId="7">#REF!</definedName>
    <definedName name="Libor_PrimeMinus_Sprd1">#REF!</definedName>
    <definedName name="Libor_PrimeMinus_Sprd2" localSheetId="13">#REF!</definedName>
    <definedName name="Libor_PrimeMinus_Sprd2" localSheetId="8">#REF!</definedName>
    <definedName name="Libor_PrimeMinus_Sprd2" localSheetId="7">#REF!</definedName>
    <definedName name="Libor_PrimeMinus_Sprd2">#REF!</definedName>
    <definedName name="Libor_PrimeMinus_Sprd3" localSheetId="13">#REF!</definedName>
    <definedName name="Libor_PrimeMinus_Sprd3" localSheetId="7">#REF!</definedName>
    <definedName name="Libor_PrimeMinus_Sprd3">#REF!</definedName>
    <definedName name="Libor_PrimeMinus_Sprd4" localSheetId="13">#REF!</definedName>
    <definedName name="Libor_PrimeMinus_Sprd4" localSheetId="7">#REF!</definedName>
    <definedName name="Libor_PrimeMinus_Sprd4">#REF!</definedName>
    <definedName name="Libor_PrimeMinus_Sprd5" localSheetId="13">#REF!</definedName>
    <definedName name="Libor_PrimeMinus_Sprd5" localSheetId="7">#REF!</definedName>
    <definedName name="Libor_PrimeMinus_Sprd5">#REF!</definedName>
    <definedName name="Libor_PrimeMinus_Sprd6" localSheetId="13">#REF!</definedName>
    <definedName name="Libor_PrimeMinus_Sprd6" localSheetId="7">#REF!</definedName>
    <definedName name="Libor_PrimeMinus_Sprd6">#REF!</definedName>
    <definedName name="LifeCoMonthlySpread" localSheetId="13">#REF!</definedName>
    <definedName name="LifeCoMonthlySpread" localSheetId="7">#REF!</definedName>
    <definedName name="LifeCoMonthlySpread">#REF!</definedName>
    <definedName name="LifeCoSASpread" localSheetId="13">#REF!</definedName>
    <definedName name="LifeCoSASpread" localSheetId="7">#REF!</definedName>
    <definedName name="LifeCoSASpread">#REF!</definedName>
    <definedName name="LifeCoSpread" localSheetId="13">#REF!</definedName>
    <definedName name="LifeCoSpread" localSheetId="7">#REF!</definedName>
    <definedName name="LifeCoSpread">#REF!</definedName>
    <definedName name="limited" localSheetId="13">#REF!</definedName>
    <definedName name="limited" localSheetId="7">#REF!</definedName>
    <definedName name="limited">#REF!</definedName>
    <definedName name="Liq_Adj_Table2001_1" localSheetId="13">#REF!</definedName>
    <definedName name="Liq_Adj_Table2001_1" localSheetId="7">#REF!</definedName>
    <definedName name="Liq_Adj_Table2001_1">#REF!</definedName>
    <definedName name="Liq_Adj_Table2001_2" localSheetId="13">#REF!</definedName>
    <definedName name="Liq_Adj_Table2001_2" localSheetId="7">#REF!</definedName>
    <definedName name="Liq_Adj_Table2001_2">#REF!</definedName>
    <definedName name="Liq_Adj_Table2001_3" localSheetId="13">#REF!</definedName>
    <definedName name="Liq_Adj_Table2001_3" localSheetId="7">#REF!</definedName>
    <definedName name="Liq_Adj_Table2001_3">#REF!</definedName>
    <definedName name="Liq_Adj_Table2001_4" localSheetId="13">#REF!</definedName>
    <definedName name="Liq_Adj_Table2001_4" localSheetId="7">#REF!</definedName>
    <definedName name="Liq_Adj_Table2001_4">#REF!</definedName>
    <definedName name="Liq_Adj_Table2001_5" localSheetId="13">#REF!</definedName>
    <definedName name="Liq_Adj_Table2001_5" localSheetId="7">#REF!</definedName>
    <definedName name="Liq_Adj_Table2001_5">#REF!</definedName>
    <definedName name="Liq_Adj_Table2001_6" localSheetId="13">#REF!</definedName>
    <definedName name="Liq_Adj_Table2001_6" localSheetId="7">#REF!</definedName>
    <definedName name="Liq_Adj_Table2001_6">#REF!</definedName>
    <definedName name="Liq_Premium_Adj1_Months2001" localSheetId="13">#REF!</definedName>
    <definedName name="Liq_Premium_Adj1_Months2001" localSheetId="7">#REF!</definedName>
    <definedName name="Liq_Premium_Adj1_Months2001">#REF!</definedName>
    <definedName name="Liq_Premium_Adj10_Months2001" localSheetId="13">#REF!</definedName>
    <definedName name="Liq_Premium_Adj10_Months2001" localSheetId="7">#REF!</definedName>
    <definedName name="Liq_Premium_Adj10_Months2001">#REF!</definedName>
    <definedName name="Liq_Premium_Adj2_months2001" localSheetId="13">#REF!</definedName>
    <definedName name="Liq_Premium_Adj2_months2001" localSheetId="7">#REF!</definedName>
    <definedName name="Liq_Premium_Adj2_months2001">#REF!</definedName>
    <definedName name="Liq_Premium_Adj3_months2001" localSheetId="13">#REF!</definedName>
    <definedName name="Liq_Premium_Adj3_months2001" localSheetId="7">#REF!</definedName>
    <definedName name="Liq_Premium_Adj3_months2001">#REF!</definedName>
    <definedName name="Liq_Premium_Adj5_months2001" localSheetId="13">#REF!</definedName>
    <definedName name="Liq_Premium_Adj5_months2001" localSheetId="7">#REF!</definedName>
    <definedName name="Liq_Premium_Adj5_months2001">#REF!</definedName>
    <definedName name="Liq_Premium_LIBOR_Months2001" localSheetId="13">#REF!</definedName>
    <definedName name="Liq_Premium_LIBOR_Months2001" localSheetId="7">#REF!</definedName>
    <definedName name="Liq_Premium_LIBOR_Months2001">#REF!</definedName>
    <definedName name="Liq_Premium_Prime_Months2001" localSheetId="13">#REF!</definedName>
    <definedName name="Liq_Premium_Prime_Months2001" localSheetId="7">#REF!</definedName>
    <definedName name="Liq_Premium_Prime_Months2001">#REF!</definedName>
    <definedName name="LiqMonth_adj_1" localSheetId="13">#REF!</definedName>
    <definedName name="LiqMonth_adj_1" localSheetId="7">#REF!</definedName>
    <definedName name="LiqMonth_adj_1">#REF!</definedName>
    <definedName name="LiqMonth_adj_2" localSheetId="13">#REF!</definedName>
    <definedName name="LiqMonth_adj_2" localSheetId="7">#REF!</definedName>
    <definedName name="LiqMonth_adj_2">#REF!</definedName>
    <definedName name="LiqMonth_adj_3" localSheetId="13">#REF!</definedName>
    <definedName name="LiqMonth_adj_3" localSheetId="7">#REF!</definedName>
    <definedName name="LiqMonth_adj_3">#REF!</definedName>
    <definedName name="LiqMonth_adj_4" localSheetId="13">#REF!</definedName>
    <definedName name="LiqMonth_adj_4" localSheetId="7">#REF!</definedName>
    <definedName name="LiqMonth_adj_4">#REF!</definedName>
    <definedName name="LiqMonth_adj_5" localSheetId="13">#REF!</definedName>
    <definedName name="LiqMonth_adj_5" localSheetId="7">#REF!</definedName>
    <definedName name="LiqMonth_adj_5">#REF!</definedName>
    <definedName name="LiqMonth_adj_6" localSheetId="13">#REF!</definedName>
    <definedName name="LiqMonth_adj_6" localSheetId="7">#REF!</definedName>
    <definedName name="LiqMonth_adj_6">#REF!</definedName>
    <definedName name="LiqPrem_Adj_1" localSheetId="13">#REF!</definedName>
    <definedName name="LiqPrem_Adj_1" localSheetId="7">#REF!</definedName>
    <definedName name="LiqPrem_Adj_1">#REF!</definedName>
    <definedName name="LiqPrem_Adj_2" localSheetId="13">#REF!</definedName>
    <definedName name="LiqPrem_Adj_2" localSheetId="7">#REF!</definedName>
    <definedName name="LiqPrem_Adj_2">#REF!</definedName>
    <definedName name="LiqPrem_Adj_3" localSheetId="13">#REF!</definedName>
    <definedName name="LiqPrem_Adj_3" localSheetId="7">#REF!</definedName>
    <definedName name="LiqPrem_Adj_3">#REF!</definedName>
    <definedName name="LiqPrem_Adj_4" localSheetId="13">#REF!</definedName>
    <definedName name="LiqPrem_Adj_4" localSheetId="7">#REF!</definedName>
    <definedName name="LiqPrem_Adj_4">#REF!</definedName>
    <definedName name="LiqPrem_Adj_5" localSheetId="13">#REF!</definedName>
    <definedName name="LiqPrem_Adj_5" localSheetId="7">#REF!</definedName>
    <definedName name="LiqPrem_Adj_5">#REF!</definedName>
    <definedName name="LiqPrem_Adj_6" localSheetId="13">#REF!</definedName>
    <definedName name="LiqPrem_Adj_6" localSheetId="7">#REF!</definedName>
    <definedName name="LiqPrem_Adj_6">#REF!</definedName>
    <definedName name="LiqPrem_LIBOR_1" localSheetId="13">#REF!</definedName>
    <definedName name="LiqPrem_LIBOR_1" localSheetId="7">#REF!</definedName>
    <definedName name="LiqPrem_LIBOR_1">#REF!</definedName>
    <definedName name="LiqPrem_LIBOR_2" localSheetId="13">#REF!</definedName>
    <definedName name="LiqPrem_LIBOR_2" localSheetId="7">#REF!</definedName>
    <definedName name="LiqPrem_LIBOR_2">#REF!</definedName>
    <definedName name="LiqPrem_LIBOR_3" localSheetId="13">#REF!</definedName>
    <definedName name="LiqPrem_LIBOR_3" localSheetId="7">#REF!</definedName>
    <definedName name="LiqPrem_LIBOR_3">#REF!</definedName>
    <definedName name="LiqPrem_LIBOR_4" localSheetId="13">#REF!</definedName>
    <definedName name="LiqPrem_LIBOR_4" localSheetId="7">#REF!</definedName>
    <definedName name="LiqPrem_LIBOR_4">#REF!</definedName>
    <definedName name="LiqPrem_LIBOR_5" localSheetId="13">#REF!</definedName>
    <definedName name="LiqPrem_LIBOR_5" localSheetId="7">#REF!</definedName>
    <definedName name="LiqPrem_LIBOR_5">#REF!</definedName>
    <definedName name="LiqPrem_LIBOR_6" localSheetId="13">#REF!</definedName>
    <definedName name="LiqPrem_LIBOR_6" localSheetId="7">#REF!</definedName>
    <definedName name="LiqPrem_LIBOR_6">#REF!</definedName>
    <definedName name="LiqPrem_Prime_1" localSheetId="13">#REF!</definedName>
    <definedName name="LiqPrem_Prime_1" localSheetId="7">#REF!</definedName>
    <definedName name="LiqPrem_Prime_1">#REF!</definedName>
    <definedName name="LiqPrem_Prime_2" localSheetId="13">#REF!</definedName>
    <definedName name="LiqPrem_Prime_2" localSheetId="7">#REF!</definedName>
    <definedName name="LiqPrem_Prime_2">#REF!</definedName>
    <definedName name="LiqPrem_Prime_3" localSheetId="13">#REF!</definedName>
    <definedName name="LiqPrem_Prime_3" localSheetId="7">#REF!</definedName>
    <definedName name="LiqPrem_Prime_3">#REF!</definedName>
    <definedName name="LiqPrem_Prime_4" localSheetId="13">#REF!</definedName>
    <definedName name="LiqPrem_Prime_4" localSheetId="7">#REF!</definedName>
    <definedName name="LiqPrem_Prime_4">#REF!</definedName>
    <definedName name="LiqPrem_Prime_5" localSheetId="13">#REF!</definedName>
    <definedName name="LiqPrem_Prime_5" localSheetId="7">#REF!</definedName>
    <definedName name="LiqPrem_Prime_5">#REF!</definedName>
    <definedName name="LiqPrem_Prime_6" localSheetId="13">#REF!</definedName>
    <definedName name="LiqPrem_Prime_6" localSheetId="7">#REF!</definedName>
    <definedName name="LiqPrem_Prime_6">#REF!</definedName>
    <definedName name="LiqTbl2000_Adj_1" localSheetId="13">#REF!</definedName>
    <definedName name="LiqTbl2000_Adj_1" localSheetId="7">#REF!</definedName>
    <definedName name="LiqTbl2000_Adj_1">#REF!</definedName>
    <definedName name="LiqTbl2000_Adj_2" localSheetId="13">#REF!</definedName>
    <definedName name="LiqTbl2000_Adj_2" localSheetId="7">#REF!</definedName>
    <definedName name="LiqTbl2000_Adj_2">#REF!</definedName>
    <definedName name="LiqTbl2000_Adj_3" localSheetId="13">#REF!</definedName>
    <definedName name="LiqTbl2000_Adj_3" localSheetId="7">#REF!</definedName>
    <definedName name="LiqTbl2000_Adj_3">#REF!</definedName>
    <definedName name="LiqTbl2000_Adj_4" localSheetId="13">#REF!</definedName>
    <definedName name="LiqTbl2000_Adj_4" localSheetId="7">#REF!</definedName>
    <definedName name="LiqTbl2000_Adj_4">#REF!</definedName>
    <definedName name="LiqTbl2000_Adj_5" localSheetId="13">#REF!</definedName>
    <definedName name="LiqTbl2000_Adj_5" localSheetId="7">#REF!</definedName>
    <definedName name="LiqTbl2000_Adj_5">#REF!</definedName>
    <definedName name="LiqTbl2000_Adj_6" localSheetId="13">#REF!</definedName>
    <definedName name="LiqTbl2000_Adj_6" localSheetId="7">#REF!</definedName>
    <definedName name="LiqTbl2000_Adj_6">#REF!</definedName>
    <definedName name="Liquidity_Adjustable_Table_1" localSheetId="13">#REF!</definedName>
    <definedName name="Liquidity_Adjustable_Table_1" localSheetId="7">#REF!</definedName>
    <definedName name="Liquidity_Adjustable_Table_1">#REF!</definedName>
    <definedName name="Liquidity_Adjustable_Table_2" localSheetId="13">#REF!</definedName>
    <definedName name="Liquidity_Adjustable_Table_2" localSheetId="7">#REF!</definedName>
    <definedName name="Liquidity_Adjustable_Table_2">#REF!</definedName>
    <definedName name="Liquidity_Adjustable_Table_3" localSheetId="13">#REF!</definedName>
    <definedName name="Liquidity_Adjustable_Table_3" localSheetId="7">#REF!</definedName>
    <definedName name="Liquidity_Adjustable_Table_3">#REF!</definedName>
    <definedName name="Liquidity_Adjustable_Table_4" localSheetId="13">#REF!</definedName>
    <definedName name="Liquidity_Adjustable_Table_4" localSheetId="7">#REF!</definedName>
    <definedName name="Liquidity_Adjustable_Table_4">#REF!</definedName>
    <definedName name="Liquidity_Adjustable_Table_5" localSheetId="13">#REF!</definedName>
    <definedName name="Liquidity_Adjustable_Table_5" localSheetId="7">#REF!</definedName>
    <definedName name="Liquidity_Adjustable_Table_5">#REF!</definedName>
    <definedName name="Liquidity_Adjustable_Table_6" localSheetId="13">#REF!</definedName>
    <definedName name="Liquidity_Adjustable_Table_6" localSheetId="7">#REF!</definedName>
    <definedName name="Liquidity_Adjustable_Table_6">#REF!</definedName>
    <definedName name="Liquidity_Charge_Table" localSheetId="13">#REF!</definedName>
    <definedName name="Liquidity_Charge_Table" localSheetId="7">#REF!</definedName>
    <definedName name="Liquidity_Charge_Table">#REF!</definedName>
    <definedName name="Liquidity_Credit_1" localSheetId="13">#REF!</definedName>
    <definedName name="Liquidity_Credit_1" localSheetId="7">#REF!</definedName>
    <definedName name="Liquidity_Credit_1">#REF!</definedName>
    <definedName name="Liquidity_Credit_2" localSheetId="13">#REF!</definedName>
    <definedName name="Liquidity_Credit_2" localSheetId="7">#REF!</definedName>
    <definedName name="Liquidity_Credit_2">#REF!</definedName>
    <definedName name="Liquidity_Credit_3" localSheetId="13">#REF!</definedName>
    <definedName name="Liquidity_Credit_3" localSheetId="7">#REF!</definedName>
    <definedName name="Liquidity_Credit_3">#REF!</definedName>
    <definedName name="Liquidity_Credit_4" localSheetId="13">#REF!</definedName>
    <definedName name="Liquidity_Credit_4" localSheetId="7">#REF!</definedName>
    <definedName name="Liquidity_Credit_4">#REF!</definedName>
    <definedName name="Liquidity_Credit_5" localSheetId="13">#REF!</definedName>
    <definedName name="Liquidity_Credit_5" localSheetId="7">#REF!</definedName>
    <definedName name="Liquidity_Credit_5">#REF!</definedName>
    <definedName name="Liquidity_Credit_6" localSheetId="13">#REF!</definedName>
    <definedName name="Liquidity_Credit_6" localSheetId="7">#REF!</definedName>
    <definedName name="Liquidity_Credit_6">#REF!</definedName>
    <definedName name="Liquidity_Credit_Table" localSheetId="13">#REF!</definedName>
    <definedName name="Liquidity_Credit_Table" localSheetId="7">#REF!</definedName>
    <definedName name="Liquidity_Credit_Table">#REF!</definedName>
    <definedName name="Liquidity_Error_1" localSheetId="13">#REF!</definedName>
    <definedName name="Liquidity_Error_1" localSheetId="7">#REF!</definedName>
    <definedName name="Liquidity_Error_1">#REF!</definedName>
    <definedName name="Liquidity_Error_2" localSheetId="13">#REF!</definedName>
    <definedName name="Liquidity_Error_2" localSheetId="7">#REF!</definedName>
    <definedName name="Liquidity_Error_2">#REF!</definedName>
    <definedName name="Liquidity_Error_3" localSheetId="13">#REF!</definedName>
    <definedName name="Liquidity_Error_3" localSheetId="7">#REF!</definedName>
    <definedName name="Liquidity_Error_3">#REF!</definedName>
    <definedName name="Liquidity_Error_4" localSheetId="13">#REF!</definedName>
    <definedName name="Liquidity_Error_4" localSheetId="7">#REF!</definedName>
    <definedName name="Liquidity_Error_4">#REF!</definedName>
    <definedName name="Liquidity_Error_5" localSheetId="13">#REF!</definedName>
    <definedName name="Liquidity_Error_5" localSheetId="7">#REF!</definedName>
    <definedName name="Liquidity_Error_5">#REF!</definedName>
    <definedName name="Liquidity_Error_6" localSheetId="13">#REF!</definedName>
    <definedName name="Liquidity_Error_6" localSheetId="7">#REF!</definedName>
    <definedName name="Liquidity_Error_6">#REF!</definedName>
    <definedName name="Liquidity_Libor_WAL" localSheetId="13">#REF!</definedName>
    <definedName name="Liquidity_Libor_WAL" localSheetId="7">#REF!</definedName>
    <definedName name="Liquidity_Libor_WAL">#REF!</definedName>
    <definedName name="Liquidity_Premium_1" localSheetId="13">#REF!</definedName>
    <definedName name="Liquidity_Premium_1" localSheetId="7">#REF!</definedName>
    <definedName name="Liquidity_Premium_1">#REF!</definedName>
    <definedName name="Liquidity_Premium_2" localSheetId="13">#REF!</definedName>
    <definedName name="Liquidity_Premium_2" localSheetId="7">#REF!</definedName>
    <definedName name="Liquidity_Premium_2">#REF!</definedName>
    <definedName name="Liquidity_Premium_3" localSheetId="13">#REF!</definedName>
    <definedName name="Liquidity_Premium_3" localSheetId="7">#REF!</definedName>
    <definedName name="Liquidity_Premium_3">#REF!</definedName>
    <definedName name="Liquidity_Premium_4" localSheetId="13">#REF!</definedName>
    <definedName name="Liquidity_Premium_4" localSheetId="7">#REF!</definedName>
    <definedName name="Liquidity_Premium_4">#REF!</definedName>
    <definedName name="Liquidity_Premium_5" localSheetId="13">#REF!</definedName>
    <definedName name="Liquidity_Premium_5" localSheetId="7">#REF!</definedName>
    <definedName name="Liquidity_Premium_5">#REF!</definedName>
    <definedName name="Liquidity_Premium_6" localSheetId="13">#REF!</definedName>
    <definedName name="Liquidity_Premium_6" localSheetId="7">#REF!</definedName>
    <definedName name="Liquidity_Premium_6">#REF!</definedName>
    <definedName name="Liquidity_Premium_Charge_1" localSheetId="13">#REF!</definedName>
    <definedName name="Liquidity_Premium_Charge_1" localSheetId="7">#REF!</definedName>
    <definedName name="Liquidity_Premium_Charge_1">#REF!</definedName>
    <definedName name="Liquidity_Premium_Charge_2" localSheetId="13">#REF!</definedName>
    <definedName name="Liquidity_Premium_Charge_2" localSheetId="7">#REF!</definedName>
    <definedName name="Liquidity_Premium_Charge_2">#REF!</definedName>
    <definedName name="Liquidity_Premium_Charge_3" localSheetId="13">#REF!</definedName>
    <definedName name="Liquidity_Premium_Charge_3" localSheetId="7">#REF!</definedName>
    <definedName name="Liquidity_Premium_Charge_3">#REF!</definedName>
    <definedName name="Liquidity_Premium_Charge_4" localSheetId="13">#REF!</definedName>
    <definedName name="Liquidity_Premium_Charge_4" localSheetId="7">#REF!</definedName>
    <definedName name="Liquidity_Premium_Charge_4">#REF!</definedName>
    <definedName name="Liquidity_Premium_Charge_5" localSheetId="13">#REF!</definedName>
    <definedName name="Liquidity_Premium_Charge_5" localSheetId="7">#REF!</definedName>
    <definedName name="Liquidity_Premium_Charge_5">#REF!</definedName>
    <definedName name="Liquidity_Premium_Charge_6" localSheetId="13">#REF!</definedName>
    <definedName name="Liquidity_Premium_Charge_6" localSheetId="7">#REF!</definedName>
    <definedName name="Liquidity_Premium_Charge_6">#REF!</definedName>
    <definedName name="Liquidity_Table_Adj1" localSheetId="13">#REF!</definedName>
    <definedName name="Liquidity_Table_Adj1" localSheetId="7">#REF!</definedName>
    <definedName name="Liquidity_Table_Adj1">#REF!</definedName>
    <definedName name="Liquidity_Table_Adj10" localSheetId="13">#REF!</definedName>
    <definedName name="Liquidity_Table_Adj10" localSheetId="7">#REF!</definedName>
    <definedName name="Liquidity_Table_Adj10">#REF!</definedName>
    <definedName name="Liquidity_Table_Adj2" localSheetId="13">#REF!</definedName>
    <definedName name="Liquidity_Table_Adj2" localSheetId="7">#REF!</definedName>
    <definedName name="Liquidity_Table_Adj2">#REF!</definedName>
    <definedName name="Liquidity_Table_Adj3" localSheetId="13">#REF!</definedName>
    <definedName name="Liquidity_Table_Adj3" localSheetId="7">#REF!</definedName>
    <definedName name="Liquidity_Table_Adj3">#REF!</definedName>
    <definedName name="Liquidity_Table_Adj5" localSheetId="13">#REF!</definedName>
    <definedName name="Liquidity_Table_Adj5" localSheetId="7">#REF!</definedName>
    <definedName name="Liquidity_Table_Adj5">#REF!</definedName>
    <definedName name="Liquidity_Table_LIBOR" localSheetId="13">#REF!</definedName>
    <definedName name="Liquidity_Table_LIBOR" localSheetId="7">#REF!</definedName>
    <definedName name="Liquidity_Table_LIBOR">#REF!</definedName>
    <definedName name="Liquidity_Table_PRIME" localSheetId="13">#REF!</definedName>
    <definedName name="Liquidity_Table_PRIME" localSheetId="7">#REF!</definedName>
    <definedName name="Liquidity_Table_PRIME">#REF!</definedName>
    <definedName name="Liquidity_Table2000" localSheetId="13">#REF!</definedName>
    <definedName name="Liquidity_Table2000" localSheetId="7">#REF!</definedName>
    <definedName name="Liquidity_Table2000">#REF!</definedName>
    <definedName name="Liquidity_Table2000_Adj1" localSheetId="13">#REF!</definedName>
    <definedName name="Liquidity_Table2000_Adj1" localSheetId="7">#REF!</definedName>
    <definedName name="Liquidity_Table2000_Adj1">#REF!</definedName>
    <definedName name="Liquidity_Table2000_Adj10" localSheetId="13">#REF!</definedName>
    <definedName name="Liquidity_Table2000_Adj10" localSheetId="7">#REF!</definedName>
    <definedName name="Liquidity_Table2000_Adj10">#REF!</definedName>
    <definedName name="Liquidity_Table2000_Adj2" localSheetId="13">#REF!</definedName>
    <definedName name="Liquidity_Table2000_Adj2" localSheetId="7">#REF!</definedName>
    <definedName name="Liquidity_Table2000_Adj2">#REF!</definedName>
    <definedName name="Liquidity_Table2000_Adj3" localSheetId="13">#REF!</definedName>
    <definedName name="Liquidity_Table2000_Adj3" localSheetId="7">#REF!</definedName>
    <definedName name="Liquidity_Table2000_Adj3">#REF!</definedName>
    <definedName name="Liquidity_Table2000_Adj5" localSheetId="13">#REF!</definedName>
    <definedName name="Liquidity_Table2000_Adj5" localSheetId="7">#REF!</definedName>
    <definedName name="Liquidity_Table2000_Adj5">#REF!</definedName>
    <definedName name="Liquidity_Table2000_LIBOR" localSheetId="13">#REF!</definedName>
    <definedName name="Liquidity_Table2000_LIBOR" localSheetId="7">#REF!</definedName>
    <definedName name="Liquidity_Table2000_LIBOR">#REF!</definedName>
    <definedName name="Liquidity_WAL_ADJ1" localSheetId="13">#REF!</definedName>
    <definedName name="Liquidity_WAL_ADJ1" localSheetId="7">#REF!</definedName>
    <definedName name="Liquidity_WAL_ADJ1">#REF!</definedName>
    <definedName name="Liquidity_WAL_Adj10" localSheetId="13">#REF!</definedName>
    <definedName name="Liquidity_WAL_Adj10" localSheetId="7">#REF!</definedName>
    <definedName name="Liquidity_WAL_Adj10">#REF!</definedName>
    <definedName name="Liquidity_WAL_Adj2" localSheetId="13">#REF!</definedName>
    <definedName name="Liquidity_WAL_Adj2" localSheetId="7">#REF!</definedName>
    <definedName name="Liquidity_WAL_Adj2">#REF!</definedName>
    <definedName name="Liquidity_WAL_Adj3" localSheetId="13">#REF!</definedName>
    <definedName name="Liquidity_WAL_Adj3" localSheetId="7">#REF!</definedName>
    <definedName name="Liquidity_WAL_Adj3">#REF!</definedName>
    <definedName name="Liquidity_WAL_Adj5" localSheetId="13">#REF!</definedName>
    <definedName name="Liquidity_WAL_Adj5" localSheetId="7">#REF!</definedName>
    <definedName name="Liquidity_WAL_Adj5">#REF!</definedName>
    <definedName name="Liquidity_WAL_LIBOR" localSheetId="13">#REF!</definedName>
    <definedName name="Liquidity_WAL_LIBOR" localSheetId="7">#REF!</definedName>
    <definedName name="Liquidity_WAL_LIBOR">#REF!</definedName>
    <definedName name="Liquidity_WAL_PRIME" localSheetId="13">#REF!</definedName>
    <definedName name="Liquidity_WAL_PRIME" localSheetId="7">#REF!</definedName>
    <definedName name="Liquidity_WAL_PRIME">#REF!</definedName>
    <definedName name="Liquidity_WAvgLife_1" localSheetId="13">#REF!</definedName>
    <definedName name="Liquidity_WAvgLife_1" localSheetId="7">#REF!</definedName>
    <definedName name="Liquidity_WAvgLife_1">#REF!</definedName>
    <definedName name="Liquidity_WAvgLife_2" localSheetId="13">#REF!</definedName>
    <definedName name="Liquidity_WAvgLife_2" localSheetId="7">#REF!</definedName>
    <definedName name="Liquidity_WAvgLife_2">#REF!</definedName>
    <definedName name="Liquidity_WAvgLife_3" localSheetId="13">#REF!</definedName>
    <definedName name="Liquidity_WAvgLife_3" localSheetId="7">#REF!</definedName>
    <definedName name="Liquidity_WAvgLife_3">#REF!</definedName>
    <definedName name="Liquidity_WAvgLife_4" localSheetId="13">#REF!</definedName>
    <definedName name="Liquidity_WAvgLife_4" localSheetId="7">#REF!</definedName>
    <definedName name="Liquidity_WAvgLife_4">#REF!</definedName>
    <definedName name="Liquidity_WAvgLife_5" localSheetId="13">#REF!</definedName>
    <definedName name="Liquidity_WAvgLife_5" localSheetId="7">#REF!</definedName>
    <definedName name="Liquidity_WAvgLife_5">#REF!</definedName>
    <definedName name="Liquidity_WAvgLife_6" localSheetId="13">#REF!</definedName>
    <definedName name="Liquidity_WAvgLife_6" localSheetId="7">#REF!</definedName>
    <definedName name="Liquidity_WAvgLife_6">#REF!</definedName>
    <definedName name="LiqWAL_Adj_1" localSheetId="13">#REF!</definedName>
    <definedName name="LiqWAL_Adj_1" localSheetId="7">#REF!</definedName>
    <definedName name="LiqWAL_Adj_1">#REF!</definedName>
    <definedName name="LiqWAL_Adj_2" localSheetId="13">#REF!</definedName>
    <definedName name="LiqWAL_Adj_2" localSheetId="7">#REF!</definedName>
    <definedName name="LiqWAL_Adj_2">#REF!</definedName>
    <definedName name="LiqWAL_Adj_3" localSheetId="13">#REF!</definedName>
    <definedName name="LiqWAL_Adj_3" localSheetId="7">#REF!</definedName>
    <definedName name="LiqWAL_Adj_3">#REF!</definedName>
    <definedName name="LiqWAL_Adj_4" localSheetId="13">#REF!</definedName>
    <definedName name="LiqWAL_Adj_4" localSheetId="7">#REF!</definedName>
    <definedName name="LiqWAL_Adj_4">#REF!</definedName>
    <definedName name="LiqWAL_Adj_5" localSheetId="13">#REF!</definedName>
    <definedName name="LiqWAL_Adj_5" localSheetId="7">#REF!</definedName>
    <definedName name="LiqWAL_Adj_5">#REF!</definedName>
    <definedName name="LiqWAL_Adj_6" localSheetId="13">#REF!</definedName>
    <definedName name="LiqWAL_Adj_6" localSheetId="7">#REF!</definedName>
    <definedName name="LiqWAL_Adj_6">#REF!</definedName>
    <definedName name="LIST">[41]TABLE!$A$2:$F$166</definedName>
    <definedName name="LLP_Deriv_1" localSheetId="13">#REF!</definedName>
    <definedName name="LLP_Deriv_1" localSheetId="9">#REF!</definedName>
    <definedName name="LLP_Deriv_1" localSheetId="8">#REF!</definedName>
    <definedName name="LLP_Deriv_1" localSheetId="7">#REF!</definedName>
    <definedName name="LLP_Deriv_1">#REF!</definedName>
    <definedName name="LLP_Deriv_2" localSheetId="13">#REF!</definedName>
    <definedName name="LLP_Deriv_2" localSheetId="8">#REF!</definedName>
    <definedName name="LLP_Deriv_2" localSheetId="7">#REF!</definedName>
    <definedName name="LLP_Deriv_2">#REF!</definedName>
    <definedName name="LLP_Deriv_3" localSheetId="13">#REF!</definedName>
    <definedName name="LLP_Deriv_3" localSheetId="8">#REF!</definedName>
    <definedName name="LLP_Deriv_3" localSheetId="7">#REF!</definedName>
    <definedName name="LLP_Deriv_3">#REF!</definedName>
    <definedName name="LLP_Deriv_4" localSheetId="13">#REF!</definedName>
    <definedName name="LLP_Deriv_4" localSheetId="7">#REF!</definedName>
    <definedName name="LLP_Deriv_4">#REF!</definedName>
    <definedName name="LLP_Deriv_5" localSheetId="13">#REF!</definedName>
    <definedName name="LLP_Deriv_5" localSheetId="7">#REF!</definedName>
    <definedName name="LLP_Deriv_5">#REF!</definedName>
    <definedName name="LLP_Deriv_6" localSheetId="13">#REF!</definedName>
    <definedName name="LLP_Deriv_6" localSheetId="7">#REF!</definedName>
    <definedName name="LLP_Deriv_6">#REF!</definedName>
    <definedName name="LLP_Grade" localSheetId="13">#REF!</definedName>
    <definedName name="LLP_Grade" localSheetId="7">#REF!</definedName>
    <definedName name="LLP_Grade">#REF!</definedName>
    <definedName name="LLP_Table" localSheetId="13">#REF!</definedName>
    <definedName name="LLP_Table" localSheetId="7">#REF!</definedName>
    <definedName name="LLP_Table">#REF!</definedName>
    <definedName name="loan" localSheetId="13">#REF!</definedName>
    <definedName name="loan" localSheetId="7">#REF!</definedName>
    <definedName name="loan">#REF!</definedName>
    <definedName name="Loan_Amort">[40]Inputs!#REF!</definedName>
    <definedName name="Loan_Amount">[12]Proforma!$G$24</definedName>
    <definedName name="Loan_Analysis" localSheetId="13">#REF!</definedName>
    <definedName name="Loan_Analysis" localSheetId="9">#REF!</definedName>
    <definedName name="Loan_Analysis" localSheetId="8">#REF!</definedName>
    <definedName name="Loan_Analysis" localSheetId="7">#REF!</definedName>
    <definedName name="Loan_Analysis">#REF!</definedName>
    <definedName name="Loan_End">[42]Inputs!$F$26</definedName>
    <definedName name="Loan_Equivalent" localSheetId="13">#REF!</definedName>
    <definedName name="Loan_Equivalent" localSheetId="9">#REF!</definedName>
    <definedName name="Loan_Equivalent" localSheetId="8">#REF!</definedName>
    <definedName name="Loan_Equivalent" localSheetId="7">#REF!</definedName>
    <definedName name="Loan_Equivalent">#REF!</definedName>
    <definedName name="Loan_Term">[42]Inputs!$F$18</definedName>
    <definedName name="loan_terms_info_vote" localSheetId="13">#REF!</definedName>
    <definedName name="loan_terms_info_vote" localSheetId="9">#REF!</definedName>
    <definedName name="loan_terms_info_vote" localSheetId="8">#REF!</definedName>
    <definedName name="loan_terms_info_vote" localSheetId="7">#REF!</definedName>
    <definedName name="loan_terms_info_vote">#REF!</definedName>
    <definedName name="Loancommitmentreduction" localSheetId="13">[10]Assumptions!#REF!</definedName>
    <definedName name="Loancommitmentreduction" localSheetId="9">[10]Assumptions!#REF!</definedName>
    <definedName name="Loancommitmentreduction" localSheetId="8">[10]Assumptions!#REF!</definedName>
    <definedName name="Loancommitmentreduction">[10]Assumptions!#REF!</definedName>
    <definedName name="LoanFee">[15]Assumptions!$E$119</definedName>
    <definedName name="LoanLoss_1" localSheetId="13">#REF!</definedName>
    <definedName name="LoanLoss_1" localSheetId="9">#REF!</definedName>
    <definedName name="LoanLoss_1" localSheetId="8">#REF!</definedName>
    <definedName name="LoanLoss_1" localSheetId="7">#REF!</definedName>
    <definedName name="LoanLoss_1">#REF!</definedName>
    <definedName name="LoanLoss_2" localSheetId="13">#REF!</definedName>
    <definedName name="LoanLoss_2" localSheetId="8">#REF!</definedName>
    <definedName name="LoanLoss_2" localSheetId="7">#REF!</definedName>
    <definedName name="LoanLoss_2">#REF!</definedName>
    <definedName name="LoanLoss_3" localSheetId="13">#REF!</definedName>
    <definedName name="LoanLoss_3" localSheetId="8">#REF!</definedName>
    <definedName name="LoanLoss_3" localSheetId="7">#REF!</definedName>
    <definedName name="LoanLoss_3">#REF!</definedName>
    <definedName name="LoanLoss_4" localSheetId="13">#REF!</definedName>
    <definedName name="LoanLoss_4" localSheetId="7">#REF!</definedName>
    <definedName name="LoanLoss_4">#REF!</definedName>
    <definedName name="LoanLoss_5" localSheetId="13">#REF!</definedName>
    <definedName name="LoanLoss_5" localSheetId="7">#REF!</definedName>
    <definedName name="LoanLoss_5">#REF!</definedName>
    <definedName name="LoanLoss_6" localSheetId="13">#REF!</definedName>
    <definedName name="LoanLoss_6" localSheetId="7">#REF!</definedName>
    <definedName name="LoanLoss_6">#REF!</definedName>
    <definedName name="LoanLoss1thru6" localSheetId="13">#REF!</definedName>
    <definedName name="LoanLoss1thru6" localSheetId="7">#REF!</definedName>
    <definedName name="LoanLoss1thru6">#REF!</definedName>
    <definedName name="LoanRequest">[40]Inputs!$C$14</definedName>
    <definedName name="LoanToAssetRatio">[13]Assumptions!$E$118</definedName>
    <definedName name="LOANTYPE_1" localSheetId="13">#REF!</definedName>
    <definedName name="LOANTYPE_1" localSheetId="9">#REF!</definedName>
    <definedName name="LOANTYPE_1" localSheetId="8">#REF!</definedName>
    <definedName name="LOANTYPE_1" localSheetId="7">#REF!</definedName>
    <definedName name="LOANTYPE_1">#REF!</definedName>
    <definedName name="LOANTYPE_2" localSheetId="13">#REF!</definedName>
    <definedName name="LOANTYPE_2" localSheetId="8">#REF!</definedName>
    <definedName name="LOANTYPE_2" localSheetId="7">#REF!</definedName>
    <definedName name="LOANTYPE_2">#REF!</definedName>
    <definedName name="LOANTYPE_3" localSheetId="13">#REF!</definedName>
    <definedName name="LOANTYPE_3" localSheetId="8">#REF!</definedName>
    <definedName name="LOANTYPE_3" localSheetId="7">#REF!</definedName>
    <definedName name="LOANTYPE_3">#REF!</definedName>
    <definedName name="LOANTYPE_4" localSheetId="13">#REF!</definedName>
    <definedName name="LOANTYPE_4" localSheetId="7">#REF!</definedName>
    <definedName name="LOANTYPE_4">#REF!</definedName>
    <definedName name="LOANTYPE_5" localSheetId="13">#REF!</definedName>
    <definedName name="LOANTYPE_5" localSheetId="7">#REF!</definedName>
    <definedName name="LOANTYPE_5">#REF!</definedName>
    <definedName name="LOANTYPE_6" localSheetId="13">#REF!</definedName>
    <definedName name="LOANTYPE_6" localSheetId="7">#REF!</definedName>
    <definedName name="LOANTYPE_6">#REF!</definedName>
    <definedName name="LOB" localSheetId="13">#REF!</definedName>
    <definedName name="LOB" localSheetId="7">#REF!</definedName>
    <definedName name="LOB">#REF!</definedName>
    <definedName name="LOB_Executive_Approval" localSheetId="13">#REF!</definedName>
    <definedName name="LOB_Executive_Approval" localSheetId="7">#REF!</definedName>
    <definedName name="LOB_Executive_Approval">#REF!</definedName>
    <definedName name="LOB_Lookup" localSheetId="13">#REF!</definedName>
    <definedName name="LOB_Lookup" localSheetId="7">#REF!</definedName>
    <definedName name="LOB_Lookup">#REF!</definedName>
    <definedName name="LOB_ROE_Table" localSheetId="13">#REF!</definedName>
    <definedName name="LOB_ROE_Table" localSheetId="7">#REF!</definedName>
    <definedName name="LOB_ROE_Table">#REF!</definedName>
    <definedName name="LOB_Table" localSheetId="13">#REF!</definedName>
    <definedName name="LOB_Table" localSheetId="7">#REF!</definedName>
    <definedName name="LOB_Table">#REF!</definedName>
    <definedName name="LOB_Target_Lookup" localSheetId="13">#REF!</definedName>
    <definedName name="LOB_Target_Lookup" localSheetId="7">#REF!</definedName>
    <definedName name="LOB_Target_Lookup">#REF!</definedName>
    <definedName name="location_description" localSheetId="13">#REF!</definedName>
    <definedName name="location_description" localSheetId="7">#REF!</definedName>
    <definedName name="location_description">#REF!</definedName>
    <definedName name="lockoutterm" localSheetId="13">#REF!</definedName>
    <definedName name="lockoutterm" localSheetId="7">#REF!</definedName>
    <definedName name="lockoutterm">#REF!</definedName>
    <definedName name="LongTermCostInflation">[10]Assumptions!#REF!</definedName>
    <definedName name="LongTermRevInflation">[10]Assumptions!#REF!</definedName>
    <definedName name="Look1Area" localSheetId="13">#REF!</definedName>
    <definedName name="Look1Area" localSheetId="9">#REF!</definedName>
    <definedName name="Look1Area" localSheetId="8">#REF!</definedName>
    <definedName name="Look1Area" localSheetId="7">#REF!</definedName>
    <definedName name="Look1Area">#REF!</definedName>
    <definedName name="Look2Area" localSheetId="13">#REF!</definedName>
    <definedName name="Look2Area" localSheetId="8">#REF!</definedName>
    <definedName name="Look2Area" localSheetId="7">#REF!</definedName>
    <definedName name="Look2Area">#REF!</definedName>
    <definedName name="Look3Area" localSheetId="13">#REF!</definedName>
    <definedName name="Look3Area" localSheetId="8">#REF!</definedName>
    <definedName name="Look3Area" localSheetId="7">#REF!</definedName>
    <definedName name="Look3Area">#REF!</definedName>
    <definedName name="Look4Area" localSheetId="13">#REF!</definedName>
    <definedName name="Look4Area" localSheetId="7">#REF!</definedName>
    <definedName name="Look4Area">#REF!</definedName>
    <definedName name="Look5Area" localSheetId="13">#REF!</definedName>
    <definedName name="Look5Area" localSheetId="7">#REF!</definedName>
    <definedName name="Look5Area">#REF!</definedName>
    <definedName name="lookumup" localSheetId="13">#REF!</definedName>
    <definedName name="lookumup" localSheetId="7">#REF!</definedName>
    <definedName name="lookumup">#REF!</definedName>
    <definedName name="lot_takedown" localSheetId="13">#REF!</definedName>
    <definedName name="lot_takedown" localSheetId="7">#REF!</definedName>
    <definedName name="lot_takedown">#REF!</definedName>
    <definedName name="lsupexp">'[43]2005E Assumptions'!$D$82</definedName>
    <definedName name="LTV">[12]Proforma!$G$26</definedName>
    <definedName name="ltva" localSheetId="13">#REF!</definedName>
    <definedName name="ltva" localSheetId="9">#REF!</definedName>
    <definedName name="ltva" localSheetId="8">#REF!</definedName>
    <definedName name="ltva" localSheetId="7">#REF!</definedName>
    <definedName name="ltva">#REF!</definedName>
    <definedName name="MacaulayDuration" localSheetId="13">#REF!</definedName>
    <definedName name="MacaulayDuration" localSheetId="8">#REF!</definedName>
    <definedName name="MacaulayDuration" localSheetId="7">#REF!</definedName>
    <definedName name="MacaulayDuration">#REF!</definedName>
    <definedName name="MAIER">[18]MAIRE!$A$13:$P$36</definedName>
    <definedName name="MAIN" localSheetId="13">#REF!</definedName>
    <definedName name="MAIN" localSheetId="9">#REF!</definedName>
    <definedName name="MAIN" localSheetId="8">#REF!</definedName>
    <definedName name="MAIN" localSheetId="7">#REF!</definedName>
    <definedName name="MAIN">#REF!</definedName>
    <definedName name="maintsal" localSheetId="13">[17]CAMINVBU!#REF!</definedName>
    <definedName name="maintsal" localSheetId="9">[17]CAMINVBU!#REF!</definedName>
    <definedName name="maintsal" localSheetId="8">[17]CAMINVBU!#REF!</definedName>
    <definedName name="maintsal">[17]CAMINVBU!#REF!</definedName>
    <definedName name="MAINWARE">[18]MAINWR!$A$13:$Q$50</definedName>
    <definedName name="managementfee">[15]Assumptions!$C$76</definedName>
    <definedName name="MARKET02" localSheetId="13">#REF!</definedName>
    <definedName name="MARKET02" localSheetId="9">#REF!</definedName>
    <definedName name="MARKET02" localSheetId="8">#REF!</definedName>
    <definedName name="MARKET02" localSheetId="7">#REF!</definedName>
    <definedName name="MARKET02">#REF!</definedName>
    <definedName name="MASTER">[18]MASTER!$A$13:$P$35</definedName>
    <definedName name="max" localSheetId="13">#REF!</definedName>
    <definedName name="max" localSheetId="9">#REF!</definedName>
    <definedName name="max" localSheetId="8">#REF!</definedName>
    <definedName name="max" localSheetId="7">#REF!</definedName>
    <definedName name="max">#REF!</definedName>
    <definedName name="MaximumLoanCommit" localSheetId="13">[10]Assumptions!#REF!</definedName>
    <definedName name="MaximumLoanCommit" localSheetId="9">[10]Assumptions!#REF!</definedName>
    <definedName name="MaximumLoanCommit" localSheetId="8">[10]Assumptions!#REF!</definedName>
    <definedName name="MaximumLoanCommit">[10]Assumptions!#REF!</definedName>
    <definedName name="mbia" localSheetId="13">#REF!</definedName>
    <definedName name="mbia" localSheetId="9">#REF!</definedName>
    <definedName name="mbia" localSheetId="8">#REF!</definedName>
    <definedName name="mbia" localSheetId="7">#REF!</definedName>
    <definedName name="mbia">#REF!</definedName>
    <definedName name="mcapped" localSheetId="13">#REF!</definedName>
    <definedName name="mcapped" localSheetId="8">#REF!</definedName>
    <definedName name="mcapped" localSheetId="7">#REF!</definedName>
    <definedName name="mcapped">#REF!</definedName>
    <definedName name="MCI" localSheetId="13">#REF!</definedName>
    <definedName name="MCI" localSheetId="8">#REF!</definedName>
    <definedName name="MCI" localSheetId="7">#REF!</definedName>
    <definedName name="MCI">#REF!</definedName>
    <definedName name="Media" localSheetId="13">#REF!</definedName>
    <definedName name="Media" localSheetId="7">#REF!</definedName>
    <definedName name="Media">#REF!</definedName>
    <definedName name="Mel" localSheetId="13">#REF!</definedName>
    <definedName name="Mel" localSheetId="7">#REF!</definedName>
    <definedName name="Mel">#REF!</definedName>
    <definedName name="MEP_1" localSheetId="13">#REF!</definedName>
    <definedName name="MEP_1" localSheetId="7">#REF!</definedName>
    <definedName name="MEP_1">#REF!</definedName>
    <definedName name="MEP_2" localSheetId="13">#REF!</definedName>
    <definedName name="MEP_2" localSheetId="7">#REF!</definedName>
    <definedName name="MEP_2">#REF!</definedName>
    <definedName name="MEP_3" localSheetId="13">#REF!</definedName>
    <definedName name="MEP_3" localSheetId="7">#REF!</definedName>
    <definedName name="MEP_3">#REF!</definedName>
    <definedName name="MEP_4" localSheetId="13">#REF!</definedName>
    <definedName name="MEP_4" localSheetId="7">#REF!</definedName>
    <definedName name="MEP_4">#REF!</definedName>
    <definedName name="MEP_5" localSheetId="13">#REF!</definedName>
    <definedName name="MEP_5" localSheetId="7">#REF!</definedName>
    <definedName name="MEP_5">#REF!</definedName>
    <definedName name="MEP_6" localSheetId="13">#REF!</definedName>
    <definedName name="MEP_6" localSheetId="7">#REF!</definedName>
    <definedName name="MEP_6">#REF!</definedName>
    <definedName name="MEP_7" localSheetId="13">#REF!</definedName>
    <definedName name="MEP_7" localSheetId="7">#REF!</definedName>
    <definedName name="MEP_7">#REF!</definedName>
    <definedName name="MERCK">[18]MERCK!$A$13:$P$51</definedName>
    <definedName name="MERRY_EXP">'[17]12_96 CAM'!#REF!</definedName>
    <definedName name="MERRY_SQ">'[17]12_96 CAM'!#REF!</definedName>
    <definedName name="mgmt" localSheetId="13">#REF!</definedName>
    <definedName name="mgmt" localSheetId="9">#REF!</definedName>
    <definedName name="mgmt" localSheetId="8">#REF!</definedName>
    <definedName name="mgmt" localSheetId="7">#REF!</definedName>
    <definedName name="mgmt">#REF!</definedName>
    <definedName name="MGrossRent" localSheetId="13">'[44]Rent_Roll (Current)'!#REF!</definedName>
    <definedName name="MGrossRent" localSheetId="9">'[44]Rent_Roll (Current)'!#REF!</definedName>
    <definedName name="MGrossRent" localSheetId="8">'[44]Rent_Roll (Current)'!#REF!</definedName>
    <definedName name="MGrossRent">'[44]Rent_Roll (Current)'!#REF!</definedName>
    <definedName name="MGrossRentIII" localSheetId="13">#REF!</definedName>
    <definedName name="MGrossRentIII" localSheetId="9">#REF!</definedName>
    <definedName name="MGrossRentIII" localSheetId="8">#REF!</definedName>
    <definedName name="MGrossRentIII" localSheetId="7">#REF!</definedName>
    <definedName name="MGrossRentIII">#REF!</definedName>
    <definedName name="MinusSpread_1" localSheetId="13">#REF!</definedName>
    <definedName name="MinusSpread_1" localSheetId="8">#REF!</definedName>
    <definedName name="MinusSpread_1" localSheetId="7">#REF!</definedName>
    <definedName name="MinusSpread_1">#REF!</definedName>
    <definedName name="misc">'[43]2005E Assumptions'!$D$9</definedName>
    <definedName name="mkt" localSheetId="13">#REF!</definedName>
    <definedName name="mkt" localSheetId="9">#REF!</definedName>
    <definedName name="mkt" localSheetId="8">#REF!</definedName>
    <definedName name="mkt" localSheetId="7">#REF!</definedName>
    <definedName name="mkt">#REF!</definedName>
    <definedName name="MKTG">#N/A</definedName>
    <definedName name="mktnoi" localSheetId="13">#REF!</definedName>
    <definedName name="mktnoi" localSheetId="9">#REF!</definedName>
    <definedName name="mktnoi" localSheetId="8">#REF!</definedName>
    <definedName name="mktnoi" localSheetId="7">#REF!</definedName>
    <definedName name="mktnoi">#REF!</definedName>
    <definedName name="mktrnt" localSheetId="13">#REF!</definedName>
    <definedName name="mktrnt" localSheetId="8">#REF!</definedName>
    <definedName name="mktrnt" localSheetId="7">#REF!</definedName>
    <definedName name="mktrnt">#REF!</definedName>
    <definedName name="MM_BB_Approval" localSheetId="13">#REF!</definedName>
    <definedName name="MM_BB_Approval" localSheetId="7">#REF!</definedName>
    <definedName name="MM_BB_Approval">#REF!</definedName>
    <definedName name="mmodified" localSheetId="13">#REF!</definedName>
    <definedName name="mmodified" localSheetId="7">#REF!</definedName>
    <definedName name="mmodified">#REF!</definedName>
    <definedName name="mnonprofit" localSheetId="13">#REF!</definedName>
    <definedName name="mnonprofit" localSheetId="7">#REF!</definedName>
    <definedName name="mnonprofit">#REF!</definedName>
    <definedName name="ModifiedDuration" localSheetId="13">#REF!</definedName>
    <definedName name="ModifiedDuration" localSheetId="7">#REF!</definedName>
    <definedName name="ModifiedDuration">#REF!</definedName>
    <definedName name="Module1.PRINT_2">#N/A</definedName>
    <definedName name="Module1.PRINT_3">#N/A</definedName>
    <definedName name="Module1.PRINT_A">#N/A</definedName>
    <definedName name="Module1.PRINT_BCCAM">#N/A</definedName>
    <definedName name="Module1.PRINT_BCMR">#N/A</definedName>
    <definedName name="Module1.PRINT_BCTAX">#N/A</definedName>
    <definedName name="Module1.PRINT_D">#N/A</definedName>
    <definedName name="Module1.PRINT_DETAILS">#N/A</definedName>
    <definedName name="Module1.PRINT_EDET">#N/A</definedName>
    <definedName name="Module1.PRINT_ESUM">#N/A</definedName>
    <definedName name="Module1.PRINT_F">#N/A</definedName>
    <definedName name="Module1.PRINT_GDET">#N/A</definedName>
    <definedName name="Module1.PRINT_GSUM">#N/A</definedName>
    <definedName name="Module1.PRINT_HDET">#N/A</definedName>
    <definedName name="Module1.PRINT_HSUM">#N/A</definedName>
    <definedName name="Module1.PRINT_J">#N/A</definedName>
    <definedName name="Module1.PRINT_OCCUPANCY">#N/A</definedName>
    <definedName name="Module1.PRINT_RECRATES">#N/A</definedName>
    <definedName name="Module1.PRINT_REVENUES">#N/A</definedName>
    <definedName name="Module2.PRINT_2">#N/A</definedName>
    <definedName name="Module2.PRINT_BCCAM">#N/A</definedName>
    <definedName name="Module2.PRINT_BCMR">#N/A</definedName>
    <definedName name="Module2.PRINT_BCPR">#N/A</definedName>
    <definedName name="Module2.PRINT_BCTAX">#N/A</definedName>
    <definedName name="Module2.PRINT_D">#N/A</definedName>
    <definedName name="Module2.PRINT_DETAILS">#N/A</definedName>
    <definedName name="Module2.PRINT_EDET">#N/A</definedName>
    <definedName name="Module2.PRINT_EXPENSES">#N/A</definedName>
    <definedName name="Module2.PRINT_F">#N/A</definedName>
    <definedName name="Module2.PRINT_GDET">#N/A</definedName>
    <definedName name="Module2.PRINT_HDET">#N/A</definedName>
    <definedName name="Module2.PRINT_HSUM">#N/A</definedName>
    <definedName name="Module2.PRINT_IDET">#N/A</definedName>
    <definedName name="Module2.PRINT_ISUM">#N/A</definedName>
    <definedName name="Module2.PRINT_J">#N/A</definedName>
    <definedName name="Module2.PRINT_REVENUES">#N/A</definedName>
    <definedName name="Module3.PRINT_GSUM">#N/A</definedName>
    <definedName name="Module4.PRINT_A">#N/A</definedName>
    <definedName name="Module4.PRINT_ESUM">#N/A</definedName>
    <definedName name="Module4.PRINT_REVENUES">#N/A</definedName>
    <definedName name="MOND" localSheetId="13">#REF!</definedName>
    <definedName name="MOND" localSheetId="9">#REF!</definedName>
    <definedName name="MOND" localSheetId="8">#REF!</definedName>
    <definedName name="MOND" localSheetId="7">#REF!</definedName>
    <definedName name="MOND">#REF!</definedName>
    <definedName name="MoneyMarket" localSheetId="13">#REF!</definedName>
    <definedName name="MoneyMarket" localSheetId="9">#REF!</definedName>
    <definedName name="MoneyMarket" localSheetId="8">#REF!</definedName>
    <definedName name="MoneyMarket" localSheetId="7">#REF!</definedName>
    <definedName name="MoneyMarket">#REF!</definedName>
    <definedName name="monthly" localSheetId="13">#REF!</definedName>
    <definedName name="monthly" localSheetId="9">#REF!</definedName>
    <definedName name="monthly" localSheetId="8">#REF!</definedName>
    <definedName name="monthly" localSheetId="7">#REF!</definedName>
    <definedName name="monthly">#REF!</definedName>
    <definedName name="monthlyloss">'[11]2004B Assumptions'!$L$6</definedName>
    <definedName name="Monthlypayment" localSheetId="13">#REF!</definedName>
    <definedName name="Monthlypayment" localSheetId="9">#REF!</definedName>
    <definedName name="Monthlypayment" localSheetId="8">#REF!</definedName>
    <definedName name="Monthlypayment" localSheetId="7">#REF!</definedName>
    <definedName name="Monthlypayment">#REF!</definedName>
    <definedName name="Mortgage_Monthly_Table" localSheetId="13">#REF!</definedName>
    <definedName name="Mortgage_Monthly_Table" localSheetId="8">#REF!</definedName>
    <definedName name="Mortgage_Monthly_Table" localSheetId="7">#REF!</definedName>
    <definedName name="Mortgage_Monthly_Table">#REF!</definedName>
    <definedName name="mregulated" localSheetId="13">#REF!</definedName>
    <definedName name="mregulated" localSheetId="8">#REF!</definedName>
    <definedName name="mregulated" localSheetId="7">#REF!</definedName>
    <definedName name="mregulated">#REF!</definedName>
    <definedName name="MRI" localSheetId="13">#REF!</definedName>
    <definedName name="MRI" localSheetId="7">#REF!</definedName>
    <definedName name="MRI">#REF!</definedName>
    <definedName name="net" localSheetId="13">#REF!</definedName>
    <definedName name="net" localSheetId="7">#REF!</definedName>
    <definedName name="net">#REF!</definedName>
    <definedName name="Net_adjusted_grossyield" localSheetId="13">#REF!</definedName>
    <definedName name="Net_adjusted_grossyield" localSheetId="7">#REF!</definedName>
    <definedName name="Net_adjusted_grossyield">#REF!</definedName>
    <definedName name="Net_Liquidity_Premium_1" localSheetId="13">#REF!</definedName>
    <definedName name="Net_Liquidity_Premium_1" localSheetId="7">#REF!</definedName>
    <definedName name="Net_Liquidity_Premium_1">#REF!</definedName>
    <definedName name="Net_Liquidity_Premium_2" localSheetId="13">#REF!</definedName>
    <definedName name="Net_Liquidity_Premium_2" localSheetId="7">#REF!</definedName>
    <definedName name="Net_Liquidity_Premium_2">#REF!</definedName>
    <definedName name="Net_Liquidity_Premium_3" localSheetId="13">#REF!</definedName>
    <definedName name="Net_Liquidity_Premium_3" localSheetId="7">#REF!</definedName>
    <definedName name="Net_Liquidity_Premium_3">#REF!</definedName>
    <definedName name="Net_Liquidity_Premium_4" localSheetId="13">#REF!</definedName>
    <definedName name="Net_Liquidity_Premium_4" localSheetId="7">#REF!</definedName>
    <definedName name="Net_Liquidity_Premium_4">#REF!</definedName>
    <definedName name="Net_Liquidity_Premium_5" localSheetId="13">#REF!</definedName>
    <definedName name="Net_Liquidity_Premium_5" localSheetId="7">#REF!</definedName>
    <definedName name="Net_Liquidity_Premium_5">#REF!</definedName>
    <definedName name="Net_Liquidity_Premium_6" localSheetId="13">#REF!</definedName>
    <definedName name="Net_Liquidity_Premium_6" localSheetId="7">#REF!</definedName>
    <definedName name="Net_Liquidity_Premium_6">#REF!</definedName>
    <definedName name="NetInc_Deriv1_FASB" localSheetId="13">#REF!</definedName>
    <definedName name="NetInc_Deriv1_FASB" localSheetId="7">#REF!</definedName>
    <definedName name="NetInc_Deriv1_FASB">#REF!</definedName>
    <definedName name="NetInc_Deriv2_FASB" localSheetId="13">#REF!</definedName>
    <definedName name="NetInc_Deriv2_FASB" localSheetId="7">#REF!</definedName>
    <definedName name="NetInc_Deriv2_FASB">#REF!</definedName>
    <definedName name="NetInc_Deriv3_FASB" localSheetId="13">#REF!</definedName>
    <definedName name="NetInc_Deriv3_FASB" localSheetId="7">#REF!</definedName>
    <definedName name="NetInc_Deriv3_FASB">#REF!</definedName>
    <definedName name="NetInc_Deriv4_FASB" localSheetId="13">#REF!</definedName>
    <definedName name="NetInc_Deriv4_FASB" localSheetId="7">#REF!</definedName>
    <definedName name="NetInc_Deriv4_FASB">#REF!</definedName>
    <definedName name="NetInc_Deriv5_FASB" localSheetId="13">#REF!</definedName>
    <definedName name="NetInc_Deriv5_FASB" localSheetId="7">#REF!</definedName>
    <definedName name="NetInc_Deriv5_FASB">#REF!</definedName>
    <definedName name="NetInc_Deriv6_FASB" localSheetId="13">#REF!</definedName>
    <definedName name="NetInc_Deriv6_FASB" localSheetId="7">#REF!</definedName>
    <definedName name="NetInc_Deriv6_FASB">#REF!</definedName>
    <definedName name="NetIncome_Cash" localSheetId="13">#REF!</definedName>
    <definedName name="NetIncome_Cash" localSheetId="7">#REF!</definedName>
    <definedName name="NetIncome_Cash">#REF!</definedName>
    <definedName name="NetIncome_FASB" localSheetId="13">#REF!</definedName>
    <definedName name="NetIncome_FASB" localSheetId="7">#REF!</definedName>
    <definedName name="NetIncome_FASB">#REF!</definedName>
    <definedName name="NetRev_CRISP" localSheetId="13">#REF!</definedName>
    <definedName name="NetRev_CRISP" localSheetId="7">#REF!</definedName>
    <definedName name="NetRev_CRISP">#REF!</definedName>
    <definedName name="NetRevCRISP" localSheetId="13">#REF!</definedName>
    <definedName name="NetRevCRISP" localSheetId="7">#REF!</definedName>
    <definedName name="NetRevCRISP">#REF!</definedName>
    <definedName name="NetRevNonCredit" localSheetId="13">#REF!</definedName>
    <definedName name="NetRevNonCredit" localSheetId="7">#REF!</definedName>
    <definedName name="NetRevNonCredit">#REF!</definedName>
    <definedName name="NetSpreadChange_1" localSheetId="13">#REF!</definedName>
    <definedName name="NetSpreadChange_1" localSheetId="7">#REF!</definedName>
    <definedName name="NetSpreadChange_1">#REF!</definedName>
    <definedName name="NetSpreadChange_2" localSheetId="13">#REF!</definedName>
    <definedName name="NetSpreadChange_2" localSheetId="7">#REF!</definedName>
    <definedName name="NetSpreadChange_2">#REF!</definedName>
    <definedName name="NetSpreadChange_3" localSheetId="13">#REF!</definedName>
    <definedName name="NetSpreadChange_3" localSheetId="7">#REF!</definedName>
    <definedName name="NetSpreadChange_3">#REF!</definedName>
    <definedName name="NetSpreadChange_4" localSheetId="13">#REF!</definedName>
    <definedName name="NetSpreadChange_4" localSheetId="7">#REF!</definedName>
    <definedName name="NetSpreadChange_4">#REF!</definedName>
    <definedName name="NetSpreadChange_5" localSheetId="13">#REF!</definedName>
    <definedName name="NetSpreadChange_5" localSheetId="7">#REF!</definedName>
    <definedName name="NetSpreadChange_5">#REF!</definedName>
    <definedName name="NetSpreadChange_6" localSheetId="13">#REF!</definedName>
    <definedName name="NetSpreadChange_6" localSheetId="7">#REF!</definedName>
    <definedName name="NetSpreadChange_6">#REF!</definedName>
    <definedName name="NETYLD" localSheetId="13">#REF!</definedName>
    <definedName name="NETYLD" localSheetId="7">#REF!</definedName>
    <definedName name="NETYLD">#REF!</definedName>
    <definedName name="NHEQUITY" localSheetId="13">#REF!</definedName>
    <definedName name="NHEQUITY" localSheetId="7">#REF!</definedName>
    <definedName name="NHEQUITY">#REF!</definedName>
    <definedName name="NICK" localSheetId="13">#REF!</definedName>
    <definedName name="NICK" localSheetId="7">#REF!</definedName>
    <definedName name="NICK">#REF!</definedName>
    <definedName name="NoCommitFee_1" localSheetId="13">#REF!</definedName>
    <definedName name="NoCommitFee_1" localSheetId="7">#REF!</definedName>
    <definedName name="NoCommitFee_1">#REF!</definedName>
    <definedName name="NoCommitFee_2" localSheetId="13">#REF!</definedName>
    <definedName name="NoCommitFee_2" localSheetId="7">#REF!</definedName>
    <definedName name="NoCommitFee_2">#REF!</definedName>
    <definedName name="NoCommitFee_3" localSheetId="13">#REF!</definedName>
    <definedName name="NoCommitFee_3" localSheetId="7">#REF!</definedName>
    <definedName name="NoCommitFee_3">#REF!</definedName>
    <definedName name="NoCommitFee_4" localSheetId="13">#REF!</definedName>
    <definedName name="NoCommitFee_4" localSheetId="7">#REF!</definedName>
    <definedName name="NoCommitFee_4">#REF!</definedName>
    <definedName name="NoCommitFee_5" localSheetId="13">#REF!</definedName>
    <definedName name="NoCommitFee_5" localSheetId="7">#REF!</definedName>
    <definedName name="NoCommitFee_5">#REF!</definedName>
    <definedName name="NoCommitFee_6" localSheetId="13">#REF!</definedName>
    <definedName name="NoCommitFee_6" localSheetId="7">#REF!</definedName>
    <definedName name="NoCommitFee_6">#REF!</definedName>
    <definedName name="NoCondos">[45]Assumptions!$C$51</definedName>
    <definedName name="NOI">[12]Proforma!$G$20</definedName>
    <definedName name="NominalCal">[24]Conventions!$AB$78</definedName>
    <definedName name="NonCredit_Income_Cash" localSheetId="13">#REF!</definedName>
    <definedName name="NonCredit_Income_Cash" localSheetId="9">#REF!</definedName>
    <definedName name="NonCredit_Income_Cash" localSheetId="8">#REF!</definedName>
    <definedName name="NonCredit_Income_Cash" localSheetId="7">#REF!</definedName>
    <definedName name="NonCredit_Income_Cash">#REF!</definedName>
    <definedName name="NonCredit_Income_FASB" localSheetId="13">#REF!</definedName>
    <definedName name="NonCredit_Income_FASB" localSheetId="8">#REF!</definedName>
    <definedName name="NonCredit_Income_FASB" localSheetId="7">#REF!</definedName>
    <definedName name="NonCredit_Income_FASB">#REF!</definedName>
    <definedName name="NONE" localSheetId="13">#REF!</definedName>
    <definedName name="NONE" localSheetId="8">#REF!</definedName>
    <definedName name="NONE" localSheetId="7">#REF!</definedName>
    <definedName name="NONE">#REF!</definedName>
    <definedName name="NonProfit" localSheetId="13">#REF!</definedName>
    <definedName name="NonProfit" localSheetId="7">#REF!</definedName>
    <definedName name="NonProfit">#REF!</definedName>
    <definedName name="NoPrePayLang_1" localSheetId="13">#REF!</definedName>
    <definedName name="NoPrePayLang_1" localSheetId="7">#REF!</definedName>
    <definedName name="NoPrePayLang_1">#REF!</definedName>
    <definedName name="NoPrePayLang_2" localSheetId="13">#REF!</definedName>
    <definedName name="NoPrePayLang_2" localSheetId="7">#REF!</definedName>
    <definedName name="NoPrePayLang_2">#REF!</definedName>
    <definedName name="NoPrePayLang_3" localSheetId="13">#REF!</definedName>
    <definedName name="NoPrePayLang_3" localSheetId="7">#REF!</definedName>
    <definedName name="NoPrePayLang_3">#REF!</definedName>
    <definedName name="NoPrePayLang_4" localSheetId="13">#REF!</definedName>
    <definedName name="NoPrePayLang_4" localSheetId="7">#REF!</definedName>
    <definedName name="NoPrePayLang_4">#REF!</definedName>
    <definedName name="NoPrePayLang_5" localSheetId="13">#REF!</definedName>
    <definedName name="NoPrePayLang_5" localSheetId="7">#REF!</definedName>
    <definedName name="NoPrePayLang_5">#REF!</definedName>
    <definedName name="NoPrePayLang_6" localSheetId="13">#REF!</definedName>
    <definedName name="NoPrePayLang_6" localSheetId="7">#REF!</definedName>
    <definedName name="NoPrePayLang_6">#REF!</definedName>
    <definedName name="NoPrimeOption_1" localSheetId="13">#REF!</definedName>
    <definedName name="NoPrimeOption_1" localSheetId="7">#REF!</definedName>
    <definedName name="NoPrimeOption_1">#REF!</definedName>
    <definedName name="NoPrimeOption_2" localSheetId="13">#REF!</definedName>
    <definedName name="NoPrimeOption_2" localSheetId="7">#REF!</definedName>
    <definedName name="NoPrimeOption_2">#REF!</definedName>
    <definedName name="NoPrimeOption_3" localSheetId="13">#REF!</definedName>
    <definedName name="NoPrimeOption_3" localSheetId="7">#REF!</definedName>
    <definedName name="NoPrimeOption_3">#REF!</definedName>
    <definedName name="NoPrimeOption_4" localSheetId="13">#REF!</definedName>
    <definedName name="NoPrimeOption_4" localSheetId="7">#REF!</definedName>
    <definedName name="NoPrimeOption_4">#REF!</definedName>
    <definedName name="NoPrimeOption_5" localSheetId="13">#REF!</definedName>
    <definedName name="NoPrimeOption_5" localSheetId="7">#REF!</definedName>
    <definedName name="NoPrimeOption_5">#REF!</definedName>
    <definedName name="NoPrimeOption_6" localSheetId="13">#REF!</definedName>
    <definedName name="NoPrimeOption_6" localSheetId="7">#REF!</definedName>
    <definedName name="NoPrimeOption_6">#REF!</definedName>
    <definedName name="NORTH_CENTRAL">[18]NORTHC!$A$13:$P$48</definedName>
    <definedName name="Note_Amount" localSheetId="13">#REF!</definedName>
    <definedName name="Note_Amount" localSheetId="9">#REF!</definedName>
    <definedName name="Note_Amount" localSheetId="8">#REF!</definedName>
    <definedName name="Note_Amount" localSheetId="7">#REF!</definedName>
    <definedName name="Note_Amount">#REF!</definedName>
    <definedName name="Note_Rate" localSheetId="13">#REF!</definedName>
    <definedName name="Note_Rate" localSheetId="8">#REF!</definedName>
    <definedName name="Note_Rate" localSheetId="7">#REF!</definedName>
    <definedName name="Note_Rate">#REF!</definedName>
    <definedName name="notebdebts" localSheetId="13">#REF!</definedName>
    <definedName name="notebdebts" localSheetId="8">#REF!</definedName>
    <definedName name="notebdebts" localSheetId="7">#REF!</definedName>
    <definedName name="notebdebts">#REF!</definedName>
    <definedName name="NoUnits">[46]Assumptions!$C$6</definedName>
    <definedName name="Num_IO_Months">[42]Inputs!$F$15</definedName>
    <definedName name="number_5BR_units">'[14]Rent Roll Analysis'!#REF!</definedName>
    <definedName name="number_doublewide">'[14]Rent Roll Analysis'!#REF!</definedName>
    <definedName name="number_singlewide">'[14]Rent Roll Analysis'!#REF!</definedName>
    <definedName name="NumMonths" localSheetId="13">#REF!</definedName>
    <definedName name="NumMonths" localSheetId="9">#REF!</definedName>
    <definedName name="NumMonths" localSheetId="8">#REF!</definedName>
    <definedName name="NumMonths" localSheetId="7">#REF!</definedName>
    <definedName name="NumMonths">#REF!</definedName>
    <definedName name="OAK2003A">'[11]CFOAK 2003A Conso'!$A$1</definedName>
    <definedName name="OBLIGOR_NUMBER" localSheetId="13">#REF!</definedName>
    <definedName name="OBLIGOR_NUMBER" localSheetId="9">#REF!</definedName>
    <definedName name="OBLIGOR_NUMBER" localSheetId="8">#REF!</definedName>
    <definedName name="OBLIGOR_NUMBER" localSheetId="7">#REF!</definedName>
    <definedName name="OBLIGOR_NUMBER">#REF!</definedName>
    <definedName name="OBLIGOR_RATING_FROM_MODEL" localSheetId="13">#REF!</definedName>
    <definedName name="OBLIGOR_RATING_FROM_MODEL" localSheetId="8">#REF!</definedName>
    <definedName name="OBLIGOR_RATING_FROM_MODEL" localSheetId="7">#REF!</definedName>
    <definedName name="OBLIGOR_RATING_FROM_MODEL">#REF!</definedName>
    <definedName name="OBLIGOR_RATING_PER_RM" localSheetId="13">#REF!</definedName>
    <definedName name="OBLIGOR_RATING_PER_RM" localSheetId="8">#REF!</definedName>
    <definedName name="OBLIGOR_RATING_PER_RM" localSheetId="7">#REF!</definedName>
    <definedName name="OBLIGOR_RATING_PER_RM">#REF!</definedName>
    <definedName name="occcost" localSheetId="13">#REF!</definedName>
    <definedName name="occcost" localSheetId="7">#REF!</definedName>
    <definedName name="occcost">#REF!</definedName>
    <definedName name="OF_YRS_OF_AMT_DURING_LOAN" localSheetId="13">#REF!</definedName>
    <definedName name="OF_YRS_OF_AMT_DURING_LOAN" localSheetId="7">#REF!</definedName>
    <definedName name="OF_YRS_OF_AMT_DURING_LOAN">#REF!</definedName>
    <definedName name="OFFICER_ID" localSheetId="13">#REF!</definedName>
    <definedName name="OFFICER_ID" localSheetId="7">#REF!</definedName>
    <definedName name="OFFICER_ID">#REF!</definedName>
    <definedName name="Old_Equity" localSheetId="13">#REF!</definedName>
    <definedName name="Old_Equity" localSheetId="7">#REF!</definedName>
    <definedName name="Old_Equity">#REF!</definedName>
    <definedName name="OMNI_OFFICE_PLU">[18]OMNI!$A$13:$P$47</definedName>
    <definedName name="ONE" localSheetId="13">#REF!</definedName>
    <definedName name="ONE" localSheetId="9">#REF!</definedName>
    <definedName name="ONE" localSheetId="8">#REF!</definedName>
    <definedName name="ONE" localSheetId="7">#REF!</definedName>
    <definedName name="ONE">#REF!</definedName>
    <definedName name="ONELEGEND" localSheetId="13">#REF!</definedName>
    <definedName name="ONELEGEND" localSheetId="8">#REF!</definedName>
    <definedName name="ONELEGEND" localSheetId="7">#REF!</definedName>
    <definedName name="ONELEGEND">#REF!</definedName>
    <definedName name="openperiodterm" localSheetId="13">#REF!</definedName>
    <definedName name="openperiodterm" localSheetId="8">#REF!</definedName>
    <definedName name="openperiodterm" localSheetId="7">#REF!</definedName>
    <definedName name="openperiodterm">#REF!</definedName>
    <definedName name="OPT_BORDER" localSheetId="13">#REF!</definedName>
    <definedName name="OPT_BORDER" localSheetId="7">#REF!</definedName>
    <definedName name="OPT_BORDER">#REF!</definedName>
    <definedName name="OptionFeeAmount" localSheetId="13">#REF!</definedName>
    <definedName name="OptionFeeAmount" localSheetId="7">#REF!</definedName>
    <definedName name="OptionFeeAmount">#REF!</definedName>
    <definedName name="OPTIONS" localSheetId="13">#REF!</definedName>
    <definedName name="OPTIONS" localSheetId="7">#REF!</definedName>
    <definedName name="OPTIONS">#REF!</definedName>
    <definedName name="originating_correspondent" localSheetId="13">#REF!</definedName>
    <definedName name="originating_correspondent" localSheetId="7">#REF!</definedName>
    <definedName name="originating_correspondent">#REF!</definedName>
    <definedName name="other">[17]CAMINVBU!#REF!</definedName>
    <definedName name="Other_CostFactor" localSheetId="13">#REF!</definedName>
    <definedName name="Other_CostFactor" localSheetId="9">#REF!</definedName>
    <definedName name="Other_CostFactor" localSheetId="8">#REF!</definedName>
    <definedName name="Other_CostFactor" localSheetId="7">#REF!</definedName>
    <definedName name="Other_CostFactor">#REF!</definedName>
    <definedName name="Other_Gross_Revenue" localSheetId="13">#REF!</definedName>
    <definedName name="Other_Gross_Revenue" localSheetId="8">#REF!</definedName>
    <definedName name="Other_Gross_Revenue" localSheetId="7">#REF!</definedName>
    <definedName name="Other_Gross_Revenue">#REF!</definedName>
    <definedName name="Outstanding_1" localSheetId="13">#REF!</definedName>
    <definedName name="Outstanding_1" localSheetId="8">#REF!</definedName>
    <definedName name="Outstanding_1" localSheetId="7">#REF!</definedName>
    <definedName name="Outstanding_1">#REF!</definedName>
    <definedName name="Outstanding_2" localSheetId="13">#REF!</definedName>
    <definedName name="Outstanding_2" localSheetId="7">#REF!</definedName>
    <definedName name="Outstanding_2">#REF!</definedName>
    <definedName name="Outstanding_3" localSheetId="13">#REF!</definedName>
    <definedName name="Outstanding_3" localSheetId="7">#REF!</definedName>
    <definedName name="Outstanding_3">#REF!</definedName>
    <definedName name="Outstanding_4" localSheetId="13">#REF!</definedName>
    <definedName name="Outstanding_4" localSheetId="7">#REF!</definedName>
    <definedName name="Outstanding_4">#REF!</definedName>
    <definedName name="Outstanding_5" localSheetId="13">#REF!</definedName>
    <definedName name="Outstanding_5" localSheetId="7">#REF!</definedName>
    <definedName name="Outstanding_5">#REF!</definedName>
    <definedName name="Outstanding_6" localSheetId="13">#REF!</definedName>
    <definedName name="Outstanding_6" localSheetId="7">#REF!</definedName>
    <definedName name="Outstanding_6">#REF!</definedName>
    <definedName name="Overhead_Facility_1" localSheetId="13">#REF!</definedName>
    <definedName name="Overhead_Facility_1" localSheetId="7">#REF!</definedName>
    <definedName name="Overhead_Facility_1">#REF!</definedName>
    <definedName name="Overhead_Facility_2" localSheetId="13">#REF!</definedName>
    <definedName name="Overhead_Facility_2" localSheetId="7">#REF!</definedName>
    <definedName name="Overhead_Facility_2">#REF!</definedName>
    <definedName name="Overhead_Facility_3" localSheetId="13">#REF!</definedName>
    <definedName name="Overhead_Facility_3" localSheetId="7">#REF!</definedName>
    <definedName name="Overhead_Facility_3">#REF!</definedName>
    <definedName name="Overhead_Facility_4" localSheetId="13">#REF!</definedName>
    <definedName name="Overhead_Facility_4" localSheetId="7">#REF!</definedName>
    <definedName name="Overhead_Facility_4">#REF!</definedName>
    <definedName name="Overhead_Facility_5" localSheetId="13">#REF!</definedName>
    <definedName name="Overhead_Facility_5" localSheetId="7">#REF!</definedName>
    <definedName name="Overhead_Facility_5">#REF!</definedName>
    <definedName name="Overhead_Facility_6" localSheetId="13">#REF!</definedName>
    <definedName name="Overhead_Facility_6" localSheetId="7">#REF!</definedName>
    <definedName name="Overhead_Facility_6">#REF!</definedName>
    <definedName name="PACIFIC" localSheetId="13">#REF!</definedName>
    <definedName name="PACIFIC" localSheetId="7">#REF!</definedName>
    <definedName name="PACIFIC">#REF!</definedName>
    <definedName name="page1">'[2]5CM95'!#REF!</definedName>
    <definedName name="page2" localSheetId="13">#REF!</definedName>
    <definedName name="page2" localSheetId="9">#REF!</definedName>
    <definedName name="page2" localSheetId="8">#REF!</definedName>
    <definedName name="page2" localSheetId="7">#REF!</definedName>
    <definedName name="page2">#REF!</definedName>
    <definedName name="PAID_PRESCRIP">[18]PAIDP!$A$13:$P$49</definedName>
    <definedName name="PandLSummaryPrint" localSheetId="13">#REF!</definedName>
    <definedName name="PandLSummaryPrint" localSheetId="9">#REF!</definedName>
    <definedName name="PandLSummaryPrint" localSheetId="8">#REF!</definedName>
    <definedName name="PandLSummaryPrint" localSheetId="7">#REF!</definedName>
    <definedName name="PandLSummaryPrint">#REF!</definedName>
    <definedName name="parklot" localSheetId="13">[17]CAMINVBU!#REF!</definedName>
    <definedName name="parklot" localSheetId="9">[17]CAMINVBU!#REF!</definedName>
    <definedName name="parklot" localSheetId="8">[17]CAMINVBU!#REF!</definedName>
    <definedName name="parklot">[17]CAMINVBU!#REF!</definedName>
    <definedName name="PARTICIPATION_" localSheetId="13">#REF!</definedName>
    <definedName name="PARTICIPATION_" localSheetId="9">#REF!</definedName>
    <definedName name="PARTICIPATION_" localSheetId="8">#REF!</definedName>
    <definedName name="PARTICIPATION_" localSheetId="7">#REF!</definedName>
    <definedName name="PARTICIPATION_">#REF!</definedName>
    <definedName name="PARTICIPATION_BASE" localSheetId="13">#REF!</definedName>
    <definedName name="PARTICIPATION_BASE" localSheetId="8">#REF!</definedName>
    <definedName name="PARTICIPATION_BASE" localSheetId="7">#REF!</definedName>
    <definedName name="PARTICIPATION_BASE">#REF!</definedName>
    <definedName name="Payment" localSheetId="13">#REF!</definedName>
    <definedName name="Payment" localSheetId="8">#REF!</definedName>
    <definedName name="Payment" localSheetId="7">#REF!</definedName>
    <definedName name="Payment">#REF!</definedName>
    <definedName name="payment.Num" localSheetId="13">IF(OR(#REF!="",#REF!='Combined - vErik'!Total_payments),"",#REF!+1)</definedName>
    <definedName name="payment.Num" localSheetId="2">IF(OR(#REF!="",#REF!=[39]!Total_payments),"",#REF!+1)</definedName>
    <definedName name="payment.Num" localSheetId="9">IF(OR(#REF!="",#REF!='Division Comparison'!Total_payments),"",#REF!+1)</definedName>
    <definedName name="payment.Num" localSheetId="3">IF(OR(#REF!="",#REF!=[39]!Total_payments),"",#REF!+1)</definedName>
    <definedName name="payment.Num" localSheetId="1">IF(OR(#REF!="",#REF!=[39]!Total_payments),"",#REF!+1)</definedName>
    <definedName name="payment.Num" localSheetId="8">IF(OR(#REF!="",#REF!='Unit Pricing Comparison'!Total_payments),"",#REF!+1)</definedName>
    <definedName name="payment.Num" localSheetId="7">IF(OR(#REF!="",#REF!=[39]!Total_payments),"",#REF!+1)</definedName>
    <definedName name="payment.Num">IF(OR(#REF!="",#REF!=[39]!Total_payments),"",#REF!+1)</definedName>
    <definedName name="Payment_Actual" localSheetId="13">#REF!</definedName>
    <definedName name="Payment_Actual" localSheetId="7">#REF!</definedName>
    <definedName name="Payment_Actual">#REF!</definedName>
    <definedName name="Payment_freq_1" localSheetId="13">#REF!</definedName>
    <definedName name="Payment_freq_1" localSheetId="7">#REF!</definedName>
    <definedName name="Payment_freq_1">#REF!</definedName>
    <definedName name="Payment_freq_2" localSheetId="13">#REF!</definedName>
    <definedName name="Payment_freq_2" localSheetId="7">#REF!</definedName>
    <definedName name="Payment_freq_2">#REF!</definedName>
    <definedName name="Payment_freq_3" localSheetId="13">#REF!</definedName>
    <definedName name="Payment_freq_3" localSheetId="7">#REF!</definedName>
    <definedName name="Payment_freq_3">#REF!</definedName>
    <definedName name="Payment_freq_4" localSheetId="13">#REF!</definedName>
    <definedName name="Payment_freq_4" localSheetId="7">#REF!</definedName>
    <definedName name="Payment_freq_4">#REF!</definedName>
    <definedName name="Payment_freq_5" localSheetId="13">#REF!</definedName>
    <definedName name="Payment_freq_5" localSheetId="7">#REF!</definedName>
    <definedName name="Payment_freq_5">#REF!</definedName>
    <definedName name="Payment_freq_6" localSheetId="13">#REF!</definedName>
    <definedName name="Payment_freq_6" localSheetId="7">#REF!</definedName>
    <definedName name="Payment_freq_6">#REF!</definedName>
    <definedName name="Payment_IO" localSheetId="13">#REF!</definedName>
    <definedName name="Payment_IO" localSheetId="7">#REF!</definedName>
    <definedName name="Payment_IO">#REF!</definedName>
    <definedName name="Payment_Schedule_1" localSheetId="13">#REF!</definedName>
    <definedName name="Payment_Schedule_1" localSheetId="7">#REF!</definedName>
    <definedName name="Payment_Schedule_1">#REF!</definedName>
    <definedName name="Payment_Schedule_1D" localSheetId="13">#REF!</definedName>
    <definedName name="Payment_Schedule_1D" localSheetId="7">#REF!</definedName>
    <definedName name="Payment_Schedule_1D">#REF!</definedName>
    <definedName name="Payment_Schedule_2" localSheetId="13">#REF!</definedName>
    <definedName name="Payment_Schedule_2" localSheetId="7">#REF!</definedName>
    <definedName name="Payment_Schedule_2">#REF!</definedName>
    <definedName name="Payment_Schedule_2D" localSheetId="13">#REF!</definedName>
    <definedName name="Payment_Schedule_2D" localSheetId="7">#REF!</definedName>
    <definedName name="Payment_Schedule_2D">#REF!</definedName>
    <definedName name="Payment_Schedule_3" localSheetId="13">#REF!</definedName>
    <definedName name="Payment_Schedule_3" localSheetId="7">#REF!</definedName>
    <definedName name="Payment_Schedule_3">#REF!</definedName>
    <definedName name="Payment_Schedule_3D" localSheetId="13">#REF!</definedName>
    <definedName name="Payment_Schedule_3D" localSheetId="7">#REF!</definedName>
    <definedName name="Payment_Schedule_3D">#REF!</definedName>
    <definedName name="Payment_schedule_4" localSheetId="13">#REF!</definedName>
    <definedName name="Payment_schedule_4" localSheetId="7">#REF!</definedName>
    <definedName name="Payment_schedule_4">#REF!</definedName>
    <definedName name="Payment_Schedule_4D" localSheetId="13">#REF!</definedName>
    <definedName name="Payment_Schedule_4D" localSheetId="7">#REF!</definedName>
    <definedName name="Payment_Schedule_4D">#REF!</definedName>
    <definedName name="Payment_Schedule_5" localSheetId="13">#REF!</definedName>
    <definedName name="Payment_Schedule_5" localSheetId="7">#REF!</definedName>
    <definedName name="Payment_Schedule_5">#REF!</definedName>
    <definedName name="Payment_Schedule_5D" localSheetId="13">#REF!</definedName>
    <definedName name="Payment_Schedule_5D" localSheetId="7">#REF!</definedName>
    <definedName name="Payment_Schedule_5D">#REF!</definedName>
    <definedName name="Payment_Schedule_6" localSheetId="13">#REF!</definedName>
    <definedName name="Payment_Schedule_6" localSheetId="7">#REF!</definedName>
    <definedName name="Payment_Schedule_6">#REF!</definedName>
    <definedName name="Payment_Schedule_6D" localSheetId="13">#REF!</definedName>
    <definedName name="Payment_Schedule_6D" localSheetId="7">#REF!</definedName>
    <definedName name="Payment_Schedule_6D">#REF!</definedName>
    <definedName name="Payments_per_year" localSheetId="13">#REF!</definedName>
    <definedName name="Payments_per_year" localSheetId="7">#REF!</definedName>
    <definedName name="Payments_per_year">#REF!</definedName>
    <definedName name="PBK" localSheetId="13">#REF!</definedName>
    <definedName name="PBK" localSheetId="7">#REF!</definedName>
    <definedName name="PBK">#REF!</definedName>
    <definedName name="PBL2003A">'[11]CFPBL 2003A Consol'!$A$1</definedName>
    <definedName name="PENALTY" localSheetId="13">#REF!</definedName>
    <definedName name="PENALTY" localSheetId="9">#REF!</definedName>
    <definedName name="PENALTY" localSheetId="8">#REF!</definedName>
    <definedName name="PENALTY" localSheetId="7">#REF!</definedName>
    <definedName name="PENALTY">#REF!</definedName>
    <definedName name="PER_02_05" localSheetId="13">'[3]AVI-JV-PROFORMA'!#REF!</definedName>
    <definedName name="PER_02_05" localSheetId="8">'[3]AVI-JV-PROFORMA'!#REF!</definedName>
    <definedName name="PER_02_05">'[3]AVI-JV-PROFORMA'!#REF!</definedName>
    <definedName name="PER_94" localSheetId="13">'[3]AVI-JV-PROFORMA'!#REF!</definedName>
    <definedName name="PER_94" localSheetId="9">'[3]AVI-JV-PROFORMA'!#REF!</definedName>
    <definedName name="PER_94" localSheetId="8">'[3]AVI-JV-PROFORMA'!#REF!</definedName>
    <definedName name="PER_94">'[3]AVI-JV-PROFORMA'!#REF!</definedName>
    <definedName name="PER_95" localSheetId="13">#REF!</definedName>
    <definedName name="PER_95" localSheetId="9">#REF!</definedName>
    <definedName name="PER_95" localSheetId="8">#REF!</definedName>
    <definedName name="PER_95" localSheetId="7">#REF!</definedName>
    <definedName name="PER_95">#REF!</definedName>
    <definedName name="PER_96" localSheetId="13">#REF!</definedName>
    <definedName name="PER_96" localSheetId="8">#REF!</definedName>
    <definedName name="PER_96" localSheetId="7">#REF!</definedName>
    <definedName name="PER_96">#REF!</definedName>
    <definedName name="PER_97_01" localSheetId="13">'[3]AVI-JV-PROFORMA'!#REF!</definedName>
    <definedName name="PER_97_01" localSheetId="8">'[3]AVI-JV-PROFORMA'!#REF!</definedName>
    <definedName name="PER_97_01">'[3]AVI-JV-PROFORMA'!#REF!</definedName>
    <definedName name="PER_SGI" localSheetId="13">'[3]AVI-JV-PROFORMA'!#REF!</definedName>
    <definedName name="PER_SGI" localSheetId="8">'[3]AVI-JV-PROFORMA'!#REF!</definedName>
    <definedName name="PER_SGI">'[3]AVI-JV-PROFORMA'!#REF!</definedName>
    <definedName name="Period" localSheetId="13">#REF!</definedName>
    <definedName name="Period" localSheetId="9">#REF!</definedName>
    <definedName name="Period" localSheetId="8">#REF!</definedName>
    <definedName name="Period" localSheetId="7">#REF!</definedName>
    <definedName name="Period">#REF!</definedName>
    <definedName name="Periodic_rate" localSheetId="13">'Combined - vErik'!Annual_interest_rate/'Combined - vErik'!Payments_per_year</definedName>
    <definedName name="Periodic_rate" localSheetId="2">[39]!Annual_interest_rate/[39]!Payments_per_year</definedName>
    <definedName name="Periodic_rate" localSheetId="9">'What Changed'!Annual_interest_rate/'What Changed'!Payments_per_year</definedName>
    <definedName name="Periodic_rate" localSheetId="3">[39]!Annual_interest_rate/[39]!Payments_per_year</definedName>
    <definedName name="Periodic_rate" localSheetId="1">[39]!Annual_interest_rate/[39]!Payments_per_year</definedName>
    <definedName name="Periodic_rate" localSheetId="8">'Unit Pricing Comparison'!Annual_interest_rate/[39]!Payments_per_year</definedName>
    <definedName name="Periodic_rate" localSheetId="7">[39]!Annual_interest_rate/[39]!Payments_per_year</definedName>
    <definedName name="Periodic_rate">[39]!Annual_interest_rate/[39]!Payments_per_year</definedName>
    <definedName name="permarm">[15]Assumptions!$F$148</definedName>
    <definedName name="permcreditspread">[15]Assumptions!$F$147</definedName>
    <definedName name="permdscr">[15]Assumptions!$F$145</definedName>
    <definedName name="permloan">'[15]sources &amp; uses'!$M$21</definedName>
    <definedName name="permloanfee">[15]Assumptions!$C$142</definedName>
    <definedName name="permrate">[15]Assumptions!$F$146</definedName>
    <definedName name="pfmanfee">'[11]2004B Assumptions'!$F$8</definedName>
    <definedName name="pfmarketexp">'[11]2004B Assumptions'!$F$6</definedName>
    <definedName name="pfmarketexpfs">'[11]2004B Assumptions'!$F$7</definedName>
    <definedName name="pfstabilization">'[11]2004B Assumptions'!$F$5</definedName>
    <definedName name="Picture">INDIRECT('[47]92329'!#REF!)</definedName>
    <definedName name="PID" localSheetId="13">#REF!</definedName>
    <definedName name="PID" localSheetId="9">#REF!</definedName>
    <definedName name="PID" localSheetId="8">#REF!</definedName>
    <definedName name="PID" localSheetId="7">#REF!</definedName>
    <definedName name="PID">#REF!</definedName>
    <definedName name="PierOne_Rent" localSheetId="13">#REF!</definedName>
    <definedName name="PierOne_Rent" localSheetId="9">#REF!</definedName>
    <definedName name="PierOne_Rent" localSheetId="8">#REF!</definedName>
    <definedName name="PierOne_Rent" localSheetId="7">#REF!</definedName>
    <definedName name="PierOne_Rent">#REF!</definedName>
    <definedName name="PierOne_SF" localSheetId="13">#REF!</definedName>
    <definedName name="PierOne_SF" localSheetId="7">#REF!</definedName>
    <definedName name="PierOne_SF">#REF!</definedName>
    <definedName name="Pilot" localSheetId="13">#REF!</definedName>
    <definedName name="Pilot" localSheetId="7">#REF!</definedName>
    <definedName name="Pilot">#REF!</definedName>
    <definedName name="Pilotgrade_1" localSheetId="13">#REF!</definedName>
    <definedName name="Pilotgrade_1" localSheetId="7">#REF!</definedName>
    <definedName name="Pilotgrade_1">#REF!</definedName>
    <definedName name="Pilotgrade_2" localSheetId="13">#REF!</definedName>
    <definedName name="Pilotgrade_2" localSheetId="7">#REF!</definedName>
    <definedName name="Pilotgrade_2">#REF!</definedName>
    <definedName name="pilotgrade_3" localSheetId="13">#REF!</definedName>
    <definedName name="pilotgrade_3" localSheetId="7">#REF!</definedName>
    <definedName name="pilotgrade_3">#REF!</definedName>
    <definedName name="pilotgrade_4" localSheetId="13">#REF!</definedName>
    <definedName name="pilotgrade_4" localSheetId="7">#REF!</definedName>
    <definedName name="pilotgrade_4">#REF!</definedName>
    <definedName name="pilotgrade_5" localSheetId="13">#REF!</definedName>
    <definedName name="pilotgrade_5" localSheetId="7">#REF!</definedName>
    <definedName name="pilotgrade_5">#REF!</definedName>
    <definedName name="pilotgrade_6" localSheetId="13">#REF!</definedName>
    <definedName name="pilotgrade_6" localSheetId="7">#REF!</definedName>
    <definedName name="pilotgrade_6">#REF!</definedName>
    <definedName name="Place_CashBasis" localSheetId="13">#REF!</definedName>
    <definedName name="Place_CashBasis" localSheetId="7">#REF!</definedName>
    <definedName name="Place_CashBasis">#REF!</definedName>
    <definedName name="Place_CostFactor" localSheetId="13">#REF!</definedName>
    <definedName name="Place_CostFactor" localSheetId="7">#REF!</definedName>
    <definedName name="Place_CostFactor">#REF!</definedName>
    <definedName name="Place_CRISP_REV" localSheetId="13">#REF!</definedName>
    <definedName name="Place_CRISP_REV" localSheetId="7">#REF!</definedName>
    <definedName name="Place_CRISP_REV">#REF!</definedName>
    <definedName name="Place_FASB" localSheetId="13">#REF!</definedName>
    <definedName name="Place_FASB" localSheetId="7">#REF!</definedName>
    <definedName name="Place_FASB">#REF!</definedName>
    <definedName name="Place_Gross_REV" localSheetId="13">#REF!</definedName>
    <definedName name="Place_Gross_REV" localSheetId="7">#REF!</definedName>
    <definedName name="Place_Gross_REV">#REF!</definedName>
    <definedName name="Place_Net_REV" localSheetId="13">#REF!</definedName>
    <definedName name="Place_Net_REV" localSheetId="7">#REF!</definedName>
    <definedName name="Place_Net_REV">#REF!</definedName>
    <definedName name="Place_Term" localSheetId="13">#REF!</definedName>
    <definedName name="Place_Term" localSheetId="7">#REF!</definedName>
    <definedName name="Place_Term">#REF!</definedName>
    <definedName name="PlanSummaryPrint" localSheetId="13">#REF!</definedName>
    <definedName name="PlanSummaryPrint" localSheetId="7">#REF!</definedName>
    <definedName name="PlanSummaryPrint">#REF!</definedName>
    <definedName name="PMT" localSheetId="13">#REF!</definedName>
    <definedName name="PMT" localSheetId="7">#REF!</definedName>
    <definedName name="PMT">#REF!</definedName>
    <definedName name="Pmt_to_use" localSheetId="13">#REF!</definedName>
    <definedName name="Pmt_to_use" localSheetId="7">#REF!</definedName>
    <definedName name="Pmt_to_use">#REF!</definedName>
    <definedName name="pmta" localSheetId="13">#REF!</definedName>
    <definedName name="pmta" localSheetId="7">#REF!</definedName>
    <definedName name="pmta">#REF!</definedName>
    <definedName name="PMTConstant" localSheetId="13">#REF!</definedName>
    <definedName name="PMTConstant" localSheetId="7">#REF!</definedName>
    <definedName name="PMTConstant">#REF!</definedName>
    <definedName name="PP_Approval" localSheetId="13">#REF!</definedName>
    <definedName name="PP_Approval" localSheetId="7">#REF!</definedName>
    <definedName name="PP_Approval">#REF!</definedName>
    <definedName name="pr" localSheetId="13">#REF!</definedName>
    <definedName name="pr" localSheetId="7">#REF!</definedName>
    <definedName name="pr">#REF!</definedName>
    <definedName name="Pre_Tax_Keis_Equity_Crd" localSheetId="13">#REF!</definedName>
    <definedName name="Pre_Tax_Keis_Equity_Crd" localSheetId="7">#REF!</definedName>
    <definedName name="Pre_Tax_Keis_Equity_Crd">#REF!</definedName>
    <definedName name="PREFRETURN">[15]Assumptions!$G$23</definedName>
    <definedName name="PrePay_NewLoans_1" localSheetId="13">#REF!</definedName>
    <definedName name="PrePay_NewLoans_1" localSheetId="9">#REF!</definedName>
    <definedName name="PrePay_NewLoans_1" localSheetId="8">#REF!</definedName>
    <definedName name="PrePay_NewLoans_1" localSheetId="7">#REF!</definedName>
    <definedName name="PrePay_NewLoans_1">#REF!</definedName>
    <definedName name="PrePay_NewLoans_2" localSheetId="13">#REF!</definedName>
    <definedName name="PrePay_NewLoans_2" localSheetId="8">#REF!</definedName>
    <definedName name="PrePay_NewLoans_2" localSheetId="7">#REF!</definedName>
    <definedName name="PrePay_NewLoans_2">#REF!</definedName>
    <definedName name="PrePay_NewLoans_3" localSheetId="13">#REF!</definedName>
    <definedName name="PrePay_NewLoans_3" localSheetId="8">#REF!</definedName>
    <definedName name="PrePay_NewLoans_3" localSheetId="7">#REF!</definedName>
    <definedName name="PrePay_NewLoans_3">#REF!</definedName>
    <definedName name="PrePay_NewLoans_4" localSheetId="13">#REF!</definedName>
    <definedName name="PrePay_NewLoans_4" localSheetId="7">#REF!</definedName>
    <definedName name="PrePay_NewLoans_4">#REF!</definedName>
    <definedName name="PrePay_NewLoans_5" localSheetId="13">#REF!</definedName>
    <definedName name="PrePay_NewLoans_5" localSheetId="7">#REF!</definedName>
    <definedName name="PrePay_NewLoans_5">#REF!</definedName>
    <definedName name="PrePay_NewLoans_6" localSheetId="13">#REF!</definedName>
    <definedName name="PrePay_NewLoans_6" localSheetId="7">#REF!</definedName>
    <definedName name="PrePay_NewLoans_6">#REF!</definedName>
    <definedName name="Prepayment_charge_table" localSheetId="13">#REF!</definedName>
    <definedName name="Prepayment_charge_table" localSheetId="7">#REF!</definedName>
    <definedName name="Prepayment_charge_table">#REF!</definedName>
    <definedName name="Prepayment_Penalty_Factor_1" localSheetId="13">#REF!</definedName>
    <definedName name="Prepayment_Penalty_Factor_1" localSheetId="7">#REF!</definedName>
    <definedName name="Prepayment_Penalty_Factor_1">#REF!</definedName>
    <definedName name="Prepayment_Penalty_Factor_2" localSheetId="13">#REF!</definedName>
    <definedName name="Prepayment_Penalty_Factor_2" localSheetId="7">#REF!</definedName>
    <definedName name="Prepayment_Penalty_Factor_2">#REF!</definedName>
    <definedName name="Prepayment_Penalty_Factor_3" localSheetId="13">#REF!</definedName>
    <definedName name="Prepayment_Penalty_Factor_3" localSheetId="7">#REF!</definedName>
    <definedName name="Prepayment_Penalty_Factor_3">#REF!</definedName>
    <definedName name="Prepayment_Penalty_Factor_4" localSheetId="13">#REF!</definedName>
    <definedName name="Prepayment_Penalty_Factor_4" localSheetId="7">#REF!</definedName>
    <definedName name="Prepayment_Penalty_Factor_4">#REF!</definedName>
    <definedName name="Prepayment_Penalty_Factor_5" localSheetId="13">#REF!</definedName>
    <definedName name="Prepayment_Penalty_Factor_5" localSheetId="7">#REF!</definedName>
    <definedName name="Prepayment_Penalty_Factor_5">#REF!</definedName>
    <definedName name="Prepayment_Penalty_Factor_6" localSheetId="13">#REF!</definedName>
    <definedName name="Prepayment_Penalty_Factor_6" localSheetId="7">#REF!</definedName>
    <definedName name="Prepayment_Penalty_Factor_6">#REF!</definedName>
    <definedName name="prepaymentstring" localSheetId="13">#REF!</definedName>
    <definedName name="prepaymentstring" localSheetId="7">#REF!</definedName>
    <definedName name="prepaymentstring">#REF!</definedName>
    <definedName name="PreTaxIncome_CASH" localSheetId="13">#REF!</definedName>
    <definedName name="PreTaxIncome_CASH" localSheetId="7">#REF!</definedName>
    <definedName name="PreTaxIncome_CASH">#REF!</definedName>
    <definedName name="PreTaxIncome_FASB" localSheetId="13">#REF!</definedName>
    <definedName name="PreTaxIncome_FASB" localSheetId="7">#REF!</definedName>
    <definedName name="PreTaxIncome_FASB">#REF!</definedName>
    <definedName name="PREWO" localSheetId="13">#REF!</definedName>
    <definedName name="PREWO" localSheetId="7">#REF!</definedName>
    <definedName name="PREWO">#REF!</definedName>
    <definedName name="PRICE" localSheetId="13">#REF!</definedName>
    <definedName name="PRICE" localSheetId="7">#REF!</definedName>
    <definedName name="PRICE">#REF!</definedName>
    <definedName name="PRICE1" localSheetId="13">#REF!</definedName>
    <definedName name="PRICE1" localSheetId="7">#REF!</definedName>
    <definedName name="PRICE1">#REF!</definedName>
    <definedName name="PricingWAL_1" localSheetId="13">#REF!</definedName>
    <definedName name="PricingWAL_1" localSheetId="7">#REF!</definedName>
    <definedName name="PricingWAL_1">#REF!</definedName>
    <definedName name="PricingWAL_2" localSheetId="13">#REF!</definedName>
    <definedName name="PricingWAL_2" localSheetId="7">#REF!</definedName>
    <definedName name="PricingWAL_2">#REF!</definedName>
    <definedName name="PricingWAL_3" localSheetId="13">#REF!</definedName>
    <definedName name="PricingWAL_3" localSheetId="7">#REF!</definedName>
    <definedName name="PricingWAL_3">#REF!</definedName>
    <definedName name="PricingWAL_4" localSheetId="13">#REF!</definedName>
    <definedName name="PricingWAL_4" localSheetId="7">#REF!</definedName>
    <definedName name="PricingWAL_4">#REF!</definedName>
    <definedName name="PricingWAL_5" localSheetId="13">#REF!</definedName>
    <definedName name="PricingWAL_5" localSheetId="7">#REF!</definedName>
    <definedName name="PricingWAL_5">#REF!</definedName>
    <definedName name="PricingWAL_6" localSheetId="13">#REF!</definedName>
    <definedName name="PricingWAL_6" localSheetId="7">#REF!</definedName>
    <definedName name="PricingWAL_6">#REF!</definedName>
    <definedName name="primeminus_1" localSheetId="13">#REF!</definedName>
    <definedName name="primeminus_1" localSheetId="7">#REF!</definedName>
    <definedName name="primeminus_1">#REF!</definedName>
    <definedName name="primeminus_2" localSheetId="13">#REF!</definedName>
    <definedName name="primeminus_2" localSheetId="7">#REF!</definedName>
    <definedName name="primeminus_2">#REF!</definedName>
    <definedName name="primeminus_3" localSheetId="13">#REF!</definedName>
    <definedName name="primeminus_3" localSheetId="7">#REF!</definedName>
    <definedName name="primeminus_3">#REF!</definedName>
    <definedName name="primeminus_4" localSheetId="13">#REF!</definedName>
    <definedName name="primeminus_4" localSheetId="7">#REF!</definedName>
    <definedName name="primeminus_4">#REF!</definedName>
    <definedName name="primeminus_5" localSheetId="13">#REF!</definedName>
    <definedName name="primeminus_5" localSheetId="7">#REF!</definedName>
    <definedName name="primeminus_5">#REF!</definedName>
    <definedName name="primeminus_6" localSheetId="13">#REF!</definedName>
    <definedName name="primeminus_6" localSheetId="7">#REF!</definedName>
    <definedName name="primeminus_6">#REF!</definedName>
    <definedName name="PRIMEOPTION_Yes_NO_1" localSheetId="13">#REF!</definedName>
    <definedName name="PRIMEOPTION_Yes_NO_1" localSheetId="7">#REF!</definedName>
    <definedName name="PRIMEOPTION_Yes_NO_1">#REF!</definedName>
    <definedName name="PRIMEOPTION_Yes_NO_2" localSheetId="13">#REF!</definedName>
    <definedName name="PRIMEOPTION_Yes_NO_2" localSheetId="7">#REF!</definedName>
    <definedName name="PRIMEOPTION_Yes_NO_2">#REF!</definedName>
    <definedName name="PRIMEOPTION_Yes_NO_3" localSheetId="13">#REF!</definedName>
    <definedName name="PRIMEOPTION_Yes_NO_3" localSheetId="7">#REF!</definedName>
    <definedName name="PRIMEOPTION_Yes_NO_3">#REF!</definedName>
    <definedName name="PRIMEOPTION_Yes_NO_4" localSheetId="13">#REF!</definedName>
    <definedName name="PRIMEOPTION_Yes_NO_4" localSheetId="7">#REF!</definedName>
    <definedName name="PRIMEOPTION_Yes_NO_4">#REF!</definedName>
    <definedName name="PRIMEOPTION_Yes_NO_5" localSheetId="13">#REF!</definedName>
    <definedName name="PRIMEOPTION_Yes_NO_5" localSheetId="7">#REF!</definedName>
    <definedName name="PRIMEOPTION_Yes_NO_5">#REF!</definedName>
    <definedName name="PRIMEOPTION_Yes_NO_6" localSheetId="13">#REF!</definedName>
    <definedName name="PRIMEOPTION_Yes_NO_6" localSheetId="7">#REF!</definedName>
    <definedName name="PRIMEOPTION_Yes_NO_6">#REF!</definedName>
    <definedName name="PRIMESPREAD_1" localSheetId="13">#REF!</definedName>
    <definedName name="PRIMESPREAD_1" localSheetId="7">#REF!</definedName>
    <definedName name="PRIMESPREAD_1">#REF!</definedName>
    <definedName name="PRIMESPREAD_2" localSheetId="13">#REF!</definedName>
    <definedName name="PRIMESPREAD_2" localSheetId="7">#REF!</definedName>
    <definedName name="PRIMESPREAD_2">#REF!</definedName>
    <definedName name="PRIMESPREAD_3" localSheetId="13">#REF!</definedName>
    <definedName name="PRIMESPREAD_3" localSheetId="7">#REF!</definedName>
    <definedName name="PRIMESPREAD_3">#REF!</definedName>
    <definedName name="PRIMESPREAD_4" localSheetId="13">#REF!</definedName>
    <definedName name="PRIMESPREAD_4" localSheetId="7">#REF!</definedName>
    <definedName name="PRIMESPREAD_4">#REF!</definedName>
    <definedName name="PRIMESPREAD_5" localSheetId="13">#REF!</definedName>
    <definedName name="PRIMESPREAD_5" localSheetId="7">#REF!</definedName>
    <definedName name="PRIMESPREAD_5">#REF!</definedName>
    <definedName name="PRIMESPREAD_6" localSheetId="13">#REF!</definedName>
    <definedName name="PRIMESPREAD_6" localSheetId="7">#REF!</definedName>
    <definedName name="PRIMESPREAD_6">#REF!</definedName>
    <definedName name="Principal" localSheetId="13">IF(#REF!&lt;&gt;"",MIN(#REF!,'Combined - vErik'!Pmt_to_use-#REF!),"")</definedName>
    <definedName name="Principal" localSheetId="2">IF(#REF!&lt;&gt;"",MIN(#REF!,[39]!Pmt_to_use-#REF!),"")</definedName>
    <definedName name="Principal" localSheetId="9">IF(#REF!&lt;&gt;"",MIN(#REF!,'What Changed'!Pmt_to_use-#REF!),"")</definedName>
    <definedName name="Principal" localSheetId="3">IF(#REF!&lt;&gt;"",MIN(#REF!,[39]!Pmt_to_use-#REF!),"")</definedName>
    <definedName name="Principal" localSheetId="1">IF(#REF!&lt;&gt;"",MIN(#REF!,[39]!Pmt_to_use-#REF!),"")</definedName>
    <definedName name="Principal" localSheetId="8">IF(#REF!&lt;&gt;"",MIN(#REF!,[39]!Pmt_to_use-#REF!),"")</definedName>
    <definedName name="Principal" localSheetId="7">IF(#REF!&lt;&gt;"",MIN(#REF!,[39]!Pmt_to_use-#REF!),"")</definedName>
    <definedName name="Principal">IF(#REF!&lt;&gt;"",MIN(#REF!,[39]!Pmt_to_use-#REF!),"")</definedName>
    <definedName name="principal_comment" localSheetId="13">#REF!</definedName>
    <definedName name="principal_comment" localSheetId="7">#REF!</definedName>
    <definedName name="principal_comment">#REF!</definedName>
    <definedName name="Print" localSheetId="13">#REF!</definedName>
    <definedName name="Print" localSheetId="7">#REF!</definedName>
    <definedName name="Print">#REF!</definedName>
    <definedName name="PRINT_2">#N/A</definedName>
    <definedName name="PRINT_3">#N/A</definedName>
    <definedName name="PRINT_A">#N/A</definedName>
    <definedName name="_xlnm.Print_Area" localSheetId="13">'Combined - vErik'!$A$1:$V$326</definedName>
    <definedName name="_xlnm.Print_Area" localSheetId="6">Comparison!$A$1:$S$312</definedName>
    <definedName name="_xlnm.Print_Area" localSheetId="2">'Comparison - Level 3'!$A$1:$S$312</definedName>
    <definedName name="_xlnm.Print_Area" localSheetId="9">'Division Comparison'!$A$1:$P$50</definedName>
    <definedName name="_xlnm.Print_Area" localSheetId="12">'LEVEL 1.1 BUDGET'!$A$1:$W$320</definedName>
    <definedName name="_xlnm.Print_Area" localSheetId="11">'LEVEL 1.2 BUDGET'!$A$1:$U$318</definedName>
    <definedName name="_xlnm.Print_Area" localSheetId="5">'LEVEL 2'!$A$1:$U$319</definedName>
    <definedName name="_xlnm.Print_Area" localSheetId="3">'LEVEL 2.1'!$A$1:$U$319</definedName>
    <definedName name="_xlnm.Print_Area" localSheetId="1">'LEVEL 3'!$A$1:$U$319</definedName>
    <definedName name="_xlnm.Print_Area" localSheetId="8">'Unit Pricing Comparison'!$A$1:$Q$32</definedName>
    <definedName name="_xlnm.Print_Area">#REF!</definedName>
    <definedName name="PRINT_AREA_MI" localSheetId="13">#REF!</definedName>
    <definedName name="PRINT_AREA_MI" localSheetId="9">#REF!</definedName>
    <definedName name="PRINT_AREA_MI" localSheetId="8">#REF!</definedName>
    <definedName name="PRINT_AREA_MI" localSheetId="7">#REF!</definedName>
    <definedName name="PRINT_AREA_MI">#REF!</definedName>
    <definedName name="Print_Area2" localSheetId="13">#REF!</definedName>
    <definedName name="Print_Area2" localSheetId="8">#REF!</definedName>
    <definedName name="Print_Area2" localSheetId="7">#REF!</definedName>
    <definedName name="Print_Area2">#REF!</definedName>
    <definedName name="PRINT_BCCAM">#N/A</definedName>
    <definedName name="PRINT_BCINS">#N/A</definedName>
    <definedName name="PRINT_BCMR">#N/A</definedName>
    <definedName name="PRINT_BCPR">#N/A</definedName>
    <definedName name="PRINT_BCTAX">#N/A</definedName>
    <definedName name="PRINT_D">#N/A</definedName>
    <definedName name="PRINT_DETAILS">#N/A</definedName>
    <definedName name="PRINT_EDET">#N/A</definedName>
    <definedName name="PRINT_ESUM">#N/A</definedName>
    <definedName name="PRINT_EXPENSES">#N/A</definedName>
    <definedName name="PRINT_EXPS">#N/A</definedName>
    <definedName name="PRINT_F">#N/A</definedName>
    <definedName name="PRINT_GDET">#N/A</definedName>
    <definedName name="PRINT_GSUM">#N/A</definedName>
    <definedName name="PRINT_HDET">#N/A</definedName>
    <definedName name="PRINT_HSUM">#N/A</definedName>
    <definedName name="PRINT_IDET">#N/A</definedName>
    <definedName name="PRINT_ISUM">#N/A</definedName>
    <definedName name="PRINT_J">#N/A</definedName>
    <definedName name="PRINT_MARKETING">#N/A</definedName>
    <definedName name="PRINT_MKTG">#N/A</definedName>
    <definedName name="PRINT_OCCUPANAL">#N/A</definedName>
    <definedName name="PRINT_OCCUPANCY">#N/A</definedName>
    <definedName name="PRINT_RATES">#N/A</definedName>
    <definedName name="PRINT_RECRATES">#N/A</definedName>
    <definedName name="PRINT_REV">#N/A</definedName>
    <definedName name="PRINT_REVENUES">#N/A</definedName>
    <definedName name="PRINT_TITLE_MD" localSheetId="13">#REF!</definedName>
    <definedName name="PRINT_TITLE_MD" localSheetId="9">#REF!</definedName>
    <definedName name="PRINT_TITLE_MD" localSheetId="8">#REF!</definedName>
    <definedName name="PRINT_TITLE_MD" localSheetId="7">#REF!</definedName>
    <definedName name="PRINT_TITLE_MD">#REF!</definedName>
    <definedName name="_xlnm.Print_Titles">#N/A</definedName>
    <definedName name="PRINT_TITLES_MI" localSheetId="13">#REF!</definedName>
    <definedName name="PRINT_TITLES_MI" localSheetId="9">#REF!</definedName>
    <definedName name="PRINT_TITLES_MI" localSheetId="8">#REF!</definedName>
    <definedName name="PRINT_TITLES_MI" localSheetId="7">#REF!</definedName>
    <definedName name="PRINT_TITLES_MI">#REF!</definedName>
    <definedName name="PRINT_UTIL">#N/A</definedName>
    <definedName name="PrintTitles" localSheetId="13">#REF!</definedName>
    <definedName name="PrintTitles" localSheetId="9">#REF!</definedName>
    <definedName name="PrintTitles" localSheetId="8">#REF!</definedName>
    <definedName name="PrintTitles" localSheetId="7">#REF!</definedName>
    <definedName name="PrintTitles">#REF!</definedName>
    <definedName name="Private_Bkg" localSheetId="13">#REF!</definedName>
    <definedName name="Private_Bkg" localSheetId="9">#REF!</definedName>
    <definedName name="Private_Bkg" localSheetId="8">#REF!</definedName>
    <definedName name="Private_Bkg" localSheetId="7">#REF!</definedName>
    <definedName name="Private_Bkg">#REF!</definedName>
    <definedName name="Private_Bkg_Inv" localSheetId="13">#REF!</definedName>
    <definedName name="Private_Bkg_Inv" localSheetId="8">#REF!</definedName>
    <definedName name="Private_Bkg_Inv" localSheetId="7">#REF!</definedName>
    <definedName name="Private_Bkg_Inv">#REF!</definedName>
    <definedName name="proceeds" localSheetId="13">#REF!</definedName>
    <definedName name="proceeds" localSheetId="7">#REF!</definedName>
    <definedName name="proceeds">#REF!</definedName>
    <definedName name="profit" localSheetId="13">#REF!</definedName>
    <definedName name="profit" localSheetId="7">#REF!</definedName>
    <definedName name="profit">#REF!</definedName>
    <definedName name="ProfitProformaSummaryPrint" localSheetId="13">#REF!</definedName>
    <definedName name="ProfitProformaSummaryPrint" localSheetId="7">#REF!</definedName>
    <definedName name="ProfitProformaSummaryPrint">#REF!</definedName>
    <definedName name="ProformaNOI" localSheetId="13">#REF!</definedName>
    <definedName name="ProformaNOI" localSheetId="7">#REF!</definedName>
    <definedName name="ProformaNOI">#REF!</definedName>
    <definedName name="proformaoccupancy">[37]Underwriting!#REF!</definedName>
    <definedName name="ProFormaPrint">"Macro1"</definedName>
    <definedName name="ProformaStartDate">[15]Assumptions!$C$13</definedName>
    <definedName name="project">[48]Assumptions!$AA$3</definedName>
    <definedName name="Project_City">[38]Checklist!$C$25</definedName>
    <definedName name="Project_County">'[38]@Salient Data Sheet'!$B$24</definedName>
    <definedName name="Project_Name">[38]Checklist!$A$22</definedName>
    <definedName name="Project_State">[38]Checklist!$C$26</definedName>
    <definedName name="Project_Street_Name">[38]Checklist!$C$24</definedName>
    <definedName name="Project_Street_Number">[38]Checklist!$A$24</definedName>
    <definedName name="Project_Zip">'[38]@Salient Data Sheet'!$B$26</definedName>
    <definedName name="ProjectCost">'[49]sources &amp; uses'!$F$46</definedName>
    <definedName name="ProjectDuration">[50]Formulas!$E$71</definedName>
    <definedName name="Projections">'[51] CF Analysis'!$A$3:$I$71</definedName>
    <definedName name="ProjectName">[15]Assumptions!$C$5</definedName>
    <definedName name="ProLFBRng1" localSheetId="13">#REF!</definedName>
    <definedName name="ProLFBRng1" localSheetId="9">#REF!</definedName>
    <definedName name="ProLFBRng1" localSheetId="8">#REF!</definedName>
    <definedName name="ProLFBRng1" localSheetId="7">#REF!</definedName>
    <definedName name="ProLFBRng1">#REF!</definedName>
    <definedName name="ProLFBRng10" localSheetId="13">#REF!</definedName>
    <definedName name="ProLFBRng10" localSheetId="8">#REF!</definedName>
    <definedName name="ProLFBRng10" localSheetId="7">#REF!</definedName>
    <definedName name="ProLFBRng10">#REF!</definedName>
    <definedName name="ProLFBRng11" localSheetId="13">#REF!</definedName>
    <definedName name="ProLFBRng11" localSheetId="8">#REF!</definedName>
    <definedName name="ProLFBRng11" localSheetId="7">#REF!</definedName>
    <definedName name="ProLFBRng11">#REF!</definedName>
    <definedName name="ProLFBRng12" localSheetId="13">#REF!</definedName>
    <definedName name="ProLFBRng12" localSheetId="7">#REF!</definedName>
    <definedName name="ProLFBRng12">#REF!</definedName>
    <definedName name="ProLFBRng13" localSheetId="13">#REF!</definedName>
    <definedName name="ProLFBRng13" localSheetId="7">#REF!</definedName>
    <definedName name="ProLFBRng13">#REF!</definedName>
    <definedName name="ProLFBRng14" localSheetId="13">#REF!</definedName>
    <definedName name="ProLFBRng14" localSheetId="7">#REF!</definedName>
    <definedName name="ProLFBRng14">#REF!</definedName>
    <definedName name="ProLFBRng15" localSheetId="13">#REF!</definedName>
    <definedName name="ProLFBRng15" localSheetId="7">#REF!</definedName>
    <definedName name="ProLFBRng15">#REF!</definedName>
    <definedName name="ProLFBRng16" localSheetId="13">#REF!</definedName>
    <definedName name="ProLFBRng16" localSheetId="7">#REF!</definedName>
    <definedName name="ProLFBRng16">#REF!</definedName>
    <definedName name="ProLFBRng17" localSheetId="13">#REF!</definedName>
    <definedName name="ProLFBRng17" localSheetId="7">#REF!</definedName>
    <definedName name="ProLFBRng17">#REF!</definedName>
    <definedName name="ProLFBRng18" localSheetId="13">#REF!</definedName>
    <definedName name="ProLFBRng18" localSheetId="7">#REF!</definedName>
    <definedName name="ProLFBRng18">#REF!</definedName>
    <definedName name="ProLFBRng19" localSheetId="13">#REF!</definedName>
    <definedName name="ProLFBRng19" localSheetId="7">#REF!</definedName>
    <definedName name="ProLFBRng19">#REF!</definedName>
    <definedName name="ProLFBRng2" localSheetId="13">#REF!</definedName>
    <definedName name="ProLFBRng2" localSheetId="7">#REF!</definedName>
    <definedName name="ProLFBRng2">#REF!</definedName>
    <definedName name="ProLFBRng20" localSheetId="13">#REF!</definedName>
    <definedName name="ProLFBRng20" localSheetId="7">#REF!</definedName>
    <definedName name="ProLFBRng20">#REF!</definedName>
    <definedName name="ProLFBRng21" localSheetId="13">#REF!</definedName>
    <definedName name="ProLFBRng21" localSheetId="7">#REF!</definedName>
    <definedName name="ProLFBRng21">#REF!</definedName>
    <definedName name="ProLFBRng22" localSheetId="13">#REF!</definedName>
    <definedName name="ProLFBRng22" localSheetId="7">#REF!</definedName>
    <definedName name="ProLFBRng22">#REF!</definedName>
    <definedName name="ProLFBRng23" localSheetId="13">#REF!</definedName>
    <definedName name="ProLFBRng23" localSheetId="7">#REF!</definedName>
    <definedName name="ProLFBRng23">#REF!</definedName>
    <definedName name="ProLFBRng24" localSheetId="13">#REF!</definedName>
    <definedName name="ProLFBRng24" localSheetId="7">#REF!</definedName>
    <definedName name="ProLFBRng24">#REF!</definedName>
    <definedName name="ProLFBRng25" localSheetId="13">#REF!</definedName>
    <definedName name="ProLFBRng25" localSheetId="7">#REF!</definedName>
    <definedName name="ProLFBRng25">#REF!</definedName>
    <definedName name="ProLFBRng26" localSheetId="13">#REF!</definedName>
    <definedName name="ProLFBRng26" localSheetId="7">#REF!</definedName>
    <definedName name="ProLFBRng26">#REF!</definedName>
    <definedName name="ProLFBRng27" localSheetId="13">#REF!</definedName>
    <definedName name="ProLFBRng27" localSheetId="7">#REF!</definedName>
    <definedName name="ProLFBRng27">#REF!</definedName>
    <definedName name="ProLFBRng28" localSheetId="13">#REF!</definedName>
    <definedName name="ProLFBRng28" localSheetId="7">#REF!</definedName>
    <definedName name="ProLFBRng28">#REF!</definedName>
    <definedName name="ProLFBRng29" localSheetId="13">#REF!</definedName>
    <definedName name="ProLFBRng29" localSheetId="7">#REF!</definedName>
    <definedName name="ProLFBRng29">#REF!</definedName>
    <definedName name="ProLFBRng3" localSheetId="13">#REF!</definedName>
    <definedName name="ProLFBRng3" localSheetId="7">#REF!</definedName>
    <definedName name="ProLFBRng3">#REF!</definedName>
    <definedName name="ProLFBRng30" localSheetId="13">#REF!</definedName>
    <definedName name="ProLFBRng30" localSheetId="7">#REF!</definedName>
    <definedName name="ProLFBRng30">#REF!</definedName>
    <definedName name="ProLFBRng31" localSheetId="13">#REF!</definedName>
    <definedName name="ProLFBRng31" localSheetId="7">#REF!</definedName>
    <definedName name="ProLFBRng31">#REF!</definedName>
    <definedName name="ProLFBRng32" localSheetId="13">#REF!</definedName>
    <definedName name="ProLFBRng32" localSheetId="7">#REF!</definedName>
    <definedName name="ProLFBRng32">#REF!</definedName>
    <definedName name="ProLFBRng33" localSheetId="13">#REF!</definedName>
    <definedName name="ProLFBRng33" localSheetId="7">#REF!</definedName>
    <definedName name="ProLFBRng33">#REF!</definedName>
    <definedName name="ProLFBRng34" localSheetId="13">#REF!</definedName>
    <definedName name="ProLFBRng34" localSheetId="7">#REF!</definedName>
    <definedName name="ProLFBRng34">#REF!</definedName>
    <definedName name="ProLFBRng35" localSheetId="13">#REF!</definedName>
    <definedName name="ProLFBRng35" localSheetId="7">#REF!</definedName>
    <definedName name="ProLFBRng35">#REF!</definedName>
    <definedName name="ProLFBRng36" localSheetId="13">#REF!</definedName>
    <definedName name="ProLFBRng36" localSheetId="7">#REF!</definedName>
    <definedName name="ProLFBRng36">#REF!</definedName>
    <definedName name="ProLFBRng37" localSheetId="13">#REF!</definedName>
    <definedName name="ProLFBRng37" localSheetId="7">#REF!</definedName>
    <definedName name="ProLFBRng37">#REF!</definedName>
    <definedName name="ProLFBRng38" localSheetId="13">#REF!</definedName>
    <definedName name="ProLFBRng38" localSheetId="7">#REF!</definedName>
    <definedName name="ProLFBRng38">#REF!</definedName>
    <definedName name="ProLFBRng39" localSheetId="13">#REF!</definedName>
    <definedName name="ProLFBRng39" localSheetId="7">#REF!</definedName>
    <definedName name="ProLFBRng39">#REF!</definedName>
    <definedName name="ProLFBRng4" localSheetId="13">#REF!</definedName>
    <definedName name="ProLFBRng4" localSheetId="7">#REF!</definedName>
    <definedName name="ProLFBRng4">#REF!</definedName>
    <definedName name="ProLFBRng40" localSheetId="13">#REF!</definedName>
    <definedName name="ProLFBRng40" localSheetId="7">#REF!</definedName>
    <definedName name="ProLFBRng40">#REF!</definedName>
    <definedName name="ProLFBRng5" localSheetId="13">#REF!</definedName>
    <definedName name="ProLFBRng5" localSheetId="7">#REF!</definedName>
    <definedName name="ProLFBRng5">#REF!</definedName>
    <definedName name="ProLFBRng6" localSheetId="13">#REF!</definedName>
    <definedName name="ProLFBRng6" localSheetId="7">#REF!</definedName>
    <definedName name="ProLFBRng6">#REF!</definedName>
    <definedName name="ProLFBRng7" localSheetId="13">#REF!</definedName>
    <definedName name="ProLFBRng7" localSheetId="7">#REF!</definedName>
    <definedName name="ProLFBRng7">#REF!</definedName>
    <definedName name="ProLFBRng8" localSheetId="13">#REF!</definedName>
    <definedName name="ProLFBRng8" localSheetId="7">#REF!</definedName>
    <definedName name="ProLFBRng8">#REF!</definedName>
    <definedName name="ProLFBRng9" localSheetId="13">#REF!</definedName>
    <definedName name="ProLFBRng9" localSheetId="7">#REF!</definedName>
    <definedName name="ProLFBRng9">#REF!</definedName>
    <definedName name="property_description" localSheetId="13">#REF!</definedName>
    <definedName name="property_description" localSheetId="7">#REF!</definedName>
    <definedName name="property_description">#REF!</definedName>
    <definedName name="Property_taxes_increase">'[3]AVI-JV-PROFORMA'!#REF!</definedName>
    <definedName name="propertyname">'[14]Loan Information'!$C$13</definedName>
    <definedName name="propertysubtype">'[14]Loan Information'!$F$12</definedName>
    <definedName name="propertytype" localSheetId="13">#REF!</definedName>
    <definedName name="propertytype" localSheetId="9">#REF!</definedName>
    <definedName name="propertytype" localSheetId="8">#REF!</definedName>
    <definedName name="propertytype" localSheetId="7">#REF!</definedName>
    <definedName name="propertytype">#REF!</definedName>
    <definedName name="PropName" localSheetId="13">#REF!</definedName>
    <definedName name="PropName" localSheetId="8">#REF!</definedName>
    <definedName name="PropName" localSheetId="7">#REF!</definedName>
    <definedName name="PropName">#REF!</definedName>
    <definedName name="PropTaxRate" localSheetId="13">[10]Assumptions!#REF!</definedName>
    <definedName name="PropTaxRate" localSheetId="8">[10]Assumptions!#REF!</definedName>
    <definedName name="PropTaxRate">[10]Assumptions!#REF!</definedName>
    <definedName name="prtaxes" localSheetId="13">[17]CAMINVBU!#REF!</definedName>
    <definedName name="prtaxes" localSheetId="8">[17]CAMINVBU!#REF!</definedName>
    <definedName name="prtaxes">[17]CAMINVBU!#REF!</definedName>
    <definedName name="PRUDENTIAL" localSheetId="13">#REF!</definedName>
    <definedName name="PRUDENTIAL" localSheetId="9">#REF!</definedName>
    <definedName name="PRUDENTIAL" localSheetId="8">#REF!</definedName>
    <definedName name="PRUDENTIAL" localSheetId="7">#REF!</definedName>
    <definedName name="PRUDENTIAL">#REF!</definedName>
    <definedName name="PUB2003A">'[11]CFPUB 2003A Consol'!$A$1</definedName>
    <definedName name="Public_Sector" localSheetId="13">#REF!</definedName>
    <definedName name="Public_Sector" localSheetId="9">#REF!</definedName>
    <definedName name="Public_Sector" localSheetId="8">#REF!</definedName>
    <definedName name="Public_Sector" localSheetId="7">#REF!</definedName>
    <definedName name="Public_Sector">#REF!</definedName>
    <definedName name="PURPOSE">[15]Assumptions!$B$24</definedName>
    <definedName name="RACF_ID" localSheetId="13">#REF!</definedName>
    <definedName name="RACF_ID" localSheetId="9">#REF!</definedName>
    <definedName name="RACF_ID" localSheetId="8">#REF!</definedName>
    <definedName name="RACF_ID" localSheetId="7">#REF!</definedName>
    <definedName name="RACF_ID">#REF!</definedName>
    <definedName name="RaContractorrOtherFeeDesc" localSheetId="13">'[35]Gen Reqs Breakdown'!#REF!</definedName>
    <definedName name="RaContractorrOtherFeeDesc" localSheetId="9">'[35]Gen Reqs Breakdown'!#REF!</definedName>
    <definedName name="RaContractorrOtherFeeDesc" localSheetId="8">'[35]Gen Reqs Breakdown'!#REF!</definedName>
    <definedName name="RaContractorrOtherFeeDesc">'[35]Gen Reqs Breakdown'!#REF!</definedName>
    <definedName name="Ralphs_rent" localSheetId="13">#REF!</definedName>
    <definedName name="Ralphs_rent" localSheetId="9">#REF!</definedName>
    <definedName name="Ralphs_rent" localSheetId="8">#REF!</definedName>
    <definedName name="Ralphs_rent" localSheetId="7">#REF!</definedName>
    <definedName name="Ralphs_rent">#REF!</definedName>
    <definedName name="Ralphs_SF" localSheetId="13">#REF!</definedName>
    <definedName name="Ralphs_SF" localSheetId="8">#REF!</definedName>
    <definedName name="Ralphs_SF" localSheetId="7">#REF!</definedName>
    <definedName name="Ralphs_SF">#REF!</definedName>
    <definedName name="randm" localSheetId="13">[17]CAMINVBU!#REF!</definedName>
    <definedName name="randm" localSheetId="8">[17]CAMINVBU!#REF!</definedName>
    <definedName name="randm">[17]CAMINVBU!#REF!</definedName>
    <definedName name="RAROC_1" localSheetId="13">#REF!</definedName>
    <definedName name="RAROC_1" localSheetId="9">#REF!</definedName>
    <definedName name="RAROC_1" localSheetId="8">#REF!</definedName>
    <definedName name="RAROC_1" localSheetId="7">#REF!</definedName>
    <definedName name="RAROC_1">#REF!</definedName>
    <definedName name="RAROC_2" localSheetId="13">#REF!</definedName>
    <definedName name="RAROC_2" localSheetId="8">#REF!</definedName>
    <definedName name="RAROC_2" localSheetId="7">#REF!</definedName>
    <definedName name="RAROC_2">#REF!</definedName>
    <definedName name="RAROC_3" localSheetId="13">#REF!</definedName>
    <definedName name="RAROC_3" localSheetId="8">#REF!</definedName>
    <definedName name="RAROC_3" localSheetId="7">#REF!</definedName>
    <definedName name="RAROC_3">#REF!</definedName>
    <definedName name="RAROC_4" localSheetId="13">#REF!</definedName>
    <definedName name="RAROC_4" localSheetId="7">#REF!</definedName>
    <definedName name="RAROC_4">#REF!</definedName>
    <definedName name="RAROC_5" localSheetId="13">#REF!</definedName>
    <definedName name="RAROC_5" localSheetId="7">#REF!</definedName>
    <definedName name="RAROC_5">#REF!</definedName>
    <definedName name="RAROC_6" localSheetId="13">#REF!</definedName>
    <definedName name="RAROC_6" localSheetId="7">#REF!</definedName>
    <definedName name="RAROC_6">#REF!</definedName>
    <definedName name="RATE" localSheetId="13">#REF!</definedName>
    <definedName name="RATE" localSheetId="7">#REF!</definedName>
    <definedName name="RATE">#REF!</definedName>
    <definedName name="Rate_Adj_1" localSheetId="13">#REF!</definedName>
    <definedName name="Rate_Adj_1" localSheetId="7">#REF!</definedName>
    <definedName name="Rate_Adj_1">#REF!</definedName>
    <definedName name="Rate_Adj_2" localSheetId="13">#REF!</definedName>
    <definedName name="Rate_Adj_2" localSheetId="7">#REF!</definedName>
    <definedName name="Rate_Adj_2">#REF!</definedName>
    <definedName name="Rate_Adj_3" localSheetId="13">#REF!</definedName>
    <definedName name="Rate_Adj_3" localSheetId="7">#REF!</definedName>
    <definedName name="Rate_Adj_3">#REF!</definedName>
    <definedName name="Rate_Adj_4" localSheetId="13">#REF!</definedName>
    <definedName name="Rate_Adj_4" localSheetId="7">#REF!</definedName>
    <definedName name="Rate_Adj_4">#REF!</definedName>
    <definedName name="Rate_Adj_5" localSheetId="13">#REF!</definedName>
    <definedName name="Rate_Adj_5" localSheetId="7">#REF!</definedName>
    <definedName name="Rate_Adj_5">#REF!</definedName>
    <definedName name="Rate_Adj_6" localSheetId="13">#REF!</definedName>
    <definedName name="Rate_Adj_6" localSheetId="7">#REF!</definedName>
    <definedName name="Rate_Adj_6">#REF!</definedName>
    <definedName name="Rate_buydown_for_yield" localSheetId="13">#REF!</definedName>
    <definedName name="Rate_buydown_for_yield" localSheetId="7">#REF!</definedName>
    <definedName name="Rate_buydown_for_yield">#REF!</definedName>
    <definedName name="rate2" localSheetId="13">#REF!</definedName>
    <definedName name="rate2" localSheetId="7">#REF!</definedName>
    <definedName name="rate2">#REF!</definedName>
    <definedName name="ratea" localSheetId="13">#REF!</definedName>
    <definedName name="ratea" localSheetId="7">#REF!</definedName>
    <definedName name="ratea">#REF!</definedName>
    <definedName name="rateb" localSheetId="13">#REF!</definedName>
    <definedName name="rateb" localSheetId="7">#REF!</definedName>
    <definedName name="rateb">#REF!</definedName>
    <definedName name="ratelast" localSheetId="13">#REF!</definedName>
    <definedName name="ratelast" localSheetId="7">#REF!</definedName>
    <definedName name="ratelast">#REF!</definedName>
    <definedName name="Ratelockdate" localSheetId="13">#REF!</definedName>
    <definedName name="Ratelockdate" localSheetId="7">#REF!</definedName>
    <definedName name="Ratelockdate">#REF!</definedName>
    <definedName name="RATES">[19]MVC96!#REF!</definedName>
    <definedName name="Rating" localSheetId="13">#REF!</definedName>
    <definedName name="Rating" localSheetId="9">#REF!</definedName>
    <definedName name="Rating" localSheetId="8">#REF!</definedName>
    <definedName name="Rating" localSheetId="7">#REF!</definedName>
    <definedName name="Rating">#REF!</definedName>
    <definedName name="Recoveries" localSheetId="13">#REF!</definedName>
    <definedName name="Recoveries" localSheetId="8">#REF!</definedName>
    <definedName name="Recoveries" localSheetId="7">#REF!</definedName>
    <definedName name="Recoveries">#REF!</definedName>
    <definedName name="Recovery_Rate" localSheetId="13">#REF!</definedName>
    <definedName name="Recovery_Rate" localSheetId="8">#REF!</definedName>
    <definedName name="Recovery_Rate" localSheetId="7">#REF!</definedName>
    <definedName name="Recovery_Rate">#REF!</definedName>
    <definedName name="reference_Month" localSheetId="13">#REF!</definedName>
    <definedName name="reference_Month" localSheetId="7">#REF!</definedName>
    <definedName name="reference_Month">#REF!</definedName>
    <definedName name="RefiDS">[7]AMORT!$T$6</definedName>
    <definedName name="regulated" localSheetId="13">#REF!</definedName>
    <definedName name="regulated" localSheetId="9">#REF!</definedName>
    <definedName name="regulated" localSheetId="8">#REF!</definedName>
    <definedName name="regulated" localSheetId="7">#REF!</definedName>
    <definedName name="regulated">#REF!</definedName>
    <definedName name="Reinvest_Rate">[13]Assumptions!$G$164</definedName>
    <definedName name="Rel_Min_Hurdle" localSheetId="13">#REF!</definedName>
    <definedName name="Rel_Min_Hurdle" localSheetId="9">#REF!</definedName>
    <definedName name="Rel_Min_Hurdle" localSheetId="8">#REF!</definedName>
    <definedName name="Rel_Min_Hurdle" localSheetId="7">#REF!</definedName>
    <definedName name="Rel_Min_Hurdle">#REF!</definedName>
    <definedName name="Rel_Overhead" localSheetId="13">#REF!</definedName>
    <definedName name="Rel_Overhead" localSheetId="8">#REF!</definedName>
    <definedName name="Rel_Overhead" localSheetId="7">#REF!</definedName>
    <definedName name="Rel_Overhead">#REF!</definedName>
    <definedName name="Rel_Target_Hurdle" localSheetId="13">#REF!</definedName>
    <definedName name="Rel_Target_Hurdle" localSheetId="8">#REF!</definedName>
    <definedName name="Rel_Target_Hurdle" localSheetId="7">#REF!</definedName>
    <definedName name="Rel_Target_Hurdle">#REF!</definedName>
    <definedName name="Relationship_Grade" localSheetId="13">#REF!</definedName>
    <definedName name="Relationship_Grade" localSheetId="7">#REF!</definedName>
    <definedName name="Relationship_Grade">#REF!</definedName>
    <definedName name="RelationshipROE_1" localSheetId="13">#REF!</definedName>
    <definedName name="RelationshipROE_1" localSheetId="7">#REF!</definedName>
    <definedName name="RelationshipROE_1">#REF!</definedName>
    <definedName name="RelationshipROE_2" localSheetId="13">#REF!</definedName>
    <definedName name="RelationshipROE_2" localSheetId="7">#REF!</definedName>
    <definedName name="RelationshipROE_2">#REF!</definedName>
    <definedName name="RelationshipROE_3" localSheetId="13">#REF!</definedName>
    <definedName name="RelationshipROE_3" localSheetId="7">#REF!</definedName>
    <definedName name="RelationshipROE_3">#REF!</definedName>
    <definedName name="RelationshipROE_4" localSheetId="13">#REF!</definedName>
    <definedName name="RelationshipROE_4" localSheetId="7">#REF!</definedName>
    <definedName name="RelationshipROE_4">#REF!</definedName>
    <definedName name="RelationshipROE_5" localSheetId="13">#REF!</definedName>
    <definedName name="RelationshipROE_5" localSheetId="7">#REF!</definedName>
    <definedName name="RelationshipROE_5">#REF!</definedName>
    <definedName name="RelationshipROE_6" localSheetId="13">#REF!</definedName>
    <definedName name="RelationshipROE_6" localSheetId="7">#REF!</definedName>
    <definedName name="RelationshipROE_6">#REF!</definedName>
    <definedName name="RemarketingFees_GrossRev" localSheetId="13">#REF!</definedName>
    <definedName name="RemarketingFees_GrossRev" localSheetId="7">#REF!</definedName>
    <definedName name="RemarketingFees_GrossRev">#REF!</definedName>
    <definedName name="rent" localSheetId="13">#REF!</definedName>
    <definedName name="rent" localSheetId="7">#REF!</definedName>
    <definedName name="rent">#REF!</definedName>
    <definedName name="Rent.Roll" localSheetId="13">IF('[52]Amortization Table'!XET1048563&lt;&gt;"",DATE(YEAR('Combined - vErik'!First_payment_due),MONTH('Combined - vErik'!First_payment_due)+('[52]Amortization Table'!XET1048563-1)*12/'Combined - vErik'!Payments_per_year,DAY('Combined - vErik'!First_payment_due)),"")</definedName>
    <definedName name="Rent.Roll" localSheetId="2">IF('[52]Amortization Table'!XET1048563&lt;&gt;"",DATE(YEAR([39]!First_payment_due),MONTH([39]!First_payment_due)+('[52]Amortization Table'!XET1048563-1)*12/[39]!Payments_per_year,DAY([39]!First_payment_due)),"")</definedName>
    <definedName name="Rent.Roll" localSheetId="9">IF('[52]Amortization Table'!XET1048563&lt;&gt;"",DATE(YEAR('What Changed'!First_payment_due),MONTH('What Changed'!First_payment_due)+('[52]Amortization Table'!XET1048563-1)*12/'What Changed'!Payments_per_year,DAY('What Changed'!First_payment_due)),"")</definedName>
    <definedName name="Rent.Roll" localSheetId="3">IF('[52]Amortization Table'!XET1048563&lt;&gt;"",DATE(YEAR([39]!First_payment_due),MONTH([39]!First_payment_due)+('[52]Amortization Table'!XET1048563-1)*12/[39]!Payments_per_year,DAY([39]!First_payment_due)),"")</definedName>
    <definedName name="Rent.Roll" localSheetId="1">IF('[52]Amortization Table'!XET1048563&lt;&gt;"",DATE(YEAR([39]!First_payment_due),MONTH([39]!First_payment_due)+('[52]Amortization Table'!XET1048563-1)*12/[39]!Payments_per_year,DAY([39]!First_payment_due)),"")</definedName>
    <definedName name="Rent.Roll" localSheetId="8">IF('[52]Amortization Table'!XET1048563&lt;&gt;"",DATE(YEAR('Unit Pricing Comparison'!First_payment_due),MONTH('Unit Pricing Comparison'!First_payment_due)+('[52]Amortization Table'!XET1048563-1)*12/[39]!Payments_per_year,DAY('Unit Pricing Comparison'!First_payment_due)),"")</definedName>
    <definedName name="Rent.Roll" localSheetId="7">IF('[52]Amortization Table'!XET1048563&lt;&gt;"",DATE(YEAR([39]!First_payment_due),MONTH([39]!First_payment_due)+('[52]Amortization Table'!XET1048563-1)*12/[39]!Payments_per_year,DAY([39]!First_payment_due)),"")</definedName>
    <definedName name="Rent.Roll">IF('[52]Amortization Table'!XET1048563&lt;&gt;"",DATE(YEAR([39]!First_payment_due),MONTH([39]!First_payment_due)+('[52]Amortization Table'!XET1048563-1)*12/[39]!Payments_per_year,DAY([39]!First_payment_due)),"")</definedName>
    <definedName name="RENT_EXPENSE_ADJUSTMENT">'[3]AVI-JV-PROFORMA'!#REF!</definedName>
    <definedName name="rent2000" localSheetId="13">#REF!</definedName>
    <definedName name="rent2000" localSheetId="9">#REF!</definedName>
    <definedName name="rent2000" localSheetId="8">#REF!</definedName>
    <definedName name="rent2000" localSheetId="7">#REF!</definedName>
    <definedName name="rent2000">#REF!</definedName>
    <definedName name="rent2001" localSheetId="13">#REF!</definedName>
    <definedName name="rent2001" localSheetId="8">#REF!</definedName>
    <definedName name="rent2001" localSheetId="7">#REF!</definedName>
    <definedName name="rent2001">#REF!</definedName>
    <definedName name="rentbasedate">'[15]income stmt yr0'!$B$9</definedName>
    <definedName name="rentgrowth2">[10]Assumptions!#REF!</definedName>
    <definedName name="rentroll" localSheetId="13">IF(#REF!&lt;&gt;"",#REF!*'Combined - vErik'!Periodic_rate,"")</definedName>
    <definedName name="rentroll" localSheetId="2">IF(#REF!&lt;&gt;"",#REF!*[39]!Periodic_rate,"")</definedName>
    <definedName name="rentroll" localSheetId="9">IF(#REF!&lt;&gt;"",#REF!*'Division Comparison'!Periodic_rate,"")</definedName>
    <definedName name="rentroll" localSheetId="3">IF(#REF!&lt;&gt;"",#REF!*[39]!Periodic_rate,"")</definedName>
    <definedName name="rentroll" localSheetId="1">IF(#REF!&lt;&gt;"",#REF!*[39]!Periodic_rate,"")</definedName>
    <definedName name="rentroll" localSheetId="8">IF(#REF!&lt;&gt;"",#REF!*'Unit Pricing Comparison'!Periodic_rate,"")</definedName>
    <definedName name="rentroll" localSheetId="7">IF(#REF!&lt;&gt;"",#REF!*[39]!Periodic_rate,"")</definedName>
    <definedName name="rentroll">IF(#REF!&lt;&gt;"",#REF!*[39]!Periodic_rate,"")</definedName>
    <definedName name="REPORT" localSheetId="13">#REF!</definedName>
    <definedName name="REPORT" localSheetId="7">#REF!</definedName>
    <definedName name="REPORT">#REF!</definedName>
    <definedName name="ReportedLiquidityChg_1" localSheetId="13">#REF!</definedName>
    <definedName name="ReportedLiquidityChg_1" localSheetId="7">#REF!</definedName>
    <definedName name="ReportedLiquidityChg_1">#REF!</definedName>
    <definedName name="ReportedLiquidityChg_2" localSheetId="13">#REF!</definedName>
    <definedName name="ReportedLiquidityChg_2" localSheetId="7">#REF!</definedName>
    <definedName name="ReportedLiquidityChg_2">#REF!</definedName>
    <definedName name="ReportedLiquidityChg_3" localSheetId="13">#REF!</definedName>
    <definedName name="ReportedLiquidityChg_3" localSheetId="7">#REF!</definedName>
    <definedName name="ReportedLiquidityChg_3">#REF!</definedName>
    <definedName name="ReportedLiquidityChg_4" localSheetId="13">#REF!</definedName>
    <definedName name="ReportedLiquidityChg_4" localSheetId="7">#REF!</definedName>
    <definedName name="ReportedLiquidityChg_4">#REF!</definedName>
    <definedName name="ReportedLiquidityChg_5" localSheetId="13">#REF!</definedName>
    <definedName name="ReportedLiquidityChg_5" localSheetId="7">#REF!</definedName>
    <definedName name="ReportedLiquidityChg_5">#REF!</definedName>
    <definedName name="ReportedLiquidityChg_6" localSheetId="13">#REF!</definedName>
    <definedName name="ReportedLiquidityChg_6" localSheetId="7">#REF!</definedName>
    <definedName name="ReportedLiquidityChg_6">#REF!</definedName>
    <definedName name="ReportedLiquidityCredit_1" localSheetId="13">#REF!</definedName>
    <definedName name="ReportedLiquidityCredit_1" localSheetId="7">#REF!</definedName>
    <definedName name="ReportedLiquidityCredit_1">#REF!</definedName>
    <definedName name="ReportedLiquidityCredit_2" localSheetId="13">#REF!</definedName>
    <definedName name="ReportedLiquidityCredit_2" localSheetId="7">#REF!</definedName>
    <definedName name="ReportedLiquidityCredit_2">#REF!</definedName>
    <definedName name="ReportedLiquidityCredit_3" localSheetId="13">#REF!</definedName>
    <definedName name="ReportedLiquidityCredit_3" localSheetId="7">#REF!</definedName>
    <definedName name="ReportedLiquidityCredit_3">#REF!</definedName>
    <definedName name="ReportedLiquidityCredit_4" localSheetId="13">#REF!</definedName>
    <definedName name="ReportedLiquidityCredit_4" localSheetId="7">#REF!</definedName>
    <definedName name="ReportedLiquidityCredit_4">#REF!</definedName>
    <definedName name="ReportedLiquidityCredit_5" localSheetId="13">#REF!</definedName>
    <definedName name="ReportedLiquidityCredit_5" localSheetId="7">#REF!</definedName>
    <definedName name="ReportedLiquidityCredit_5">#REF!</definedName>
    <definedName name="ReportedLiquidityCredit_6" localSheetId="13">#REF!</definedName>
    <definedName name="ReportedLiquidityCredit_6" localSheetId="7">#REF!</definedName>
    <definedName name="ReportedLiquidityCredit_6">#REF!</definedName>
    <definedName name="Reposweep" localSheetId="13">#REF!</definedName>
    <definedName name="Reposweep" localSheetId="7">#REF!</definedName>
    <definedName name="Reposweep">#REF!</definedName>
    <definedName name="Repurchase_Agrmt" localSheetId="13">#REF!</definedName>
    <definedName name="Repurchase_Agrmt" localSheetId="7">#REF!</definedName>
    <definedName name="Repurchase_Agrmt">#REF!</definedName>
    <definedName name="Req_Usage_Rate_1" localSheetId="13">#REF!</definedName>
    <definedName name="Req_Usage_Rate_1" localSheetId="7">#REF!</definedName>
    <definedName name="Req_Usage_Rate_1">#REF!</definedName>
    <definedName name="Req_Usage_Rate_2" localSheetId="13">#REF!</definedName>
    <definedName name="Req_Usage_Rate_2" localSheetId="7">#REF!</definedName>
    <definedName name="Req_Usage_Rate_2">#REF!</definedName>
    <definedName name="Req_Usage_Rate_3" localSheetId="13">#REF!</definedName>
    <definedName name="Req_Usage_Rate_3" localSheetId="7">#REF!</definedName>
    <definedName name="Req_Usage_Rate_3">#REF!</definedName>
    <definedName name="Req_Usage_Rate_4" localSheetId="13">#REF!</definedName>
    <definedName name="Req_Usage_Rate_4" localSheetId="7">#REF!</definedName>
    <definedName name="Req_Usage_Rate_4">#REF!</definedName>
    <definedName name="Req_Usage_Rate_5" localSheetId="13">#REF!</definedName>
    <definedName name="Req_Usage_Rate_5" localSheetId="7">#REF!</definedName>
    <definedName name="Req_Usage_Rate_5">#REF!</definedName>
    <definedName name="Req_Usage_Rate_6" localSheetId="13">#REF!</definedName>
    <definedName name="Req_Usage_Rate_6" localSheetId="7">#REF!</definedName>
    <definedName name="Req_Usage_Rate_6">#REF!</definedName>
    <definedName name="reserve" localSheetId="13">#REF!</definedName>
    <definedName name="reserve" localSheetId="7">#REF!</definedName>
    <definedName name="reserve">#REF!</definedName>
    <definedName name="Residential">#N/A</definedName>
    <definedName name="ResidentialRE" localSheetId="13">#REF!</definedName>
    <definedName name="ResidentialRE" localSheetId="9">#REF!</definedName>
    <definedName name="ResidentialRE" localSheetId="8">#REF!</definedName>
    <definedName name="ResidentialRE" localSheetId="7">#REF!</definedName>
    <definedName name="ResidentialRE">#REF!</definedName>
    <definedName name="RETURN" localSheetId="13">#REF!</definedName>
    <definedName name="RETURN" localSheetId="9">#REF!</definedName>
    <definedName name="RETURN" localSheetId="8">#REF!</definedName>
    <definedName name="RETURN" localSheetId="7">#REF!</definedName>
    <definedName name="RETURN">#REF!</definedName>
    <definedName name="rev" localSheetId="13">#REF!</definedName>
    <definedName name="rev" localSheetId="9">#REF!</definedName>
    <definedName name="rev" localSheetId="8">#REF!</definedName>
    <definedName name="rev" localSheetId="7">#REF!</definedName>
    <definedName name="rev">#REF!</definedName>
    <definedName name="Reviewed_by" localSheetId="13">#REF!</definedName>
    <definedName name="Reviewed_by" localSheetId="7">#REF!</definedName>
    <definedName name="Reviewed_by">#REF!</definedName>
    <definedName name="RevInflation">[4]Assumptions!$G$73</definedName>
    <definedName name="rewqrewqrew">[29]Site!$D$189</definedName>
    <definedName name="rewqrewqrewqrewq">[29]Site!$D$252</definedName>
    <definedName name="rfgdf" localSheetId="13">(VLOOKUP('Combined - vErik'!Grade_3,'Combined - vErik'!fnjh,2))</definedName>
    <definedName name="rfgdf" localSheetId="9">(VLOOKUP(Grade_3,fnjh,2))</definedName>
    <definedName name="rfgdf" localSheetId="8">(VLOOKUP(Grade_3,'Unit Pricing Comparison'!fnjh,2))</definedName>
    <definedName name="rfgdf" localSheetId="7">(VLOOKUP('What Changed'!Grade_3,'What Changed'!fnjh,2))</definedName>
    <definedName name="rfgdf">(VLOOKUP(Grade_3,fnjh,2))</definedName>
    <definedName name="rgaaaa" localSheetId="13">#REF!</definedName>
    <definedName name="rgaaaa" localSheetId="9">#REF!</definedName>
    <definedName name="rgaaaa" localSheetId="8">#REF!</definedName>
    <definedName name="rgaaaa" localSheetId="7">#REF!</definedName>
    <definedName name="rgaaaa">#REF!</definedName>
    <definedName name="rgag" localSheetId="13">#REF!</definedName>
    <definedName name="rgag" localSheetId="8">#REF!</definedName>
    <definedName name="rgag" localSheetId="7">#REF!</definedName>
    <definedName name="rgag">#REF!</definedName>
    <definedName name="rgaga" localSheetId="13">#REF!</definedName>
    <definedName name="rgaga" localSheetId="8">#REF!</definedName>
    <definedName name="rgaga" localSheetId="7">#REF!</definedName>
    <definedName name="rgaga">#REF!</definedName>
    <definedName name="rgargaagrge" localSheetId="13">#REF!</definedName>
    <definedName name="rgargaagrge" localSheetId="7">#REF!</definedName>
    <definedName name="rgargaagrge">#REF!</definedName>
    <definedName name="rggaea" localSheetId="13">#REF!</definedName>
    <definedName name="rggaea" localSheetId="7">#REF!</definedName>
    <definedName name="rggaea">#REF!</definedName>
    <definedName name="rgggaa" localSheetId="13">#REF!</definedName>
    <definedName name="rgggaa" localSheetId="7">#REF!</definedName>
    <definedName name="rgggaa">#REF!</definedName>
    <definedName name="rgtrg" localSheetId="13">#REF!</definedName>
    <definedName name="rgtrg" localSheetId="7">#REF!</definedName>
    <definedName name="rgtrg">#REF!</definedName>
    <definedName name="RiskCalc_lookup" localSheetId="13">#REF!</definedName>
    <definedName name="RiskCalc_lookup" localSheetId="7">#REF!</definedName>
    <definedName name="RiskCalc_lookup">#REF!</definedName>
    <definedName name="RiskCalc_SCORE" localSheetId="13">#REF!</definedName>
    <definedName name="RiskCalc_SCORE" localSheetId="7">#REF!</definedName>
    <definedName name="RiskCalc_SCORE">#REF!</definedName>
    <definedName name="RJSTEICHEN" localSheetId="13">#REF!</definedName>
    <definedName name="RJSTEICHEN" localSheetId="7">#REF!</definedName>
    <definedName name="RJSTEICHEN">#REF!</definedName>
    <definedName name="RM" localSheetId="13">#REF!</definedName>
    <definedName name="RM" localSheetId="7">#REF!</definedName>
    <definedName name="RM">#REF!</definedName>
    <definedName name="ROE_STATUS" localSheetId="13">#REF!</definedName>
    <definedName name="ROE_STATUS" localSheetId="7">#REF!</definedName>
    <definedName name="ROE_STATUS">#REF!</definedName>
    <definedName name="ROITENBERG" localSheetId="13">#REF!</definedName>
    <definedName name="ROITENBERG" localSheetId="7">#REF!</definedName>
    <definedName name="ROITENBERG">#REF!</definedName>
    <definedName name="Rollover_answer" localSheetId="13">#REF!</definedName>
    <definedName name="Rollover_answer" localSheetId="7">#REF!</definedName>
    <definedName name="Rollover_answer">#REF!</definedName>
    <definedName name="romanos" localSheetId="13">#REF!</definedName>
    <definedName name="romanos" localSheetId="7">#REF!</definedName>
    <definedName name="romanos">#REF!</definedName>
    <definedName name="RoughGradingCont">[10]Assumptions!#REF!</definedName>
    <definedName name="roy" localSheetId="13">#REF!</definedName>
    <definedName name="roy" localSheetId="9">#REF!</definedName>
    <definedName name="roy" localSheetId="8">#REF!</definedName>
    <definedName name="roy" localSheetId="7">#REF!</definedName>
    <definedName name="roy">#REF!</definedName>
    <definedName name="RR" localSheetId="13">#REF!</definedName>
    <definedName name="RR" localSheetId="8">#REF!</definedName>
    <definedName name="RR" localSheetId="7">#REF!</definedName>
    <definedName name="RR">#REF!</definedName>
    <definedName name="RR_BORDER" localSheetId="13">#REF!</definedName>
    <definedName name="RR_BORDER" localSheetId="8">#REF!</definedName>
    <definedName name="RR_BORDER" localSheetId="7">#REF!</definedName>
    <definedName name="RR_BORDER">#REF!</definedName>
    <definedName name="ruby" localSheetId="13">#REF!</definedName>
    <definedName name="ruby" localSheetId="7">#REF!</definedName>
    <definedName name="ruby">#REF!</definedName>
    <definedName name="rvac" localSheetId="13">#REF!</definedName>
    <definedName name="rvac" localSheetId="7">#REF!</definedName>
    <definedName name="rvac">#REF!</definedName>
    <definedName name="RVACANCY" localSheetId="13">#REF!</definedName>
    <definedName name="RVACANCY" localSheetId="7">#REF!</definedName>
    <definedName name="RVACANCY">#REF!</definedName>
    <definedName name="Rwvu.ALL." hidden="1">'[6]SCHEDULE B+C'!$DF$1:$DG$65536,'[6]SCHEDULE B+C'!$DK$1:$DK$65536</definedName>
    <definedName name="Rwvu.CAM._.RATES." localSheetId="13" hidden="1">#REF!,#REF!,#REF!</definedName>
    <definedName name="Rwvu.CAM._.RATES." localSheetId="9" hidden="1">#REF!,#REF!,#REF!</definedName>
    <definedName name="Rwvu.CAM._.RATES." localSheetId="8" hidden="1">#REF!,#REF!,#REF!</definedName>
    <definedName name="Rwvu.CAM._.RATES." localSheetId="7" hidden="1">#REF!,#REF!,#REF!</definedName>
    <definedName name="Rwvu.CAM._.RATES." hidden="1">#REF!,#REF!,#REF!</definedName>
    <definedName name="Rwvu.CAM._.RECOVERIES." hidden="1">'[6]SCHEDULE B+C'!$B$1:$C$65536,'[6]SCHEDULE B+C'!$E$1:$BH$65536,'[6]SCHEDULE B+C'!$BX$1:$DM$65536</definedName>
    <definedName name="Rwvu.CAM._.RECOVERY." localSheetId="13" hidden="1">#REF!,#REF!,#REF!</definedName>
    <definedName name="Rwvu.CAM._.RECOVERY." localSheetId="9" hidden="1">#REF!,#REF!,#REF!</definedName>
    <definedName name="Rwvu.CAM._.RECOVERY." localSheetId="8" hidden="1">#REF!,#REF!,#REF!</definedName>
    <definedName name="Rwvu.CAM._.RECOVERY." localSheetId="7" hidden="1">#REF!,#REF!,#REF!</definedName>
    <definedName name="Rwvu.CAM._.RECOVERY." hidden="1">#REF!,#REF!,#REF!</definedName>
    <definedName name="Rwvu.CAM._.TABLE." hidden="1">'[6]SCHEDULE B+C'!$B$1:$C$65536,'[6]SCHEDULE B+C'!$E$1:$BH$65536,'[6]SCHEDULE B+C'!$BX$1:$DM$65536</definedName>
    <definedName name="Rwvu.INSURANCE._.RECOVERIES." hidden="1">'[6]SCHEDULE B+C'!$B$1:$C$65536,'[6]SCHEDULE B+C'!$E$1:$BH$65536,'[6]SCHEDULE B+C'!$BJ$1:$CK$65536,'[6]SCHEDULE B+C'!$CZ$1:$EP$65536</definedName>
    <definedName name="Rwvu.LSMEET." localSheetId="13" hidden="1">#REF!,#REF!,#REF!,#REF!</definedName>
    <definedName name="Rwvu.LSMEET." localSheetId="9" hidden="1">#REF!,#REF!,#REF!,#REF!</definedName>
    <definedName name="Rwvu.LSMEET." localSheetId="8" hidden="1">#REF!,#REF!,#REF!,#REF!</definedName>
    <definedName name="Rwvu.LSMEET." localSheetId="7" hidden="1">#REF!,#REF!,#REF!,#REF!</definedName>
    <definedName name="Rwvu.LSMEET." hidden="1">#REF!,#REF!,#REF!,#REF!</definedName>
    <definedName name="Rwvu.MARKETING._.REVENUE." localSheetId="13" hidden="1">#REF!,#REF!,#REF!</definedName>
    <definedName name="Rwvu.MARKETING._.REVENUE." localSheetId="9" hidden="1">#REF!,#REF!,#REF!</definedName>
    <definedName name="Rwvu.MARKETING._.REVENUE." localSheetId="8" hidden="1">#REF!,#REF!,#REF!</definedName>
    <definedName name="Rwvu.MARKETING._.REVENUE." localSheetId="7" hidden="1">#REF!,#REF!,#REF!</definedName>
    <definedName name="Rwvu.MARKETING._.REVENUE." hidden="1">#REF!,#REF!,#REF!</definedName>
    <definedName name="Rwvu.MINIMUM._.RENT." hidden="1">'[6]SCHEDULE B+C'!$B$1:$C$65536,'[6]SCHEDULE B+C'!$X$1:$DL$65536</definedName>
    <definedName name="Rwvu.OCCUPANCY." localSheetId="13" hidden="1">#REF!,#REF!,#REF!</definedName>
    <definedName name="Rwvu.OCCUPANCY." localSheetId="9" hidden="1">#REF!,#REF!,#REF!</definedName>
    <definedName name="Rwvu.OCCUPANCY." localSheetId="8" hidden="1">#REF!,#REF!,#REF!</definedName>
    <definedName name="Rwvu.OCCUPANCY." localSheetId="7" hidden="1">#REF!,#REF!,#REF!</definedName>
    <definedName name="Rwvu.OCCUPANCY." hidden="1">#REF!,#REF!,#REF!</definedName>
    <definedName name="Rwvu.OCCUPANCY._.ANALYSIS." hidden="1">'[6]SCHEDULE B+C'!$B$1:$C$65536,'[6]SCHEDULE B+C'!$H$1:$AV$65536,'[6]SCHEDULE B+C'!$BJ$1:$FG$65536</definedName>
    <definedName name="Rwvu.PERCENTAGE._.RENT." hidden="1">'[6]SCHEDULE B+C'!$B$1:$C$65536,'[6]SCHEDULE B+C'!$E$1:$W$65536,'[6]SCHEDULE B+C'!$AW$1:$DL$65536</definedName>
    <definedName name="Rwvu.TAX._.RATES." localSheetId="13" hidden="1">#REF!,#REF!,#REF!</definedName>
    <definedName name="Rwvu.TAX._.RATES." localSheetId="9" hidden="1">#REF!,#REF!,#REF!</definedName>
    <definedName name="Rwvu.TAX._.RATES." localSheetId="8" hidden="1">#REF!,#REF!,#REF!</definedName>
    <definedName name="Rwvu.TAX._.RATES." localSheetId="7" hidden="1">#REF!,#REF!,#REF!</definedName>
    <definedName name="Rwvu.TAX._.RATES." hidden="1">#REF!,#REF!,#REF!</definedName>
    <definedName name="Rwvu.TAX._.RECOVERIES." hidden="1">'[6]SCHEDULE B+C'!$B$1:$C$65536,'[6]SCHEDULE B+C'!$E$1:$BH$65536,'[6]SCHEDULE B+C'!$BJ$1:$BW$65536,'[6]SCHEDULE B+C'!$CL$1:$EY$65536</definedName>
    <definedName name="Rwvu.TAX._.RECOVERY." localSheetId="13" hidden="1">#REF!,#REF!,#REF!</definedName>
    <definedName name="Rwvu.TAX._.RECOVERY." localSheetId="9" hidden="1">#REF!,#REF!,#REF!</definedName>
    <definedName name="Rwvu.TAX._.RECOVERY." localSheetId="8" hidden="1">#REF!,#REF!,#REF!</definedName>
    <definedName name="Rwvu.TAX._.RECOVERY." localSheetId="7" hidden="1">#REF!,#REF!,#REF!</definedName>
    <definedName name="Rwvu.TAX._.RECOVERY." hidden="1">#REF!,#REF!,#REF!</definedName>
    <definedName name="Rwvu.WAT." localSheetId="13" hidden="1">#REF!</definedName>
    <definedName name="Rwvu.WAT." localSheetId="9" hidden="1">#REF!</definedName>
    <definedName name="Rwvu.WAT." localSheetId="8" hidden="1">#REF!</definedName>
    <definedName name="Rwvu.WAT." localSheetId="7" hidden="1">#REF!</definedName>
    <definedName name="Rwvu.WAT." hidden="1">#REF!</definedName>
    <definedName name="sale" localSheetId="13">#REF!</definedName>
    <definedName name="sale" localSheetId="9">#REF!</definedName>
    <definedName name="sale" localSheetId="8">#REF!</definedName>
    <definedName name="sale" localSheetId="7">#REF!</definedName>
    <definedName name="sale">#REF!</definedName>
    <definedName name="SALE_PER" localSheetId="13">'[3]AVI-JV-PROFORMA'!#REF!</definedName>
    <definedName name="SALE_PER" localSheetId="9">'[3]AVI-JV-PROFORMA'!#REF!</definedName>
    <definedName name="SALE_PER" localSheetId="8">'[3]AVI-JV-PROFORMA'!#REF!</definedName>
    <definedName name="SALE_PER">'[3]AVI-JV-PROFORMA'!#REF!</definedName>
    <definedName name="SaleCap">[13]Assumptions!$C$165</definedName>
    <definedName name="saledays" localSheetId="13">#REF!</definedName>
    <definedName name="saledays" localSheetId="9">#REF!</definedName>
    <definedName name="saledays" localSheetId="8">#REF!</definedName>
    <definedName name="saledays" localSheetId="7">#REF!</definedName>
    <definedName name="saledays">#REF!</definedName>
    <definedName name="SALES_PERIOD" localSheetId="13">#REF!</definedName>
    <definedName name="SALES_PERIOD" localSheetId="8">#REF!</definedName>
    <definedName name="SALES_PERIOD" localSheetId="7">#REF!</definedName>
    <definedName name="SALES_PERIOD">#REF!</definedName>
    <definedName name="SALES_TEAM" localSheetId="13">#REF!</definedName>
    <definedName name="SALES_TEAM" localSheetId="8">#REF!</definedName>
    <definedName name="SALES_TEAM" localSheetId="7">#REF!</definedName>
    <definedName name="SALES_TEAM">#REF!</definedName>
    <definedName name="SalesRevInflationPerHome">[50]Formulas!$E$349</definedName>
    <definedName name="SalesTaxPrecentage">'[35]Master2328-All Improvements'!#REF!</definedName>
    <definedName name="SaleYear">[15]Assumptions!$C$168</definedName>
    <definedName name="Sample1">[53]Template!#REF!</definedName>
    <definedName name="sas" localSheetId="13">#REF!</definedName>
    <definedName name="sas" localSheetId="9">#REF!</definedName>
    <definedName name="sas" localSheetId="8">#REF!</definedName>
    <definedName name="sas" localSheetId="7">#REF!</definedName>
    <definedName name="sas">#REF!</definedName>
    <definedName name="SAVANNAH" localSheetId="13">#REF!</definedName>
    <definedName name="SAVANNAH" localSheetId="8">#REF!</definedName>
    <definedName name="SAVANNAH" localSheetId="7">#REF!</definedName>
    <definedName name="SAVANNAH">#REF!</definedName>
    <definedName name="Savings" localSheetId="13">#REF!</definedName>
    <definedName name="Savings" localSheetId="8">#REF!</definedName>
    <definedName name="Savings" localSheetId="7">#REF!</definedName>
    <definedName name="Savings">#REF!</definedName>
    <definedName name="SBLCPricing_1" localSheetId="13">#REF!</definedName>
    <definedName name="SBLCPricing_1" localSheetId="7">#REF!</definedName>
    <definedName name="SBLCPricing_1">#REF!</definedName>
    <definedName name="SBLCPricing_2" localSheetId="13">#REF!</definedName>
    <definedName name="SBLCPricing_2" localSheetId="7">#REF!</definedName>
    <definedName name="SBLCPricing_2">#REF!</definedName>
    <definedName name="SBLCPricing_3" localSheetId="13">#REF!</definedName>
    <definedName name="SBLCPricing_3" localSheetId="7">#REF!</definedName>
    <definedName name="SBLCPricing_3">#REF!</definedName>
    <definedName name="SBLCPricing_4" localSheetId="13">#REF!</definedName>
    <definedName name="SBLCPricing_4" localSheetId="7">#REF!</definedName>
    <definedName name="SBLCPricing_4">#REF!</definedName>
    <definedName name="SBLCPricing_5" localSheetId="13">#REF!</definedName>
    <definedName name="SBLCPricing_5" localSheetId="7">#REF!</definedName>
    <definedName name="SBLCPricing_5">#REF!</definedName>
    <definedName name="SBLCPricing_6" localSheetId="13">#REF!</definedName>
    <definedName name="SBLCPricing_6" localSheetId="7">#REF!</definedName>
    <definedName name="SBLCPricing_6">#REF!</definedName>
    <definedName name="Scenario">[15]Assumptions!$F$14</definedName>
    <definedName name="ScenarioDescription">[22]Assumptions!$F$14</definedName>
    <definedName name="Scurve_dist" localSheetId="13">#REF!</definedName>
    <definedName name="Scurve_dist" localSheetId="9">#REF!</definedName>
    <definedName name="Scurve_dist" localSheetId="8">#REF!</definedName>
    <definedName name="Scurve_dist" localSheetId="7">#REF!</definedName>
    <definedName name="Scurve_dist">#REF!</definedName>
    <definedName name="SE_1" localSheetId="13">#REF!</definedName>
    <definedName name="SE_1" localSheetId="8">#REF!</definedName>
    <definedName name="SE_1" localSheetId="7">#REF!</definedName>
    <definedName name="SE_1">#REF!</definedName>
    <definedName name="SE_2" localSheetId="13">#REF!</definedName>
    <definedName name="SE_2" localSheetId="8">#REF!</definedName>
    <definedName name="SE_2" localSheetId="7">#REF!</definedName>
    <definedName name="SE_2">#REF!</definedName>
    <definedName name="SE_3" localSheetId="13">#REF!</definedName>
    <definedName name="SE_3" localSheetId="7">#REF!</definedName>
    <definedName name="SE_3">#REF!</definedName>
    <definedName name="SE_4" localSheetId="13">#REF!</definedName>
    <definedName name="SE_4" localSheetId="7">#REF!</definedName>
    <definedName name="SE_4">#REF!</definedName>
    <definedName name="SE_5" localSheetId="13">#REF!</definedName>
    <definedName name="SE_5" localSheetId="7">#REF!</definedName>
    <definedName name="SE_5">#REF!</definedName>
    <definedName name="SE_6" localSheetId="13">#REF!</definedName>
    <definedName name="SE_6" localSheetId="7">#REF!</definedName>
    <definedName name="SE_6">#REF!</definedName>
    <definedName name="SE_7" localSheetId="13">#REF!</definedName>
    <definedName name="SE_7" localSheetId="7">#REF!</definedName>
    <definedName name="SE_7">#REF!</definedName>
    <definedName name="secsal">[17]CAMINVBU!#REF!</definedName>
    <definedName name="Section_of_Act" localSheetId="13">#REF!</definedName>
    <definedName name="Section_of_Act" localSheetId="9">#REF!</definedName>
    <definedName name="Section_of_Act" localSheetId="8">#REF!</definedName>
    <definedName name="Section_of_Act" localSheetId="7">#REF!</definedName>
    <definedName name="Section_of_Act">#REF!</definedName>
    <definedName name="SecuritiesLending_Gross" localSheetId="13">#REF!</definedName>
    <definedName name="SecuritiesLending_Gross" localSheetId="8">#REF!</definedName>
    <definedName name="SecuritiesLending_Gross" localSheetId="7">#REF!</definedName>
    <definedName name="SecuritiesLending_Gross">#REF!</definedName>
    <definedName name="Select_LOB" localSheetId="13">#REF!</definedName>
    <definedName name="Select_LOB" localSheetId="8">#REF!</definedName>
    <definedName name="Select_LOB" localSheetId="7">#REF!</definedName>
    <definedName name="Select_LOB">#REF!</definedName>
    <definedName name="Semiannual_netyield" localSheetId="13">#REF!</definedName>
    <definedName name="Semiannual_netyield" localSheetId="7">#REF!</definedName>
    <definedName name="Semiannual_netyield">#REF!</definedName>
    <definedName name="sencount" hidden="1">1</definedName>
    <definedName name="Sensitivity1Print" localSheetId="13">#REF!</definedName>
    <definedName name="Sensitivity1Print" localSheetId="9">#REF!</definedName>
    <definedName name="Sensitivity1Print" localSheetId="8">#REF!</definedName>
    <definedName name="Sensitivity1Print" localSheetId="7">#REF!</definedName>
    <definedName name="Sensitivity1Print">#REF!</definedName>
    <definedName name="Sensitivity2Print" localSheetId="13">#REF!</definedName>
    <definedName name="Sensitivity2Print" localSheetId="9">#REF!</definedName>
    <definedName name="Sensitivity2Print" localSheetId="8">#REF!</definedName>
    <definedName name="Sensitivity2Print" localSheetId="7">#REF!</definedName>
    <definedName name="Sensitivity2Print">#REF!</definedName>
    <definedName name="SensitivityDataPart1Tables" localSheetId="13">#REF!</definedName>
    <definedName name="SensitivityDataPart1Tables" localSheetId="9">#REF!</definedName>
    <definedName name="SensitivityDataPart1Tables" localSheetId="8">#REF!</definedName>
    <definedName name="SensitivityDataPart1Tables" localSheetId="7">#REF!</definedName>
    <definedName name="SensitivityDataPart1Tables">#REF!</definedName>
    <definedName name="SensitivityDataPart2Tables" localSheetId="13">#REF!</definedName>
    <definedName name="SensitivityDataPart2Tables" localSheetId="7">#REF!</definedName>
    <definedName name="SensitivityDataPart2Tables">#REF!</definedName>
    <definedName name="SensitivityDataTables" localSheetId="13">#REF!</definedName>
    <definedName name="SensitivityDataTables" localSheetId="7">#REF!</definedName>
    <definedName name="SensitivityDataTables">#REF!</definedName>
    <definedName name="SensitivityPart1Tables">[4]Assumptions!#REF!</definedName>
    <definedName name="SensitivityPart2Tables">[4]Assumptions!#REF!</definedName>
    <definedName name="SensitivityTables">[4]Assumptions!#REF!</definedName>
    <definedName name="serv">#N/A</definedName>
    <definedName name="servicefee" localSheetId="13">#REF!</definedName>
    <definedName name="servicefee" localSheetId="9">#REF!</definedName>
    <definedName name="servicefee" localSheetId="8">#REF!</definedName>
    <definedName name="servicefee" localSheetId="7">#REF!</definedName>
    <definedName name="servicefee">#REF!</definedName>
    <definedName name="servicing_correspondent" localSheetId="13">#REF!</definedName>
    <definedName name="servicing_correspondent" localSheetId="9">#REF!</definedName>
    <definedName name="servicing_correspondent" localSheetId="8">#REF!</definedName>
    <definedName name="servicing_correspondent" localSheetId="7">#REF!</definedName>
    <definedName name="servicing_correspondent">#REF!</definedName>
    <definedName name="SF" localSheetId="13">#REF!</definedName>
    <definedName name="SF" localSheetId="9">#REF!</definedName>
    <definedName name="SF" localSheetId="8">#REF!</definedName>
    <definedName name="SF" localSheetId="7">#REF!</definedName>
    <definedName name="SF">#REF!</definedName>
    <definedName name="sfdgfsdg">[9]A!$A$193:$Q$241</definedName>
    <definedName name="SFRATE" localSheetId="13">#REF!</definedName>
    <definedName name="SFRATE" localSheetId="9">#REF!</definedName>
    <definedName name="SFRATE" localSheetId="8">#REF!</definedName>
    <definedName name="SFRATE" localSheetId="7">#REF!</definedName>
    <definedName name="SFRATE">#REF!</definedName>
    <definedName name="SFRATECALC" localSheetId="13">#REF!</definedName>
    <definedName name="SFRATECALC" localSheetId="8">#REF!</definedName>
    <definedName name="SFRATECALC" localSheetId="7">#REF!</definedName>
    <definedName name="SFRATECALC">#REF!</definedName>
    <definedName name="SH2003A">'[11]CFSH 2003A Consol'!$A$1</definedName>
    <definedName name="ShortTermCostInflation">[10]Assumptions!#REF!</definedName>
    <definedName name="ShortTermRevInflation">[10]Assumptions!#REF!</definedName>
    <definedName name="Show.Date" localSheetId="13">IF('[52]Amortization Table'!XET1048563&lt;&gt;"",DATE(YEAR('Combined - vErik'!First_payment_due),MONTH('Combined - vErik'!First_payment_due)+('[52]Amortization Table'!XET1048563-1)*12/'Combined - vErik'!Payments_per_year,DAY('Combined - vErik'!First_payment_due)),"")</definedName>
    <definedName name="Show.Date" localSheetId="2">IF('[52]Amortization Table'!XET1048563&lt;&gt;"",DATE(YEAR([39]!First_payment_due),MONTH([39]!First_payment_due)+('[52]Amortization Table'!XET1048563-1)*12/[39]!Payments_per_year,DAY([39]!First_payment_due)),"")</definedName>
    <definedName name="Show.Date" localSheetId="9">IF('[52]Amortization Table'!XET1048563&lt;&gt;"",DATE(YEAR('What Changed'!First_payment_due),MONTH('What Changed'!First_payment_due)+('[52]Amortization Table'!XET1048563-1)*12/'What Changed'!Payments_per_year,DAY('What Changed'!First_payment_due)),"")</definedName>
    <definedName name="Show.Date" localSheetId="3">IF('[52]Amortization Table'!XET1048563&lt;&gt;"",DATE(YEAR([39]!First_payment_due),MONTH([39]!First_payment_due)+('[52]Amortization Table'!XET1048563-1)*12/[39]!Payments_per_year,DAY([39]!First_payment_due)),"")</definedName>
    <definedName name="Show.Date" localSheetId="1">IF('[52]Amortization Table'!XET1048563&lt;&gt;"",DATE(YEAR([39]!First_payment_due),MONTH([39]!First_payment_due)+('[52]Amortization Table'!XET1048563-1)*12/[39]!Payments_per_year,DAY([39]!First_payment_due)),"")</definedName>
    <definedName name="Show.Date" localSheetId="8">IF('[52]Amortization Table'!XET1048563&lt;&gt;"",DATE(YEAR('Unit Pricing Comparison'!First_payment_due),MONTH('Unit Pricing Comparison'!First_payment_due)+('[52]Amortization Table'!XET1048563-1)*12/[39]!Payments_per_year,DAY('Unit Pricing Comparison'!First_payment_due)),"")</definedName>
    <definedName name="Show.Date" localSheetId="7">IF('[52]Amortization Table'!XET1048563&lt;&gt;"",DATE(YEAR([39]!First_payment_due),MONTH([39]!First_payment_due)+('[52]Amortization Table'!XET1048563-1)*12/[39]!Payments_per_year,DAY([39]!First_payment_due)),"")</definedName>
    <definedName name="Show.Date">IF('[52]Amortization Table'!XET1048563&lt;&gt;"",DATE(YEAR([39]!First_payment_due),MONTH([39]!First_payment_due)+('[52]Amortization Table'!XET1048563-1)*12/[39]!Payments_per_year,DAY([39]!First_payment_due)),"")</definedName>
    <definedName name="SISLEY_EXP">'[17]12_96 CAM'!#REF!</definedName>
    <definedName name="SISLEY_SQ">'[17]12_96 CAM'!#REF!</definedName>
    <definedName name="SKYCOURT" localSheetId="13">#REF!</definedName>
    <definedName name="SKYCOURT" localSheetId="9">#REF!</definedName>
    <definedName name="SKYCOURT" localSheetId="8">#REF!</definedName>
    <definedName name="SKYCOURT" localSheetId="7">#REF!</definedName>
    <definedName name="SKYCOURT">#REF!</definedName>
    <definedName name="snowrem" localSheetId="13">[17]CAMINVBU!#REF!</definedName>
    <definedName name="snowrem" localSheetId="9">[17]CAMINVBU!#REF!</definedName>
    <definedName name="snowrem" localSheetId="8">[17]CAMINVBU!#REF!</definedName>
    <definedName name="snowrem">[17]CAMINVBU!#REF!</definedName>
    <definedName name="soa221d3" localSheetId="13">#REF!</definedName>
    <definedName name="soa221d3" localSheetId="9">#REF!</definedName>
    <definedName name="soa221d3" localSheetId="8">#REF!</definedName>
    <definedName name="soa221d3" localSheetId="7">#REF!</definedName>
    <definedName name="soa221d3">#REF!</definedName>
    <definedName name="soa221d4" localSheetId="13">#REF!</definedName>
    <definedName name="soa221d4" localSheetId="8">#REF!</definedName>
    <definedName name="soa221d4" localSheetId="7">#REF!</definedName>
    <definedName name="soa221d4">#REF!</definedName>
    <definedName name="sources" localSheetId="13">#REF!</definedName>
    <definedName name="sources" localSheetId="8">#REF!</definedName>
    <definedName name="sources" localSheetId="7">#REF!</definedName>
    <definedName name="sources">#REF!</definedName>
    <definedName name="sponsor_1_net_worth" localSheetId="13">#REF!</definedName>
    <definedName name="sponsor_1_net_worth" localSheetId="7">#REF!</definedName>
    <definedName name="sponsor_1_net_worth">#REF!</definedName>
    <definedName name="sponsor_2_net_worth" localSheetId="13">#REF!</definedName>
    <definedName name="sponsor_2_net_worth" localSheetId="7">#REF!</definedName>
    <definedName name="sponsor_2_net_worth">#REF!</definedName>
    <definedName name="sponsor_name_1" localSheetId="13">#REF!</definedName>
    <definedName name="sponsor_name_1" localSheetId="7">#REF!</definedName>
    <definedName name="sponsor_name_1">#REF!</definedName>
    <definedName name="sponsor_name_2" localSheetId="13">#REF!</definedName>
    <definedName name="sponsor_name_2" localSheetId="7">#REF!</definedName>
    <definedName name="sponsor_name_2">#REF!</definedName>
    <definedName name="Spread_1" localSheetId="13">#REF!</definedName>
    <definedName name="Spread_1" localSheetId="7">#REF!</definedName>
    <definedName name="Spread_1">#REF!</definedName>
    <definedName name="Spread_2" localSheetId="13">#REF!</definedName>
    <definedName name="Spread_2" localSheetId="7">#REF!</definedName>
    <definedName name="Spread_2">#REF!</definedName>
    <definedName name="Spread_3" localSheetId="13">#REF!</definedName>
    <definedName name="Spread_3" localSheetId="7">#REF!</definedName>
    <definedName name="Spread_3">#REF!</definedName>
    <definedName name="Spread_4" localSheetId="13">#REF!</definedName>
    <definedName name="Spread_4" localSheetId="7">#REF!</definedName>
    <definedName name="Spread_4">#REF!</definedName>
    <definedName name="Spread_5" localSheetId="13">#REF!</definedName>
    <definedName name="Spread_5" localSheetId="7">#REF!</definedName>
    <definedName name="Spread_5">#REF!</definedName>
    <definedName name="Spread_6" localSheetId="13">#REF!</definedName>
    <definedName name="Spread_6" localSheetId="7">#REF!</definedName>
    <definedName name="Spread_6">#REF!</definedName>
    <definedName name="Spread_Lookup" localSheetId="13">#REF!</definedName>
    <definedName name="Spread_Lookup" localSheetId="7">#REF!</definedName>
    <definedName name="Spread_Lookup">#REF!</definedName>
    <definedName name="SQ_8.00" localSheetId="13">#REF!</definedName>
    <definedName name="SQ_8.00" localSheetId="7">#REF!</definedName>
    <definedName name="SQ_8.00">#REF!</definedName>
    <definedName name="SQ_9.00" localSheetId="13">#REF!</definedName>
    <definedName name="SQ_9.00" localSheetId="7">#REF!</definedName>
    <definedName name="SQ_9.00">#REF!</definedName>
    <definedName name="SqFt">[42]Inputs!$C$6</definedName>
    <definedName name="SqFt2">[42]Inputs!$C$12</definedName>
    <definedName name="ssm" hidden="1">[54]SSMGLA12!$B$168</definedName>
    <definedName name="Standby_1" localSheetId="13">#REF!</definedName>
    <definedName name="Standby_1" localSheetId="9">#REF!</definedName>
    <definedName name="Standby_1" localSheetId="8">#REF!</definedName>
    <definedName name="Standby_1" localSheetId="7">#REF!</definedName>
    <definedName name="Standby_1">#REF!</definedName>
    <definedName name="Standby_2" localSheetId="13">#REF!</definedName>
    <definedName name="Standby_2" localSheetId="8">#REF!</definedName>
    <definedName name="Standby_2" localSheetId="7">#REF!</definedName>
    <definedName name="Standby_2">#REF!</definedName>
    <definedName name="Standby_3" localSheetId="13">#REF!</definedName>
    <definedName name="Standby_3" localSheetId="8">#REF!</definedName>
    <definedName name="Standby_3" localSheetId="7">#REF!</definedName>
    <definedName name="Standby_3">#REF!</definedName>
    <definedName name="Standby_4" localSheetId="13">#REF!</definedName>
    <definedName name="Standby_4" localSheetId="7">#REF!</definedName>
    <definedName name="Standby_4">#REF!</definedName>
    <definedName name="Standby_5" localSheetId="13">#REF!</definedName>
    <definedName name="Standby_5" localSheetId="7">#REF!</definedName>
    <definedName name="Standby_5">#REF!</definedName>
    <definedName name="Standby_6" localSheetId="13">#REF!</definedName>
    <definedName name="Standby_6" localSheetId="7">#REF!</definedName>
    <definedName name="Standby_6">#REF!</definedName>
    <definedName name="State" localSheetId="13">#REF!</definedName>
    <definedName name="State" localSheetId="7">#REF!</definedName>
    <definedName name="State">#REF!</definedName>
    <definedName name="Status" localSheetId="13">#REF!</definedName>
    <definedName name="Status" localSheetId="7">#REF!</definedName>
    <definedName name="Status">#REF!</definedName>
    <definedName name="Status_1" localSheetId="13">#REF!</definedName>
    <definedName name="Status_1" localSheetId="7">#REF!</definedName>
    <definedName name="Status_1">#REF!</definedName>
    <definedName name="Status_2" localSheetId="13">#REF!</definedName>
    <definedName name="Status_2" localSheetId="7">#REF!</definedName>
    <definedName name="Status_2">#REF!</definedName>
    <definedName name="Status_3" localSheetId="13">#REF!</definedName>
    <definedName name="Status_3" localSheetId="7">#REF!</definedName>
    <definedName name="Status_3">#REF!</definedName>
    <definedName name="Status_4" localSheetId="13">#REF!</definedName>
    <definedName name="Status_4" localSheetId="7">#REF!</definedName>
    <definedName name="Status_4">#REF!</definedName>
    <definedName name="Status_5" localSheetId="13">#REF!</definedName>
    <definedName name="Status_5" localSheetId="7">#REF!</definedName>
    <definedName name="Status_5">#REF!</definedName>
    <definedName name="Status_6" localSheetId="13">#REF!</definedName>
    <definedName name="Status_6" localSheetId="7">#REF!</definedName>
    <definedName name="Status_6">#REF!</definedName>
    <definedName name="STEWART_TITLE">'[18]STWRT TTLE'!$A$13:$P$40</definedName>
    <definedName name="Stlinerent" localSheetId="13">#REF!</definedName>
    <definedName name="Stlinerent" localSheetId="9">#REF!</definedName>
    <definedName name="Stlinerent" localSheetId="8">#REF!</definedName>
    <definedName name="Stlinerent" localSheetId="7">#REF!</definedName>
    <definedName name="Stlinerent">#REF!</definedName>
    <definedName name="STONEMURPHY" localSheetId="13">#REF!</definedName>
    <definedName name="STONEMURPHY" localSheetId="8">#REF!</definedName>
    <definedName name="STONEMURPHY" localSheetId="7">#REF!</definedName>
    <definedName name="STONEMURPHY">#REF!</definedName>
    <definedName name="stop">#N/A</definedName>
    <definedName name="stop2" localSheetId="13" hidden="1">{#N/A,#N/A,TRUE,"Cerritos Gardens";#N/A,#N/A,TRUE,"Cerritos Gardens Plus .5%";#N/A,#N/A,TRUE,"Corte Bella";#N/A,#N/A,TRUE,"Corte Bella Plus .05%";#N/A,#N/A,TRUE,"Crystal Springs";#N/A,#N/A,TRUE,"Crystal Springs Plus .05%"}</definedName>
    <definedName name="stop2" localSheetId="9" hidden="1">{#N/A,#N/A,TRUE,"Cerritos Gardens";#N/A,#N/A,TRUE,"Cerritos Gardens Plus .5%";#N/A,#N/A,TRUE,"Corte Bella";#N/A,#N/A,TRUE,"Corte Bella Plus .05%";#N/A,#N/A,TRUE,"Crystal Springs";#N/A,#N/A,TRUE,"Crystal Springs Plus .05%"}</definedName>
    <definedName name="stop2" localSheetId="8" hidden="1">{#N/A,#N/A,TRUE,"Cerritos Gardens";#N/A,#N/A,TRUE,"Cerritos Gardens Plus .5%";#N/A,#N/A,TRUE,"Corte Bella";#N/A,#N/A,TRUE,"Corte Bella Plus .05%";#N/A,#N/A,TRUE,"Crystal Springs";#N/A,#N/A,TRUE,"Crystal Springs Plus .05%"}</definedName>
    <definedName name="stop2" localSheetId="7" hidden="1">{#N/A,#N/A,TRUE,"Cerritos Gardens";#N/A,#N/A,TRUE,"Cerritos Gardens Plus .5%";#N/A,#N/A,TRUE,"Corte Bella";#N/A,#N/A,TRUE,"Corte Bella Plus .05%";#N/A,#N/A,TRUE,"Crystal Springs";#N/A,#N/A,TRUE,"Crystal Springs Plus .05%"}</definedName>
    <definedName name="stop2" hidden="1">{#N/A,#N/A,TRUE,"Cerritos Gardens";#N/A,#N/A,TRUE,"Cerritos Gardens Plus .5%";#N/A,#N/A,TRUE,"Corte Bella";#N/A,#N/A,TRUE,"Corte Bella Plus .05%";#N/A,#N/A,TRUE,"Crystal Springs";#N/A,#N/A,TRUE,"Crystal Springs Plus .05%"}</definedName>
    <definedName name="stop3" localSheetId="13" hidden="1">{#N/A,#N/A,FALSE,"Release Price";#N/A,#N/A,FALSE,"Cash flow for 50 Unit";#N/A,#N/A,FALSE,"Cash Flow for 3 Models"}</definedName>
    <definedName name="stop3" localSheetId="9" hidden="1">{#N/A,#N/A,FALSE,"Release Price";#N/A,#N/A,FALSE,"Cash flow for 50 Unit";#N/A,#N/A,FALSE,"Cash Flow for 3 Models"}</definedName>
    <definedName name="stop3" localSheetId="8" hidden="1">{#N/A,#N/A,FALSE,"Release Price";#N/A,#N/A,FALSE,"Cash flow for 50 Unit";#N/A,#N/A,FALSE,"Cash Flow for 3 Models"}</definedName>
    <definedName name="stop3" localSheetId="7" hidden="1">{#N/A,#N/A,FALSE,"Release Price";#N/A,#N/A,FALSE,"Cash flow for 50 Unit";#N/A,#N/A,FALSE,"Cash Flow for 3 Models"}</definedName>
    <definedName name="stop3" hidden="1">{#N/A,#N/A,FALSE,"Release Price";#N/A,#N/A,FALSE,"Cash flow for 50 Unit";#N/A,#N/A,FALSE,"Cash Flow for 3 Models"}</definedName>
    <definedName name="StreetNo">[15]Assumptions!$C$7</definedName>
    <definedName name="strengths_comment" localSheetId="13">#REF!</definedName>
    <definedName name="strengths_comment" localSheetId="9">#REF!</definedName>
    <definedName name="strengths_comment" localSheetId="8">#REF!</definedName>
    <definedName name="strengths_comment" localSheetId="7">#REF!</definedName>
    <definedName name="strengths_comment">#REF!</definedName>
    <definedName name="struct_eng" localSheetId="13">#REF!</definedName>
    <definedName name="struct_eng" localSheetId="8">#REF!</definedName>
    <definedName name="struct_eng" localSheetId="7">#REF!</definedName>
    <definedName name="struct_eng">#REF!</definedName>
    <definedName name="struct_eng_b181" localSheetId="13">#REF!</definedName>
    <definedName name="struct_eng_b181" localSheetId="8">#REF!</definedName>
    <definedName name="struct_eng_b181" localSheetId="7">#REF!</definedName>
    <definedName name="struct_eng_b181">#REF!</definedName>
    <definedName name="struct_eng_b181_amend" localSheetId="13">#REF!</definedName>
    <definedName name="struct_eng_b181_amend" localSheetId="7">#REF!</definedName>
    <definedName name="struct_eng_b181_amend">#REF!</definedName>
    <definedName name="struct_eng_blank" localSheetId="13">#REF!</definedName>
    <definedName name="struct_eng_blank" localSheetId="7">#REF!</definedName>
    <definedName name="struct_eng_blank">#REF!</definedName>
    <definedName name="struct_eng_coi" localSheetId="13">#REF!</definedName>
    <definedName name="struct_eng_coi" localSheetId="7">#REF!</definedName>
    <definedName name="struct_eng_coi">#REF!</definedName>
    <definedName name="struct_eng_info" localSheetId="13">#REF!</definedName>
    <definedName name="struct_eng_info" localSheetId="7">#REF!</definedName>
    <definedName name="struct_eng_info">#REF!</definedName>
    <definedName name="struct_eng_license" localSheetId="13">#REF!</definedName>
    <definedName name="struct_eng_license" localSheetId="7">#REF!</definedName>
    <definedName name="struct_eng_license">#REF!</definedName>
    <definedName name="struct_eng_quals" localSheetId="13">#REF!</definedName>
    <definedName name="struct_eng_quals" localSheetId="7">#REF!</definedName>
    <definedName name="struct_eng_quals">#REF!</definedName>
    <definedName name="StructuredFinance" localSheetId="13">#REF!</definedName>
    <definedName name="StructuredFinance" localSheetId="7">#REF!</definedName>
    <definedName name="StructuredFinance">#REF!</definedName>
    <definedName name="SUM" localSheetId="13">#REF!</definedName>
    <definedName name="SUM" localSheetId="7">#REF!</definedName>
    <definedName name="SUM">#REF!</definedName>
    <definedName name="Summary" localSheetId="13">#REF!</definedName>
    <definedName name="Summary" localSheetId="7">#REF!</definedName>
    <definedName name="Summary">#REF!</definedName>
    <definedName name="summary1" localSheetId="13">#REF!</definedName>
    <definedName name="summary1" localSheetId="7">#REF!</definedName>
    <definedName name="summary1">#REF!</definedName>
    <definedName name="Summationvalue" localSheetId="13">#REF!</definedName>
    <definedName name="Summationvalue" localSheetId="7">#REF!</definedName>
    <definedName name="Summationvalue">#REF!</definedName>
    <definedName name="summationvalueltv" localSheetId="13">#REF!</definedName>
    <definedName name="summationvalueltv" localSheetId="7">#REF!</definedName>
    <definedName name="summationvalueltv">#REF!</definedName>
    <definedName name="SV2003A">'[11]CFSV 2003A Consol'!$A$1</definedName>
    <definedName name="Sweep" localSheetId="13">#REF!</definedName>
    <definedName name="Sweep" localSheetId="9">#REF!</definedName>
    <definedName name="Sweep" localSheetId="8">#REF!</definedName>
    <definedName name="Sweep" localSheetId="7">#REF!</definedName>
    <definedName name="Sweep">#REF!</definedName>
    <definedName name="Swvu.ALL." localSheetId="13" hidden="1">#REF!</definedName>
    <definedName name="Swvu.ALL." localSheetId="8" hidden="1">#REF!</definedName>
    <definedName name="Swvu.ALL." localSheetId="7" hidden="1">#REF!</definedName>
    <definedName name="Swvu.ALL." hidden="1">#REF!</definedName>
    <definedName name="Swvu.CAM._.RATES." localSheetId="13" hidden="1">#REF!</definedName>
    <definedName name="Swvu.CAM._.RATES." localSheetId="8" hidden="1">#REF!</definedName>
    <definedName name="Swvu.CAM._.RATES." localSheetId="7" hidden="1">#REF!</definedName>
    <definedName name="Swvu.CAM._.RATES." hidden="1">#REF!</definedName>
    <definedName name="Swvu.CAM._.RECOVERIES." hidden="1">'[6]SCHEDULE B+C'!$BV$162</definedName>
    <definedName name="Swvu.CAM._.RECOVERY." localSheetId="13" hidden="1">#REF!</definedName>
    <definedName name="Swvu.CAM._.RECOVERY." localSheetId="9" hidden="1">#REF!</definedName>
    <definedName name="Swvu.CAM._.RECOVERY." localSheetId="8" hidden="1">#REF!</definedName>
    <definedName name="Swvu.CAM._.RECOVERY." localSheetId="7" hidden="1">#REF!</definedName>
    <definedName name="Swvu.CAM._.RECOVERY." hidden="1">#REF!</definedName>
    <definedName name="Swvu.CAM._.TABLE." hidden="1">'[6]SCHEDULE B+C'!$BW$210</definedName>
    <definedName name="Swvu.INSURANCE._.RECOVERIES." hidden="1">'[6]SCHEDULE B+C'!$CY$159</definedName>
    <definedName name="Swvu.LSMEET." localSheetId="13" hidden="1">#REF!</definedName>
    <definedName name="Swvu.LSMEET." localSheetId="9" hidden="1">#REF!</definedName>
    <definedName name="Swvu.LSMEET." localSheetId="8" hidden="1">#REF!</definedName>
    <definedName name="Swvu.LSMEET." localSheetId="7" hidden="1">#REF!</definedName>
    <definedName name="Swvu.LSMEET." hidden="1">#REF!</definedName>
    <definedName name="Swvu.MARKETING._.REVENUE." localSheetId="13" hidden="1">#REF!</definedName>
    <definedName name="Swvu.MARKETING._.REVENUE." localSheetId="8" hidden="1">#REF!</definedName>
    <definedName name="Swvu.MARKETING._.REVENUE." localSheetId="7" hidden="1">#REF!</definedName>
    <definedName name="Swvu.MARKETING._.REVENUE." hidden="1">#REF!</definedName>
    <definedName name="Swvu.MINIMUM._.RENT." hidden="1">'[6]SCHEDULE B+C'!$A$1</definedName>
    <definedName name="Swvu.OCCUPANCY." localSheetId="13" hidden="1">#REF!</definedName>
    <definedName name="Swvu.OCCUPANCY." localSheetId="9" hidden="1">#REF!</definedName>
    <definedName name="Swvu.OCCUPANCY." localSheetId="8" hidden="1">#REF!</definedName>
    <definedName name="Swvu.OCCUPANCY." localSheetId="7" hidden="1">#REF!</definedName>
    <definedName name="Swvu.OCCUPANCY." hidden="1">#REF!</definedName>
    <definedName name="Swvu.OCCUPANCY._.ANALYSIS." hidden="1">'[6]SCHEDULE B+C'!$BI$168</definedName>
    <definedName name="Swvu.PERCENTAGE._.RENT." hidden="1">'[6]SCHEDULE B+C'!$G$1:$G$65536</definedName>
    <definedName name="Swvu.TAX._.RATES." localSheetId="13" hidden="1">#REF!</definedName>
    <definedName name="Swvu.TAX._.RATES." localSheetId="9" hidden="1">#REF!</definedName>
    <definedName name="Swvu.TAX._.RATES." localSheetId="8" hidden="1">#REF!</definedName>
    <definedName name="Swvu.TAX._.RATES." localSheetId="7" hidden="1">#REF!</definedName>
    <definedName name="Swvu.TAX._.RATES." hidden="1">#REF!</definedName>
    <definedName name="Swvu.TAX._.RECOVERIES." hidden="1">'[6]SCHEDULE B+C'!$CK$167</definedName>
    <definedName name="Swvu.TAX._.RECOVERY." localSheetId="13" hidden="1">#REF!</definedName>
    <definedName name="Swvu.TAX._.RECOVERY." localSheetId="9" hidden="1">#REF!</definedName>
    <definedName name="Swvu.TAX._.RECOVERY." localSheetId="8" hidden="1">#REF!</definedName>
    <definedName name="Swvu.TAX._.RECOVERY." localSheetId="7" hidden="1">#REF!</definedName>
    <definedName name="Swvu.TAX._.RECOVERY." hidden="1">#REF!</definedName>
    <definedName name="Swvu.WAT." localSheetId="13" hidden="1">#REF!</definedName>
    <definedName name="Swvu.WAT." localSheetId="8" hidden="1">#REF!</definedName>
    <definedName name="Swvu.WAT." localSheetId="7" hidden="1">#REF!</definedName>
    <definedName name="Swvu.WAT." hidden="1">#REF!</definedName>
    <definedName name="t" localSheetId="13">'Combined - vErik'!Annual_interest_rate/'Combined - vErik'!Payments_per_year</definedName>
    <definedName name="t" localSheetId="2">[39]!Annual_interest_rate/[39]!Payments_per_year</definedName>
    <definedName name="t" localSheetId="9">'What Changed'!Annual_interest_rate/'What Changed'!Payments_per_year</definedName>
    <definedName name="t" localSheetId="3">[39]!Annual_interest_rate/[39]!Payments_per_year</definedName>
    <definedName name="t" localSheetId="1">[39]!Annual_interest_rate/[39]!Payments_per_year</definedName>
    <definedName name="t" localSheetId="8">'Unit Pricing Comparison'!Annual_interest_rate/[39]!Payments_per_year</definedName>
    <definedName name="t" localSheetId="7">[39]!Annual_interest_rate/[39]!Payments_per_year</definedName>
    <definedName name="t">[39]!Annual_interest_rate/[39]!Payments_per_year</definedName>
    <definedName name="t_cf_brokerage" localSheetId="13">#REF!</definedName>
    <definedName name="t_cf_brokerage" localSheetId="9">#REF!</definedName>
    <definedName name="t_cf_brokerage" localSheetId="8">#REF!</definedName>
    <definedName name="t_cf_brokerage" localSheetId="7">#REF!</definedName>
    <definedName name="t_cf_brokerage">#REF!</definedName>
    <definedName name="t_cf_business_basic" localSheetId="13">#REF!</definedName>
    <definedName name="t_cf_business_basic" localSheetId="8">#REF!</definedName>
    <definedName name="t_cf_business_basic" localSheetId="7">#REF!</definedName>
    <definedName name="t_cf_business_basic">#REF!</definedName>
    <definedName name="t_cf_business_checking" localSheetId="13">#REF!</definedName>
    <definedName name="t_cf_business_checking" localSheetId="8">#REF!</definedName>
    <definedName name="t_cf_business_checking" localSheetId="7">#REF!</definedName>
    <definedName name="t_cf_business_checking">#REF!</definedName>
    <definedName name="t_cf_business_money_mkt_ckg" localSheetId="13">#REF!</definedName>
    <definedName name="t_cf_business_money_mkt_ckg" localSheetId="7">#REF!</definedName>
    <definedName name="t_cf_business_money_mkt_ckg">#REF!</definedName>
    <definedName name="t_cf_business_saver" localSheetId="13">#REF!</definedName>
    <definedName name="t_cf_business_saver" localSheetId="7">#REF!</definedName>
    <definedName name="t_cf_business_saver">#REF!</definedName>
    <definedName name="t_cf_business_timma" localSheetId="13">#REF!</definedName>
    <definedName name="t_cf_business_timma" localSheetId="7">#REF!</definedName>
    <definedName name="t_cf_business_timma">#REF!</definedName>
    <definedName name="t_cf_cash_management" localSheetId="13">#REF!</definedName>
    <definedName name="t_cf_cash_management" localSheetId="7">#REF!</definedName>
    <definedName name="t_cf_cash_management">#REF!</definedName>
    <definedName name="t_cf_CD_Less_100K" localSheetId="13">#REF!</definedName>
    <definedName name="t_cf_CD_Less_100K" localSheetId="7">#REF!</definedName>
    <definedName name="t_cf_CD_Less_100K">#REF!</definedName>
    <definedName name="t_cf_CD_more_100k" localSheetId="13">#REF!</definedName>
    <definedName name="t_cf_CD_more_100k" localSheetId="7">#REF!</definedName>
    <definedName name="t_cf_CD_more_100k">#REF!</definedName>
    <definedName name="t_cf_ECR_Net_Interest_Margin" localSheetId="13">#REF!</definedName>
    <definedName name="t_cf_ECR_Net_Interest_Margin" localSheetId="7">#REF!</definedName>
    <definedName name="t_cf_ECR_Net_Interest_Margin">#REF!</definedName>
    <definedName name="t_cf_eurosweeps" localSheetId="13">#REF!</definedName>
    <definedName name="t_cf_eurosweeps" localSheetId="7">#REF!</definedName>
    <definedName name="t_cf_eurosweeps">#REF!</definedName>
    <definedName name="t_cf_Excess_balances" localSheetId="13">#REF!</definedName>
    <definedName name="t_cf_Excess_balances" localSheetId="7">#REF!</definedName>
    <definedName name="t_cf_Excess_balances">#REF!</definedName>
    <definedName name="t_cf_fx" localSheetId="13">#REF!</definedName>
    <definedName name="t_cf_fx" localSheetId="7">#REF!</definedName>
    <definedName name="t_cf_fx">#REF!</definedName>
    <definedName name="t_cf_interest_bearing_checking" localSheetId="13">#REF!</definedName>
    <definedName name="t_cf_interest_bearing_checking" localSheetId="7">#REF!</definedName>
    <definedName name="t_cf_interest_bearing_checking">#REF!</definedName>
    <definedName name="t_cf_international" localSheetId="13">#REF!</definedName>
    <definedName name="t_cf_international" localSheetId="7">#REF!</definedName>
    <definedName name="t_cf_international">#REF!</definedName>
    <definedName name="t_cf_investmentsweep" localSheetId="13">#REF!</definedName>
    <definedName name="t_cf_investmentsweep" localSheetId="7">#REF!</definedName>
    <definedName name="t_cf_investmentsweep">#REF!</definedName>
    <definedName name="t_cf_Key_Capital_Partners" localSheetId="13">#REF!</definedName>
    <definedName name="t_cf_Key_Capital_Partners" localSheetId="7">#REF!</definedName>
    <definedName name="t_cf_Key_Capital_Partners">#REF!</definedName>
    <definedName name="t_cf_key_global_finance" localSheetId="13">#REF!</definedName>
    <definedName name="t_cf_key_global_finance" localSheetId="7">#REF!</definedName>
    <definedName name="t_cf_key_global_finance">#REF!</definedName>
    <definedName name="t_cf_key_insurance" localSheetId="13">#REF!</definedName>
    <definedName name="t_cf_key_insurance" localSheetId="7">#REF!</definedName>
    <definedName name="t_cf_key_insurance">#REF!</definedName>
    <definedName name="t_cf_Overdraft_Funding_Charge" localSheetId="13">#REF!</definedName>
    <definedName name="t_cf_Overdraft_Funding_Charge" localSheetId="7">#REF!</definedName>
    <definedName name="t_cf_Overdraft_Funding_Charge">#REF!</definedName>
    <definedName name="t_cf_placement_fees" localSheetId="13">#REF!</definedName>
    <definedName name="t_cf_placement_fees" localSheetId="7">#REF!</definedName>
    <definedName name="t_cf_placement_fees">#REF!</definedName>
    <definedName name="t_cf_remarketing_fees" localSheetId="13">#REF!</definedName>
    <definedName name="t_cf_remarketing_fees" localSheetId="7">#REF!</definedName>
    <definedName name="t_cf_remarketing_fees">#REF!</definedName>
    <definedName name="t_cf_reposweeps" localSheetId="13">#REF!</definedName>
    <definedName name="t_cf_reposweeps" localSheetId="7">#REF!</definedName>
    <definedName name="t_cf_reposweeps">#REF!</definedName>
    <definedName name="t_cf_savings" localSheetId="13">#REF!</definedName>
    <definedName name="t_cf_savings" localSheetId="7">#REF!</definedName>
    <definedName name="t_cf_savings">#REF!</definedName>
    <definedName name="t_cf_total_access" localSheetId="13">#REF!</definedName>
    <definedName name="t_cf_total_access" localSheetId="7">#REF!</definedName>
    <definedName name="t_cf_total_access">#REF!</definedName>
    <definedName name="t_cf_trust" localSheetId="13">#REF!</definedName>
    <definedName name="t_cf_trust" localSheetId="7">#REF!</definedName>
    <definedName name="t_cf_trust">#REF!</definedName>
    <definedName name="TABLE" localSheetId="13">#REF!</definedName>
    <definedName name="TABLE" localSheetId="7">#REF!</definedName>
    <definedName name="TABLE">#REF!</definedName>
    <definedName name="Table_1" localSheetId="13">#REF!</definedName>
    <definedName name="Table_1" localSheetId="7">#REF!</definedName>
    <definedName name="Table_1">#REF!</definedName>
    <definedName name="Table_1D" localSheetId="13">#REF!</definedName>
    <definedName name="Table_1D" localSheetId="7">#REF!</definedName>
    <definedName name="Table_1D">#REF!</definedName>
    <definedName name="Table_2" localSheetId="13">#REF!</definedName>
    <definedName name="Table_2" localSheetId="7">#REF!</definedName>
    <definedName name="Table_2">#REF!</definedName>
    <definedName name="Table_2D" localSheetId="13">#REF!</definedName>
    <definedName name="Table_2D" localSheetId="7">#REF!</definedName>
    <definedName name="Table_2D">#REF!</definedName>
    <definedName name="Table_3" localSheetId="13">#REF!</definedName>
    <definedName name="Table_3" localSheetId="7">#REF!</definedName>
    <definedName name="Table_3">#REF!</definedName>
    <definedName name="Table_3D" localSheetId="13">#REF!</definedName>
    <definedName name="Table_3D" localSheetId="7">#REF!</definedName>
    <definedName name="Table_3D">#REF!</definedName>
    <definedName name="Table_4" localSheetId="13">#REF!</definedName>
    <definedName name="Table_4" localSheetId="7">#REF!</definedName>
    <definedName name="Table_4">#REF!</definedName>
    <definedName name="Table_4D" localSheetId="13">#REF!</definedName>
    <definedName name="Table_4D" localSheetId="7">#REF!</definedName>
    <definedName name="Table_4D">#REF!</definedName>
    <definedName name="Table_5" localSheetId="13">#REF!</definedName>
    <definedName name="Table_5" localSheetId="7">#REF!</definedName>
    <definedName name="Table_5">#REF!</definedName>
    <definedName name="Table_5D" localSheetId="13">#REF!</definedName>
    <definedName name="Table_5D" localSheetId="7">#REF!</definedName>
    <definedName name="Table_5D">#REF!</definedName>
    <definedName name="Table_6" localSheetId="13">#REF!</definedName>
    <definedName name="Table_6" localSheetId="7">#REF!</definedName>
    <definedName name="Table_6">#REF!</definedName>
    <definedName name="Table_6D" localSheetId="13">#REF!</definedName>
    <definedName name="Table_6D" localSheetId="7">#REF!</definedName>
    <definedName name="Table_6D">#REF!</definedName>
    <definedName name="Table_beg_bal" localSheetId="13">#REF!</definedName>
    <definedName name="Table_beg_bal" localSheetId="7">#REF!</definedName>
    <definedName name="Table_beg_bal">#REF!</definedName>
    <definedName name="Table_prior_interest" localSheetId="13">#REF!</definedName>
    <definedName name="Table_prior_interest" localSheetId="7">#REF!</definedName>
    <definedName name="Table_prior_interest">#REF!</definedName>
    <definedName name="Table_start_date" localSheetId="13">#REF!</definedName>
    <definedName name="Table_start_date" localSheetId="7">#REF!</definedName>
    <definedName name="Table_start_date">#REF!</definedName>
    <definedName name="Table_start_pmt" localSheetId="13">#REF!</definedName>
    <definedName name="Table_start_pmt" localSheetId="7">#REF!</definedName>
    <definedName name="Table_start_pmt">#REF!</definedName>
    <definedName name="Table11M">[4]AdminMonthly!#REF!</definedName>
    <definedName name="Table14M">[4]AdminMonthly!#REF!</definedName>
    <definedName name="Table17M">[4]AdminMonthly!#REF!</definedName>
    <definedName name="Table1AM">[4]AdminMonthly!#REF!</definedName>
    <definedName name="Table1BM">[4]AdminMonthly!#REF!</definedName>
    <definedName name="Table1CM">[4]AdminMonthly!#REF!</definedName>
    <definedName name="Table1DM">[4]AdminMonthly!#REF!</definedName>
    <definedName name="Table1EM">[4]AdminMonthly!#REF!</definedName>
    <definedName name="Table20M">[4]AdminMonthly!#REF!</definedName>
    <definedName name="Table8M">[4]AdminMonthly!#REF!</definedName>
    <definedName name="takedowndelay" localSheetId="13">#REF!</definedName>
    <definedName name="takedowndelay" localSheetId="9">#REF!</definedName>
    <definedName name="takedowndelay" localSheetId="8">#REF!</definedName>
    <definedName name="takedowndelay" localSheetId="7">#REF!</definedName>
    <definedName name="takedowndelay">#REF!</definedName>
    <definedName name="tax" localSheetId="9">'[3]AVI-JV-PROFORMA'!#REF!</definedName>
    <definedName name="tax" localSheetId="8">'[3]AVI-JV-PROFORMA'!#REF!</definedName>
    <definedName name="tax">'[3]AVI-JV-PROFORMA'!#REF!</definedName>
    <definedName name="Tax_Rate" localSheetId="13">#REF!</definedName>
    <definedName name="Tax_Rate" localSheetId="9">#REF!</definedName>
    <definedName name="Tax_Rate" localSheetId="8">#REF!</definedName>
    <definedName name="Tax_Rate" localSheetId="7">#REF!</definedName>
    <definedName name="Tax_Rate">#REF!</definedName>
    <definedName name="TAXCODES" localSheetId="13">[19]PCR96!#REF!</definedName>
    <definedName name="TAXCODES" localSheetId="9">[19]PCR96!#REF!</definedName>
    <definedName name="TAXCODES" localSheetId="8">[19]PCR96!#REF!</definedName>
    <definedName name="TAXCODES">[19]PCR96!#REF!</definedName>
    <definedName name="Taxes" localSheetId="13">#REF!</definedName>
    <definedName name="Taxes" localSheetId="9">#REF!</definedName>
    <definedName name="Taxes" localSheetId="8">#REF!</definedName>
    <definedName name="Taxes" localSheetId="7">#REF!</definedName>
    <definedName name="Taxes">#REF!</definedName>
    <definedName name="Taxes_CASHBASIS" localSheetId="13">#REF!</definedName>
    <definedName name="Taxes_CASHBASIS" localSheetId="8">#REF!</definedName>
    <definedName name="Taxes_CASHBASIS" localSheetId="7">#REF!</definedName>
    <definedName name="Taxes_CASHBASIS">#REF!</definedName>
    <definedName name="Taxes_FASB" localSheetId="13">#REF!</definedName>
    <definedName name="Taxes_FASB" localSheetId="8">#REF!</definedName>
    <definedName name="Taxes_FASB" localSheetId="7">#REF!</definedName>
    <definedName name="Taxes_FASB">#REF!</definedName>
    <definedName name="taxes2" localSheetId="13">#REF!</definedName>
    <definedName name="taxes2" localSheetId="7">#REF!</definedName>
    <definedName name="taxes2">#REF!</definedName>
    <definedName name="TAXRATES">[19]MVC96!#REF!</definedName>
    <definedName name="TAXTABLE" localSheetId="13">#REF!</definedName>
    <definedName name="TAXTABLE" localSheetId="9">#REF!</definedName>
    <definedName name="TAXTABLE" localSheetId="8">#REF!</definedName>
    <definedName name="TAXTABLE" localSheetId="7">#REF!</definedName>
    <definedName name="TAXTABLE">#REF!</definedName>
    <definedName name="Team_Leader_Approval" localSheetId="13">#REF!</definedName>
    <definedName name="Team_Leader_Approval" localSheetId="8">#REF!</definedName>
    <definedName name="Team_Leader_Approval" localSheetId="7">#REF!</definedName>
    <definedName name="Team_Leader_Approval">#REF!</definedName>
    <definedName name="temp" localSheetId="13">#REF!</definedName>
    <definedName name="temp" localSheetId="8">#REF!</definedName>
    <definedName name="temp" localSheetId="7">#REF!</definedName>
    <definedName name="temp">#REF!</definedName>
    <definedName name="TemplatePrintArea" localSheetId="13">#REF!</definedName>
    <definedName name="TemplatePrintArea" localSheetId="7">#REF!</definedName>
    <definedName name="TemplatePrintArea">#REF!</definedName>
    <definedName name="TempTable12">[4]Formulas!#REF!</definedName>
    <definedName name="TENANT" localSheetId="13">#REF!</definedName>
    <definedName name="TENANT" localSheetId="9">#REF!</definedName>
    <definedName name="TENANT" localSheetId="8">#REF!</definedName>
    <definedName name="TENANT" localSheetId="7">#REF!</definedName>
    <definedName name="TENANT">#REF!</definedName>
    <definedName name="TENSUM" localSheetId="13">#REF!</definedName>
    <definedName name="TENSUM" localSheetId="8">#REF!</definedName>
    <definedName name="TENSUM" localSheetId="7">#REF!</definedName>
    <definedName name="TENSUM">#REF!</definedName>
    <definedName name="Term">[12]Proforma!$C$45</definedName>
    <definedName name="Term_1" localSheetId="13">#REF!</definedName>
    <definedName name="Term_1" localSheetId="9">#REF!</definedName>
    <definedName name="Term_1" localSheetId="8">#REF!</definedName>
    <definedName name="Term_1" localSheetId="7">#REF!</definedName>
    <definedName name="Term_1">#REF!</definedName>
    <definedName name="Term_2" localSheetId="13">#REF!</definedName>
    <definedName name="Term_2" localSheetId="8">#REF!</definedName>
    <definedName name="Term_2" localSheetId="7">#REF!</definedName>
    <definedName name="Term_2">#REF!</definedName>
    <definedName name="Term_3" localSheetId="13">#REF!</definedName>
    <definedName name="Term_3" localSheetId="8">#REF!</definedName>
    <definedName name="Term_3" localSheetId="7">#REF!</definedName>
    <definedName name="Term_3">#REF!</definedName>
    <definedName name="Term_4" localSheetId="13">#REF!</definedName>
    <definedName name="Term_4" localSheetId="7">#REF!</definedName>
    <definedName name="Term_4">#REF!</definedName>
    <definedName name="Term_5" localSheetId="13">#REF!</definedName>
    <definedName name="Term_5" localSheetId="7">#REF!</definedName>
    <definedName name="Term_5">#REF!</definedName>
    <definedName name="Term_6" localSheetId="13">#REF!</definedName>
    <definedName name="Term_6" localSheetId="7">#REF!</definedName>
    <definedName name="Term_6">#REF!</definedName>
    <definedName name="Term_in_Month1" localSheetId="13">#REF!</definedName>
    <definedName name="Term_in_Month1" localSheetId="7">#REF!</definedName>
    <definedName name="Term_in_Month1">#REF!</definedName>
    <definedName name="Term_in_Month2" localSheetId="13">#REF!</definedName>
    <definedName name="Term_in_Month2" localSheetId="7">#REF!</definedName>
    <definedName name="Term_in_Month2">#REF!</definedName>
    <definedName name="Term_in_Month3" localSheetId="13">#REF!</definedName>
    <definedName name="Term_in_Month3" localSheetId="7">#REF!</definedName>
    <definedName name="Term_in_Month3">#REF!</definedName>
    <definedName name="Term_in_Month4" localSheetId="13">#REF!</definedName>
    <definedName name="Term_in_Month4" localSheetId="7">#REF!</definedName>
    <definedName name="Term_in_Month4">#REF!</definedName>
    <definedName name="Term_in_Month5" localSheetId="13">#REF!</definedName>
    <definedName name="Term_in_Month5" localSheetId="7">#REF!</definedName>
    <definedName name="Term_in_Month5">#REF!</definedName>
    <definedName name="Term_in_Month6" localSheetId="13">#REF!</definedName>
    <definedName name="Term_in_Month6" localSheetId="7">#REF!</definedName>
    <definedName name="Term_in_Month6">#REF!</definedName>
    <definedName name="Term_in_years" localSheetId="13">#REF!</definedName>
    <definedName name="Term_in_years" localSheetId="7">#REF!</definedName>
    <definedName name="Term_in_years">#REF!</definedName>
    <definedName name="Term_Lease_1" localSheetId="13">#REF!</definedName>
    <definedName name="Term_Lease_1" localSheetId="7">#REF!</definedName>
    <definedName name="Term_Lease_1">#REF!</definedName>
    <definedName name="Term_Lease_2" localSheetId="13">#REF!</definedName>
    <definedName name="Term_Lease_2" localSheetId="7">#REF!</definedName>
    <definedName name="Term_Lease_2">#REF!</definedName>
    <definedName name="Term_Lease_3" localSheetId="13">#REF!</definedName>
    <definedName name="Term_Lease_3" localSheetId="7">#REF!</definedName>
    <definedName name="Term_Lease_3">#REF!</definedName>
    <definedName name="Term_Lease_4" localSheetId="13">#REF!</definedName>
    <definedName name="Term_Lease_4" localSheetId="7">#REF!</definedName>
    <definedName name="Term_Lease_4">#REF!</definedName>
    <definedName name="Term_Lease_5" localSheetId="13">#REF!</definedName>
    <definedName name="Term_Lease_5" localSheetId="7">#REF!</definedName>
    <definedName name="Term_Lease_5">#REF!</definedName>
    <definedName name="Term_Lease_6" localSheetId="13">#REF!</definedName>
    <definedName name="Term_Lease_6" localSheetId="7">#REF!</definedName>
    <definedName name="Term_Lease_6">#REF!</definedName>
    <definedName name="terma" localSheetId="13">#REF!</definedName>
    <definedName name="terma" localSheetId="7">#REF!</definedName>
    <definedName name="terma">#REF!</definedName>
    <definedName name="th" localSheetId="13">#REF!</definedName>
    <definedName name="th" localSheetId="7">#REF!</definedName>
    <definedName name="th">#REF!</definedName>
    <definedName name="THREE" localSheetId="13">#REF!</definedName>
    <definedName name="THREE" localSheetId="7">#REF!</definedName>
    <definedName name="THREE">#REF!</definedName>
    <definedName name="THREELEGEND" localSheetId="13">#REF!</definedName>
    <definedName name="THREELEGEND" localSheetId="7">#REF!</definedName>
    <definedName name="THREELEGEND">#REF!</definedName>
    <definedName name="TI">'[3]AVI-JV-PROFORMA'!#REF!</definedName>
    <definedName name="tic" localSheetId="13">#REF!</definedName>
    <definedName name="tic" localSheetId="9">#REF!</definedName>
    <definedName name="tic" localSheetId="8">#REF!</definedName>
    <definedName name="tic" localSheetId="7">#REF!</definedName>
    <definedName name="tic">#REF!</definedName>
    <definedName name="tica" localSheetId="13">#REF!</definedName>
    <definedName name="tica" localSheetId="8">#REF!</definedName>
    <definedName name="tica" localSheetId="7">#REF!</definedName>
    <definedName name="tica">#REF!</definedName>
    <definedName name="TIN_NUMBER" localSheetId="13">#REF!</definedName>
    <definedName name="TIN_NUMBER" localSheetId="8">#REF!</definedName>
    <definedName name="TIN_NUMBER" localSheetId="7">#REF!</definedName>
    <definedName name="TIN_NUMBER">#REF!</definedName>
    <definedName name="titles" localSheetId="13">#REF!</definedName>
    <definedName name="titles" localSheetId="7">#REF!</definedName>
    <definedName name="titles">#REF!</definedName>
    <definedName name="TitleTransferDate">[13]Assumptions!$C$19</definedName>
    <definedName name="toc" localSheetId="13">#REF!</definedName>
    <definedName name="toc" localSheetId="9">#REF!</definedName>
    <definedName name="toc" localSheetId="8">#REF!</definedName>
    <definedName name="toc" localSheetId="7">#REF!</definedName>
    <definedName name="toc">#REF!</definedName>
    <definedName name="TopBalanceQtr" localSheetId="13">#REF!</definedName>
    <definedName name="TopBalanceQtr" localSheetId="8">#REF!</definedName>
    <definedName name="TopBalanceQtr" localSheetId="7">#REF!</definedName>
    <definedName name="TopBalanceQtr">#REF!</definedName>
    <definedName name="TopBalanceYr" localSheetId="13">#REF!</definedName>
    <definedName name="TopBalanceYr" localSheetId="8">#REF!</definedName>
    <definedName name="TopBalanceYr" localSheetId="7">#REF!</definedName>
    <definedName name="TopBalanceYr">#REF!</definedName>
    <definedName name="TopCashFlow" localSheetId="13">#REF!</definedName>
    <definedName name="TopCashFlow" localSheetId="7">#REF!</definedName>
    <definedName name="TopCashFlow">#REF!</definedName>
    <definedName name="TopCashFlowQtr" localSheetId="13">#REF!</definedName>
    <definedName name="TopCashFlowQtr" localSheetId="7">#REF!</definedName>
    <definedName name="TopCashFlowQtr">#REF!</definedName>
    <definedName name="TopCashFlowYr" localSheetId="13">#REF!</definedName>
    <definedName name="TopCashFlowYr" localSheetId="7">#REF!</definedName>
    <definedName name="TopCashFlowYr">#REF!</definedName>
    <definedName name="TopPandL" localSheetId="13">#REF!</definedName>
    <definedName name="TopPandL" localSheetId="7">#REF!</definedName>
    <definedName name="TopPandL">#REF!</definedName>
    <definedName name="TopPandLQtr" localSheetId="13">#REF!</definedName>
    <definedName name="TopPandLQtr" localSheetId="7">#REF!</definedName>
    <definedName name="TopPandLQtr">#REF!</definedName>
    <definedName name="TopPandLYr" localSheetId="13">#REF!</definedName>
    <definedName name="TopPandLYr" localSheetId="7">#REF!</definedName>
    <definedName name="TopPandLYr">#REF!</definedName>
    <definedName name="TOTAL">'[3]AVI-JV-PROFORMA'!#REF!</definedName>
    <definedName name="total_annualized_rent">'[14]Rent Roll Analysis'!$O$33</definedName>
    <definedName name="total_buydownfee" localSheetId="13">#REF!</definedName>
    <definedName name="total_buydownfee" localSheetId="9">#REF!</definedName>
    <definedName name="total_buydownfee" localSheetId="8">#REF!</definedName>
    <definedName name="total_buydownfee" localSheetId="7">#REF!</definedName>
    <definedName name="total_buydownfee">#REF!</definedName>
    <definedName name="Total_Deposits" localSheetId="13">#REF!</definedName>
    <definedName name="Total_Deposits" localSheetId="8">#REF!</definedName>
    <definedName name="Total_Deposits" localSheetId="7">#REF!</definedName>
    <definedName name="Total_Deposits">#REF!</definedName>
    <definedName name="Total_Equity_Cash" localSheetId="13">#REF!</definedName>
    <definedName name="Total_Equity_Cash" localSheetId="8">#REF!</definedName>
    <definedName name="Total_Equity_Cash" localSheetId="7">#REF!</definedName>
    <definedName name="Total_Equity_Cash">#REF!</definedName>
    <definedName name="Total_Equity_Deriv_Cash" localSheetId="13">#REF!</definedName>
    <definedName name="Total_Equity_Deriv_Cash" localSheetId="7">#REF!</definedName>
    <definedName name="Total_Equity_Deriv_Cash">#REF!</definedName>
    <definedName name="Total_Equity_Deriv_FASB" localSheetId="13">#REF!</definedName>
    <definedName name="Total_Equity_Deriv_FASB" localSheetId="7">#REF!</definedName>
    <definedName name="Total_Equity_Deriv_FASB">#REF!</definedName>
    <definedName name="Total_Equity_FASB" localSheetId="13">#REF!</definedName>
    <definedName name="Total_Equity_FASB" localSheetId="7">#REF!</definedName>
    <definedName name="Total_Equity_FASB">#REF!</definedName>
    <definedName name="Total_Facilities" localSheetId="13">#REF!</definedName>
    <definedName name="Total_Facilities" localSheetId="7">#REF!</definedName>
    <definedName name="Total_Facilities">#REF!</definedName>
    <definedName name="total_inbeddedfee" localSheetId="13">#REF!</definedName>
    <definedName name="total_inbeddedfee" localSheetId="7">#REF!</definedName>
    <definedName name="total_inbeddedfee">#REF!</definedName>
    <definedName name="Total_IPLICOallocation" localSheetId="13">#REF!</definedName>
    <definedName name="Total_IPLICOallocation" localSheetId="7">#REF!</definedName>
    <definedName name="Total_IPLICOallocation">#REF!</definedName>
    <definedName name="Total_JHLICOallocation" localSheetId="13">#REF!</definedName>
    <definedName name="Total_JHLICOallocation" localSheetId="7">#REF!</definedName>
    <definedName name="Total_JHLICOallocation">#REF!</definedName>
    <definedName name="Total_JHREallocation" localSheetId="13">#REF!</definedName>
    <definedName name="Total_JHREallocation" localSheetId="7">#REF!</definedName>
    <definedName name="Total_JHREallocation">#REF!</definedName>
    <definedName name="Total_JHVTallocation" localSheetId="13">#REF!</definedName>
    <definedName name="Total_JHVTallocation" localSheetId="7">#REF!</definedName>
    <definedName name="Total_JHVTallocation">#REF!</definedName>
    <definedName name="TOTAL_LOAN" localSheetId="13">#REF!</definedName>
    <definedName name="TOTAL_LOAN" localSheetId="7">#REF!</definedName>
    <definedName name="TOTAL_LOAN">#REF!</definedName>
    <definedName name="total_number_units">[37]Underwriting!$C$6</definedName>
    <definedName name="Total_Other_Revenue_Gross" localSheetId="13">#REF!</definedName>
    <definedName name="Total_Other_Revenue_Gross" localSheetId="9">#REF!</definedName>
    <definedName name="Total_Other_Revenue_Gross" localSheetId="8">#REF!</definedName>
    <definedName name="Total_Other_Revenue_Gross" localSheetId="7">#REF!</definedName>
    <definedName name="Total_Other_Revenue_Gross">#REF!</definedName>
    <definedName name="TOTAL_OUTSTANDINGS" localSheetId="13">#REF!</definedName>
    <definedName name="TOTAL_OUTSTANDINGS" localSheetId="8">#REF!</definedName>
    <definedName name="TOTAL_OUTSTANDINGS" localSheetId="7">#REF!</definedName>
    <definedName name="TOTAL_OUTSTANDINGS">#REF!</definedName>
    <definedName name="Total_payments" localSheetId="13">'Combined - vErik'!Payments_per_year*'Combined - vErik'!Term_in_years</definedName>
    <definedName name="Total_payments" localSheetId="2">[39]!Payments_per_year*[39]!Term_in_years</definedName>
    <definedName name="Total_payments" localSheetId="9">'What Changed'!Payments_per_year*'What Changed'!Term_in_years</definedName>
    <definedName name="Total_payments" localSheetId="3">[39]!Payments_per_year*[39]!Term_in_years</definedName>
    <definedName name="Total_payments" localSheetId="1">[39]!Payments_per_year*[39]!Term_in_years</definedName>
    <definedName name="Total_payments" localSheetId="8">[39]!Payments_per_year*[39]!Term_in_years</definedName>
    <definedName name="Total_payments" localSheetId="7">[39]!Payments_per_year*[39]!Term_in_years</definedName>
    <definedName name="Total_payments">[39]!Payments_per_year*[39]!Term_in_years</definedName>
    <definedName name="Total_Reimbursement_Income" localSheetId="13">#REF!</definedName>
    <definedName name="Total_Reimbursement_Income" localSheetId="9">#REF!</definedName>
    <definedName name="Total_Reimbursement_Income" localSheetId="8">#REF!</definedName>
    <definedName name="Total_Reimbursement_Income" localSheetId="7">#REF!</definedName>
    <definedName name="Total_Reimbursement_Income">#REF!</definedName>
    <definedName name="Total_Rental_Revenue" localSheetId="13">#REF!</definedName>
    <definedName name="Total_Rental_Revenue" localSheetId="8">#REF!</definedName>
    <definedName name="Total_Rental_Revenue" localSheetId="7">#REF!</definedName>
    <definedName name="Total_Rental_Revenue">#REF!</definedName>
    <definedName name="Total_Revenue" localSheetId="13">#REF!</definedName>
    <definedName name="Total_Revenue" localSheetId="8">#REF!</definedName>
    <definedName name="Total_Revenue" localSheetId="7">#REF!</definedName>
    <definedName name="Total_Revenue">#REF!</definedName>
    <definedName name="total_site_improvement_costs" localSheetId="13">#REF!</definedName>
    <definedName name="total_site_improvement_costs" localSheetId="7">#REF!</definedName>
    <definedName name="total_site_improvement_costs">#REF!</definedName>
    <definedName name="Total_VLIallocation" localSheetId="13">#REF!</definedName>
    <definedName name="Total_VLIallocation" localSheetId="7">#REF!</definedName>
    <definedName name="Total_VLIallocation">#REF!</definedName>
    <definedName name="TotalAccess" localSheetId="13">#REF!</definedName>
    <definedName name="TotalAccess" localSheetId="7">#REF!</definedName>
    <definedName name="TotalAccess">#REF!</definedName>
    <definedName name="totalbuildingcosts" localSheetId="13">#REF!</definedName>
    <definedName name="totalbuildingcosts" localSheetId="7">#REF!</definedName>
    <definedName name="totalbuildingcosts">#REF!</definedName>
    <definedName name="totalcommitmentfee" localSheetId="13">#REF!</definedName>
    <definedName name="totalcommitmentfee" localSheetId="7">#REF!</definedName>
    <definedName name="totalcommitmentfee">#REF!</definedName>
    <definedName name="TotalCredit_OverUnderTarget" localSheetId="13">#REF!</definedName>
    <definedName name="TotalCredit_OverUnderTarget" localSheetId="7">#REF!</definedName>
    <definedName name="TotalCredit_OverUnderTarget">#REF!</definedName>
    <definedName name="TotalCredit_ROA" localSheetId="13">#REF!</definedName>
    <definedName name="TotalCredit_ROA" localSheetId="7">#REF!</definedName>
    <definedName name="TotalCredit_ROA">#REF!</definedName>
    <definedName name="TotalCredit_ROE" localSheetId="13">#REF!</definedName>
    <definedName name="TotalCredit_ROE" localSheetId="7">#REF!</definedName>
    <definedName name="TotalCredit_ROE">#REF!</definedName>
    <definedName name="totaldebtserv" localSheetId="13">#REF!</definedName>
    <definedName name="totaldebtserv" localSheetId="7">#REF!</definedName>
    <definedName name="totaldebtserv">#REF!</definedName>
    <definedName name="TotalDep_CRISP" localSheetId="13">#REF!</definedName>
    <definedName name="TotalDep_CRISP" localSheetId="7">#REF!</definedName>
    <definedName name="TotalDep_CRISP">#REF!</definedName>
    <definedName name="TOTALGLA" localSheetId="13">#REF!</definedName>
    <definedName name="TOTALGLA" localSheetId="7">#REF!</definedName>
    <definedName name="TOTALGLA">#REF!</definedName>
    <definedName name="totallandcosts" localSheetId="13">#REF!</definedName>
    <definedName name="totallandcosts" localSheetId="7">#REF!</definedName>
    <definedName name="totallandcosts">#REF!</definedName>
    <definedName name="TotalLandPurchPrice">[55]Assumptions!$F$215</definedName>
    <definedName name="TotalRel_OverUnderTarget" localSheetId="13">#REF!</definedName>
    <definedName name="TotalRel_OverUnderTarget" localSheetId="9">#REF!</definedName>
    <definedName name="TotalRel_OverUnderTarget" localSheetId="8">#REF!</definedName>
    <definedName name="TotalRel_OverUnderTarget" localSheetId="7">#REF!</definedName>
    <definedName name="TotalRel_OverUnderTarget">#REF!</definedName>
    <definedName name="TotalRelationship_ROA" localSheetId="13">#REF!</definedName>
    <definedName name="TotalRelationship_ROA" localSheetId="8">#REF!</definedName>
    <definedName name="TotalRelationship_ROA" localSheetId="7">#REF!</definedName>
    <definedName name="TotalRelationship_ROA">#REF!</definedName>
    <definedName name="TotalRelationship_ROE" localSheetId="13">#REF!</definedName>
    <definedName name="TotalRelationship_ROE" localSheetId="8">#REF!</definedName>
    <definedName name="TotalRelationship_ROE" localSheetId="7">#REF!</definedName>
    <definedName name="TotalRelationship_ROE">#REF!</definedName>
    <definedName name="TotalRent" localSheetId="13">#REF!</definedName>
    <definedName name="TotalRent" localSheetId="7">#REF!</definedName>
    <definedName name="TotalRent">#REF!</definedName>
    <definedName name="TotalSpread_1" localSheetId="13">#REF!</definedName>
    <definedName name="TotalSpread_1" localSheetId="7">#REF!</definedName>
    <definedName name="TotalSpread_1">#REF!</definedName>
    <definedName name="TotalSpread_2" localSheetId="13">#REF!</definedName>
    <definedName name="TotalSpread_2" localSheetId="7">#REF!</definedName>
    <definedName name="TotalSpread_2">#REF!</definedName>
    <definedName name="TotalSpread_3" localSheetId="13">#REF!</definedName>
    <definedName name="TotalSpread_3" localSheetId="7">#REF!</definedName>
    <definedName name="TotalSpread_3">#REF!</definedName>
    <definedName name="TotalSpread_4" localSheetId="13">#REF!</definedName>
    <definedName name="TotalSpread_4" localSheetId="7">#REF!</definedName>
    <definedName name="TotalSpread_4">#REF!</definedName>
    <definedName name="TotalSpread_5" localSheetId="13">#REF!</definedName>
    <definedName name="TotalSpread_5" localSheetId="7">#REF!</definedName>
    <definedName name="TotalSpread_5">#REF!</definedName>
    <definedName name="TotalSpread_6" localSheetId="13">#REF!</definedName>
    <definedName name="TotalSpread_6" localSheetId="7">#REF!</definedName>
    <definedName name="TotalSpread_6">#REF!</definedName>
    <definedName name="TotDep_Rev" localSheetId="13">#REF!</definedName>
    <definedName name="TotDep_Rev" localSheetId="7">#REF!</definedName>
    <definedName name="TotDep_Rev">#REF!</definedName>
    <definedName name="TotRent" localSheetId="13">#REF!</definedName>
    <definedName name="TotRent" localSheetId="7">#REF!</definedName>
    <definedName name="TotRent">#REF!</definedName>
    <definedName name="Transaction_Penalty_1" localSheetId="13">#REF!</definedName>
    <definedName name="Transaction_Penalty_1" localSheetId="7">#REF!</definedName>
    <definedName name="Transaction_Penalty_1">#REF!</definedName>
    <definedName name="Transaction_Penalty_2" localSheetId="13">#REF!</definedName>
    <definedName name="Transaction_Penalty_2" localSheetId="7">#REF!</definedName>
    <definedName name="Transaction_Penalty_2">#REF!</definedName>
    <definedName name="Transaction_Penalty_3" localSheetId="13">#REF!</definedName>
    <definedName name="Transaction_Penalty_3" localSheetId="7">#REF!</definedName>
    <definedName name="Transaction_Penalty_3">#REF!</definedName>
    <definedName name="Transaction_Penalty_4" localSheetId="13">#REF!</definedName>
    <definedName name="Transaction_Penalty_4" localSheetId="7">#REF!</definedName>
    <definedName name="Transaction_Penalty_4">#REF!</definedName>
    <definedName name="Transaction_Penalty_5" localSheetId="13">#REF!</definedName>
    <definedName name="Transaction_Penalty_5" localSheetId="7">#REF!</definedName>
    <definedName name="Transaction_Penalty_5">#REF!</definedName>
    <definedName name="Transaction_Penalty_6" localSheetId="13">#REF!</definedName>
    <definedName name="Transaction_Penalty_6" localSheetId="7">#REF!</definedName>
    <definedName name="Transaction_Penalty_6">#REF!</definedName>
    <definedName name="TRANSAMERICA">[18]TRNSMRCA!$A$13:$P$44</definedName>
    <definedName name="trdep" localSheetId="13">#REF!</definedName>
    <definedName name="trdep" localSheetId="9">#REF!</definedName>
    <definedName name="trdep" localSheetId="8">#REF!</definedName>
    <definedName name="trdep" localSheetId="7">#REF!</definedName>
    <definedName name="trdep">#REF!</definedName>
    <definedName name="TREASH" localSheetId="13">#REF!</definedName>
    <definedName name="TREASH" localSheetId="8">#REF!</definedName>
    <definedName name="TREASH" localSheetId="7">#REF!</definedName>
    <definedName name="TREASH">#REF!</definedName>
    <definedName name="TREASL" localSheetId="13">#REF!</definedName>
    <definedName name="TREASL" localSheetId="8">#REF!</definedName>
    <definedName name="TREASL" localSheetId="7">#REF!</definedName>
    <definedName name="TREASL">#REF!</definedName>
    <definedName name="TRESMANN" localSheetId="13">#REF!</definedName>
    <definedName name="TRESMANN" localSheetId="7">#REF!</definedName>
    <definedName name="TRESMANN">#REF!</definedName>
    <definedName name="trrate" localSheetId="13">#REF!</definedName>
    <definedName name="trrate" localSheetId="7">#REF!</definedName>
    <definedName name="trrate">#REF!</definedName>
    <definedName name="Trust_GrossRev" localSheetId="13">#REF!</definedName>
    <definedName name="Trust_GrossRev" localSheetId="7">#REF!</definedName>
    <definedName name="Trust_GrossRev">#REF!</definedName>
    <definedName name="trustee" localSheetId="13">#REF!</definedName>
    <definedName name="trustee" localSheetId="7">#REF!</definedName>
    <definedName name="trustee">#REF!</definedName>
    <definedName name="TSP" localSheetId="13">#REF!</definedName>
    <definedName name="TSP" localSheetId="7">#REF!</definedName>
    <definedName name="TSP">#REF!</definedName>
    <definedName name="ttt" localSheetId="13">(VLOOKUP('Combined - vErik'!Grade_6,'Combined - vErik'!fnjh,2))</definedName>
    <definedName name="ttt" localSheetId="9">(VLOOKUP(Grade_6,fnjh,2))</definedName>
    <definedName name="ttt" localSheetId="8">(VLOOKUP(Grade_6,'Unit Pricing Comparison'!fnjh,2))</definedName>
    <definedName name="ttt" localSheetId="7">(VLOOKUP('What Changed'!Grade_6,'What Changed'!fnjh,2))</definedName>
    <definedName name="ttt">(VLOOKUP(Grade_6,fnjh,2))</definedName>
    <definedName name="TWO" localSheetId="13">#REF!</definedName>
    <definedName name="TWO" localSheetId="9">#REF!</definedName>
    <definedName name="TWO" localSheetId="8">#REF!</definedName>
    <definedName name="TWO" localSheetId="7">#REF!</definedName>
    <definedName name="TWO">#REF!</definedName>
    <definedName name="TWO_S_PROP">[18]TWOS!$A$13:$P$45</definedName>
    <definedName name="TWOLEGEND" localSheetId="13">#REF!</definedName>
    <definedName name="TWOLEGEND" localSheetId="9">#REF!</definedName>
    <definedName name="TWOLEGEND" localSheetId="8">#REF!</definedName>
    <definedName name="TWOLEGEND" localSheetId="7">#REF!</definedName>
    <definedName name="TWOLEGEND">#REF!</definedName>
    <definedName name="UMM" localSheetId="13">#REF!</definedName>
    <definedName name="UMM" localSheetId="8">#REF!</definedName>
    <definedName name="UMM" localSheetId="7">#REF!</definedName>
    <definedName name="UMM">#REF!</definedName>
    <definedName name="underwrittenbaserent">[37]Underwriting!$F$11</definedName>
    <definedName name="underwrittenltv" localSheetId="13">#REF!</definedName>
    <definedName name="underwrittenltv" localSheetId="9">#REF!</definedName>
    <definedName name="underwrittenltv" localSheetId="8">#REF!</definedName>
    <definedName name="underwrittenltv" localSheetId="7">#REF!</definedName>
    <definedName name="underwrittenltv">#REF!</definedName>
    <definedName name="UnderwrittenNOI" localSheetId="13">#REF!</definedName>
    <definedName name="UnderwrittenNOI" localSheetId="8">#REF!</definedName>
    <definedName name="UnderwrittenNOI" localSheetId="7">#REF!</definedName>
    <definedName name="UnderwrittenNOI">#REF!</definedName>
    <definedName name="UNIT">'[56]income buildup'!$E$17</definedName>
    <definedName name="UnitNo">[15]Assumptions!$C$6</definedName>
    <definedName name="UNITS" localSheetId="13">#REF!</definedName>
    <definedName name="UNITS" localSheetId="9">#REF!</definedName>
    <definedName name="UNITS" localSheetId="8">#REF!</definedName>
    <definedName name="UNITS" localSheetId="7">#REF!</definedName>
    <definedName name="UNITS">#REF!</definedName>
    <definedName name="Units1" localSheetId="13">#REF!</definedName>
    <definedName name="Units1" localSheetId="8">#REF!</definedName>
    <definedName name="Units1" localSheetId="7">#REF!</definedName>
    <definedName name="Units1">#REF!</definedName>
    <definedName name="Units1a">[29]Site!$D$5</definedName>
    <definedName name="Units2">[57]Bldg!$D$5</definedName>
    <definedName name="Units2a" localSheetId="13">#REF!</definedName>
    <definedName name="Units2a" localSheetId="9">#REF!</definedName>
    <definedName name="Units2a" localSheetId="8">#REF!</definedName>
    <definedName name="Units2a" localSheetId="7">#REF!</definedName>
    <definedName name="Units2a">#REF!</definedName>
    <definedName name="Units2a2" localSheetId="9">[57]Bldg!#REF!</definedName>
    <definedName name="Units2a2" localSheetId="8">[57]Bldg!#REF!</definedName>
    <definedName name="Units2a2">[57]Bldg!#REF!</definedName>
    <definedName name="Units2b" localSheetId="13">#REF!</definedName>
    <definedName name="Units2b" localSheetId="9">#REF!</definedName>
    <definedName name="Units2b" localSheetId="8">#REF!</definedName>
    <definedName name="Units2b" localSheetId="7">#REF!</definedName>
    <definedName name="Units2b">#REF!</definedName>
    <definedName name="Units2c" localSheetId="13">#REF!</definedName>
    <definedName name="Units2c" localSheetId="8">#REF!</definedName>
    <definedName name="Units2c" localSheetId="7">#REF!</definedName>
    <definedName name="Units2c">#REF!</definedName>
    <definedName name="Units2c2" localSheetId="13">[57]Bldg!#REF!</definedName>
    <definedName name="Units2c2" localSheetId="8">[57]Bldg!#REF!</definedName>
    <definedName name="Units2c2">[57]Bldg!#REF!</definedName>
    <definedName name="Units3" localSheetId="13">#REF!</definedName>
    <definedName name="Units3" localSheetId="9">#REF!</definedName>
    <definedName name="Units3" localSheetId="8">#REF!</definedName>
    <definedName name="Units3" localSheetId="7">#REF!</definedName>
    <definedName name="Units3">#REF!</definedName>
    <definedName name="unittype22" localSheetId="13">'[58]Rent Roll Analysis'!#REF!</definedName>
    <definedName name="unittype22" localSheetId="9">'[58]Rent Roll Analysis'!#REF!</definedName>
    <definedName name="unittype22" localSheetId="8">'[58]Rent Roll Analysis'!#REF!</definedName>
    <definedName name="unittype22">'[58]Rent Roll Analysis'!#REF!</definedName>
    <definedName name="UnleveredIRR" localSheetId="13">#REF!</definedName>
    <definedName name="UnleveredIRR" localSheetId="9">#REF!</definedName>
    <definedName name="UnleveredIRR" localSheetId="8">#REF!</definedName>
    <definedName name="UnleveredIRR" localSheetId="7">#REF!</definedName>
    <definedName name="UnleveredIRR">#REF!</definedName>
    <definedName name="Unused_Lookup" localSheetId="13">#REF!</definedName>
    <definedName name="Unused_Lookup" localSheetId="8">#REF!</definedName>
    <definedName name="Unused_Lookup" localSheetId="7">#REF!</definedName>
    <definedName name="Unused_Lookup">#REF!</definedName>
    <definedName name="UpfrontFees_1" localSheetId="13">#REF!</definedName>
    <definedName name="UpfrontFees_1" localSheetId="8">#REF!</definedName>
    <definedName name="UpfrontFees_1" localSheetId="7">#REF!</definedName>
    <definedName name="UpfrontFees_1">#REF!</definedName>
    <definedName name="UpfrontFees_2" localSheetId="13">#REF!</definedName>
    <definedName name="UpfrontFees_2" localSheetId="7">#REF!</definedName>
    <definedName name="UpfrontFees_2">#REF!</definedName>
    <definedName name="UpfrontFees_3" localSheetId="13">#REF!</definedName>
    <definedName name="UpfrontFees_3" localSheetId="7">#REF!</definedName>
    <definedName name="UpfrontFees_3">#REF!</definedName>
    <definedName name="UpfrontFees_4" localSheetId="13">#REF!</definedName>
    <definedName name="UpfrontFees_4" localSheetId="7">#REF!</definedName>
    <definedName name="UpfrontFees_4">#REF!</definedName>
    <definedName name="UpfrontFees_5" localSheetId="13">#REF!</definedName>
    <definedName name="UpfrontFees_5" localSheetId="7">#REF!</definedName>
    <definedName name="UpfrontFees_5">#REF!</definedName>
    <definedName name="UpfrontFees_6" localSheetId="13">#REF!</definedName>
    <definedName name="UpfrontFees_6" localSheetId="7">#REF!</definedName>
    <definedName name="UpfrontFees_6">#REF!</definedName>
    <definedName name="US_WEST" localSheetId="13">#REF!</definedName>
    <definedName name="US_WEST" localSheetId="7">#REF!</definedName>
    <definedName name="US_WEST">#REF!</definedName>
    <definedName name="Usage_Rate_1" localSheetId="13">#REF!</definedName>
    <definedName name="Usage_Rate_1" localSheetId="7">#REF!</definedName>
    <definedName name="Usage_Rate_1">#REF!</definedName>
    <definedName name="Usage_Rate_2" localSheetId="13">#REF!</definedName>
    <definedName name="Usage_Rate_2" localSheetId="7">#REF!</definedName>
    <definedName name="Usage_Rate_2">#REF!</definedName>
    <definedName name="Usage_Rate_3" localSheetId="13">#REF!</definedName>
    <definedName name="Usage_Rate_3" localSheetId="7">#REF!</definedName>
    <definedName name="Usage_Rate_3">#REF!</definedName>
    <definedName name="Usage_Rate_4" localSheetId="13">#REF!</definedName>
    <definedName name="Usage_Rate_4" localSheetId="7">#REF!</definedName>
    <definedName name="Usage_Rate_4">#REF!</definedName>
    <definedName name="Usage_Rate_5" localSheetId="13">#REF!</definedName>
    <definedName name="Usage_Rate_5" localSheetId="7">#REF!</definedName>
    <definedName name="Usage_Rate_5">#REF!</definedName>
    <definedName name="Usage_Rate_6" localSheetId="13">#REF!</definedName>
    <definedName name="Usage_Rate_6" localSheetId="7">#REF!</definedName>
    <definedName name="Usage_Rate_6">#REF!</definedName>
    <definedName name="use_of_Funds" localSheetId="13">#REF!</definedName>
    <definedName name="use_of_Funds" localSheetId="7">#REF!</definedName>
    <definedName name="use_of_Funds">#REF!</definedName>
    <definedName name="Use_of_funds_amount" localSheetId="13">#REF!</definedName>
    <definedName name="Use_of_funds_amount" localSheetId="7">#REF!</definedName>
    <definedName name="Use_of_funds_amount">#REF!</definedName>
    <definedName name="USES">'[15]sources &amp; uses'!$F$44</definedName>
    <definedName name="UseTable" localSheetId="13">#REF!</definedName>
    <definedName name="UseTable" localSheetId="9">#REF!</definedName>
    <definedName name="UseTable" localSheetId="8">#REF!</definedName>
    <definedName name="UseTable" localSheetId="7">#REF!</definedName>
    <definedName name="UseTable">#REF!</definedName>
    <definedName name="util" localSheetId="13">[17]CAMINVBU!#REF!</definedName>
    <definedName name="util" localSheetId="9">[17]CAMINVBU!#REF!</definedName>
    <definedName name="util" localSheetId="8">[17]CAMINVBU!#REF!</definedName>
    <definedName name="util">[17]CAMINVBU!#REF!</definedName>
    <definedName name="UW_Rate">[42]Inputs!$C$19</definedName>
    <definedName name="Vacancy" localSheetId="13">#REF!</definedName>
    <definedName name="Vacancy" localSheetId="9">#REF!</definedName>
    <definedName name="Vacancy" localSheetId="8">#REF!</definedName>
    <definedName name="Vacancy" localSheetId="7">#REF!</definedName>
    <definedName name="Vacancy">#REF!</definedName>
    <definedName name="VACANCY_EXPENSE" localSheetId="13">#REF!</definedName>
    <definedName name="VACANCY_EXPENSE" localSheetId="8">#REF!</definedName>
    <definedName name="VACANCY_EXPENSE" localSheetId="7">#REF!</definedName>
    <definedName name="VACANCY_EXPENSE">#REF!</definedName>
    <definedName name="vacancy1">[15]Assumptions!$C$71</definedName>
    <definedName name="vacancy2">[15]Assumptions!$D$71</definedName>
    <definedName name="vacancy3">[15]Assumptions!$E$71</definedName>
    <definedName name="valuation_comment" localSheetId="13">#REF!</definedName>
    <definedName name="valuation_comment" localSheetId="9">#REF!</definedName>
    <definedName name="valuation_comment" localSheetId="8">#REF!</definedName>
    <definedName name="valuation_comment" localSheetId="7">#REF!</definedName>
    <definedName name="valuation_comment">#REF!</definedName>
    <definedName name="ValuationCap">[15]Assumptions!$C$164</definedName>
    <definedName name="Value">[12]Proforma!$G$22</definedName>
    <definedName name="Value_SF">[12]Proforma!$G$38</definedName>
    <definedName name="VarianceBasePrice">[10]Assumptions!#REF!</definedName>
    <definedName name="VarianceDirConstCost">[10]Assumptions!#REF!</definedName>
    <definedName name="VarianceMasterImp">[10]Assumptions!#REF!</definedName>
    <definedName name="VarianceSiteDevCost">[10]Assumptions!#REF!</definedName>
    <definedName name="Version">[4]Project!$D$4</definedName>
    <definedName name="Version_ROEModel" localSheetId="13">#REF!</definedName>
    <definedName name="Version_ROEModel" localSheetId="9">#REF!</definedName>
    <definedName name="Version_ROEModel" localSheetId="8">#REF!</definedName>
    <definedName name="Version_ROEModel" localSheetId="7">#REF!</definedName>
    <definedName name="Version_ROEModel">#REF!</definedName>
    <definedName name="VFP" localSheetId="13">#REF!</definedName>
    <definedName name="VFP" localSheetId="8">#REF!</definedName>
    <definedName name="VFP" localSheetId="7">#REF!</definedName>
    <definedName name="VFP">#REF!</definedName>
    <definedName name="VFPLC" localSheetId="13">#REF!</definedName>
    <definedName name="VFPLC" localSheetId="8">#REF!</definedName>
    <definedName name="VFPLC" localSheetId="7">#REF!</definedName>
    <definedName name="VFPLC">#REF!</definedName>
    <definedName name="VictoryFund_Gross" localSheetId="13">#REF!</definedName>
    <definedName name="VictoryFund_Gross" localSheetId="7">#REF!</definedName>
    <definedName name="VictoryFund_Gross">#REF!</definedName>
    <definedName name="VLI_account1" localSheetId="13">#REF!</definedName>
    <definedName name="VLI_account1" localSheetId="7">#REF!</definedName>
    <definedName name="VLI_account1">#REF!</definedName>
    <definedName name="VLI_account2" localSheetId="13">#REF!</definedName>
    <definedName name="VLI_account2" localSheetId="7">#REF!</definedName>
    <definedName name="VLI_account2">#REF!</definedName>
    <definedName name="VLI_account3" localSheetId="13">#REF!</definedName>
    <definedName name="VLI_account3" localSheetId="7">#REF!</definedName>
    <definedName name="VLI_account3">#REF!</definedName>
    <definedName name="VLI_account4" localSheetId="13">#REF!</definedName>
    <definedName name="VLI_account4" localSheetId="7">#REF!</definedName>
    <definedName name="VLI_account4">#REF!</definedName>
    <definedName name="VLI_account5" localSheetId="13">#REF!</definedName>
    <definedName name="VLI_account5" localSheetId="7">#REF!</definedName>
    <definedName name="VLI_account5">#REF!</definedName>
    <definedName name="VLI_account6" localSheetId="13">#REF!</definedName>
    <definedName name="VLI_account6" localSheetId="7">#REF!</definedName>
    <definedName name="VLI_account6">#REF!</definedName>
    <definedName name="VLI_loanamt1" localSheetId="13">#REF!</definedName>
    <definedName name="VLI_loanamt1" localSheetId="7">#REF!</definedName>
    <definedName name="VLI_loanamt1">#REF!</definedName>
    <definedName name="VLI_loanamt2" localSheetId="13">#REF!</definedName>
    <definedName name="VLI_loanamt2" localSheetId="7">#REF!</definedName>
    <definedName name="VLI_loanamt2">#REF!</definedName>
    <definedName name="VLI_loanamt3" localSheetId="13">#REF!</definedName>
    <definedName name="VLI_loanamt3" localSheetId="7">#REF!</definedName>
    <definedName name="VLI_loanamt3">#REF!</definedName>
    <definedName name="VLI_loanamt4" localSheetId="13">#REF!</definedName>
    <definedName name="VLI_loanamt4" localSheetId="7">#REF!</definedName>
    <definedName name="VLI_loanamt4">#REF!</definedName>
    <definedName name="VLI_loanamt5" localSheetId="13">#REF!</definedName>
    <definedName name="VLI_loanamt5" localSheetId="7">#REF!</definedName>
    <definedName name="VLI_loanamt5">#REF!</definedName>
    <definedName name="VLI_loanamt6" localSheetId="13">#REF!</definedName>
    <definedName name="VLI_loanamt6" localSheetId="7">#REF!</definedName>
    <definedName name="VLI_loanamt6">#REF!</definedName>
    <definedName name="Votedate" localSheetId="13">#REF!</definedName>
    <definedName name="Votedate" localSheetId="7">#REF!</definedName>
    <definedName name="Votedate">#REF!</definedName>
    <definedName name="VV2003A">'[11]CFVV 2003A Consol'!$A$1</definedName>
    <definedName name="WADE\" localSheetId="13">#REF!</definedName>
    <definedName name="WADE\" localSheetId="9">#REF!</definedName>
    <definedName name="WADE\" localSheetId="8">#REF!</definedName>
    <definedName name="WADE\" localSheetId="7">#REF!</definedName>
    <definedName name="WADE\">#REF!</definedName>
    <definedName name="WALDEN_14_15">[18]WALDEN!$A$13:$P$53</definedName>
    <definedName name="WALDEN_7TH">[18]WALDENEXP!$A$13:$P$40</definedName>
    <definedName name="weaknesses_comment" localSheetId="13">#REF!</definedName>
    <definedName name="weaknesses_comment" localSheetId="9">#REF!</definedName>
    <definedName name="weaknesses_comment" localSheetId="8">#REF!</definedName>
    <definedName name="weaknesses_comment" localSheetId="7">#REF!</definedName>
    <definedName name="weaknesses_comment">#REF!</definedName>
    <definedName name="Wealth" localSheetId="13">#REF!</definedName>
    <definedName name="Wealth" localSheetId="8">#REF!</definedName>
    <definedName name="Wealth" localSheetId="7">#REF!</definedName>
    <definedName name="Wealth">#REF!</definedName>
    <definedName name="Weighted_Avg_1" localSheetId="13">#REF!</definedName>
    <definedName name="Weighted_Avg_1" localSheetId="8">#REF!</definedName>
    <definedName name="Weighted_Avg_1" localSheetId="7">#REF!</definedName>
    <definedName name="Weighted_Avg_1">#REF!</definedName>
    <definedName name="Weighted_Avg_1D" localSheetId="13">#REF!</definedName>
    <definedName name="Weighted_Avg_1D" localSheetId="7">#REF!</definedName>
    <definedName name="Weighted_Avg_1D">#REF!</definedName>
    <definedName name="Weighted_Avg_1D_for_Equity" localSheetId="13">#REF!</definedName>
    <definedName name="Weighted_Avg_1D_for_Equity" localSheetId="7">#REF!</definedName>
    <definedName name="Weighted_Avg_1D_for_Equity">#REF!</definedName>
    <definedName name="Weighted_Avg_1E_for_Equity" localSheetId="13">#REF!</definedName>
    <definedName name="Weighted_Avg_1E_for_Equity" localSheetId="7">#REF!</definedName>
    <definedName name="Weighted_Avg_1E_for_Equity">#REF!</definedName>
    <definedName name="Weighted_Avg_1f_for_Equity" localSheetId="13">#REF!</definedName>
    <definedName name="Weighted_Avg_1f_for_Equity" localSheetId="7">#REF!</definedName>
    <definedName name="Weighted_Avg_1f_for_Equity">#REF!</definedName>
    <definedName name="Weighted_Avg_1g_for_Equity" localSheetId="13">#REF!</definedName>
    <definedName name="Weighted_Avg_1g_for_Equity" localSheetId="7">#REF!</definedName>
    <definedName name="Weighted_Avg_1g_for_Equity">#REF!</definedName>
    <definedName name="Weighted_Avg_1h_for_Equity" localSheetId="13">#REF!</definedName>
    <definedName name="Weighted_Avg_1h_for_Equity" localSheetId="7">#REF!</definedName>
    <definedName name="Weighted_Avg_1h_for_Equity">#REF!</definedName>
    <definedName name="Weighted_Avg_1i_for_Equity" localSheetId="13">#REF!</definedName>
    <definedName name="Weighted_Avg_1i_for_Equity" localSheetId="7">#REF!</definedName>
    <definedName name="Weighted_Avg_1i_for_Equity">#REF!</definedName>
    <definedName name="Weighted_Avg_2" localSheetId="13">#REF!</definedName>
    <definedName name="Weighted_Avg_2" localSheetId="7">#REF!</definedName>
    <definedName name="Weighted_Avg_2">#REF!</definedName>
    <definedName name="Weighted_Avg_2D" localSheetId="13">#REF!</definedName>
    <definedName name="Weighted_Avg_2D" localSheetId="7">#REF!</definedName>
    <definedName name="Weighted_Avg_2D">#REF!</definedName>
    <definedName name="Weighted_Avg_3" localSheetId="13">#REF!</definedName>
    <definedName name="Weighted_Avg_3" localSheetId="7">#REF!</definedName>
    <definedName name="Weighted_Avg_3">#REF!</definedName>
    <definedName name="Weighted_Avg_3D" localSheetId="13">#REF!</definedName>
    <definedName name="Weighted_Avg_3D" localSheetId="7">#REF!</definedName>
    <definedName name="Weighted_Avg_3D">#REF!</definedName>
    <definedName name="Weighted_Avg_4" localSheetId="13">#REF!</definedName>
    <definedName name="Weighted_Avg_4" localSheetId="7">#REF!</definedName>
    <definedName name="Weighted_Avg_4">#REF!</definedName>
    <definedName name="Weighted_Avg_4D" localSheetId="13">#REF!</definedName>
    <definedName name="Weighted_Avg_4D" localSheetId="7">#REF!</definedName>
    <definedName name="Weighted_Avg_4D">#REF!</definedName>
    <definedName name="Weighted_Avg_5" localSheetId="13">#REF!</definedName>
    <definedName name="Weighted_Avg_5" localSheetId="7">#REF!</definedName>
    <definedName name="Weighted_Avg_5">#REF!</definedName>
    <definedName name="Weighted_Avg_5D" localSheetId="13">#REF!</definedName>
    <definedName name="Weighted_Avg_5D" localSheetId="7">#REF!</definedName>
    <definedName name="Weighted_Avg_5D">#REF!</definedName>
    <definedName name="Weighted_Avg_6" localSheetId="13">#REF!</definedName>
    <definedName name="Weighted_Avg_6" localSheetId="7">#REF!</definedName>
    <definedName name="Weighted_Avg_6">#REF!</definedName>
    <definedName name="Weighted_Avg_6D" localSheetId="13">#REF!</definedName>
    <definedName name="Weighted_Avg_6D" localSheetId="7">#REF!</definedName>
    <definedName name="Weighted_Avg_6D">#REF!</definedName>
    <definedName name="wescst" localSheetId="13">#REF!</definedName>
    <definedName name="wescst" localSheetId="7">#REF!</definedName>
    <definedName name="wescst">#REF!</definedName>
    <definedName name="WEST" localSheetId="13">#REF!</definedName>
    <definedName name="WEST" localSheetId="7">#REF!</definedName>
    <definedName name="WEST">#REF!</definedName>
    <definedName name="WH2003A">'[11]CFWH 2003A Consol'!$A$1</definedName>
    <definedName name="Whole_Rel_Grade" localSheetId="13">#REF!</definedName>
    <definedName name="Whole_Rel_Grade" localSheetId="9">#REF!</definedName>
    <definedName name="Whole_Rel_Grade" localSheetId="8">#REF!</definedName>
    <definedName name="Whole_Rel_Grade" localSheetId="7">#REF!</definedName>
    <definedName name="Whole_Rel_Grade">#REF!</definedName>
    <definedName name="Wholegrade_1" localSheetId="13">#REF!</definedName>
    <definedName name="Wholegrade_1" localSheetId="8">#REF!</definedName>
    <definedName name="Wholegrade_1" localSheetId="7">#REF!</definedName>
    <definedName name="Wholegrade_1">#REF!</definedName>
    <definedName name="Wholegrade_2" localSheetId="13">#REF!</definedName>
    <definedName name="Wholegrade_2" localSheetId="8">#REF!</definedName>
    <definedName name="Wholegrade_2" localSheetId="7">#REF!</definedName>
    <definedName name="Wholegrade_2">#REF!</definedName>
    <definedName name="Wholegrade_3" localSheetId="13">#REF!</definedName>
    <definedName name="Wholegrade_3" localSheetId="7">#REF!</definedName>
    <definedName name="Wholegrade_3">#REF!</definedName>
    <definedName name="Wholegrade_4" localSheetId="13">#REF!</definedName>
    <definedName name="Wholegrade_4" localSheetId="7">#REF!</definedName>
    <definedName name="Wholegrade_4">#REF!</definedName>
    <definedName name="Wholegrade_5" localSheetId="13">#REF!</definedName>
    <definedName name="Wholegrade_5" localSheetId="7">#REF!</definedName>
    <definedName name="Wholegrade_5">#REF!</definedName>
    <definedName name="Wholegrade_6" localSheetId="13">#REF!</definedName>
    <definedName name="Wholegrade_6" localSheetId="7">#REF!</definedName>
    <definedName name="Wholegrade_6">#REF!</definedName>
    <definedName name="wrn.ALL." localSheetId="13"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9"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8"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localSheetId="7"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CGR." localSheetId="13"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9"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8"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localSheetId="7"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ONDO." localSheetId="13" hidden="1">{#N/A,#N/A,FALSE,"SPCondo"}</definedName>
    <definedName name="wrn.CONDO." localSheetId="9" hidden="1">{#N/A,#N/A,FALSE,"SPCondo"}</definedName>
    <definedName name="wrn.CONDO." localSheetId="8" hidden="1">{#N/A,#N/A,FALSE,"SPCondo"}</definedName>
    <definedName name="wrn.CONDO." localSheetId="7" hidden="1">{#N/A,#N/A,FALSE,"SPCondo"}</definedName>
    <definedName name="wrn.CONDO." hidden="1">{#N/A,#N/A,FALSE,"SPCondo"}</definedName>
    <definedName name="wrn.DETAIL._.SCHEDULES." localSheetId="13" hidden="1">{"ACCOUNT DETAIL",#N/A,FALSE,"SCHEDULE E";"ACCOUNT DETAIL",#N/A,FALSE,"SCHEDULE G";"ACCOUNT DETAIL",#N/A,FALSE,"SCHEDULE H";"ACCOUNT DETAIL",#N/A,FALSE,"SCHEDULE I"}</definedName>
    <definedName name="wrn.DETAIL._.SCHEDULES." localSheetId="9" hidden="1">{"ACCOUNT DETAIL",#N/A,FALSE,"SCHEDULE E";"ACCOUNT DETAIL",#N/A,FALSE,"SCHEDULE G";"ACCOUNT DETAIL",#N/A,FALSE,"SCHEDULE H";"ACCOUNT DETAIL",#N/A,FALSE,"SCHEDULE I"}</definedName>
    <definedName name="wrn.DETAIL._.SCHEDULES." localSheetId="8" hidden="1">{"ACCOUNT DETAIL",#N/A,FALSE,"SCHEDULE E";"ACCOUNT DETAIL",#N/A,FALSE,"SCHEDULE G";"ACCOUNT DETAIL",#N/A,FALSE,"SCHEDULE H";"ACCOUNT DETAIL",#N/A,FALSE,"SCHEDULE I"}</definedName>
    <definedName name="wrn.DETAIL._.SCHEDULES." localSheetId="7"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FORESTPARK." localSheetId="13" hidden="1">{#N/A,#N/A,FALSE,"ForestPark"}</definedName>
    <definedName name="wrn.FORESTPARK." localSheetId="9" hidden="1">{#N/A,#N/A,FALSE,"ForestPark"}</definedName>
    <definedName name="wrn.FORESTPARK." localSheetId="8" hidden="1">{#N/A,#N/A,FALSE,"ForestPark"}</definedName>
    <definedName name="wrn.FORESTPARK." localSheetId="7" hidden="1">{#N/A,#N/A,FALSE,"ForestPark"}</definedName>
    <definedName name="wrn.FORESTPARK." hidden="1">{#N/A,#N/A,FALSE,"ForestPark"}</definedName>
    <definedName name="wrn.LC." localSheetId="13" hidden="1">{"LCPR",#N/A,TRUE,"LC"}</definedName>
    <definedName name="wrn.LC." localSheetId="9" hidden="1">{"LCPR",#N/A,TRUE,"LC"}</definedName>
    <definedName name="wrn.LC." localSheetId="8" hidden="1">{"LCPR",#N/A,TRUE,"LC"}</definedName>
    <definedName name="wrn.LC." localSheetId="7" hidden="1">{"LCPR",#N/A,TRUE,"LC"}</definedName>
    <definedName name="wrn.LC." hidden="1">{"LCPR",#N/A,TRUE,"LC"}</definedName>
    <definedName name="wrn.LETTERED." localSheetId="13"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9"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8"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localSheetId="7"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MARKETING." localSheetId="13" hidden="1">{#N/A,#N/A,FALSE,"MARKETING I";#N/A,#N/A,FALSE,"MARKETING II";#N/A,#N/A,FALSE,"MARKETING III"}</definedName>
    <definedName name="wrn.MARKETING." localSheetId="9" hidden="1">{#N/A,#N/A,FALSE,"MARKETING I";#N/A,#N/A,FALSE,"MARKETING II";#N/A,#N/A,FALSE,"MARKETING III"}</definedName>
    <definedName name="wrn.MARKETING." localSheetId="8" hidden="1">{#N/A,#N/A,FALSE,"MARKETING I";#N/A,#N/A,FALSE,"MARKETING II";#N/A,#N/A,FALSE,"MARKETING III"}</definedName>
    <definedName name="wrn.MARKETING." localSheetId="7" hidden="1">{#N/A,#N/A,FALSE,"MARKETING I";#N/A,#N/A,FALSE,"MARKETING II";#N/A,#N/A,FALSE,"MARKETING III"}</definedName>
    <definedName name="wrn.MARKETING." hidden="1">{#N/A,#N/A,FALSE,"MARKETING I";#N/A,#N/A,FALSE,"MARKETING II";#N/A,#N/A,FALSE,"MARKETING III"}</definedName>
    <definedName name="wrn.MINRENT." localSheetId="13" hidden="1">{"MINRENT2",#N/A,FALSE,"SCHEDULE B"}</definedName>
    <definedName name="wrn.MINRENT." localSheetId="9" hidden="1">{"MINRENT2",#N/A,FALSE,"SCHEDULE B"}</definedName>
    <definedName name="wrn.MINRENT." localSheetId="8" hidden="1">{"MINRENT2",#N/A,FALSE,"SCHEDULE B"}</definedName>
    <definedName name="wrn.MINRENT." localSheetId="7" hidden="1">{"MINRENT2",#N/A,FALSE,"SCHEDULE B"}</definedName>
    <definedName name="wrn.MINRENT." hidden="1">{"MINRENT2",#N/A,FALSE,"SCHEDULE B"}</definedName>
    <definedName name="wrn.PERCENTAGE._.RENT." localSheetId="13" hidden="1">{"PERCENTAGE RENT",#N/A,TRUE,"SCHEDULE B"}</definedName>
    <definedName name="wrn.PERCENTAGE._.RENT." localSheetId="9" hidden="1">{"PERCENTAGE RENT",#N/A,TRUE,"SCHEDULE B"}</definedName>
    <definedName name="wrn.PERCENTAGE._.RENT." localSheetId="8" hidden="1">{"PERCENTAGE RENT",#N/A,TRUE,"SCHEDULE B"}</definedName>
    <definedName name="wrn.PERCENTAGE._.RENT." localSheetId="7" hidden="1">{"PERCENTAGE RENT",#N/A,TRUE,"SCHEDULE B"}</definedName>
    <definedName name="wrn.PERCENTAGE._.RENT." hidden="1">{"PERCENTAGE RENT",#N/A,TRUE,"SCHEDULE B"}</definedName>
    <definedName name="wrn.Print." localSheetId="13" hidden="1">{#N/A,#N/A,TRUE,"Cerritos Gardens";#N/A,#N/A,TRUE,"Cerritos Gardens Plus .5%";#N/A,#N/A,TRUE,"Corte Bella";#N/A,#N/A,TRUE,"Corte Bella Plus .05%";#N/A,#N/A,TRUE,"Crystal Springs";#N/A,#N/A,TRUE,"Crystal Springs Plus .05%"}</definedName>
    <definedName name="wrn.Print." localSheetId="9" hidden="1">{#N/A,#N/A,TRUE,"Cerritos Gardens";#N/A,#N/A,TRUE,"Cerritos Gardens Plus .5%";#N/A,#N/A,TRUE,"Corte Bella";#N/A,#N/A,TRUE,"Corte Bella Plus .05%";#N/A,#N/A,TRUE,"Crystal Springs";#N/A,#N/A,TRUE,"Crystal Springs Plus .05%"}</definedName>
    <definedName name="wrn.Print." localSheetId="8" hidden="1">{#N/A,#N/A,TRUE,"Cerritos Gardens";#N/A,#N/A,TRUE,"Cerritos Gardens Plus .5%";#N/A,#N/A,TRUE,"Corte Bella";#N/A,#N/A,TRUE,"Corte Bella Plus .05%";#N/A,#N/A,TRUE,"Crystal Springs";#N/A,#N/A,TRUE,"Crystal Springs Plus .05%"}</definedName>
    <definedName name="wrn.Print." localSheetId="7" hidden="1">{#N/A,#N/A,TRUE,"Cerritos Gardens";#N/A,#N/A,TRUE,"Cerritos Gardens Plus .5%";#N/A,#N/A,TRUE,"Corte Bella";#N/A,#N/A,TRUE,"Corte Bella Plus .05%";#N/A,#N/A,TRUE,"Crystal Springs";#N/A,#N/A,TRUE,"Crystal Springs Plus .05%"}</definedName>
    <definedName name="wrn.Print." hidden="1">{#N/A,#N/A,TRUE,"Cerritos Gardens";#N/A,#N/A,TRUE,"Cerritos Gardens Plus .5%";#N/A,#N/A,TRUE,"Corte Bella";#N/A,#N/A,TRUE,"Corte Bella Plus .05%";#N/A,#N/A,TRUE,"Crystal Springs";#N/A,#N/A,TRUE,"Crystal Springs Plus .05%"}</definedName>
    <definedName name="wrn.Projections." localSheetId="13" hidden="1">{#N/A,#N/A,FALSE,"Release Price";#N/A,#N/A,FALSE,"Cash flow for 50 Unit";#N/A,#N/A,FALSE,"Cash Flow for 3 Models"}</definedName>
    <definedName name="wrn.Projections." localSheetId="9" hidden="1">{#N/A,#N/A,FALSE,"Release Price";#N/A,#N/A,FALSE,"Cash flow for 50 Unit";#N/A,#N/A,FALSE,"Cash Flow for 3 Models"}</definedName>
    <definedName name="wrn.Projections." localSheetId="8" hidden="1">{#N/A,#N/A,FALSE,"Release Price";#N/A,#N/A,FALSE,"Cash flow for 50 Unit";#N/A,#N/A,FALSE,"Cash Flow for 3 Models"}</definedName>
    <definedName name="wrn.Projections." localSheetId="7" hidden="1">{#N/A,#N/A,FALSE,"Release Price";#N/A,#N/A,FALSE,"Cash flow for 50 Unit";#N/A,#N/A,FALSE,"Cash Flow for 3 Models"}</definedName>
    <definedName name="wrn.Projections." hidden="1">{#N/A,#N/A,FALSE,"Release Price";#N/A,#N/A,FALSE,"Cash flow for 50 Unit";#N/A,#N/A,FALSE,"Cash Flow for 3 Models"}</definedName>
    <definedName name="wrn.RATES." localSheetId="13" hidden="1">{"RATES",#N/A,FALSE,"RECOVERY RATES";"CONTRIBUTIONS",#N/A,FALSE,"RECOVERY RATES";"GLA CATEGORY SUMMARY",#N/A,FALSE,"RECOVERY RATES"}</definedName>
    <definedName name="wrn.RATES." localSheetId="9" hidden="1">{"RATES",#N/A,FALSE,"RECOVERY RATES";"CONTRIBUTIONS",#N/A,FALSE,"RECOVERY RATES";"GLA CATEGORY SUMMARY",#N/A,FALSE,"RECOVERY RATES"}</definedName>
    <definedName name="wrn.RATES." localSheetId="8" hidden="1">{"RATES",#N/A,FALSE,"RECOVERY RATES";"CONTRIBUTIONS",#N/A,FALSE,"RECOVERY RATES";"GLA CATEGORY SUMMARY",#N/A,FALSE,"RECOVERY RATES"}</definedName>
    <definedName name="wrn.RATES." localSheetId="7"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SCHAs." localSheetId="13" hidden="1">{"ACCOUNTING COPY",#N/A,FALSE,"SCHEDULE A";"FINANCE COPY",#N/A,FALSE,"SCHEDULE A";"P.L. COPY",#N/A,FALSE,"SCHEDULE A"}</definedName>
    <definedName name="wrn.SCHAs." localSheetId="9" hidden="1">{"ACCOUNTING COPY",#N/A,FALSE,"SCHEDULE A";"FINANCE COPY",#N/A,FALSE,"SCHEDULE A";"P.L. COPY",#N/A,FALSE,"SCHEDULE A"}</definedName>
    <definedName name="wrn.SCHAs." localSheetId="8" hidden="1">{"ACCOUNTING COPY",#N/A,FALSE,"SCHEDULE A";"FINANCE COPY",#N/A,FALSE,"SCHEDULE A";"P.L. COPY",#N/A,FALSE,"SCHEDULE A"}</definedName>
    <definedName name="wrn.SCHAs." localSheetId="7" hidden="1">{"ACCOUNTING COPY",#N/A,FALSE,"SCHEDULE A";"FINANCE COPY",#N/A,FALSE,"SCHEDULE A";"P.L. COPY",#N/A,FALSE,"SCHEDULE A"}</definedName>
    <definedName name="wrn.SCHAs." hidden="1">{"ACCOUNTING COPY",#N/A,FALSE,"SCHEDULE A";"FINANCE COPY",#N/A,FALSE,"SCHEDULE A";"P.L. COPY",#N/A,FALSE,"SCHEDULE A"}</definedName>
    <definedName name="wrn.SCHEDULE._.H." localSheetId="13" hidden="1">{"ACCOUNT DETAIL",#N/A,FALSE,"SCHEDULE E";"ACCOUNT DETAIL",#N/A,FALSE,"SCHEDULE G";"ACCOUNT DETAIL",#N/A,FALSE,"SCHEDULE H";"ACCOUNT DETAIL",#N/A,FALSE,"SCHEDULE I"}</definedName>
    <definedName name="wrn.SCHEDULE._.H." localSheetId="9" hidden="1">{"ACCOUNT DETAIL",#N/A,FALSE,"SCHEDULE E";"ACCOUNT DETAIL",#N/A,FALSE,"SCHEDULE G";"ACCOUNT DETAIL",#N/A,FALSE,"SCHEDULE H";"ACCOUNT DETAIL",#N/A,FALSE,"SCHEDULE I"}</definedName>
    <definedName name="wrn.SCHEDULE._.H." localSheetId="8" hidden="1">{"ACCOUNT DETAIL",#N/A,FALSE,"SCHEDULE E";"ACCOUNT DETAIL",#N/A,FALSE,"SCHEDULE G";"ACCOUNT DETAIL",#N/A,FALSE,"SCHEDULE H";"ACCOUNT DETAIL",#N/A,FALSE,"SCHEDULE I"}</definedName>
    <definedName name="wrn.SCHEDULE._.H." localSheetId="7" hidden="1">{"ACCOUNT DETAIL",#N/A,FALSE,"SCHEDULE E";"ACCOUNT DETAIL",#N/A,FALSE,"SCHEDULE G";"ACCOUNT DETAIL",#N/A,FALSE,"SCHEDULE H";"ACCOUNT DETAIL",#N/A,FALSE,"SCHEDULE I"}</definedName>
    <definedName name="wrn.SCHEDULE._.H." hidden="1">{"ACCOUNT DETAIL",#N/A,FALSE,"SCHEDULE E";"ACCOUNT DETAIL",#N/A,FALSE,"SCHEDULE G";"ACCOUNT DETAIL",#N/A,FALSE,"SCHEDULE H";"ACCOUNT DETAIL",#N/A,FALSE,"SCHEDULE I"}</definedName>
    <definedName name="wrn.SCHEDULES._.ABC." localSheetId="13" hidden="1">{#N/A,#N/A,FALSE,"SCHEDULE A";"MINIMUM RENT",#N/A,FALSE,"SCHEDULES B &amp; C";"PERCENTAGE RENT",#N/A,FALSE,"SCHEDULES B &amp; C"}</definedName>
    <definedName name="wrn.SCHEDULES._.ABC." localSheetId="9" hidden="1">{#N/A,#N/A,FALSE,"SCHEDULE A";"MINIMUM RENT",#N/A,FALSE,"SCHEDULES B &amp; C";"PERCENTAGE RENT",#N/A,FALSE,"SCHEDULES B &amp; C"}</definedName>
    <definedName name="wrn.SCHEDULES._.ABC." localSheetId="8" hidden="1">{#N/A,#N/A,FALSE,"SCHEDULE A";"MINIMUM RENT",#N/A,FALSE,"SCHEDULES B &amp; C";"PERCENTAGE RENT",#N/A,FALSE,"SCHEDULES B &amp; C"}</definedName>
    <definedName name="wrn.SCHEDULES._.ABC." localSheetId="7" hidden="1">{#N/A,#N/A,FALSE,"SCHEDULE A";"MINIMUM RENT",#N/A,FALSE,"SCHEDULES B &amp; C";"PERCENTAGE RENT",#N/A,FALSE,"SCHEDULES B &amp; C"}</definedName>
    <definedName name="wrn.SCHEDULES._.ABC." hidden="1">{#N/A,#N/A,FALSE,"SCHEDULE A";"MINIMUM RENT",#N/A,FALSE,"SCHEDULES B &amp; C";"PERCENTAGE RENT",#N/A,FALSE,"SCHEDULES B &amp; C"}</definedName>
    <definedName name="wrn.SP2." localSheetId="13" hidden="1">{#N/A,#N/A,FALSE,"SP2"}</definedName>
    <definedName name="wrn.SP2." localSheetId="9" hidden="1">{#N/A,#N/A,FALSE,"SP2"}</definedName>
    <definedName name="wrn.SP2." localSheetId="8" hidden="1">{#N/A,#N/A,FALSE,"SP2"}</definedName>
    <definedName name="wrn.SP2." localSheetId="7" hidden="1">{#N/A,#N/A,FALSE,"SP2"}</definedName>
    <definedName name="wrn.SP2." hidden="1">{#N/A,#N/A,FALSE,"SP2"}</definedName>
    <definedName name="wrn.TEST." localSheetId="13" hidden="1">{#N/A,#N/A,FALSE,"SCHEDULE G"}</definedName>
    <definedName name="wrn.TEST." localSheetId="9" hidden="1">{#N/A,#N/A,FALSE,"SCHEDULE G"}</definedName>
    <definedName name="wrn.TEST." localSheetId="8" hidden="1">{#N/A,#N/A,FALSE,"SCHEDULE G"}</definedName>
    <definedName name="wrn.TEST." localSheetId="7" hidden="1">{#N/A,#N/A,FALSE,"SCHEDULE G"}</definedName>
    <definedName name="wrn.TEST." hidden="1">{#N/A,#N/A,FALSE,"SCHEDULE G"}</definedName>
    <definedName name="wrr" localSheetId="13">#REF!</definedName>
    <definedName name="wrr" localSheetId="9">#REF!</definedName>
    <definedName name="wrr" localSheetId="8">#REF!</definedName>
    <definedName name="wrr" localSheetId="7">#REF!</definedName>
    <definedName name="wrr">#REF!</definedName>
    <definedName name="WSP" localSheetId="13">#REF!</definedName>
    <definedName name="WSP" localSheetId="9">#REF!</definedName>
    <definedName name="WSP" localSheetId="8">#REF!</definedName>
    <definedName name="WSP" localSheetId="7">#REF!</definedName>
    <definedName name="WSP">#REF!</definedName>
    <definedName name="wsplc" localSheetId="13">#REF!</definedName>
    <definedName name="wsplc" localSheetId="9">#REF!</definedName>
    <definedName name="wsplc" localSheetId="8">#REF!</definedName>
    <definedName name="wsplc" localSheetId="7">#REF!</definedName>
    <definedName name="wsplc">#REF!</definedName>
    <definedName name="wvu.ALL." localSheetId="13"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9"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8"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localSheetId="7"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CAM._.RATES." localSheetId="13"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9"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8"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localSheetId="7"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ECOVERY." localSheetId="13"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9"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8"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localSheetId="7"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LSMEET." localSheetId="13"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9"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8"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localSheetId="7"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MARKETING._.REVENUE." localSheetId="13"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9"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8"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localSheetId="7"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INIMUM._.RENT." localSheetId="13"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9"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8"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localSheetId="7"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OCCUPANCY." localSheetId="13"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9"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8"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localSheetId="7"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PERCENTAGE._.RENT." localSheetId="13"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9"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8"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localSheetId="7"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TAX._.RATES." localSheetId="13"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9"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8"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localSheetId="7"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ECOVERY." localSheetId="13"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9"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8"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localSheetId="7"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www" localSheetId="13">#REF!</definedName>
    <definedName name="wwww" localSheetId="9">#REF!</definedName>
    <definedName name="wwww" localSheetId="8">#REF!</definedName>
    <definedName name="wwww" localSheetId="7">#REF!</definedName>
    <definedName name="wwww">#REF!</definedName>
    <definedName name="xxfgg" localSheetId="13">#REF!</definedName>
    <definedName name="xxfgg" localSheetId="9">#REF!</definedName>
    <definedName name="xxfgg" localSheetId="8">#REF!</definedName>
    <definedName name="xxfgg" localSheetId="7">#REF!</definedName>
    <definedName name="xxfgg">#REF!</definedName>
    <definedName name="YearBooked_1" localSheetId="13">#REF!</definedName>
    <definedName name="YearBooked_1" localSheetId="9">#REF!</definedName>
    <definedName name="YearBooked_1" localSheetId="8">#REF!</definedName>
    <definedName name="YearBooked_1" localSheetId="7">#REF!</definedName>
    <definedName name="YearBooked_1">#REF!</definedName>
    <definedName name="YearBooked_2" localSheetId="13">#REF!</definedName>
    <definedName name="YearBooked_2" localSheetId="7">#REF!</definedName>
    <definedName name="YearBooked_2">#REF!</definedName>
    <definedName name="YearBooked_3" localSheetId="13">#REF!</definedName>
    <definedName name="YearBooked_3" localSheetId="7">#REF!</definedName>
    <definedName name="YearBooked_3">#REF!</definedName>
    <definedName name="YearBooked_4" localSheetId="13">#REF!</definedName>
    <definedName name="YearBooked_4" localSheetId="7">#REF!</definedName>
    <definedName name="YearBooked_4">#REF!</definedName>
    <definedName name="YearBooked_5" localSheetId="13">#REF!</definedName>
    <definedName name="YearBooked_5" localSheetId="7">#REF!</definedName>
    <definedName name="YearBooked_5">#REF!</definedName>
    <definedName name="YearBooked_6" localSheetId="13">#REF!</definedName>
    <definedName name="YearBooked_6" localSheetId="7">#REF!</definedName>
    <definedName name="YearBooked_6">#REF!</definedName>
    <definedName name="Years_amortized_1" localSheetId="13">#REF!</definedName>
    <definedName name="Years_amortized_1" localSheetId="7">#REF!</definedName>
    <definedName name="Years_amortized_1">#REF!</definedName>
    <definedName name="Years_amortized_1D" localSheetId="13">#REF!</definedName>
    <definedName name="Years_amortized_1D" localSheetId="7">#REF!</definedName>
    <definedName name="Years_amortized_1D">#REF!</definedName>
    <definedName name="Years_amortized_2" localSheetId="13">#REF!</definedName>
    <definedName name="Years_amortized_2" localSheetId="7">#REF!</definedName>
    <definedName name="Years_amortized_2">#REF!</definedName>
    <definedName name="Years_amortized_2D" localSheetId="13">#REF!</definedName>
    <definedName name="Years_amortized_2D" localSheetId="7">#REF!</definedName>
    <definedName name="Years_amortized_2D">#REF!</definedName>
    <definedName name="Years_amortized_3" localSheetId="13">#REF!</definedName>
    <definedName name="Years_amortized_3" localSheetId="7">#REF!</definedName>
    <definedName name="Years_amortized_3">#REF!</definedName>
    <definedName name="Years_amortized_3D" localSheetId="13">#REF!</definedName>
    <definedName name="Years_amortized_3D" localSheetId="7">#REF!</definedName>
    <definedName name="Years_amortized_3D">#REF!</definedName>
    <definedName name="Years_amortized_4" localSheetId="13">#REF!</definedName>
    <definedName name="Years_amortized_4" localSheetId="7">#REF!</definedName>
    <definedName name="Years_amortized_4">#REF!</definedName>
    <definedName name="Years_amortized_4D" localSheetId="13">#REF!</definedName>
    <definedName name="Years_amortized_4D" localSheetId="7">#REF!</definedName>
    <definedName name="Years_amortized_4D">#REF!</definedName>
    <definedName name="Years_amortized_5" localSheetId="13">#REF!</definedName>
    <definedName name="Years_amortized_5" localSheetId="7">#REF!</definedName>
    <definedName name="Years_amortized_5">#REF!</definedName>
    <definedName name="Years_amortized_5D" localSheetId="13">#REF!</definedName>
    <definedName name="Years_amortized_5D" localSheetId="7">#REF!</definedName>
    <definedName name="Years_amortized_5D">#REF!</definedName>
    <definedName name="Years_amortized_6" localSheetId="13">#REF!</definedName>
    <definedName name="Years_amortized_6" localSheetId="7">#REF!</definedName>
    <definedName name="Years_amortized_6">#REF!</definedName>
    <definedName name="Years_amortized_6D" localSheetId="13">#REF!</definedName>
    <definedName name="Years_amortized_6D" localSheetId="7">#REF!</definedName>
    <definedName name="Years_amortized_6D">#REF!</definedName>
    <definedName name="yield1" localSheetId="13">#REF!</definedName>
    <definedName name="yield1" localSheetId="7">#REF!</definedName>
    <definedName name="yield1">#REF!</definedName>
    <definedName name="yield2" localSheetId="13">#REF!</definedName>
    <definedName name="yield2" localSheetId="7">#REF!</definedName>
    <definedName name="yield2">#REF!</definedName>
    <definedName name="yieldmaint_name1" localSheetId="13">#REF!</definedName>
    <definedName name="yieldmaint_name1" localSheetId="7">#REF!</definedName>
    <definedName name="yieldmaint_name1">#REF!</definedName>
    <definedName name="yieldmaint_name10" localSheetId="13">#REF!</definedName>
    <definedName name="yieldmaint_name10" localSheetId="7">#REF!</definedName>
    <definedName name="yieldmaint_name10">#REF!</definedName>
    <definedName name="yieldmaint_name11" localSheetId="13">#REF!</definedName>
    <definedName name="yieldmaint_name11" localSheetId="7">#REF!</definedName>
    <definedName name="yieldmaint_name11">#REF!</definedName>
    <definedName name="yieldmaint_name12" localSheetId="13">#REF!</definedName>
    <definedName name="yieldmaint_name12" localSheetId="7">#REF!</definedName>
    <definedName name="yieldmaint_name12">#REF!</definedName>
    <definedName name="yieldmaint_name13" localSheetId="13">#REF!</definedName>
    <definedName name="yieldmaint_name13" localSheetId="7">#REF!</definedName>
    <definedName name="yieldmaint_name13">#REF!</definedName>
    <definedName name="yieldmaint_name14" localSheetId="13">#REF!</definedName>
    <definedName name="yieldmaint_name14" localSheetId="7">#REF!</definedName>
    <definedName name="yieldmaint_name14">#REF!</definedName>
    <definedName name="yieldmaint_name15" localSheetId="13">#REF!</definedName>
    <definedName name="yieldmaint_name15" localSheetId="7">#REF!</definedName>
    <definedName name="yieldmaint_name15">#REF!</definedName>
    <definedName name="yieldmaint_name16" localSheetId="13">#REF!</definedName>
    <definedName name="yieldmaint_name16" localSheetId="7">#REF!</definedName>
    <definedName name="yieldmaint_name16">#REF!</definedName>
    <definedName name="yieldmaint_name2" localSheetId="13">#REF!</definedName>
    <definedName name="yieldmaint_name2" localSheetId="7">#REF!</definedName>
    <definedName name="yieldmaint_name2">#REF!</definedName>
    <definedName name="yieldmaint_name3" localSheetId="13">#REF!</definedName>
    <definedName name="yieldmaint_name3" localSheetId="7">#REF!</definedName>
    <definedName name="yieldmaint_name3">#REF!</definedName>
    <definedName name="yieldmaint_name4" localSheetId="13">#REF!</definedName>
    <definedName name="yieldmaint_name4" localSheetId="7">#REF!</definedName>
    <definedName name="yieldmaint_name4">#REF!</definedName>
    <definedName name="yieldmaint_name5" localSheetId="13">#REF!</definedName>
    <definedName name="yieldmaint_name5" localSheetId="7">#REF!</definedName>
    <definedName name="yieldmaint_name5">#REF!</definedName>
    <definedName name="yieldmaint_name6" localSheetId="13">#REF!</definedName>
    <definedName name="yieldmaint_name6" localSheetId="7">#REF!</definedName>
    <definedName name="yieldmaint_name6">#REF!</definedName>
    <definedName name="yieldmaint_name7" localSheetId="13">#REF!</definedName>
    <definedName name="yieldmaint_name7" localSheetId="7">#REF!</definedName>
    <definedName name="yieldmaint_name7">#REF!</definedName>
    <definedName name="yieldmaint_name8" localSheetId="13">#REF!</definedName>
    <definedName name="yieldmaint_name8" localSheetId="7">#REF!</definedName>
    <definedName name="yieldmaint_name8">#REF!</definedName>
    <definedName name="yieldmaint_name9" localSheetId="13">#REF!</definedName>
    <definedName name="yieldmaint_name9" localSheetId="7">#REF!</definedName>
    <definedName name="yieldmaint_name9">#REF!</definedName>
    <definedName name="yieldtype1" localSheetId="13">#REF!</definedName>
    <definedName name="yieldtype1" localSheetId="7">#REF!</definedName>
    <definedName name="yieldtype1">#REF!</definedName>
    <definedName name="yieldtype10" localSheetId="13">#REF!</definedName>
    <definedName name="yieldtype10" localSheetId="7">#REF!</definedName>
    <definedName name="yieldtype10">#REF!</definedName>
    <definedName name="yieldtype11" localSheetId="13">#REF!</definedName>
    <definedName name="yieldtype11" localSheetId="7">#REF!</definedName>
    <definedName name="yieldtype11">#REF!</definedName>
    <definedName name="yieldtype12" localSheetId="13">#REF!</definedName>
    <definedName name="yieldtype12" localSheetId="7">#REF!</definedName>
    <definedName name="yieldtype12">#REF!</definedName>
    <definedName name="yieldtype13" localSheetId="13">#REF!</definedName>
    <definedName name="yieldtype13" localSheetId="7">#REF!</definedName>
    <definedName name="yieldtype13">#REF!</definedName>
    <definedName name="yieldtype14" localSheetId="13">#REF!</definedName>
    <definedName name="yieldtype14" localSheetId="7">#REF!</definedName>
    <definedName name="yieldtype14">#REF!</definedName>
    <definedName name="yieldtype15" localSheetId="13">#REF!</definedName>
    <definedName name="yieldtype15" localSheetId="7">#REF!</definedName>
    <definedName name="yieldtype15">#REF!</definedName>
    <definedName name="yieldtype16" localSheetId="13">#REF!</definedName>
    <definedName name="yieldtype16" localSheetId="7">#REF!</definedName>
    <definedName name="yieldtype16">#REF!</definedName>
    <definedName name="yieldtype2" localSheetId="13">#REF!</definedName>
    <definedName name="yieldtype2" localSheetId="7">#REF!</definedName>
    <definedName name="yieldtype2">#REF!</definedName>
    <definedName name="yieldtype3" localSheetId="13">#REF!</definedName>
    <definedName name="yieldtype3" localSheetId="7">#REF!</definedName>
    <definedName name="yieldtype3">#REF!</definedName>
    <definedName name="yieldtype4" localSheetId="13">#REF!</definedName>
    <definedName name="yieldtype4" localSheetId="7">#REF!</definedName>
    <definedName name="yieldtype4">#REF!</definedName>
    <definedName name="yieldtype5" localSheetId="13">#REF!</definedName>
    <definedName name="yieldtype5" localSheetId="7">#REF!</definedName>
    <definedName name="yieldtype5">#REF!</definedName>
    <definedName name="yieldtype6" localSheetId="13">#REF!</definedName>
    <definedName name="yieldtype6" localSheetId="7">#REF!</definedName>
    <definedName name="yieldtype6">#REF!</definedName>
    <definedName name="yieldtype7" localSheetId="13">#REF!</definedName>
    <definedName name="yieldtype7" localSheetId="7">#REF!</definedName>
    <definedName name="yieldtype7">#REF!</definedName>
    <definedName name="yieldtype8" localSheetId="13">#REF!</definedName>
    <definedName name="yieldtype8" localSheetId="7">#REF!</definedName>
    <definedName name="yieldtype8">#REF!</definedName>
    <definedName name="yieldtype9" localSheetId="13">#REF!</definedName>
    <definedName name="yieldtype9" localSheetId="7">#REF!</definedName>
    <definedName name="yieldtype9">#REF!</definedName>
    <definedName name="yjfy" localSheetId="13" hidden="1">{#N/A,#N/A,FALSE,"Release Price";#N/A,#N/A,FALSE,"Cash flow for 50 Unit";#N/A,#N/A,FALSE,"Cash Flow for 3 Models"}</definedName>
    <definedName name="yjfy" localSheetId="9" hidden="1">{#N/A,#N/A,FALSE,"Release Price";#N/A,#N/A,FALSE,"Cash flow for 50 Unit";#N/A,#N/A,FALSE,"Cash Flow for 3 Models"}</definedName>
    <definedName name="yjfy" localSheetId="8" hidden="1">{#N/A,#N/A,FALSE,"Release Price";#N/A,#N/A,FALSE,"Cash flow for 50 Unit";#N/A,#N/A,FALSE,"Cash Flow for 3 Models"}</definedName>
    <definedName name="yjfy" localSheetId="7" hidden="1">{#N/A,#N/A,FALSE,"Release Price";#N/A,#N/A,FALSE,"Cash flow for 50 Unit";#N/A,#N/A,FALSE,"Cash Flow for 3 Models"}</definedName>
    <definedName name="yjfy" hidden="1">{#N/A,#N/A,FALSE,"Release Price";#N/A,#N/A,FALSE,"Cash flow for 50 Unit";#N/A,#N/A,FALSE,"Cash Flow for 3 Models"}</definedName>
    <definedName name="Z">'[17]12_96 CAM'!#REF!</definedName>
    <definedName name="Z_28BDDCCC_2551_11D1_BD8E_0020AF42250B_.wvu.Cols" localSheetId="13" hidden="1">#REF!,#REF!,#REF!</definedName>
    <definedName name="Z_28BDDCCC_2551_11D1_BD8E_0020AF42250B_.wvu.Cols" localSheetId="9" hidden="1">#REF!,#REF!,#REF!</definedName>
    <definedName name="Z_28BDDCCC_2551_11D1_BD8E_0020AF42250B_.wvu.Cols" localSheetId="8" hidden="1">#REF!,#REF!,#REF!</definedName>
    <definedName name="Z_28BDDCCC_2551_11D1_BD8E_0020AF42250B_.wvu.Cols" localSheetId="7" hidden="1">#REF!,#REF!,#REF!</definedName>
    <definedName name="Z_28BDDCCC_2551_11D1_BD8E_0020AF42250B_.wvu.Cols" hidden="1">#REF!,#REF!,#REF!</definedName>
    <definedName name="Z_28BDDCCD_2551_11D1_BD8E_0020AF42250B_.wvu.Cols" localSheetId="13" hidden="1">#REF!,#REF!,#REF!</definedName>
    <definedName name="Z_28BDDCCD_2551_11D1_BD8E_0020AF42250B_.wvu.Cols" localSheetId="8" hidden="1">#REF!,#REF!,#REF!</definedName>
    <definedName name="Z_28BDDCCD_2551_11D1_BD8E_0020AF42250B_.wvu.Cols" localSheetId="7" hidden="1">#REF!,#REF!,#REF!</definedName>
    <definedName name="Z_28BDDCCD_2551_11D1_BD8E_0020AF42250B_.wvu.Cols" hidden="1">#REF!,#REF!,#REF!</definedName>
    <definedName name="Z_28BDDCCF_2551_11D1_BD8E_0020AF42250B_.wvu.Cols" localSheetId="13" hidden="1">#REF!,#REF!,#REF!,#REF!</definedName>
    <definedName name="Z_28BDDCCF_2551_11D1_BD8E_0020AF42250B_.wvu.Cols" localSheetId="9" hidden="1">#REF!,#REF!,#REF!,#REF!</definedName>
    <definedName name="Z_28BDDCCF_2551_11D1_BD8E_0020AF42250B_.wvu.Cols" localSheetId="8" hidden="1">#REF!,#REF!,#REF!,#REF!</definedName>
    <definedName name="Z_28BDDCCF_2551_11D1_BD8E_0020AF42250B_.wvu.Cols" localSheetId="7" hidden="1">#REF!,#REF!,#REF!,#REF!</definedName>
    <definedName name="Z_28BDDCCF_2551_11D1_BD8E_0020AF42250B_.wvu.Cols" hidden="1">#REF!,#REF!,#REF!,#REF!</definedName>
    <definedName name="Z_28BDDCD0_2551_11D1_BD8E_0020AF42250B_.wvu.Cols" localSheetId="13" hidden="1">#REF!,#REF!,#REF!</definedName>
    <definedName name="Z_28BDDCD0_2551_11D1_BD8E_0020AF42250B_.wvu.Cols" localSheetId="9" hidden="1">#REF!,#REF!,#REF!</definedName>
    <definedName name="Z_28BDDCD0_2551_11D1_BD8E_0020AF42250B_.wvu.Cols" localSheetId="8" hidden="1">#REF!,#REF!,#REF!</definedName>
    <definedName name="Z_28BDDCD0_2551_11D1_BD8E_0020AF42250B_.wvu.Cols" localSheetId="7" hidden="1">#REF!,#REF!,#REF!</definedName>
    <definedName name="Z_28BDDCD0_2551_11D1_BD8E_0020AF42250B_.wvu.Cols" hidden="1">#REF!,#REF!,#REF!</definedName>
    <definedName name="Z_28BDDCD1_2551_11D1_BD8E_0020AF42250B_.wvu.Cols" localSheetId="13" hidden="1">#REF!,#REF!</definedName>
    <definedName name="Z_28BDDCD1_2551_11D1_BD8E_0020AF42250B_.wvu.Cols" localSheetId="9" hidden="1">#REF!,#REF!</definedName>
    <definedName name="Z_28BDDCD1_2551_11D1_BD8E_0020AF42250B_.wvu.Cols" localSheetId="8" hidden="1">#REF!,#REF!</definedName>
    <definedName name="Z_28BDDCD1_2551_11D1_BD8E_0020AF42250B_.wvu.Cols" localSheetId="7" hidden="1">#REF!,#REF!</definedName>
    <definedName name="Z_28BDDCD1_2551_11D1_BD8E_0020AF42250B_.wvu.Cols" hidden="1">#REF!,#REF!</definedName>
    <definedName name="Z_28BDDCD2_2551_11D1_BD8E_0020AF42250B_.wvu.Cols" localSheetId="13" hidden="1">#REF!,#REF!,#REF!</definedName>
    <definedName name="Z_28BDDCD2_2551_11D1_BD8E_0020AF42250B_.wvu.Cols" localSheetId="9" hidden="1">#REF!,#REF!,#REF!</definedName>
    <definedName name="Z_28BDDCD2_2551_11D1_BD8E_0020AF42250B_.wvu.Cols" localSheetId="8" hidden="1">#REF!,#REF!,#REF!</definedName>
    <definedName name="Z_28BDDCD2_2551_11D1_BD8E_0020AF42250B_.wvu.Cols" localSheetId="7" hidden="1">#REF!,#REF!,#REF!</definedName>
    <definedName name="Z_28BDDCD2_2551_11D1_BD8E_0020AF42250B_.wvu.Cols" hidden="1">#REF!,#REF!,#REF!</definedName>
    <definedName name="Z_28BDDCD3_2551_11D1_BD8E_0020AF42250B_.wvu.Cols" localSheetId="13" hidden="1">#REF!,#REF!,#REF!,#REF!</definedName>
    <definedName name="Z_28BDDCD3_2551_11D1_BD8E_0020AF42250B_.wvu.Cols" localSheetId="9" hidden="1">#REF!,#REF!,#REF!,#REF!</definedName>
    <definedName name="Z_28BDDCD3_2551_11D1_BD8E_0020AF42250B_.wvu.Cols" localSheetId="8" hidden="1">#REF!,#REF!,#REF!,#REF!</definedName>
    <definedName name="Z_28BDDCD3_2551_11D1_BD8E_0020AF42250B_.wvu.Cols" localSheetId="7" hidden="1">#REF!,#REF!,#REF!,#REF!</definedName>
    <definedName name="Z_28BDDCD3_2551_11D1_BD8E_0020AF42250B_.wvu.Cols" hidden="1">#REF!,#REF!,#REF!,#REF!</definedName>
    <definedName name="Z_28BDDCD8_2551_11D1_BD8E_0020AF42250B_.wvu.Cols" localSheetId="13" hidden="1">#REF!,#REF!,#REF!</definedName>
    <definedName name="Z_28BDDCD8_2551_11D1_BD8E_0020AF42250B_.wvu.Cols" localSheetId="9" hidden="1">#REF!,#REF!,#REF!</definedName>
    <definedName name="Z_28BDDCD8_2551_11D1_BD8E_0020AF42250B_.wvu.Cols" localSheetId="8" hidden="1">#REF!,#REF!,#REF!</definedName>
    <definedName name="Z_28BDDCD8_2551_11D1_BD8E_0020AF42250B_.wvu.Cols" localSheetId="7" hidden="1">#REF!,#REF!,#REF!</definedName>
    <definedName name="Z_28BDDCD8_2551_11D1_BD8E_0020AF42250B_.wvu.Cols" hidden="1">#REF!,#REF!,#REF!</definedName>
    <definedName name="Z_28BDDCD9_2551_11D1_BD8E_0020AF42250B_.wvu.Cols" localSheetId="13" hidden="1">#REF!,#REF!,#REF!</definedName>
    <definedName name="Z_28BDDCD9_2551_11D1_BD8E_0020AF42250B_.wvu.Cols" localSheetId="9" hidden="1">#REF!,#REF!,#REF!</definedName>
    <definedName name="Z_28BDDCD9_2551_11D1_BD8E_0020AF42250B_.wvu.Cols" localSheetId="8" hidden="1">#REF!,#REF!,#REF!</definedName>
    <definedName name="Z_28BDDCD9_2551_11D1_BD8E_0020AF42250B_.wvu.Cols" localSheetId="7" hidden="1">#REF!,#REF!,#REF!</definedName>
    <definedName name="Z_28BDDCD9_2551_11D1_BD8E_0020AF42250B_.wvu.Cols" hidden="1">#REF!,#REF!,#REF!</definedName>
    <definedName name="Z_38B66622_465C_11D1_8554_0080C7F00AC6_.wvu.Cols" localSheetId="13" hidden="1">#REF!,#REF!,#REF!</definedName>
    <definedName name="Z_38B66622_465C_11D1_8554_0080C7F00AC6_.wvu.Cols" localSheetId="9" hidden="1">#REF!,#REF!,#REF!</definedName>
    <definedName name="Z_38B66622_465C_11D1_8554_0080C7F00AC6_.wvu.Cols" localSheetId="8" hidden="1">#REF!,#REF!,#REF!</definedName>
    <definedName name="Z_38B66622_465C_11D1_8554_0080C7F00AC6_.wvu.Cols" localSheetId="7" hidden="1">#REF!,#REF!,#REF!</definedName>
    <definedName name="Z_38B66622_465C_11D1_8554_0080C7F00AC6_.wvu.Cols" hidden="1">#REF!,#REF!,#REF!</definedName>
    <definedName name="Z_38B66623_465C_11D1_8554_0080C7F00AC6_.wvu.Cols" localSheetId="13" hidden="1">#REF!,#REF!,#REF!</definedName>
    <definedName name="Z_38B66623_465C_11D1_8554_0080C7F00AC6_.wvu.Cols" localSheetId="7" hidden="1">#REF!,#REF!,#REF!</definedName>
    <definedName name="Z_38B66623_465C_11D1_8554_0080C7F00AC6_.wvu.Cols" hidden="1">#REF!,#REF!,#REF!</definedName>
    <definedName name="Z_38B66625_465C_11D1_8554_0080C7F00AC6_.wvu.Cols" localSheetId="13" hidden="1">#REF!,#REF!,#REF!,#REF!</definedName>
    <definedName name="Z_38B66625_465C_11D1_8554_0080C7F00AC6_.wvu.Cols" localSheetId="9" hidden="1">#REF!,#REF!,#REF!,#REF!</definedName>
    <definedName name="Z_38B66625_465C_11D1_8554_0080C7F00AC6_.wvu.Cols" localSheetId="8" hidden="1">#REF!,#REF!,#REF!,#REF!</definedName>
    <definedName name="Z_38B66625_465C_11D1_8554_0080C7F00AC6_.wvu.Cols" localSheetId="7" hidden="1">#REF!,#REF!,#REF!,#REF!</definedName>
    <definedName name="Z_38B66625_465C_11D1_8554_0080C7F00AC6_.wvu.Cols" hidden="1">#REF!,#REF!,#REF!,#REF!</definedName>
    <definedName name="Z_38B66626_465C_11D1_8554_0080C7F00AC6_.wvu.Cols" localSheetId="13" hidden="1">#REF!,#REF!,#REF!</definedName>
    <definedName name="Z_38B66626_465C_11D1_8554_0080C7F00AC6_.wvu.Cols" localSheetId="9" hidden="1">#REF!,#REF!,#REF!</definedName>
    <definedName name="Z_38B66626_465C_11D1_8554_0080C7F00AC6_.wvu.Cols" localSheetId="8" hidden="1">#REF!,#REF!,#REF!</definedName>
    <definedName name="Z_38B66626_465C_11D1_8554_0080C7F00AC6_.wvu.Cols" localSheetId="7" hidden="1">#REF!,#REF!,#REF!</definedName>
    <definedName name="Z_38B66626_465C_11D1_8554_0080C7F00AC6_.wvu.Cols" hidden="1">#REF!,#REF!,#REF!</definedName>
    <definedName name="Z_38B66627_465C_11D1_8554_0080C7F00AC6_.wvu.Cols" localSheetId="13" hidden="1">#REF!,#REF!</definedName>
    <definedName name="Z_38B66627_465C_11D1_8554_0080C7F00AC6_.wvu.Cols" localSheetId="9" hidden="1">#REF!,#REF!</definedName>
    <definedName name="Z_38B66627_465C_11D1_8554_0080C7F00AC6_.wvu.Cols" localSheetId="8" hidden="1">#REF!,#REF!</definedName>
    <definedName name="Z_38B66627_465C_11D1_8554_0080C7F00AC6_.wvu.Cols" localSheetId="7" hidden="1">#REF!,#REF!</definedName>
    <definedName name="Z_38B66627_465C_11D1_8554_0080C7F00AC6_.wvu.Cols" hidden="1">#REF!,#REF!</definedName>
    <definedName name="Z_38B66628_465C_11D1_8554_0080C7F00AC6_.wvu.Cols" localSheetId="13" hidden="1">#REF!,#REF!,#REF!</definedName>
    <definedName name="Z_38B66628_465C_11D1_8554_0080C7F00AC6_.wvu.Cols" localSheetId="9" hidden="1">#REF!,#REF!,#REF!</definedName>
    <definedName name="Z_38B66628_465C_11D1_8554_0080C7F00AC6_.wvu.Cols" localSheetId="8" hidden="1">#REF!,#REF!,#REF!</definedName>
    <definedName name="Z_38B66628_465C_11D1_8554_0080C7F00AC6_.wvu.Cols" localSheetId="7" hidden="1">#REF!,#REF!,#REF!</definedName>
    <definedName name="Z_38B66628_465C_11D1_8554_0080C7F00AC6_.wvu.Cols" hidden="1">#REF!,#REF!,#REF!</definedName>
    <definedName name="Z_38B66629_465C_11D1_8554_0080C7F00AC6_.wvu.Cols" localSheetId="13" hidden="1">#REF!,#REF!,#REF!,#REF!</definedName>
    <definedName name="Z_38B66629_465C_11D1_8554_0080C7F00AC6_.wvu.Cols" localSheetId="9" hidden="1">#REF!,#REF!,#REF!,#REF!</definedName>
    <definedName name="Z_38B66629_465C_11D1_8554_0080C7F00AC6_.wvu.Cols" localSheetId="8" hidden="1">#REF!,#REF!,#REF!,#REF!</definedName>
    <definedName name="Z_38B66629_465C_11D1_8554_0080C7F00AC6_.wvu.Cols" localSheetId="7" hidden="1">#REF!,#REF!,#REF!,#REF!</definedName>
    <definedName name="Z_38B66629_465C_11D1_8554_0080C7F00AC6_.wvu.Cols" hidden="1">#REF!,#REF!,#REF!,#REF!</definedName>
    <definedName name="Z_38B6662E_465C_11D1_8554_0080C7F00AC6_.wvu.Cols" localSheetId="13" hidden="1">#REF!,#REF!,#REF!</definedName>
    <definedName name="Z_38B6662E_465C_11D1_8554_0080C7F00AC6_.wvu.Cols" localSheetId="9" hidden="1">#REF!,#REF!,#REF!</definedName>
    <definedName name="Z_38B6662E_465C_11D1_8554_0080C7F00AC6_.wvu.Cols" localSheetId="8" hidden="1">#REF!,#REF!,#REF!</definedName>
    <definedName name="Z_38B6662E_465C_11D1_8554_0080C7F00AC6_.wvu.Cols" localSheetId="7" hidden="1">#REF!,#REF!,#REF!</definedName>
    <definedName name="Z_38B6662E_465C_11D1_8554_0080C7F00AC6_.wvu.Cols" hidden="1">#REF!,#REF!,#REF!</definedName>
    <definedName name="Z_38B6662F_465C_11D1_8554_0080C7F00AC6_.wvu.Cols" localSheetId="13" hidden="1">#REF!,#REF!,#REF!</definedName>
    <definedName name="Z_38B6662F_465C_11D1_8554_0080C7F00AC6_.wvu.Cols" localSheetId="9" hidden="1">#REF!,#REF!,#REF!</definedName>
    <definedName name="Z_38B6662F_465C_11D1_8554_0080C7F00AC6_.wvu.Cols" localSheetId="8" hidden="1">#REF!,#REF!,#REF!</definedName>
    <definedName name="Z_38B6662F_465C_11D1_8554_0080C7F00AC6_.wvu.Cols" localSheetId="7" hidden="1">#REF!,#REF!,#REF!</definedName>
    <definedName name="Z_38B6662F_465C_11D1_8554_0080C7F00AC6_.wvu.Cols" hidden="1">#REF!,#REF!,#REF!</definedName>
    <definedName name="Z_3FFCEA43_F8AA_11D0_BD29_0020AF42250B_.wvu.Cols" localSheetId="13" hidden="1">#REF!,#REF!,#REF!</definedName>
    <definedName name="Z_3FFCEA43_F8AA_11D0_BD29_0020AF42250B_.wvu.Cols" localSheetId="9" hidden="1">#REF!,#REF!,#REF!</definedName>
    <definedName name="Z_3FFCEA43_F8AA_11D0_BD29_0020AF42250B_.wvu.Cols" localSheetId="8" hidden="1">#REF!,#REF!,#REF!</definedName>
    <definedName name="Z_3FFCEA43_F8AA_11D0_BD29_0020AF42250B_.wvu.Cols" localSheetId="7" hidden="1">#REF!,#REF!,#REF!</definedName>
    <definedName name="Z_3FFCEA43_F8AA_11D0_BD29_0020AF42250B_.wvu.Cols" hidden="1">#REF!,#REF!,#REF!</definedName>
    <definedName name="Z_3FFCEA43_F8AA_11D0_BD29_0020AF42250B_.wvu.PrintArea" localSheetId="13" hidden="1">#REF!</definedName>
    <definedName name="Z_3FFCEA43_F8AA_11D0_BD29_0020AF42250B_.wvu.PrintArea" localSheetId="9" hidden="1">#REF!</definedName>
    <definedName name="Z_3FFCEA43_F8AA_11D0_BD29_0020AF42250B_.wvu.PrintArea" localSheetId="8" hidden="1">#REF!</definedName>
    <definedName name="Z_3FFCEA43_F8AA_11D0_BD29_0020AF42250B_.wvu.PrintArea" localSheetId="7" hidden="1">#REF!</definedName>
    <definedName name="Z_3FFCEA43_F8AA_11D0_BD29_0020AF42250B_.wvu.PrintArea" hidden="1">#REF!</definedName>
    <definedName name="Z_3FFCEA43_F8AA_11D0_BD29_0020AF42250B_.wvu.PrintTitles" localSheetId="13" hidden="1">#REF!</definedName>
    <definedName name="Z_3FFCEA43_F8AA_11D0_BD29_0020AF42250B_.wvu.PrintTitles" localSheetId="9" hidden="1">#REF!</definedName>
    <definedName name="Z_3FFCEA43_F8AA_11D0_BD29_0020AF42250B_.wvu.PrintTitles" localSheetId="8" hidden="1">#REF!</definedName>
    <definedName name="Z_3FFCEA43_F8AA_11D0_BD29_0020AF42250B_.wvu.PrintTitles" localSheetId="7" hidden="1">#REF!</definedName>
    <definedName name="Z_3FFCEA43_F8AA_11D0_BD29_0020AF42250B_.wvu.PrintTitles" hidden="1">#REF!</definedName>
    <definedName name="Z_40D1A02B_1594_11D1_BD73_0020AF42250B_.wvu.Cols" localSheetId="13" hidden="1">#REF!,#REF!,#REF!</definedName>
    <definedName name="Z_40D1A02B_1594_11D1_BD73_0020AF42250B_.wvu.Cols" localSheetId="9" hidden="1">#REF!,#REF!,#REF!</definedName>
    <definedName name="Z_40D1A02B_1594_11D1_BD73_0020AF42250B_.wvu.Cols" localSheetId="8" hidden="1">#REF!,#REF!,#REF!</definedName>
    <definedName name="Z_40D1A02B_1594_11D1_BD73_0020AF42250B_.wvu.Cols" localSheetId="7" hidden="1">#REF!,#REF!,#REF!</definedName>
    <definedName name="Z_40D1A02B_1594_11D1_BD73_0020AF42250B_.wvu.Cols" hidden="1">#REF!,#REF!,#REF!</definedName>
    <definedName name="Z_40D1A02C_1594_11D1_BD73_0020AF42250B_.wvu.Cols" localSheetId="13" hidden="1">#REF!,#REF!,#REF!</definedName>
    <definedName name="Z_40D1A02C_1594_11D1_BD73_0020AF42250B_.wvu.Cols" localSheetId="9" hidden="1">#REF!,#REF!,#REF!</definedName>
    <definedName name="Z_40D1A02C_1594_11D1_BD73_0020AF42250B_.wvu.Cols" localSheetId="8" hidden="1">#REF!,#REF!,#REF!</definedName>
    <definedName name="Z_40D1A02C_1594_11D1_BD73_0020AF42250B_.wvu.Cols" localSheetId="7" hidden="1">#REF!,#REF!,#REF!</definedName>
    <definedName name="Z_40D1A02C_1594_11D1_BD73_0020AF42250B_.wvu.Cols" hidden="1">#REF!,#REF!,#REF!</definedName>
    <definedName name="Z_40D1A02D_1594_11D1_BD73_0020AF42250B_.wvu.Cols" localSheetId="13" hidden="1">#REF!,#REF!,#REF!,#REF!</definedName>
    <definedName name="Z_40D1A02D_1594_11D1_BD73_0020AF42250B_.wvu.Cols" localSheetId="9" hidden="1">#REF!,#REF!,#REF!,#REF!</definedName>
    <definedName name="Z_40D1A02D_1594_11D1_BD73_0020AF42250B_.wvu.Cols" localSheetId="8" hidden="1">#REF!,#REF!,#REF!,#REF!</definedName>
    <definedName name="Z_40D1A02D_1594_11D1_BD73_0020AF42250B_.wvu.Cols" localSheetId="7" hidden="1">#REF!,#REF!,#REF!,#REF!</definedName>
    <definedName name="Z_40D1A02D_1594_11D1_BD73_0020AF42250B_.wvu.Cols" hidden="1">#REF!,#REF!,#REF!,#REF!</definedName>
    <definedName name="Z_40D1A02E_1594_11D1_BD73_0020AF42250B_.wvu.Cols" localSheetId="13" hidden="1">#REF!,#REF!,#REF!</definedName>
    <definedName name="Z_40D1A02E_1594_11D1_BD73_0020AF42250B_.wvu.Cols" localSheetId="9" hidden="1">#REF!,#REF!,#REF!</definedName>
    <definedName name="Z_40D1A02E_1594_11D1_BD73_0020AF42250B_.wvu.Cols" localSheetId="8" hidden="1">#REF!,#REF!,#REF!</definedName>
    <definedName name="Z_40D1A02E_1594_11D1_BD73_0020AF42250B_.wvu.Cols" localSheetId="7" hidden="1">#REF!,#REF!,#REF!</definedName>
    <definedName name="Z_40D1A02E_1594_11D1_BD73_0020AF42250B_.wvu.Cols" hidden="1">#REF!,#REF!,#REF!</definedName>
    <definedName name="Z_40D1A02F_1594_11D1_BD73_0020AF42250B_.wvu.Cols" localSheetId="13" hidden="1">#REF!,#REF!</definedName>
    <definedName name="Z_40D1A02F_1594_11D1_BD73_0020AF42250B_.wvu.Cols" localSheetId="9" hidden="1">#REF!,#REF!</definedName>
    <definedName name="Z_40D1A02F_1594_11D1_BD73_0020AF42250B_.wvu.Cols" localSheetId="8" hidden="1">#REF!,#REF!</definedName>
    <definedName name="Z_40D1A02F_1594_11D1_BD73_0020AF42250B_.wvu.Cols" localSheetId="7" hidden="1">#REF!,#REF!</definedName>
    <definedName name="Z_40D1A02F_1594_11D1_BD73_0020AF42250B_.wvu.Cols" hidden="1">#REF!,#REF!</definedName>
    <definedName name="Z_40D1A030_1594_11D1_BD73_0020AF42250B_.wvu.Cols" localSheetId="13" hidden="1">#REF!,#REF!,#REF!</definedName>
    <definedName name="Z_40D1A030_1594_11D1_BD73_0020AF42250B_.wvu.Cols" localSheetId="9" hidden="1">#REF!,#REF!,#REF!</definedName>
    <definedName name="Z_40D1A030_1594_11D1_BD73_0020AF42250B_.wvu.Cols" localSheetId="8" hidden="1">#REF!,#REF!,#REF!</definedName>
    <definedName name="Z_40D1A030_1594_11D1_BD73_0020AF42250B_.wvu.Cols" localSheetId="7" hidden="1">#REF!,#REF!,#REF!</definedName>
    <definedName name="Z_40D1A030_1594_11D1_BD73_0020AF42250B_.wvu.Cols" hidden="1">#REF!,#REF!,#REF!</definedName>
    <definedName name="Z_40D1A031_1594_11D1_BD73_0020AF42250B_.wvu.Cols" localSheetId="13" hidden="1">#REF!,#REF!,#REF!,#REF!</definedName>
    <definedName name="Z_40D1A031_1594_11D1_BD73_0020AF42250B_.wvu.Cols" localSheetId="9" hidden="1">#REF!,#REF!,#REF!,#REF!</definedName>
    <definedName name="Z_40D1A031_1594_11D1_BD73_0020AF42250B_.wvu.Cols" localSheetId="8" hidden="1">#REF!,#REF!,#REF!,#REF!</definedName>
    <definedName name="Z_40D1A031_1594_11D1_BD73_0020AF42250B_.wvu.Cols" localSheetId="7" hidden="1">#REF!,#REF!,#REF!,#REF!</definedName>
    <definedName name="Z_40D1A031_1594_11D1_BD73_0020AF42250B_.wvu.Cols" hidden="1">#REF!,#REF!,#REF!,#REF!</definedName>
    <definedName name="Z_40D1A032_1594_11D1_BD73_0020AF42250B_.wvu.Cols" localSheetId="13" hidden="1">#REF!,#REF!,#REF!</definedName>
    <definedName name="Z_40D1A032_1594_11D1_BD73_0020AF42250B_.wvu.Cols" localSheetId="9" hidden="1">#REF!,#REF!,#REF!</definedName>
    <definedName name="Z_40D1A032_1594_11D1_BD73_0020AF42250B_.wvu.Cols" localSheetId="8" hidden="1">#REF!,#REF!,#REF!</definedName>
    <definedName name="Z_40D1A032_1594_11D1_BD73_0020AF42250B_.wvu.Cols" localSheetId="7" hidden="1">#REF!,#REF!,#REF!</definedName>
    <definedName name="Z_40D1A032_1594_11D1_BD73_0020AF42250B_.wvu.Cols" hidden="1">#REF!,#REF!,#REF!</definedName>
    <definedName name="Z_40D1A033_1594_11D1_BD73_0020AF42250B_.wvu.Cols" localSheetId="13" hidden="1">#REF!,#REF!,#REF!</definedName>
    <definedName name="Z_40D1A033_1594_11D1_BD73_0020AF42250B_.wvu.Cols" localSheetId="9" hidden="1">#REF!,#REF!,#REF!</definedName>
    <definedName name="Z_40D1A033_1594_11D1_BD73_0020AF42250B_.wvu.Cols" localSheetId="8" hidden="1">#REF!,#REF!,#REF!</definedName>
    <definedName name="Z_40D1A033_1594_11D1_BD73_0020AF42250B_.wvu.Cols" localSheetId="7" hidden="1">#REF!,#REF!,#REF!</definedName>
    <definedName name="Z_40D1A033_1594_11D1_BD73_0020AF42250B_.wvu.Cols" hidden="1">#REF!,#REF!,#REF!</definedName>
    <definedName name="Z_40D1A104_1594_11D1_BD73_0020AF42250B_.wvu.Cols" localSheetId="13" hidden="1">#REF!,#REF!,#REF!</definedName>
    <definedName name="Z_40D1A104_1594_11D1_BD73_0020AF42250B_.wvu.Cols" localSheetId="9" hidden="1">#REF!,#REF!,#REF!</definedName>
    <definedName name="Z_40D1A104_1594_11D1_BD73_0020AF42250B_.wvu.Cols" localSheetId="8" hidden="1">#REF!,#REF!,#REF!</definedName>
    <definedName name="Z_40D1A104_1594_11D1_BD73_0020AF42250B_.wvu.Cols" localSheetId="7" hidden="1">#REF!,#REF!,#REF!</definedName>
    <definedName name="Z_40D1A104_1594_11D1_BD73_0020AF42250B_.wvu.Cols" hidden="1">#REF!,#REF!,#REF!</definedName>
    <definedName name="Z_40D1A105_1594_11D1_BD73_0020AF42250B_.wvu.Cols" localSheetId="13" hidden="1">#REF!,#REF!,#REF!</definedName>
    <definedName name="Z_40D1A105_1594_11D1_BD73_0020AF42250B_.wvu.Cols" localSheetId="7" hidden="1">#REF!,#REF!,#REF!</definedName>
    <definedName name="Z_40D1A105_1594_11D1_BD73_0020AF42250B_.wvu.Cols" hidden="1">#REF!,#REF!,#REF!</definedName>
    <definedName name="Z_40D1A107_1594_11D1_BD73_0020AF42250B_.wvu.Cols" localSheetId="13" hidden="1">#REF!,#REF!,#REF!,#REF!</definedName>
    <definedName name="Z_40D1A107_1594_11D1_BD73_0020AF42250B_.wvu.Cols" localSheetId="9" hidden="1">#REF!,#REF!,#REF!,#REF!</definedName>
    <definedName name="Z_40D1A107_1594_11D1_BD73_0020AF42250B_.wvu.Cols" localSheetId="8" hidden="1">#REF!,#REF!,#REF!,#REF!</definedName>
    <definedName name="Z_40D1A107_1594_11D1_BD73_0020AF42250B_.wvu.Cols" localSheetId="7" hidden="1">#REF!,#REF!,#REF!,#REF!</definedName>
    <definedName name="Z_40D1A107_1594_11D1_BD73_0020AF42250B_.wvu.Cols" hidden="1">#REF!,#REF!,#REF!,#REF!</definedName>
    <definedName name="Z_40D1A109_1594_11D1_BD73_0020AF42250B_.wvu.Cols" localSheetId="13" hidden="1">#REF!,#REF!,#REF!</definedName>
    <definedName name="Z_40D1A109_1594_11D1_BD73_0020AF42250B_.wvu.Cols" localSheetId="9" hidden="1">#REF!,#REF!,#REF!</definedName>
    <definedName name="Z_40D1A109_1594_11D1_BD73_0020AF42250B_.wvu.Cols" localSheetId="8" hidden="1">#REF!,#REF!,#REF!</definedName>
    <definedName name="Z_40D1A109_1594_11D1_BD73_0020AF42250B_.wvu.Cols" localSheetId="7" hidden="1">#REF!,#REF!,#REF!</definedName>
    <definedName name="Z_40D1A109_1594_11D1_BD73_0020AF42250B_.wvu.Cols" hidden="1">#REF!,#REF!,#REF!</definedName>
    <definedName name="Z_40D1A10B_1594_11D1_BD73_0020AF42250B_.wvu.Cols" localSheetId="13" hidden="1">#REF!,#REF!</definedName>
    <definedName name="Z_40D1A10B_1594_11D1_BD73_0020AF42250B_.wvu.Cols" localSheetId="9" hidden="1">#REF!,#REF!</definedName>
    <definedName name="Z_40D1A10B_1594_11D1_BD73_0020AF42250B_.wvu.Cols" localSheetId="8" hidden="1">#REF!,#REF!</definedName>
    <definedName name="Z_40D1A10B_1594_11D1_BD73_0020AF42250B_.wvu.Cols" localSheetId="7" hidden="1">#REF!,#REF!</definedName>
    <definedName name="Z_40D1A10B_1594_11D1_BD73_0020AF42250B_.wvu.Cols" hidden="1">#REF!,#REF!</definedName>
    <definedName name="Z_40D1A10C_1594_11D1_BD73_0020AF42250B_.wvu.Cols" localSheetId="13" hidden="1">#REF!,#REF!,#REF!</definedName>
    <definedName name="Z_40D1A10C_1594_11D1_BD73_0020AF42250B_.wvu.Cols" localSheetId="9" hidden="1">#REF!,#REF!,#REF!</definedName>
    <definedName name="Z_40D1A10C_1594_11D1_BD73_0020AF42250B_.wvu.Cols" localSheetId="8" hidden="1">#REF!,#REF!,#REF!</definedName>
    <definedName name="Z_40D1A10C_1594_11D1_BD73_0020AF42250B_.wvu.Cols" localSheetId="7" hidden="1">#REF!,#REF!,#REF!</definedName>
    <definedName name="Z_40D1A10C_1594_11D1_BD73_0020AF42250B_.wvu.Cols" hidden="1">#REF!,#REF!,#REF!</definedName>
    <definedName name="Z_40D1A10F_1594_11D1_BD73_0020AF42250B_.wvu.Cols" localSheetId="13" hidden="1">#REF!,#REF!,#REF!,#REF!</definedName>
    <definedName name="Z_40D1A10F_1594_11D1_BD73_0020AF42250B_.wvu.Cols" localSheetId="9" hidden="1">#REF!,#REF!,#REF!,#REF!</definedName>
    <definedName name="Z_40D1A10F_1594_11D1_BD73_0020AF42250B_.wvu.Cols" localSheetId="8" hidden="1">#REF!,#REF!,#REF!,#REF!</definedName>
    <definedName name="Z_40D1A10F_1594_11D1_BD73_0020AF42250B_.wvu.Cols" localSheetId="7" hidden="1">#REF!,#REF!,#REF!,#REF!</definedName>
    <definedName name="Z_40D1A10F_1594_11D1_BD73_0020AF42250B_.wvu.Cols" hidden="1">#REF!,#REF!,#REF!,#REF!</definedName>
    <definedName name="Z_40D1A114_1594_11D1_BD73_0020AF42250B_.wvu.Cols" localSheetId="13" hidden="1">#REF!,#REF!,#REF!</definedName>
    <definedName name="Z_40D1A114_1594_11D1_BD73_0020AF42250B_.wvu.Cols" localSheetId="9" hidden="1">#REF!,#REF!,#REF!</definedName>
    <definedName name="Z_40D1A114_1594_11D1_BD73_0020AF42250B_.wvu.Cols" localSheetId="8" hidden="1">#REF!,#REF!,#REF!</definedName>
    <definedName name="Z_40D1A114_1594_11D1_BD73_0020AF42250B_.wvu.Cols" localSheetId="7" hidden="1">#REF!,#REF!,#REF!</definedName>
    <definedName name="Z_40D1A114_1594_11D1_BD73_0020AF42250B_.wvu.Cols" hidden="1">#REF!,#REF!,#REF!</definedName>
    <definedName name="Z_40D1A115_1594_11D1_BD73_0020AF42250B_.wvu.Cols" localSheetId="13" hidden="1">#REF!,#REF!,#REF!</definedName>
    <definedName name="Z_40D1A115_1594_11D1_BD73_0020AF42250B_.wvu.Cols" localSheetId="9" hidden="1">#REF!,#REF!,#REF!</definedName>
    <definedName name="Z_40D1A115_1594_11D1_BD73_0020AF42250B_.wvu.Cols" localSheetId="8" hidden="1">#REF!,#REF!,#REF!</definedName>
    <definedName name="Z_40D1A115_1594_11D1_BD73_0020AF42250B_.wvu.Cols" localSheetId="7" hidden="1">#REF!,#REF!,#REF!</definedName>
    <definedName name="Z_40D1A115_1594_11D1_BD73_0020AF42250B_.wvu.Cols" hidden="1">#REF!,#REF!,#REF!</definedName>
    <definedName name="Z_49179D1A_043D_11D1_BD55_0020AF42250B_.wvu.Cols" localSheetId="13" hidden="1">#REF!,#REF!</definedName>
    <definedName name="Z_49179D1A_043D_11D1_BD55_0020AF42250B_.wvu.Cols" localSheetId="9" hidden="1">#REF!,#REF!</definedName>
    <definedName name="Z_49179D1A_043D_11D1_BD55_0020AF42250B_.wvu.Cols" localSheetId="8" hidden="1">#REF!,#REF!</definedName>
    <definedName name="Z_49179D1A_043D_11D1_BD55_0020AF42250B_.wvu.Cols" localSheetId="7" hidden="1">#REF!,#REF!</definedName>
    <definedName name="Z_49179D1A_043D_11D1_BD55_0020AF42250B_.wvu.Cols" hidden="1">#REF!,#REF!</definedName>
    <definedName name="Z_49179D1A_043D_11D1_BD55_0020AF42250B_.wvu.PrintArea" localSheetId="13" hidden="1">#REF!</definedName>
    <definedName name="Z_49179D1A_043D_11D1_BD55_0020AF42250B_.wvu.PrintArea" localSheetId="9" hidden="1">#REF!</definedName>
    <definedName name="Z_49179D1A_043D_11D1_BD55_0020AF42250B_.wvu.PrintArea" localSheetId="8" hidden="1">#REF!</definedName>
    <definedName name="Z_49179D1A_043D_11D1_BD55_0020AF42250B_.wvu.PrintArea" localSheetId="7" hidden="1">#REF!</definedName>
    <definedName name="Z_49179D1A_043D_11D1_BD55_0020AF42250B_.wvu.PrintArea" hidden="1">#REF!</definedName>
    <definedName name="Z_49179D1A_043D_11D1_BD55_0020AF42250B_.wvu.PrintTitles" localSheetId="13" hidden="1">#REF!</definedName>
    <definedName name="Z_49179D1A_043D_11D1_BD55_0020AF42250B_.wvu.PrintTitles" localSheetId="9" hidden="1">#REF!</definedName>
    <definedName name="Z_49179D1A_043D_11D1_BD55_0020AF42250B_.wvu.PrintTitles" localSheetId="8" hidden="1">#REF!</definedName>
    <definedName name="Z_49179D1A_043D_11D1_BD55_0020AF42250B_.wvu.PrintTitles" localSheetId="7" hidden="1">#REF!</definedName>
    <definedName name="Z_49179D1A_043D_11D1_BD55_0020AF42250B_.wvu.PrintTitles" hidden="1">#REF!</definedName>
    <definedName name="Z_49179D1D_043D_11D1_BD55_0020AF42250B_.wvu.Cols" localSheetId="13" hidden="1">#REF!,#REF!,#REF!</definedName>
    <definedName name="Z_49179D1D_043D_11D1_BD55_0020AF42250B_.wvu.Cols" localSheetId="9" hidden="1">#REF!,#REF!,#REF!</definedName>
    <definedName name="Z_49179D1D_043D_11D1_BD55_0020AF42250B_.wvu.Cols" localSheetId="8" hidden="1">#REF!,#REF!,#REF!</definedName>
    <definedName name="Z_49179D1D_043D_11D1_BD55_0020AF42250B_.wvu.Cols" localSheetId="7" hidden="1">#REF!,#REF!,#REF!</definedName>
    <definedName name="Z_49179D1D_043D_11D1_BD55_0020AF42250B_.wvu.Cols" hidden="1">#REF!,#REF!,#REF!</definedName>
    <definedName name="Z_49179D1D_043D_11D1_BD55_0020AF42250B_.wvu.PrintArea" localSheetId="13" hidden="1">#REF!</definedName>
    <definedName name="Z_49179D1D_043D_11D1_BD55_0020AF42250B_.wvu.PrintArea" localSheetId="9" hidden="1">#REF!</definedName>
    <definedName name="Z_49179D1D_043D_11D1_BD55_0020AF42250B_.wvu.PrintArea" localSheetId="8" hidden="1">#REF!</definedName>
    <definedName name="Z_49179D1D_043D_11D1_BD55_0020AF42250B_.wvu.PrintArea" localSheetId="7" hidden="1">#REF!</definedName>
    <definedName name="Z_49179D1D_043D_11D1_BD55_0020AF42250B_.wvu.PrintArea" hidden="1">#REF!</definedName>
    <definedName name="Z_49179D1D_043D_11D1_BD55_0020AF42250B_.wvu.PrintTitles" localSheetId="13" hidden="1">#REF!</definedName>
    <definedName name="Z_49179D1D_043D_11D1_BD55_0020AF42250B_.wvu.PrintTitles" localSheetId="9" hidden="1">#REF!</definedName>
    <definedName name="Z_49179D1D_043D_11D1_BD55_0020AF42250B_.wvu.PrintTitles" localSheetId="8" hidden="1">#REF!</definedName>
    <definedName name="Z_49179D1D_043D_11D1_BD55_0020AF42250B_.wvu.PrintTitles" localSheetId="7" hidden="1">#REF!</definedName>
    <definedName name="Z_49179D1D_043D_11D1_BD55_0020AF42250B_.wvu.PrintTitles" hidden="1">#REF!</definedName>
    <definedName name="Z_627E98CA_893D_11D2_9EFC_00C04FE0572F_.wvu.PrintArea" localSheetId="13" hidden="1">#REF!</definedName>
    <definedName name="Z_627E98CA_893D_11D2_9EFC_00C04FE0572F_.wvu.PrintArea" localSheetId="9" hidden="1">#REF!</definedName>
    <definedName name="Z_627E98CA_893D_11D2_9EFC_00C04FE0572F_.wvu.PrintArea" localSheetId="8" hidden="1">#REF!</definedName>
    <definedName name="Z_627E98CA_893D_11D2_9EFC_00C04FE0572F_.wvu.PrintArea" localSheetId="7" hidden="1">#REF!</definedName>
    <definedName name="Z_627E98CA_893D_11D2_9EFC_00C04FE0572F_.wvu.PrintArea" hidden="1">#REF!</definedName>
    <definedName name="Z_627E98CB_893D_11D2_9EFC_00C04FE0572F_.wvu.Cols" localSheetId="13" hidden="1">#REF!,#REF!,#REF!</definedName>
    <definedName name="Z_627E98CB_893D_11D2_9EFC_00C04FE0572F_.wvu.Cols" localSheetId="9" hidden="1">#REF!,#REF!,#REF!</definedName>
    <definedName name="Z_627E98CB_893D_11D2_9EFC_00C04FE0572F_.wvu.Cols" localSheetId="8" hidden="1">#REF!,#REF!,#REF!</definedName>
    <definedName name="Z_627E98CB_893D_11D2_9EFC_00C04FE0572F_.wvu.Cols" localSheetId="7" hidden="1">#REF!,#REF!,#REF!</definedName>
    <definedName name="Z_627E98CB_893D_11D2_9EFC_00C04FE0572F_.wvu.Cols" hidden="1">#REF!,#REF!,#REF!</definedName>
    <definedName name="Z_627E98CB_893D_11D2_9EFC_00C04FE0572F_.wvu.PrintArea" localSheetId="13" hidden="1">#REF!</definedName>
    <definedName name="Z_627E98CB_893D_11D2_9EFC_00C04FE0572F_.wvu.PrintArea" localSheetId="9" hidden="1">#REF!</definedName>
    <definedName name="Z_627E98CB_893D_11D2_9EFC_00C04FE0572F_.wvu.PrintArea" localSheetId="8" hidden="1">#REF!</definedName>
    <definedName name="Z_627E98CB_893D_11D2_9EFC_00C04FE0572F_.wvu.PrintArea" localSheetId="7" hidden="1">#REF!</definedName>
    <definedName name="Z_627E98CB_893D_11D2_9EFC_00C04FE0572F_.wvu.PrintArea" hidden="1">#REF!</definedName>
    <definedName name="Z_627E98CB_893D_11D2_9EFC_00C04FE0572F_.wvu.PrintTitles" localSheetId="13" hidden="1">#REF!</definedName>
    <definedName name="Z_627E98CB_893D_11D2_9EFC_00C04FE0572F_.wvu.PrintTitles" localSheetId="9" hidden="1">#REF!</definedName>
    <definedName name="Z_627E98CB_893D_11D2_9EFC_00C04FE0572F_.wvu.PrintTitles" localSheetId="8" hidden="1">#REF!</definedName>
    <definedName name="Z_627E98CB_893D_11D2_9EFC_00C04FE0572F_.wvu.PrintTitles" localSheetId="7" hidden="1">#REF!</definedName>
    <definedName name="Z_627E98CB_893D_11D2_9EFC_00C04FE0572F_.wvu.PrintTitles" hidden="1">#REF!</definedName>
    <definedName name="Z_6DFA7DCF_3C08_11D1_BDBE_0020AF42250B_.wvu.PrintArea" localSheetId="13" hidden="1">#REF!</definedName>
    <definedName name="Z_6DFA7DCF_3C08_11D1_BDBE_0020AF42250B_.wvu.PrintArea" localSheetId="9" hidden="1">#REF!</definedName>
    <definedName name="Z_6DFA7DCF_3C08_11D1_BDBE_0020AF42250B_.wvu.PrintArea" localSheetId="8" hidden="1">#REF!</definedName>
    <definedName name="Z_6DFA7DCF_3C08_11D1_BDBE_0020AF42250B_.wvu.PrintArea" localSheetId="7" hidden="1">#REF!</definedName>
    <definedName name="Z_6DFA7DCF_3C08_11D1_BDBE_0020AF42250B_.wvu.PrintArea" hidden="1">#REF!</definedName>
    <definedName name="Z_6DFA7DCF_3C08_11D1_BDBE_0020AF42250B_.wvu.PrintTitles" localSheetId="13" hidden="1">#REF!</definedName>
    <definedName name="Z_6DFA7DCF_3C08_11D1_BDBE_0020AF42250B_.wvu.PrintTitles" localSheetId="7" hidden="1">#REF!</definedName>
    <definedName name="Z_6DFA7DCF_3C08_11D1_BDBE_0020AF42250B_.wvu.PrintTitles" hidden="1">#REF!</definedName>
    <definedName name="Z_6DFA7DD9_3C08_11D1_BDBE_0020AF42250B_.wvu.Cols" localSheetId="13" hidden="1">#REF!,#REF!,#REF!</definedName>
    <definedName name="Z_6DFA7DD9_3C08_11D1_BDBE_0020AF42250B_.wvu.Cols" localSheetId="9" hidden="1">#REF!,#REF!,#REF!</definedName>
    <definedName name="Z_6DFA7DD9_3C08_11D1_BDBE_0020AF42250B_.wvu.Cols" localSheetId="8" hidden="1">#REF!,#REF!,#REF!</definedName>
    <definedName name="Z_6DFA7DD9_3C08_11D1_BDBE_0020AF42250B_.wvu.Cols" localSheetId="7" hidden="1">#REF!,#REF!,#REF!</definedName>
    <definedName name="Z_6DFA7DD9_3C08_11D1_BDBE_0020AF42250B_.wvu.Cols" hidden="1">#REF!,#REF!,#REF!</definedName>
    <definedName name="Z_6DFA7DD9_3C08_11D1_BDBE_0020AF42250B_.wvu.PrintArea" localSheetId="13" hidden="1">#REF!</definedName>
    <definedName name="Z_6DFA7DD9_3C08_11D1_BDBE_0020AF42250B_.wvu.PrintArea" localSheetId="9" hidden="1">#REF!</definedName>
    <definedName name="Z_6DFA7DD9_3C08_11D1_BDBE_0020AF42250B_.wvu.PrintArea" localSheetId="8" hidden="1">#REF!</definedName>
    <definedName name="Z_6DFA7DD9_3C08_11D1_BDBE_0020AF42250B_.wvu.PrintArea" localSheetId="7" hidden="1">#REF!</definedName>
    <definedName name="Z_6DFA7DD9_3C08_11D1_BDBE_0020AF42250B_.wvu.PrintArea" hidden="1">#REF!</definedName>
    <definedName name="Z_6DFA7DD9_3C08_11D1_BDBE_0020AF42250B_.wvu.PrintTitles" localSheetId="13" hidden="1">#REF!</definedName>
    <definedName name="Z_6DFA7DD9_3C08_11D1_BDBE_0020AF42250B_.wvu.PrintTitles" localSheetId="9" hidden="1">#REF!</definedName>
    <definedName name="Z_6DFA7DD9_3C08_11D1_BDBE_0020AF42250B_.wvu.PrintTitles" localSheetId="8" hidden="1">#REF!</definedName>
    <definedName name="Z_6DFA7DD9_3C08_11D1_BDBE_0020AF42250B_.wvu.PrintTitles" localSheetId="7" hidden="1">#REF!</definedName>
    <definedName name="Z_6DFA7DD9_3C08_11D1_BDBE_0020AF42250B_.wvu.PrintTitles" hidden="1">#REF!</definedName>
    <definedName name="Z_6DFA7DDA_3C08_11D1_BDBE_0020AF42250B_.wvu.Cols" localSheetId="13" hidden="1">#REF!,#REF!,#REF!</definedName>
    <definedName name="Z_6DFA7DDA_3C08_11D1_BDBE_0020AF42250B_.wvu.Cols" localSheetId="9" hidden="1">#REF!,#REF!,#REF!</definedName>
    <definedName name="Z_6DFA7DDA_3C08_11D1_BDBE_0020AF42250B_.wvu.Cols" localSheetId="8" hidden="1">#REF!,#REF!,#REF!</definedName>
    <definedName name="Z_6DFA7DDA_3C08_11D1_BDBE_0020AF42250B_.wvu.Cols" localSheetId="7" hidden="1">#REF!,#REF!,#REF!</definedName>
    <definedName name="Z_6DFA7DDA_3C08_11D1_BDBE_0020AF42250B_.wvu.Cols" hidden="1">#REF!,#REF!,#REF!</definedName>
    <definedName name="Z_6DFA7DDA_3C08_11D1_BDBE_0020AF42250B_.wvu.PrintArea" localSheetId="13" hidden="1">#REF!</definedName>
    <definedName name="Z_6DFA7DDA_3C08_11D1_BDBE_0020AF42250B_.wvu.PrintArea" localSheetId="9" hidden="1">#REF!</definedName>
    <definedName name="Z_6DFA7DDA_3C08_11D1_BDBE_0020AF42250B_.wvu.PrintArea" localSheetId="8" hidden="1">#REF!</definedName>
    <definedName name="Z_6DFA7DDA_3C08_11D1_BDBE_0020AF42250B_.wvu.PrintArea" localSheetId="7" hidden="1">#REF!</definedName>
    <definedName name="Z_6DFA7DDA_3C08_11D1_BDBE_0020AF42250B_.wvu.PrintArea" hidden="1">#REF!</definedName>
    <definedName name="Z_6DFA7DDA_3C08_11D1_BDBE_0020AF42250B_.wvu.PrintTitles" localSheetId="13" hidden="1">#REF!</definedName>
    <definedName name="Z_6DFA7DDA_3C08_11D1_BDBE_0020AF42250B_.wvu.PrintTitles" localSheetId="9" hidden="1">#REF!</definedName>
    <definedName name="Z_6DFA7DDA_3C08_11D1_BDBE_0020AF42250B_.wvu.PrintTitles" localSheetId="8" hidden="1">#REF!</definedName>
    <definedName name="Z_6DFA7DDA_3C08_11D1_BDBE_0020AF42250B_.wvu.PrintTitles" localSheetId="7" hidden="1">#REF!</definedName>
    <definedName name="Z_6DFA7DDA_3C08_11D1_BDBE_0020AF42250B_.wvu.PrintTitles" hidden="1">#REF!</definedName>
    <definedName name="Z_6DFA7DDC_3C08_11D1_BDBE_0020AF42250B_.wvu.Cols" localSheetId="13" hidden="1">#REF!,#REF!,#REF!,#REF!</definedName>
    <definedName name="Z_6DFA7DDC_3C08_11D1_BDBE_0020AF42250B_.wvu.Cols" localSheetId="9" hidden="1">#REF!,#REF!,#REF!,#REF!</definedName>
    <definedName name="Z_6DFA7DDC_3C08_11D1_BDBE_0020AF42250B_.wvu.Cols" localSheetId="8" hidden="1">#REF!,#REF!,#REF!,#REF!</definedName>
    <definedName name="Z_6DFA7DDC_3C08_11D1_BDBE_0020AF42250B_.wvu.Cols" localSheetId="7" hidden="1">#REF!,#REF!,#REF!,#REF!</definedName>
    <definedName name="Z_6DFA7DDC_3C08_11D1_BDBE_0020AF42250B_.wvu.Cols" hidden="1">#REF!,#REF!,#REF!,#REF!</definedName>
    <definedName name="Z_6DFA7DDC_3C08_11D1_BDBE_0020AF42250B_.wvu.PrintArea" localSheetId="13" hidden="1">#REF!</definedName>
    <definedName name="Z_6DFA7DDC_3C08_11D1_BDBE_0020AF42250B_.wvu.PrintArea" localSheetId="9" hidden="1">#REF!</definedName>
    <definedName name="Z_6DFA7DDC_3C08_11D1_BDBE_0020AF42250B_.wvu.PrintArea" localSheetId="8" hidden="1">#REF!</definedName>
    <definedName name="Z_6DFA7DDC_3C08_11D1_BDBE_0020AF42250B_.wvu.PrintArea" localSheetId="7" hidden="1">#REF!</definedName>
    <definedName name="Z_6DFA7DDC_3C08_11D1_BDBE_0020AF42250B_.wvu.PrintArea" hidden="1">#REF!</definedName>
    <definedName name="Z_6DFA7DDC_3C08_11D1_BDBE_0020AF42250B_.wvu.PrintTitles" localSheetId="13" hidden="1">#REF!</definedName>
    <definedName name="Z_6DFA7DDC_3C08_11D1_BDBE_0020AF42250B_.wvu.PrintTitles" localSheetId="9" hidden="1">#REF!</definedName>
    <definedName name="Z_6DFA7DDC_3C08_11D1_BDBE_0020AF42250B_.wvu.PrintTitles" localSheetId="8" hidden="1">#REF!</definedName>
    <definedName name="Z_6DFA7DDC_3C08_11D1_BDBE_0020AF42250B_.wvu.PrintTitles" localSheetId="7" hidden="1">#REF!</definedName>
    <definedName name="Z_6DFA7DDC_3C08_11D1_BDBE_0020AF42250B_.wvu.PrintTitles" hidden="1">#REF!</definedName>
    <definedName name="Z_6DFA7DDD_3C08_11D1_BDBE_0020AF42250B_.wvu.Cols" localSheetId="13" hidden="1">#REF!,#REF!,#REF!</definedName>
    <definedName name="Z_6DFA7DDD_3C08_11D1_BDBE_0020AF42250B_.wvu.Cols" localSheetId="9" hidden="1">#REF!,#REF!,#REF!</definedName>
    <definedName name="Z_6DFA7DDD_3C08_11D1_BDBE_0020AF42250B_.wvu.Cols" localSheetId="8" hidden="1">#REF!,#REF!,#REF!</definedName>
    <definedName name="Z_6DFA7DDD_3C08_11D1_BDBE_0020AF42250B_.wvu.Cols" localSheetId="7" hidden="1">#REF!,#REF!,#REF!</definedName>
    <definedName name="Z_6DFA7DDD_3C08_11D1_BDBE_0020AF42250B_.wvu.Cols" hidden="1">#REF!,#REF!,#REF!</definedName>
    <definedName name="Z_6DFA7DDD_3C08_11D1_BDBE_0020AF42250B_.wvu.PrintArea" localSheetId="13" hidden="1">#REF!</definedName>
    <definedName name="Z_6DFA7DDD_3C08_11D1_BDBE_0020AF42250B_.wvu.PrintArea" localSheetId="9" hidden="1">#REF!</definedName>
    <definedName name="Z_6DFA7DDD_3C08_11D1_BDBE_0020AF42250B_.wvu.PrintArea" localSheetId="8" hidden="1">#REF!</definedName>
    <definedName name="Z_6DFA7DDD_3C08_11D1_BDBE_0020AF42250B_.wvu.PrintArea" localSheetId="7" hidden="1">#REF!</definedName>
    <definedName name="Z_6DFA7DDD_3C08_11D1_BDBE_0020AF42250B_.wvu.PrintArea" hidden="1">#REF!</definedName>
    <definedName name="Z_6DFA7DDD_3C08_11D1_BDBE_0020AF42250B_.wvu.PrintTitles" localSheetId="13" hidden="1">#REF!</definedName>
    <definedName name="Z_6DFA7DDD_3C08_11D1_BDBE_0020AF42250B_.wvu.PrintTitles" localSheetId="9" hidden="1">#REF!</definedName>
    <definedName name="Z_6DFA7DDD_3C08_11D1_BDBE_0020AF42250B_.wvu.PrintTitles" localSheetId="8" hidden="1">#REF!</definedName>
    <definedName name="Z_6DFA7DDD_3C08_11D1_BDBE_0020AF42250B_.wvu.PrintTitles" localSheetId="7" hidden="1">#REF!</definedName>
    <definedName name="Z_6DFA7DDD_3C08_11D1_BDBE_0020AF42250B_.wvu.PrintTitles" hidden="1">#REF!</definedName>
    <definedName name="Z_6DFA7DDE_3C08_11D1_BDBE_0020AF42250B_.wvu.Cols" localSheetId="13" hidden="1">#REF!,#REF!</definedName>
    <definedName name="Z_6DFA7DDE_3C08_11D1_BDBE_0020AF42250B_.wvu.Cols" localSheetId="9" hidden="1">#REF!,#REF!</definedName>
    <definedName name="Z_6DFA7DDE_3C08_11D1_BDBE_0020AF42250B_.wvu.Cols" localSheetId="8" hidden="1">#REF!,#REF!</definedName>
    <definedName name="Z_6DFA7DDE_3C08_11D1_BDBE_0020AF42250B_.wvu.Cols" localSheetId="7" hidden="1">#REF!,#REF!</definedName>
    <definedName name="Z_6DFA7DDE_3C08_11D1_BDBE_0020AF42250B_.wvu.Cols" hidden="1">#REF!,#REF!</definedName>
    <definedName name="Z_6DFA7DDE_3C08_11D1_BDBE_0020AF42250B_.wvu.PrintArea" localSheetId="13" hidden="1">#REF!</definedName>
    <definedName name="Z_6DFA7DDE_3C08_11D1_BDBE_0020AF42250B_.wvu.PrintArea" localSheetId="9" hidden="1">#REF!</definedName>
    <definedName name="Z_6DFA7DDE_3C08_11D1_BDBE_0020AF42250B_.wvu.PrintArea" localSheetId="8" hidden="1">#REF!</definedName>
    <definedName name="Z_6DFA7DDE_3C08_11D1_BDBE_0020AF42250B_.wvu.PrintArea" localSheetId="7" hidden="1">#REF!</definedName>
    <definedName name="Z_6DFA7DDE_3C08_11D1_BDBE_0020AF42250B_.wvu.PrintArea" hidden="1">#REF!</definedName>
    <definedName name="Z_6DFA7DDE_3C08_11D1_BDBE_0020AF42250B_.wvu.PrintTitles" localSheetId="13" hidden="1">#REF!</definedName>
    <definedName name="Z_6DFA7DDE_3C08_11D1_BDBE_0020AF42250B_.wvu.PrintTitles" localSheetId="9" hidden="1">#REF!</definedName>
    <definedName name="Z_6DFA7DDE_3C08_11D1_BDBE_0020AF42250B_.wvu.PrintTitles" localSheetId="8" hidden="1">#REF!</definedName>
    <definedName name="Z_6DFA7DDE_3C08_11D1_BDBE_0020AF42250B_.wvu.PrintTitles" localSheetId="7" hidden="1">#REF!</definedName>
    <definedName name="Z_6DFA7DDE_3C08_11D1_BDBE_0020AF42250B_.wvu.PrintTitles" hidden="1">#REF!</definedName>
    <definedName name="Z_6DFA7DDF_3C08_11D1_BDBE_0020AF42250B_.wvu.Cols" localSheetId="13" hidden="1">#REF!,#REF!,#REF!</definedName>
    <definedName name="Z_6DFA7DDF_3C08_11D1_BDBE_0020AF42250B_.wvu.Cols" localSheetId="9" hidden="1">#REF!,#REF!,#REF!</definedName>
    <definedName name="Z_6DFA7DDF_3C08_11D1_BDBE_0020AF42250B_.wvu.Cols" localSheetId="8" hidden="1">#REF!,#REF!,#REF!</definedName>
    <definedName name="Z_6DFA7DDF_3C08_11D1_BDBE_0020AF42250B_.wvu.Cols" localSheetId="7" hidden="1">#REF!,#REF!,#REF!</definedName>
    <definedName name="Z_6DFA7DDF_3C08_11D1_BDBE_0020AF42250B_.wvu.Cols" hidden="1">#REF!,#REF!,#REF!</definedName>
    <definedName name="Z_6DFA7DDF_3C08_11D1_BDBE_0020AF42250B_.wvu.PrintArea" localSheetId="13" hidden="1">#REF!</definedName>
    <definedName name="Z_6DFA7DDF_3C08_11D1_BDBE_0020AF42250B_.wvu.PrintArea" localSheetId="9" hidden="1">#REF!</definedName>
    <definedName name="Z_6DFA7DDF_3C08_11D1_BDBE_0020AF42250B_.wvu.PrintArea" localSheetId="8" hidden="1">#REF!</definedName>
    <definedName name="Z_6DFA7DDF_3C08_11D1_BDBE_0020AF42250B_.wvu.PrintArea" localSheetId="7" hidden="1">#REF!</definedName>
    <definedName name="Z_6DFA7DDF_3C08_11D1_BDBE_0020AF42250B_.wvu.PrintArea" hidden="1">#REF!</definedName>
    <definedName name="Z_6DFA7DDF_3C08_11D1_BDBE_0020AF42250B_.wvu.PrintTitles" localSheetId="13" hidden="1">#REF!</definedName>
    <definedName name="Z_6DFA7DDF_3C08_11D1_BDBE_0020AF42250B_.wvu.PrintTitles" localSheetId="9" hidden="1">#REF!</definedName>
    <definedName name="Z_6DFA7DDF_3C08_11D1_BDBE_0020AF42250B_.wvu.PrintTitles" localSheetId="8" hidden="1">#REF!</definedName>
    <definedName name="Z_6DFA7DDF_3C08_11D1_BDBE_0020AF42250B_.wvu.PrintTitles" localSheetId="7" hidden="1">#REF!</definedName>
    <definedName name="Z_6DFA7DDF_3C08_11D1_BDBE_0020AF42250B_.wvu.PrintTitles" hidden="1">#REF!</definedName>
    <definedName name="Z_6DFA7DE0_3C08_11D1_BDBE_0020AF42250B_.wvu.Cols" localSheetId="13" hidden="1">#REF!,#REF!,#REF!,#REF!</definedName>
    <definedName name="Z_6DFA7DE0_3C08_11D1_BDBE_0020AF42250B_.wvu.Cols" localSheetId="9" hidden="1">#REF!,#REF!,#REF!,#REF!</definedName>
    <definedName name="Z_6DFA7DE0_3C08_11D1_BDBE_0020AF42250B_.wvu.Cols" localSheetId="8" hidden="1">#REF!,#REF!,#REF!,#REF!</definedName>
    <definedName name="Z_6DFA7DE0_3C08_11D1_BDBE_0020AF42250B_.wvu.Cols" localSheetId="7" hidden="1">#REF!,#REF!,#REF!,#REF!</definedName>
    <definedName name="Z_6DFA7DE0_3C08_11D1_BDBE_0020AF42250B_.wvu.Cols" hidden="1">#REF!,#REF!,#REF!,#REF!</definedName>
    <definedName name="Z_6DFA7DE0_3C08_11D1_BDBE_0020AF42250B_.wvu.PrintArea" localSheetId="13" hidden="1">#REF!</definedName>
    <definedName name="Z_6DFA7DE0_3C08_11D1_BDBE_0020AF42250B_.wvu.PrintArea" localSheetId="9" hidden="1">#REF!</definedName>
    <definedName name="Z_6DFA7DE0_3C08_11D1_BDBE_0020AF42250B_.wvu.PrintArea" localSheetId="8" hidden="1">#REF!</definedName>
    <definedName name="Z_6DFA7DE0_3C08_11D1_BDBE_0020AF42250B_.wvu.PrintArea" localSheetId="7" hidden="1">#REF!</definedName>
    <definedName name="Z_6DFA7DE0_3C08_11D1_BDBE_0020AF42250B_.wvu.PrintArea" hidden="1">#REF!</definedName>
    <definedName name="Z_6DFA7DE0_3C08_11D1_BDBE_0020AF42250B_.wvu.PrintTitles" localSheetId="13" hidden="1">#REF!</definedName>
    <definedName name="Z_6DFA7DE0_3C08_11D1_BDBE_0020AF42250B_.wvu.PrintTitles" localSheetId="9" hidden="1">#REF!</definedName>
    <definedName name="Z_6DFA7DE0_3C08_11D1_BDBE_0020AF42250B_.wvu.PrintTitles" localSheetId="8" hidden="1">#REF!</definedName>
    <definedName name="Z_6DFA7DE0_3C08_11D1_BDBE_0020AF42250B_.wvu.PrintTitles" localSheetId="7" hidden="1">#REF!</definedName>
    <definedName name="Z_6DFA7DE0_3C08_11D1_BDBE_0020AF42250B_.wvu.PrintTitles" hidden="1">#REF!</definedName>
    <definedName name="Z_6DFA7DE5_3C08_11D1_BDBE_0020AF42250B_.wvu.Cols" localSheetId="13" hidden="1">#REF!,#REF!,#REF!</definedName>
    <definedName name="Z_6DFA7DE5_3C08_11D1_BDBE_0020AF42250B_.wvu.Cols" localSheetId="9" hidden="1">#REF!,#REF!,#REF!</definedName>
    <definedName name="Z_6DFA7DE5_3C08_11D1_BDBE_0020AF42250B_.wvu.Cols" localSheetId="8" hidden="1">#REF!,#REF!,#REF!</definedName>
    <definedName name="Z_6DFA7DE5_3C08_11D1_BDBE_0020AF42250B_.wvu.Cols" localSheetId="7" hidden="1">#REF!,#REF!,#REF!</definedName>
    <definedName name="Z_6DFA7DE5_3C08_11D1_BDBE_0020AF42250B_.wvu.Cols" hidden="1">#REF!,#REF!,#REF!</definedName>
    <definedName name="Z_6DFA7DE5_3C08_11D1_BDBE_0020AF42250B_.wvu.PrintArea" localSheetId="13" hidden="1">#REF!</definedName>
    <definedName name="Z_6DFA7DE5_3C08_11D1_BDBE_0020AF42250B_.wvu.PrintArea" localSheetId="9" hidden="1">#REF!</definedName>
    <definedName name="Z_6DFA7DE5_3C08_11D1_BDBE_0020AF42250B_.wvu.PrintArea" localSheetId="8" hidden="1">#REF!</definedName>
    <definedName name="Z_6DFA7DE5_3C08_11D1_BDBE_0020AF42250B_.wvu.PrintArea" localSheetId="7" hidden="1">#REF!</definedName>
    <definedName name="Z_6DFA7DE5_3C08_11D1_BDBE_0020AF42250B_.wvu.PrintArea" hidden="1">#REF!</definedName>
    <definedName name="Z_6DFA7DE5_3C08_11D1_BDBE_0020AF42250B_.wvu.PrintTitles" localSheetId="13" hidden="1">#REF!</definedName>
    <definedName name="Z_6DFA7DE5_3C08_11D1_BDBE_0020AF42250B_.wvu.PrintTitles" localSheetId="9" hidden="1">#REF!</definedName>
    <definedName name="Z_6DFA7DE5_3C08_11D1_BDBE_0020AF42250B_.wvu.PrintTitles" localSheetId="8" hidden="1">#REF!</definedName>
    <definedName name="Z_6DFA7DE5_3C08_11D1_BDBE_0020AF42250B_.wvu.PrintTitles" localSheetId="7" hidden="1">#REF!</definedName>
    <definedName name="Z_6DFA7DE5_3C08_11D1_BDBE_0020AF42250B_.wvu.PrintTitles" hidden="1">#REF!</definedName>
    <definedName name="Z_6DFA7DE6_3C08_11D1_BDBE_0020AF42250B_.wvu.Cols" localSheetId="13" hidden="1">#REF!,#REF!,#REF!</definedName>
    <definedName name="Z_6DFA7DE6_3C08_11D1_BDBE_0020AF42250B_.wvu.Cols" localSheetId="9" hidden="1">#REF!,#REF!,#REF!</definedName>
    <definedName name="Z_6DFA7DE6_3C08_11D1_BDBE_0020AF42250B_.wvu.Cols" localSheetId="8" hidden="1">#REF!,#REF!,#REF!</definedName>
    <definedName name="Z_6DFA7DE6_3C08_11D1_BDBE_0020AF42250B_.wvu.Cols" localSheetId="7" hidden="1">#REF!,#REF!,#REF!</definedName>
    <definedName name="Z_6DFA7DE6_3C08_11D1_BDBE_0020AF42250B_.wvu.Cols" hidden="1">#REF!,#REF!,#REF!</definedName>
    <definedName name="Z_6DFA7DE6_3C08_11D1_BDBE_0020AF42250B_.wvu.PrintArea" localSheetId="13" hidden="1">#REF!</definedName>
    <definedName name="Z_6DFA7DE6_3C08_11D1_BDBE_0020AF42250B_.wvu.PrintArea" localSheetId="9" hidden="1">#REF!</definedName>
    <definedName name="Z_6DFA7DE6_3C08_11D1_BDBE_0020AF42250B_.wvu.PrintArea" localSheetId="8" hidden="1">#REF!</definedName>
    <definedName name="Z_6DFA7DE6_3C08_11D1_BDBE_0020AF42250B_.wvu.PrintArea" localSheetId="7" hidden="1">#REF!</definedName>
    <definedName name="Z_6DFA7DE6_3C08_11D1_BDBE_0020AF42250B_.wvu.PrintArea" hidden="1">#REF!</definedName>
    <definedName name="Z_6DFA7DE6_3C08_11D1_BDBE_0020AF42250B_.wvu.PrintTitles" localSheetId="13" hidden="1">#REF!</definedName>
    <definedName name="Z_6DFA7DE6_3C08_11D1_BDBE_0020AF42250B_.wvu.PrintTitles" localSheetId="9" hidden="1">#REF!</definedName>
    <definedName name="Z_6DFA7DE6_3C08_11D1_BDBE_0020AF42250B_.wvu.PrintTitles" localSheetId="8" hidden="1">#REF!</definedName>
    <definedName name="Z_6DFA7DE6_3C08_11D1_BDBE_0020AF42250B_.wvu.PrintTitles" localSheetId="7" hidden="1">#REF!</definedName>
    <definedName name="Z_6DFA7DE6_3C08_11D1_BDBE_0020AF42250B_.wvu.PrintTitles" hidden="1">#REF!</definedName>
    <definedName name="Z_6ECC8A59_F873_11D0_BD29_0020AF42250B_.wvu.Cols" localSheetId="13" hidden="1">#REF!,#REF!,#REF!</definedName>
    <definedName name="Z_6ECC8A59_F873_11D0_BD29_0020AF42250B_.wvu.Cols" localSheetId="9" hidden="1">#REF!,#REF!,#REF!</definedName>
    <definedName name="Z_6ECC8A59_F873_11D0_BD29_0020AF42250B_.wvu.Cols" localSheetId="8" hidden="1">#REF!,#REF!,#REF!</definedName>
    <definedName name="Z_6ECC8A59_F873_11D0_BD29_0020AF42250B_.wvu.Cols" localSheetId="7" hidden="1">#REF!,#REF!,#REF!</definedName>
    <definedName name="Z_6ECC8A59_F873_11D0_BD29_0020AF42250B_.wvu.Cols" hidden="1">#REF!,#REF!,#REF!</definedName>
    <definedName name="Z_6ECC8A5A_F873_11D0_BD29_0020AF42250B_.wvu.Cols" localSheetId="13" hidden="1">#REF!,#REF!,#REF!</definedName>
    <definedName name="Z_6ECC8A5A_F873_11D0_BD29_0020AF42250B_.wvu.Cols" localSheetId="9" hidden="1">#REF!,#REF!,#REF!</definedName>
    <definedName name="Z_6ECC8A5A_F873_11D0_BD29_0020AF42250B_.wvu.Cols" localSheetId="8" hidden="1">#REF!,#REF!,#REF!</definedName>
    <definedName name="Z_6ECC8A5A_F873_11D0_BD29_0020AF42250B_.wvu.Cols" localSheetId="7" hidden="1">#REF!,#REF!,#REF!</definedName>
    <definedName name="Z_6ECC8A5A_F873_11D0_BD29_0020AF42250B_.wvu.Cols" hidden="1">#REF!,#REF!,#REF!</definedName>
    <definedName name="Z_6ECC8A5C_F873_11D0_BD29_0020AF42250B_.wvu.Cols" localSheetId="13" hidden="1">#REF!,#REF!,#REF!,#REF!</definedName>
    <definedName name="Z_6ECC8A5C_F873_11D0_BD29_0020AF42250B_.wvu.Cols" localSheetId="9" hidden="1">#REF!,#REF!,#REF!,#REF!</definedName>
    <definedName name="Z_6ECC8A5C_F873_11D0_BD29_0020AF42250B_.wvu.Cols" localSheetId="8" hidden="1">#REF!,#REF!,#REF!,#REF!</definedName>
    <definedName name="Z_6ECC8A5C_F873_11D0_BD29_0020AF42250B_.wvu.Cols" localSheetId="7" hidden="1">#REF!,#REF!,#REF!,#REF!</definedName>
    <definedName name="Z_6ECC8A5C_F873_11D0_BD29_0020AF42250B_.wvu.Cols" hidden="1">#REF!,#REF!,#REF!,#REF!</definedName>
    <definedName name="Z_6ECC8A5D_F873_11D0_BD29_0020AF42250B_.wvu.Cols" localSheetId="13" hidden="1">#REF!,#REF!,#REF!</definedName>
    <definedName name="Z_6ECC8A5D_F873_11D0_BD29_0020AF42250B_.wvu.Cols" localSheetId="9" hidden="1">#REF!,#REF!,#REF!</definedName>
    <definedName name="Z_6ECC8A5D_F873_11D0_BD29_0020AF42250B_.wvu.Cols" localSheetId="8" hidden="1">#REF!,#REF!,#REF!</definedName>
    <definedName name="Z_6ECC8A5D_F873_11D0_BD29_0020AF42250B_.wvu.Cols" localSheetId="7" hidden="1">#REF!,#REF!,#REF!</definedName>
    <definedName name="Z_6ECC8A5D_F873_11D0_BD29_0020AF42250B_.wvu.Cols" hidden="1">#REF!,#REF!,#REF!</definedName>
    <definedName name="Z_6ECC8A5E_F873_11D0_BD29_0020AF42250B_.wvu.Cols" localSheetId="13" hidden="1">#REF!,#REF!</definedName>
    <definedName name="Z_6ECC8A5E_F873_11D0_BD29_0020AF42250B_.wvu.Cols" localSheetId="9" hidden="1">#REF!,#REF!</definedName>
    <definedName name="Z_6ECC8A5E_F873_11D0_BD29_0020AF42250B_.wvu.Cols" localSheetId="8" hidden="1">#REF!,#REF!</definedName>
    <definedName name="Z_6ECC8A5E_F873_11D0_BD29_0020AF42250B_.wvu.Cols" localSheetId="7" hidden="1">#REF!,#REF!</definedName>
    <definedName name="Z_6ECC8A5E_F873_11D0_BD29_0020AF42250B_.wvu.Cols" hidden="1">#REF!,#REF!</definedName>
    <definedName name="Z_6ECC8A5F_F873_11D0_BD29_0020AF42250B_.wvu.Cols" localSheetId="13" hidden="1">#REF!,#REF!,#REF!</definedName>
    <definedName name="Z_6ECC8A5F_F873_11D0_BD29_0020AF42250B_.wvu.Cols" localSheetId="9" hidden="1">#REF!,#REF!,#REF!</definedName>
    <definedName name="Z_6ECC8A5F_F873_11D0_BD29_0020AF42250B_.wvu.Cols" localSheetId="8" hidden="1">#REF!,#REF!,#REF!</definedName>
    <definedName name="Z_6ECC8A5F_F873_11D0_BD29_0020AF42250B_.wvu.Cols" localSheetId="7" hidden="1">#REF!,#REF!,#REF!</definedName>
    <definedName name="Z_6ECC8A5F_F873_11D0_BD29_0020AF42250B_.wvu.Cols" hidden="1">#REF!,#REF!,#REF!</definedName>
    <definedName name="Z_6ECC8A60_F873_11D0_BD29_0020AF42250B_.wvu.Cols" localSheetId="13" hidden="1">#REF!,#REF!,#REF!,#REF!,#REF!,#REF!,#REF!</definedName>
    <definedName name="Z_6ECC8A60_F873_11D0_BD29_0020AF42250B_.wvu.Cols" localSheetId="9" hidden="1">#REF!,#REF!,#REF!,#REF!,#REF!,#REF!,#REF!</definedName>
    <definedName name="Z_6ECC8A60_F873_11D0_BD29_0020AF42250B_.wvu.Cols" localSheetId="8" hidden="1">#REF!,#REF!,#REF!,#REF!,#REF!,#REF!,#REF!</definedName>
    <definedName name="Z_6ECC8A60_F873_11D0_BD29_0020AF42250B_.wvu.Cols" localSheetId="7" hidden="1">#REF!,#REF!,#REF!,#REF!,#REF!,#REF!,#REF!</definedName>
    <definedName name="Z_6ECC8A60_F873_11D0_BD29_0020AF42250B_.wvu.Cols" hidden="1">#REF!,#REF!,#REF!,#REF!,#REF!,#REF!,#REF!</definedName>
    <definedName name="Z_6ECC8A65_F873_11D0_BD29_0020AF42250B_.wvu.Cols" localSheetId="13" hidden="1">#REF!,#REF!,#REF!</definedName>
    <definedName name="Z_6ECC8A65_F873_11D0_BD29_0020AF42250B_.wvu.Cols" localSheetId="9" hidden="1">#REF!,#REF!,#REF!</definedName>
    <definedName name="Z_6ECC8A65_F873_11D0_BD29_0020AF42250B_.wvu.Cols" localSheetId="8" hidden="1">#REF!,#REF!,#REF!</definedName>
    <definedName name="Z_6ECC8A65_F873_11D0_BD29_0020AF42250B_.wvu.Cols" localSheetId="7" hidden="1">#REF!,#REF!,#REF!</definedName>
    <definedName name="Z_6ECC8A65_F873_11D0_BD29_0020AF42250B_.wvu.Cols" hidden="1">#REF!,#REF!,#REF!</definedName>
    <definedName name="Z_6ECC8A66_F873_11D0_BD29_0020AF42250B_.wvu.Cols" localSheetId="13" hidden="1">#REF!,#REF!,#REF!</definedName>
    <definedName name="Z_6ECC8A66_F873_11D0_BD29_0020AF42250B_.wvu.Cols" localSheetId="9" hidden="1">#REF!,#REF!,#REF!</definedName>
    <definedName name="Z_6ECC8A66_F873_11D0_BD29_0020AF42250B_.wvu.Cols" localSheetId="8" hidden="1">#REF!,#REF!,#REF!</definedName>
    <definedName name="Z_6ECC8A66_F873_11D0_BD29_0020AF42250B_.wvu.Cols" localSheetId="7" hidden="1">#REF!,#REF!,#REF!</definedName>
    <definedName name="Z_6ECC8A66_F873_11D0_BD29_0020AF42250B_.wvu.Cols" hidden="1">#REF!,#REF!,#REF!</definedName>
    <definedName name="Z_6ECC8A90_F873_11D0_BD29_0020AF42250B_.wvu.PrintTitles" localSheetId="13" hidden="1">#REF!</definedName>
    <definedName name="Z_6ECC8A90_F873_11D0_BD29_0020AF42250B_.wvu.PrintTitles" localSheetId="9" hidden="1">#REF!</definedName>
    <definedName name="Z_6ECC8A90_F873_11D0_BD29_0020AF42250B_.wvu.PrintTitles" localSheetId="8" hidden="1">#REF!</definedName>
    <definedName name="Z_6ECC8A90_F873_11D0_BD29_0020AF42250B_.wvu.PrintTitles" localSheetId="7" hidden="1">#REF!</definedName>
    <definedName name="Z_6ECC8A90_F873_11D0_BD29_0020AF42250B_.wvu.PrintTitles" hidden="1">#REF!</definedName>
    <definedName name="Z_6ECC8A95_F873_11D0_BD29_0020AF42250B_.wvu.Cols" localSheetId="13" hidden="1">#REF!,#REF!,#REF!</definedName>
    <definedName name="Z_6ECC8A95_F873_11D0_BD29_0020AF42250B_.wvu.Cols" localSheetId="9" hidden="1">#REF!,#REF!,#REF!</definedName>
    <definedName name="Z_6ECC8A95_F873_11D0_BD29_0020AF42250B_.wvu.Cols" localSheetId="8" hidden="1">#REF!,#REF!,#REF!</definedName>
    <definedName name="Z_6ECC8A95_F873_11D0_BD29_0020AF42250B_.wvu.Cols" localSheetId="7" hidden="1">#REF!,#REF!,#REF!</definedName>
    <definedName name="Z_6ECC8A95_F873_11D0_BD29_0020AF42250B_.wvu.Cols" hidden="1">#REF!,#REF!,#REF!</definedName>
    <definedName name="Z_6ECC8A95_F873_11D0_BD29_0020AF42250B_.wvu.PrintArea" localSheetId="13" hidden="1">#REF!</definedName>
    <definedName name="Z_6ECC8A95_F873_11D0_BD29_0020AF42250B_.wvu.PrintArea" localSheetId="9" hidden="1">#REF!</definedName>
    <definedName name="Z_6ECC8A95_F873_11D0_BD29_0020AF42250B_.wvu.PrintArea" localSheetId="8" hidden="1">#REF!</definedName>
    <definedName name="Z_6ECC8A95_F873_11D0_BD29_0020AF42250B_.wvu.PrintArea" localSheetId="7" hidden="1">#REF!</definedName>
    <definedName name="Z_6ECC8A95_F873_11D0_BD29_0020AF42250B_.wvu.PrintArea" hidden="1">#REF!</definedName>
    <definedName name="Z_6ECC8A95_F873_11D0_BD29_0020AF42250B_.wvu.PrintTitles" localSheetId="13" hidden="1">#REF!</definedName>
    <definedName name="Z_6ECC8A95_F873_11D0_BD29_0020AF42250B_.wvu.PrintTitles" localSheetId="9" hidden="1">#REF!</definedName>
    <definedName name="Z_6ECC8A95_F873_11D0_BD29_0020AF42250B_.wvu.PrintTitles" localSheetId="8" hidden="1">#REF!</definedName>
    <definedName name="Z_6ECC8A95_F873_11D0_BD29_0020AF42250B_.wvu.PrintTitles" localSheetId="7" hidden="1">#REF!</definedName>
    <definedName name="Z_6ECC8A95_F873_11D0_BD29_0020AF42250B_.wvu.PrintTitles" hidden="1">#REF!</definedName>
    <definedName name="Z_995DB91B_DC87_11D2_BCA9_00C04F8BBE86_.wvu.PrintArea" localSheetId="13" hidden="1">#REF!</definedName>
    <definedName name="Z_995DB91B_DC87_11D2_BCA9_00C04F8BBE86_.wvu.PrintArea" localSheetId="9" hidden="1">#REF!</definedName>
    <definedName name="Z_995DB91B_DC87_11D2_BCA9_00C04F8BBE86_.wvu.PrintArea" localSheetId="8" hidden="1">#REF!</definedName>
    <definedName name="Z_995DB91B_DC87_11D2_BCA9_00C04F8BBE86_.wvu.PrintArea" localSheetId="7" hidden="1">#REF!</definedName>
    <definedName name="Z_995DB91B_DC87_11D2_BCA9_00C04F8BBE86_.wvu.PrintArea" hidden="1">#REF!</definedName>
    <definedName name="Z_995DB91E_DC87_11D2_BCA9_00C04F8BBE86_.wvu.Cols" localSheetId="13" hidden="1">#REF!</definedName>
    <definedName name="Z_995DB91E_DC87_11D2_BCA9_00C04F8BBE86_.wvu.Cols" localSheetId="7" hidden="1">#REF!</definedName>
    <definedName name="Z_995DB91E_DC87_11D2_BCA9_00C04F8BBE86_.wvu.Cols" hidden="1">#REF!</definedName>
    <definedName name="Z_995DB91E_DC87_11D2_BCA9_00C04F8BBE86_.wvu.PrintArea" localSheetId="13" hidden="1">#REF!</definedName>
    <definedName name="Z_995DB91E_DC87_11D2_BCA9_00C04F8BBE86_.wvu.PrintArea" localSheetId="7" hidden="1">#REF!</definedName>
    <definedName name="Z_995DB91E_DC87_11D2_BCA9_00C04F8BBE86_.wvu.PrintArea" hidden="1">#REF!</definedName>
    <definedName name="Z_995DB91E_DC87_11D2_BCA9_00C04F8BBE86_.wvu.Rows" localSheetId="13" hidden="1">#REF!</definedName>
    <definedName name="Z_995DB91E_DC87_11D2_BCA9_00C04F8BBE86_.wvu.Rows" localSheetId="7" hidden="1">#REF!</definedName>
    <definedName name="Z_995DB91E_DC87_11D2_BCA9_00C04F8BBE86_.wvu.Rows" hidden="1">#REF!</definedName>
    <definedName name="Z_995DB91F_DC87_11D2_BCA9_00C04F8BBE86_.wvu.Cols" localSheetId="13" hidden="1">#REF!,#REF!,#REF!</definedName>
    <definedName name="Z_995DB91F_DC87_11D2_BCA9_00C04F8BBE86_.wvu.Cols" localSheetId="9" hidden="1">#REF!,#REF!,#REF!</definedName>
    <definedName name="Z_995DB91F_DC87_11D2_BCA9_00C04F8BBE86_.wvu.Cols" localSheetId="8" hidden="1">#REF!,#REF!,#REF!</definedName>
    <definedName name="Z_995DB91F_DC87_11D2_BCA9_00C04F8BBE86_.wvu.Cols" localSheetId="7" hidden="1">#REF!,#REF!,#REF!</definedName>
    <definedName name="Z_995DB91F_DC87_11D2_BCA9_00C04F8BBE86_.wvu.Cols" hidden="1">#REF!,#REF!,#REF!</definedName>
    <definedName name="Z_995DB91F_DC87_11D2_BCA9_00C04F8BBE86_.wvu.PrintArea" localSheetId="13" hidden="1">#REF!</definedName>
    <definedName name="Z_995DB91F_DC87_11D2_BCA9_00C04F8BBE86_.wvu.PrintArea" localSheetId="9" hidden="1">#REF!</definedName>
    <definedName name="Z_995DB91F_DC87_11D2_BCA9_00C04F8BBE86_.wvu.PrintArea" localSheetId="8" hidden="1">#REF!</definedName>
    <definedName name="Z_995DB91F_DC87_11D2_BCA9_00C04F8BBE86_.wvu.PrintArea" localSheetId="7" hidden="1">#REF!</definedName>
    <definedName name="Z_995DB91F_DC87_11D2_BCA9_00C04F8BBE86_.wvu.PrintArea" hidden="1">#REF!</definedName>
    <definedName name="Z_995DB91F_DC87_11D2_BCA9_00C04F8BBE86_.wvu.Rows" localSheetId="13" hidden="1">#REF!,#REF!</definedName>
    <definedName name="Z_995DB91F_DC87_11D2_BCA9_00C04F8BBE86_.wvu.Rows" localSheetId="9" hidden="1">#REF!,#REF!</definedName>
    <definedName name="Z_995DB91F_DC87_11D2_BCA9_00C04F8BBE86_.wvu.Rows" localSheetId="8" hidden="1">#REF!,#REF!</definedName>
    <definedName name="Z_995DB91F_DC87_11D2_BCA9_00C04F8BBE86_.wvu.Rows" localSheetId="7" hidden="1">#REF!,#REF!</definedName>
    <definedName name="Z_995DB91F_DC87_11D2_BCA9_00C04F8BBE86_.wvu.Rows" hidden="1">#REF!,#REF!</definedName>
    <definedName name="Z_9A8750D3_468A_11D3_8ECF_00C04F9226C7_.wvu.Cols" localSheetId="13" hidden="1">#REF!,#REF!,#REF!</definedName>
    <definedName name="Z_9A8750D3_468A_11D3_8ECF_00C04F9226C7_.wvu.Cols" localSheetId="9" hidden="1">#REF!,#REF!,#REF!</definedName>
    <definedName name="Z_9A8750D3_468A_11D3_8ECF_00C04F9226C7_.wvu.Cols" localSheetId="8" hidden="1">#REF!,#REF!,#REF!</definedName>
    <definedName name="Z_9A8750D3_468A_11D3_8ECF_00C04F9226C7_.wvu.Cols" localSheetId="7" hidden="1">#REF!,#REF!,#REF!</definedName>
    <definedName name="Z_9A8750D3_468A_11D3_8ECF_00C04F9226C7_.wvu.Cols" hidden="1">#REF!,#REF!,#REF!</definedName>
    <definedName name="Z_9A8750D3_468A_11D3_8ECF_00C04F9226C7_.wvu.PrintArea" localSheetId="13" hidden="1">#REF!</definedName>
    <definedName name="Z_9A8750D3_468A_11D3_8ECF_00C04F9226C7_.wvu.PrintArea" localSheetId="9" hidden="1">#REF!</definedName>
    <definedName name="Z_9A8750D3_468A_11D3_8ECF_00C04F9226C7_.wvu.PrintArea" localSheetId="8" hidden="1">#REF!</definedName>
    <definedName name="Z_9A8750D3_468A_11D3_8ECF_00C04F9226C7_.wvu.PrintArea" localSheetId="7" hidden="1">#REF!</definedName>
    <definedName name="Z_9A8750D3_468A_11D3_8ECF_00C04F9226C7_.wvu.PrintArea" hidden="1">#REF!</definedName>
    <definedName name="Z_9A8750D3_468A_11D3_8ECF_00C04F9226C7_.wvu.Rows" localSheetId="13" hidden="1">#REF!</definedName>
    <definedName name="Z_9A8750D3_468A_11D3_8ECF_00C04F9226C7_.wvu.Rows" localSheetId="9" hidden="1">#REF!</definedName>
    <definedName name="Z_9A8750D3_468A_11D3_8ECF_00C04F9226C7_.wvu.Rows" localSheetId="8" hidden="1">#REF!</definedName>
    <definedName name="Z_9A8750D3_468A_11D3_8ECF_00C04F9226C7_.wvu.Rows" localSheetId="7" hidden="1">#REF!</definedName>
    <definedName name="Z_9A8750D3_468A_11D3_8ECF_00C04F9226C7_.wvu.Rows" hidden="1">#REF!</definedName>
    <definedName name="Z_A73E33D1_2630_11D1_BD91_0020AF42250B_.wvu.Cols" localSheetId="13" hidden="1">#REF!,#REF!,#REF!</definedName>
    <definedName name="Z_A73E33D1_2630_11D1_BD91_0020AF42250B_.wvu.Cols" localSheetId="9" hidden="1">#REF!,#REF!,#REF!</definedName>
    <definedName name="Z_A73E33D1_2630_11D1_BD91_0020AF42250B_.wvu.Cols" localSheetId="8" hidden="1">#REF!,#REF!,#REF!</definedName>
    <definedName name="Z_A73E33D1_2630_11D1_BD91_0020AF42250B_.wvu.Cols" localSheetId="7" hidden="1">#REF!,#REF!,#REF!</definedName>
    <definedName name="Z_A73E33D1_2630_11D1_BD91_0020AF42250B_.wvu.Cols" hidden="1">#REF!,#REF!,#REF!</definedName>
    <definedName name="Z_A73E33D2_2630_11D1_BD91_0020AF42250B_.wvu.Cols" localSheetId="13" hidden="1">#REF!,#REF!,#REF!</definedName>
    <definedName name="Z_A73E33D2_2630_11D1_BD91_0020AF42250B_.wvu.Cols" localSheetId="9" hidden="1">#REF!,#REF!,#REF!</definedName>
    <definedName name="Z_A73E33D2_2630_11D1_BD91_0020AF42250B_.wvu.Cols" localSheetId="8" hidden="1">#REF!,#REF!,#REF!</definedName>
    <definedName name="Z_A73E33D2_2630_11D1_BD91_0020AF42250B_.wvu.Cols" localSheetId="7" hidden="1">#REF!,#REF!,#REF!</definedName>
    <definedName name="Z_A73E33D2_2630_11D1_BD91_0020AF42250B_.wvu.Cols" hidden="1">#REF!,#REF!,#REF!</definedName>
    <definedName name="Z_A73E33D4_2630_11D1_BD91_0020AF42250B_.wvu.Cols" localSheetId="13" hidden="1">#REF!,#REF!,#REF!,#REF!</definedName>
    <definedName name="Z_A73E33D4_2630_11D1_BD91_0020AF42250B_.wvu.Cols" localSheetId="9" hidden="1">#REF!,#REF!,#REF!,#REF!</definedName>
    <definedName name="Z_A73E33D4_2630_11D1_BD91_0020AF42250B_.wvu.Cols" localSheetId="8" hidden="1">#REF!,#REF!,#REF!,#REF!</definedName>
    <definedName name="Z_A73E33D4_2630_11D1_BD91_0020AF42250B_.wvu.Cols" localSheetId="7" hidden="1">#REF!,#REF!,#REF!,#REF!</definedName>
    <definedName name="Z_A73E33D4_2630_11D1_BD91_0020AF42250B_.wvu.Cols" hidden="1">#REF!,#REF!,#REF!,#REF!</definedName>
    <definedName name="Z_A73E33D5_2630_11D1_BD91_0020AF42250B_.wvu.Cols" localSheetId="13" hidden="1">#REF!,#REF!,#REF!</definedName>
    <definedName name="Z_A73E33D5_2630_11D1_BD91_0020AF42250B_.wvu.Cols" localSheetId="9" hidden="1">#REF!,#REF!,#REF!</definedName>
    <definedName name="Z_A73E33D5_2630_11D1_BD91_0020AF42250B_.wvu.Cols" localSheetId="8" hidden="1">#REF!,#REF!,#REF!</definedName>
    <definedName name="Z_A73E33D5_2630_11D1_BD91_0020AF42250B_.wvu.Cols" localSheetId="7" hidden="1">#REF!,#REF!,#REF!</definedName>
    <definedName name="Z_A73E33D5_2630_11D1_BD91_0020AF42250B_.wvu.Cols" hidden="1">#REF!,#REF!,#REF!</definedName>
    <definedName name="Z_A73E33D6_2630_11D1_BD91_0020AF42250B_.wvu.Cols" localSheetId="13" hidden="1">#REF!,#REF!</definedName>
    <definedName name="Z_A73E33D6_2630_11D1_BD91_0020AF42250B_.wvu.Cols" localSheetId="9" hidden="1">#REF!,#REF!</definedName>
    <definedName name="Z_A73E33D6_2630_11D1_BD91_0020AF42250B_.wvu.Cols" localSheetId="8" hidden="1">#REF!,#REF!</definedName>
    <definedName name="Z_A73E33D6_2630_11D1_BD91_0020AF42250B_.wvu.Cols" localSheetId="7" hidden="1">#REF!,#REF!</definedName>
    <definedName name="Z_A73E33D6_2630_11D1_BD91_0020AF42250B_.wvu.Cols" hidden="1">#REF!,#REF!</definedName>
    <definedName name="Z_A73E33D7_2630_11D1_BD91_0020AF42250B_.wvu.Cols" localSheetId="13" hidden="1">#REF!,#REF!,#REF!</definedName>
    <definedName name="Z_A73E33D7_2630_11D1_BD91_0020AF42250B_.wvu.Cols" localSheetId="9" hidden="1">#REF!,#REF!,#REF!</definedName>
    <definedName name="Z_A73E33D7_2630_11D1_BD91_0020AF42250B_.wvu.Cols" localSheetId="8" hidden="1">#REF!,#REF!,#REF!</definedName>
    <definedName name="Z_A73E33D7_2630_11D1_BD91_0020AF42250B_.wvu.Cols" localSheetId="7" hidden="1">#REF!,#REF!,#REF!</definedName>
    <definedName name="Z_A73E33D7_2630_11D1_BD91_0020AF42250B_.wvu.Cols" hidden="1">#REF!,#REF!,#REF!</definedName>
    <definedName name="Z_A73E33D8_2630_11D1_BD91_0020AF42250B_.wvu.Cols" localSheetId="13" hidden="1">#REF!,#REF!,#REF!,#REF!</definedName>
    <definedName name="Z_A73E33D8_2630_11D1_BD91_0020AF42250B_.wvu.Cols" localSheetId="9" hidden="1">#REF!,#REF!,#REF!,#REF!</definedName>
    <definedName name="Z_A73E33D8_2630_11D1_BD91_0020AF42250B_.wvu.Cols" localSheetId="8" hidden="1">#REF!,#REF!,#REF!,#REF!</definedName>
    <definedName name="Z_A73E33D8_2630_11D1_BD91_0020AF42250B_.wvu.Cols" localSheetId="7" hidden="1">#REF!,#REF!,#REF!,#REF!</definedName>
    <definedName name="Z_A73E33D8_2630_11D1_BD91_0020AF42250B_.wvu.Cols" hidden="1">#REF!,#REF!,#REF!,#REF!</definedName>
    <definedName name="Z_A73E33DD_2630_11D1_BD91_0020AF42250B_.wvu.Cols" localSheetId="13" hidden="1">#REF!,#REF!,#REF!</definedName>
    <definedName name="Z_A73E33DD_2630_11D1_BD91_0020AF42250B_.wvu.Cols" localSheetId="9" hidden="1">#REF!,#REF!,#REF!</definedName>
    <definedName name="Z_A73E33DD_2630_11D1_BD91_0020AF42250B_.wvu.Cols" localSheetId="8" hidden="1">#REF!,#REF!,#REF!</definedName>
    <definedName name="Z_A73E33DD_2630_11D1_BD91_0020AF42250B_.wvu.Cols" localSheetId="7" hidden="1">#REF!,#REF!,#REF!</definedName>
    <definedName name="Z_A73E33DD_2630_11D1_BD91_0020AF42250B_.wvu.Cols" hidden="1">#REF!,#REF!,#REF!</definedName>
    <definedName name="Z_A73E33DE_2630_11D1_BD91_0020AF42250B_.wvu.Cols" localSheetId="13" hidden="1">#REF!,#REF!,#REF!</definedName>
    <definedName name="Z_A73E33DE_2630_11D1_BD91_0020AF42250B_.wvu.Cols" localSheetId="9" hidden="1">#REF!,#REF!,#REF!</definedName>
    <definedName name="Z_A73E33DE_2630_11D1_BD91_0020AF42250B_.wvu.Cols" localSheetId="8" hidden="1">#REF!,#REF!,#REF!</definedName>
    <definedName name="Z_A73E33DE_2630_11D1_BD91_0020AF42250B_.wvu.Cols" localSheetId="7" hidden="1">#REF!,#REF!,#REF!</definedName>
    <definedName name="Z_A73E33DE_2630_11D1_BD91_0020AF42250B_.wvu.Cols" hidden="1">#REF!,#REF!,#REF!</definedName>
    <definedName name="Z_B47DD997_1976_11D1_BD7C_0020AF42250B_.wvu.Cols" localSheetId="13" hidden="1">#REF!,#REF!,#REF!</definedName>
    <definedName name="Z_B47DD997_1976_11D1_BD7C_0020AF42250B_.wvu.Cols" localSheetId="9" hidden="1">#REF!,#REF!,#REF!</definedName>
    <definedName name="Z_B47DD997_1976_11D1_BD7C_0020AF42250B_.wvu.Cols" localSheetId="8" hidden="1">#REF!,#REF!,#REF!</definedName>
    <definedName name="Z_B47DD997_1976_11D1_BD7C_0020AF42250B_.wvu.Cols" localSheetId="7" hidden="1">#REF!,#REF!,#REF!</definedName>
    <definedName name="Z_B47DD997_1976_11D1_BD7C_0020AF42250B_.wvu.Cols" hidden="1">#REF!,#REF!,#REF!</definedName>
    <definedName name="Z_B47DD998_1976_11D1_BD7C_0020AF42250B_.wvu.Cols" localSheetId="13" hidden="1">#REF!,#REF!,#REF!</definedName>
    <definedName name="Z_B47DD998_1976_11D1_BD7C_0020AF42250B_.wvu.Cols" localSheetId="7" hidden="1">#REF!,#REF!,#REF!</definedName>
    <definedName name="Z_B47DD998_1976_11D1_BD7C_0020AF42250B_.wvu.Cols" hidden="1">#REF!,#REF!,#REF!</definedName>
    <definedName name="Z_B47DD99A_1976_11D1_BD7C_0020AF42250B_.wvu.Cols" localSheetId="13" hidden="1">#REF!,#REF!,#REF!,#REF!</definedName>
    <definedName name="Z_B47DD99A_1976_11D1_BD7C_0020AF42250B_.wvu.Cols" localSheetId="9" hidden="1">#REF!,#REF!,#REF!,#REF!</definedName>
    <definedName name="Z_B47DD99A_1976_11D1_BD7C_0020AF42250B_.wvu.Cols" localSheetId="8" hidden="1">#REF!,#REF!,#REF!,#REF!</definedName>
    <definedName name="Z_B47DD99A_1976_11D1_BD7C_0020AF42250B_.wvu.Cols" localSheetId="7" hidden="1">#REF!,#REF!,#REF!,#REF!</definedName>
    <definedName name="Z_B47DD99A_1976_11D1_BD7C_0020AF42250B_.wvu.Cols" hidden="1">#REF!,#REF!,#REF!,#REF!</definedName>
    <definedName name="Z_B47DD99B_1976_11D1_BD7C_0020AF42250B_.wvu.Cols" localSheetId="13" hidden="1">#REF!,#REF!,#REF!</definedName>
    <definedName name="Z_B47DD99B_1976_11D1_BD7C_0020AF42250B_.wvu.Cols" localSheetId="9" hidden="1">#REF!,#REF!,#REF!</definedName>
    <definedName name="Z_B47DD99B_1976_11D1_BD7C_0020AF42250B_.wvu.Cols" localSheetId="8" hidden="1">#REF!,#REF!,#REF!</definedName>
    <definedName name="Z_B47DD99B_1976_11D1_BD7C_0020AF42250B_.wvu.Cols" localSheetId="7" hidden="1">#REF!,#REF!,#REF!</definedName>
    <definedName name="Z_B47DD99B_1976_11D1_BD7C_0020AF42250B_.wvu.Cols" hidden="1">#REF!,#REF!,#REF!</definedName>
    <definedName name="Z_B47DD99C_1976_11D1_BD7C_0020AF42250B_.wvu.Cols" localSheetId="13" hidden="1">#REF!,#REF!</definedName>
    <definedName name="Z_B47DD99C_1976_11D1_BD7C_0020AF42250B_.wvu.Cols" localSheetId="9" hidden="1">#REF!,#REF!</definedName>
    <definedName name="Z_B47DD99C_1976_11D1_BD7C_0020AF42250B_.wvu.Cols" localSheetId="8" hidden="1">#REF!,#REF!</definedName>
    <definedName name="Z_B47DD99C_1976_11D1_BD7C_0020AF42250B_.wvu.Cols" localSheetId="7" hidden="1">#REF!,#REF!</definedName>
    <definedName name="Z_B47DD99C_1976_11D1_BD7C_0020AF42250B_.wvu.Cols" hidden="1">#REF!,#REF!</definedName>
    <definedName name="Z_B47DD99D_1976_11D1_BD7C_0020AF42250B_.wvu.Cols" localSheetId="13" hidden="1">#REF!,#REF!,#REF!</definedName>
    <definedName name="Z_B47DD99D_1976_11D1_BD7C_0020AF42250B_.wvu.Cols" localSheetId="9" hidden="1">#REF!,#REF!,#REF!</definedName>
    <definedName name="Z_B47DD99D_1976_11D1_BD7C_0020AF42250B_.wvu.Cols" localSheetId="8" hidden="1">#REF!,#REF!,#REF!</definedName>
    <definedName name="Z_B47DD99D_1976_11D1_BD7C_0020AF42250B_.wvu.Cols" localSheetId="7" hidden="1">#REF!,#REF!,#REF!</definedName>
    <definedName name="Z_B47DD99D_1976_11D1_BD7C_0020AF42250B_.wvu.Cols" hidden="1">#REF!,#REF!,#REF!</definedName>
    <definedName name="Z_B47DD99E_1976_11D1_BD7C_0020AF42250B_.wvu.Cols" localSheetId="13" hidden="1">#REF!,#REF!,#REF!,#REF!</definedName>
    <definedName name="Z_B47DD99E_1976_11D1_BD7C_0020AF42250B_.wvu.Cols" localSheetId="9" hidden="1">#REF!,#REF!,#REF!,#REF!</definedName>
    <definedName name="Z_B47DD99E_1976_11D1_BD7C_0020AF42250B_.wvu.Cols" localSheetId="8" hidden="1">#REF!,#REF!,#REF!,#REF!</definedName>
    <definedName name="Z_B47DD99E_1976_11D1_BD7C_0020AF42250B_.wvu.Cols" localSheetId="7" hidden="1">#REF!,#REF!,#REF!,#REF!</definedName>
    <definedName name="Z_B47DD99E_1976_11D1_BD7C_0020AF42250B_.wvu.Cols" hidden="1">#REF!,#REF!,#REF!,#REF!</definedName>
    <definedName name="Z_B47DD9A3_1976_11D1_BD7C_0020AF42250B_.wvu.Cols" localSheetId="13" hidden="1">#REF!,#REF!,#REF!</definedName>
    <definedName name="Z_B47DD9A3_1976_11D1_BD7C_0020AF42250B_.wvu.Cols" localSheetId="9" hidden="1">#REF!,#REF!,#REF!</definedName>
    <definedName name="Z_B47DD9A3_1976_11D1_BD7C_0020AF42250B_.wvu.Cols" localSheetId="8" hidden="1">#REF!,#REF!,#REF!</definedName>
    <definedName name="Z_B47DD9A3_1976_11D1_BD7C_0020AF42250B_.wvu.Cols" localSheetId="7" hidden="1">#REF!,#REF!,#REF!</definedName>
    <definedName name="Z_B47DD9A3_1976_11D1_BD7C_0020AF42250B_.wvu.Cols" hidden="1">#REF!,#REF!,#REF!</definedName>
    <definedName name="Z_B47DD9A4_1976_11D1_BD7C_0020AF42250B_.wvu.Cols" localSheetId="13" hidden="1">#REF!,#REF!,#REF!</definedName>
    <definedName name="Z_B47DD9A4_1976_11D1_BD7C_0020AF42250B_.wvu.Cols" localSheetId="9" hidden="1">#REF!,#REF!,#REF!</definedName>
    <definedName name="Z_B47DD9A4_1976_11D1_BD7C_0020AF42250B_.wvu.Cols" localSheetId="8" hidden="1">#REF!,#REF!,#REF!</definedName>
    <definedName name="Z_B47DD9A4_1976_11D1_BD7C_0020AF42250B_.wvu.Cols" localSheetId="7" hidden="1">#REF!,#REF!,#REF!</definedName>
    <definedName name="Z_B47DD9A4_1976_11D1_BD7C_0020AF42250B_.wvu.Cols" hidden="1">#REF!,#REF!,#REF!</definedName>
    <definedName name="Z_B6AE087C_DC06_11D2_BCA9_00C04F8BBE86_.wvu.Cols" localSheetId="13" hidden="1">#REF!,#REF!,#REF!,#REF!,#REF!</definedName>
    <definedName name="Z_B6AE087C_DC06_11D2_BCA9_00C04F8BBE86_.wvu.Cols" localSheetId="9" hidden="1">#REF!,#REF!,#REF!,#REF!,#REF!</definedName>
    <definedName name="Z_B6AE087C_DC06_11D2_BCA9_00C04F8BBE86_.wvu.Cols" localSheetId="8" hidden="1">#REF!,#REF!,#REF!,#REF!,#REF!</definedName>
    <definedName name="Z_B6AE087C_DC06_11D2_BCA9_00C04F8BBE86_.wvu.Cols" localSheetId="7" hidden="1">#REF!,#REF!,#REF!,#REF!,#REF!</definedName>
    <definedName name="Z_B6AE087C_DC06_11D2_BCA9_00C04F8BBE86_.wvu.Cols" hidden="1">#REF!,#REF!,#REF!,#REF!,#REF!</definedName>
    <definedName name="Z_B6AE087C_DC06_11D2_BCA9_00C04F8BBE86_.wvu.PrintArea" localSheetId="13" hidden="1">#REF!</definedName>
    <definedName name="Z_B6AE087C_DC06_11D2_BCA9_00C04F8BBE86_.wvu.PrintArea" localSheetId="9" hidden="1">#REF!</definedName>
    <definedName name="Z_B6AE087C_DC06_11D2_BCA9_00C04F8BBE86_.wvu.PrintArea" localSheetId="8" hidden="1">#REF!</definedName>
    <definedName name="Z_B6AE087C_DC06_11D2_BCA9_00C04F8BBE86_.wvu.PrintArea" localSheetId="7" hidden="1">#REF!</definedName>
    <definedName name="Z_B6AE087C_DC06_11D2_BCA9_00C04F8BBE86_.wvu.PrintArea" hidden="1">#REF!</definedName>
    <definedName name="Z_B6AE087C_DC06_11D2_BCA9_00C04F8BBE86_.wvu.Rows" localSheetId="13" hidden="1">#REF!,#REF!</definedName>
    <definedName name="Z_B6AE087C_DC06_11D2_BCA9_00C04F8BBE86_.wvu.Rows" localSheetId="9" hidden="1">#REF!,#REF!</definedName>
    <definedName name="Z_B6AE087C_DC06_11D2_BCA9_00C04F8BBE86_.wvu.Rows" localSheetId="8" hidden="1">#REF!,#REF!</definedName>
    <definedName name="Z_B6AE087C_DC06_11D2_BCA9_00C04F8BBE86_.wvu.Rows" localSheetId="7" hidden="1">#REF!,#REF!</definedName>
    <definedName name="Z_B6AE087C_DC06_11D2_BCA9_00C04F8BBE86_.wvu.Rows" hidden="1">#REF!,#REF!</definedName>
    <definedName name="Z_F2D042EF_2606_11D1_BD91_0020AF42250B_.wvu.Cols" localSheetId="13" hidden="1">#REF!,#REF!,#REF!</definedName>
    <definedName name="Z_F2D042EF_2606_11D1_BD91_0020AF42250B_.wvu.Cols" localSheetId="9" hidden="1">#REF!,#REF!,#REF!</definedName>
    <definedName name="Z_F2D042EF_2606_11D1_BD91_0020AF42250B_.wvu.Cols" localSheetId="8" hidden="1">#REF!,#REF!,#REF!</definedName>
    <definedName name="Z_F2D042EF_2606_11D1_BD91_0020AF42250B_.wvu.Cols" localSheetId="7" hidden="1">#REF!,#REF!,#REF!</definedName>
    <definedName name="Z_F2D042EF_2606_11D1_BD91_0020AF42250B_.wvu.Cols" hidden="1">#REF!,#REF!,#REF!</definedName>
    <definedName name="Z_F2D042F0_2606_11D1_BD91_0020AF42250B_.wvu.Cols" localSheetId="13" hidden="1">#REF!,#REF!,#REF!</definedName>
    <definedName name="Z_F2D042F0_2606_11D1_BD91_0020AF42250B_.wvu.Cols" localSheetId="9" hidden="1">#REF!,#REF!,#REF!</definedName>
    <definedName name="Z_F2D042F0_2606_11D1_BD91_0020AF42250B_.wvu.Cols" localSheetId="8" hidden="1">#REF!,#REF!,#REF!</definedName>
    <definedName name="Z_F2D042F0_2606_11D1_BD91_0020AF42250B_.wvu.Cols" localSheetId="7" hidden="1">#REF!,#REF!,#REF!</definedName>
    <definedName name="Z_F2D042F0_2606_11D1_BD91_0020AF42250B_.wvu.Cols" hidden="1">#REF!,#REF!,#REF!</definedName>
    <definedName name="Z_F2D042F2_2606_11D1_BD91_0020AF42250B_.wvu.Cols" localSheetId="13" hidden="1">#REF!,#REF!,#REF!,#REF!</definedName>
    <definedName name="Z_F2D042F2_2606_11D1_BD91_0020AF42250B_.wvu.Cols" localSheetId="9" hidden="1">#REF!,#REF!,#REF!,#REF!</definedName>
    <definedName name="Z_F2D042F2_2606_11D1_BD91_0020AF42250B_.wvu.Cols" localSheetId="8" hidden="1">#REF!,#REF!,#REF!,#REF!</definedName>
    <definedName name="Z_F2D042F2_2606_11D1_BD91_0020AF42250B_.wvu.Cols" localSheetId="7" hidden="1">#REF!,#REF!,#REF!,#REF!</definedName>
    <definedName name="Z_F2D042F2_2606_11D1_BD91_0020AF42250B_.wvu.Cols" hidden="1">#REF!,#REF!,#REF!,#REF!</definedName>
    <definedName name="Z_F2D042F3_2606_11D1_BD91_0020AF42250B_.wvu.Cols" localSheetId="13" hidden="1">#REF!,#REF!,#REF!</definedName>
    <definedName name="Z_F2D042F3_2606_11D1_BD91_0020AF42250B_.wvu.Cols" localSheetId="9" hidden="1">#REF!,#REF!,#REF!</definedName>
    <definedName name="Z_F2D042F3_2606_11D1_BD91_0020AF42250B_.wvu.Cols" localSheetId="8" hidden="1">#REF!,#REF!,#REF!</definedName>
    <definedName name="Z_F2D042F3_2606_11D1_BD91_0020AF42250B_.wvu.Cols" localSheetId="7" hidden="1">#REF!,#REF!,#REF!</definedName>
    <definedName name="Z_F2D042F3_2606_11D1_BD91_0020AF42250B_.wvu.Cols" hidden="1">#REF!,#REF!,#REF!</definedName>
    <definedName name="Z_F2D042F4_2606_11D1_BD91_0020AF42250B_.wvu.Cols" localSheetId="13" hidden="1">#REF!,#REF!</definedName>
    <definedName name="Z_F2D042F4_2606_11D1_BD91_0020AF42250B_.wvu.Cols" localSheetId="9" hidden="1">#REF!,#REF!</definedName>
    <definedName name="Z_F2D042F4_2606_11D1_BD91_0020AF42250B_.wvu.Cols" localSheetId="8" hidden="1">#REF!,#REF!</definedName>
    <definedName name="Z_F2D042F4_2606_11D1_BD91_0020AF42250B_.wvu.Cols" localSheetId="7" hidden="1">#REF!,#REF!</definedName>
    <definedName name="Z_F2D042F4_2606_11D1_BD91_0020AF42250B_.wvu.Cols" hidden="1">#REF!,#REF!</definedName>
    <definedName name="Z_F2D042F5_2606_11D1_BD91_0020AF42250B_.wvu.Cols" localSheetId="13" hidden="1">#REF!,#REF!,#REF!</definedName>
    <definedName name="Z_F2D042F5_2606_11D1_BD91_0020AF42250B_.wvu.Cols" localSheetId="9" hidden="1">#REF!,#REF!,#REF!</definedName>
    <definedName name="Z_F2D042F5_2606_11D1_BD91_0020AF42250B_.wvu.Cols" localSheetId="8" hidden="1">#REF!,#REF!,#REF!</definedName>
    <definedName name="Z_F2D042F5_2606_11D1_BD91_0020AF42250B_.wvu.Cols" localSheetId="7" hidden="1">#REF!,#REF!,#REF!</definedName>
    <definedName name="Z_F2D042F5_2606_11D1_BD91_0020AF42250B_.wvu.Cols" hidden="1">#REF!,#REF!,#REF!</definedName>
    <definedName name="Z_F2D042F6_2606_11D1_BD91_0020AF42250B_.wvu.Cols" localSheetId="13" hidden="1">#REF!,#REF!,#REF!,#REF!</definedName>
    <definedName name="Z_F2D042F6_2606_11D1_BD91_0020AF42250B_.wvu.Cols" localSheetId="9" hidden="1">#REF!,#REF!,#REF!,#REF!</definedName>
    <definedName name="Z_F2D042F6_2606_11D1_BD91_0020AF42250B_.wvu.Cols" localSheetId="8" hidden="1">#REF!,#REF!,#REF!,#REF!</definedName>
    <definedName name="Z_F2D042F6_2606_11D1_BD91_0020AF42250B_.wvu.Cols" localSheetId="7" hidden="1">#REF!,#REF!,#REF!,#REF!</definedName>
    <definedName name="Z_F2D042F6_2606_11D1_BD91_0020AF42250B_.wvu.Cols" hidden="1">#REF!,#REF!,#REF!,#REF!</definedName>
    <definedName name="Z_F2D042FB_2606_11D1_BD91_0020AF42250B_.wvu.Cols" localSheetId="13" hidden="1">#REF!,#REF!,#REF!</definedName>
    <definedName name="Z_F2D042FB_2606_11D1_BD91_0020AF42250B_.wvu.Cols" localSheetId="9" hidden="1">#REF!,#REF!,#REF!</definedName>
    <definedName name="Z_F2D042FB_2606_11D1_BD91_0020AF42250B_.wvu.Cols" localSheetId="8" hidden="1">#REF!,#REF!,#REF!</definedName>
    <definedName name="Z_F2D042FB_2606_11D1_BD91_0020AF42250B_.wvu.Cols" localSheetId="7" hidden="1">#REF!,#REF!,#REF!</definedName>
    <definedName name="Z_F2D042FB_2606_11D1_BD91_0020AF42250B_.wvu.Cols" hidden="1">#REF!,#REF!,#REF!</definedName>
    <definedName name="Z_F2D042FC_2606_11D1_BD91_0020AF42250B_.wvu.Cols" localSheetId="13" hidden="1">#REF!,#REF!,#REF!</definedName>
    <definedName name="Z_F2D042FC_2606_11D1_BD91_0020AF42250B_.wvu.Cols" localSheetId="9" hidden="1">#REF!,#REF!,#REF!</definedName>
    <definedName name="Z_F2D042FC_2606_11D1_BD91_0020AF42250B_.wvu.Cols" localSheetId="8" hidden="1">#REF!,#REF!,#REF!</definedName>
    <definedName name="Z_F2D042FC_2606_11D1_BD91_0020AF42250B_.wvu.Cols" localSheetId="7" hidden="1">#REF!,#REF!,#REF!</definedName>
    <definedName name="Z_F2D042FC_2606_11D1_BD91_0020AF42250B_.wvu.Cols" hidden="1">#REF!,#REF!,#REF!</definedName>
    <definedName name="Z_FAFA6ED0_0531_11D1_BD56_0020AF42250B_.wvu.Cols" localSheetId="13" hidden="1">#REF!,#REF!,#REF!,#REF!</definedName>
    <definedName name="Z_FAFA6ED0_0531_11D1_BD56_0020AF42250B_.wvu.Cols" localSheetId="9" hidden="1">#REF!,#REF!,#REF!,#REF!</definedName>
    <definedName name="Z_FAFA6ED0_0531_11D1_BD56_0020AF42250B_.wvu.Cols" localSheetId="8" hidden="1">#REF!,#REF!,#REF!,#REF!</definedName>
    <definedName name="Z_FAFA6ED0_0531_11D1_BD56_0020AF42250B_.wvu.Cols" localSheetId="7" hidden="1">#REF!,#REF!,#REF!,#REF!</definedName>
    <definedName name="Z_FAFA6ED0_0531_11D1_BD56_0020AF42250B_.wvu.Cols" hidden="1">#REF!,#REF!,#REF!,#REF!</definedName>
    <definedName name="Z_FAFA6ED0_0531_11D1_BD56_0020AF42250B_.wvu.PrintArea" localSheetId="13" hidden="1">#REF!</definedName>
    <definedName name="Z_FAFA6ED0_0531_11D1_BD56_0020AF42250B_.wvu.PrintArea" localSheetId="9" hidden="1">#REF!</definedName>
    <definedName name="Z_FAFA6ED0_0531_11D1_BD56_0020AF42250B_.wvu.PrintArea" localSheetId="8" hidden="1">#REF!</definedName>
    <definedName name="Z_FAFA6ED0_0531_11D1_BD56_0020AF42250B_.wvu.PrintArea" localSheetId="7" hidden="1">#REF!</definedName>
    <definedName name="Z_FAFA6ED0_0531_11D1_BD56_0020AF42250B_.wvu.PrintArea" hidden="1">#REF!</definedName>
    <definedName name="Z_FAFA6ED0_0531_11D1_BD56_0020AF42250B_.wvu.PrintTitles" localSheetId="13" hidden="1">#REF!</definedName>
    <definedName name="Z_FAFA6ED0_0531_11D1_BD56_0020AF42250B_.wvu.PrintTitles" localSheetId="9" hidden="1">#REF!</definedName>
    <definedName name="Z_FAFA6ED0_0531_11D1_BD56_0020AF42250B_.wvu.PrintTitles" localSheetId="8" hidden="1">#REF!</definedName>
    <definedName name="Z_FAFA6ED0_0531_11D1_BD56_0020AF42250B_.wvu.PrintTitles" localSheetId="7" hidden="1">#REF!</definedName>
    <definedName name="Z_FAFA6ED0_0531_11D1_BD56_0020AF42250B_.wvu.PrintTitles" hidden="1">#REF!</definedName>
    <definedName name="Z_FAFA6ED1_0531_11D1_BD56_0020AF42250B_.wvu.Cols" localSheetId="13" hidden="1">#REF!,#REF!,#REF!</definedName>
    <definedName name="Z_FAFA6ED1_0531_11D1_BD56_0020AF42250B_.wvu.Cols" localSheetId="9" hidden="1">#REF!,#REF!,#REF!</definedName>
    <definedName name="Z_FAFA6ED1_0531_11D1_BD56_0020AF42250B_.wvu.Cols" localSheetId="8" hidden="1">#REF!,#REF!,#REF!</definedName>
    <definedName name="Z_FAFA6ED1_0531_11D1_BD56_0020AF42250B_.wvu.Cols" localSheetId="7" hidden="1">#REF!,#REF!,#REF!</definedName>
    <definedName name="Z_FAFA6ED1_0531_11D1_BD56_0020AF42250B_.wvu.Cols" hidden="1">#REF!,#REF!,#REF!</definedName>
    <definedName name="Z_FAFA6ED1_0531_11D1_BD56_0020AF42250B_.wvu.PrintArea" localSheetId="13" hidden="1">#REF!</definedName>
    <definedName name="Z_FAFA6ED1_0531_11D1_BD56_0020AF42250B_.wvu.PrintArea" localSheetId="9" hidden="1">#REF!</definedName>
    <definedName name="Z_FAFA6ED1_0531_11D1_BD56_0020AF42250B_.wvu.PrintArea" localSheetId="8" hidden="1">#REF!</definedName>
    <definedName name="Z_FAFA6ED1_0531_11D1_BD56_0020AF42250B_.wvu.PrintArea" localSheetId="7" hidden="1">#REF!</definedName>
    <definedName name="Z_FAFA6ED1_0531_11D1_BD56_0020AF42250B_.wvu.PrintArea" hidden="1">#REF!</definedName>
    <definedName name="Z_FAFA6ED1_0531_11D1_BD56_0020AF42250B_.wvu.PrintTitles" localSheetId="13" hidden="1">#REF!</definedName>
    <definedName name="Z_FAFA6ED1_0531_11D1_BD56_0020AF42250B_.wvu.PrintTitles" localSheetId="9" hidden="1">#REF!</definedName>
    <definedName name="Z_FAFA6ED1_0531_11D1_BD56_0020AF42250B_.wvu.PrintTitles" localSheetId="8" hidden="1">#REF!</definedName>
    <definedName name="Z_FAFA6ED1_0531_11D1_BD56_0020AF42250B_.wvu.PrintTitles" localSheetId="7" hidden="1">#REF!</definedName>
    <definedName name="Z_FAFA6ED1_0531_11D1_BD56_0020AF42250B_.wvu.PrintTitles" hidden="1">#REF!</definedName>
    <definedName name="zdf" localSheetId="13">#REF!</definedName>
    <definedName name="zdf" localSheetId="9">#REF!</definedName>
    <definedName name="zdf" localSheetId="8">#REF!</definedName>
    <definedName name="zdf" localSheetId="7">#REF!</definedName>
    <definedName name="zdf">#REF!</definedName>
    <definedName name="zeta_lookup" localSheetId="13">#REF!</definedName>
    <definedName name="zeta_lookup" localSheetId="7">#REF!</definedName>
    <definedName name="zeta_lookup">#REF!</definedName>
    <definedName name="ZETA_SCORE" localSheetId="13">#REF!</definedName>
    <definedName name="ZETA_SCORE" localSheetId="7">#REF!</definedName>
    <definedName name="ZETA_SCORE">#REF!</definedName>
    <definedName name="zvssd">#N/A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 i="22" l="1"/>
  <c r="H119" i="22"/>
  <c r="H76" i="22"/>
  <c r="S8" i="22"/>
  <c r="C3" i="23"/>
  <c r="B26" i="23"/>
  <c r="B27" i="23"/>
  <c r="B28" i="23"/>
  <c r="B30" i="23"/>
  <c r="B31" i="23"/>
  <c r="B32" i="23"/>
  <c r="B33" i="23"/>
  <c r="B34" i="23"/>
  <c r="B35" i="23"/>
  <c r="B37" i="23"/>
  <c r="B38" i="23"/>
  <c r="B39" i="23"/>
  <c r="B40" i="23"/>
  <c r="B41" i="23"/>
  <c r="B42" i="23"/>
  <c r="B43" i="23"/>
  <c r="B44" i="23"/>
  <c r="B45" i="23"/>
  <c r="B46" i="23"/>
  <c r="B47" i="23"/>
  <c r="B48" i="23"/>
  <c r="B49" i="23"/>
  <c r="B51" i="23"/>
  <c r="B52" i="23"/>
  <c r="B53" i="23"/>
  <c r="B54" i="23"/>
  <c r="B55" i="23"/>
  <c r="B56" i="23"/>
  <c r="B57" i="23"/>
  <c r="B58" i="23"/>
  <c r="B59" i="23"/>
  <c r="B60" i="23"/>
  <c r="B61" i="23"/>
  <c r="B62" i="23"/>
  <c r="B63"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I109" i="23" s="1"/>
  <c r="B110" i="23"/>
  <c r="I110" i="23" s="1"/>
  <c r="B111" i="23"/>
  <c r="B112" i="23"/>
  <c r="B113" i="23"/>
  <c r="B114" i="23"/>
  <c r="B115" i="23"/>
  <c r="B116" i="23"/>
  <c r="B117" i="23"/>
  <c r="B119" i="23"/>
  <c r="B120" i="23"/>
  <c r="B121" i="23"/>
  <c r="B122" i="23"/>
  <c r="B123" i="23"/>
  <c r="B124" i="23"/>
  <c r="B125" i="23"/>
  <c r="B126" i="23"/>
  <c r="B127" i="23"/>
  <c r="B128" i="23"/>
  <c r="B129" i="23"/>
  <c r="B130" i="23"/>
  <c r="B131" i="23"/>
  <c r="B132" i="23"/>
  <c r="B133" i="23"/>
  <c r="B134" i="23"/>
  <c r="B136" i="23"/>
  <c r="B137" i="23"/>
  <c r="B138" i="23"/>
  <c r="B140" i="23"/>
  <c r="B141" i="23"/>
  <c r="B142" i="23"/>
  <c r="B143" i="23"/>
  <c r="B144" i="23"/>
  <c r="B145" i="23"/>
  <c r="B146" i="23"/>
  <c r="B147" i="23"/>
  <c r="B149" i="23"/>
  <c r="B150" i="23"/>
  <c r="B151" i="23"/>
  <c r="B153" i="23"/>
  <c r="B155" i="23"/>
  <c r="B156" i="23"/>
  <c r="B158" i="23"/>
  <c r="B159" i="23"/>
  <c r="B160" i="23"/>
  <c r="B162" i="23"/>
  <c r="B163" i="23"/>
  <c r="B164" i="23"/>
  <c r="B165" i="23"/>
  <c r="B166" i="23"/>
  <c r="B168" i="23"/>
  <c r="B169" i="23"/>
  <c r="B171" i="23"/>
  <c r="B172" i="23"/>
  <c r="B173" i="23"/>
  <c r="B174" i="23"/>
  <c r="B175" i="23"/>
  <c r="B176" i="23"/>
  <c r="B177" i="23"/>
  <c r="B178" i="23"/>
  <c r="B179" i="23"/>
  <c r="B180" i="23"/>
  <c r="B181" i="23"/>
  <c r="B182" i="23"/>
  <c r="B183" i="23"/>
  <c r="B184" i="23"/>
  <c r="B185" i="23"/>
  <c r="B186" i="23"/>
  <c r="B187" i="23"/>
  <c r="B189" i="23"/>
  <c r="B190" i="23"/>
  <c r="B191" i="23"/>
  <c r="B193" i="23"/>
  <c r="B194" i="23"/>
  <c r="B195" i="23"/>
  <c r="B196" i="23"/>
  <c r="B198" i="23"/>
  <c r="B199" i="23"/>
  <c r="B200" i="23"/>
  <c r="B201" i="23"/>
  <c r="B202" i="23"/>
  <c r="B203" i="23"/>
  <c r="B204" i="23"/>
  <c r="B205" i="23"/>
  <c r="B206" i="23"/>
  <c r="B208" i="23"/>
  <c r="B209" i="23"/>
  <c r="B210" i="23"/>
  <c r="B211" i="23"/>
  <c r="B212" i="23"/>
  <c r="B213" i="23"/>
  <c r="B214" i="23"/>
  <c r="B215" i="23"/>
  <c r="B216" i="23"/>
  <c r="B217" i="23"/>
  <c r="B218" i="23"/>
  <c r="B219" i="23"/>
  <c r="B220" i="23"/>
  <c r="B221" i="23"/>
  <c r="B222" i="23"/>
  <c r="B223" i="23"/>
  <c r="B224" i="23"/>
  <c r="B225" i="23"/>
  <c r="B226" i="23"/>
  <c r="B227" i="23"/>
  <c r="B228" i="23"/>
  <c r="B229" i="23"/>
  <c r="B230" i="23"/>
  <c r="B231" i="23"/>
  <c r="B232" i="23"/>
  <c r="B233" i="23"/>
  <c r="B234" i="23"/>
  <c r="B235" i="23"/>
  <c r="B236" i="23"/>
  <c r="B237" i="23"/>
  <c r="B238" i="23"/>
  <c r="B239" i="23"/>
  <c r="B240" i="23"/>
  <c r="B241" i="23"/>
  <c r="B242" i="23"/>
  <c r="B243" i="23"/>
  <c r="B244" i="23"/>
  <c r="B246" i="23"/>
  <c r="B247" i="23"/>
  <c r="B248" i="23"/>
  <c r="B249" i="23"/>
  <c r="B250" i="23"/>
  <c r="B251" i="23"/>
  <c r="B252" i="23"/>
  <c r="B253" i="23"/>
  <c r="B254" i="23"/>
  <c r="B255" i="23"/>
  <c r="B256" i="23"/>
  <c r="B257" i="23"/>
  <c r="B258" i="23"/>
  <c r="B259" i="23"/>
  <c r="B260" i="23"/>
  <c r="B261" i="23"/>
  <c r="B263" i="23"/>
  <c r="B264" i="23"/>
  <c r="B266" i="23"/>
  <c r="B268" i="23"/>
  <c r="B269" i="23"/>
  <c r="B270" i="23"/>
  <c r="B272" i="23"/>
  <c r="B273" i="23"/>
  <c r="B274" i="23"/>
  <c r="B275" i="23"/>
  <c r="B276" i="23"/>
  <c r="B277" i="23"/>
  <c r="B278" i="23"/>
  <c r="B279" i="23"/>
  <c r="B280" i="23"/>
  <c r="B285" i="23"/>
  <c r="B286" i="23"/>
  <c r="B287" i="23"/>
  <c r="B288" i="23"/>
  <c r="B289" i="23"/>
  <c r="B290" i="23"/>
  <c r="B291" i="23"/>
  <c r="B292" i="23"/>
  <c r="B293" i="23"/>
  <c r="B294" i="23"/>
  <c r="B295" i="23"/>
  <c r="B296" i="23"/>
  <c r="B297" i="23"/>
  <c r="B298" i="23"/>
  <c r="B308" i="23"/>
  <c r="B309" i="23"/>
  <c r="B25" i="23"/>
  <c r="B16" i="23"/>
  <c r="B17" i="23"/>
  <c r="B18" i="23"/>
  <c r="B19" i="23"/>
  <c r="B20" i="23"/>
  <c r="B21" i="23"/>
  <c r="B22" i="23"/>
  <c r="B23" i="23"/>
  <c r="B15" i="23"/>
  <c r="B13" i="23"/>
  <c r="C4" i="23"/>
  <c r="I4" i="23" s="1"/>
  <c r="E309" i="23"/>
  <c r="E308" i="23"/>
  <c r="V290" i="23"/>
  <c r="X25" i="23"/>
  <c r="X23" i="23"/>
  <c r="AO9" i="23"/>
  <c r="AH9" i="23"/>
  <c r="X8" i="23"/>
  <c r="AK7" i="23"/>
  <c r="AL7" i="23" s="1"/>
  <c r="AD7" i="23"/>
  <c r="X7" i="23"/>
  <c r="X10" i="23" s="1"/>
  <c r="AD6" i="23"/>
  <c r="AE7" i="23" s="1"/>
  <c r="F4" i="23"/>
  <c r="F3" i="23"/>
  <c r="H166" i="22"/>
  <c r="H265" i="22"/>
  <c r="H255" i="22"/>
  <c r="C310" i="23" l="1"/>
  <c r="F310" i="23"/>
  <c r="H310" i="23" s="1"/>
  <c r="I310" i="23" s="1"/>
  <c r="I3" i="23"/>
  <c r="H309" i="23"/>
  <c r="I309" i="23" s="1"/>
  <c r="Y9" i="23"/>
  <c r="Y10" i="23"/>
  <c r="Y6" i="23"/>
  <c r="H308" i="23"/>
  <c r="I308" i="23" s="1"/>
  <c r="Y7" i="23"/>
  <c r="Y8" i="23"/>
  <c r="H60" i="22" l="1"/>
  <c r="AC70" i="22" l="1"/>
  <c r="H27" i="22"/>
  <c r="H26" i="22"/>
  <c r="H93" i="22"/>
  <c r="H58" i="22"/>
  <c r="H35" i="22" l="1"/>
  <c r="H178" i="22"/>
  <c r="J250" i="22"/>
  <c r="K250" i="22" s="1"/>
  <c r="E243" i="23" s="1"/>
  <c r="J224" i="22"/>
  <c r="K224" i="22" s="1"/>
  <c r="E217" i="23" s="1"/>
  <c r="G22" i="22"/>
  <c r="F461" i="22"/>
  <c r="F457" i="22"/>
  <c r="F456" i="22"/>
  <c r="F455" i="22"/>
  <c r="F454" i="22"/>
  <c r="F453" i="22"/>
  <c r="F452" i="22"/>
  <c r="F451" i="22"/>
  <c r="F450" i="22"/>
  <c r="F449" i="22"/>
  <c r="F448" i="22"/>
  <c r="F447" i="22"/>
  <c r="F429" i="22"/>
  <c r="F428" i="22"/>
  <c r="F426" i="22"/>
  <c r="F425" i="22"/>
  <c r="F424" i="22"/>
  <c r="E355" i="22"/>
  <c r="E353" i="22"/>
  <c r="E352" i="22"/>
  <c r="E350" i="22"/>
  <c r="E349" i="22"/>
  <c r="E335" i="22"/>
  <c r="E324" i="22"/>
  <c r="L317" i="22"/>
  <c r="F393" i="22" s="1"/>
  <c r="J305" i="22"/>
  <c r="K305" i="22" s="1"/>
  <c r="E298" i="23" s="1"/>
  <c r="J304" i="22"/>
  <c r="K304" i="22" s="1"/>
  <c r="J303" i="22"/>
  <c r="K303" i="22" s="1"/>
  <c r="E296" i="23" s="1"/>
  <c r="J302" i="22"/>
  <c r="K302" i="22" s="1"/>
  <c r="E295" i="23" s="1"/>
  <c r="J301" i="22"/>
  <c r="K301" i="22" s="1"/>
  <c r="E294" i="23" s="1"/>
  <c r="J300" i="22"/>
  <c r="K300" i="22" s="1"/>
  <c r="E293" i="23" s="1"/>
  <c r="J299" i="22"/>
  <c r="K299" i="22" s="1"/>
  <c r="E292" i="23" s="1"/>
  <c r="J298" i="22"/>
  <c r="K298" i="22" s="1"/>
  <c r="E291" i="23" s="1"/>
  <c r="X297" i="22"/>
  <c r="J297" i="22"/>
  <c r="K297" i="22" s="1"/>
  <c r="J296" i="22"/>
  <c r="K296" i="22" s="1"/>
  <c r="H296" i="22"/>
  <c r="G296" i="22"/>
  <c r="J295" i="22"/>
  <c r="K295" i="22" s="1"/>
  <c r="J294" i="22"/>
  <c r="K294" i="22" s="1"/>
  <c r="J293" i="22"/>
  <c r="K293" i="22" s="1"/>
  <c r="E286" i="23" s="1"/>
  <c r="J292" i="22"/>
  <c r="K292" i="22" s="1"/>
  <c r="E285" i="23" s="1"/>
  <c r="J287" i="22"/>
  <c r="G287" i="22"/>
  <c r="J286" i="22"/>
  <c r="G286" i="22"/>
  <c r="J285" i="22"/>
  <c r="G285" i="22"/>
  <c r="J284" i="22"/>
  <c r="G284" i="22"/>
  <c r="J283" i="22"/>
  <c r="G283" i="22"/>
  <c r="J282" i="22"/>
  <c r="K282" i="22" s="1"/>
  <c r="E275" i="23" s="1"/>
  <c r="J281" i="22"/>
  <c r="K281" i="22" s="1"/>
  <c r="E274" i="23" s="1"/>
  <c r="J280" i="22"/>
  <c r="K280" i="22" s="1"/>
  <c r="E273" i="23" s="1"/>
  <c r="J279" i="22"/>
  <c r="G279" i="22"/>
  <c r="J277" i="22"/>
  <c r="K277" i="22" s="1"/>
  <c r="E270" i="23" s="1"/>
  <c r="J276" i="22"/>
  <c r="K276" i="22" s="1"/>
  <c r="E269" i="23" s="1"/>
  <c r="J275" i="22"/>
  <c r="K275" i="22" s="1"/>
  <c r="E268" i="23" s="1"/>
  <c r="J273" i="22"/>
  <c r="K273" i="22" s="1"/>
  <c r="J271" i="22"/>
  <c r="K271" i="22" s="1"/>
  <c r="E264" i="23" s="1"/>
  <c r="J270" i="22"/>
  <c r="K270" i="22" s="1"/>
  <c r="E263" i="23" s="1"/>
  <c r="J268" i="22"/>
  <c r="K268" i="22" s="1"/>
  <c r="E261" i="23" s="1"/>
  <c r="J267" i="22"/>
  <c r="K267" i="22" s="1"/>
  <c r="E260" i="23" s="1"/>
  <c r="J266" i="22"/>
  <c r="K266" i="22" s="1"/>
  <c r="E259" i="23" s="1"/>
  <c r="J265" i="22"/>
  <c r="K265" i="22" s="1"/>
  <c r="E258" i="23" s="1"/>
  <c r="J264" i="22"/>
  <c r="K264" i="22" s="1"/>
  <c r="E257" i="23" s="1"/>
  <c r="J263" i="22"/>
  <c r="K263" i="22" s="1"/>
  <c r="E256" i="23" s="1"/>
  <c r="J262" i="22"/>
  <c r="K262" i="22" s="1"/>
  <c r="E255" i="23" s="1"/>
  <c r="J261" i="22"/>
  <c r="K261" i="22" s="1"/>
  <c r="E254" i="23" s="1"/>
  <c r="J260" i="22"/>
  <c r="K260" i="22" s="1"/>
  <c r="E253" i="23" s="1"/>
  <c r="J259" i="22"/>
  <c r="K259" i="22" s="1"/>
  <c r="E252" i="23" s="1"/>
  <c r="J258" i="22"/>
  <c r="K258" i="22" s="1"/>
  <c r="E251" i="23" s="1"/>
  <c r="J257" i="22"/>
  <c r="K257" i="22" s="1"/>
  <c r="E250" i="23" s="1"/>
  <c r="J256" i="22"/>
  <c r="K256" i="22" s="1"/>
  <c r="E249" i="23" s="1"/>
  <c r="J255" i="22"/>
  <c r="K255" i="22" s="1"/>
  <c r="E248" i="23" s="1"/>
  <c r="J254" i="22"/>
  <c r="K254" i="22" s="1"/>
  <c r="E247" i="23" s="1"/>
  <c r="J253" i="22"/>
  <c r="J251" i="22"/>
  <c r="K251" i="22" s="1"/>
  <c r="E244" i="23" s="1"/>
  <c r="J249" i="22"/>
  <c r="K249" i="22" s="1"/>
  <c r="E242" i="23" s="1"/>
  <c r="J248" i="22"/>
  <c r="K248" i="22" s="1"/>
  <c r="E241" i="23" s="1"/>
  <c r="J247" i="22"/>
  <c r="K247" i="22" s="1"/>
  <c r="E240" i="23" s="1"/>
  <c r="J246" i="22"/>
  <c r="K246" i="22" s="1"/>
  <c r="E239" i="23" s="1"/>
  <c r="J245" i="22"/>
  <c r="K245" i="22" s="1"/>
  <c r="E238" i="23" s="1"/>
  <c r="J244" i="22"/>
  <c r="K244" i="22" s="1"/>
  <c r="E237" i="23" s="1"/>
  <c r="G244" i="22"/>
  <c r="J243" i="22"/>
  <c r="K243" i="22" s="1"/>
  <c r="E236" i="23" s="1"/>
  <c r="J242" i="22"/>
  <c r="K242" i="22" s="1"/>
  <c r="J241" i="22"/>
  <c r="K241" i="22" s="1"/>
  <c r="E234" i="23" s="1"/>
  <c r="J240" i="22"/>
  <c r="K240" i="22" s="1"/>
  <c r="E233" i="23" s="1"/>
  <c r="J239" i="22"/>
  <c r="K239" i="22" s="1"/>
  <c r="E232" i="23" s="1"/>
  <c r="J238" i="22"/>
  <c r="G238" i="22"/>
  <c r="J237" i="22"/>
  <c r="K237" i="22" s="1"/>
  <c r="E230" i="23" s="1"/>
  <c r="J236" i="22"/>
  <c r="K236" i="22" s="1"/>
  <c r="E229" i="23" s="1"/>
  <c r="J235" i="22"/>
  <c r="K235" i="22" s="1"/>
  <c r="E228" i="23" s="1"/>
  <c r="J234" i="22"/>
  <c r="K234" i="22" s="1"/>
  <c r="E227" i="23" s="1"/>
  <c r="J233" i="22"/>
  <c r="J232" i="22"/>
  <c r="K232" i="22" s="1"/>
  <c r="E225" i="23" s="1"/>
  <c r="J231" i="22"/>
  <c r="K231" i="22" s="1"/>
  <c r="E224" i="23" s="1"/>
  <c r="J230" i="22"/>
  <c r="K230" i="22" s="1"/>
  <c r="E223" i="23" s="1"/>
  <c r="J229" i="22"/>
  <c r="K229" i="22" s="1"/>
  <c r="E222" i="23" s="1"/>
  <c r="J228" i="22"/>
  <c r="K228" i="22" s="1"/>
  <c r="E221" i="23" s="1"/>
  <c r="J227" i="22"/>
  <c r="G227" i="22"/>
  <c r="J226" i="22"/>
  <c r="K226" i="22" s="1"/>
  <c r="G226" i="22"/>
  <c r="J225" i="22"/>
  <c r="K225" i="22" s="1"/>
  <c r="E218" i="23" s="1"/>
  <c r="J223" i="22"/>
  <c r="K223" i="22" s="1"/>
  <c r="E216" i="23" s="1"/>
  <c r="J222" i="22"/>
  <c r="K222" i="22" s="1"/>
  <c r="E215" i="23" s="1"/>
  <c r="J221" i="22"/>
  <c r="K221" i="22" s="1"/>
  <c r="J220" i="22"/>
  <c r="K220" i="22" s="1"/>
  <c r="E213" i="23" s="1"/>
  <c r="J219" i="22"/>
  <c r="K219" i="22" s="1"/>
  <c r="E212" i="23" s="1"/>
  <c r="J218" i="22"/>
  <c r="K218" i="22" s="1"/>
  <c r="E211" i="23" s="1"/>
  <c r="J217" i="22"/>
  <c r="K217" i="22" s="1"/>
  <c r="E210" i="23" s="1"/>
  <c r="J216" i="22"/>
  <c r="K216" i="22" s="1"/>
  <c r="E209" i="23" s="1"/>
  <c r="J215" i="22"/>
  <c r="K215" i="22" s="1"/>
  <c r="E208" i="23" s="1"/>
  <c r="J213" i="22"/>
  <c r="G213" i="22"/>
  <c r="J212" i="22"/>
  <c r="K212" i="22" s="1"/>
  <c r="E205" i="23" s="1"/>
  <c r="J211" i="22"/>
  <c r="K211" i="22" s="1"/>
  <c r="E204" i="23" s="1"/>
  <c r="J210" i="22"/>
  <c r="K210" i="22" s="1"/>
  <c r="E203" i="23" s="1"/>
  <c r="J209" i="22"/>
  <c r="K209" i="22" s="1"/>
  <c r="E202" i="23" s="1"/>
  <c r="J208" i="22"/>
  <c r="K208" i="22" s="1"/>
  <c r="E201" i="23" s="1"/>
  <c r="J207" i="22"/>
  <c r="K207" i="22" s="1"/>
  <c r="E200" i="23" s="1"/>
  <c r="J206" i="22"/>
  <c r="G206" i="22"/>
  <c r="J205" i="22"/>
  <c r="G205" i="22"/>
  <c r="J203" i="22"/>
  <c r="K203" i="22" s="1"/>
  <c r="E196" i="23" s="1"/>
  <c r="J202" i="22"/>
  <c r="K202" i="22" s="1"/>
  <c r="E195" i="23" s="1"/>
  <c r="J201" i="22"/>
  <c r="G201" i="22"/>
  <c r="J200" i="22"/>
  <c r="J198" i="22"/>
  <c r="K198" i="22" s="1"/>
  <c r="E191" i="23" s="1"/>
  <c r="G198" i="22"/>
  <c r="J197" i="22"/>
  <c r="J196" i="22"/>
  <c r="G196" i="22"/>
  <c r="J194" i="22"/>
  <c r="K194" i="22" s="1"/>
  <c r="E187" i="23" s="1"/>
  <c r="J193" i="22"/>
  <c r="K193" i="22" s="1"/>
  <c r="E186" i="23" s="1"/>
  <c r="J192" i="22"/>
  <c r="G192" i="22"/>
  <c r="J191" i="22"/>
  <c r="K191" i="22" s="1"/>
  <c r="G191" i="22"/>
  <c r="J190" i="22"/>
  <c r="K190" i="22" s="1"/>
  <c r="G190" i="22"/>
  <c r="J189" i="22"/>
  <c r="G189" i="22"/>
  <c r="J188" i="22"/>
  <c r="J187" i="22"/>
  <c r="K187" i="22" s="1"/>
  <c r="E180" i="23" s="1"/>
  <c r="J186" i="22"/>
  <c r="K186" i="22" s="1"/>
  <c r="J185" i="22"/>
  <c r="K185" i="22" s="1"/>
  <c r="E178" i="23" s="1"/>
  <c r="J184" i="22"/>
  <c r="K184" i="22" s="1"/>
  <c r="E177" i="23" s="1"/>
  <c r="G184" i="22"/>
  <c r="J183" i="22"/>
  <c r="G183" i="22"/>
  <c r="J182" i="22"/>
  <c r="J181" i="22"/>
  <c r="J180" i="22"/>
  <c r="J179" i="22"/>
  <c r="K179" i="22" s="1"/>
  <c r="E172" i="23" s="1"/>
  <c r="J178" i="22"/>
  <c r="J176" i="22"/>
  <c r="K176" i="22" s="1"/>
  <c r="E169" i="23" s="1"/>
  <c r="H175" i="22"/>
  <c r="J175" i="22" s="1"/>
  <c r="J173" i="22"/>
  <c r="G173" i="22"/>
  <c r="J172" i="22"/>
  <c r="K172" i="22" s="1"/>
  <c r="G172" i="22"/>
  <c r="J171" i="22"/>
  <c r="K171" i="22" s="1"/>
  <c r="E164" i="23" s="1"/>
  <c r="J170" i="22"/>
  <c r="G170" i="22"/>
  <c r="J169" i="22"/>
  <c r="G169" i="22"/>
  <c r="W167" i="22"/>
  <c r="J167" i="22"/>
  <c r="K167" i="22" s="1"/>
  <c r="E160" i="23" s="1"/>
  <c r="J166" i="22"/>
  <c r="J165" i="22"/>
  <c r="K165" i="22" s="1"/>
  <c r="E158" i="23" s="1"/>
  <c r="W163" i="22"/>
  <c r="J162" i="22" s="1"/>
  <c r="J163" i="22"/>
  <c r="K163" i="22" s="1"/>
  <c r="G163" i="22"/>
  <c r="W162" i="22"/>
  <c r="J160" i="22"/>
  <c r="K160" i="22" s="1"/>
  <c r="AA159" i="22"/>
  <c r="AB159" i="22" s="1"/>
  <c r="AA158" i="22"/>
  <c r="AB158" i="22" s="1"/>
  <c r="J158" i="22"/>
  <c r="K158" i="22" s="1"/>
  <c r="G158" i="22"/>
  <c r="AA157" i="22"/>
  <c r="AB157" i="22" s="1"/>
  <c r="J157" i="22"/>
  <c r="K157" i="22" s="1"/>
  <c r="G157" i="22"/>
  <c r="AA156" i="22"/>
  <c r="AB156" i="22" s="1"/>
  <c r="J156" i="22"/>
  <c r="K156" i="22" s="1"/>
  <c r="E149" i="23" s="1"/>
  <c r="H156" i="22"/>
  <c r="G156" i="22"/>
  <c r="J154" i="22"/>
  <c r="K154" i="22" s="1"/>
  <c r="J153" i="22"/>
  <c r="K153" i="22" s="1"/>
  <c r="E146" i="23" s="1"/>
  <c r="J152" i="22"/>
  <c r="K152" i="22" s="1"/>
  <c r="E145" i="23" s="1"/>
  <c r="AC151" i="22"/>
  <c r="H151" i="22"/>
  <c r="J151" i="22" s="1"/>
  <c r="AC150" i="22"/>
  <c r="J150" i="22"/>
  <c r="K150" i="22" s="1"/>
  <c r="E143" i="23" s="1"/>
  <c r="AC149" i="22"/>
  <c r="J149" i="22"/>
  <c r="AC148" i="22"/>
  <c r="J148" i="22"/>
  <c r="J147" i="22"/>
  <c r="K147" i="22" s="1"/>
  <c r="J145" i="22"/>
  <c r="K145" i="22" s="1"/>
  <c r="E138" i="23" s="1"/>
  <c r="H144" i="22"/>
  <c r="J144" i="22" s="1"/>
  <c r="H143" i="22"/>
  <c r="J143" i="22" s="1"/>
  <c r="J141" i="22"/>
  <c r="K141" i="22" s="1"/>
  <c r="E134" i="23" s="1"/>
  <c r="G141" i="22"/>
  <c r="J140" i="22"/>
  <c r="K140" i="22" s="1"/>
  <c r="E133" i="23" s="1"/>
  <c r="G140" i="22"/>
  <c r="J139" i="22"/>
  <c r="J138" i="22"/>
  <c r="J137" i="22"/>
  <c r="K137" i="22" s="1"/>
  <c r="E130" i="23" s="1"/>
  <c r="J136" i="22"/>
  <c r="K136" i="22" s="1"/>
  <c r="E129" i="23" s="1"/>
  <c r="J135" i="22"/>
  <c r="K135" i="22" s="1"/>
  <c r="J134" i="22"/>
  <c r="K134" i="22" s="1"/>
  <c r="J133" i="22"/>
  <c r="K133" i="22" s="1"/>
  <c r="E126" i="23" s="1"/>
  <c r="J132" i="22"/>
  <c r="K132" i="22" s="1"/>
  <c r="E125" i="23" s="1"/>
  <c r="J131" i="22"/>
  <c r="J130" i="22"/>
  <c r="K130" i="22" s="1"/>
  <c r="E123" i="23" s="1"/>
  <c r="J129" i="22"/>
  <c r="K129" i="22" s="1"/>
  <c r="E122" i="23" s="1"/>
  <c r="J128" i="22"/>
  <c r="K128" i="22" s="1"/>
  <c r="E121" i="23" s="1"/>
  <c r="J127" i="22"/>
  <c r="J126" i="22"/>
  <c r="K126" i="22" s="1"/>
  <c r="E119" i="23" s="1"/>
  <c r="J124" i="22"/>
  <c r="K124" i="22" s="1"/>
  <c r="E117" i="23" s="1"/>
  <c r="J123" i="22"/>
  <c r="K123" i="22" s="1"/>
  <c r="E116" i="23" s="1"/>
  <c r="J122" i="22"/>
  <c r="K122" i="22" s="1"/>
  <c r="E115" i="23" s="1"/>
  <c r="J121" i="22"/>
  <c r="K121" i="22" s="1"/>
  <c r="E114" i="23" s="1"/>
  <c r="J120" i="22"/>
  <c r="K120" i="22" s="1"/>
  <c r="E113" i="23" s="1"/>
  <c r="J119" i="22"/>
  <c r="J118" i="22"/>
  <c r="K118" i="22" s="1"/>
  <c r="E111" i="23" s="1"/>
  <c r="J117" i="22"/>
  <c r="G117" i="22"/>
  <c r="J116" i="22"/>
  <c r="G116" i="22"/>
  <c r="J115" i="22"/>
  <c r="K115" i="22" s="1"/>
  <c r="G115" i="22"/>
  <c r="J114" i="22"/>
  <c r="K114" i="22" s="1"/>
  <c r="G114" i="22"/>
  <c r="J113" i="22"/>
  <c r="K113" i="22" s="1"/>
  <c r="J112" i="22"/>
  <c r="K112" i="22" s="1"/>
  <c r="J111" i="22"/>
  <c r="K111" i="22" s="1"/>
  <c r="G111" i="22"/>
  <c r="J110" i="22"/>
  <c r="J109" i="22"/>
  <c r="K109" i="22" s="1"/>
  <c r="J108" i="22"/>
  <c r="K108" i="22" s="1"/>
  <c r="J107" i="22"/>
  <c r="K107" i="22" s="1"/>
  <c r="G107" i="22"/>
  <c r="J106" i="22"/>
  <c r="K106" i="22" s="1"/>
  <c r="E99" i="23" s="1"/>
  <c r="J105" i="22"/>
  <c r="K105" i="22" s="1"/>
  <c r="E98" i="23" s="1"/>
  <c r="J104" i="22"/>
  <c r="J103" i="22"/>
  <c r="K103" i="22" s="1"/>
  <c r="E96" i="23" s="1"/>
  <c r="J102" i="22"/>
  <c r="K102" i="22" s="1"/>
  <c r="E95" i="23" s="1"/>
  <c r="J101" i="22"/>
  <c r="J100" i="22"/>
  <c r="J99" i="22"/>
  <c r="K99" i="22" s="1"/>
  <c r="E92" i="23" s="1"/>
  <c r="J98" i="22"/>
  <c r="K98" i="22" s="1"/>
  <c r="E91" i="23" s="1"/>
  <c r="J97" i="22"/>
  <c r="K97" i="22" s="1"/>
  <c r="E90" i="23" s="1"/>
  <c r="J96" i="22"/>
  <c r="G96" i="22"/>
  <c r="J95" i="22"/>
  <c r="K95" i="22" s="1"/>
  <c r="E88" i="23" s="1"/>
  <c r="J94" i="22"/>
  <c r="K94" i="22" s="1"/>
  <c r="E87" i="23" s="1"/>
  <c r="G94" i="22"/>
  <c r="J93" i="22"/>
  <c r="K93" i="22" s="1"/>
  <c r="E86" i="23" s="1"/>
  <c r="J92" i="22"/>
  <c r="K92" i="22" s="1"/>
  <c r="E85" i="23" s="1"/>
  <c r="J91" i="22"/>
  <c r="J90" i="22"/>
  <c r="K90" i="22" s="1"/>
  <c r="E83" i="23" s="1"/>
  <c r="J89" i="22"/>
  <c r="J88" i="22"/>
  <c r="K88" i="22" s="1"/>
  <c r="E81" i="23" s="1"/>
  <c r="J87" i="22"/>
  <c r="K87" i="22" s="1"/>
  <c r="E80" i="23" s="1"/>
  <c r="J85" i="22"/>
  <c r="K85" i="22" s="1"/>
  <c r="E78" i="23" s="1"/>
  <c r="J84" i="22"/>
  <c r="J83" i="22"/>
  <c r="K83" i="22" s="1"/>
  <c r="E76" i="23" s="1"/>
  <c r="J82" i="22"/>
  <c r="K82" i="22" s="1"/>
  <c r="E75" i="23" s="1"/>
  <c r="J81" i="22"/>
  <c r="K81" i="22" s="1"/>
  <c r="E74" i="23" s="1"/>
  <c r="J80" i="22"/>
  <c r="K80" i="22" s="1"/>
  <c r="E73" i="23" s="1"/>
  <c r="J79" i="22"/>
  <c r="K79" i="22" s="1"/>
  <c r="J78" i="22"/>
  <c r="K78" i="22" s="1"/>
  <c r="J77" i="22"/>
  <c r="J76" i="22"/>
  <c r="J75" i="22"/>
  <c r="K75" i="22" s="1"/>
  <c r="E68" i="23" s="1"/>
  <c r="J74" i="22"/>
  <c r="K74" i="22" s="1"/>
  <c r="E67" i="23" s="1"/>
  <c r="J73" i="22"/>
  <c r="K73" i="22" s="1"/>
  <c r="E66" i="23" s="1"/>
  <c r="J72" i="22"/>
  <c r="K72" i="22" s="1"/>
  <c r="E65" i="23" s="1"/>
  <c r="J70" i="22"/>
  <c r="K70" i="22" s="1"/>
  <c r="E63" i="23" s="1"/>
  <c r="J69" i="22"/>
  <c r="G69" i="22"/>
  <c r="J68" i="22"/>
  <c r="G68" i="22"/>
  <c r="J67" i="22"/>
  <c r="G67" i="22"/>
  <c r="J66" i="22"/>
  <c r="G66" i="22"/>
  <c r="J65" i="22"/>
  <c r="K65" i="22" s="1"/>
  <c r="E58" i="23" s="1"/>
  <c r="J64" i="22"/>
  <c r="K64" i="22" s="1"/>
  <c r="E57" i="23" s="1"/>
  <c r="G64" i="22"/>
  <c r="J63" i="22"/>
  <c r="K63" i="22" s="1"/>
  <c r="E56" i="23" s="1"/>
  <c r="J62" i="22"/>
  <c r="K62" i="22" s="1"/>
  <c r="E55" i="23" s="1"/>
  <c r="J61" i="22"/>
  <c r="K61" i="22" s="1"/>
  <c r="E54" i="23" s="1"/>
  <c r="J60" i="22"/>
  <c r="K60" i="22" s="1"/>
  <c r="E53" i="23" s="1"/>
  <c r="J59" i="22"/>
  <c r="K59" i="22" s="1"/>
  <c r="E52" i="23" s="1"/>
  <c r="J58" i="22"/>
  <c r="J56" i="22"/>
  <c r="K56" i="22" s="1"/>
  <c r="E49" i="23" s="1"/>
  <c r="J55" i="22"/>
  <c r="K55" i="22" s="1"/>
  <c r="J54" i="22"/>
  <c r="K54" i="22" s="1"/>
  <c r="E47" i="23" s="1"/>
  <c r="J53" i="22"/>
  <c r="J52" i="22"/>
  <c r="K52" i="22" s="1"/>
  <c r="E45" i="23" s="1"/>
  <c r="G52" i="22"/>
  <c r="J51" i="22"/>
  <c r="K51" i="22" s="1"/>
  <c r="E44" i="23" s="1"/>
  <c r="J50" i="22"/>
  <c r="K50" i="22" s="1"/>
  <c r="E43" i="23" s="1"/>
  <c r="J49" i="22"/>
  <c r="K49" i="22" s="1"/>
  <c r="J48" i="22"/>
  <c r="K48" i="22" s="1"/>
  <c r="J47" i="22"/>
  <c r="K47" i="22" s="1"/>
  <c r="J46" i="22"/>
  <c r="K46" i="22" s="1"/>
  <c r="E39" i="23" s="1"/>
  <c r="J45" i="22"/>
  <c r="K45" i="22" s="1"/>
  <c r="E38" i="23" s="1"/>
  <c r="J44" i="22"/>
  <c r="J42" i="22"/>
  <c r="K42" i="22" s="1"/>
  <c r="E35" i="23" s="1"/>
  <c r="G41" i="22"/>
  <c r="K41" i="22" s="1"/>
  <c r="E34" i="23" s="1"/>
  <c r="J40" i="22"/>
  <c r="K40" i="22" s="1"/>
  <c r="J39" i="22"/>
  <c r="K39" i="22" s="1"/>
  <c r="F471" i="22" s="1"/>
  <c r="J38" i="22"/>
  <c r="K38" i="22" s="1"/>
  <c r="J37" i="22"/>
  <c r="K37" i="22" s="1"/>
  <c r="E32" i="23" s="1"/>
  <c r="G37" i="22"/>
  <c r="J36" i="22"/>
  <c r="K36" i="22" s="1"/>
  <c r="E31" i="23" s="1"/>
  <c r="J35" i="22"/>
  <c r="K35" i="22" s="1"/>
  <c r="E30" i="23" s="1"/>
  <c r="J33" i="22"/>
  <c r="K33" i="22" s="1"/>
  <c r="J32" i="22"/>
  <c r="K32" i="22" s="1"/>
  <c r="J31" i="22"/>
  <c r="K31" i="22" s="1"/>
  <c r="J30" i="22"/>
  <c r="K30" i="22" s="1"/>
  <c r="E26" i="23" s="1"/>
  <c r="J29" i="22"/>
  <c r="K29" i="22" s="1"/>
  <c r="E25" i="23" s="1"/>
  <c r="J27" i="22"/>
  <c r="K27" i="22" s="1"/>
  <c r="J26" i="22"/>
  <c r="K26" i="22" s="1"/>
  <c r="E22" i="23" s="1"/>
  <c r="J25" i="22"/>
  <c r="K25" i="22" s="1"/>
  <c r="J24" i="22"/>
  <c r="K24" i="22" s="1"/>
  <c r="J23" i="22"/>
  <c r="K23" i="22" s="1"/>
  <c r="J22" i="22"/>
  <c r="K22" i="22" s="1"/>
  <c r="E18" i="23" s="1"/>
  <c r="J21" i="22"/>
  <c r="K21" i="22" s="1"/>
  <c r="E17" i="23" s="1"/>
  <c r="J20" i="22"/>
  <c r="K20" i="22" s="1"/>
  <c r="E16" i="23" s="1"/>
  <c r="J19" i="22"/>
  <c r="K19" i="22" s="1"/>
  <c r="J18" i="22"/>
  <c r="K18" i="22" s="1"/>
  <c r="E15" i="23" s="1"/>
  <c r="J16" i="22"/>
  <c r="K16" i="22" s="1"/>
  <c r="E13" i="23" s="1"/>
  <c r="F14" i="23" s="1"/>
  <c r="G14" i="22"/>
  <c r="AJ12" i="22"/>
  <c r="AQ11" i="22"/>
  <c r="AJ11" i="22"/>
  <c r="B10" i="22"/>
  <c r="AM9" i="22"/>
  <c r="AN9" i="22" s="1"/>
  <c r="AF9" i="22"/>
  <c r="AF8" i="22"/>
  <c r="B8" i="22"/>
  <c r="K8" i="22" s="1"/>
  <c r="AJ7" i="22"/>
  <c r="AF7" i="22"/>
  <c r="AG9" i="22" s="1"/>
  <c r="AJ6" i="22"/>
  <c r="AF6" i="22"/>
  <c r="N6" i="22"/>
  <c r="N9" i="22" s="1"/>
  <c r="AJ5" i="22"/>
  <c r="AF5" i="22"/>
  <c r="N5" i="22"/>
  <c r="AJ4" i="22"/>
  <c r="AQ3" i="22"/>
  <c r="AJ3" i="22"/>
  <c r="F271" i="23" l="1"/>
  <c r="F265" i="23"/>
  <c r="F510" i="22"/>
  <c r="E289" i="23"/>
  <c r="F498" i="22"/>
  <c r="E179" i="23"/>
  <c r="F504" i="22"/>
  <c r="E214" i="23"/>
  <c r="F399" i="22"/>
  <c r="E100" i="23"/>
  <c r="F400" i="22"/>
  <c r="E101" i="23"/>
  <c r="F490" i="22"/>
  <c r="E150" i="23"/>
  <c r="F507" i="22"/>
  <c r="E235" i="23"/>
  <c r="F493" i="22"/>
  <c r="E165" i="23"/>
  <c r="F505" i="22"/>
  <c r="E219" i="23"/>
  <c r="F513" i="22"/>
  <c r="E297" i="23"/>
  <c r="F404" i="22"/>
  <c r="E105" i="23"/>
  <c r="F401" i="22"/>
  <c r="E102" i="23"/>
  <c r="F499" i="22"/>
  <c r="E183" i="23"/>
  <c r="F491" i="22"/>
  <c r="E151" i="23"/>
  <c r="F403" i="22"/>
  <c r="E104" i="23"/>
  <c r="F500" i="22"/>
  <c r="E184" i="23"/>
  <c r="F405" i="22"/>
  <c r="E106" i="23"/>
  <c r="F472" i="22"/>
  <c r="E33" i="23"/>
  <c r="F36" i="23" s="1"/>
  <c r="F508" i="22"/>
  <c r="E287" i="23"/>
  <c r="F407" i="22"/>
  <c r="E108" i="23"/>
  <c r="F486" i="22"/>
  <c r="E127" i="23"/>
  <c r="F509" i="22"/>
  <c r="E288" i="23"/>
  <c r="L161" i="22"/>
  <c r="E153" i="23"/>
  <c r="F154" i="23" s="1"/>
  <c r="F406" i="22"/>
  <c r="E107" i="23"/>
  <c r="L274" i="22"/>
  <c r="E346" i="22" s="1"/>
  <c r="E266" i="23"/>
  <c r="F267" i="23" s="1"/>
  <c r="F492" i="22"/>
  <c r="E156" i="23"/>
  <c r="G143" i="22"/>
  <c r="K143" i="22" s="1"/>
  <c r="E136" i="23" s="1"/>
  <c r="S9" i="22"/>
  <c r="F487" i="22"/>
  <c r="E128" i="23"/>
  <c r="F488" i="22"/>
  <c r="E147" i="23"/>
  <c r="F511" i="22"/>
  <c r="E290" i="23"/>
  <c r="F480" i="22"/>
  <c r="E71" i="23"/>
  <c r="F481" i="22"/>
  <c r="E72" i="23"/>
  <c r="F474" i="22"/>
  <c r="E41" i="23"/>
  <c r="F477" i="22"/>
  <c r="E48" i="23"/>
  <c r="F473" i="22"/>
  <c r="E40" i="23"/>
  <c r="F475" i="22"/>
  <c r="E42" i="23"/>
  <c r="F469" i="22"/>
  <c r="E27" i="23"/>
  <c r="F470" i="22"/>
  <c r="E28" i="23"/>
  <c r="F467" i="22"/>
  <c r="E21" i="23"/>
  <c r="F465" i="22"/>
  <c r="E19" i="23"/>
  <c r="F466" i="22"/>
  <c r="E20" i="23"/>
  <c r="F468" i="22"/>
  <c r="E23" i="23"/>
  <c r="K96" i="22"/>
  <c r="E89" i="23" s="1"/>
  <c r="L34" i="22"/>
  <c r="F366" i="22" s="1"/>
  <c r="L272" i="22"/>
  <c r="K233" i="22"/>
  <c r="K173" i="22"/>
  <c r="K189" i="22"/>
  <c r="E182" i="23" s="1"/>
  <c r="K206" i="22"/>
  <c r="E199" i="23" s="1"/>
  <c r="K283" i="22"/>
  <c r="E276" i="23" s="1"/>
  <c r="K227" i="22"/>
  <c r="E220" i="23" s="1"/>
  <c r="K285" i="22"/>
  <c r="E278" i="23" s="1"/>
  <c r="K68" i="22"/>
  <c r="E61" i="23" s="1"/>
  <c r="K183" i="22"/>
  <c r="E176" i="23" s="1"/>
  <c r="K287" i="22"/>
  <c r="E280" i="23" s="1"/>
  <c r="AB161" i="22"/>
  <c r="K170" i="22"/>
  <c r="E163" i="23" s="1"/>
  <c r="K119" i="22"/>
  <c r="E112" i="23" s="1"/>
  <c r="K178" i="22"/>
  <c r="E171" i="23" s="1"/>
  <c r="K284" i="22"/>
  <c r="E277" i="23" s="1"/>
  <c r="K67" i="22"/>
  <c r="E60" i="23" s="1"/>
  <c r="K286" i="22"/>
  <c r="E279" i="23" s="1"/>
  <c r="K196" i="22"/>
  <c r="K69" i="22"/>
  <c r="E62" i="23" s="1"/>
  <c r="K213" i="22"/>
  <c r="E206" i="23" s="1"/>
  <c r="K44" i="22"/>
  <c r="E37" i="23" s="1"/>
  <c r="K100" i="22"/>
  <c r="E93" i="23" s="1"/>
  <c r="V92" i="23" s="1"/>
  <c r="V93" i="23" s="1"/>
  <c r="K279" i="22"/>
  <c r="E272" i="23" s="1"/>
  <c r="F479" i="22"/>
  <c r="K188" i="22"/>
  <c r="E181" i="23" s="1"/>
  <c r="K201" i="22"/>
  <c r="E194" i="23" s="1"/>
  <c r="F478" i="22"/>
  <c r="K117" i="22"/>
  <c r="E110" i="23" s="1"/>
  <c r="F476" i="22"/>
  <c r="K238" i="22"/>
  <c r="E231" i="23" s="1"/>
  <c r="AC152" i="22"/>
  <c r="G149" i="22" s="1"/>
  <c r="K149" i="22" s="1"/>
  <c r="E142" i="23" s="1"/>
  <c r="K205" i="22"/>
  <c r="E198" i="23" s="1"/>
  <c r="L159" i="22"/>
  <c r="F489" i="22"/>
  <c r="F427" i="22"/>
  <c r="F484" i="22"/>
  <c r="F483" i="22"/>
  <c r="F482" i="22"/>
  <c r="L278" i="22"/>
  <c r="L306" i="22"/>
  <c r="K162" i="22"/>
  <c r="K58" i="22"/>
  <c r="E51" i="23" s="1"/>
  <c r="K66" i="22"/>
  <c r="E59" i="23" s="1"/>
  <c r="O5" i="22"/>
  <c r="L43" i="22"/>
  <c r="G148" i="22"/>
  <c r="K148" i="22" s="1"/>
  <c r="E141" i="23" s="1"/>
  <c r="O4" i="22"/>
  <c r="G181" i="22"/>
  <c r="K181" i="22" s="1"/>
  <c r="E174" i="23" s="1"/>
  <c r="G104" i="22"/>
  <c r="K104" i="22" s="1"/>
  <c r="E97" i="23" s="1"/>
  <c r="G180" i="22"/>
  <c r="K180" i="22" s="1"/>
  <c r="E173" i="23" s="1"/>
  <c r="G77" i="22"/>
  <c r="K77" i="22" s="1"/>
  <c r="E70" i="23" s="1"/>
  <c r="O7" i="22"/>
  <c r="G139" i="22"/>
  <c r="K139" i="22" s="1"/>
  <c r="E132" i="23" s="1"/>
  <c r="O8" i="22"/>
  <c r="G151" i="22"/>
  <c r="K151" i="22" s="1"/>
  <c r="E144" i="23" s="1"/>
  <c r="G144" i="22"/>
  <c r="K144" i="22" s="1"/>
  <c r="E137" i="23" s="1"/>
  <c r="G127" i="22"/>
  <c r="K127" i="22" s="1"/>
  <c r="G84" i="22"/>
  <c r="K84" i="22" s="1"/>
  <c r="E77" i="23" s="1"/>
  <c r="G182" i="22"/>
  <c r="K182" i="22" s="1"/>
  <c r="E175" i="23" s="1"/>
  <c r="G200" i="22"/>
  <c r="K200" i="22" s="1"/>
  <c r="E193" i="23" s="1"/>
  <c r="G91" i="22"/>
  <c r="K91" i="22" s="1"/>
  <c r="O9" i="22"/>
  <c r="G138" i="22"/>
  <c r="K138" i="22" s="1"/>
  <c r="E131" i="23" s="1"/>
  <c r="G175" i="22"/>
  <c r="K175" i="22" s="1"/>
  <c r="G253" i="22"/>
  <c r="K253" i="22" s="1"/>
  <c r="G131" i="22"/>
  <c r="K131" i="22" s="1"/>
  <c r="E124" i="23" s="1"/>
  <c r="G101" i="22"/>
  <c r="K101" i="22" s="1"/>
  <c r="E94" i="23" s="1"/>
  <c r="G76" i="22"/>
  <c r="K76" i="22" s="1"/>
  <c r="E69" i="23" s="1"/>
  <c r="K192" i="22"/>
  <c r="L17" i="22"/>
  <c r="F430" i="22"/>
  <c r="L28" i="22"/>
  <c r="F464" i="22"/>
  <c r="K116" i="22"/>
  <c r="E109" i="23" s="1"/>
  <c r="K169" i="22"/>
  <c r="E162" i="23" s="1"/>
  <c r="O6" i="22"/>
  <c r="K166" i="22"/>
  <c r="G110" i="22"/>
  <c r="K110" i="22" s="1"/>
  <c r="F423" i="22"/>
  <c r="G89" i="22"/>
  <c r="K89" i="22" s="1"/>
  <c r="E82" i="23" s="1"/>
  <c r="G197" i="22"/>
  <c r="K197" i="22" s="1"/>
  <c r="E190" i="23" s="1"/>
  <c r="G53" i="22"/>
  <c r="K53" i="22" s="1"/>
  <c r="E46" i="23" s="1"/>
  <c r="E7" i="20"/>
  <c r="E6" i="20"/>
  <c r="H156" i="20"/>
  <c r="H151" i="20"/>
  <c r="G52" i="20"/>
  <c r="B21" i="10"/>
  <c r="O42" i="10"/>
  <c r="H76" i="20"/>
  <c r="H143" i="20"/>
  <c r="I13" i="4"/>
  <c r="H6" i="4"/>
  <c r="F461" i="20"/>
  <c r="F457" i="20"/>
  <c r="F456" i="20"/>
  <c r="F455" i="20"/>
  <c r="F454" i="20"/>
  <c r="F453" i="20"/>
  <c r="F452" i="20"/>
  <c r="F451" i="20"/>
  <c r="F450" i="20"/>
  <c r="F449" i="20"/>
  <c r="F448" i="20"/>
  <c r="F447" i="20"/>
  <c r="F429" i="20"/>
  <c r="F428" i="20"/>
  <c r="F426" i="20"/>
  <c r="F425" i="20"/>
  <c r="F424" i="20"/>
  <c r="E355" i="20"/>
  <c r="E353" i="20"/>
  <c r="E352" i="20"/>
  <c r="E350" i="20"/>
  <c r="E349" i="20"/>
  <c r="E335" i="20"/>
  <c r="E324" i="20"/>
  <c r="L317" i="20"/>
  <c r="F393" i="20" s="1"/>
  <c r="J305" i="20"/>
  <c r="K305" i="20" s="1"/>
  <c r="J304" i="20"/>
  <c r="K304" i="20" s="1"/>
  <c r="F513" i="20" s="1"/>
  <c r="J303" i="20"/>
  <c r="K303" i="20" s="1"/>
  <c r="J302" i="20"/>
  <c r="K302" i="20" s="1"/>
  <c r="J301" i="20"/>
  <c r="K301" i="20" s="1"/>
  <c r="J300" i="20"/>
  <c r="K300" i="20" s="1"/>
  <c r="J299" i="20"/>
  <c r="K299" i="20" s="1"/>
  <c r="J298" i="20"/>
  <c r="K298" i="20" s="1"/>
  <c r="X297" i="20"/>
  <c r="J297" i="20"/>
  <c r="K297" i="20" s="1"/>
  <c r="F511" i="20" s="1"/>
  <c r="H296" i="20"/>
  <c r="J296" i="20" s="1"/>
  <c r="G296" i="20"/>
  <c r="J295" i="20"/>
  <c r="K295" i="20" s="1"/>
  <c r="F509" i="20" s="1"/>
  <c r="J294" i="20"/>
  <c r="K294" i="20" s="1"/>
  <c r="F508" i="20" s="1"/>
  <c r="J293" i="20"/>
  <c r="K293" i="20" s="1"/>
  <c r="J292" i="20"/>
  <c r="K292" i="20" s="1"/>
  <c r="J287" i="20"/>
  <c r="G287" i="20"/>
  <c r="J286" i="20"/>
  <c r="G286" i="20"/>
  <c r="J285" i="20"/>
  <c r="G285" i="20"/>
  <c r="J284" i="20"/>
  <c r="G284" i="20"/>
  <c r="J283" i="20"/>
  <c r="G283" i="20"/>
  <c r="J282" i="20"/>
  <c r="K282" i="20" s="1"/>
  <c r="J281" i="20"/>
  <c r="K281" i="20" s="1"/>
  <c r="J280" i="20"/>
  <c r="K280" i="20" s="1"/>
  <c r="J279" i="20"/>
  <c r="G279" i="20"/>
  <c r="J277" i="20"/>
  <c r="K277" i="20" s="1"/>
  <c r="J276" i="20"/>
  <c r="K276" i="20" s="1"/>
  <c r="J275" i="20"/>
  <c r="K275" i="20" s="1"/>
  <c r="J273" i="20"/>
  <c r="K273" i="20" s="1"/>
  <c r="L274" i="20" s="1"/>
  <c r="J271" i="20"/>
  <c r="K271" i="20" s="1"/>
  <c r="J270" i="20"/>
  <c r="K270" i="20" s="1"/>
  <c r="L272" i="20" s="1"/>
  <c r="J268" i="20"/>
  <c r="K268" i="20" s="1"/>
  <c r="J267" i="20"/>
  <c r="K267" i="20" s="1"/>
  <c r="J266" i="20"/>
  <c r="K266" i="20" s="1"/>
  <c r="J265" i="20"/>
  <c r="K265" i="20" s="1"/>
  <c r="J264" i="20"/>
  <c r="K264" i="20" s="1"/>
  <c r="J263" i="20"/>
  <c r="K263" i="20" s="1"/>
  <c r="J262" i="20"/>
  <c r="K262" i="20" s="1"/>
  <c r="J261" i="20"/>
  <c r="K261" i="20" s="1"/>
  <c r="J260" i="20"/>
  <c r="K260" i="20" s="1"/>
  <c r="J259" i="20"/>
  <c r="K259" i="20" s="1"/>
  <c r="J258" i="20"/>
  <c r="K258" i="20" s="1"/>
  <c r="J257" i="20"/>
  <c r="K257" i="20" s="1"/>
  <c r="J256" i="20"/>
  <c r="K256" i="20" s="1"/>
  <c r="J255" i="20"/>
  <c r="K255" i="20" s="1"/>
  <c r="J254" i="20"/>
  <c r="K254" i="20" s="1"/>
  <c r="J253" i="20"/>
  <c r="J251" i="20"/>
  <c r="K251" i="20" s="1"/>
  <c r="J250" i="20"/>
  <c r="K250" i="20" s="1"/>
  <c r="J249" i="20"/>
  <c r="K249" i="20" s="1"/>
  <c r="J248" i="20"/>
  <c r="K248" i="20" s="1"/>
  <c r="J247" i="20"/>
  <c r="K247" i="20" s="1"/>
  <c r="J246" i="20"/>
  <c r="K246" i="20" s="1"/>
  <c r="J245" i="20"/>
  <c r="K245" i="20" s="1"/>
  <c r="J244" i="20"/>
  <c r="K244" i="20" s="1"/>
  <c r="G244" i="20"/>
  <c r="J243" i="20"/>
  <c r="K243" i="20" s="1"/>
  <c r="J242" i="20"/>
  <c r="K242" i="20" s="1"/>
  <c r="F507" i="20" s="1"/>
  <c r="J241" i="20"/>
  <c r="K241" i="20" s="1"/>
  <c r="J240" i="20"/>
  <c r="K240" i="20" s="1"/>
  <c r="J239" i="20"/>
  <c r="K239" i="20" s="1"/>
  <c r="J238" i="20"/>
  <c r="G238" i="20"/>
  <c r="J237" i="20"/>
  <c r="K237" i="20" s="1"/>
  <c r="J236" i="20"/>
  <c r="K236" i="20" s="1"/>
  <c r="J235" i="20"/>
  <c r="K235" i="20" s="1"/>
  <c r="J234" i="20"/>
  <c r="K234" i="20" s="1"/>
  <c r="J233" i="20"/>
  <c r="G233" i="20"/>
  <c r="J232" i="20"/>
  <c r="K232" i="20" s="1"/>
  <c r="J231" i="20"/>
  <c r="K231" i="20" s="1"/>
  <c r="J230" i="20"/>
  <c r="K230" i="20" s="1"/>
  <c r="J229" i="20"/>
  <c r="G229" i="20"/>
  <c r="J228" i="20"/>
  <c r="K228" i="20" s="1"/>
  <c r="J227" i="20"/>
  <c r="G227" i="20"/>
  <c r="J226" i="20"/>
  <c r="G226" i="20"/>
  <c r="J225" i="20"/>
  <c r="K225" i="20" s="1"/>
  <c r="J224" i="20"/>
  <c r="K224" i="20" s="1"/>
  <c r="J223" i="20"/>
  <c r="K223" i="20" s="1"/>
  <c r="J222" i="20"/>
  <c r="K222" i="20" s="1"/>
  <c r="J221" i="20"/>
  <c r="K221" i="20" s="1"/>
  <c r="F504" i="20" s="1"/>
  <c r="J220" i="20"/>
  <c r="K220" i="20" s="1"/>
  <c r="J219" i="20"/>
  <c r="K219" i="20" s="1"/>
  <c r="J218" i="20"/>
  <c r="K218" i="20" s="1"/>
  <c r="J217" i="20"/>
  <c r="K217" i="20" s="1"/>
  <c r="J216" i="20"/>
  <c r="K216" i="20" s="1"/>
  <c r="J215" i="20"/>
  <c r="K215" i="20" s="1"/>
  <c r="J213" i="20"/>
  <c r="G213" i="20"/>
  <c r="J212" i="20"/>
  <c r="K212" i="20" s="1"/>
  <c r="J211" i="20"/>
  <c r="K211" i="20" s="1"/>
  <c r="J210" i="20"/>
  <c r="K210" i="20" s="1"/>
  <c r="J209" i="20"/>
  <c r="K209" i="20" s="1"/>
  <c r="J208" i="20"/>
  <c r="K208" i="20" s="1"/>
  <c r="J207" i="20"/>
  <c r="K207" i="20" s="1"/>
  <c r="J206" i="20"/>
  <c r="G206" i="20"/>
  <c r="J205" i="20"/>
  <c r="G205" i="20"/>
  <c r="J203" i="20"/>
  <c r="K203" i="20" s="1"/>
  <c r="H202" i="20"/>
  <c r="J202" i="20" s="1"/>
  <c r="K202" i="20" s="1"/>
  <c r="J201" i="20"/>
  <c r="G201" i="20"/>
  <c r="J200" i="20"/>
  <c r="J198" i="20"/>
  <c r="G198" i="20"/>
  <c r="J197" i="20"/>
  <c r="J196" i="20"/>
  <c r="G196" i="20"/>
  <c r="J194" i="20"/>
  <c r="K194" i="20" s="1"/>
  <c r="J193" i="20"/>
  <c r="K193" i="20" s="1"/>
  <c r="J192" i="20"/>
  <c r="G192" i="20"/>
  <c r="J191" i="20"/>
  <c r="G191" i="20"/>
  <c r="J190" i="20"/>
  <c r="K190" i="20" s="1"/>
  <c r="F499" i="20" s="1"/>
  <c r="G190" i="20"/>
  <c r="J189" i="20"/>
  <c r="G189" i="20"/>
  <c r="J188" i="20"/>
  <c r="G188" i="20"/>
  <c r="J187" i="20"/>
  <c r="K187" i="20" s="1"/>
  <c r="J186" i="20"/>
  <c r="K186" i="20" s="1"/>
  <c r="F498" i="20" s="1"/>
  <c r="J185" i="20"/>
  <c r="K185" i="20" s="1"/>
  <c r="J184" i="20"/>
  <c r="G184" i="20"/>
  <c r="J183" i="20"/>
  <c r="G183" i="20"/>
  <c r="J182" i="20"/>
  <c r="J181" i="20"/>
  <c r="J180" i="20"/>
  <c r="J179" i="20"/>
  <c r="K179" i="20" s="1"/>
  <c r="J178" i="20"/>
  <c r="G178" i="20"/>
  <c r="J176" i="20"/>
  <c r="K176" i="20" s="1"/>
  <c r="H175" i="20"/>
  <c r="J175" i="20" s="1"/>
  <c r="J173" i="20"/>
  <c r="K173" i="20" s="1"/>
  <c r="F494" i="20" s="1"/>
  <c r="G173" i="20"/>
  <c r="J172" i="20"/>
  <c r="G172" i="20"/>
  <c r="J171" i="20"/>
  <c r="K171" i="20" s="1"/>
  <c r="J170" i="20"/>
  <c r="G170" i="20"/>
  <c r="J169" i="20"/>
  <c r="W167" i="20"/>
  <c r="J167" i="20"/>
  <c r="K167" i="20" s="1"/>
  <c r="J166" i="20"/>
  <c r="G166" i="20"/>
  <c r="J165" i="20"/>
  <c r="K165" i="20" s="1"/>
  <c r="W163" i="20"/>
  <c r="H162" i="20" s="1"/>
  <c r="J162" i="20" s="1"/>
  <c r="J163" i="20"/>
  <c r="G163" i="20"/>
  <c r="W162" i="20"/>
  <c r="G162" i="20"/>
  <c r="J160" i="20"/>
  <c r="K160" i="20" s="1"/>
  <c r="L161" i="20" s="1"/>
  <c r="AA159" i="20"/>
  <c r="AB159" i="20" s="1"/>
  <c r="AA158" i="20"/>
  <c r="AB158" i="20" s="1"/>
  <c r="J158" i="20"/>
  <c r="K158" i="20" s="1"/>
  <c r="F491" i="20" s="1"/>
  <c r="G158" i="20"/>
  <c r="AA157" i="20"/>
  <c r="AB157" i="20" s="1"/>
  <c r="J157" i="20"/>
  <c r="G157" i="20"/>
  <c r="AA156" i="20"/>
  <c r="AB156" i="20" s="1"/>
  <c r="J156" i="20"/>
  <c r="G156" i="20"/>
  <c r="J154" i="20"/>
  <c r="K154" i="20" s="1"/>
  <c r="F488" i="20" s="1"/>
  <c r="J153" i="20"/>
  <c r="K153" i="20" s="1"/>
  <c r="J152" i="20"/>
  <c r="K152" i="20" s="1"/>
  <c r="AC151" i="20"/>
  <c r="J151" i="20"/>
  <c r="AC150" i="20"/>
  <c r="J150" i="20"/>
  <c r="K150" i="20" s="1"/>
  <c r="AC149" i="20"/>
  <c r="J149" i="20"/>
  <c r="AC148" i="20"/>
  <c r="J148" i="20"/>
  <c r="J147" i="20"/>
  <c r="K147" i="20" s="1"/>
  <c r="J145" i="20"/>
  <c r="K145" i="20" s="1"/>
  <c r="J144" i="20"/>
  <c r="H144" i="20"/>
  <c r="J143" i="20"/>
  <c r="J141" i="20"/>
  <c r="G141" i="20"/>
  <c r="J140" i="20"/>
  <c r="G140" i="20"/>
  <c r="J139" i="20"/>
  <c r="J138" i="20"/>
  <c r="J137" i="20"/>
  <c r="K137" i="20" s="1"/>
  <c r="J136" i="20"/>
  <c r="K136" i="20" s="1"/>
  <c r="J135" i="20"/>
  <c r="K135" i="20" s="1"/>
  <c r="F487" i="20" s="1"/>
  <c r="J134" i="20"/>
  <c r="K134" i="20" s="1"/>
  <c r="F486" i="20" s="1"/>
  <c r="J133" i="20"/>
  <c r="K133" i="20" s="1"/>
  <c r="J132" i="20"/>
  <c r="K132" i="20" s="1"/>
  <c r="J131" i="20"/>
  <c r="J130" i="20"/>
  <c r="K130" i="20" s="1"/>
  <c r="J129" i="20"/>
  <c r="K129" i="20" s="1"/>
  <c r="J128" i="20"/>
  <c r="K128" i="20" s="1"/>
  <c r="J127" i="20"/>
  <c r="J126" i="20"/>
  <c r="K126" i="20" s="1"/>
  <c r="J124" i="20"/>
  <c r="K124" i="20" s="1"/>
  <c r="J123" i="20"/>
  <c r="K123" i="20" s="1"/>
  <c r="J122" i="20"/>
  <c r="K122" i="20" s="1"/>
  <c r="J121" i="20"/>
  <c r="K121" i="20" s="1"/>
  <c r="J120" i="20"/>
  <c r="K120" i="20" s="1"/>
  <c r="J119" i="20"/>
  <c r="J118" i="20"/>
  <c r="K118" i="20" s="1"/>
  <c r="J117" i="20"/>
  <c r="G117" i="20"/>
  <c r="J116" i="20"/>
  <c r="G116" i="20"/>
  <c r="J115" i="20"/>
  <c r="G115" i="20"/>
  <c r="J114" i="20"/>
  <c r="K114" i="20" s="1"/>
  <c r="F406" i="20" s="1"/>
  <c r="G114" i="20"/>
  <c r="J113" i="20"/>
  <c r="K113" i="20" s="1"/>
  <c r="F405" i="20" s="1"/>
  <c r="J112" i="20"/>
  <c r="K112" i="20" s="1"/>
  <c r="F404" i="20" s="1"/>
  <c r="J111" i="20"/>
  <c r="G111" i="20"/>
  <c r="J110" i="20"/>
  <c r="G110" i="20"/>
  <c r="K110" i="20" s="1"/>
  <c r="F402" i="20" s="1"/>
  <c r="J109" i="20"/>
  <c r="K109" i="20" s="1"/>
  <c r="F401" i="20" s="1"/>
  <c r="J108" i="20"/>
  <c r="K108" i="20" s="1"/>
  <c r="F400" i="20" s="1"/>
  <c r="J107" i="20"/>
  <c r="G107" i="20"/>
  <c r="J106" i="20"/>
  <c r="K106" i="20" s="1"/>
  <c r="J105" i="20"/>
  <c r="K105" i="20" s="1"/>
  <c r="J104" i="20"/>
  <c r="J103" i="20"/>
  <c r="K103" i="20" s="1"/>
  <c r="J102" i="20"/>
  <c r="K102" i="20" s="1"/>
  <c r="J101" i="20"/>
  <c r="J100" i="20"/>
  <c r="G100" i="20"/>
  <c r="J99" i="20"/>
  <c r="K99" i="20" s="1"/>
  <c r="J98" i="20"/>
  <c r="K98" i="20" s="1"/>
  <c r="J97" i="20"/>
  <c r="K97" i="20" s="1"/>
  <c r="J96" i="20"/>
  <c r="G96" i="20"/>
  <c r="J95" i="20"/>
  <c r="K95" i="20" s="1"/>
  <c r="J94" i="20"/>
  <c r="G94" i="20"/>
  <c r="K94" i="20" s="1"/>
  <c r="H93" i="20"/>
  <c r="J93" i="20" s="1"/>
  <c r="G93" i="20"/>
  <c r="J92" i="20"/>
  <c r="K92" i="20" s="1"/>
  <c r="J91" i="20"/>
  <c r="J90" i="20"/>
  <c r="K90" i="20" s="1"/>
  <c r="J89" i="20"/>
  <c r="J88" i="20"/>
  <c r="K88" i="20" s="1"/>
  <c r="J87" i="20"/>
  <c r="K87" i="20" s="1"/>
  <c r="J85" i="20"/>
  <c r="K85" i="20" s="1"/>
  <c r="B78" i="23" s="1"/>
  <c r="J84" i="20"/>
  <c r="J83" i="20"/>
  <c r="K83" i="20" s="1"/>
  <c r="B76" i="23" s="1"/>
  <c r="J82" i="20"/>
  <c r="K82" i="20" s="1"/>
  <c r="B75" i="23" s="1"/>
  <c r="J81" i="20"/>
  <c r="K81" i="20" s="1"/>
  <c r="B74" i="23" s="1"/>
  <c r="J80" i="20"/>
  <c r="K80" i="20" s="1"/>
  <c r="B73" i="23" s="1"/>
  <c r="J79" i="20"/>
  <c r="K79" i="20" s="1"/>
  <c r="J78" i="20"/>
  <c r="K78" i="20" s="1"/>
  <c r="J77" i="20"/>
  <c r="J76" i="20"/>
  <c r="J75" i="20"/>
  <c r="K75" i="20" s="1"/>
  <c r="B68" i="23" s="1"/>
  <c r="J74" i="20"/>
  <c r="K74" i="20" s="1"/>
  <c r="B67" i="23" s="1"/>
  <c r="J73" i="20"/>
  <c r="K73" i="20" s="1"/>
  <c r="B66" i="23" s="1"/>
  <c r="J72" i="20"/>
  <c r="K72" i="20" s="1"/>
  <c r="B65" i="23" s="1"/>
  <c r="J70" i="20"/>
  <c r="K70" i="20" s="1"/>
  <c r="J69" i="20"/>
  <c r="G69" i="20"/>
  <c r="J68" i="20"/>
  <c r="G68" i="20"/>
  <c r="J67" i="20"/>
  <c r="G67" i="20"/>
  <c r="J66" i="20"/>
  <c r="J65" i="20"/>
  <c r="G65" i="20"/>
  <c r="J64" i="20"/>
  <c r="G64" i="20"/>
  <c r="J63" i="20"/>
  <c r="K63" i="20" s="1"/>
  <c r="J62" i="20"/>
  <c r="K62" i="20" s="1"/>
  <c r="J61" i="20"/>
  <c r="K61" i="20" s="1"/>
  <c r="J60" i="20"/>
  <c r="G60" i="20"/>
  <c r="J59" i="20"/>
  <c r="K59" i="20" s="1"/>
  <c r="J58" i="20"/>
  <c r="G58" i="20"/>
  <c r="J56" i="20"/>
  <c r="K56" i="20" s="1"/>
  <c r="J55" i="20"/>
  <c r="K55" i="20" s="1"/>
  <c r="F477" i="20" s="1"/>
  <c r="J54" i="20"/>
  <c r="K54" i="20" s="1"/>
  <c r="J53" i="20"/>
  <c r="J52" i="20"/>
  <c r="J51" i="20"/>
  <c r="K51" i="20" s="1"/>
  <c r="J50" i="20"/>
  <c r="K50" i="20" s="1"/>
  <c r="J49" i="20"/>
  <c r="K49" i="20" s="1"/>
  <c r="F475" i="20" s="1"/>
  <c r="J48" i="20"/>
  <c r="K48" i="20" s="1"/>
  <c r="F474" i="20" s="1"/>
  <c r="J47" i="20"/>
  <c r="K47" i="20" s="1"/>
  <c r="F473" i="20" s="1"/>
  <c r="J46" i="20"/>
  <c r="K46" i="20" s="1"/>
  <c r="H45" i="20"/>
  <c r="J45" i="20" s="1"/>
  <c r="K45" i="20" s="1"/>
  <c r="J44" i="20"/>
  <c r="G44" i="20"/>
  <c r="J42" i="20"/>
  <c r="K42" i="20" s="1"/>
  <c r="G41" i="20"/>
  <c r="K41" i="20" s="1"/>
  <c r="J40" i="20"/>
  <c r="K40" i="20" s="1"/>
  <c r="F472" i="20" s="1"/>
  <c r="J39" i="20"/>
  <c r="K39" i="20" s="1"/>
  <c r="F471" i="20" s="1"/>
  <c r="J38" i="20"/>
  <c r="K38" i="20" s="1"/>
  <c r="J37" i="20"/>
  <c r="G37" i="20"/>
  <c r="J36" i="20"/>
  <c r="G36" i="20"/>
  <c r="J35" i="20"/>
  <c r="K35" i="20" s="1"/>
  <c r="J33" i="20"/>
  <c r="K33" i="20" s="1"/>
  <c r="J32" i="20"/>
  <c r="K32" i="20" s="1"/>
  <c r="F469" i="20" s="1"/>
  <c r="J31" i="20"/>
  <c r="K31" i="20" s="1"/>
  <c r="J30" i="20"/>
  <c r="K30" i="20" s="1"/>
  <c r="J29" i="20"/>
  <c r="K29" i="20" s="1"/>
  <c r="J27" i="20"/>
  <c r="G27" i="20"/>
  <c r="J26" i="20"/>
  <c r="K26" i="20" s="1"/>
  <c r="G26" i="20"/>
  <c r="J25" i="20"/>
  <c r="K25" i="20" s="1"/>
  <c r="F467" i="20" s="1"/>
  <c r="J24" i="20"/>
  <c r="K24" i="20" s="1"/>
  <c r="F466" i="20" s="1"/>
  <c r="J23" i="20"/>
  <c r="K23" i="20" s="1"/>
  <c r="F465" i="20" s="1"/>
  <c r="J22" i="20"/>
  <c r="G22" i="20"/>
  <c r="J21" i="20"/>
  <c r="K21" i="20" s="1"/>
  <c r="J20" i="20"/>
  <c r="K20" i="20" s="1"/>
  <c r="J19" i="20"/>
  <c r="K19" i="20" s="1"/>
  <c r="J18" i="20"/>
  <c r="K18" i="20" s="1"/>
  <c r="G18" i="20"/>
  <c r="J16" i="20"/>
  <c r="K16" i="20" s="1"/>
  <c r="G14" i="20"/>
  <c r="AJ12" i="20"/>
  <c r="AQ11" i="20"/>
  <c r="AJ11" i="20"/>
  <c r="B10" i="20"/>
  <c r="AM9" i="20"/>
  <c r="AN9" i="20" s="1"/>
  <c r="AF9" i="20"/>
  <c r="AG9" i="20" s="1"/>
  <c r="AF8" i="20"/>
  <c r="S8" i="20"/>
  <c r="B8" i="20"/>
  <c r="AF7" i="20"/>
  <c r="AJ6" i="20"/>
  <c r="AF6" i="20"/>
  <c r="N6" i="20"/>
  <c r="AJ5" i="20"/>
  <c r="AF5" i="20"/>
  <c r="N5" i="20"/>
  <c r="AJ4" i="20"/>
  <c r="AQ3" i="20"/>
  <c r="AJ3" i="20"/>
  <c r="AJ7" i="20" s="1"/>
  <c r="H76" i="19"/>
  <c r="F480" i="20" l="1"/>
  <c r="B71" i="23"/>
  <c r="F481" i="20"/>
  <c r="B72" i="23"/>
  <c r="F386" i="22"/>
  <c r="F419" i="22"/>
  <c r="F152" i="23"/>
  <c r="F299" i="23"/>
  <c r="F139" i="23"/>
  <c r="E140" i="23"/>
  <c r="E84" i="23"/>
  <c r="F197" i="23"/>
  <c r="L164" i="22"/>
  <c r="E336" i="22" s="1"/>
  <c r="E155" i="23"/>
  <c r="F157" i="23" s="1"/>
  <c r="F281" i="23"/>
  <c r="F402" i="22"/>
  <c r="E103" i="23"/>
  <c r="F494" i="22"/>
  <c r="E166" i="23"/>
  <c r="F167" i="23" s="1"/>
  <c r="L168" i="22"/>
  <c r="E337" i="22" s="1"/>
  <c r="E159" i="23"/>
  <c r="F161" i="23" s="1"/>
  <c r="F485" i="22"/>
  <c r="E120" i="23"/>
  <c r="F135" i="23" s="1"/>
  <c r="F506" i="22"/>
  <c r="E226" i="23"/>
  <c r="F245" i="23" s="1"/>
  <c r="F79" i="23"/>
  <c r="F207" i="23"/>
  <c r="F501" i="22"/>
  <c r="E185" i="23"/>
  <c r="F188" i="23" s="1"/>
  <c r="L269" i="22"/>
  <c r="E345" i="22" s="1"/>
  <c r="E246" i="23"/>
  <c r="F262" i="23" s="1"/>
  <c r="F512" i="22"/>
  <c r="E189" i="23"/>
  <c r="F192" i="23" s="1"/>
  <c r="L177" i="22"/>
  <c r="F379" i="22" s="1"/>
  <c r="E168" i="23"/>
  <c r="F170" i="23" s="1"/>
  <c r="F64" i="23"/>
  <c r="V47" i="23"/>
  <c r="V48" i="23" s="1"/>
  <c r="F50" i="23"/>
  <c r="F29" i="23"/>
  <c r="F24" i="23"/>
  <c r="E325" i="22"/>
  <c r="F502" i="22"/>
  <c r="L252" i="22"/>
  <c r="F417" i="22" s="1"/>
  <c r="L214" i="22"/>
  <c r="F416" i="22" s="1"/>
  <c r="L199" i="22"/>
  <c r="F381" i="22" s="1"/>
  <c r="F495" i="22"/>
  <c r="F497" i="22"/>
  <c r="L174" i="22"/>
  <c r="E338" i="22" s="1"/>
  <c r="L288" i="22"/>
  <c r="E348" i="22" s="1"/>
  <c r="L125" i="22"/>
  <c r="E330" i="22" s="1"/>
  <c r="L204" i="22"/>
  <c r="F382" i="22" s="1"/>
  <c r="L71" i="22"/>
  <c r="E328" i="22" s="1"/>
  <c r="L57" i="22"/>
  <c r="K311" i="22"/>
  <c r="E304" i="23" s="1"/>
  <c r="K289" i="22"/>
  <c r="E282" i="23" s="1"/>
  <c r="N322" i="22"/>
  <c r="K309" i="22"/>
  <c r="K290" i="22"/>
  <c r="E283" i="23" s="1"/>
  <c r="L86" i="22"/>
  <c r="F409" i="22"/>
  <c r="L155" i="22"/>
  <c r="F377" i="22"/>
  <c r="F365" i="22"/>
  <c r="E323" i="22"/>
  <c r="E322" i="22"/>
  <c r="F415" i="22"/>
  <c r="F364" i="22"/>
  <c r="L146" i="22"/>
  <c r="F408" i="22"/>
  <c r="F503" i="22"/>
  <c r="F496" i="22"/>
  <c r="F390" i="22"/>
  <c r="E351" i="22"/>
  <c r="F420" i="22"/>
  <c r="F387" i="22"/>
  <c r="E347" i="22"/>
  <c r="L195" i="22"/>
  <c r="F385" i="22"/>
  <c r="E326" i="22"/>
  <c r="F367" i="22"/>
  <c r="F375" i="22"/>
  <c r="E334" i="22"/>
  <c r="L142" i="22"/>
  <c r="K191" i="20"/>
  <c r="F500" i="20" s="1"/>
  <c r="K68" i="20"/>
  <c r="F476" i="20"/>
  <c r="K284" i="20"/>
  <c r="K170" i="20"/>
  <c r="K166" i="20"/>
  <c r="L168" i="20" s="1"/>
  <c r="K183" i="20"/>
  <c r="K196" i="20"/>
  <c r="F512" i="20" s="1"/>
  <c r="K201" i="20"/>
  <c r="K189" i="20"/>
  <c r="K285" i="20"/>
  <c r="K279" i="20"/>
  <c r="K213" i="20"/>
  <c r="AB161" i="20"/>
  <c r="K69" i="20"/>
  <c r="K116" i="20"/>
  <c r="AC152" i="20"/>
  <c r="G149" i="20" s="1"/>
  <c r="K149" i="20" s="1"/>
  <c r="K205" i="20"/>
  <c r="K286" i="20"/>
  <c r="K206" i="20"/>
  <c r="K287" i="20"/>
  <c r="K178" i="20"/>
  <c r="K60" i="20"/>
  <c r="K93" i="20"/>
  <c r="F484" i="20" s="1"/>
  <c r="K192" i="20"/>
  <c r="F501" i="20" s="1"/>
  <c r="K64" i="20"/>
  <c r="K156" i="20"/>
  <c r="F427" i="20" s="1"/>
  <c r="K296" i="20"/>
  <c r="F510" i="20" s="1"/>
  <c r="K96" i="20"/>
  <c r="K184" i="20"/>
  <c r="K229" i="20"/>
  <c r="K65" i="20"/>
  <c r="K37" i="20"/>
  <c r="K227" i="20"/>
  <c r="K22" i="20"/>
  <c r="K115" i="20"/>
  <c r="F407" i="20" s="1"/>
  <c r="K233" i="20"/>
  <c r="F506" i="20" s="1"/>
  <c r="K141" i="20"/>
  <c r="L34" i="20"/>
  <c r="F470" i="20"/>
  <c r="F464" i="20"/>
  <c r="F430" i="20"/>
  <c r="F478" i="20"/>
  <c r="F479" i="20"/>
  <c r="E346" i="20"/>
  <c r="F419" i="20"/>
  <c r="F386" i="20"/>
  <c r="K172" i="20"/>
  <c r="F493" i="20" s="1"/>
  <c r="K163" i="20"/>
  <c r="F492" i="20" s="1"/>
  <c r="K188" i="20"/>
  <c r="K117" i="20"/>
  <c r="N9" i="20"/>
  <c r="G151" i="20" s="1"/>
  <c r="G169" i="20"/>
  <c r="K169" i="20" s="1"/>
  <c r="K107" i="20"/>
  <c r="F399" i="20" s="1"/>
  <c r="K100" i="20"/>
  <c r="K36" i="20"/>
  <c r="L43" i="20" s="1"/>
  <c r="K198" i="20"/>
  <c r="L278" i="20"/>
  <c r="K58" i="20"/>
  <c r="K157" i="20"/>
  <c r="K44" i="20"/>
  <c r="G66" i="20"/>
  <c r="K66" i="20" s="1"/>
  <c r="G197" i="20"/>
  <c r="K197" i="20" s="1"/>
  <c r="K8" i="20"/>
  <c r="G119" i="20"/>
  <c r="K119" i="20" s="1"/>
  <c r="G89" i="20"/>
  <c r="K89" i="20" s="1"/>
  <c r="G53" i="20"/>
  <c r="K53" i="20" s="1"/>
  <c r="K140" i="20"/>
  <c r="K27" i="20"/>
  <c r="F468" i="20" s="1"/>
  <c r="L17" i="20"/>
  <c r="K226" i="20"/>
  <c r="F505" i="20" s="1"/>
  <c r="K238" i="20"/>
  <c r="K67" i="20"/>
  <c r="K111" i="20"/>
  <c r="F403" i="20" s="1"/>
  <c r="K162" i="20"/>
  <c r="K283" i="20"/>
  <c r="L45" i="8"/>
  <c r="J44" i="8"/>
  <c r="J45" i="8" s="1"/>
  <c r="L41" i="8"/>
  <c r="F418" i="22" l="1"/>
  <c r="F431" i="22" s="1"/>
  <c r="E343" i="22"/>
  <c r="F383" i="22"/>
  <c r="E344" i="22"/>
  <c r="F384" i="22"/>
  <c r="F118" i="23"/>
  <c r="F371" i="22"/>
  <c r="E339" i="22"/>
  <c r="F376" i="22"/>
  <c r="L315" i="23"/>
  <c r="L316" i="23" s="1"/>
  <c r="L317" i="23" s="1"/>
  <c r="F148" i="23"/>
  <c r="H140" i="23"/>
  <c r="F284" i="23"/>
  <c r="L310" i="22"/>
  <c r="E302" i="23"/>
  <c r="L306" i="20"/>
  <c r="F369" i="22"/>
  <c r="E342" i="22"/>
  <c r="E341" i="22"/>
  <c r="F378" i="22"/>
  <c r="F388" i="22"/>
  <c r="F410" i="22"/>
  <c r="L291" i="22"/>
  <c r="F389" i="22" s="1"/>
  <c r="E331" i="22"/>
  <c r="F372" i="22"/>
  <c r="F370" i="22"/>
  <c r="E329" i="22"/>
  <c r="K307" i="22"/>
  <c r="F373" i="22"/>
  <c r="E332" i="22"/>
  <c r="E333" i="22"/>
  <c r="F374" i="22"/>
  <c r="O323" i="22"/>
  <c r="N323" i="22"/>
  <c r="N324" i="22" s="1"/>
  <c r="H14" i="22" s="1"/>
  <c r="J14" i="22" s="1"/>
  <c r="K14" i="22" s="1"/>
  <c r="F380" i="22"/>
  <c r="E340" i="22"/>
  <c r="K312" i="22"/>
  <c r="E305" i="23" s="1"/>
  <c r="K313" i="22"/>
  <c r="E306" i="23" s="1"/>
  <c r="F368" i="22"/>
  <c r="E327" i="22"/>
  <c r="L159" i="20"/>
  <c r="F489" i="20"/>
  <c r="F502" i="20"/>
  <c r="L288" i="20"/>
  <c r="L214" i="20"/>
  <c r="E343" i="20" s="1"/>
  <c r="L199" i="20"/>
  <c r="F381" i="20" s="1"/>
  <c r="F482" i="20"/>
  <c r="F495" i="20"/>
  <c r="F497" i="20"/>
  <c r="L28" i="20"/>
  <c r="F365" i="20" s="1"/>
  <c r="K151" i="20"/>
  <c r="L174" i="20"/>
  <c r="E338" i="20" s="1"/>
  <c r="F483" i="20"/>
  <c r="E341" i="20"/>
  <c r="E322" i="20"/>
  <c r="F415" i="20"/>
  <c r="F364" i="20"/>
  <c r="F367" i="20"/>
  <c r="E326" i="20"/>
  <c r="E334" i="20"/>
  <c r="F375" i="20"/>
  <c r="G200" i="20"/>
  <c r="K200" i="20" s="1"/>
  <c r="L204" i="20" s="1"/>
  <c r="G182" i="20"/>
  <c r="K182" i="20" s="1"/>
  <c r="G143" i="20"/>
  <c r="K143" i="20" s="1"/>
  <c r="G77" i="20"/>
  <c r="K77" i="20" s="1"/>
  <c r="B70" i="23" s="1"/>
  <c r="O8" i="20"/>
  <c r="G76" i="20"/>
  <c r="K76" i="20" s="1"/>
  <c r="B69" i="23" s="1"/>
  <c r="G180" i="20"/>
  <c r="K180" i="20" s="1"/>
  <c r="G131" i="20"/>
  <c r="K131" i="20" s="1"/>
  <c r="O7" i="20"/>
  <c r="G91" i="20"/>
  <c r="K91" i="20" s="1"/>
  <c r="O9" i="20"/>
  <c r="G181" i="20"/>
  <c r="K181" i="20" s="1"/>
  <c r="K52" i="20"/>
  <c r="G138" i="20"/>
  <c r="K138" i="20" s="1"/>
  <c r="G84" i="20"/>
  <c r="K84" i="20" s="1"/>
  <c r="B77" i="23" s="1"/>
  <c r="G148" i="20"/>
  <c r="K148" i="20" s="1"/>
  <c r="G127" i="20"/>
  <c r="K127" i="20" s="1"/>
  <c r="G101" i="20"/>
  <c r="K101" i="20" s="1"/>
  <c r="S9" i="20"/>
  <c r="G253" i="20"/>
  <c r="K253" i="20" s="1"/>
  <c r="L269" i="20" s="1"/>
  <c r="G104" i="20"/>
  <c r="K104" i="20" s="1"/>
  <c r="G139" i="20"/>
  <c r="K139" i="20" s="1"/>
  <c r="O4" i="20"/>
  <c r="G144" i="20"/>
  <c r="K144" i="20" s="1"/>
  <c r="G175" i="20"/>
  <c r="K175" i="20" s="1"/>
  <c r="F377" i="20"/>
  <c r="E337" i="20"/>
  <c r="F390" i="20"/>
  <c r="E351" i="20"/>
  <c r="F416" i="20"/>
  <c r="L57" i="20"/>
  <c r="O6" i="20"/>
  <c r="F490" i="20"/>
  <c r="F423" i="20"/>
  <c r="L71" i="20"/>
  <c r="E347" i="20"/>
  <c r="F387" i="20"/>
  <c r="F420" i="20"/>
  <c r="E325" i="20"/>
  <c r="F366" i="20"/>
  <c r="F388" i="20"/>
  <c r="E348" i="20"/>
  <c r="O5" i="20"/>
  <c r="L164" i="20"/>
  <c r="L252" i="20"/>
  <c r="J40" i="8"/>
  <c r="J41" i="8" s="1"/>
  <c r="L42" i="8" s="1"/>
  <c r="L37" i="8"/>
  <c r="L15" i="22" l="1"/>
  <c r="F363" i="22" s="1"/>
  <c r="E11" i="23"/>
  <c r="F307" i="23"/>
  <c r="F303" i="23"/>
  <c r="L308" i="22"/>
  <c r="F392" i="22" s="1"/>
  <c r="E300" i="23"/>
  <c r="F378" i="20"/>
  <c r="E323" i="20"/>
  <c r="F383" i="20"/>
  <c r="L314" i="22"/>
  <c r="F391" i="22"/>
  <c r="L177" i="20"/>
  <c r="L146" i="20"/>
  <c r="N322" i="20"/>
  <c r="N323" i="20" s="1"/>
  <c r="N324" i="20" s="1"/>
  <c r="H14" i="20" s="1"/>
  <c r="J14" i="20" s="1"/>
  <c r="K309" i="20"/>
  <c r="F503" i="20"/>
  <c r="F496" i="20"/>
  <c r="L195" i="20"/>
  <c r="L86" i="20"/>
  <c r="L125" i="20"/>
  <c r="K290" i="20"/>
  <c r="B283" i="23" s="1"/>
  <c r="E345" i="20"/>
  <c r="F418" i="20"/>
  <c r="F385" i="20"/>
  <c r="F369" i="20"/>
  <c r="E328" i="20"/>
  <c r="F409" i="20"/>
  <c r="L155" i="20"/>
  <c r="E344" i="20"/>
  <c r="F417" i="20"/>
  <c r="F384" i="20"/>
  <c r="F368" i="20"/>
  <c r="E327" i="20"/>
  <c r="E336" i="20"/>
  <c r="F376" i="20"/>
  <c r="E339" i="20"/>
  <c r="F379" i="20"/>
  <c r="F408" i="20"/>
  <c r="K311" i="20"/>
  <c r="B304" i="23" s="1"/>
  <c r="F382" i="20"/>
  <c r="E342" i="20"/>
  <c r="F485" i="20"/>
  <c r="L142" i="20"/>
  <c r="K289" i="20"/>
  <c r="B282" i="23" s="1"/>
  <c r="J36" i="8"/>
  <c r="J37" i="8" s="1"/>
  <c r="L38" i="8" s="1"/>
  <c r="L310" i="20" l="1"/>
  <c r="B302" i="23"/>
  <c r="B303" i="23"/>
  <c r="E321" i="22"/>
  <c r="L319" i="22"/>
  <c r="E356" i="22" s="1"/>
  <c r="F301" i="23"/>
  <c r="F12" i="23"/>
  <c r="E354" i="22"/>
  <c r="F394" i="22"/>
  <c r="K14" i="20"/>
  <c r="O323" i="20"/>
  <c r="F431" i="20"/>
  <c r="L291" i="20"/>
  <c r="F389" i="20" s="1"/>
  <c r="F410" i="20"/>
  <c r="F374" i="20"/>
  <c r="E333" i="20"/>
  <c r="K307" i="20"/>
  <c r="F371" i="20"/>
  <c r="E330" i="20"/>
  <c r="F373" i="20"/>
  <c r="E332" i="20"/>
  <c r="F372" i="20"/>
  <c r="E331" i="20"/>
  <c r="F370" i="20"/>
  <c r="E329" i="20"/>
  <c r="K312" i="20"/>
  <c r="B305" i="23" s="1"/>
  <c r="K313" i="20"/>
  <c r="B306" i="23" s="1"/>
  <c r="E340" i="20"/>
  <c r="F380" i="20"/>
  <c r="E27" i="4"/>
  <c r="L15" i="20" l="1"/>
  <c r="B11" i="23"/>
  <c r="L308" i="20"/>
  <c r="F392" i="20" s="1"/>
  <c r="B301" i="23"/>
  <c r="B300" i="23"/>
  <c r="E357" i="22"/>
  <c r="K2" i="22"/>
  <c r="K4" i="22" s="1"/>
  <c r="L320" i="22"/>
  <c r="F395" i="22"/>
  <c r="F312" i="23"/>
  <c r="E321" i="20"/>
  <c r="F363" i="20"/>
  <c r="L314" i="20"/>
  <c r="L319" i="20" s="1"/>
  <c r="H156" i="19"/>
  <c r="K6" i="22" l="1"/>
  <c r="F391" i="20"/>
  <c r="F394" i="20" s="1"/>
  <c r="F395" i="20" s="1"/>
  <c r="F313" i="23"/>
  <c r="F6" i="23"/>
  <c r="E354" i="20"/>
  <c r="K2" i="20"/>
  <c r="C31" i="4" s="1"/>
  <c r="L320" i="20"/>
  <c r="E356" i="20"/>
  <c r="E357" i="20" s="1"/>
  <c r="K10" i="10"/>
  <c r="K7" i="10"/>
  <c r="AA159" i="19"/>
  <c r="AB159" i="19" s="1"/>
  <c r="AA158" i="19"/>
  <c r="AB158" i="19" s="1"/>
  <c r="AA157" i="19"/>
  <c r="AB157" i="19" s="1"/>
  <c r="AA156" i="19"/>
  <c r="AB156" i="19" s="1"/>
  <c r="AC149" i="19"/>
  <c r="AC150" i="19"/>
  <c r="AC151" i="19"/>
  <c r="AC148" i="19"/>
  <c r="G162" i="19"/>
  <c r="W163" i="19"/>
  <c r="H162" i="19" s="1"/>
  <c r="F8" i="23" l="1"/>
  <c r="F7" i="23"/>
  <c r="K6" i="20"/>
  <c r="K4" i="20"/>
  <c r="AB161" i="19"/>
  <c r="G151" i="19" s="1"/>
  <c r="AC152" i="19"/>
  <c r="G149" i="19" s="1"/>
  <c r="G53" i="19"/>
  <c r="H16" i="10" l="1"/>
  <c r="K29" i="10"/>
  <c r="K28" i="10"/>
  <c r="K27" i="10"/>
  <c r="K26" i="10"/>
  <c r="K25" i="10"/>
  <c r="E309" i="12" l="1"/>
  <c r="E308" i="12"/>
  <c r="B309" i="12"/>
  <c r="B308" i="12"/>
  <c r="B306" i="12"/>
  <c r="B305" i="12"/>
  <c r="B304" i="12"/>
  <c r="B302" i="12"/>
  <c r="C303" i="12" s="1"/>
  <c r="B300" i="12"/>
  <c r="C301" i="12" s="1"/>
  <c r="B283" i="12"/>
  <c r="B34" i="12"/>
  <c r="C307" i="12" l="1"/>
  <c r="C310" i="12"/>
  <c r="Q28" i="8" l="1"/>
  <c r="G14" i="19" l="1"/>
  <c r="W162" i="19"/>
  <c r="G115" i="19" l="1"/>
  <c r="G107" i="19" l="1"/>
  <c r="E11" i="10" l="1"/>
  <c r="E32" i="10"/>
  <c r="B20" i="10" s="1"/>
  <c r="J185" i="19"/>
  <c r="K185" i="19" s="1"/>
  <c r="J179" i="19"/>
  <c r="K179" i="19" s="1"/>
  <c r="E172" i="12" l="1"/>
  <c r="E178" i="12"/>
  <c r="H178" i="23"/>
  <c r="I178" i="23" s="1"/>
  <c r="G238" i="19"/>
  <c r="H202" i="19" l="1"/>
  <c r="B19" i="10"/>
  <c r="G60" i="19" s="1"/>
  <c r="G114" i="19"/>
  <c r="H93" i="19"/>
  <c r="H296" i="19"/>
  <c r="G296" i="19"/>
  <c r="B17" i="10"/>
  <c r="H45" i="19" l="1"/>
  <c r="G26" i="19"/>
  <c r="G27" i="19"/>
  <c r="J18" i="19" l="1"/>
  <c r="M28" i="4" l="1"/>
  <c r="K28" i="4"/>
  <c r="M12" i="4"/>
  <c r="E24" i="4" l="1"/>
  <c r="E18" i="4"/>
  <c r="F5" i="4"/>
  <c r="D29" i="7"/>
  <c r="B29" i="7"/>
  <c r="K8" i="9"/>
  <c r="B8" i="7" s="1"/>
  <c r="B7" i="7"/>
  <c r="F461" i="19"/>
  <c r="F457" i="19"/>
  <c r="F456" i="19"/>
  <c r="F455" i="19"/>
  <c r="F454" i="19"/>
  <c r="F453" i="19"/>
  <c r="F452" i="19"/>
  <c r="F451" i="19"/>
  <c r="F450" i="19"/>
  <c r="F449" i="19"/>
  <c r="F448" i="19"/>
  <c r="F447" i="19"/>
  <c r="F429" i="19"/>
  <c r="F428" i="19"/>
  <c r="F426" i="19"/>
  <c r="F425" i="19"/>
  <c r="F424" i="19"/>
  <c r="E355" i="19"/>
  <c r="E353" i="19"/>
  <c r="E352" i="19"/>
  <c r="E350" i="19"/>
  <c r="E349" i="19"/>
  <c r="E335" i="19"/>
  <c r="E324" i="19"/>
  <c r="J305" i="19"/>
  <c r="K305" i="19" s="1"/>
  <c r="J304" i="19"/>
  <c r="K304" i="19" s="1"/>
  <c r="H297" i="23" s="1"/>
  <c r="I297" i="23" s="1"/>
  <c r="J303" i="19"/>
  <c r="K303" i="19" s="1"/>
  <c r="J302" i="19"/>
  <c r="K302" i="19" s="1"/>
  <c r="J301" i="19"/>
  <c r="K301" i="19" s="1"/>
  <c r="J300" i="19"/>
  <c r="K300" i="19" s="1"/>
  <c r="J299" i="19"/>
  <c r="K299" i="19" s="1"/>
  <c r="J298" i="19"/>
  <c r="K298" i="19" s="1"/>
  <c r="X297" i="19"/>
  <c r="J297" i="19"/>
  <c r="K297" i="19" s="1"/>
  <c r="J296" i="19"/>
  <c r="K296" i="19" s="1"/>
  <c r="H289" i="23" s="1"/>
  <c r="I289" i="23" s="1"/>
  <c r="J295" i="19"/>
  <c r="K295" i="19" s="1"/>
  <c r="H288" i="23" s="1"/>
  <c r="I288" i="23" s="1"/>
  <c r="J294" i="19"/>
  <c r="K294" i="19" s="1"/>
  <c r="H287" i="23" s="1"/>
  <c r="J293" i="19"/>
  <c r="K293" i="19" s="1"/>
  <c r="J292" i="19"/>
  <c r="K292" i="19" s="1"/>
  <c r="J287" i="19"/>
  <c r="G287" i="19"/>
  <c r="J286" i="19"/>
  <c r="G286" i="19"/>
  <c r="J285" i="19"/>
  <c r="G285" i="19"/>
  <c r="J284" i="19"/>
  <c r="G284" i="19"/>
  <c r="J283" i="19"/>
  <c r="G283" i="19"/>
  <c r="J282" i="19"/>
  <c r="J281" i="19"/>
  <c r="K281" i="19" s="1"/>
  <c r="J280" i="19"/>
  <c r="K280" i="19" s="1"/>
  <c r="J279" i="19"/>
  <c r="G279" i="19"/>
  <c r="J277" i="19"/>
  <c r="K277" i="19" s="1"/>
  <c r="J276" i="19"/>
  <c r="K276" i="19" s="1"/>
  <c r="J275" i="19"/>
  <c r="K275" i="19" s="1"/>
  <c r="J273" i="19"/>
  <c r="K273" i="19" s="1"/>
  <c r="J271" i="19"/>
  <c r="K271" i="19" s="1"/>
  <c r="J270" i="19"/>
  <c r="K270" i="19" s="1"/>
  <c r="J268" i="19"/>
  <c r="K268" i="19" s="1"/>
  <c r="J267" i="19"/>
  <c r="K267" i="19" s="1"/>
  <c r="J266" i="19"/>
  <c r="K266" i="19" s="1"/>
  <c r="J265" i="19"/>
  <c r="K265" i="19" s="1"/>
  <c r="J264" i="19"/>
  <c r="K264" i="19" s="1"/>
  <c r="J263" i="19"/>
  <c r="K263" i="19" s="1"/>
  <c r="J262" i="19"/>
  <c r="K262" i="19" s="1"/>
  <c r="J261" i="19"/>
  <c r="K261" i="19" s="1"/>
  <c r="J260" i="19"/>
  <c r="K260" i="19" s="1"/>
  <c r="J259" i="19"/>
  <c r="K259" i="19" s="1"/>
  <c r="J258" i="19"/>
  <c r="K258" i="19" s="1"/>
  <c r="J257" i="19"/>
  <c r="K257" i="19" s="1"/>
  <c r="J256" i="19"/>
  <c r="K256" i="19" s="1"/>
  <c r="J255" i="19"/>
  <c r="K255" i="19" s="1"/>
  <c r="J254" i="19"/>
  <c r="K254" i="19" s="1"/>
  <c r="J253" i="19"/>
  <c r="J251" i="19"/>
  <c r="K251" i="19" s="1"/>
  <c r="J250" i="19"/>
  <c r="K250" i="19" s="1"/>
  <c r="J249" i="19"/>
  <c r="K249" i="19" s="1"/>
  <c r="J248" i="19"/>
  <c r="K248" i="19" s="1"/>
  <c r="J247" i="19"/>
  <c r="K247" i="19" s="1"/>
  <c r="J246" i="19"/>
  <c r="K246" i="19" s="1"/>
  <c r="J245" i="19"/>
  <c r="K245" i="19" s="1"/>
  <c r="J244" i="19"/>
  <c r="G244" i="19"/>
  <c r="J243" i="19"/>
  <c r="K243" i="19" s="1"/>
  <c r="J242" i="19"/>
  <c r="K242" i="19" s="1"/>
  <c r="H235" i="23" s="1"/>
  <c r="I235" i="23" s="1"/>
  <c r="J241" i="19"/>
  <c r="K241" i="19" s="1"/>
  <c r="J240" i="19"/>
  <c r="K240" i="19" s="1"/>
  <c r="J239" i="19"/>
  <c r="K239" i="19" s="1"/>
  <c r="J238" i="19"/>
  <c r="K238" i="19" s="1"/>
  <c r="J237" i="19"/>
  <c r="K237" i="19" s="1"/>
  <c r="J236" i="19"/>
  <c r="K236" i="19" s="1"/>
  <c r="J235" i="19"/>
  <c r="K235" i="19" s="1"/>
  <c r="J234" i="19"/>
  <c r="K234" i="19" s="1"/>
  <c r="J233" i="19"/>
  <c r="G233" i="19"/>
  <c r="J232" i="19"/>
  <c r="K232" i="19" s="1"/>
  <c r="J231" i="19"/>
  <c r="K231" i="19" s="1"/>
  <c r="J230" i="19"/>
  <c r="K230" i="19" s="1"/>
  <c r="J229" i="19"/>
  <c r="G229" i="19"/>
  <c r="J228" i="19"/>
  <c r="K228" i="19" s="1"/>
  <c r="J227" i="19"/>
  <c r="G227" i="19"/>
  <c r="J226" i="19"/>
  <c r="G226" i="19"/>
  <c r="J225" i="19"/>
  <c r="K225" i="19" s="1"/>
  <c r="J224" i="19"/>
  <c r="K224" i="19" s="1"/>
  <c r="J223" i="19"/>
  <c r="K223" i="19" s="1"/>
  <c r="J222" i="19"/>
  <c r="K222" i="19" s="1"/>
  <c r="J221" i="19"/>
  <c r="K221" i="19" s="1"/>
  <c r="H214" i="23" s="1"/>
  <c r="I214" i="23" s="1"/>
  <c r="J220" i="19"/>
  <c r="K220" i="19" s="1"/>
  <c r="J219" i="19"/>
  <c r="K219" i="19" s="1"/>
  <c r="J218" i="19"/>
  <c r="K218" i="19" s="1"/>
  <c r="J217" i="19"/>
  <c r="K217" i="19" s="1"/>
  <c r="J216" i="19"/>
  <c r="K216" i="19" s="1"/>
  <c r="J215" i="19"/>
  <c r="K215" i="19" s="1"/>
  <c r="J213" i="19"/>
  <c r="G213" i="19"/>
  <c r="J212" i="19"/>
  <c r="K212" i="19" s="1"/>
  <c r="J211" i="19"/>
  <c r="K211" i="19" s="1"/>
  <c r="J210" i="19"/>
  <c r="K210" i="19" s="1"/>
  <c r="J209" i="19"/>
  <c r="K209" i="19" s="1"/>
  <c r="J208" i="19"/>
  <c r="K208" i="19" s="1"/>
  <c r="J207" i="19"/>
  <c r="K207" i="19" s="1"/>
  <c r="J206" i="19"/>
  <c r="G206" i="19"/>
  <c r="J205" i="19"/>
  <c r="G205" i="19"/>
  <c r="J203" i="19"/>
  <c r="K203" i="19" s="1"/>
  <c r="J202" i="19"/>
  <c r="K202" i="19" s="1"/>
  <c r="J201" i="19"/>
  <c r="G201" i="19"/>
  <c r="J200" i="19"/>
  <c r="J198" i="19"/>
  <c r="G198" i="19"/>
  <c r="J197" i="19"/>
  <c r="J196" i="19"/>
  <c r="G196" i="19"/>
  <c r="J194" i="19"/>
  <c r="K194" i="19" s="1"/>
  <c r="J193" i="19"/>
  <c r="K193" i="19" s="1"/>
  <c r="J192" i="19"/>
  <c r="G192" i="19"/>
  <c r="J191" i="19"/>
  <c r="G191" i="19"/>
  <c r="J190" i="19"/>
  <c r="G190" i="19"/>
  <c r="J189" i="19"/>
  <c r="G189" i="19"/>
  <c r="J188" i="19"/>
  <c r="G188" i="19"/>
  <c r="J187" i="19"/>
  <c r="K187" i="19" s="1"/>
  <c r="J186" i="19"/>
  <c r="K186" i="19" s="1"/>
  <c r="H179" i="23" s="1"/>
  <c r="I179" i="23" s="1"/>
  <c r="J184" i="19"/>
  <c r="J183" i="19"/>
  <c r="G183" i="19"/>
  <c r="J182" i="19"/>
  <c r="J181" i="19"/>
  <c r="J180" i="19"/>
  <c r="J178" i="19"/>
  <c r="J176" i="19"/>
  <c r="K176" i="19" s="1"/>
  <c r="H175" i="19"/>
  <c r="J175" i="19" s="1"/>
  <c r="J173" i="19"/>
  <c r="G173" i="19"/>
  <c r="J172" i="19"/>
  <c r="G172" i="19"/>
  <c r="J171" i="19"/>
  <c r="K171" i="19" s="1"/>
  <c r="J170" i="19"/>
  <c r="G170" i="19"/>
  <c r="J169" i="19"/>
  <c r="W167" i="19"/>
  <c r="J167" i="19"/>
  <c r="K167" i="19" s="1"/>
  <c r="J166" i="19"/>
  <c r="J165" i="19"/>
  <c r="K165" i="19" s="1"/>
  <c r="J163" i="19"/>
  <c r="G163" i="19"/>
  <c r="J162" i="19"/>
  <c r="J160" i="19"/>
  <c r="K160" i="19" s="1"/>
  <c r="J158" i="19"/>
  <c r="G158" i="19"/>
  <c r="J157" i="19"/>
  <c r="J156" i="19"/>
  <c r="G156" i="19"/>
  <c r="J154" i="19"/>
  <c r="K154" i="19" s="1"/>
  <c r="H147" i="23" s="1"/>
  <c r="I147" i="23" s="1"/>
  <c r="J153" i="19"/>
  <c r="K153" i="19" s="1"/>
  <c r="J152" i="19"/>
  <c r="K152" i="19" s="1"/>
  <c r="J151" i="19"/>
  <c r="J150" i="19"/>
  <c r="K150" i="19" s="1"/>
  <c r="J149" i="19"/>
  <c r="J148" i="19"/>
  <c r="J147" i="19"/>
  <c r="K147" i="19" s="1"/>
  <c r="J145" i="19"/>
  <c r="K145" i="19" s="1"/>
  <c r="H144" i="19"/>
  <c r="J144" i="19" s="1"/>
  <c r="J143" i="19"/>
  <c r="J141" i="19"/>
  <c r="G141" i="19"/>
  <c r="J140" i="19"/>
  <c r="G140" i="19"/>
  <c r="J139" i="19"/>
  <c r="J138" i="19"/>
  <c r="J137" i="19"/>
  <c r="K137" i="19" s="1"/>
  <c r="J136" i="19"/>
  <c r="K136" i="19" s="1"/>
  <c r="J135" i="19"/>
  <c r="K135" i="19" s="1"/>
  <c r="H128" i="23" s="1"/>
  <c r="I128" i="23" s="1"/>
  <c r="J134" i="19"/>
  <c r="K134" i="19" s="1"/>
  <c r="J133" i="19"/>
  <c r="K133" i="19" s="1"/>
  <c r="J132" i="19"/>
  <c r="K132" i="19" s="1"/>
  <c r="J131" i="19"/>
  <c r="J130" i="19"/>
  <c r="K130" i="19" s="1"/>
  <c r="J129" i="19"/>
  <c r="K129" i="19" s="1"/>
  <c r="J128" i="19"/>
  <c r="K128" i="19" s="1"/>
  <c r="J127" i="19"/>
  <c r="J126" i="19"/>
  <c r="K126" i="19" s="1"/>
  <c r="J124" i="19"/>
  <c r="K124" i="19" s="1"/>
  <c r="J123" i="19"/>
  <c r="K123" i="19" s="1"/>
  <c r="J122" i="19"/>
  <c r="K122" i="19" s="1"/>
  <c r="J121" i="19"/>
  <c r="K121" i="19" s="1"/>
  <c r="J120" i="19"/>
  <c r="K120" i="19" s="1"/>
  <c r="J119" i="19"/>
  <c r="J118" i="19"/>
  <c r="K118" i="19" s="1"/>
  <c r="J117" i="19"/>
  <c r="J116" i="19"/>
  <c r="J115" i="19"/>
  <c r="J114" i="19"/>
  <c r="K114" i="19" s="1"/>
  <c r="H107" i="23" s="1"/>
  <c r="J113" i="19"/>
  <c r="K113" i="19" s="1"/>
  <c r="H106" i="23" s="1"/>
  <c r="J112" i="19"/>
  <c r="K112" i="19" s="1"/>
  <c r="H105" i="23" s="1"/>
  <c r="J111" i="19"/>
  <c r="G111" i="19"/>
  <c r="J110" i="19"/>
  <c r="J109" i="19"/>
  <c r="K109" i="19" s="1"/>
  <c r="H102" i="23" s="1"/>
  <c r="J108" i="19"/>
  <c r="K108" i="19" s="1"/>
  <c r="H101" i="23" s="1"/>
  <c r="J107" i="19"/>
  <c r="J106" i="19"/>
  <c r="K106" i="19" s="1"/>
  <c r="J105" i="19"/>
  <c r="K105" i="19" s="1"/>
  <c r="J104" i="19"/>
  <c r="J103" i="19"/>
  <c r="K103" i="19" s="1"/>
  <c r="J102" i="19"/>
  <c r="K102" i="19" s="1"/>
  <c r="J101" i="19"/>
  <c r="J100" i="19"/>
  <c r="J99" i="19"/>
  <c r="K99" i="19" s="1"/>
  <c r="J98" i="19"/>
  <c r="K98" i="19" s="1"/>
  <c r="J97" i="19"/>
  <c r="K97" i="19" s="1"/>
  <c r="J96" i="19"/>
  <c r="G96" i="19"/>
  <c r="J95" i="19"/>
  <c r="K95" i="19" s="1"/>
  <c r="J94" i="19"/>
  <c r="G94" i="19"/>
  <c r="J93" i="19"/>
  <c r="G93" i="19"/>
  <c r="J92" i="19"/>
  <c r="K92" i="19" s="1"/>
  <c r="J91" i="19"/>
  <c r="J90" i="19"/>
  <c r="K90" i="19" s="1"/>
  <c r="J89" i="19"/>
  <c r="J88" i="19"/>
  <c r="K88" i="19" s="1"/>
  <c r="J87" i="19"/>
  <c r="K87" i="19" s="1"/>
  <c r="J85" i="19"/>
  <c r="K85" i="19" s="1"/>
  <c r="J84" i="19"/>
  <c r="J83" i="19"/>
  <c r="K83" i="19" s="1"/>
  <c r="J82" i="19"/>
  <c r="K82" i="19" s="1"/>
  <c r="J81" i="19"/>
  <c r="K81" i="19" s="1"/>
  <c r="J80" i="19"/>
  <c r="K80" i="19" s="1"/>
  <c r="J79" i="19"/>
  <c r="K79" i="19" s="1"/>
  <c r="J78" i="19"/>
  <c r="K78" i="19" s="1"/>
  <c r="J77" i="19"/>
  <c r="J76" i="19"/>
  <c r="J75" i="19"/>
  <c r="K75" i="19" s="1"/>
  <c r="J74" i="19"/>
  <c r="K74" i="19" s="1"/>
  <c r="J73" i="19"/>
  <c r="K73" i="19" s="1"/>
  <c r="J72" i="19"/>
  <c r="K72" i="19" s="1"/>
  <c r="J70" i="19"/>
  <c r="K70" i="19" s="1"/>
  <c r="J69" i="19"/>
  <c r="G69" i="19"/>
  <c r="J68" i="19"/>
  <c r="G68" i="19"/>
  <c r="J67" i="19"/>
  <c r="J66" i="19"/>
  <c r="J65" i="19"/>
  <c r="G65" i="19"/>
  <c r="J64" i="19"/>
  <c r="G64" i="19"/>
  <c r="J63" i="19"/>
  <c r="K63" i="19" s="1"/>
  <c r="J62" i="19"/>
  <c r="K62" i="19" s="1"/>
  <c r="J61" i="19"/>
  <c r="K61" i="19" s="1"/>
  <c r="J60" i="19"/>
  <c r="J59" i="19"/>
  <c r="K59" i="19" s="1"/>
  <c r="J58" i="19"/>
  <c r="J56" i="19"/>
  <c r="K56" i="19" s="1"/>
  <c r="J55" i="19"/>
  <c r="K55" i="19" s="1"/>
  <c r="H48" i="23" s="1"/>
  <c r="I48" i="23" s="1"/>
  <c r="J54" i="19"/>
  <c r="K54" i="19" s="1"/>
  <c r="J53" i="19"/>
  <c r="J52" i="19"/>
  <c r="J51" i="19"/>
  <c r="K51" i="19" s="1"/>
  <c r="J50" i="19"/>
  <c r="K50" i="19" s="1"/>
  <c r="J49" i="19"/>
  <c r="K49" i="19" s="1"/>
  <c r="J48" i="19"/>
  <c r="K48" i="19" s="1"/>
  <c r="H41" i="23" s="1"/>
  <c r="I41" i="23" s="1"/>
  <c r="J47" i="19"/>
  <c r="K47" i="19" s="1"/>
  <c r="J46" i="19"/>
  <c r="K46" i="19" s="1"/>
  <c r="J45" i="19"/>
  <c r="K45" i="19" s="1"/>
  <c r="J44" i="19"/>
  <c r="G44" i="19"/>
  <c r="J42" i="19"/>
  <c r="K42" i="19" s="1"/>
  <c r="G41" i="19"/>
  <c r="K41" i="19" s="1"/>
  <c r="J40" i="19"/>
  <c r="K40" i="19" s="1"/>
  <c r="H33" i="23" s="1"/>
  <c r="I33" i="23" s="1"/>
  <c r="J39" i="19"/>
  <c r="K39" i="19" s="1"/>
  <c r="F471" i="19" s="1"/>
  <c r="J38" i="19"/>
  <c r="K38" i="19" s="1"/>
  <c r="J37" i="19"/>
  <c r="G37" i="19"/>
  <c r="J36" i="19"/>
  <c r="G36" i="19"/>
  <c r="J35" i="19"/>
  <c r="K35" i="19" s="1"/>
  <c r="J33" i="19"/>
  <c r="K33" i="19" s="1"/>
  <c r="H28" i="23" s="1"/>
  <c r="I28" i="23" s="1"/>
  <c r="J32" i="19"/>
  <c r="K32" i="19" s="1"/>
  <c r="H27" i="23" s="1"/>
  <c r="I27" i="23" s="1"/>
  <c r="J31" i="19"/>
  <c r="K31" i="19" s="1"/>
  <c r="J30" i="19"/>
  <c r="J29" i="19"/>
  <c r="K29" i="19" s="1"/>
  <c r="J27" i="19"/>
  <c r="K27" i="19" s="1"/>
  <c r="H23" i="23" s="1"/>
  <c r="I23" i="23" s="1"/>
  <c r="J26" i="19"/>
  <c r="K26" i="19" s="1"/>
  <c r="J25" i="19"/>
  <c r="K25" i="19" s="1"/>
  <c r="H21" i="23" s="1"/>
  <c r="I21" i="23" s="1"/>
  <c r="J24" i="19"/>
  <c r="K24" i="19" s="1"/>
  <c r="H20" i="23" s="1"/>
  <c r="J23" i="19"/>
  <c r="K23" i="19" s="1"/>
  <c r="H19" i="23" s="1"/>
  <c r="I19" i="23" s="1"/>
  <c r="J22" i="19"/>
  <c r="G22" i="19"/>
  <c r="J21" i="19"/>
  <c r="K21" i="19" s="1"/>
  <c r="J20" i="19"/>
  <c r="K20" i="19" s="1"/>
  <c r="J19" i="19"/>
  <c r="K19" i="19" s="1"/>
  <c r="G18" i="19"/>
  <c r="K18" i="19" s="1"/>
  <c r="J16" i="19"/>
  <c r="K16" i="19" s="1"/>
  <c r="AJ12" i="19"/>
  <c r="AQ11" i="19"/>
  <c r="AJ11" i="19"/>
  <c r="B10" i="19"/>
  <c r="AM9" i="19"/>
  <c r="AN9" i="19" s="1"/>
  <c r="AF9" i="19"/>
  <c r="AF8" i="19"/>
  <c r="S8" i="19"/>
  <c r="D6" i="7" s="1"/>
  <c r="K8" i="19"/>
  <c r="D8" i="7" s="1"/>
  <c r="B8" i="19"/>
  <c r="G117" i="19" s="1"/>
  <c r="AF7" i="19"/>
  <c r="AJ6" i="19"/>
  <c r="AF6" i="19"/>
  <c r="N6" i="19"/>
  <c r="AJ5" i="19"/>
  <c r="AF5" i="19"/>
  <c r="N5" i="19"/>
  <c r="D3" i="7" s="1"/>
  <c r="AJ4" i="19"/>
  <c r="AQ3" i="19"/>
  <c r="AJ3" i="19"/>
  <c r="C9" i="15"/>
  <c r="C8" i="15"/>
  <c r="C7" i="15"/>
  <c r="C6" i="15"/>
  <c r="C10" i="15" s="1"/>
  <c r="Q30" i="10"/>
  <c r="Q29" i="10"/>
  <c r="Q28" i="10"/>
  <c r="Q31" i="10"/>
  <c r="P31" i="10"/>
  <c r="O31" i="10"/>
  <c r="E250" i="12" l="1"/>
  <c r="E273" i="12"/>
  <c r="H273" i="23"/>
  <c r="I273" i="23" s="1"/>
  <c r="E291" i="12"/>
  <c r="H291" i="23"/>
  <c r="I291" i="23" s="1"/>
  <c r="E121" i="12"/>
  <c r="H121" i="23"/>
  <c r="I121" i="23" s="1"/>
  <c r="E196" i="12"/>
  <c r="H196" i="23"/>
  <c r="I196" i="23" s="1"/>
  <c r="E215" i="12"/>
  <c r="H215" i="23"/>
  <c r="I215" i="23" s="1"/>
  <c r="E231" i="12"/>
  <c r="H231" i="23"/>
  <c r="I231" i="23" s="1"/>
  <c r="E251" i="12"/>
  <c r="E274" i="12"/>
  <c r="H274" i="23"/>
  <c r="I274" i="23" s="1"/>
  <c r="E292" i="12"/>
  <c r="H292" i="23"/>
  <c r="I292" i="23" s="1"/>
  <c r="E30" i="12"/>
  <c r="E63" i="12"/>
  <c r="E85" i="12"/>
  <c r="H85" i="23"/>
  <c r="I85" i="23" s="1"/>
  <c r="E122" i="12"/>
  <c r="H122" i="23"/>
  <c r="I122" i="23" s="1"/>
  <c r="E216" i="12"/>
  <c r="H216" i="23"/>
  <c r="I216" i="23" s="1"/>
  <c r="E232" i="12"/>
  <c r="H232" i="23"/>
  <c r="I232" i="23" s="1"/>
  <c r="E252" i="12"/>
  <c r="E293" i="12"/>
  <c r="E47" i="12"/>
  <c r="H47" i="23"/>
  <c r="I47" i="23" s="1"/>
  <c r="E65" i="12"/>
  <c r="E123" i="12"/>
  <c r="H123" i="23"/>
  <c r="I123" i="23" s="1"/>
  <c r="E143" i="12"/>
  <c r="H143" i="23"/>
  <c r="I143" i="23" s="1"/>
  <c r="E217" i="12"/>
  <c r="H217" i="23"/>
  <c r="I217" i="23" s="1"/>
  <c r="E233" i="12"/>
  <c r="H233" i="23"/>
  <c r="I233" i="23" s="1"/>
  <c r="E253" i="12"/>
  <c r="E294" i="12"/>
  <c r="H294" i="23"/>
  <c r="I294" i="23" s="1"/>
  <c r="E83" i="12"/>
  <c r="H83" i="23"/>
  <c r="I83" i="23" s="1"/>
  <c r="E66" i="12"/>
  <c r="E164" i="12"/>
  <c r="H164" i="23"/>
  <c r="I164" i="23" s="1"/>
  <c r="E218" i="12"/>
  <c r="E234" i="12"/>
  <c r="H234" i="23"/>
  <c r="I234" i="23" s="1"/>
  <c r="E254" i="12"/>
  <c r="E295" i="12"/>
  <c r="H295" i="23"/>
  <c r="I295" i="23" s="1"/>
  <c r="E13" i="12"/>
  <c r="E67" i="12"/>
  <c r="E145" i="12"/>
  <c r="H145" i="23"/>
  <c r="I145" i="23" s="1"/>
  <c r="E296" i="12"/>
  <c r="H296" i="23"/>
  <c r="I296" i="23" s="1"/>
  <c r="E146" i="12"/>
  <c r="E200" i="12"/>
  <c r="H200" i="23"/>
  <c r="I200" i="23" s="1"/>
  <c r="E236" i="12"/>
  <c r="H236" i="23"/>
  <c r="I236" i="23" s="1"/>
  <c r="E256" i="12"/>
  <c r="E52" i="12"/>
  <c r="H52" i="23"/>
  <c r="I52" i="23" s="1"/>
  <c r="E88" i="12"/>
  <c r="I127" i="23"/>
  <c r="H127" i="23"/>
  <c r="E201" i="12"/>
  <c r="H201" i="23"/>
  <c r="I201" i="23" s="1"/>
  <c r="E202" i="12"/>
  <c r="H202" i="23"/>
  <c r="I202" i="23" s="1"/>
  <c r="E258" i="12"/>
  <c r="E43" i="12"/>
  <c r="E99" i="12"/>
  <c r="E138" i="12"/>
  <c r="H138" i="23"/>
  <c r="I138" i="23" s="1"/>
  <c r="E180" i="12"/>
  <c r="H180" i="23"/>
  <c r="I180" i="23" s="1"/>
  <c r="E213" i="12"/>
  <c r="H213" i="23"/>
  <c r="I213" i="23" s="1"/>
  <c r="E229" i="12"/>
  <c r="E249" i="12"/>
  <c r="E44" i="12"/>
  <c r="H195" i="23"/>
  <c r="I195" i="23" s="1"/>
  <c r="C20" i="4"/>
  <c r="E230" i="12"/>
  <c r="H230" i="23"/>
  <c r="I230" i="23" s="1"/>
  <c r="C18" i="4"/>
  <c r="E68" i="12"/>
  <c r="E126" i="12"/>
  <c r="E16" i="12"/>
  <c r="H16" i="23"/>
  <c r="I16" i="23" s="1"/>
  <c r="E54" i="12"/>
  <c r="H54" i="23"/>
  <c r="I54" i="23" s="1"/>
  <c r="E238" i="12"/>
  <c r="E34" i="12"/>
  <c r="H34" i="23"/>
  <c r="I34" i="23" s="1"/>
  <c r="E55" i="12"/>
  <c r="H72" i="23"/>
  <c r="I72" i="23"/>
  <c r="E90" i="12"/>
  <c r="E130" i="12"/>
  <c r="H130" i="23"/>
  <c r="I130" i="23" s="1"/>
  <c r="E169" i="12"/>
  <c r="H169" i="23"/>
  <c r="I169" i="23" s="1"/>
  <c r="E186" i="12"/>
  <c r="H186" i="23"/>
  <c r="I186" i="23" s="1"/>
  <c r="E204" i="12"/>
  <c r="H204" i="23"/>
  <c r="I204" i="23" s="1"/>
  <c r="E239" i="12"/>
  <c r="E260" i="12"/>
  <c r="E74" i="12"/>
  <c r="E92" i="12"/>
  <c r="H92" i="23"/>
  <c r="I92" i="23" s="1"/>
  <c r="E111" i="12"/>
  <c r="H111" i="23"/>
  <c r="I111" i="23" s="1"/>
  <c r="E223" i="12"/>
  <c r="H223" i="23"/>
  <c r="I223" i="23" s="1"/>
  <c r="E241" i="12"/>
  <c r="H241" i="23"/>
  <c r="I241" i="23" s="1"/>
  <c r="E263" i="12"/>
  <c r="E75" i="12"/>
  <c r="C154" i="23"/>
  <c r="H154" i="23" s="1"/>
  <c r="I153" i="23"/>
  <c r="H153" i="23"/>
  <c r="E224" i="12"/>
  <c r="H224" i="23"/>
  <c r="I224" i="23" s="1"/>
  <c r="E242" i="12"/>
  <c r="H242" i="23"/>
  <c r="I242" i="23" s="1"/>
  <c r="E264" i="12"/>
  <c r="H264" i="23"/>
  <c r="I264" i="23" s="1"/>
  <c r="E285" i="12"/>
  <c r="E38" i="12"/>
  <c r="H38" i="23"/>
  <c r="I38" i="23" s="1"/>
  <c r="E76" i="12"/>
  <c r="E113" i="12"/>
  <c r="E208" i="12"/>
  <c r="E225" i="12"/>
  <c r="H225" i="23"/>
  <c r="I225" i="23" s="1"/>
  <c r="E243" i="12"/>
  <c r="H243" i="23"/>
  <c r="I243" i="23" s="1"/>
  <c r="C267" i="23"/>
  <c r="H267" i="23" s="1"/>
  <c r="I267" i="23" s="1"/>
  <c r="H266" i="23"/>
  <c r="I266" i="23" s="1"/>
  <c r="E286" i="12"/>
  <c r="H22" i="23"/>
  <c r="I22" i="23" s="1"/>
  <c r="C24" i="4"/>
  <c r="E39" i="12"/>
  <c r="E95" i="12"/>
  <c r="H95" i="23"/>
  <c r="I95" i="23" s="1"/>
  <c r="E114" i="12"/>
  <c r="E209" i="12"/>
  <c r="H209" i="23"/>
  <c r="I209" i="23" s="1"/>
  <c r="E244" i="12"/>
  <c r="E268" i="12"/>
  <c r="E205" i="12"/>
  <c r="E119" i="12"/>
  <c r="H160" i="23"/>
  <c r="I160" i="23" s="1"/>
  <c r="C28" i="4"/>
  <c r="E49" i="12"/>
  <c r="E125" i="12"/>
  <c r="E255" i="12"/>
  <c r="E257" i="12"/>
  <c r="E298" i="12"/>
  <c r="H298" i="23"/>
  <c r="I298" i="23" s="1"/>
  <c r="E17" i="12"/>
  <c r="H17" i="23"/>
  <c r="I17" i="23" s="1"/>
  <c r="I71" i="23"/>
  <c r="H71" i="23"/>
  <c r="E129" i="12"/>
  <c r="H129" i="23"/>
  <c r="I129" i="23" s="1"/>
  <c r="E203" i="12"/>
  <c r="H203" i="23"/>
  <c r="I203" i="23" s="1"/>
  <c r="E221" i="12"/>
  <c r="H221" i="23"/>
  <c r="I221" i="23" s="1"/>
  <c r="E259" i="12"/>
  <c r="E35" i="12"/>
  <c r="E56" i="12"/>
  <c r="H56" i="23"/>
  <c r="I56" i="23" s="1"/>
  <c r="E73" i="12"/>
  <c r="E91" i="12"/>
  <c r="H91" i="23"/>
  <c r="I91" i="23" s="1"/>
  <c r="E187" i="12"/>
  <c r="H187" i="23"/>
  <c r="I187" i="23" s="1"/>
  <c r="E240" i="12"/>
  <c r="H240" i="23"/>
  <c r="I240" i="23" s="1"/>
  <c r="E261" i="12"/>
  <c r="I40" i="23"/>
  <c r="H40" i="23"/>
  <c r="E78" i="12"/>
  <c r="H78" i="23"/>
  <c r="I78" i="23" s="1"/>
  <c r="E96" i="12"/>
  <c r="E115" i="12"/>
  <c r="E210" i="12"/>
  <c r="H210" i="23"/>
  <c r="I210" i="23" s="1"/>
  <c r="E269" i="12"/>
  <c r="H269" i="23"/>
  <c r="I269" i="23" s="1"/>
  <c r="E25" i="12"/>
  <c r="D4" i="18" s="1"/>
  <c r="E80" i="12"/>
  <c r="E116" i="12"/>
  <c r="E158" i="12"/>
  <c r="E211" i="12"/>
  <c r="H211" i="23"/>
  <c r="I211" i="23" s="1"/>
  <c r="E227" i="12"/>
  <c r="H227" i="23"/>
  <c r="I227" i="23" s="1"/>
  <c r="E247" i="12"/>
  <c r="E270" i="12"/>
  <c r="H270" i="23"/>
  <c r="I270" i="23" s="1"/>
  <c r="I42" i="23"/>
  <c r="H42" i="23"/>
  <c r="E81" i="12"/>
  <c r="H81" i="23"/>
  <c r="I81" i="23" s="1"/>
  <c r="E98" i="12"/>
  <c r="E117" i="12"/>
  <c r="E212" i="12"/>
  <c r="H212" i="23"/>
  <c r="I212" i="23" s="1"/>
  <c r="E228" i="12"/>
  <c r="E248" i="12"/>
  <c r="I290" i="23"/>
  <c r="H290" i="23"/>
  <c r="K94" i="19"/>
  <c r="K192" i="19"/>
  <c r="H185" i="23" s="1"/>
  <c r="I185" i="23" s="1"/>
  <c r="K22" i="19"/>
  <c r="H18" i="23" s="1"/>
  <c r="I18" i="23" s="1"/>
  <c r="K111" i="19"/>
  <c r="H104" i="23" s="1"/>
  <c r="I104" i="23" s="1"/>
  <c r="K173" i="19"/>
  <c r="H166" i="23" s="1"/>
  <c r="I166" i="23" s="1"/>
  <c r="K36" i="19"/>
  <c r="K244" i="19"/>
  <c r="K156" i="19"/>
  <c r="E149" i="12" s="1"/>
  <c r="K141" i="19"/>
  <c r="N9" i="19"/>
  <c r="G253" i="19" s="1"/>
  <c r="K253" i="19" s="1"/>
  <c r="K140" i="19"/>
  <c r="F466" i="19"/>
  <c r="E20" i="12"/>
  <c r="F487" i="19"/>
  <c r="E128" i="12"/>
  <c r="F401" i="19"/>
  <c r="E102" i="12"/>
  <c r="F405" i="19"/>
  <c r="E106" i="12"/>
  <c r="F486" i="19"/>
  <c r="E127" i="12"/>
  <c r="F488" i="19"/>
  <c r="E147" i="12"/>
  <c r="F513" i="19"/>
  <c r="E297" i="12"/>
  <c r="F480" i="19"/>
  <c r="E71" i="12"/>
  <c r="F494" i="19"/>
  <c r="E166" i="12"/>
  <c r="F501" i="19"/>
  <c r="F510" i="19"/>
  <c r="E289" i="12"/>
  <c r="F498" i="19"/>
  <c r="E179" i="12"/>
  <c r="F511" i="19"/>
  <c r="E290" i="12"/>
  <c r="F507" i="19"/>
  <c r="E235" i="12"/>
  <c r="F406" i="19"/>
  <c r="E107" i="12"/>
  <c r="F472" i="19"/>
  <c r="E33" i="12"/>
  <c r="F481" i="19"/>
  <c r="E72" i="12"/>
  <c r="F465" i="19"/>
  <c r="E19" i="12"/>
  <c r="L161" i="19"/>
  <c r="E153" i="12"/>
  <c r="E22" i="12"/>
  <c r="F468" i="19"/>
  <c r="E23" i="12"/>
  <c r="F473" i="19"/>
  <c r="E40" i="12"/>
  <c r="F477" i="19"/>
  <c r="E48" i="12"/>
  <c r="E15" i="12"/>
  <c r="F404" i="19"/>
  <c r="E105" i="12"/>
  <c r="F467" i="19"/>
  <c r="E21" i="12"/>
  <c r="L274" i="19"/>
  <c r="C29" i="8" s="1"/>
  <c r="E266" i="12"/>
  <c r="F508" i="19"/>
  <c r="E287" i="12"/>
  <c r="F474" i="19"/>
  <c r="E41" i="12"/>
  <c r="F509" i="19"/>
  <c r="E288" i="12"/>
  <c r="F475" i="19"/>
  <c r="E42" i="12"/>
  <c r="F469" i="19"/>
  <c r="E27" i="12"/>
  <c r="E160" i="12"/>
  <c r="F470" i="19"/>
  <c r="E28" i="12"/>
  <c r="F400" i="19"/>
  <c r="E101" i="12"/>
  <c r="F504" i="19"/>
  <c r="E214" i="12"/>
  <c r="E195" i="12"/>
  <c r="L17" i="19"/>
  <c r="F364" i="19" s="1"/>
  <c r="G104" i="19"/>
  <c r="K104" i="19" s="1"/>
  <c r="F476" i="19"/>
  <c r="G67" i="19"/>
  <c r="K67" i="19" s="1"/>
  <c r="G89" i="19"/>
  <c r="K89" i="19" s="1"/>
  <c r="K65" i="19"/>
  <c r="AJ7" i="19"/>
  <c r="G119" i="19"/>
  <c r="K119" i="19" s="1"/>
  <c r="K158" i="19"/>
  <c r="H151" i="23" s="1"/>
  <c r="I151" i="23" s="1"/>
  <c r="K226" i="19"/>
  <c r="H219" i="23" s="1"/>
  <c r="I219" i="23" s="1"/>
  <c r="G169" i="19"/>
  <c r="K169" i="19" s="1"/>
  <c r="G116" i="19"/>
  <c r="K116" i="19" s="1"/>
  <c r="G178" i="19"/>
  <c r="K178" i="19" s="1"/>
  <c r="G66" i="19"/>
  <c r="K66" i="19" s="1"/>
  <c r="K115" i="19"/>
  <c r="H108" i="23" s="1"/>
  <c r="I108" i="23" s="1"/>
  <c r="K37" i="19"/>
  <c r="H32" i="23" s="1"/>
  <c r="I32" i="23" s="1"/>
  <c r="G58" i="19"/>
  <c r="K58" i="19" s="1"/>
  <c r="K107" i="19"/>
  <c r="H100" i="23" s="1"/>
  <c r="I100" i="23" s="1"/>
  <c r="K162" i="19"/>
  <c r="K229" i="19"/>
  <c r="G110" i="19"/>
  <c r="K110" i="19" s="1"/>
  <c r="H103" i="23" s="1"/>
  <c r="I103" i="23" s="1"/>
  <c r="G166" i="19"/>
  <c r="K166" i="19" s="1"/>
  <c r="G197" i="19"/>
  <c r="K197" i="19" s="1"/>
  <c r="D4" i="7"/>
  <c r="K198" i="19"/>
  <c r="K233" i="19"/>
  <c r="D7" i="7"/>
  <c r="F7" i="7" s="1"/>
  <c r="AG9" i="19"/>
  <c r="K64" i="19"/>
  <c r="G100" i="19"/>
  <c r="K100" i="19" s="1"/>
  <c r="F4" i="4"/>
  <c r="E20" i="4" s="1"/>
  <c r="K96" i="19"/>
  <c r="K172" i="19"/>
  <c r="H165" i="23" s="1"/>
  <c r="I165" i="23" s="1"/>
  <c r="K190" i="19"/>
  <c r="H183" i="23" s="1"/>
  <c r="I183" i="23" s="1"/>
  <c r="K93" i="19"/>
  <c r="F8" i="7"/>
  <c r="K69" i="19"/>
  <c r="K206" i="19"/>
  <c r="K279" i="19"/>
  <c r="K44" i="19"/>
  <c r="G77" i="19"/>
  <c r="K77" i="19" s="1"/>
  <c r="K285" i="19"/>
  <c r="K286" i="19"/>
  <c r="O5" i="19"/>
  <c r="K189" i="19"/>
  <c r="K284" i="19"/>
  <c r="G127" i="19"/>
  <c r="K127" i="19" s="1"/>
  <c r="H120" i="23" s="1"/>
  <c r="I120" i="23" s="1"/>
  <c r="K205" i="19"/>
  <c r="L272" i="19"/>
  <c r="K191" i="19"/>
  <c r="H184" i="23" s="1"/>
  <c r="I184" i="23" s="1"/>
  <c r="K53" i="19"/>
  <c r="K188" i="19"/>
  <c r="K201" i="19"/>
  <c r="K117" i="19"/>
  <c r="K170" i="19"/>
  <c r="L278" i="19"/>
  <c r="C30" i="8" s="1"/>
  <c r="K283" i="19"/>
  <c r="K287" i="19"/>
  <c r="K183" i="19"/>
  <c r="K227" i="19"/>
  <c r="F430" i="19"/>
  <c r="F464" i="19"/>
  <c r="F489" i="19"/>
  <c r="F427" i="19"/>
  <c r="G175" i="19"/>
  <c r="K175" i="19" s="1"/>
  <c r="G200" i="19"/>
  <c r="K200" i="19" s="1"/>
  <c r="K163" i="19"/>
  <c r="H156" i="23" s="1"/>
  <c r="I156" i="23" s="1"/>
  <c r="K30" i="19"/>
  <c r="K151" i="19"/>
  <c r="O4" i="19"/>
  <c r="G131" i="19"/>
  <c r="K131" i="19" s="1"/>
  <c r="K149" i="19"/>
  <c r="G148" i="19"/>
  <c r="K148" i="19" s="1"/>
  <c r="G138" i="19"/>
  <c r="K138" i="19" s="1"/>
  <c r="G91" i="19"/>
  <c r="K91" i="19" s="1"/>
  <c r="H84" i="23" s="1"/>
  <c r="I84" i="23" s="1"/>
  <c r="O9" i="19"/>
  <c r="K68" i="19"/>
  <c r="F479" i="19"/>
  <c r="F478" i="19"/>
  <c r="K282" i="19"/>
  <c r="K196" i="19"/>
  <c r="K213" i="19"/>
  <c r="L306" i="19"/>
  <c r="E323" i="9"/>
  <c r="I218" i="23" l="1"/>
  <c r="H218" i="23"/>
  <c r="E182" i="12"/>
  <c r="H182" i="23"/>
  <c r="I182" i="23" s="1"/>
  <c r="H112" i="23"/>
  <c r="I112" i="23" s="1"/>
  <c r="C26" i="4"/>
  <c r="I244" i="23"/>
  <c r="H244" i="23"/>
  <c r="E279" i="12"/>
  <c r="H279" i="23"/>
  <c r="I279" i="23" s="1"/>
  <c r="E226" i="12"/>
  <c r="H226" i="23"/>
  <c r="I226" i="23" s="1"/>
  <c r="E58" i="12"/>
  <c r="H58" i="23"/>
  <c r="I58" i="23" s="1"/>
  <c r="H246" i="23"/>
  <c r="I246" i="23" s="1"/>
  <c r="C262" i="23"/>
  <c r="H262" i="23" s="1"/>
  <c r="I262" i="23" s="1"/>
  <c r="V246" i="23"/>
  <c r="I98" i="23"/>
  <c r="H98" i="23"/>
  <c r="I25" i="23"/>
  <c r="H25" i="23"/>
  <c r="H113" i="23"/>
  <c r="I113" i="23" s="1"/>
  <c r="G101" i="19"/>
  <c r="K101" i="19" s="1"/>
  <c r="L125" i="19" s="1"/>
  <c r="E278" i="12"/>
  <c r="H278" i="23"/>
  <c r="I278" i="23" s="1"/>
  <c r="E191" i="12"/>
  <c r="H191" i="23"/>
  <c r="I191" i="23" s="1"/>
  <c r="E82" i="12"/>
  <c r="H82" i="23"/>
  <c r="I82" i="23" s="1"/>
  <c r="E134" i="12"/>
  <c r="H134" i="23"/>
  <c r="I134" i="23" s="1"/>
  <c r="I43" i="23"/>
  <c r="H43" i="23"/>
  <c r="I146" i="23"/>
  <c r="H146" i="23"/>
  <c r="I66" i="23"/>
  <c r="H66" i="23"/>
  <c r="I293" i="23"/>
  <c r="H293" i="23"/>
  <c r="V251" i="23"/>
  <c r="H251" i="23"/>
  <c r="I251" i="23" s="1"/>
  <c r="I75" i="23"/>
  <c r="H75" i="23"/>
  <c r="H65" i="23"/>
  <c r="I65" i="23" s="1"/>
  <c r="C265" i="23"/>
  <c r="H265" i="23" s="1"/>
  <c r="I265" i="23" s="1"/>
  <c r="H263" i="23"/>
  <c r="I263" i="23" s="1"/>
  <c r="I68" i="23"/>
  <c r="H68" i="23"/>
  <c r="E141" i="12"/>
  <c r="H142" i="23"/>
  <c r="I142" i="23" s="1"/>
  <c r="C15" i="4"/>
  <c r="E220" i="12"/>
  <c r="H220" i="23"/>
  <c r="I220" i="23" s="1"/>
  <c r="E70" i="12"/>
  <c r="H70" i="23"/>
  <c r="I70" i="23" s="1"/>
  <c r="E60" i="12"/>
  <c r="H60" i="23"/>
  <c r="I60" i="23" s="1"/>
  <c r="G180" i="19"/>
  <c r="K180" i="19" s="1"/>
  <c r="E62" i="12"/>
  <c r="H62" i="23"/>
  <c r="I62" i="23" s="1"/>
  <c r="E222" i="12"/>
  <c r="H222" i="23"/>
  <c r="I222" i="23" s="1"/>
  <c r="C299" i="23"/>
  <c r="H299" i="23" s="1"/>
  <c r="I299" i="23" s="1"/>
  <c r="H285" i="23"/>
  <c r="I285" i="23" s="1"/>
  <c r="V247" i="23"/>
  <c r="H247" i="23"/>
  <c r="I247" i="23" s="1"/>
  <c r="I96" i="23"/>
  <c r="H96" i="23"/>
  <c r="V259" i="23"/>
  <c r="H259" i="23"/>
  <c r="I259" i="23" s="1"/>
  <c r="I49" i="23"/>
  <c r="H49" i="23"/>
  <c r="O7" i="19"/>
  <c r="E194" i="12"/>
  <c r="H194" i="23"/>
  <c r="I194" i="23" s="1"/>
  <c r="F3" i="4"/>
  <c r="C19" i="4"/>
  <c r="E87" i="12"/>
  <c r="H87" i="23"/>
  <c r="I87" i="23" s="1"/>
  <c r="I74" i="23"/>
  <c r="H74" i="23"/>
  <c r="V249" i="23"/>
  <c r="H249" i="23"/>
  <c r="I249" i="23" s="1"/>
  <c r="C14" i="23"/>
  <c r="H14" i="23" s="1"/>
  <c r="I14" i="23" s="1"/>
  <c r="H13" i="23"/>
  <c r="I13" i="23" s="1"/>
  <c r="I90" i="23"/>
  <c r="H90" i="23"/>
  <c r="V258" i="23"/>
  <c r="H258" i="23"/>
  <c r="I258" i="23" s="1"/>
  <c r="H252" i="23"/>
  <c r="I252" i="23"/>
  <c r="V252" i="23"/>
  <c r="E31" i="12"/>
  <c r="H31" i="23"/>
  <c r="I31" i="23" s="1"/>
  <c r="V255" i="23"/>
  <c r="H255" i="23"/>
  <c r="I255" i="23" s="1"/>
  <c r="G181" i="19"/>
  <c r="K181" i="19" s="1"/>
  <c r="E276" i="12"/>
  <c r="H276" i="23"/>
  <c r="I276" i="23" s="1"/>
  <c r="E199" i="12"/>
  <c r="H199" i="23"/>
  <c r="I199" i="23" s="1"/>
  <c r="H55" i="23"/>
  <c r="I55" i="23"/>
  <c r="I44" i="23"/>
  <c r="H44" i="23"/>
  <c r="V253" i="23"/>
  <c r="H253" i="23"/>
  <c r="I253" i="23" s="1"/>
  <c r="G143" i="19"/>
  <c r="K143" i="19" s="1"/>
  <c r="D2" i="7"/>
  <c r="G52" i="19"/>
  <c r="K52" i="19" s="1"/>
  <c r="L57" i="19" s="1"/>
  <c r="E206" i="12"/>
  <c r="H206" i="23"/>
  <c r="I206" i="23" s="1"/>
  <c r="G139" i="19"/>
  <c r="K139" i="19" s="1"/>
  <c r="E46" i="12"/>
  <c r="D7" i="18" s="1"/>
  <c r="H46" i="23"/>
  <c r="I46" i="23" s="1"/>
  <c r="H86" i="23"/>
  <c r="I86" i="23" s="1"/>
  <c r="C22" i="4"/>
  <c r="E104" i="12"/>
  <c r="I229" i="23"/>
  <c r="H229" i="23"/>
  <c r="E189" i="12"/>
  <c r="E59" i="12"/>
  <c r="H59" i="23"/>
  <c r="I59" i="23" s="1"/>
  <c r="F403" i="19"/>
  <c r="V248" i="23"/>
  <c r="H248" i="23"/>
  <c r="I248" i="23" s="1"/>
  <c r="I119" i="23"/>
  <c r="H119" i="23"/>
  <c r="E275" i="12"/>
  <c r="H275" i="23"/>
  <c r="I275" i="23" s="1"/>
  <c r="E26" i="12"/>
  <c r="H26" i="23"/>
  <c r="I26" i="23" s="1"/>
  <c r="C9" i="4"/>
  <c r="I239" i="23"/>
  <c r="H239" i="23"/>
  <c r="V254" i="23"/>
  <c r="H254" i="23"/>
  <c r="I254" i="23" s="1"/>
  <c r="I63" i="23"/>
  <c r="H63" i="23"/>
  <c r="I117" i="23"/>
  <c r="H117" i="23"/>
  <c r="H80" i="23"/>
  <c r="H208" i="23"/>
  <c r="I208" i="23" s="1"/>
  <c r="E131" i="12"/>
  <c r="H131" i="23"/>
  <c r="I131" i="23" s="1"/>
  <c r="E133" i="12"/>
  <c r="H133" i="23"/>
  <c r="I133" i="23" s="1"/>
  <c r="I99" i="23"/>
  <c r="H99" i="23"/>
  <c r="E237" i="12"/>
  <c r="H237" i="23"/>
  <c r="I237" i="23" s="1"/>
  <c r="C21" i="4"/>
  <c r="F21" i="4" s="1"/>
  <c r="E280" i="12"/>
  <c r="H280" i="23"/>
  <c r="I280" i="23" s="1"/>
  <c r="E272" i="12"/>
  <c r="E159" i="12"/>
  <c r="H159" i="23"/>
  <c r="I159" i="23" s="1"/>
  <c r="C14" i="4"/>
  <c r="E97" i="12"/>
  <c r="D12" i="18" s="1"/>
  <c r="H97" i="23"/>
  <c r="I97" i="23" s="1"/>
  <c r="I115" i="23"/>
  <c r="H115" i="23"/>
  <c r="I35" i="23"/>
  <c r="H35" i="23"/>
  <c r="I125" i="23"/>
  <c r="H125" i="23"/>
  <c r="I39" i="23"/>
  <c r="H39" i="23"/>
  <c r="H144" i="23"/>
  <c r="I144" i="23" s="1"/>
  <c r="C23" i="4"/>
  <c r="E163" i="12"/>
  <c r="O6" i="19"/>
  <c r="E155" i="12"/>
  <c r="I67" i="23"/>
  <c r="H67" i="23"/>
  <c r="E110" i="12"/>
  <c r="D14" i="18" s="1"/>
  <c r="H110" i="23"/>
  <c r="E181" i="12"/>
  <c r="H181" i="23"/>
  <c r="I181" i="23" s="1"/>
  <c r="I286" i="23"/>
  <c r="H286" i="23"/>
  <c r="I238" i="23"/>
  <c r="H238" i="23"/>
  <c r="I88" i="23"/>
  <c r="H88" i="23"/>
  <c r="G182" i="19"/>
  <c r="K182" i="19" s="1"/>
  <c r="E198" i="12"/>
  <c r="E89" i="12"/>
  <c r="H89" i="23"/>
  <c r="I89" i="23" s="1"/>
  <c r="E109" i="12"/>
  <c r="H109" i="23"/>
  <c r="I228" i="23"/>
  <c r="H228" i="23"/>
  <c r="H158" i="23"/>
  <c r="I158" i="23" s="1"/>
  <c r="V261" i="23"/>
  <c r="H261" i="23"/>
  <c r="I261" i="23" s="1"/>
  <c r="I205" i="23"/>
  <c r="H205" i="23"/>
  <c r="E61" i="12"/>
  <c r="H61" i="23"/>
  <c r="I61" i="23" s="1"/>
  <c r="E193" i="12"/>
  <c r="H93" i="23"/>
  <c r="I93" i="23" s="1"/>
  <c r="C11" i="4"/>
  <c r="E168" i="12"/>
  <c r="C10" i="4"/>
  <c r="E277" i="12"/>
  <c r="H277" i="23"/>
  <c r="I277" i="23" s="1"/>
  <c r="E57" i="12"/>
  <c r="H57" i="23"/>
  <c r="I57" i="23" s="1"/>
  <c r="I126" i="23"/>
  <c r="H126" i="23"/>
  <c r="C25" i="4"/>
  <c r="I73" i="23"/>
  <c r="H73" i="23"/>
  <c r="V257" i="23"/>
  <c r="I257" i="23"/>
  <c r="H257" i="23"/>
  <c r="I114" i="23"/>
  <c r="H114" i="23"/>
  <c r="H76" i="23"/>
  <c r="I76" i="23"/>
  <c r="C24" i="23"/>
  <c r="H24" i="23" s="1"/>
  <c r="I24" i="23" s="1"/>
  <c r="H15" i="23"/>
  <c r="I15" i="23" s="1"/>
  <c r="E124" i="12"/>
  <c r="H124" i="23"/>
  <c r="I124" i="23" s="1"/>
  <c r="E176" i="12"/>
  <c r="H176" i="23"/>
  <c r="I176" i="23" s="1"/>
  <c r="E37" i="12"/>
  <c r="C8" i="4"/>
  <c r="E190" i="12"/>
  <c r="H190" i="23"/>
  <c r="I190" i="23" s="1"/>
  <c r="H260" i="23"/>
  <c r="I260" i="23" s="1"/>
  <c r="V260" i="23"/>
  <c r="S9" i="19"/>
  <c r="G144" i="19"/>
  <c r="K144" i="19" s="1"/>
  <c r="C12" i="4"/>
  <c r="V256" i="23"/>
  <c r="I256" i="23"/>
  <c r="H256" i="23"/>
  <c r="H30" i="23"/>
  <c r="I30" i="23" s="1"/>
  <c r="V250" i="23"/>
  <c r="H250" i="23"/>
  <c r="I250" i="23" s="1"/>
  <c r="E185" i="12"/>
  <c r="I116" i="23"/>
  <c r="H116" i="23"/>
  <c r="H268" i="23"/>
  <c r="I268" i="23" s="1"/>
  <c r="C271" i="23"/>
  <c r="H271" i="23" s="1"/>
  <c r="I271" i="23" s="1"/>
  <c r="G84" i="19"/>
  <c r="K84" i="19" s="1"/>
  <c r="G76" i="19"/>
  <c r="K76" i="19" s="1"/>
  <c r="O8" i="19"/>
  <c r="D17" i="7"/>
  <c r="F506" i="19"/>
  <c r="D41" i="7"/>
  <c r="C6" i="8"/>
  <c r="F493" i="19"/>
  <c r="E165" i="12"/>
  <c r="F419" i="19"/>
  <c r="F485" i="19"/>
  <c r="E120" i="12"/>
  <c r="F499" i="19"/>
  <c r="E183" i="12"/>
  <c r="F407" i="19"/>
  <c r="E108" i="12"/>
  <c r="F500" i="19"/>
  <c r="E184" i="12"/>
  <c r="E84" i="12"/>
  <c r="E86" i="12"/>
  <c r="D11" i="18" s="1"/>
  <c r="L43" i="19"/>
  <c r="C9" i="8" s="1"/>
  <c r="E32" i="12"/>
  <c r="E93" i="12"/>
  <c r="E162" i="12"/>
  <c r="E322" i="19"/>
  <c r="F386" i="19"/>
  <c r="E69" i="12"/>
  <c r="E346" i="19"/>
  <c r="E136" i="12"/>
  <c r="D17" i="18" s="1"/>
  <c r="L28" i="19"/>
  <c r="E323" i="19" s="1"/>
  <c r="E18" i="12"/>
  <c r="F402" i="19"/>
  <c r="E103" i="12"/>
  <c r="D13" i="18" s="1"/>
  <c r="F399" i="19"/>
  <c r="E100" i="12"/>
  <c r="F492" i="19"/>
  <c r="E156" i="12"/>
  <c r="E51" i="12"/>
  <c r="E171" i="12"/>
  <c r="E142" i="12"/>
  <c r="D19" i="18" s="1"/>
  <c r="F20" i="4"/>
  <c r="F505" i="19"/>
  <c r="E219" i="12"/>
  <c r="F415" i="19"/>
  <c r="F491" i="19"/>
  <c r="E151" i="12"/>
  <c r="E112" i="12"/>
  <c r="D15" i="18" s="1"/>
  <c r="E144" i="12"/>
  <c r="L269" i="19"/>
  <c r="D39" i="7" s="1"/>
  <c r="E246" i="12"/>
  <c r="D45" i="7"/>
  <c r="C32" i="8"/>
  <c r="D40" i="7"/>
  <c r="C28" i="8"/>
  <c r="F482" i="19"/>
  <c r="L252" i="19"/>
  <c r="F417" i="19" s="1"/>
  <c r="F483" i="19"/>
  <c r="F484" i="19"/>
  <c r="L168" i="19"/>
  <c r="L177" i="19"/>
  <c r="F420" i="19"/>
  <c r="D42" i="7"/>
  <c r="L204" i="19"/>
  <c r="F502" i="19"/>
  <c r="F387" i="19"/>
  <c r="E347" i="19"/>
  <c r="L214" i="19"/>
  <c r="F495" i="19"/>
  <c r="F497" i="19"/>
  <c r="L174" i="19"/>
  <c r="L288" i="19"/>
  <c r="L164" i="19"/>
  <c r="C18" i="8" s="1"/>
  <c r="F409" i="19"/>
  <c r="L155" i="19"/>
  <c r="L86" i="19"/>
  <c r="L146" i="19"/>
  <c r="F390" i="19"/>
  <c r="E351" i="19"/>
  <c r="L34" i="19"/>
  <c r="F512" i="19"/>
  <c r="L199" i="19"/>
  <c r="F384" i="19"/>
  <c r="H36" i="9"/>
  <c r="E45" i="12" l="1"/>
  <c r="D6" i="18" s="1"/>
  <c r="C161" i="23"/>
  <c r="H161" i="23" s="1"/>
  <c r="I161" i="23" s="1"/>
  <c r="E175" i="12"/>
  <c r="H175" i="23"/>
  <c r="I175" i="23" s="1"/>
  <c r="C148" i="23"/>
  <c r="H148" i="23" s="1"/>
  <c r="I148" i="23" s="1"/>
  <c r="H141" i="23"/>
  <c r="I141" i="23" s="1"/>
  <c r="E132" i="12"/>
  <c r="H132" i="23"/>
  <c r="I132" i="23" s="1"/>
  <c r="C13" i="4"/>
  <c r="C16" i="4"/>
  <c r="E77" i="12"/>
  <c r="H77" i="23"/>
  <c r="I77" i="23" s="1"/>
  <c r="H149" i="23"/>
  <c r="I149" i="23" s="1"/>
  <c r="C197" i="23"/>
  <c r="H197" i="23" s="1"/>
  <c r="I197" i="23" s="1"/>
  <c r="H193" i="23"/>
  <c r="I193" i="23" s="1"/>
  <c r="H162" i="23"/>
  <c r="I162" i="23" s="1"/>
  <c r="C167" i="23"/>
  <c r="H167" i="23" s="1"/>
  <c r="I167" i="23" s="1"/>
  <c r="C135" i="23"/>
  <c r="H135" i="23" s="1"/>
  <c r="I135" i="23" s="1"/>
  <c r="H45" i="23"/>
  <c r="I45" i="23" s="1"/>
  <c r="C17" i="4"/>
  <c r="E137" i="12"/>
  <c r="C245" i="23"/>
  <c r="H245" i="23" s="1"/>
  <c r="I245" i="23" s="1"/>
  <c r="L142" i="19"/>
  <c r="F408" i="19"/>
  <c r="F410" i="19" s="1"/>
  <c r="C50" i="23"/>
  <c r="H50" i="23" s="1"/>
  <c r="I50" i="23" s="1"/>
  <c r="H37" i="23"/>
  <c r="I37" i="23" s="1"/>
  <c r="C192" i="23"/>
  <c r="H192" i="23" s="1"/>
  <c r="I192" i="23" s="1"/>
  <c r="H189" i="23"/>
  <c r="I189" i="23" s="1"/>
  <c r="C157" i="23"/>
  <c r="H157" i="23" s="1"/>
  <c r="I157" i="23" s="1"/>
  <c r="H155" i="23"/>
  <c r="I155" i="23" s="1"/>
  <c r="C281" i="23"/>
  <c r="H281" i="23" s="1"/>
  <c r="I281" i="23" s="1"/>
  <c r="H272" i="23"/>
  <c r="I272" i="23" s="1"/>
  <c r="H163" i="23"/>
  <c r="I163" i="23"/>
  <c r="E174" i="12"/>
  <c r="H174" i="23"/>
  <c r="I174" i="23" s="1"/>
  <c r="E173" i="12"/>
  <c r="H173" i="23"/>
  <c r="I173" i="23" s="1"/>
  <c r="H171" i="23"/>
  <c r="I171" i="23" s="1"/>
  <c r="E94" i="12"/>
  <c r="H94" i="23"/>
  <c r="I94" i="23" s="1"/>
  <c r="C36" i="23"/>
  <c r="H36" i="23" s="1"/>
  <c r="I36" i="23" s="1"/>
  <c r="H168" i="23"/>
  <c r="I168" i="23" s="1"/>
  <c r="C170" i="23"/>
  <c r="H170" i="23" s="1"/>
  <c r="I170" i="23" s="1"/>
  <c r="H198" i="23"/>
  <c r="I198" i="23" s="1"/>
  <c r="C207" i="23"/>
  <c r="H207" i="23" s="1"/>
  <c r="I207" i="23" s="1"/>
  <c r="H51" i="23"/>
  <c r="I51" i="23" s="1"/>
  <c r="C29" i="23"/>
  <c r="H29" i="23" s="1"/>
  <c r="I29" i="23" s="1"/>
  <c r="D18" i="7"/>
  <c r="F385" i="19"/>
  <c r="F418" i="19"/>
  <c r="E345" i="19"/>
  <c r="E344" i="19"/>
  <c r="C7" i="8"/>
  <c r="F365" i="19"/>
  <c r="E326" i="19"/>
  <c r="D20" i="7"/>
  <c r="F367" i="19"/>
  <c r="C27" i="8"/>
  <c r="D33" i="7"/>
  <c r="C21" i="8"/>
  <c r="D26" i="7"/>
  <c r="C15" i="8"/>
  <c r="D31" i="7"/>
  <c r="C19" i="8"/>
  <c r="D38" i="7"/>
  <c r="C26" i="8"/>
  <c r="D32" i="7"/>
  <c r="C20" i="8"/>
  <c r="D35" i="7"/>
  <c r="C23" i="8"/>
  <c r="F383" i="19"/>
  <c r="C25" i="8"/>
  <c r="D19" i="7"/>
  <c r="C8" i="8"/>
  <c r="D24" i="7"/>
  <c r="C13" i="8"/>
  <c r="D23" i="7"/>
  <c r="C12" i="8"/>
  <c r="D27" i="7"/>
  <c r="C16" i="8"/>
  <c r="E348" i="19"/>
  <c r="C31" i="8"/>
  <c r="D21" i="7"/>
  <c r="C10" i="8"/>
  <c r="D36" i="7"/>
  <c r="C24" i="8"/>
  <c r="D25" i="7"/>
  <c r="C14" i="8"/>
  <c r="E339" i="19"/>
  <c r="E337" i="19"/>
  <c r="F379" i="19"/>
  <c r="F377" i="19"/>
  <c r="E342" i="19"/>
  <c r="F382" i="19"/>
  <c r="E327" i="19"/>
  <c r="F368" i="19"/>
  <c r="E336" i="19"/>
  <c r="D30" i="7"/>
  <c r="F416" i="19"/>
  <c r="D37" i="7"/>
  <c r="F388" i="19"/>
  <c r="D43" i="7"/>
  <c r="F376" i="19"/>
  <c r="E343" i="19"/>
  <c r="E338" i="19"/>
  <c r="F378" i="19"/>
  <c r="F372" i="19"/>
  <c r="E331" i="19"/>
  <c r="F381" i="19"/>
  <c r="E341" i="19"/>
  <c r="F371" i="19"/>
  <c r="E330" i="19"/>
  <c r="F373" i="19"/>
  <c r="E332" i="19"/>
  <c r="F366" i="19"/>
  <c r="E325" i="19"/>
  <c r="F374" i="19"/>
  <c r="E333" i="19"/>
  <c r="F370" i="19"/>
  <c r="E329" i="19"/>
  <c r="H201" i="9"/>
  <c r="C118" i="23" l="1"/>
  <c r="H118" i="23" s="1"/>
  <c r="I118" i="23" s="1"/>
  <c r="H69" i="23"/>
  <c r="I69" i="23" s="1"/>
  <c r="C79" i="23"/>
  <c r="H79" i="23" s="1"/>
  <c r="I79" i="23" s="1"/>
  <c r="H136" i="23"/>
  <c r="I136" i="23" s="1"/>
  <c r="C139" i="23"/>
  <c r="H139" i="23" s="1"/>
  <c r="I139" i="23" s="1"/>
  <c r="H137" i="23"/>
  <c r="I137" i="23" s="1"/>
  <c r="W167" i="9"/>
  <c r="H175" i="9" l="1"/>
  <c r="F4" i="12" l="1"/>
  <c r="C4" i="12"/>
  <c r="C3" i="12"/>
  <c r="I4" i="12" l="1"/>
  <c r="H107" i="9"/>
  <c r="V290" i="12"/>
  <c r="AO9" i="12"/>
  <c r="AH9" i="12"/>
  <c r="X25" i="12"/>
  <c r="AK7" i="12"/>
  <c r="AL7" i="12" s="1"/>
  <c r="AD7" i="12"/>
  <c r="AD6" i="12"/>
  <c r="X23" i="12"/>
  <c r="X8" i="12"/>
  <c r="X7" i="12"/>
  <c r="F39" i="11"/>
  <c r="I35" i="11"/>
  <c r="K35" i="11" s="1"/>
  <c r="H35" i="11"/>
  <c r="I34" i="11"/>
  <c r="K34" i="11" s="1"/>
  <c r="I32" i="11"/>
  <c r="K32" i="11" s="1"/>
  <c r="I31" i="11"/>
  <c r="K31" i="11" s="1"/>
  <c r="I30" i="11"/>
  <c r="K30" i="11" s="1"/>
  <c r="I29" i="11"/>
  <c r="K29" i="11" s="1"/>
  <c r="I28" i="11"/>
  <c r="J28" i="11" s="1"/>
  <c r="I27" i="11"/>
  <c r="K27" i="11" s="1"/>
  <c r="K26" i="11"/>
  <c r="J26" i="11"/>
  <c r="I26" i="11"/>
  <c r="I25" i="11"/>
  <c r="K25" i="11" s="1"/>
  <c r="I24" i="11"/>
  <c r="K24" i="11" s="1"/>
  <c r="I23" i="11"/>
  <c r="K23" i="11" s="1"/>
  <c r="I22" i="11"/>
  <c r="J22" i="11" s="1"/>
  <c r="I21" i="11"/>
  <c r="K21" i="11" s="1"/>
  <c r="I20" i="11"/>
  <c r="J20" i="11" s="1"/>
  <c r="I19" i="11"/>
  <c r="K19" i="11" s="1"/>
  <c r="K18" i="11"/>
  <c r="J18" i="11"/>
  <c r="I18" i="11"/>
  <c r="I17" i="11"/>
  <c r="K17" i="11" s="1"/>
  <c r="I16" i="11"/>
  <c r="K16" i="11" s="1"/>
  <c r="I15" i="11"/>
  <c r="J15" i="11" s="1"/>
  <c r="I14" i="11"/>
  <c r="K14" i="11" s="1"/>
  <c r="I13" i="11"/>
  <c r="J13" i="11" s="1"/>
  <c r="I12" i="11"/>
  <c r="K12" i="11" s="1"/>
  <c r="I11" i="11"/>
  <c r="K11" i="11" s="1"/>
  <c r="I10" i="11"/>
  <c r="J10" i="11" s="1"/>
  <c r="I9" i="11"/>
  <c r="J9" i="11" s="1"/>
  <c r="I8" i="11"/>
  <c r="K8" i="11" s="1"/>
  <c r="H144" i="9"/>
  <c r="J145" i="9"/>
  <c r="J144" i="9"/>
  <c r="J24" i="11" l="1"/>
  <c r="J25" i="11"/>
  <c r="H33" i="11"/>
  <c r="I33" i="11" s="1"/>
  <c r="K33" i="11" s="1"/>
  <c r="J19" i="11"/>
  <c r="J17" i="11"/>
  <c r="K10" i="11"/>
  <c r="J21" i="11"/>
  <c r="K15" i="11"/>
  <c r="J29" i="11"/>
  <c r="K9" i="11"/>
  <c r="J23" i="11"/>
  <c r="K20" i="11"/>
  <c r="K28" i="11"/>
  <c r="K22" i="11"/>
  <c r="J16" i="11"/>
  <c r="J30" i="11"/>
  <c r="J27" i="11"/>
  <c r="J34" i="11"/>
  <c r="J14" i="11"/>
  <c r="J11" i="11"/>
  <c r="J31" i="11"/>
  <c r="K13" i="11"/>
  <c r="J8" i="11"/>
  <c r="J12" i="11"/>
  <c r="J32" i="11"/>
  <c r="H34" i="12"/>
  <c r="I34" i="12" s="1"/>
  <c r="X10" i="12"/>
  <c r="Y9" i="12" s="1"/>
  <c r="AE7" i="12"/>
  <c r="H37" i="11"/>
  <c r="I37" i="11" s="1"/>
  <c r="J35" i="11"/>
  <c r="J202" i="9"/>
  <c r="K202" i="9" s="1"/>
  <c r="B196" i="12" l="1"/>
  <c r="H196" i="12" s="1"/>
  <c r="I196" i="12" s="1"/>
  <c r="H7" i="11"/>
  <c r="I7" i="11" s="1"/>
  <c r="J33" i="11"/>
  <c r="Y8" i="12"/>
  <c r="Y7" i="12"/>
  <c r="Y10" i="12"/>
  <c r="Y6" i="12"/>
  <c r="H36" i="11"/>
  <c r="I36" i="11" s="1"/>
  <c r="K7" i="11"/>
  <c r="J7" i="11"/>
  <c r="J37" i="11"/>
  <c r="K37" i="11"/>
  <c r="E22" i="4"/>
  <c r="E21" i="4"/>
  <c r="K36" i="11" l="1"/>
  <c r="J36" i="11"/>
  <c r="I39" i="11"/>
  <c r="G182" i="9"/>
  <c r="K39" i="11" l="1"/>
  <c r="J39" i="11"/>
  <c r="X296" i="9"/>
  <c r="E33" i="8"/>
  <c r="L33" i="8" s="1"/>
  <c r="K145" i="9" l="1"/>
  <c r="B138" i="12" s="1"/>
  <c r="H138" i="12" l="1"/>
  <c r="I138" i="12" s="1"/>
  <c r="J61" i="9"/>
  <c r="K61" i="9" s="1"/>
  <c r="J59" i="9"/>
  <c r="K59" i="9" s="1"/>
  <c r="D8" i="10"/>
  <c r="H45" i="9"/>
  <c r="B52" i="12" l="1"/>
  <c r="H52" i="12" s="1"/>
  <c r="I52" i="12" s="1"/>
  <c r="B54" i="12"/>
  <c r="H54" i="12" s="1"/>
  <c r="I54" i="12" s="1"/>
  <c r="I6" i="4"/>
  <c r="N6" i="9"/>
  <c r="B4" i="7" s="1"/>
  <c r="F4" i="7" s="1"/>
  <c r="N5" i="9"/>
  <c r="B3" i="7" s="1"/>
  <c r="F3" i="7" s="1"/>
  <c r="P25" i="10"/>
  <c r="Q25" i="10"/>
  <c r="O25" i="10"/>
  <c r="Q24" i="10"/>
  <c r="P24" i="10"/>
  <c r="O24" i="10"/>
  <c r="K60" i="19"/>
  <c r="B8" i="9"/>
  <c r="J45" i="9"/>
  <c r="K45" i="9" s="1"/>
  <c r="E53" i="12" l="1"/>
  <c r="D9" i="18" s="1"/>
  <c r="C27" i="4"/>
  <c r="B38" i="12"/>
  <c r="H38" i="12" s="1"/>
  <c r="I38" i="12" s="1"/>
  <c r="L71" i="19"/>
  <c r="C11" i="8" s="1"/>
  <c r="G53" i="9"/>
  <c r="H53" i="23" l="1"/>
  <c r="I53" i="23" s="1"/>
  <c r="C64" i="23"/>
  <c r="H64" i="23" s="1"/>
  <c r="I64" i="23" s="1"/>
  <c r="D22" i="7"/>
  <c r="E328" i="19"/>
  <c r="F369" i="19"/>
  <c r="P11" i="10"/>
  <c r="S13" i="10"/>
  <c r="R13" i="10"/>
  <c r="S12" i="10"/>
  <c r="R12" i="10"/>
  <c r="R11" i="10"/>
  <c r="P13" i="10"/>
  <c r="O13" i="10"/>
  <c r="O12" i="10"/>
  <c r="P12" i="10"/>
  <c r="O11" i="10"/>
  <c r="S11" i="10" s="1"/>
  <c r="B8" i="10"/>
  <c r="C4" i="10" s="1"/>
  <c r="B13" i="10"/>
  <c r="G162" i="9" s="1"/>
  <c r="E15" i="10"/>
  <c r="B22" i="10"/>
  <c r="B26" i="10"/>
  <c r="G140" i="9" s="1"/>
  <c r="B27" i="10"/>
  <c r="F460" i="9"/>
  <c r="F456" i="9"/>
  <c r="F455" i="9"/>
  <c r="F454" i="9"/>
  <c r="F453" i="9"/>
  <c r="F452" i="9"/>
  <c r="F451" i="9"/>
  <c r="F450" i="9"/>
  <c r="F449" i="9"/>
  <c r="F448" i="9"/>
  <c r="F447" i="9"/>
  <c r="F446" i="9"/>
  <c r="F428" i="9"/>
  <c r="F427" i="9"/>
  <c r="F425" i="9"/>
  <c r="F424" i="9"/>
  <c r="E349" i="9"/>
  <c r="E348" i="9"/>
  <c r="J304" i="9"/>
  <c r="K304" i="9" s="1"/>
  <c r="J303" i="9"/>
  <c r="K303" i="9" s="1"/>
  <c r="B297" i="12" s="1"/>
  <c r="J302" i="9"/>
  <c r="K302" i="9" s="1"/>
  <c r="J301" i="9"/>
  <c r="K301" i="9" s="1"/>
  <c r="B295" i="12" s="1"/>
  <c r="J300" i="9"/>
  <c r="K300" i="9" s="1"/>
  <c r="B294" i="12" s="1"/>
  <c r="B41" i="18" s="1"/>
  <c r="J299" i="9"/>
  <c r="K299" i="9" s="1"/>
  <c r="J298" i="9"/>
  <c r="K298" i="9" s="1"/>
  <c r="J297" i="9"/>
  <c r="K297" i="9" s="1"/>
  <c r="J296" i="9"/>
  <c r="K296" i="9" s="1"/>
  <c r="B290" i="12" s="1"/>
  <c r="I290" i="12" s="1"/>
  <c r="J295" i="9"/>
  <c r="K295" i="9" s="1"/>
  <c r="B289" i="12" s="1"/>
  <c r="J294" i="9"/>
  <c r="K294" i="9" s="1"/>
  <c r="J293" i="9"/>
  <c r="K293" i="9" s="1"/>
  <c r="B287" i="12" s="1"/>
  <c r="J292" i="9"/>
  <c r="K292" i="9" s="1"/>
  <c r="J291" i="9"/>
  <c r="K291" i="9" s="1"/>
  <c r="J286" i="9"/>
  <c r="G286" i="9"/>
  <c r="J285" i="9"/>
  <c r="G285" i="9"/>
  <c r="J284" i="9"/>
  <c r="G284" i="9"/>
  <c r="J283" i="9"/>
  <c r="G283" i="9"/>
  <c r="J282" i="9"/>
  <c r="G282" i="9"/>
  <c r="J281" i="9"/>
  <c r="G281" i="9"/>
  <c r="J280" i="9"/>
  <c r="K280" i="9" s="1"/>
  <c r="J279" i="9"/>
  <c r="K279" i="9" s="1"/>
  <c r="J278" i="9"/>
  <c r="G278" i="9"/>
  <c r="J276" i="9"/>
  <c r="K276" i="9" s="1"/>
  <c r="B270" i="12" s="1"/>
  <c r="J275" i="9"/>
  <c r="K275" i="9" s="1"/>
  <c r="J274" i="9"/>
  <c r="K274" i="9" s="1"/>
  <c r="B268" i="12" s="1"/>
  <c r="J272" i="9"/>
  <c r="K272" i="9" s="1"/>
  <c r="B266" i="12" s="1"/>
  <c r="C267" i="12" s="1"/>
  <c r="J270" i="9"/>
  <c r="K270" i="9" s="1"/>
  <c r="J269" i="9"/>
  <c r="K269" i="9" s="1"/>
  <c r="B263" i="12" s="1"/>
  <c r="J267" i="9"/>
  <c r="K267" i="9" s="1"/>
  <c r="B261" i="12" s="1"/>
  <c r="J266" i="9"/>
  <c r="K266" i="9" s="1"/>
  <c r="J265" i="9"/>
  <c r="K265" i="9" s="1"/>
  <c r="J264" i="9"/>
  <c r="K264" i="9" s="1"/>
  <c r="B258" i="12" s="1"/>
  <c r="J263" i="9"/>
  <c r="K263" i="9" s="1"/>
  <c r="J262" i="9"/>
  <c r="K262" i="9" s="1"/>
  <c r="J261" i="9"/>
  <c r="K261" i="9" s="1"/>
  <c r="J260" i="9"/>
  <c r="K260" i="9" s="1"/>
  <c r="J259" i="9"/>
  <c r="K259" i="9" s="1"/>
  <c r="B253" i="12" s="1"/>
  <c r="J258" i="9"/>
  <c r="K258" i="9" s="1"/>
  <c r="J257" i="9"/>
  <c r="K257" i="9" s="1"/>
  <c r="J256" i="9"/>
  <c r="K256" i="9" s="1"/>
  <c r="B250" i="12" s="1"/>
  <c r="J255" i="9"/>
  <c r="K255" i="9" s="1"/>
  <c r="B249" i="12" s="1"/>
  <c r="J254" i="9"/>
  <c r="K254" i="9" s="1"/>
  <c r="B248" i="12" s="1"/>
  <c r="J253" i="9"/>
  <c r="K253" i="9" s="1"/>
  <c r="J252" i="9"/>
  <c r="J250" i="9"/>
  <c r="K250" i="9" s="1"/>
  <c r="J249" i="9"/>
  <c r="K249" i="9" s="1"/>
  <c r="B243" i="12" s="1"/>
  <c r="J248" i="9"/>
  <c r="K248" i="9" s="1"/>
  <c r="B242" i="12" s="1"/>
  <c r="J247" i="9"/>
  <c r="K247" i="9" s="1"/>
  <c r="B241" i="12" s="1"/>
  <c r="B34" i="18" s="1"/>
  <c r="J246" i="9"/>
  <c r="K246" i="9" s="1"/>
  <c r="B240" i="12" s="1"/>
  <c r="J245" i="9"/>
  <c r="K245" i="9" s="1"/>
  <c r="B239" i="12" s="1"/>
  <c r="J244" i="9"/>
  <c r="K244" i="9" s="1"/>
  <c r="B238" i="12" s="1"/>
  <c r="J243" i="9"/>
  <c r="J242" i="9"/>
  <c r="K242" i="9" s="1"/>
  <c r="B236" i="12" s="1"/>
  <c r="J241" i="9"/>
  <c r="K241" i="9" s="1"/>
  <c r="J240" i="9"/>
  <c r="K240" i="9" s="1"/>
  <c r="B234" i="12" s="1"/>
  <c r="B32" i="18" s="1"/>
  <c r="J239" i="9"/>
  <c r="K239" i="9" s="1"/>
  <c r="B233" i="12" s="1"/>
  <c r="J238" i="9"/>
  <c r="K238" i="9" s="1"/>
  <c r="B232" i="12" s="1"/>
  <c r="B31" i="18" s="1"/>
  <c r="J237" i="9"/>
  <c r="K237" i="9" s="1"/>
  <c r="B231" i="12" s="1"/>
  <c r="J236" i="9"/>
  <c r="K236" i="9" s="1"/>
  <c r="B230" i="12" s="1"/>
  <c r="J235" i="9"/>
  <c r="K235" i="9" s="1"/>
  <c r="B229" i="12" s="1"/>
  <c r="J234" i="9"/>
  <c r="K234" i="9" s="1"/>
  <c r="B228" i="12" s="1"/>
  <c r="J233" i="9"/>
  <c r="K233" i="9" s="1"/>
  <c r="B227" i="12" s="1"/>
  <c r="J232" i="9"/>
  <c r="G232" i="9"/>
  <c r="J231" i="9"/>
  <c r="K231" i="9" s="1"/>
  <c r="B225" i="12" s="1"/>
  <c r="J230" i="9"/>
  <c r="K230" i="9" s="1"/>
  <c r="B224" i="12" s="1"/>
  <c r="J229" i="9"/>
  <c r="K229" i="9" s="1"/>
  <c r="B223" i="12" s="1"/>
  <c r="J228" i="9"/>
  <c r="G228" i="9"/>
  <c r="J227" i="9"/>
  <c r="K227" i="9" s="1"/>
  <c r="B221" i="12" s="1"/>
  <c r="B30" i="18" s="1"/>
  <c r="J226" i="9"/>
  <c r="G226" i="9"/>
  <c r="J225" i="9"/>
  <c r="G225" i="9"/>
  <c r="J224" i="9"/>
  <c r="K224" i="9" s="1"/>
  <c r="B218" i="12" s="1"/>
  <c r="J223" i="9"/>
  <c r="K223" i="9" s="1"/>
  <c r="B217" i="12" s="1"/>
  <c r="J222" i="9"/>
  <c r="K222" i="9" s="1"/>
  <c r="B216" i="12" s="1"/>
  <c r="J221" i="9"/>
  <c r="K221" i="9" s="1"/>
  <c r="B215" i="12" s="1"/>
  <c r="J220" i="9"/>
  <c r="J219" i="9"/>
  <c r="J218" i="9"/>
  <c r="J217" i="9"/>
  <c r="K217" i="9" s="1"/>
  <c r="B211" i="12" s="1"/>
  <c r="B29" i="18" s="1"/>
  <c r="J216" i="9"/>
  <c r="K216" i="9" s="1"/>
  <c r="B210" i="12" s="1"/>
  <c r="J215" i="9"/>
  <c r="K215" i="9" s="1"/>
  <c r="B209" i="12" s="1"/>
  <c r="J214" i="9"/>
  <c r="K214" i="9" s="1"/>
  <c r="J212" i="9"/>
  <c r="G212" i="9"/>
  <c r="J211" i="9"/>
  <c r="K211" i="9" s="1"/>
  <c r="J210" i="9"/>
  <c r="K210" i="9" s="1"/>
  <c r="J209" i="9"/>
  <c r="K209" i="9" s="1"/>
  <c r="J208" i="9"/>
  <c r="K208" i="9" s="1"/>
  <c r="J207" i="9"/>
  <c r="K207" i="9" s="1"/>
  <c r="J206" i="9"/>
  <c r="K206" i="9" s="1"/>
  <c r="J205" i="9"/>
  <c r="G205" i="9"/>
  <c r="J204" i="9"/>
  <c r="G204" i="9"/>
  <c r="J201" i="9"/>
  <c r="K201" i="9" s="1"/>
  <c r="B195" i="12" s="1"/>
  <c r="B25" i="18" s="1"/>
  <c r="J200" i="9"/>
  <c r="G200" i="9"/>
  <c r="J199" i="9"/>
  <c r="J197" i="9"/>
  <c r="G197" i="9"/>
  <c r="J196" i="9"/>
  <c r="G196" i="9"/>
  <c r="J195" i="9"/>
  <c r="G195" i="9"/>
  <c r="J193" i="9"/>
  <c r="K193" i="9" s="1"/>
  <c r="J192" i="9"/>
  <c r="K192" i="9" s="1"/>
  <c r="J191" i="9"/>
  <c r="G191" i="9"/>
  <c r="J190" i="9"/>
  <c r="G190" i="9"/>
  <c r="J189" i="9"/>
  <c r="G189" i="9"/>
  <c r="J188" i="9"/>
  <c r="G188" i="9"/>
  <c r="J187" i="9"/>
  <c r="G187" i="9"/>
  <c r="J186" i="9"/>
  <c r="K186" i="9" s="1"/>
  <c r="J185" i="9"/>
  <c r="K185" i="9" s="1"/>
  <c r="B179" i="12" s="1"/>
  <c r="J184" i="9"/>
  <c r="K184" i="9" s="1"/>
  <c r="J183" i="9"/>
  <c r="J182" i="9"/>
  <c r="K182" i="9"/>
  <c r="J181" i="9"/>
  <c r="J180" i="9"/>
  <c r="J179" i="9"/>
  <c r="J178" i="9"/>
  <c r="G178" i="9"/>
  <c r="J176" i="9"/>
  <c r="K176" i="9" s="1"/>
  <c r="J175" i="9"/>
  <c r="J173" i="9"/>
  <c r="G173" i="9"/>
  <c r="J172" i="9"/>
  <c r="G172" i="9"/>
  <c r="J171" i="9"/>
  <c r="K171" i="9" s="1"/>
  <c r="J170" i="9"/>
  <c r="G170" i="9"/>
  <c r="J169" i="9"/>
  <c r="G169" i="9"/>
  <c r="J167" i="9"/>
  <c r="K167" i="9" s="1"/>
  <c r="B160" i="12" s="1"/>
  <c r="J166" i="9"/>
  <c r="G166" i="9"/>
  <c r="J165" i="9"/>
  <c r="K165" i="9" s="1"/>
  <c r="J163" i="9"/>
  <c r="G163" i="9"/>
  <c r="J162" i="9"/>
  <c r="J160" i="9"/>
  <c r="K160" i="9" s="1"/>
  <c r="B153" i="12" s="1"/>
  <c r="J158" i="9"/>
  <c r="G158" i="9"/>
  <c r="J157" i="9"/>
  <c r="J156" i="9"/>
  <c r="G156" i="9"/>
  <c r="J154" i="9"/>
  <c r="K154" i="9" s="1"/>
  <c r="B147" i="12" s="1"/>
  <c r="J153" i="9"/>
  <c r="K153" i="9" s="1"/>
  <c r="J152" i="9"/>
  <c r="K152" i="9" s="1"/>
  <c r="J151" i="9"/>
  <c r="J150" i="9"/>
  <c r="K150" i="9" s="1"/>
  <c r="J149" i="9"/>
  <c r="J148" i="9"/>
  <c r="J147" i="9"/>
  <c r="K147" i="9" s="1"/>
  <c r="J143" i="9"/>
  <c r="J141" i="9"/>
  <c r="G141" i="9"/>
  <c r="J140" i="9"/>
  <c r="J139" i="9"/>
  <c r="J138" i="9"/>
  <c r="J137" i="9"/>
  <c r="K137" i="9" s="1"/>
  <c r="J136" i="9"/>
  <c r="K136" i="9" s="1"/>
  <c r="J135" i="9"/>
  <c r="K135" i="9" s="1"/>
  <c r="B128" i="12" s="1"/>
  <c r="J134" i="9"/>
  <c r="K134" i="9" s="1"/>
  <c r="B127" i="12" s="1"/>
  <c r="J133" i="9"/>
  <c r="K133" i="9" s="1"/>
  <c r="J132" i="9"/>
  <c r="K132" i="9" s="1"/>
  <c r="J131" i="9"/>
  <c r="J130" i="9"/>
  <c r="K130" i="9" s="1"/>
  <c r="J129" i="9"/>
  <c r="K129" i="9" s="1"/>
  <c r="J128" i="9"/>
  <c r="K128" i="9" s="1"/>
  <c r="J127" i="9"/>
  <c r="J126" i="9"/>
  <c r="K126" i="9" s="1"/>
  <c r="J124" i="9"/>
  <c r="K124" i="9" s="1"/>
  <c r="J123" i="9"/>
  <c r="K123" i="9" s="1"/>
  <c r="J122" i="9"/>
  <c r="K122" i="9" s="1"/>
  <c r="J121" i="9"/>
  <c r="K121" i="9" s="1"/>
  <c r="J120" i="9"/>
  <c r="K120" i="9" s="1"/>
  <c r="J119" i="9"/>
  <c r="J118" i="9"/>
  <c r="K118" i="9" s="1"/>
  <c r="J117" i="9"/>
  <c r="J116" i="9"/>
  <c r="J115" i="9"/>
  <c r="J114" i="9"/>
  <c r="J113" i="9"/>
  <c r="K113" i="9" s="1"/>
  <c r="B106" i="12" s="1"/>
  <c r="J112" i="9"/>
  <c r="K112" i="9" s="1"/>
  <c r="B105" i="12" s="1"/>
  <c r="J111" i="9"/>
  <c r="J110" i="9"/>
  <c r="J109" i="9"/>
  <c r="K109" i="9" s="1"/>
  <c r="B102" i="12" s="1"/>
  <c r="J108" i="9"/>
  <c r="K108" i="9" s="1"/>
  <c r="B101" i="12" s="1"/>
  <c r="J107" i="9"/>
  <c r="K107" i="9" s="1"/>
  <c r="B100" i="12" s="1"/>
  <c r="J106" i="9"/>
  <c r="K106" i="9" s="1"/>
  <c r="J105" i="9"/>
  <c r="K105" i="9" s="1"/>
  <c r="J104" i="9"/>
  <c r="K104" i="9" s="1"/>
  <c r="J103" i="9"/>
  <c r="K103" i="9" s="1"/>
  <c r="J102" i="9"/>
  <c r="K102" i="9" s="1"/>
  <c r="J101" i="9"/>
  <c r="J100" i="9"/>
  <c r="J99" i="9"/>
  <c r="K99" i="9" s="1"/>
  <c r="J98" i="9"/>
  <c r="K98" i="9" s="1"/>
  <c r="J97" i="9"/>
  <c r="K97" i="9" s="1"/>
  <c r="J96" i="9"/>
  <c r="J95" i="9"/>
  <c r="K95" i="9" s="1"/>
  <c r="J94" i="9"/>
  <c r="J93" i="9"/>
  <c r="J92" i="9"/>
  <c r="K92" i="9" s="1"/>
  <c r="J91" i="9"/>
  <c r="J90" i="9"/>
  <c r="K90" i="9" s="1"/>
  <c r="J89" i="9"/>
  <c r="J88" i="9"/>
  <c r="K88" i="9" s="1"/>
  <c r="J87" i="9"/>
  <c r="K87" i="9" s="1"/>
  <c r="J85" i="9"/>
  <c r="K85" i="9" s="1"/>
  <c r="J84" i="9"/>
  <c r="J83" i="9"/>
  <c r="K83" i="9" s="1"/>
  <c r="J82" i="9"/>
  <c r="K82" i="9" s="1"/>
  <c r="J81" i="9"/>
  <c r="K81" i="9" s="1"/>
  <c r="J80" i="9"/>
  <c r="K80" i="9" s="1"/>
  <c r="J79" i="9"/>
  <c r="K79" i="9" s="1"/>
  <c r="B72" i="12" s="1"/>
  <c r="I72" i="12" s="1"/>
  <c r="J78" i="9"/>
  <c r="K78" i="9" s="1"/>
  <c r="B71" i="12" s="1"/>
  <c r="I71" i="12" s="1"/>
  <c r="J77" i="9"/>
  <c r="J76" i="9"/>
  <c r="J75" i="9"/>
  <c r="K75" i="9" s="1"/>
  <c r="J74" i="9"/>
  <c r="K74" i="9" s="1"/>
  <c r="J73" i="9"/>
  <c r="K73" i="9" s="1"/>
  <c r="J72" i="9"/>
  <c r="K72" i="9" s="1"/>
  <c r="B65" i="12" s="1"/>
  <c r="J70" i="9"/>
  <c r="K70" i="9" s="1"/>
  <c r="J69" i="9"/>
  <c r="J68" i="9"/>
  <c r="J67" i="9"/>
  <c r="J66" i="9"/>
  <c r="J65" i="9"/>
  <c r="J64" i="9"/>
  <c r="J63" i="9"/>
  <c r="K63" i="9" s="1"/>
  <c r="J62" i="9"/>
  <c r="K62" i="9" s="1"/>
  <c r="J60" i="9"/>
  <c r="J58" i="9"/>
  <c r="J56" i="9"/>
  <c r="K56" i="9" s="1"/>
  <c r="J55" i="9"/>
  <c r="K55" i="9" s="1"/>
  <c r="B48" i="12" s="1"/>
  <c r="J54" i="9"/>
  <c r="K54" i="9" s="1"/>
  <c r="J53" i="9"/>
  <c r="J52" i="9"/>
  <c r="J51" i="9"/>
  <c r="K51" i="9" s="1"/>
  <c r="J50" i="9"/>
  <c r="K50" i="9" s="1"/>
  <c r="J49" i="9"/>
  <c r="K49" i="9" s="1"/>
  <c r="B42" i="12" s="1"/>
  <c r="J48" i="9"/>
  <c r="K48" i="9" s="1"/>
  <c r="B41" i="12" s="1"/>
  <c r="J47" i="9"/>
  <c r="K47" i="9" s="1"/>
  <c r="B40" i="12" s="1"/>
  <c r="I40" i="12" s="1"/>
  <c r="J46" i="9"/>
  <c r="K46" i="9" s="1"/>
  <c r="J44" i="9"/>
  <c r="G44" i="9"/>
  <c r="J42" i="9"/>
  <c r="K42" i="9" s="1"/>
  <c r="J41" i="9"/>
  <c r="J40" i="9"/>
  <c r="K40" i="9" s="1"/>
  <c r="B33" i="12" s="1"/>
  <c r="J39" i="9"/>
  <c r="K39" i="9" s="1"/>
  <c r="F470" i="9" s="1"/>
  <c r="J38" i="9"/>
  <c r="K38" i="9" s="1"/>
  <c r="J37" i="9"/>
  <c r="K37" i="9" s="1"/>
  <c r="B32" i="12" s="1"/>
  <c r="J36" i="9"/>
  <c r="K36" i="9" s="1"/>
  <c r="B31" i="12" s="1"/>
  <c r="J35" i="9"/>
  <c r="K35" i="9" s="1"/>
  <c r="B30" i="12" s="1"/>
  <c r="J33" i="9"/>
  <c r="K33" i="9" s="1"/>
  <c r="B28" i="12" s="1"/>
  <c r="J32" i="9"/>
  <c r="K32" i="9" s="1"/>
  <c r="B27" i="12" s="1"/>
  <c r="J31" i="9"/>
  <c r="K31" i="9" s="1"/>
  <c r="J30" i="9"/>
  <c r="G30" i="9"/>
  <c r="J29" i="9"/>
  <c r="J27" i="9"/>
  <c r="J26" i="9"/>
  <c r="J25" i="9"/>
  <c r="K25" i="9" s="1"/>
  <c r="B21" i="12" s="1"/>
  <c r="J24" i="9"/>
  <c r="K24" i="9" s="1"/>
  <c r="J23" i="9"/>
  <c r="K23" i="9" s="1"/>
  <c r="B19" i="12" s="1"/>
  <c r="J22" i="9"/>
  <c r="J21" i="9"/>
  <c r="K21" i="9" s="1"/>
  <c r="J20" i="9"/>
  <c r="K20" i="9" s="1"/>
  <c r="J19" i="9"/>
  <c r="K19" i="9" s="1"/>
  <c r="J18" i="9"/>
  <c r="J16" i="9"/>
  <c r="K16" i="9" s="1"/>
  <c r="B13" i="12" s="1"/>
  <c r="G14" i="9"/>
  <c r="S8" i="9"/>
  <c r="B6" i="7" s="1"/>
  <c r="F6" i="7" s="1"/>
  <c r="AJ12" i="9"/>
  <c r="AQ11" i="9"/>
  <c r="AJ11" i="9"/>
  <c r="B10" i="9"/>
  <c r="AM9" i="9"/>
  <c r="AN9" i="9" s="1"/>
  <c r="AF9" i="9"/>
  <c r="AF8" i="9"/>
  <c r="N9" i="9"/>
  <c r="B2" i="7" s="1"/>
  <c r="F2" i="7" s="1"/>
  <c r="AF7" i="9"/>
  <c r="AJ6" i="9"/>
  <c r="AF6" i="9"/>
  <c r="AJ5" i="9"/>
  <c r="AF5" i="9"/>
  <c r="AJ4" i="9"/>
  <c r="AQ3" i="9"/>
  <c r="AJ3" i="9"/>
  <c r="O32" i="8"/>
  <c r="N32" i="8"/>
  <c r="M32" i="8"/>
  <c r="L32" i="8"/>
  <c r="Q32" i="8" s="1"/>
  <c r="O31" i="8"/>
  <c r="N31" i="8"/>
  <c r="M31" i="8"/>
  <c r="L31" i="8"/>
  <c r="Q31" i="8" s="1"/>
  <c r="O30" i="8"/>
  <c r="N30" i="8"/>
  <c r="M30" i="8"/>
  <c r="L30" i="8"/>
  <c r="Q30" i="8" s="1"/>
  <c r="O29" i="8"/>
  <c r="N29" i="8"/>
  <c r="M29" i="8"/>
  <c r="L29" i="8"/>
  <c r="Q29" i="8" s="1"/>
  <c r="O27" i="8"/>
  <c r="N27" i="8"/>
  <c r="M27" i="8"/>
  <c r="L27" i="8"/>
  <c r="O26" i="8"/>
  <c r="N26" i="8"/>
  <c r="M26" i="8"/>
  <c r="L26" i="8"/>
  <c r="Q26" i="8" s="1"/>
  <c r="O25" i="8"/>
  <c r="N25" i="8"/>
  <c r="M25" i="8"/>
  <c r="L25" i="8"/>
  <c r="Q25" i="8" s="1"/>
  <c r="O24" i="8"/>
  <c r="N24" i="8"/>
  <c r="M24" i="8"/>
  <c r="L24" i="8"/>
  <c r="Q24" i="8" s="1"/>
  <c r="O23" i="8"/>
  <c r="N23" i="8"/>
  <c r="M23" i="8"/>
  <c r="L23" i="8"/>
  <c r="Q23" i="8" s="1"/>
  <c r="O22" i="8"/>
  <c r="N22" i="8"/>
  <c r="M22" i="8"/>
  <c r="L22" i="8"/>
  <c r="O21" i="8"/>
  <c r="N21" i="8"/>
  <c r="M21" i="8"/>
  <c r="L21" i="8"/>
  <c r="Q21" i="8" s="1"/>
  <c r="O20" i="8"/>
  <c r="N20" i="8"/>
  <c r="M20" i="8"/>
  <c r="L20" i="8"/>
  <c r="Q20" i="8" s="1"/>
  <c r="O19" i="8"/>
  <c r="N19" i="8"/>
  <c r="M19" i="8"/>
  <c r="L19" i="8"/>
  <c r="Q19" i="8" s="1"/>
  <c r="O18" i="8"/>
  <c r="N18" i="8"/>
  <c r="M18" i="8"/>
  <c r="L18" i="8"/>
  <c r="Q18" i="8" s="1"/>
  <c r="O17" i="8"/>
  <c r="N17" i="8"/>
  <c r="M17" i="8"/>
  <c r="L17" i="8"/>
  <c r="O16" i="8"/>
  <c r="N16" i="8"/>
  <c r="M16" i="8"/>
  <c r="L16" i="8"/>
  <c r="Q16" i="8" s="1"/>
  <c r="O15" i="8"/>
  <c r="N15" i="8"/>
  <c r="M15" i="8"/>
  <c r="L15" i="8"/>
  <c r="Q15" i="8" s="1"/>
  <c r="O14" i="8"/>
  <c r="N14" i="8"/>
  <c r="M14" i="8"/>
  <c r="L14" i="8"/>
  <c r="Q14" i="8" s="1"/>
  <c r="O13" i="8"/>
  <c r="N13" i="8"/>
  <c r="M13" i="8"/>
  <c r="L13" i="8"/>
  <c r="Q13" i="8" s="1"/>
  <c r="O12" i="8"/>
  <c r="N12" i="8"/>
  <c r="M12" i="8"/>
  <c r="L12" i="8"/>
  <c r="O11" i="8"/>
  <c r="N11" i="8"/>
  <c r="M11" i="8"/>
  <c r="L11" i="8"/>
  <c r="Q11" i="8" s="1"/>
  <c r="O10" i="8"/>
  <c r="N10" i="8"/>
  <c r="M10" i="8"/>
  <c r="L10" i="8"/>
  <c r="Q10" i="8" s="1"/>
  <c r="O9" i="8"/>
  <c r="N9" i="8"/>
  <c r="M9" i="8"/>
  <c r="L9" i="8"/>
  <c r="Q9" i="8" s="1"/>
  <c r="O8" i="8"/>
  <c r="N8" i="8"/>
  <c r="M8" i="8"/>
  <c r="L8" i="8"/>
  <c r="Q8" i="8" s="1"/>
  <c r="O7" i="8"/>
  <c r="N7" i="8"/>
  <c r="M7" i="8"/>
  <c r="L7" i="8"/>
  <c r="O6" i="8"/>
  <c r="N6" i="8"/>
  <c r="M6" i="8"/>
  <c r="L6" i="8"/>
  <c r="Q6" i="8" s="1"/>
  <c r="K30" i="9" l="1"/>
  <c r="B26" i="12" s="1"/>
  <c r="B80" i="12"/>
  <c r="B293" i="12"/>
  <c r="H293" i="12" s="1"/>
  <c r="I293" i="12" s="1"/>
  <c r="B122" i="12"/>
  <c r="H122" i="12" s="1"/>
  <c r="I122" i="12" s="1"/>
  <c r="B145" i="12"/>
  <c r="H145" i="12" s="1"/>
  <c r="I145" i="12" s="1"/>
  <c r="B164" i="12"/>
  <c r="H164" i="12" s="1"/>
  <c r="I164" i="12" s="1"/>
  <c r="B44" i="12"/>
  <c r="I44" i="12" s="1"/>
  <c r="B68" i="12"/>
  <c r="I68" i="12" s="1"/>
  <c r="B130" i="12"/>
  <c r="H130" i="12" s="1"/>
  <c r="I130" i="12" s="1"/>
  <c r="C154" i="12"/>
  <c r="I153" i="12"/>
  <c r="B186" i="12"/>
  <c r="H186" i="12" s="1"/>
  <c r="I186" i="12" s="1"/>
  <c r="B204" i="12"/>
  <c r="V261" i="12"/>
  <c r="V250" i="12"/>
  <c r="B273" i="12"/>
  <c r="H273" i="12" s="1"/>
  <c r="I273" i="12" s="1"/>
  <c r="B291" i="12"/>
  <c r="H291" i="12" s="1"/>
  <c r="I291" i="12" s="1"/>
  <c r="B251" i="12"/>
  <c r="V251" i="12" s="1"/>
  <c r="B292" i="12"/>
  <c r="H292" i="12" s="1"/>
  <c r="I292" i="12" s="1"/>
  <c r="B252" i="12"/>
  <c r="V252" i="12" s="1"/>
  <c r="B35" i="12"/>
  <c r="H35" i="12" s="1"/>
  <c r="I35" i="12" s="1"/>
  <c r="B81" i="12"/>
  <c r="H81" i="12" s="1"/>
  <c r="I81" i="12" s="1"/>
  <c r="B63" i="12"/>
  <c r="H63" i="12" s="1"/>
  <c r="I63" i="12" s="1"/>
  <c r="B85" i="12"/>
  <c r="H85" i="12" s="1"/>
  <c r="I85" i="12" s="1"/>
  <c r="B126" i="12"/>
  <c r="H126" i="12" s="1"/>
  <c r="I126" i="12" s="1"/>
  <c r="B200" i="12"/>
  <c r="H200" i="12" s="1"/>
  <c r="I200" i="12" s="1"/>
  <c r="B257" i="12"/>
  <c r="V257" i="12" s="1"/>
  <c r="B298" i="12"/>
  <c r="H298" i="12" s="1"/>
  <c r="I298" i="12" s="1"/>
  <c r="B201" i="12"/>
  <c r="V258" i="12"/>
  <c r="B38" i="18"/>
  <c r="B66" i="12"/>
  <c r="B169" i="12"/>
  <c r="H169" i="12" s="1"/>
  <c r="I169" i="12" s="1"/>
  <c r="D27" i="18"/>
  <c r="B202" i="12"/>
  <c r="B27" i="18" s="1"/>
  <c r="D39" i="18"/>
  <c r="B259" i="12"/>
  <c r="H259" i="12" s="1"/>
  <c r="B43" i="12"/>
  <c r="H43" i="12" s="1"/>
  <c r="I43" i="12" s="1"/>
  <c r="B67" i="12"/>
  <c r="H67" i="12" s="1"/>
  <c r="I67" i="12" s="1"/>
  <c r="B88" i="12"/>
  <c r="H88" i="12" s="1"/>
  <c r="I88" i="12" s="1"/>
  <c r="B129" i="12"/>
  <c r="H129" i="12" s="1"/>
  <c r="I129" i="12" s="1"/>
  <c r="B203" i="12"/>
  <c r="H203" i="12" s="1"/>
  <c r="I203" i="12" s="1"/>
  <c r="B260" i="12"/>
  <c r="V260" i="12" s="1"/>
  <c r="B90" i="12"/>
  <c r="H90" i="12" s="1"/>
  <c r="I90" i="12" s="1"/>
  <c r="B187" i="12"/>
  <c r="H187" i="12" s="1"/>
  <c r="I187" i="12" s="1"/>
  <c r="B205" i="12"/>
  <c r="H205" i="12" s="1"/>
  <c r="I205" i="12" s="1"/>
  <c r="B91" i="12"/>
  <c r="H91" i="12" s="1"/>
  <c r="I91" i="12" s="1"/>
  <c r="B111" i="12"/>
  <c r="H111" i="12" s="1"/>
  <c r="I111" i="12" s="1"/>
  <c r="B264" i="12"/>
  <c r="H264" i="12" s="1"/>
  <c r="I264" i="12" s="1"/>
  <c r="B47" i="12"/>
  <c r="H47" i="12" s="1"/>
  <c r="I47" i="12" s="1"/>
  <c r="B92" i="12"/>
  <c r="H92" i="12" s="1"/>
  <c r="I92" i="12" s="1"/>
  <c r="B285" i="12"/>
  <c r="B113" i="12"/>
  <c r="H113" i="12" s="1"/>
  <c r="I113" i="12" s="1"/>
  <c r="B158" i="12"/>
  <c r="B176" i="12"/>
  <c r="H176" i="12" s="1"/>
  <c r="I176" i="12" s="1"/>
  <c r="W214" i="9"/>
  <c r="B208" i="12"/>
  <c r="H208" i="12" s="1"/>
  <c r="I208" i="12" s="1"/>
  <c r="B244" i="12"/>
  <c r="H244" i="12" s="1"/>
  <c r="I244" i="12" s="1"/>
  <c r="B286" i="12"/>
  <c r="I286" i="12" s="1"/>
  <c r="B49" i="12"/>
  <c r="I49" i="12" s="1"/>
  <c r="B73" i="12"/>
  <c r="I73" i="12" s="1"/>
  <c r="B114" i="12"/>
  <c r="H114" i="12" s="1"/>
  <c r="I114" i="12" s="1"/>
  <c r="B269" i="12"/>
  <c r="C271" i="12" s="1"/>
  <c r="B74" i="12"/>
  <c r="H74" i="12" s="1"/>
  <c r="I74" i="12" s="1"/>
  <c r="B95" i="12"/>
  <c r="H95" i="12" s="1"/>
  <c r="I95" i="12" s="1"/>
  <c r="B115" i="12"/>
  <c r="H115" i="12" s="1"/>
  <c r="I115" i="12" s="1"/>
  <c r="B247" i="12"/>
  <c r="V247" i="12" s="1"/>
  <c r="B288" i="12"/>
  <c r="H288" i="12" s="1"/>
  <c r="I288" i="12" s="1"/>
  <c r="B75" i="12"/>
  <c r="H75" i="12" s="1"/>
  <c r="I75" i="12" s="1"/>
  <c r="B96" i="12"/>
  <c r="H96" i="12" s="1"/>
  <c r="I96" i="12" s="1"/>
  <c r="B116" i="12"/>
  <c r="H116" i="12" s="1"/>
  <c r="I116" i="12" s="1"/>
  <c r="B178" i="12"/>
  <c r="H178" i="12" s="1"/>
  <c r="I178" i="12" s="1"/>
  <c r="V248" i="12"/>
  <c r="B55" i="12"/>
  <c r="I55" i="12" s="1"/>
  <c r="B76" i="12"/>
  <c r="I76" i="12" s="1"/>
  <c r="B97" i="12"/>
  <c r="B117" i="12"/>
  <c r="H117" i="12" s="1"/>
  <c r="I117" i="12" s="1"/>
  <c r="V249" i="12"/>
  <c r="B36" i="18"/>
  <c r="B56" i="12"/>
  <c r="H56" i="12" s="1"/>
  <c r="I56" i="12" s="1"/>
  <c r="B98" i="12"/>
  <c r="H98" i="12" s="1"/>
  <c r="I98" i="12" s="1"/>
  <c r="B119" i="12"/>
  <c r="B180" i="12"/>
  <c r="B78" i="12"/>
  <c r="H78" i="12" s="1"/>
  <c r="I78" i="12" s="1"/>
  <c r="B99" i="12"/>
  <c r="H99" i="12" s="1"/>
  <c r="I99" i="12" s="1"/>
  <c r="B143" i="12"/>
  <c r="H143" i="12" s="1"/>
  <c r="I143" i="12" s="1"/>
  <c r="B274" i="12"/>
  <c r="H274" i="12" s="1"/>
  <c r="I274" i="12" s="1"/>
  <c r="B121" i="12"/>
  <c r="H121" i="12" s="1"/>
  <c r="I121" i="12" s="1"/>
  <c r="V253" i="12"/>
  <c r="B37" i="18"/>
  <c r="B123" i="12"/>
  <c r="H123" i="12" s="1"/>
  <c r="I123" i="12" s="1"/>
  <c r="B146" i="12"/>
  <c r="H146" i="12" s="1"/>
  <c r="I146" i="12" s="1"/>
  <c r="B254" i="12"/>
  <c r="B83" i="12"/>
  <c r="H83" i="12" s="1"/>
  <c r="I83" i="12" s="1"/>
  <c r="B255" i="12"/>
  <c r="V255" i="12" s="1"/>
  <c r="B296" i="12"/>
  <c r="H296" i="12" s="1"/>
  <c r="I296" i="12" s="1"/>
  <c r="F465" i="9"/>
  <c r="B20" i="12"/>
  <c r="H20" i="12" s="1"/>
  <c r="B39" i="12"/>
  <c r="H39" i="12" s="1"/>
  <c r="I39" i="12" s="1"/>
  <c r="B125" i="12"/>
  <c r="H125" i="12" s="1"/>
  <c r="I125" i="12" s="1"/>
  <c r="W241" i="9"/>
  <c r="B235" i="12"/>
  <c r="H235" i="12" s="1"/>
  <c r="I235" i="12" s="1"/>
  <c r="B256" i="12"/>
  <c r="B16" i="12"/>
  <c r="B17" i="12"/>
  <c r="H223" i="12"/>
  <c r="I223" i="12" s="1"/>
  <c r="W229" i="9"/>
  <c r="H242" i="12"/>
  <c r="I242" i="12" s="1"/>
  <c r="W248" i="9"/>
  <c r="H224" i="12"/>
  <c r="I224" i="12" s="1"/>
  <c r="W230" i="9"/>
  <c r="H243" i="12"/>
  <c r="I243" i="12" s="1"/>
  <c r="W249" i="9"/>
  <c r="H225" i="12"/>
  <c r="I225" i="12" s="1"/>
  <c r="W231" i="9"/>
  <c r="H210" i="12"/>
  <c r="I210" i="12" s="1"/>
  <c r="W216" i="9"/>
  <c r="H229" i="12"/>
  <c r="I229" i="12" s="1"/>
  <c r="W235" i="9"/>
  <c r="H230" i="12"/>
  <c r="I230" i="12" s="1"/>
  <c r="W236" i="9"/>
  <c r="H215" i="12"/>
  <c r="I215" i="12" s="1"/>
  <c r="W221" i="9"/>
  <c r="H231" i="12"/>
  <c r="I231" i="12" s="1"/>
  <c r="W237" i="9"/>
  <c r="W217" i="9"/>
  <c r="H227" i="12"/>
  <c r="I227" i="12" s="1"/>
  <c r="W233" i="9"/>
  <c r="H217" i="12"/>
  <c r="I217" i="12" s="1"/>
  <c r="W223" i="9"/>
  <c r="H233" i="12"/>
  <c r="I233" i="12" s="1"/>
  <c r="W239" i="9"/>
  <c r="H236" i="12"/>
  <c r="I236" i="12" s="1"/>
  <c r="W242" i="9"/>
  <c r="H238" i="12"/>
  <c r="I238" i="12" s="1"/>
  <c r="W244" i="9"/>
  <c r="H221" i="12"/>
  <c r="W227" i="9"/>
  <c r="H239" i="12"/>
  <c r="I239" i="12" s="1"/>
  <c r="W245" i="9"/>
  <c r="H240" i="12"/>
  <c r="I240" i="12" s="1"/>
  <c r="W246" i="9"/>
  <c r="H241" i="12"/>
  <c r="W247" i="9"/>
  <c r="H209" i="12"/>
  <c r="I209" i="12" s="1"/>
  <c r="W215" i="9"/>
  <c r="H228" i="12"/>
  <c r="I228" i="12" s="1"/>
  <c r="W234" i="9"/>
  <c r="H216" i="12"/>
  <c r="I216" i="12" s="1"/>
  <c r="W222" i="9"/>
  <c r="H232" i="12"/>
  <c r="W238" i="9"/>
  <c r="H218" i="12"/>
  <c r="I218" i="12" s="1"/>
  <c r="W224" i="9"/>
  <c r="H234" i="12"/>
  <c r="W240" i="9"/>
  <c r="Q7" i="8"/>
  <c r="Q12" i="8"/>
  <c r="Q17" i="8"/>
  <c r="Q22" i="8"/>
  <c r="Q27" i="8"/>
  <c r="G157" i="9"/>
  <c r="K157" i="9" s="1"/>
  <c r="B150" i="12" s="1"/>
  <c r="G184" i="19"/>
  <c r="K184" i="19" s="1"/>
  <c r="G157" i="19"/>
  <c r="K157" i="19" s="1"/>
  <c r="H195" i="12"/>
  <c r="D25" i="18"/>
  <c r="F25" i="18" s="1"/>
  <c r="H253" i="12"/>
  <c r="D37" i="18"/>
  <c r="H295" i="12"/>
  <c r="H258" i="12"/>
  <c r="D38" i="18"/>
  <c r="H261" i="12"/>
  <c r="H30" i="12"/>
  <c r="H270" i="12"/>
  <c r="H211" i="12"/>
  <c r="D29" i="18"/>
  <c r="F29" i="18" s="1"/>
  <c r="H248" i="12"/>
  <c r="H249" i="12"/>
  <c r="D36" i="18"/>
  <c r="H250" i="12"/>
  <c r="F14" i="12"/>
  <c r="H14" i="12" s="1"/>
  <c r="I14" i="12" s="1"/>
  <c r="F474" i="9"/>
  <c r="H42" i="12"/>
  <c r="I42" i="12" s="1"/>
  <c r="F468" i="9"/>
  <c r="H27" i="12"/>
  <c r="I27" i="12" s="1"/>
  <c r="F154" i="12"/>
  <c r="H153" i="12"/>
  <c r="F469" i="9"/>
  <c r="H28" i="12"/>
  <c r="I28" i="12" s="1"/>
  <c r="F403" i="9"/>
  <c r="H105" i="12"/>
  <c r="F510" i="9"/>
  <c r="H290" i="12"/>
  <c r="F480" i="9"/>
  <c r="H72" i="12"/>
  <c r="F464" i="9"/>
  <c r="H19" i="12"/>
  <c r="I19" i="12" s="1"/>
  <c r="F487" i="9"/>
  <c r="H147" i="12"/>
  <c r="I147" i="12" s="1"/>
  <c r="F399" i="9"/>
  <c r="H101" i="12"/>
  <c r="H65" i="12"/>
  <c r="I65" i="12" s="1"/>
  <c r="F400" i="9"/>
  <c r="H102" i="12"/>
  <c r="L273" i="9"/>
  <c r="H140" i="12"/>
  <c r="F28" i="4"/>
  <c r="H160" i="12"/>
  <c r="I160" i="12" s="1"/>
  <c r="F497" i="9"/>
  <c r="H179" i="12"/>
  <c r="I179" i="12" s="1"/>
  <c r="F507" i="9"/>
  <c r="H287" i="12"/>
  <c r="F509" i="9"/>
  <c r="F479" i="9"/>
  <c r="H71" i="12"/>
  <c r="F404" i="9"/>
  <c r="H106" i="12"/>
  <c r="F466" i="9"/>
  <c r="H21" i="12"/>
  <c r="I21" i="12" s="1"/>
  <c r="G52" i="9"/>
  <c r="K52" i="9" s="1"/>
  <c r="B45" i="12" s="1"/>
  <c r="B6" i="18" s="1"/>
  <c r="F6" i="18" s="1"/>
  <c r="F3" i="12"/>
  <c r="I3" i="12" s="1"/>
  <c r="G144" i="9"/>
  <c r="K144" i="9" s="1"/>
  <c r="F485" i="9"/>
  <c r="H127" i="12"/>
  <c r="I127" i="12" s="1"/>
  <c r="F472" i="9"/>
  <c r="H40" i="12"/>
  <c r="F486" i="9"/>
  <c r="H128" i="12"/>
  <c r="I128" i="12" s="1"/>
  <c r="F506" i="9"/>
  <c r="F512" i="9"/>
  <c r="H297" i="12"/>
  <c r="I297" i="12" s="1"/>
  <c r="F473" i="9"/>
  <c r="H41" i="12"/>
  <c r="I41" i="12" s="1"/>
  <c r="F398" i="9"/>
  <c r="H100" i="12"/>
  <c r="I100" i="12" s="1"/>
  <c r="F476" i="9"/>
  <c r="H48" i="12"/>
  <c r="I48" i="12" s="1"/>
  <c r="F471" i="9"/>
  <c r="H33" i="12"/>
  <c r="I33" i="12" s="1"/>
  <c r="H31" i="12"/>
  <c r="I31" i="12" s="1"/>
  <c r="L277" i="9"/>
  <c r="B42" i="7" s="1"/>
  <c r="L271" i="9"/>
  <c r="B40" i="7" s="1"/>
  <c r="L305" i="9"/>
  <c r="B45" i="7" s="1"/>
  <c r="D41" i="18"/>
  <c r="F41" i="18" s="1"/>
  <c r="K100" i="9"/>
  <c r="B93" i="12" s="1"/>
  <c r="E334" i="9"/>
  <c r="L161" i="9"/>
  <c r="G131" i="9"/>
  <c r="K131" i="9" s="1"/>
  <c r="E16" i="4"/>
  <c r="H26" i="12"/>
  <c r="I26" i="12" s="1"/>
  <c r="K18" i="9"/>
  <c r="B15" i="12" s="1"/>
  <c r="K26" i="9"/>
  <c r="B22" i="12" s="1"/>
  <c r="K219" i="9"/>
  <c r="B213" i="12" s="1"/>
  <c r="G29" i="9"/>
  <c r="K29" i="9" s="1"/>
  <c r="C8" i="10"/>
  <c r="C5" i="10"/>
  <c r="C7" i="10"/>
  <c r="C6" i="10"/>
  <c r="K111" i="9"/>
  <c r="B104" i="12" s="1"/>
  <c r="AJ7" i="9"/>
  <c r="K27" i="9"/>
  <c r="B23" i="12" s="1"/>
  <c r="F475" i="9"/>
  <c r="K68" i="9"/>
  <c r="K94" i="9"/>
  <c r="K114" i="9"/>
  <c r="B107" i="12" s="1"/>
  <c r="K281" i="9"/>
  <c r="K67" i="9"/>
  <c r="K282" i="9"/>
  <c r="B276" i="12" s="1"/>
  <c r="K285" i="9"/>
  <c r="K110" i="9"/>
  <c r="B103" i="12" s="1"/>
  <c r="B13" i="18" s="1"/>
  <c r="F13" i="18" s="1"/>
  <c r="K53" i="9"/>
  <c r="B46" i="12" s="1"/>
  <c r="B7" i="18" s="1"/>
  <c r="F7" i="18" s="1"/>
  <c r="K69" i="9"/>
  <c r="K166" i="9"/>
  <c r="K204" i="9"/>
  <c r="K89" i="9"/>
  <c r="K117" i="9"/>
  <c r="K220" i="9"/>
  <c r="K58" i="9"/>
  <c r="B51" i="12" s="1"/>
  <c r="K284" i="9"/>
  <c r="K162" i="9"/>
  <c r="B155" i="12" s="1"/>
  <c r="K212" i="9"/>
  <c r="K196" i="9"/>
  <c r="K278" i="9"/>
  <c r="K228" i="9"/>
  <c r="B222" i="12" s="1"/>
  <c r="K93" i="9"/>
  <c r="K197" i="9"/>
  <c r="K188" i="9"/>
  <c r="K200" i="9"/>
  <c r="B194" i="12" s="1"/>
  <c r="K283" i="9"/>
  <c r="B277" i="12" s="1"/>
  <c r="K158" i="9"/>
  <c r="B151" i="12" s="1"/>
  <c r="K119" i="9"/>
  <c r="B112" i="12" s="1"/>
  <c r="B15" i="18" s="1"/>
  <c r="F15" i="18" s="1"/>
  <c r="K44" i="9"/>
  <c r="B37" i="12" s="1"/>
  <c r="K178" i="9"/>
  <c r="K64" i="9"/>
  <c r="K286" i="9"/>
  <c r="K195" i="9"/>
  <c r="B189" i="12" s="1"/>
  <c r="K226" i="9"/>
  <c r="B220" i="12" s="1"/>
  <c r="K187" i="9"/>
  <c r="K170" i="9"/>
  <c r="K169" i="9"/>
  <c r="K190" i="9"/>
  <c r="B184" i="12" s="1"/>
  <c r="K65" i="9"/>
  <c r="K140" i="9"/>
  <c r="K191" i="9"/>
  <c r="B185" i="12" s="1"/>
  <c r="K141" i="9"/>
  <c r="K22" i="9"/>
  <c r="K243" i="9"/>
  <c r="B237" i="12" s="1"/>
  <c r="B33" i="18" s="1"/>
  <c r="K225" i="9"/>
  <c r="K96" i="9"/>
  <c r="K115" i="9"/>
  <c r="B108" i="12" s="1"/>
  <c r="K218" i="9"/>
  <c r="B212" i="12" s="1"/>
  <c r="K60" i="9"/>
  <c r="B53" i="12" s="1"/>
  <c r="B9" i="18" s="1"/>
  <c r="F9" i="18" s="1"/>
  <c r="K232" i="9"/>
  <c r="K156" i="9"/>
  <c r="K172" i="9"/>
  <c r="B165" i="12" s="1"/>
  <c r="K173" i="9"/>
  <c r="B166" i="12" s="1"/>
  <c r="K189" i="9"/>
  <c r="B183" i="12" s="1"/>
  <c r="F477" i="9"/>
  <c r="F478" i="9"/>
  <c r="O5" i="9"/>
  <c r="L17" i="9"/>
  <c r="B17" i="7" s="1"/>
  <c r="F423" i="9"/>
  <c r="F508" i="9"/>
  <c r="AG9" i="9"/>
  <c r="G138" i="9"/>
  <c r="K138" i="9" s="1"/>
  <c r="G148" i="9"/>
  <c r="K148" i="9" s="1"/>
  <c r="B141" i="12" s="1"/>
  <c r="G76" i="9"/>
  <c r="K76" i="9" s="1"/>
  <c r="B69" i="12" s="1"/>
  <c r="G181" i="9"/>
  <c r="K181" i="9" s="1"/>
  <c r="G127" i="9"/>
  <c r="K127" i="9" s="1"/>
  <c r="K101" i="9"/>
  <c r="G84" i="9"/>
  <c r="K84" i="9" s="1"/>
  <c r="G252" i="9"/>
  <c r="K252" i="9" s="1"/>
  <c r="O7" i="9"/>
  <c r="K91" i="9"/>
  <c r="O8" i="9"/>
  <c r="G139" i="9"/>
  <c r="K139" i="9" s="1"/>
  <c r="B132" i="12" s="1"/>
  <c r="G149" i="9"/>
  <c r="K149" i="9" s="1"/>
  <c r="B142" i="12" s="1"/>
  <c r="B19" i="18" s="1"/>
  <c r="F19" i="18" s="1"/>
  <c r="G143" i="9"/>
  <c r="K143" i="9" s="1"/>
  <c r="B136" i="12" s="1"/>
  <c r="B17" i="18" s="1"/>
  <c r="F17" i="18" s="1"/>
  <c r="G151" i="9"/>
  <c r="K151" i="9" s="1"/>
  <c r="B144" i="12" s="1"/>
  <c r="G199" i="9"/>
  <c r="K199" i="9" s="1"/>
  <c r="B193" i="12" s="1"/>
  <c r="G180" i="9"/>
  <c r="K180" i="9" s="1"/>
  <c r="G77" i="9"/>
  <c r="K77" i="9" s="1"/>
  <c r="S9" i="9"/>
  <c r="G179" i="9"/>
  <c r="K179" i="9" s="1"/>
  <c r="O6" i="9"/>
  <c r="O9" i="9"/>
  <c r="G175" i="9"/>
  <c r="K175" i="9" s="1"/>
  <c r="O4" i="9"/>
  <c r="K205" i="9"/>
  <c r="K116" i="9"/>
  <c r="K66" i="9"/>
  <c r="K163" i="9"/>
  <c r="B156" i="12" s="1"/>
  <c r="G183" i="9"/>
  <c r="K183" i="9" s="1"/>
  <c r="B177" i="12" s="1"/>
  <c r="J4" i="8"/>
  <c r="E177" i="12" l="1"/>
  <c r="E150" i="12"/>
  <c r="F37" i="18"/>
  <c r="F38" i="18"/>
  <c r="F36" i="18"/>
  <c r="F27" i="18"/>
  <c r="H97" i="12"/>
  <c r="I97" i="12" s="1"/>
  <c r="B12" i="18"/>
  <c r="F12" i="18" s="1"/>
  <c r="V254" i="12"/>
  <c r="I254" i="12"/>
  <c r="H202" i="12"/>
  <c r="H247" i="12"/>
  <c r="I247" i="12" s="1"/>
  <c r="H201" i="12"/>
  <c r="I201" i="12" s="1"/>
  <c r="C265" i="12"/>
  <c r="C299" i="12"/>
  <c r="C42" i="18" s="1"/>
  <c r="H204" i="12"/>
  <c r="H66" i="12"/>
  <c r="I66" i="12" s="1"/>
  <c r="B84" i="12"/>
  <c r="H84" i="12" s="1"/>
  <c r="I84" i="12" s="1"/>
  <c r="B57" i="12"/>
  <c r="H57" i="12" s="1"/>
  <c r="I57" i="12" s="1"/>
  <c r="B198" i="12"/>
  <c r="H198" i="12" s="1"/>
  <c r="I198" i="12" s="1"/>
  <c r="V256" i="12"/>
  <c r="I256" i="12"/>
  <c r="B175" i="12"/>
  <c r="H175" i="12" s="1"/>
  <c r="I175" i="12" s="1"/>
  <c r="W225" i="9"/>
  <c r="B219" i="12"/>
  <c r="B124" i="12"/>
  <c r="H124" i="12" s="1"/>
  <c r="I124" i="12" s="1"/>
  <c r="H256" i="12"/>
  <c r="C36" i="12"/>
  <c r="H251" i="12"/>
  <c r="I251" i="12" s="1"/>
  <c r="H44" i="12"/>
  <c r="B168" i="12"/>
  <c r="H168" i="12" s="1"/>
  <c r="B182" i="12"/>
  <c r="H182" i="12" s="1"/>
  <c r="I182" i="12" s="1"/>
  <c r="B60" i="12"/>
  <c r="H60" i="12" s="1"/>
  <c r="I60" i="12" s="1"/>
  <c r="C148" i="12"/>
  <c r="B191" i="12"/>
  <c r="H191" i="12" s="1"/>
  <c r="I191" i="12" s="1"/>
  <c r="B275" i="12"/>
  <c r="H275" i="12" s="1"/>
  <c r="I275" i="12" s="1"/>
  <c r="H286" i="12"/>
  <c r="H257" i="12"/>
  <c r="I257" i="12" s="1"/>
  <c r="B131" i="12"/>
  <c r="H131" i="12" s="1"/>
  <c r="I131" i="12" s="1"/>
  <c r="B134" i="12"/>
  <c r="H134" i="12" s="1"/>
  <c r="I134" i="12" s="1"/>
  <c r="B86" i="12"/>
  <c r="B11" i="18" s="1"/>
  <c r="F11" i="18" s="1"/>
  <c r="W220" i="9"/>
  <c r="B214" i="12"/>
  <c r="H214" i="12" s="1"/>
  <c r="I214" i="12" s="1"/>
  <c r="B137" i="12"/>
  <c r="H137" i="12" s="1"/>
  <c r="I137" i="12" s="1"/>
  <c r="B110" i="12"/>
  <c r="H255" i="12"/>
  <c r="I255" i="12" s="1"/>
  <c r="H269" i="12"/>
  <c r="I269" i="12" s="1"/>
  <c r="H158" i="12"/>
  <c r="I158" i="12" s="1"/>
  <c r="B280" i="12"/>
  <c r="H280" i="12" s="1"/>
  <c r="I280" i="12" s="1"/>
  <c r="B82" i="12"/>
  <c r="H82" i="12" s="1"/>
  <c r="I82" i="12" s="1"/>
  <c r="I119" i="12"/>
  <c r="H260" i="12"/>
  <c r="I260" i="12" s="1"/>
  <c r="B173" i="12"/>
  <c r="H173" i="12" s="1"/>
  <c r="I173" i="12" s="1"/>
  <c r="B87" i="12"/>
  <c r="H87" i="12" s="1"/>
  <c r="I87" i="12" s="1"/>
  <c r="H180" i="12"/>
  <c r="B70" i="12"/>
  <c r="B58" i="12"/>
  <c r="H58" i="12" s="1"/>
  <c r="I58" i="12" s="1"/>
  <c r="B190" i="12"/>
  <c r="H190" i="12" s="1"/>
  <c r="I190" i="12" s="1"/>
  <c r="B206" i="12"/>
  <c r="H206" i="12" s="1"/>
  <c r="I206" i="12" s="1"/>
  <c r="H154" i="12"/>
  <c r="H76" i="12"/>
  <c r="B163" i="12"/>
  <c r="H163" i="12" s="1"/>
  <c r="I163" i="12" s="1"/>
  <c r="B278" i="12"/>
  <c r="H278" i="12" s="1"/>
  <c r="I278" i="12" s="1"/>
  <c r="B149" i="12"/>
  <c r="H149" i="12" s="1"/>
  <c r="W232" i="9"/>
  <c r="B226" i="12"/>
  <c r="H226" i="12" s="1"/>
  <c r="I226" i="12" s="1"/>
  <c r="D23" i="18"/>
  <c r="B171" i="12"/>
  <c r="H171" i="12" s="1"/>
  <c r="B159" i="12"/>
  <c r="B246" i="12"/>
  <c r="H246" i="12" s="1"/>
  <c r="I246" i="12" s="1"/>
  <c r="C50" i="12"/>
  <c r="C8" i="18" s="1"/>
  <c r="B62" i="12"/>
  <c r="H62" i="12" s="1"/>
  <c r="I62" i="12" s="1"/>
  <c r="H254" i="12"/>
  <c r="H119" i="12"/>
  <c r="H73" i="12"/>
  <c r="H285" i="12"/>
  <c r="I285" i="12" s="1"/>
  <c r="H252" i="12"/>
  <c r="I252" i="12" s="1"/>
  <c r="B59" i="12"/>
  <c r="B77" i="12"/>
  <c r="H77" i="12" s="1"/>
  <c r="I77" i="12" s="1"/>
  <c r="B109" i="12"/>
  <c r="H109" i="12" s="1"/>
  <c r="I109" i="12" s="1"/>
  <c r="B94" i="12"/>
  <c r="H94" i="12" s="1"/>
  <c r="I94" i="12" s="1"/>
  <c r="H49" i="12"/>
  <c r="H68" i="12"/>
  <c r="B199" i="12"/>
  <c r="H199" i="12" s="1"/>
  <c r="I199" i="12" s="1"/>
  <c r="B120" i="12"/>
  <c r="H120" i="12" s="1"/>
  <c r="I120" i="12" s="1"/>
  <c r="B89" i="12"/>
  <c r="H89" i="12" s="1"/>
  <c r="I89" i="12" s="1"/>
  <c r="B279" i="12"/>
  <c r="H279" i="12" s="1"/>
  <c r="I279" i="12" s="1"/>
  <c r="B133" i="12"/>
  <c r="B272" i="12"/>
  <c r="H272" i="12" s="1"/>
  <c r="B61" i="12"/>
  <c r="H61" i="12" s="1"/>
  <c r="I61" i="12" s="1"/>
  <c r="V259" i="12"/>
  <c r="B39" i="18"/>
  <c r="F39" i="18" s="1"/>
  <c r="B174" i="12"/>
  <c r="H174" i="12" s="1"/>
  <c r="I174" i="12" s="1"/>
  <c r="C197" i="12"/>
  <c r="C26" i="18" s="1"/>
  <c r="B162" i="12"/>
  <c r="H162" i="12" s="1"/>
  <c r="C157" i="12"/>
  <c r="C22" i="18" s="1"/>
  <c r="B21" i="18"/>
  <c r="B181" i="12"/>
  <c r="H181" i="12" s="1"/>
  <c r="I181" i="12" s="1"/>
  <c r="H55" i="12"/>
  <c r="H80" i="12"/>
  <c r="I80" i="12" s="1"/>
  <c r="H177" i="12"/>
  <c r="I177" i="12" s="1"/>
  <c r="I195" i="12"/>
  <c r="G25" i="18" s="1"/>
  <c r="F29" i="12"/>
  <c r="E5" i="18" s="1"/>
  <c r="B25" i="12"/>
  <c r="B18" i="12"/>
  <c r="C24" i="12" s="1"/>
  <c r="H17" i="12"/>
  <c r="I17" i="12" s="1"/>
  <c r="H16" i="12"/>
  <c r="I16" i="12" s="1"/>
  <c r="I270" i="12"/>
  <c r="I30" i="12"/>
  <c r="I250" i="12"/>
  <c r="I249" i="12"/>
  <c r="G36" i="18" s="1"/>
  <c r="D30" i="18"/>
  <c r="F30" i="18" s="1"/>
  <c r="I261" i="12"/>
  <c r="D34" i="18"/>
  <c r="H213" i="12"/>
  <c r="I213" i="12" s="1"/>
  <c r="W219" i="9"/>
  <c r="D32" i="18"/>
  <c r="F32" i="18" s="1"/>
  <c r="H222" i="12"/>
  <c r="I222" i="12" s="1"/>
  <c r="W228" i="9"/>
  <c r="D31" i="18"/>
  <c r="F31" i="18" s="1"/>
  <c r="H212" i="12"/>
  <c r="I212" i="12" s="1"/>
  <c r="W218" i="9"/>
  <c r="H220" i="12"/>
  <c r="I220" i="12" s="1"/>
  <c r="W226" i="9"/>
  <c r="D33" i="18"/>
  <c r="F33" i="18" s="1"/>
  <c r="W243" i="9"/>
  <c r="I295" i="12"/>
  <c r="K290" i="19"/>
  <c r="N322" i="19"/>
  <c r="E345" i="9"/>
  <c r="B41" i="7"/>
  <c r="I258" i="12"/>
  <c r="G38" i="18" s="1"/>
  <c r="F490" i="19"/>
  <c r="L159" i="19"/>
  <c r="F423" i="19"/>
  <c r="F431" i="19" s="1"/>
  <c r="K289" i="19"/>
  <c r="K309" i="19"/>
  <c r="K311" i="19"/>
  <c r="F503" i="19"/>
  <c r="F496" i="19"/>
  <c r="L195" i="19"/>
  <c r="F262" i="12"/>
  <c r="E40" i="18" s="1"/>
  <c r="I253" i="12"/>
  <c r="G37" i="18" s="1"/>
  <c r="I248" i="12"/>
  <c r="H13" i="12"/>
  <c r="I13" i="12" s="1"/>
  <c r="I234" i="12"/>
  <c r="G32" i="18" s="1"/>
  <c r="I232" i="12"/>
  <c r="G31" i="18" s="1"/>
  <c r="F385" i="9"/>
  <c r="H277" i="12"/>
  <c r="H194" i="12"/>
  <c r="H276" i="12"/>
  <c r="H289" i="12"/>
  <c r="H144" i="12"/>
  <c r="I221" i="12"/>
  <c r="G30" i="18" s="1"/>
  <c r="I211" i="12"/>
  <c r="G29" i="18" s="1"/>
  <c r="I241" i="12"/>
  <c r="I259" i="12"/>
  <c r="G39" i="18" s="1"/>
  <c r="J30" i="8"/>
  <c r="H45" i="12"/>
  <c r="I45" i="12" s="1"/>
  <c r="H136" i="12"/>
  <c r="I136" i="12" s="1"/>
  <c r="F139" i="12"/>
  <c r="H22" i="12"/>
  <c r="I22" i="12" s="1"/>
  <c r="F418" i="9"/>
  <c r="F406" i="9"/>
  <c r="H108" i="12"/>
  <c r="I108" i="12" s="1"/>
  <c r="F490" i="9"/>
  <c r="H151" i="12"/>
  <c r="I151" i="12" s="1"/>
  <c r="L164" i="9"/>
  <c r="B30" i="7" s="1"/>
  <c r="D21" i="18"/>
  <c r="F422" i="9"/>
  <c r="F503" i="9"/>
  <c r="F492" i="9"/>
  <c r="H165" i="12"/>
  <c r="I165" i="12" s="1"/>
  <c r="H189" i="12"/>
  <c r="I189" i="12" s="1"/>
  <c r="F192" i="12"/>
  <c r="J28" i="8"/>
  <c r="S28" i="8" s="1"/>
  <c r="F505" i="9"/>
  <c r="J29" i="8"/>
  <c r="S29" i="8" s="1"/>
  <c r="F405" i="9"/>
  <c r="H107" i="12"/>
  <c r="F207" i="12"/>
  <c r="E28" i="18" s="1"/>
  <c r="H142" i="12"/>
  <c r="I142" i="12" s="1"/>
  <c r="F498" i="9"/>
  <c r="H183" i="12"/>
  <c r="I183" i="12" s="1"/>
  <c r="F402" i="9"/>
  <c r="H104" i="12"/>
  <c r="I104" i="12" s="1"/>
  <c r="F491" i="9"/>
  <c r="H156" i="12"/>
  <c r="I156" i="12" s="1"/>
  <c r="F493" i="9"/>
  <c r="H166" i="12"/>
  <c r="I166" i="12" s="1"/>
  <c r="F504" i="9"/>
  <c r="F267" i="12"/>
  <c r="H267" i="12" s="1"/>
  <c r="I267" i="12" s="1"/>
  <c r="H266" i="12"/>
  <c r="I266" i="12" s="1"/>
  <c r="F408" i="9"/>
  <c r="L43" i="9"/>
  <c r="B20" i="7" s="1"/>
  <c r="F500" i="9"/>
  <c r="H185" i="12"/>
  <c r="I185" i="12" s="1"/>
  <c r="F281" i="12"/>
  <c r="F499" i="9"/>
  <c r="H184" i="12"/>
  <c r="I184" i="12" s="1"/>
  <c r="F467" i="9"/>
  <c r="H23" i="12"/>
  <c r="I23" i="12" s="1"/>
  <c r="L28" i="9"/>
  <c r="B18" i="7" s="1"/>
  <c r="J32" i="8"/>
  <c r="S32" i="8" s="1"/>
  <c r="L203" i="9"/>
  <c r="B36" i="7" s="1"/>
  <c r="F161" i="12"/>
  <c r="L142" i="9"/>
  <c r="B25" i="7" s="1"/>
  <c r="F170" i="12"/>
  <c r="V92" i="12"/>
  <c r="V93" i="12" s="1"/>
  <c r="H93" i="12"/>
  <c r="I93" i="12" s="1"/>
  <c r="F401" i="9"/>
  <c r="H103" i="12"/>
  <c r="I103" i="12" s="1"/>
  <c r="H46" i="12"/>
  <c r="I46" i="12" s="1"/>
  <c r="F271" i="12"/>
  <c r="H268" i="12"/>
  <c r="F265" i="12"/>
  <c r="H263" i="12"/>
  <c r="I263" i="12" s="1"/>
  <c r="H294" i="12"/>
  <c r="F299" i="12"/>
  <c r="E42" i="18" s="1"/>
  <c r="J6" i="8"/>
  <c r="S6" i="8" s="1"/>
  <c r="L57" i="9"/>
  <c r="B21" i="7" s="1"/>
  <c r="L268" i="9"/>
  <c r="F426" i="9"/>
  <c r="L159" i="9"/>
  <c r="B28" i="7" s="1"/>
  <c r="L213" i="9"/>
  <c r="B37" i="7" s="1"/>
  <c r="F496" i="9"/>
  <c r="L194" i="9"/>
  <c r="B34" i="7" s="1"/>
  <c r="L34" i="9"/>
  <c r="L287" i="9"/>
  <c r="B43" i="7" s="1"/>
  <c r="F511" i="9"/>
  <c r="L198" i="9"/>
  <c r="B35" i="7" s="1"/>
  <c r="L146" i="9"/>
  <c r="B26" i="7" s="1"/>
  <c r="L155" i="9"/>
  <c r="B27" i="7" s="1"/>
  <c r="L71" i="9"/>
  <c r="B22" i="7" s="1"/>
  <c r="L86" i="9"/>
  <c r="B23" i="7" s="1"/>
  <c r="L168" i="9"/>
  <c r="L174" i="9"/>
  <c r="B32" i="7" s="1"/>
  <c r="L177" i="9"/>
  <c r="F481" i="9"/>
  <c r="L125" i="9"/>
  <c r="B24" i="7" s="1"/>
  <c r="L251" i="9"/>
  <c r="B38" i="7" s="1"/>
  <c r="N321" i="9"/>
  <c r="F482" i="9"/>
  <c r="F488" i="9"/>
  <c r="F483" i="9"/>
  <c r="F489" i="9"/>
  <c r="F501" i="9"/>
  <c r="F494" i="9"/>
  <c r="F463" i="9"/>
  <c r="F429" i="9"/>
  <c r="F484" i="9"/>
  <c r="F414" i="9"/>
  <c r="F363" i="9"/>
  <c r="E321" i="9"/>
  <c r="F407" i="9"/>
  <c r="K288" i="9"/>
  <c r="B282" i="12" s="1"/>
  <c r="C284" i="12" s="1"/>
  <c r="F389" i="9"/>
  <c r="E350" i="9"/>
  <c r="F386" i="9"/>
  <c r="E346" i="9"/>
  <c r="F419" i="9"/>
  <c r="F495" i="9"/>
  <c r="F502" i="9"/>
  <c r="F33" i="8"/>
  <c r="M33" i="8" s="1"/>
  <c r="G33" i="8"/>
  <c r="N33" i="8" s="1"/>
  <c r="H33" i="8"/>
  <c r="O33" i="8" s="1"/>
  <c r="J17" i="1"/>
  <c r="E283" i="12" l="1"/>
  <c r="H283" i="23"/>
  <c r="I283" i="23" s="1"/>
  <c r="C303" i="23"/>
  <c r="H303" i="23" s="1"/>
  <c r="I303" i="23" s="1"/>
  <c r="H302" i="23"/>
  <c r="I302" i="23" s="1"/>
  <c r="E282" i="12"/>
  <c r="H150" i="23"/>
  <c r="I150" i="23" s="1"/>
  <c r="C152" i="23"/>
  <c r="H152" i="23" s="1"/>
  <c r="I152" i="23" s="1"/>
  <c r="H177" i="23"/>
  <c r="I177" i="23" s="1"/>
  <c r="C188" i="23"/>
  <c r="H188" i="23" s="1"/>
  <c r="I188" i="23" s="1"/>
  <c r="E304" i="12"/>
  <c r="H304" i="12" s="1"/>
  <c r="I304" i="12" s="1"/>
  <c r="H265" i="12"/>
  <c r="I265" i="12" s="1"/>
  <c r="C192" i="12"/>
  <c r="F21" i="18"/>
  <c r="G34" i="18"/>
  <c r="F34" i="18"/>
  <c r="F42" i="18"/>
  <c r="H110" i="12"/>
  <c r="I110" i="12" s="1"/>
  <c r="B14" i="18"/>
  <c r="F14" i="18" s="1"/>
  <c r="C29" i="12"/>
  <c r="C5" i="18" s="1"/>
  <c r="F5" i="18" s="1"/>
  <c r="B4" i="18"/>
  <c r="F4" i="18" s="1"/>
  <c r="C64" i="12"/>
  <c r="C10" i="18" s="1"/>
  <c r="C16" i="18"/>
  <c r="C20" i="18"/>
  <c r="I202" i="12"/>
  <c r="G27" i="18" s="1"/>
  <c r="C118" i="12"/>
  <c r="H159" i="12"/>
  <c r="I159" i="12" s="1"/>
  <c r="I204" i="12"/>
  <c r="C139" i="12"/>
  <c r="H139" i="12" s="1"/>
  <c r="I139" i="12" s="1"/>
  <c r="C245" i="12"/>
  <c r="C35" i="18" s="1"/>
  <c r="C79" i="12"/>
  <c r="C135" i="12"/>
  <c r="H133" i="12"/>
  <c r="I133" i="12" s="1"/>
  <c r="C167" i="12"/>
  <c r="H219" i="12"/>
  <c r="I219" i="12" s="1"/>
  <c r="H192" i="12"/>
  <c r="I192" i="12" s="1"/>
  <c r="I180" i="12"/>
  <c r="V246" i="12"/>
  <c r="C262" i="12"/>
  <c r="C40" i="18" s="1"/>
  <c r="F40" i="18" s="1"/>
  <c r="C207" i="12"/>
  <c r="C28" i="18" s="1"/>
  <c r="F28" i="18" s="1"/>
  <c r="C152" i="12"/>
  <c r="C18" i="18" s="1"/>
  <c r="C281" i="12"/>
  <c r="H86" i="12"/>
  <c r="I86" i="12" s="1"/>
  <c r="H59" i="12"/>
  <c r="I59" i="12" s="1"/>
  <c r="C161" i="12"/>
  <c r="C188" i="12"/>
  <c r="C24" i="18" s="1"/>
  <c r="B23" i="18"/>
  <c r="F23" i="18" s="1"/>
  <c r="H70" i="12"/>
  <c r="I70" i="12" s="1"/>
  <c r="C170" i="12"/>
  <c r="L310" i="19"/>
  <c r="C38" i="8" s="1"/>
  <c r="E302" i="12"/>
  <c r="H302" i="12" s="1"/>
  <c r="I302" i="12" s="1"/>
  <c r="H18" i="12"/>
  <c r="I18" i="12" s="1"/>
  <c r="H25" i="12"/>
  <c r="I25" i="12" s="1"/>
  <c r="K307" i="19"/>
  <c r="H237" i="12"/>
  <c r="U30" i="8"/>
  <c r="S30" i="8"/>
  <c r="Q33" i="8"/>
  <c r="V32" i="8"/>
  <c r="U32" i="8"/>
  <c r="D34" i="7"/>
  <c r="C22" i="8"/>
  <c r="J22" i="8" s="1"/>
  <c r="D28" i="7"/>
  <c r="C17" i="8"/>
  <c r="J17" i="8" s="1"/>
  <c r="O323" i="19"/>
  <c r="F365" i="9"/>
  <c r="B19" i="7"/>
  <c r="E344" i="9"/>
  <c r="B39" i="7"/>
  <c r="E338" i="9"/>
  <c r="B33" i="7"/>
  <c r="F376" i="9"/>
  <c r="B31" i="7"/>
  <c r="L291" i="19"/>
  <c r="C36" i="8" s="1"/>
  <c r="K312" i="19"/>
  <c r="K313" i="19"/>
  <c r="F380" i="19"/>
  <c r="E340" i="19"/>
  <c r="E334" i="19"/>
  <c r="F375" i="19"/>
  <c r="F167" i="12"/>
  <c r="I289" i="12"/>
  <c r="I277" i="12"/>
  <c r="I276" i="12"/>
  <c r="H37" i="12"/>
  <c r="I144" i="12"/>
  <c r="G15" i="18" s="1"/>
  <c r="H150" i="12"/>
  <c r="I194" i="12"/>
  <c r="H32" i="12"/>
  <c r="H15" i="12"/>
  <c r="H53" i="12"/>
  <c r="I294" i="12"/>
  <c r="G41" i="18" s="1"/>
  <c r="H299" i="12"/>
  <c r="I268" i="12"/>
  <c r="H271" i="12"/>
  <c r="I272" i="12"/>
  <c r="I171" i="12"/>
  <c r="G23" i="18" s="1"/>
  <c r="I168" i="12"/>
  <c r="I162" i="12"/>
  <c r="I149" i="12"/>
  <c r="H29" i="12"/>
  <c r="F50" i="12"/>
  <c r="E8" i="18" s="1"/>
  <c r="F8" i="18" s="1"/>
  <c r="N322" i="9"/>
  <c r="N323" i="9" s="1"/>
  <c r="O322" i="9"/>
  <c r="J14" i="8"/>
  <c r="L315" i="12"/>
  <c r="L316" i="12" s="1"/>
  <c r="L317" i="12" s="1"/>
  <c r="F245" i="12"/>
  <c r="E35" i="18" s="1"/>
  <c r="F36" i="12"/>
  <c r="F188" i="12"/>
  <c r="E24" i="18" s="1"/>
  <c r="F152" i="12"/>
  <c r="E18" i="18" s="1"/>
  <c r="U28" i="8"/>
  <c r="V28" i="8"/>
  <c r="W28" i="8"/>
  <c r="X28" i="8"/>
  <c r="H69" i="12"/>
  <c r="F79" i="12"/>
  <c r="F157" i="12"/>
  <c r="E22" i="18" s="1"/>
  <c r="F22" i="18" s="1"/>
  <c r="H155" i="12"/>
  <c r="J18" i="8"/>
  <c r="J31" i="8"/>
  <c r="H141" i="12"/>
  <c r="F148" i="12"/>
  <c r="E324" i="9"/>
  <c r="J8" i="8"/>
  <c r="F24" i="12"/>
  <c r="H51" i="12"/>
  <c r="V47" i="12"/>
  <c r="V48" i="12" s="1"/>
  <c r="F64" i="12"/>
  <c r="E10" i="18" s="1"/>
  <c r="H193" i="12"/>
  <c r="I193" i="12" s="1"/>
  <c r="F197" i="12"/>
  <c r="E26" i="18" s="1"/>
  <c r="F26" i="18" s="1"/>
  <c r="J19" i="8"/>
  <c r="E336" i="9"/>
  <c r="H132" i="12"/>
  <c r="I132" i="12" s="1"/>
  <c r="F135" i="12"/>
  <c r="J21" i="8"/>
  <c r="F378" i="9"/>
  <c r="J15" i="8"/>
  <c r="F409" i="9"/>
  <c r="H112" i="12"/>
  <c r="I112" i="12" s="1"/>
  <c r="F118" i="12"/>
  <c r="F384" i="9"/>
  <c r="F417" i="9"/>
  <c r="J27" i="8"/>
  <c r="H282" i="12"/>
  <c r="I282" i="12" s="1"/>
  <c r="E333" i="9"/>
  <c r="E322" i="9"/>
  <c r="J7" i="8"/>
  <c r="F381" i="9"/>
  <c r="J24" i="8"/>
  <c r="F367" i="9"/>
  <c r="J10" i="8"/>
  <c r="F380" i="9"/>
  <c r="J23" i="8"/>
  <c r="E329" i="9"/>
  <c r="J13" i="8"/>
  <c r="F368" i="9"/>
  <c r="J11" i="8"/>
  <c r="E328" i="9"/>
  <c r="J12" i="8"/>
  <c r="F415" i="9"/>
  <c r="J25" i="8"/>
  <c r="E325" i="9"/>
  <c r="J9" i="8"/>
  <c r="F373" i="9"/>
  <c r="J16" i="8"/>
  <c r="F377" i="9"/>
  <c r="J20" i="8"/>
  <c r="E343" i="9"/>
  <c r="U29" i="8"/>
  <c r="W29" i="8"/>
  <c r="V29" i="8"/>
  <c r="X29" i="8"/>
  <c r="X30" i="8"/>
  <c r="W30" i="8"/>
  <c r="V30" i="8"/>
  <c r="X32" i="8"/>
  <c r="W32" i="8"/>
  <c r="U6" i="8"/>
  <c r="W6" i="8"/>
  <c r="V6" i="8"/>
  <c r="X6" i="8"/>
  <c r="F366" i="9"/>
  <c r="E340" i="9"/>
  <c r="E337" i="9"/>
  <c r="E332" i="9"/>
  <c r="E327" i="9"/>
  <c r="E341" i="9"/>
  <c r="F382" i="9"/>
  <c r="E326" i="9"/>
  <c r="E342" i="9"/>
  <c r="F374" i="9"/>
  <c r="F370" i="9"/>
  <c r="F387" i="9"/>
  <c r="E347" i="9"/>
  <c r="F383" i="9"/>
  <c r="F416" i="9"/>
  <c r="F369" i="9"/>
  <c r="F364" i="9"/>
  <c r="E339" i="9"/>
  <c r="F379" i="9"/>
  <c r="E330" i="9"/>
  <c r="F371" i="9"/>
  <c r="F375" i="9"/>
  <c r="E335" i="9"/>
  <c r="F372" i="9"/>
  <c r="E331" i="9"/>
  <c r="G247" i="1"/>
  <c r="G166" i="1"/>
  <c r="J61" i="1"/>
  <c r="K61" i="1" s="1"/>
  <c r="J62" i="1"/>
  <c r="K62" i="1" s="1"/>
  <c r="J108" i="1"/>
  <c r="K108" i="1" s="1"/>
  <c r="J126" i="1"/>
  <c r="K126" i="1" s="1"/>
  <c r="J175" i="1"/>
  <c r="K175" i="1" s="1"/>
  <c r="J180" i="1"/>
  <c r="K180" i="1" s="1"/>
  <c r="G200" i="1"/>
  <c r="E300" i="12" l="1"/>
  <c r="H304" i="23"/>
  <c r="I304" i="23" s="1"/>
  <c r="E305" i="12"/>
  <c r="H305" i="12" s="1"/>
  <c r="I305" i="12" s="1"/>
  <c r="H305" i="23"/>
  <c r="I305" i="23" s="1"/>
  <c r="C284" i="23"/>
  <c r="H284" i="23" s="1"/>
  <c r="I284" i="23" s="1"/>
  <c r="I282" i="23"/>
  <c r="H282" i="23"/>
  <c r="E306" i="12"/>
  <c r="H306" i="12" s="1"/>
  <c r="I306" i="12" s="1"/>
  <c r="H306" i="23"/>
  <c r="I306" i="23" s="1"/>
  <c r="F35" i="18"/>
  <c r="F24" i="18"/>
  <c r="F18" i="18"/>
  <c r="F10" i="18"/>
  <c r="H118" i="12"/>
  <c r="I118" i="12" s="1"/>
  <c r="E16" i="18"/>
  <c r="F16" i="18" s="1"/>
  <c r="E20" i="18"/>
  <c r="F20" i="18" s="1"/>
  <c r="H207" i="12"/>
  <c r="H262" i="12"/>
  <c r="F303" i="12"/>
  <c r="H303" i="12" s="1"/>
  <c r="I303" i="12" s="1"/>
  <c r="H170" i="12"/>
  <c r="H281" i="12"/>
  <c r="C312" i="12"/>
  <c r="H161" i="12"/>
  <c r="I161" i="12" s="1"/>
  <c r="D47" i="7"/>
  <c r="I32" i="12"/>
  <c r="I237" i="12"/>
  <c r="G33" i="18" s="1"/>
  <c r="X13" i="8"/>
  <c r="S13" i="8"/>
  <c r="U10" i="8"/>
  <c r="S10" i="8"/>
  <c r="X31" i="8"/>
  <c r="S31" i="8"/>
  <c r="W22" i="8"/>
  <c r="S22" i="8"/>
  <c r="X14" i="8"/>
  <c r="S14" i="8"/>
  <c r="U23" i="8"/>
  <c r="S23" i="8"/>
  <c r="U17" i="8"/>
  <c r="S17" i="8"/>
  <c r="U12" i="8"/>
  <c r="S12" i="8"/>
  <c r="X8" i="8"/>
  <c r="S8" i="8"/>
  <c r="W18" i="8"/>
  <c r="S18" i="8"/>
  <c r="W15" i="8"/>
  <c r="S15" i="8"/>
  <c r="X24" i="8"/>
  <c r="S24" i="8"/>
  <c r="U21" i="8"/>
  <c r="S21" i="8"/>
  <c r="W20" i="8"/>
  <c r="S20" i="8"/>
  <c r="V7" i="8"/>
  <c r="S7" i="8"/>
  <c r="X16" i="8"/>
  <c r="S16" i="8"/>
  <c r="X19" i="8"/>
  <c r="S19" i="8"/>
  <c r="X9" i="8"/>
  <c r="S9" i="8"/>
  <c r="X25" i="8"/>
  <c r="S25" i="8"/>
  <c r="W11" i="8"/>
  <c r="S11" i="8"/>
  <c r="V27" i="8"/>
  <c r="S27" i="8"/>
  <c r="L317" i="19"/>
  <c r="F393" i="19"/>
  <c r="N323" i="19"/>
  <c r="N324" i="19" s="1"/>
  <c r="H14" i="19" s="1"/>
  <c r="J14" i="19" s="1"/>
  <c r="K14" i="19" s="1"/>
  <c r="F389" i="19"/>
  <c r="D44" i="7"/>
  <c r="L314" i="19"/>
  <c r="H167" i="12"/>
  <c r="I15" i="12"/>
  <c r="I37" i="12"/>
  <c r="I53" i="12"/>
  <c r="G9" i="18" s="1"/>
  <c r="I150" i="12"/>
  <c r="H283" i="12"/>
  <c r="I299" i="12"/>
  <c r="G42" i="18" s="1"/>
  <c r="I271" i="12"/>
  <c r="H245" i="12"/>
  <c r="H197" i="12"/>
  <c r="H188" i="12"/>
  <c r="H152" i="12"/>
  <c r="I155" i="12"/>
  <c r="G21" i="18" s="1"/>
  <c r="H157" i="12"/>
  <c r="H79" i="12"/>
  <c r="I69" i="12"/>
  <c r="I51" i="12"/>
  <c r="H64" i="12"/>
  <c r="H50" i="12"/>
  <c r="H36" i="12"/>
  <c r="I29" i="12"/>
  <c r="G5" i="18" s="1"/>
  <c r="H24" i="12"/>
  <c r="H148" i="12"/>
  <c r="I141" i="12"/>
  <c r="G14" i="18" s="1"/>
  <c r="H135" i="12"/>
  <c r="U14" i="8"/>
  <c r="V14" i="8"/>
  <c r="W14" i="8"/>
  <c r="X21" i="8"/>
  <c r="U31" i="8"/>
  <c r="V31" i="8"/>
  <c r="W31" i="8"/>
  <c r="U19" i="8"/>
  <c r="W19" i="8"/>
  <c r="V19" i="8"/>
  <c r="U8" i="8"/>
  <c r="W8" i="8"/>
  <c r="V8" i="8"/>
  <c r="V18" i="8"/>
  <c r="X18" i="8"/>
  <c r="U18" i="8"/>
  <c r="W21" i="8"/>
  <c r="V21" i="8"/>
  <c r="X15" i="8"/>
  <c r="U15" i="8"/>
  <c r="V15" i="8"/>
  <c r="X22" i="8"/>
  <c r="U22" i="8"/>
  <c r="V22" i="8"/>
  <c r="W27" i="8"/>
  <c r="U27" i="8"/>
  <c r="X27" i="8"/>
  <c r="F284" i="12"/>
  <c r="X17" i="8"/>
  <c r="W17" i="8"/>
  <c r="V17" i="8"/>
  <c r="W7" i="8"/>
  <c r="X7" i="8"/>
  <c r="W13" i="8"/>
  <c r="V13" i="8"/>
  <c r="U13" i="8"/>
  <c r="U7" i="8"/>
  <c r="V24" i="8"/>
  <c r="U24" i="8"/>
  <c r="W24" i="8"/>
  <c r="V11" i="8"/>
  <c r="W23" i="8"/>
  <c r="W12" i="8"/>
  <c r="W25" i="8"/>
  <c r="W10" i="8"/>
  <c r="V23" i="8"/>
  <c r="X12" i="8"/>
  <c r="U25" i="8"/>
  <c r="V12" i="8"/>
  <c r="V25" i="8"/>
  <c r="X11" i="8"/>
  <c r="X23" i="8"/>
  <c r="X10" i="8"/>
  <c r="U11" i="8"/>
  <c r="V10" i="8"/>
  <c r="U9" i="8"/>
  <c r="V9" i="8"/>
  <c r="F430" i="9"/>
  <c r="W9" i="8"/>
  <c r="W16" i="8"/>
  <c r="V16" i="8"/>
  <c r="U16" i="8"/>
  <c r="U20" i="8"/>
  <c r="X20" i="8"/>
  <c r="V20" i="8"/>
  <c r="C33" i="8"/>
  <c r="J26" i="8"/>
  <c r="S26" i="8" s="1"/>
  <c r="G204" i="1"/>
  <c r="C12" i="23" l="1"/>
  <c r="H11" i="23"/>
  <c r="I11" i="23" s="1"/>
  <c r="F307" i="12"/>
  <c r="C301" i="23"/>
  <c r="H301" i="23" s="1"/>
  <c r="I301" i="23" s="1"/>
  <c r="H300" i="23"/>
  <c r="I300" i="23" s="1"/>
  <c r="C307" i="23"/>
  <c r="H307" i="23" s="1"/>
  <c r="I307" i="23" s="1"/>
  <c r="G17" i="18"/>
  <c r="G19" i="18"/>
  <c r="I262" i="12"/>
  <c r="G40" i="18" s="1"/>
  <c r="G11" i="18"/>
  <c r="G12" i="18"/>
  <c r="G13" i="18"/>
  <c r="G7" i="18"/>
  <c r="G6" i="18"/>
  <c r="I281" i="12"/>
  <c r="I207" i="12"/>
  <c r="G28" i="18" s="1"/>
  <c r="I170" i="12"/>
  <c r="C6" i="12"/>
  <c r="C43" i="18"/>
  <c r="D49" i="7"/>
  <c r="C40" i="8"/>
  <c r="L15" i="19"/>
  <c r="C35" i="8" s="1"/>
  <c r="E11" i="12"/>
  <c r="D48" i="7"/>
  <c r="C39" i="8"/>
  <c r="F391" i="19"/>
  <c r="E354" i="19"/>
  <c r="L308" i="19"/>
  <c r="F392" i="19" s="1"/>
  <c r="I167" i="12"/>
  <c r="I283" i="12"/>
  <c r="I245" i="12"/>
  <c r="G35" i="18" s="1"/>
  <c r="I197" i="12"/>
  <c r="G26" i="18" s="1"/>
  <c r="I188" i="12"/>
  <c r="G24" i="18" s="1"/>
  <c r="I152" i="12"/>
  <c r="I157" i="12"/>
  <c r="G22" i="18" s="1"/>
  <c r="I79" i="12"/>
  <c r="I64" i="12"/>
  <c r="G10" i="18" s="1"/>
  <c r="I50" i="12"/>
  <c r="G8" i="18" s="1"/>
  <c r="I36" i="12"/>
  <c r="I24" i="12"/>
  <c r="I148" i="12"/>
  <c r="G16" i="18" s="1"/>
  <c r="I135" i="12"/>
  <c r="H307" i="12"/>
  <c r="I307" i="12" s="1"/>
  <c r="H284" i="12"/>
  <c r="X26" i="8"/>
  <c r="V26" i="8"/>
  <c r="U26" i="8"/>
  <c r="W26" i="8"/>
  <c r="J33" i="8"/>
  <c r="S33" i="8" s="1"/>
  <c r="F45" i="7"/>
  <c r="F40" i="7"/>
  <c r="F43" i="7"/>
  <c r="F42" i="7"/>
  <c r="F41" i="7"/>
  <c r="F39" i="7"/>
  <c r="F38" i="7"/>
  <c r="F37" i="7"/>
  <c r="F36" i="7"/>
  <c r="F35" i="7"/>
  <c r="F34" i="7"/>
  <c r="F33" i="7"/>
  <c r="F32" i="7"/>
  <c r="F31" i="7"/>
  <c r="F30" i="7"/>
  <c r="F28" i="7"/>
  <c r="F27" i="7"/>
  <c r="F26" i="7"/>
  <c r="F25" i="7"/>
  <c r="F24" i="7"/>
  <c r="F23" i="7"/>
  <c r="F22" i="7"/>
  <c r="F21" i="7"/>
  <c r="F20" i="7"/>
  <c r="F19" i="7"/>
  <c r="F18" i="7"/>
  <c r="F17" i="7"/>
  <c r="C312" i="23" l="1"/>
  <c r="H12" i="23"/>
  <c r="I12" i="23" s="1"/>
  <c r="G18" i="18"/>
  <c r="G20" i="18"/>
  <c r="E321" i="19"/>
  <c r="F363" i="19"/>
  <c r="F394" i="19" s="1"/>
  <c r="D16" i="7"/>
  <c r="C8" i="12"/>
  <c r="C7" i="12"/>
  <c r="L319" i="19"/>
  <c r="L320" i="19" s="1"/>
  <c r="C37" i="8"/>
  <c r="D46" i="7"/>
  <c r="I284" i="12"/>
  <c r="G29" i="7"/>
  <c r="F29" i="7"/>
  <c r="X33" i="8"/>
  <c r="W33" i="8"/>
  <c r="V33" i="8"/>
  <c r="U33" i="8"/>
  <c r="G7" i="7"/>
  <c r="C6" i="23" l="1"/>
  <c r="H312" i="23"/>
  <c r="I312" i="23" s="1"/>
  <c r="C313" i="23"/>
  <c r="F395" i="19"/>
  <c r="K2" i="19"/>
  <c r="C29" i="4" s="1"/>
  <c r="C32" i="4" s="1"/>
  <c r="E356" i="19"/>
  <c r="E357" i="19" s="1"/>
  <c r="J274" i="1"/>
  <c r="K274" i="1" s="1"/>
  <c r="J273" i="1"/>
  <c r="J265" i="1"/>
  <c r="K265" i="1" s="1"/>
  <c r="C8" i="23" l="1"/>
  <c r="I8" i="23" s="1"/>
  <c r="C7" i="23"/>
  <c r="I7" i="23" s="1"/>
  <c r="I6" i="23"/>
  <c r="K4" i="19"/>
  <c r="K6" i="19"/>
  <c r="D10" i="7"/>
  <c r="O13" i="1"/>
  <c r="G161" i="1" s="1"/>
  <c r="F6" i="4" l="1"/>
  <c r="E29" i="4"/>
  <c r="K6" i="4"/>
  <c r="J6" i="4"/>
  <c r="E19" i="4" l="1"/>
  <c r="E8" i="4"/>
  <c r="E11" i="4"/>
  <c r="E26" i="4"/>
  <c r="E9" i="4"/>
  <c r="E14" i="4"/>
  <c r="O9" i="1" l="1"/>
  <c r="G48" i="1" s="1"/>
  <c r="O18" i="1"/>
  <c r="G147" i="1" s="1"/>
  <c r="O17" i="1"/>
  <c r="G146" i="1" s="1"/>
  <c r="H113" i="1"/>
  <c r="O11" i="1" l="1"/>
  <c r="G73" i="1" l="1"/>
  <c r="G52" i="1"/>
  <c r="O4" i="1" l="1"/>
  <c r="R6" i="1"/>
  <c r="G34" i="1" s="1"/>
  <c r="O6" i="1"/>
  <c r="G44" i="1" s="1"/>
  <c r="G33" i="1"/>
  <c r="G29" i="1"/>
  <c r="O10" i="1"/>
  <c r="K7" i="1"/>
  <c r="I7" i="1"/>
  <c r="J7" i="1" s="1"/>
  <c r="F15" i="1"/>
  <c r="B10" i="1"/>
  <c r="J3" i="1" l="1"/>
  <c r="J4" i="1"/>
  <c r="J5" i="1"/>
  <c r="J6" i="1"/>
  <c r="F486" i="2"/>
  <c r="F480" i="2"/>
  <c r="F468" i="2"/>
  <c r="F436" i="2"/>
  <c r="F435" i="2"/>
  <c r="F433" i="2"/>
  <c r="F432" i="2"/>
  <c r="F426" i="2"/>
  <c r="E353" i="2"/>
  <c r="AC326" i="2"/>
  <c r="AD325" i="2"/>
  <c r="AC324" i="2"/>
  <c r="AD323" i="2"/>
  <c r="AD322" i="2"/>
  <c r="AD321" i="2"/>
  <c r="AC320" i="2"/>
  <c r="AD319" i="2"/>
  <c r="AC318" i="2"/>
  <c r="AD317" i="2"/>
  <c r="AC316" i="2"/>
  <c r="AD315" i="2"/>
  <c r="J315" i="2"/>
  <c r="K315" i="2" s="1"/>
  <c r="AC315" i="2" s="1"/>
  <c r="AD314" i="2"/>
  <c r="K314" i="2"/>
  <c r="F520" i="2" s="1"/>
  <c r="G314" i="2"/>
  <c r="H314" i="2" s="1"/>
  <c r="AD313" i="2"/>
  <c r="AC313" i="2"/>
  <c r="K313" i="2"/>
  <c r="H313" i="2" s="1"/>
  <c r="G313" i="2"/>
  <c r="AD312" i="2"/>
  <c r="H312" i="2"/>
  <c r="J312" i="2" s="1"/>
  <c r="K312" i="2" s="1"/>
  <c r="AC312" i="2" s="1"/>
  <c r="G312" i="2"/>
  <c r="AD311" i="2"/>
  <c r="J311" i="2"/>
  <c r="K311" i="2" s="1"/>
  <c r="AC311" i="2" s="1"/>
  <c r="H311" i="2"/>
  <c r="G311" i="2"/>
  <c r="AD310" i="2"/>
  <c r="J310" i="2"/>
  <c r="K310" i="2" s="1"/>
  <c r="AC310" i="2" s="1"/>
  <c r="AD309" i="2"/>
  <c r="J309" i="2"/>
  <c r="K309" i="2" s="1"/>
  <c r="AC309" i="2" s="1"/>
  <c r="AD308" i="2"/>
  <c r="AC308" i="2"/>
  <c r="K308" i="2"/>
  <c r="J308" i="2"/>
  <c r="AD307" i="2"/>
  <c r="K307" i="2"/>
  <c r="F518" i="2" s="1"/>
  <c r="J307" i="2"/>
  <c r="AD306" i="2"/>
  <c r="J306" i="2"/>
  <c r="H306" i="2"/>
  <c r="AD305" i="2"/>
  <c r="J305" i="2"/>
  <c r="K305" i="2" s="1"/>
  <c r="AD304" i="2"/>
  <c r="J304" i="2"/>
  <c r="K304" i="2" s="1"/>
  <c r="AD303" i="2"/>
  <c r="K303" i="2"/>
  <c r="J303" i="2"/>
  <c r="AD302" i="2"/>
  <c r="K302" i="2"/>
  <c r="AC302" i="2" s="1"/>
  <c r="J302" i="2"/>
  <c r="AC301" i="2"/>
  <c r="AD300" i="2"/>
  <c r="AC299" i="2"/>
  <c r="AD298" i="2"/>
  <c r="J298" i="2"/>
  <c r="K298" i="2" s="1"/>
  <c r="AC298" i="2" s="1"/>
  <c r="AD297" i="2"/>
  <c r="J297" i="2"/>
  <c r="K297" i="2" s="1"/>
  <c r="AC297" i="2" s="1"/>
  <c r="AD296" i="2"/>
  <c r="J296" i="2"/>
  <c r="K296" i="2" s="1"/>
  <c r="AC296" i="2" s="1"/>
  <c r="AD295" i="2"/>
  <c r="K295" i="2"/>
  <c r="AC295" i="2" s="1"/>
  <c r="J295" i="2"/>
  <c r="AD294" i="2"/>
  <c r="J294" i="2"/>
  <c r="K294" i="2" s="1"/>
  <c r="AC294" i="2" s="1"/>
  <c r="AD293" i="2"/>
  <c r="K293" i="2"/>
  <c r="AC293" i="2" s="1"/>
  <c r="J293" i="2"/>
  <c r="AD292" i="2"/>
  <c r="J292" i="2"/>
  <c r="K292" i="2" s="1"/>
  <c r="AC292" i="2" s="1"/>
  <c r="AD291" i="2"/>
  <c r="AC291" i="2"/>
  <c r="H291" i="2"/>
  <c r="J291" i="2" s="1"/>
  <c r="K291" i="2" s="1"/>
  <c r="AC290" i="2"/>
  <c r="AD289" i="2"/>
  <c r="J289" i="2"/>
  <c r="K289" i="2" s="1"/>
  <c r="AC289" i="2" s="1"/>
  <c r="G289" i="2"/>
  <c r="AD288" i="2"/>
  <c r="J288" i="2"/>
  <c r="G288" i="2"/>
  <c r="AD287" i="2"/>
  <c r="J287" i="2"/>
  <c r="K287" i="2" s="1"/>
  <c r="AC287" i="2" s="1"/>
  <c r="G287" i="2"/>
  <c r="AD286" i="2"/>
  <c r="J286" i="2"/>
  <c r="G286" i="2"/>
  <c r="AD285" i="2"/>
  <c r="J285" i="2"/>
  <c r="G285" i="2"/>
  <c r="AD284" i="2"/>
  <c r="J284" i="2"/>
  <c r="K284" i="2" s="1"/>
  <c r="AC284" i="2" s="1"/>
  <c r="G284" i="2"/>
  <c r="AD283" i="2"/>
  <c r="J283" i="2"/>
  <c r="K283" i="2" s="1"/>
  <c r="AC283" i="2" s="1"/>
  <c r="G283" i="2"/>
  <c r="AD282" i="2"/>
  <c r="K282" i="2"/>
  <c r="AC282" i="2" s="1"/>
  <c r="J282" i="2"/>
  <c r="AD281" i="2"/>
  <c r="J281" i="2"/>
  <c r="G281" i="2"/>
  <c r="AC280" i="2"/>
  <c r="AD279" i="2"/>
  <c r="J279" i="2"/>
  <c r="K279" i="2" s="1"/>
  <c r="AC279" i="2" s="1"/>
  <c r="AD278" i="2"/>
  <c r="AC278" i="2"/>
  <c r="K278" i="2"/>
  <c r="G278" i="2"/>
  <c r="H278" i="2" s="1"/>
  <c r="AD277" i="2"/>
  <c r="K277" i="2"/>
  <c r="G277" i="2"/>
  <c r="AC276" i="2"/>
  <c r="AD275" i="2"/>
  <c r="K275" i="2"/>
  <c r="AC275" i="2" s="1"/>
  <c r="J275" i="2"/>
  <c r="AC274" i="2"/>
  <c r="L274" i="2"/>
  <c r="AD273" i="2"/>
  <c r="AC273" i="2"/>
  <c r="K273" i="2"/>
  <c r="H273" i="2"/>
  <c r="J273" i="2" s="1"/>
  <c r="G273" i="2"/>
  <c r="AD272" i="2"/>
  <c r="K272" i="2"/>
  <c r="AC272" i="2" s="1"/>
  <c r="J272" i="2"/>
  <c r="AD271" i="2"/>
  <c r="K271" i="2"/>
  <c r="H271" i="2" s="1"/>
  <c r="J271" i="2" s="1"/>
  <c r="G271" i="2"/>
  <c r="AD270" i="2"/>
  <c r="AC270" i="2"/>
  <c r="K270" i="2"/>
  <c r="H270" i="2" s="1"/>
  <c r="J270" i="2"/>
  <c r="G270" i="2"/>
  <c r="AD269" i="2"/>
  <c r="J269" i="2"/>
  <c r="K269" i="2" s="1"/>
  <c r="AC269" i="2" s="1"/>
  <c r="AD268" i="2"/>
  <c r="J268" i="2"/>
  <c r="K268" i="2" s="1"/>
  <c r="AC268" i="2" s="1"/>
  <c r="AD267" i="2"/>
  <c r="J267" i="2"/>
  <c r="K267" i="2" s="1"/>
  <c r="AC267" i="2" s="1"/>
  <c r="AD266" i="2"/>
  <c r="K266" i="2"/>
  <c r="AC266" i="2" s="1"/>
  <c r="G266" i="2"/>
  <c r="H266" i="2" s="1"/>
  <c r="AD265" i="2"/>
  <c r="AC265" i="2"/>
  <c r="K265" i="2"/>
  <c r="H265" i="2" s="1"/>
  <c r="G265" i="2"/>
  <c r="AD264" i="2"/>
  <c r="K264" i="2"/>
  <c r="AC264" i="2" s="1"/>
  <c r="G264" i="2"/>
  <c r="H264" i="2" s="1"/>
  <c r="AD263" i="2"/>
  <c r="J263" i="2"/>
  <c r="K263" i="2" s="1"/>
  <c r="AC263" i="2" s="1"/>
  <c r="AD262" i="2"/>
  <c r="K262" i="2"/>
  <c r="AD261" i="2"/>
  <c r="K261" i="2"/>
  <c r="AC261" i="2" s="1"/>
  <c r="G261" i="2"/>
  <c r="H261" i="2" s="1"/>
  <c r="AD260" i="2"/>
  <c r="J260" i="2"/>
  <c r="K260" i="2" s="1"/>
  <c r="AC260" i="2" s="1"/>
  <c r="AD259" i="2"/>
  <c r="H259" i="2"/>
  <c r="J259" i="2" s="1"/>
  <c r="AC258" i="2"/>
  <c r="AD257" i="2"/>
  <c r="AC257" i="2"/>
  <c r="K257" i="2"/>
  <c r="J257" i="2"/>
  <c r="AD256" i="2"/>
  <c r="J256" i="2"/>
  <c r="K256" i="2" s="1"/>
  <c r="AC256" i="2" s="1"/>
  <c r="AD255" i="2"/>
  <c r="J255" i="2"/>
  <c r="K255" i="2" s="1"/>
  <c r="AC255" i="2" s="1"/>
  <c r="AD254" i="2"/>
  <c r="J254" i="2"/>
  <c r="K254" i="2" s="1"/>
  <c r="AC254" i="2" s="1"/>
  <c r="AD253" i="2"/>
  <c r="J253" i="2"/>
  <c r="K253" i="2" s="1"/>
  <c r="AC253" i="2" s="1"/>
  <c r="AD252" i="2"/>
  <c r="J252" i="2"/>
  <c r="K252" i="2" s="1"/>
  <c r="AC252" i="2" s="1"/>
  <c r="AD251" i="2"/>
  <c r="K251" i="2"/>
  <c r="G251" i="2"/>
  <c r="AD250" i="2"/>
  <c r="K250" i="2"/>
  <c r="AC250" i="2" s="1"/>
  <c r="H250" i="2"/>
  <c r="G250" i="2"/>
  <c r="AD249" i="2"/>
  <c r="K249" i="2"/>
  <c r="F514" i="2" s="1"/>
  <c r="J249" i="2"/>
  <c r="AD248" i="2"/>
  <c r="AC248" i="2"/>
  <c r="K248" i="2"/>
  <c r="H248" i="2"/>
  <c r="G248" i="2"/>
  <c r="AD247" i="2"/>
  <c r="K247" i="2"/>
  <c r="AC247" i="2" s="1"/>
  <c r="J247" i="2"/>
  <c r="AD246" i="2"/>
  <c r="K246" i="2"/>
  <c r="AC246" i="2" s="1"/>
  <c r="G246" i="2"/>
  <c r="H246" i="2" s="1"/>
  <c r="AD245" i="2"/>
  <c r="J245" i="2"/>
  <c r="G245" i="2"/>
  <c r="AD244" i="2"/>
  <c r="K244" i="2"/>
  <c r="AC244" i="2" s="1"/>
  <c r="J244" i="2"/>
  <c r="AD243" i="2"/>
  <c r="K243" i="2"/>
  <c r="AC243" i="2" s="1"/>
  <c r="J243" i="2"/>
  <c r="AD242" i="2"/>
  <c r="K242" i="2"/>
  <c r="AC242" i="2" s="1"/>
  <c r="J242" i="2"/>
  <c r="AD241" i="2"/>
  <c r="J241" i="2"/>
  <c r="K241" i="2" s="1"/>
  <c r="AC241" i="2" s="1"/>
  <c r="AD240" i="2"/>
  <c r="J240" i="2"/>
  <c r="K240" i="2" s="1"/>
  <c r="AC240" i="2" s="1"/>
  <c r="G240" i="2"/>
  <c r="AD239" i="2"/>
  <c r="J239" i="2"/>
  <c r="AD238" i="2"/>
  <c r="J238" i="2"/>
  <c r="AD237" i="2"/>
  <c r="AC237" i="2"/>
  <c r="K237" i="2"/>
  <c r="H237" i="2"/>
  <c r="G237" i="2"/>
  <c r="AD236" i="2"/>
  <c r="J236" i="2"/>
  <c r="K236" i="2" s="1"/>
  <c r="AC236" i="2" s="1"/>
  <c r="G236" i="2"/>
  <c r="AD235" i="2"/>
  <c r="K235" i="2"/>
  <c r="AC235" i="2" s="1"/>
  <c r="G235" i="2"/>
  <c r="AD234" i="2"/>
  <c r="J234" i="2"/>
  <c r="AD233" i="2"/>
  <c r="J233" i="2"/>
  <c r="AD232" i="2"/>
  <c r="J232" i="2"/>
  <c r="K232" i="2" s="1"/>
  <c r="AC232" i="2" s="1"/>
  <c r="AD231" i="2"/>
  <c r="K231" i="2"/>
  <c r="AC231" i="2" s="1"/>
  <c r="G231" i="2"/>
  <c r="H231" i="2" s="1"/>
  <c r="AD230" i="2"/>
  <c r="AC230" i="2"/>
  <c r="K230" i="2"/>
  <c r="G230" i="2"/>
  <c r="H230" i="2" s="1"/>
  <c r="AD229" i="2"/>
  <c r="K229" i="2"/>
  <c r="H229" i="2" s="1"/>
  <c r="G229" i="2"/>
  <c r="AD228" i="2"/>
  <c r="J228" i="2"/>
  <c r="K228" i="2" s="1"/>
  <c r="AD227" i="2"/>
  <c r="J227" i="2"/>
  <c r="K227" i="2" s="1"/>
  <c r="AC227" i="2" s="1"/>
  <c r="AD226" i="2"/>
  <c r="J226" i="2"/>
  <c r="AD225" i="2"/>
  <c r="K225" i="2"/>
  <c r="AC225" i="2" s="1"/>
  <c r="G225" i="2"/>
  <c r="H225" i="2" s="1"/>
  <c r="AD224" i="2"/>
  <c r="AC224" i="2"/>
  <c r="K224" i="2"/>
  <c r="G224" i="2"/>
  <c r="H224" i="2" s="1"/>
  <c r="AD223" i="2"/>
  <c r="K223" i="2"/>
  <c r="AC223" i="2" s="1"/>
  <c r="G223" i="2"/>
  <c r="H223" i="2" s="1"/>
  <c r="AD222" i="2"/>
  <c r="K222" i="2"/>
  <c r="AC222" i="2" s="1"/>
  <c r="G222" i="2"/>
  <c r="H222" i="2" s="1"/>
  <c r="AC221" i="2"/>
  <c r="AD220" i="2"/>
  <c r="J220" i="2"/>
  <c r="K220" i="2" s="1"/>
  <c r="AC220" i="2" s="1"/>
  <c r="G220" i="2"/>
  <c r="AD219" i="2"/>
  <c r="J219" i="2"/>
  <c r="K219" i="2" s="1"/>
  <c r="AC219" i="2" s="1"/>
  <c r="AD218" i="2"/>
  <c r="K218" i="2"/>
  <c r="G218" i="2"/>
  <c r="AD217" i="2"/>
  <c r="K217" i="2"/>
  <c r="AC217" i="2" s="1"/>
  <c r="G217" i="2"/>
  <c r="AD216" i="2"/>
  <c r="K216" i="2"/>
  <c r="H216" i="2" s="1"/>
  <c r="G216" i="2"/>
  <c r="AD215" i="2"/>
  <c r="AC215" i="2"/>
  <c r="K215" i="2"/>
  <c r="H215" i="2"/>
  <c r="G215" i="2"/>
  <c r="AD214" i="2"/>
  <c r="K214" i="2"/>
  <c r="AC214" i="2" s="1"/>
  <c r="J214" i="2"/>
  <c r="AD213" i="2"/>
  <c r="J213" i="2"/>
  <c r="AD212" i="2"/>
  <c r="K212" i="2"/>
  <c r="AC212" i="2" s="1"/>
  <c r="J212" i="2"/>
  <c r="G212" i="2"/>
  <c r="AC211" i="2"/>
  <c r="AD210" i="2"/>
  <c r="K210" i="2"/>
  <c r="AC210" i="2" s="1"/>
  <c r="H210" i="2"/>
  <c r="G210" i="2"/>
  <c r="AD209" i="2"/>
  <c r="J209" i="2"/>
  <c r="AD208" i="2"/>
  <c r="J208" i="2"/>
  <c r="AC207" i="2"/>
  <c r="AD206" i="2"/>
  <c r="J206" i="2"/>
  <c r="AD205" i="2"/>
  <c r="J205" i="2"/>
  <c r="AD204" i="2"/>
  <c r="J204" i="2"/>
  <c r="G204" i="2"/>
  <c r="AC203" i="2"/>
  <c r="AD202" i="2"/>
  <c r="J202" i="2"/>
  <c r="K202" i="2" s="1"/>
  <c r="AC202" i="2" s="1"/>
  <c r="AD201" i="2"/>
  <c r="AC201" i="2"/>
  <c r="K201" i="2"/>
  <c r="J201" i="2"/>
  <c r="AD200" i="2"/>
  <c r="J200" i="2"/>
  <c r="AD199" i="2"/>
  <c r="J199" i="2"/>
  <c r="AD198" i="2"/>
  <c r="J198" i="2"/>
  <c r="AD197" i="2"/>
  <c r="J197" i="2"/>
  <c r="G197" i="2"/>
  <c r="AD196" i="2"/>
  <c r="AC196" i="2"/>
  <c r="K196" i="2"/>
  <c r="J196" i="2"/>
  <c r="G196" i="2"/>
  <c r="AD195" i="2"/>
  <c r="J195" i="2"/>
  <c r="K195" i="2" s="1"/>
  <c r="AC195" i="2" s="1"/>
  <c r="AD194" i="2"/>
  <c r="J194" i="2"/>
  <c r="K194" i="2" s="1"/>
  <c r="AD193" i="2"/>
  <c r="J193" i="2"/>
  <c r="K193" i="2" s="1"/>
  <c r="AC193" i="2" s="1"/>
  <c r="AD192" i="2"/>
  <c r="K192" i="2"/>
  <c r="AC192" i="2" s="1"/>
  <c r="J192" i="2"/>
  <c r="G192" i="2"/>
  <c r="AD191" i="2"/>
  <c r="J191" i="2"/>
  <c r="K191" i="2" s="1"/>
  <c r="AC191" i="2" s="1"/>
  <c r="G191" i="2"/>
  <c r="AD190" i="2"/>
  <c r="J190" i="2"/>
  <c r="AD189" i="2"/>
  <c r="J189" i="2"/>
  <c r="AD188" i="2"/>
  <c r="J188" i="2"/>
  <c r="AD187" i="2"/>
  <c r="J187" i="2"/>
  <c r="AC186" i="2"/>
  <c r="AD185" i="2"/>
  <c r="J185" i="2"/>
  <c r="AC184" i="2"/>
  <c r="AD183" i="2"/>
  <c r="J183" i="2"/>
  <c r="AD182" i="2"/>
  <c r="J182" i="2"/>
  <c r="AD181" i="2"/>
  <c r="J181" i="2"/>
  <c r="K181" i="2" s="1"/>
  <c r="AC181" i="2" s="1"/>
  <c r="AD180" i="2"/>
  <c r="J180" i="2"/>
  <c r="K180" i="2" s="1"/>
  <c r="AC180" i="2" s="1"/>
  <c r="AD179" i="2"/>
  <c r="J179" i="2"/>
  <c r="AC178" i="2"/>
  <c r="AD177" i="2"/>
  <c r="J177" i="2"/>
  <c r="K177" i="2" s="1"/>
  <c r="AC177" i="2" s="1"/>
  <c r="AD176" i="2"/>
  <c r="J176" i="2"/>
  <c r="AD175" i="2"/>
  <c r="J175" i="2"/>
  <c r="AC174" i="2"/>
  <c r="AD173" i="2"/>
  <c r="J173" i="2"/>
  <c r="G173" i="2"/>
  <c r="AD172" i="2"/>
  <c r="J172" i="2"/>
  <c r="G172" i="2"/>
  <c r="AC171" i="2"/>
  <c r="AD170" i="2"/>
  <c r="J170" i="2"/>
  <c r="K170" i="2" s="1"/>
  <c r="AC170" i="2" s="1"/>
  <c r="AC169" i="2"/>
  <c r="L169" i="2"/>
  <c r="AD168" i="2"/>
  <c r="J168" i="2"/>
  <c r="AD167" i="2"/>
  <c r="J167" i="2"/>
  <c r="K167" i="2" s="1"/>
  <c r="G167" i="2"/>
  <c r="AD166" i="2"/>
  <c r="J166" i="2"/>
  <c r="AC165" i="2"/>
  <c r="AD164" i="2"/>
  <c r="J164" i="2"/>
  <c r="G164" i="2"/>
  <c r="AD163" i="2"/>
  <c r="K163" i="2"/>
  <c r="AC163" i="2" s="1"/>
  <c r="J163" i="2"/>
  <c r="AD162" i="2"/>
  <c r="K162" i="2"/>
  <c r="AC162" i="2" s="1"/>
  <c r="G162" i="2"/>
  <c r="H162" i="2" s="1"/>
  <c r="AD161" i="2"/>
  <c r="J161" i="2"/>
  <c r="K161" i="2" s="1"/>
  <c r="AC161" i="2" s="1"/>
  <c r="AD160" i="2"/>
  <c r="J160" i="2"/>
  <c r="G160" i="2"/>
  <c r="AD159" i="2"/>
  <c r="J159" i="2"/>
  <c r="AD158" i="2"/>
  <c r="J158" i="2"/>
  <c r="AD157" i="2"/>
  <c r="J157" i="2"/>
  <c r="AC156" i="2"/>
  <c r="AD155" i="2"/>
  <c r="J155" i="2"/>
  <c r="AC154" i="2"/>
  <c r="AD153" i="2"/>
  <c r="K153" i="2"/>
  <c r="AC153" i="2" s="1"/>
  <c r="J153" i="2"/>
  <c r="G153" i="2"/>
  <c r="AD152" i="2"/>
  <c r="AC152" i="2"/>
  <c r="K152" i="2"/>
  <c r="J152" i="2"/>
  <c r="G152" i="2"/>
  <c r="AD151" i="2"/>
  <c r="J151" i="2"/>
  <c r="AD150" i="2"/>
  <c r="J150" i="2"/>
  <c r="AD149" i="2"/>
  <c r="J149" i="2"/>
  <c r="AD148" i="2"/>
  <c r="AC148" i="2"/>
  <c r="K148" i="2"/>
  <c r="J148" i="2"/>
  <c r="G148" i="2"/>
  <c r="AD147" i="2"/>
  <c r="J147" i="2"/>
  <c r="G147" i="2"/>
  <c r="AD146" i="2"/>
  <c r="J146" i="2"/>
  <c r="K146" i="2" s="1"/>
  <c r="AD145" i="2"/>
  <c r="J145" i="2"/>
  <c r="K145" i="2" s="1"/>
  <c r="AC145" i="2" s="1"/>
  <c r="AD144" i="2"/>
  <c r="K144" i="2"/>
  <c r="AC144" i="2" s="1"/>
  <c r="J144" i="2"/>
  <c r="AD143" i="2"/>
  <c r="J143" i="2"/>
  <c r="AD142" i="2"/>
  <c r="J142" i="2"/>
  <c r="K142" i="2" s="1"/>
  <c r="AD141" i="2"/>
  <c r="J141" i="2"/>
  <c r="K141" i="2" s="1"/>
  <c r="AC141" i="2" s="1"/>
  <c r="AD140" i="2"/>
  <c r="AC140" i="2"/>
  <c r="J140" i="2"/>
  <c r="K140" i="2" s="1"/>
  <c r="AD139" i="2"/>
  <c r="J139" i="2"/>
  <c r="AD138" i="2"/>
  <c r="K138" i="2"/>
  <c r="AC138" i="2" s="1"/>
  <c r="J138" i="2"/>
  <c r="AC137" i="2"/>
  <c r="AD136" i="2"/>
  <c r="J136" i="2"/>
  <c r="K136" i="2" s="1"/>
  <c r="AC136" i="2" s="1"/>
  <c r="AD135" i="2"/>
  <c r="J135" i="2"/>
  <c r="K135" i="2" s="1"/>
  <c r="AC135" i="2" s="1"/>
  <c r="AD134" i="2"/>
  <c r="J134" i="2"/>
  <c r="K134" i="2" s="1"/>
  <c r="AC134" i="2" s="1"/>
  <c r="AD133" i="2"/>
  <c r="K133" i="2"/>
  <c r="AC133" i="2" s="1"/>
  <c r="J133" i="2"/>
  <c r="AD132" i="2"/>
  <c r="J132" i="2"/>
  <c r="AD131" i="2"/>
  <c r="J131" i="2"/>
  <c r="AD130" i="2"/>
  <c r="J130" i="2"/>
  <c r="AD129" i="2"/>
  <c r="J129" i="2"/>
  <c r="AD128" i="2"/>
  <c r="J128" i="2"/>
  <c r="AD127" i="2"/>
  <c r="J127" i="2"/>
  <c r="G127" i="2"/>
  <c r="AD126" i="2"/>
  <c r="J126" i="2"/>
  <c r="AD125" i="2"/>
  <c r="J125" i="2"/>
  <c r="AD124" i="2"/>
  <c r="J124" i="2"/>
  <c r="AD123" i="2"/>
  <c r="J123" i="2"/>
  <c r="AD122" i="2"/>
  <c r="J122" i="2"/>
  <c r="K122" i="2" s="1"/>
  <c r="G122" i="2"/>
  <c r="AD121" i="2"/>
  <c r="K121" i="2"/>
  <c r="F407" i="2" s="1"/>
  <c r="J121" i="2"/>
  <c r="G121" i="2"/>
  <c r="AD120" i="2"/>
  <c r="J120" i="2"/>
  <c r="K120" i="2" s="1"/>
  <c r="F406" i="2" s="1"/>
  <c r="G120" i="2"/>
  <c r="AD119" i="2"/>
  <c r="K119" i="2"/>
  <c r="AC119" i="2" s="1"/>
  <c r="J119" i="2"/>
  <c r="AD118" i="2"/>
  <c r="K118" i="2"/>
  <c r="AC118" i="2" s="1"/>
  <c r="J118" i="2"/>
  <c r="AD117" i="2"/>
  <c r="K117" i="2"/>
  <c r="AC117" i="2" s="1"/>
  <c r="J117" i="2"/>
  <c r="G117" i="2"/>
  <c r="AD116" i="2"/>
  <c r="J116" i="2"/>
  <c r="K116" i="2" s="1"/>
  <c r="AC116" i="2" s="1"/>
  <c r="AD115" i="2"/>
  <c r="J115" i="2"/>
  <c r="AD114" i="2"/>
  <c r="J114" i="2"/>
  <c r="AD113" i="2"/>
  <c r="J113" i="2"/>
  <c r="K113" i="2" s="1"/>
  <c r="AC113" i="2" s="1"/>
  <c r="H113" i="2"/>
  <c r="AD112" i="2"/>
  <c r="J112" i="2"/>
  <c r="K112" i="2" s="1"/>
  <c r="AC112" i="2" s="1"/>
  <c r="AD111" i="2"/>
  <c r="J111" i="2"/>
  <c r="K111" i="2" s="1"/>
  <c r="AC111" i="2" s="1"/>
  <c r="AD110" i="2"/>
  <c r="J110" i="2"/>
  <c r="AD109" i="2"/>
  <c r="J109" i="2"/>
  <c r="K109" i="2" s="1"/>
  <c r="AC109" i="2" s="1"/>
  <c r="AD108" i="2"/>
  <c r="K108" i="2"/>
  <c r="AC108" i="2" s="1"/>
  <c r="J108" i="2"/>
  <c r="AD107" i="2"/>
  <c r="J107" i="2"/>
  <c r="AD106" i="2"/>
  <c r="J106" i="2"/>
  <c r="AD105" i="2"/>
  <c r="J105" i="2"/>
  <c r="AD104" i="2"/>
  <c r="J104" i="2"/>
  <c r="AD103" i="2"/>
  <c r="J103" i="2"/>
  <c r="AD102" i="2"/>
  <c r="J102" i="2"/>
  <c r="AD101" i="2"/>
  <c r="J101" i="2"/>
  <c r="AC100" i="2"/>
  <c r="AD99" i="2"/>
  <c r="J99" i="2"/>
  <c r="G99" i="2"/>
  <c r="AD98" i="2"/>
  <c r="J98" i="2"/>
  <c r="AD97" i="2"/>
  <c r="AC97" i="2"/>
  <c r="K97" i="2"/>
  <c r="J97" i="2"/>
  <c r="AD96" i="2"/>
  <c r="J96" i="2"/>
  <c r="K96" i="2" s="1"/>
  <c r="AC96" i="2" s="1"/>
  <c r="AD95" i="2"/>
  <c r="J95" i="2"/>
  <c r="K95" i="2" s="1"/>
  <c r="AC95" i="2" s="1"/>
  <c r="AD94" i="2"/>
  <c r="J94" i="2"/>
  <c r="K94" i="2" s="1"/>
  <c r="AC94" i="2" s="1"/>
  <c r="AD93" i="2"/>
  <c r="J93" i="2"/>
  <c r="K93" i="2" s="1"/>
  <c r="AD92" i="2"/>
  <c r="J92" i="2"/>
  <c r="K92" i="2" s="1"/>
  <c r="AD91" i="2"/>
  <c r="J91" i="2"/>
  <c r="AD90" i="2"/>
  <c r="J90" i="2"/>
  <c r="AD89" i="2"/>
  <c r="K89" i="2"/>
  <c r="AC89" i="2" s="1"/>
  <c r="J89" i="2"/>
  <c r="AD88" i="2"/>
  <c r="J88" i="2"/>
  <c r="K88" i="2" s="1"/>
  <c r="AC88" i="2" s="1"/>
  <c r="AD87" i="2"/>
  <c r="J87" i="2"/>
  <c r="K87" i="2" s="1"/>
  <c r="AC87" i="2" s="1"/>
  <c r="AD86" i="2"/>
  <c r="K86" i="2"/>
  <c r="AC86" i="2" s="1"/>
  <c r="J86" i="2"/>
  <c r="AD85" i="2"/>
  <c r="J85" i="2"/>
  <c r="AC84" i="2"/>
  <c r="AD83" i="2"/>
  <c r="J83" i="2"/>
  <c r="K83" i="2" s="1"/>
  <c r="AC83" i="2" s="1"/>
  <c r="AD82" i="2"/>
  <c r="K82" i="2"/>
  <c r="AC82" i="2" s="1"/>
  <c r="J82" i="2"/>
  <c r="G82" i="2"/>
  <c r="AD81" i="2"/>
  <c r="J81" i="2"/>
  <c r="K81" i="2" s="1"/>
  <c r="AC81" i="2" s="1"/>
  <c r="G81" i="2"/>
  <c r="AD80" i="2"/>
  <c r="J80" i="2"/>
  <c r="AD79" i="2"/>
  <c r="J79" i="2"/>
  <c r="AD78" i="2"/>
  <c r="J78" i="2"/>
  <c r="AD77" i="2"/>
  <c r="J77" i="2"/>
  <c r="K77" i="2" s="1"/>
  <c r="AC77" i="2" s="1"/>
  <c r="AD76" i="2"/>
  <c r="AC76" i="2"/>
  <c r="K76" i="2"/>
  <c r="J76" i="2"/>
  <c r="AD75" i="2"/>
  <c r="J75" i="2"/>
  <c r="K75" i="2" s="1"/>
  <c r="AD74" i="2"/>
  <c r="J74" i="2"/>
  <c r="G74" i="2"/>
  <c r="AD73" i="2"/>
  <c r="J73" i="2"/>
  <c r="AC72" i="2"/>
  <c r="AD71" i="2"/>
  <c r="J71" i="2"/>
  <c r="K71" i="2" s="1"/>
  <c r="AC71" i="2" s="1"/>
  <c r="AD70" i="2"/>
  <c r="K70" i="2"/>
  <c r="G70" i="2"/>
  <c r="AD69" i="2"/>
  <c r="J69" i="2"/>
  <c r="AD68" i="2"/>
  <c r="J68" i="2"/>
  <c r="AD67" i="2"/>
  <c r="K67" i="2"/>
  <c r="AC67" i="2" s="1"/>
  <c r="J67" i="2"/>
  <c r="AD66" i="2"/>
  <c r="K66" i="2"/>
  <c r="F483" i="2" s="1"/>
  <c r="J66" i="2"/>
  <c r="AD65" i="2"/>
  <c r="J65" i="2"/>
  <c r="K65" i="2" s="1"/>
  <c r="AD64" i="2"/>
  <c r="J64" i="2"/>
  <c r="K64" i="2" s="1"/>
  <c r="G64" i="2"/>
  <c r="AD63" i="2"/>
  <c r="K63" i="2"/>
  <c r="AC63" i="2" s="1"/>
  <c r="J63" i="2"/>
  <c r="AD62" i="2"/>
  <c r="J62" i="2"/>
  <c r="K62" i="2" s="1"/>
  <c r="AC62" i="2" s="1"/>
  <c r="AD61" i="2"/>
  <c r="J61" i="2"/>
  <c r="AD60" i="2"/>
  <c r="J60" i="2"/>
  <c r="AC59" i="2"/>
  <c r="AD58" i="2"/>
  <c r="J58" i="2"/>
  <c r="K58" i="2" s="1"/>
  <c r="AC58" i="2" s="1"/>
  <c r="AD57" i="2"/>
  <c r="AC57" i="2"/>
  <c r="K57" i="2"/>
  <c r="G57" i="2"/>
  <c r="H57" i="2" s="1"/>
  <c r="AD56" i="2"/>
  <c r="J56" i="2"/>
  <c r="AD55" i="2"/>
  <c r="J55" i="2"/>
  <c r="K55" i="2" s="1"/>
  <c r="AD54" i="2"/>
  <c r="J54" i="2"/>
  <c r="K54" i="2" s="1"/>
  <c r="AC54" i="2" s="1"/>
  <c r="AD53" i="2"/>
  <c r="J53" i="2"/>
  <c r="K53" i="2" s="1"/>
  <c r="AC53" i="2" s="1"/>
  <c r="H53" i="2"/>
  <c r="AD52" i="2"/>
  <c r="J52" i="2"/>
  <c r="AD51" i="2"/>
  <c r="K51" i="2"/>
  <c r="AC51" i="2" s="1"/>
  <c r="J51" i="2"/>
  <c r="AC50" i="2"/>
  <c r="AD49" i="2"/>
  <c r="J49" i="2"/>
  <c r="K49" i="2" s="1"/>
  <c r="AD48" i="2"/>
  <c r="J48" i="2"/>
  <c r="K48" i="2" s="1"/>
  <c r="AD47" i="2"/>
  <c r="J47" i="2"/>
  <c r="K47" i="2" s="1"/>
  <c r="AC47" i="2" s="1"/>
  <c r="AD46" i="2"/>
  <c r="J46" i="2"/>
  <c r="G46" i="2"/>
  <c r="AD45" i="2"/>
  <c r="H45" i="2"/>
  <c r="J45" i="2" s="1"/>
  <c r="AC44" i="2"/>
  <c r="AD43" i="2"/>
  <c r="J43" i="2"/>
  <c r="K43" i="2" s="1"/>
  <c r="AC43" i="2" s="1"/>
  <c r="AD42" i="2"/>
  <c r="AC42" i="2"/>
  <c r="J42" i="2"/>
  <c r="K42" i="2" s="1"/>
  <c r="AD41" i="2"/>
  <c r="J41" i="2"/>
  <c r="K41" i="2" s="1"/>
  <c r="AC41" i="2" s="1"/>
  <c r="AD40" i="2"/>
  <c r="J40" i="2"/>
  <c r="K40" i="2" s="1"/>
  <c r="AC40" i="2" s="1"/>
  <c r="AD39" i="2"/>
  <c r="J39" i="2"/>
  <c r="K39" i="2" s="1"/>
  <c r="AC39" i="2" s="1"/>
  <c r="AD38" i="2"/>
  <c r="J38" i="2"/>
  <c r="K38" i="2" s="1"/>
  <c r="AC38" i="2" s="1"/>
  <c r="AD37" i="2"/>
  <c r="J37" i="2"/>
  <c r="K37" i="2" s="1"/>
  <c r="AC37" i="2" s="1"/>
  <c r="AD36" i="2"/>
  <c r="J36" i="2"/>
  <c r="K36" i="2" s="1"/>
  <c r="AC35" i="2"/>
  <c r="AD34" i="2"/>
  <c r="J34" i="2"/>
  <c r="G34" i="2"/>
  <c r="AD33" i="2"/>
  <c r="K33" i="2"/>
  <c r="AC33" i="2" s="1"/>
  <c r="J33" i="2"/>
  <c r="AD32" i="2"/>
  <c r="K32" i="2"/>
  <c r="F474" i="2" s="1"/>
  <c r="J32" i="2"/>
  <c r="AD31" i="2"/>
  <c r="J31" i="2"/>
  <c r="K31" i="2" s="1"/>
  <c r="AD30" i="2"/>
  <c r="J30" i="2"/>
  <c r="K30" i="2" s="1"/>
  <c r="G30" i="2"/>
  <c r="AD29" i="2"/>
  <c r="K29" i="2"/>
  <c r="AC29" i="2" s="1"/>
  <c r="J29" i="2"/>
  <c r="AD28" i="2"/>
  <c r="J28" i="2"/>
  <c r="G28" i="2"/>
  <c r="AD27" i="2"/>
  <c r="J27" i="2"/>
  <c r="K27" i="2" s="1"/>
  <c r="AC27" i="2" s="1"/>
  <c r="H27" i="2"/>
  <c r="AD26" i="2"/>
  <c r="K26" i="2"/>
  <c r="AC26" i="2" s="1"/>
  <c r="J26" i="2"/>
  <c r="AD25" i="2"/>
  <c r="J25" i="2"/>
  <c r="K25" i="2" s="1"/>
  <c r="AC24" i="2"/>
  <c r="AD23" i="2"/>
  <c r="H23" i="2"/>
  <c r="J23" i="2" s="1"/>
  <c r="K23" i="2" s="1"/>
  <c r="AC22" i="2"/>
  <c r="AD21" i="2"/>
  <c r="K21" i="2"/>
  <c r="J21" i="2"/>
  <c r="G21" i="2"/>
  <c r="AC20" i="2"/>
  <c r="S17" i="2"/>
  <c r="S16" i="2"/>
  <c r="O16" i="2"/>
  <c r="S15" i="2"/>
  <c r="O15" i="2"/>
  <c r="F15" i="2"/>
  <c r="S14" i="2"/>
  <c r="O14" i="2"/>
  <c r="F14" i="2"/>
  <c r="S13" i="2"/>
  <c r="G238" i="2" s="1"/>
  <c r="K238" i="2" s="1"/>
  <c r="AC238" i="2" s="1"/>
  <c r="O13" i="2"/>
  <c r="G226" i="2" s="1"/>
  <c r="F13" i="2"/>
  <c r="S12" i="2"/>
  <c r="O12" i="2"/>
  <c r="F12" i="2"/>
  <c r="S11" i="2"/>
  <c r="O11" i="2"/>
  <c r="F11" i="2"/>
  <c r="S10" i="2"/>
  <c r="O10" i="2"/>
  <c r="G107" i="2" s="1"/>
  <c r="F10" i="2"/>
  <c r="B10" i="2"/>
  <c r="S9" i="2"/>
  <c r="O9" i="2"/>
  <c r="B9" i="2"/>
  <c r="G282" i="2" s="1"/>
  <c r="S8" i="2"/>
  <c r="O8" i="2"/>
  <c r="B8" i="2"/>
  <c r="S7" i="2"/>
  <c r="O7" i="2"/>
  <c r="G306" i="2" s="1"/>
  <c r="E7" i="2"/>
  <c r="S6" i="2"/>
  <c r="O6" i="2"/>
  <c r="G166" i="2" s="1"/>
  <c r="E6" i="2"/>
  <c r="G180" i="2" s="1"/>
  <c r="S5" i="2"/>
  <c r="O5" i="2"/>
  <c r="G53" i="2" s="1"/>
  <c r="J5" i="2"/>
  <c r="I5" i="2"/>
  <c r="E5" i="2"/>
  <c r="S4" i="2"/>
  <c r="O4" i="2"/>
  <c r="G29" i="2" s="1"/>
  <c r="J4" i="2"/>
  <c r="J6" i="2" s="1"/>
  <c r="G33" i="2" s="1"/>
  <c r="I4" i="2"/>
  <c r="E4" i="2"/>
  <c r="S3" i="2"/>
  <c r="G161" i="2" s="1"/>
  <c r="O3" i="2"/>
  <c r="J3" i="2"/>
  <c r="I3" i="2"/>
  <c r="E3" i="2"/>
  <c r="S2" i="2"/>
  <c r="O2" i="2"/>
  <c r="G25" i="2" s="1"/>
  <c r="K233" i="2" l="1"/>
  <c r="F454" i="2"/>
  <c r="AC142" i="2"/>
  <c r="AC23" i="2"/>
  <c r="L22" i="2"/>
  <c r="F515" i="2"/>
  <c r="AC304" i="2"/>
  <c r="AC120" i="2"/>
  <c r="G179" i="2"/>
  <c r="E8" i="2"/>
  <c r="F3" i="2"/>
  <c r="AC36" i="2"/>
  <c r="L35" i="2"/>
  <c r="AC55" i="2"/>
  <c r="F478" i="2"/>
  <c r="K172" i="2"/>
  <c r="K28" i="2"/>
  <c r="AC28" i="2" s="1"/>
  <c r="F476" i="2"/>
  <c r="AC48" i="2"/>
  <c r="F482" i="2"/>
  <c r="AC65" i="2"/>
  <c r="F477" i="2"/>
  <c r="AC49" i="2"/>
  <c r="AC249" i="2"/>
  <c r="F472" i="2"/>
  <c r="AC30" i="2"/>
  <c r="AC66" i="2"/>
  <c r="K101" i="2"/>
  <c r="K285" i="2"/>
  <c r="AC285" i="2" s="1"/>
  <c r="G205" i="2"/>
  <c r="K205" i="2" s="1"/>
  <c r="AC205" i="2" s="1"/>
  <c r="G175" i="2"/>
  <c r="K175" i="2" s="1"/>
  <c r="G102" i="2"/>
  <c r="K102" i="2" s="1"/>
  <c r="AC102" i="2" s="1"/>
  <c r="G69" i="2"/>
  <c r="K69" i="2" s="1"/>
  <c r="AC69" i="2" s="1"/>
  <c r="G176" i="2"/>
  <c r="K176" i="2" s="1"/>
  <c r="AC176" i="2" s="1"/>
  <c r="G132" i="2"/>
  <c r="K132" i="2" s="1"/>
  <c r="AC132" i="2" s="1"/>
  <c r="G61" i="2"/>
  <c r="K61" i="2" s="1"/>
  <c r="AC61" i="2" s="1"/>
  <c r="G101" i="2"/>
  <c r="G128" i="2"/>
  <c r="G123" i="2"/>
  <c r="G80" i="2"/>
  <c r="G104" i="2"/>
  <c r="K104" i="2" s="1"/>
  <c r="AC104" i="2" s="1"/>
  <c r="G187" i="2"/>
  <c r="G103" i="2"/>
  <c r="G73" i="2"/>
  <c r="G79" i="2"/>
  <c r="K79" i="2" s="1"/>
  <c r="AC79" i="2" s="1"/>
  <c r="G126" i="2"/>
  <c r="K126" i="2" s="1"/>
  <c r="G114" i="2"/>
  <c r="K114" i="2" s="1"/>
  <c r="AC114" i="2" s="1"/>
  <c r="G125" i="2"/>
  <c r="K34" i="2"/>
  <c r="AC64" i="2"/>
  <c r="F481" i="2"/>
  <c r="K73" i="2"/>
  <c r="K173" i="2"/>
  <c r="AC75" i="2"/>
  <c r="F485" i="2"/>
  <c r="K166" i="2"/>
  <c r="AC92" i="2"/>
  <c r="F487" i="2"/>
  <c r="K198" i="2"/>
  <c r="H277" i="2"/>
  <c r="J277" i="2" s="1"/>
  <c r="L276" i="2"/>
  <c r="AC277" i="2"/>
  <c r="F516" i="2"/>
  <c r="AC305" i="2"/>
  <c r="AC271" i="2"/>
  <c r="F4" i="2"/>
  <c r="K306" i="2"/>
  <c r="L24" i="2"/>
  <c r="F488" i="2"/>
  <c r="AC93" i="2"/>
  <c r="K103" i="2"/>
  <c r="AC103" i="2" s="1"/>
  <c r="F497" i="2"/>
  <c r="F430" i="2"/>
  <c r="AC167" i="2"/>
  <c r="K197" i="2"/>
  <c r="AC197" i="2" s="1"/>
  <c r="G200" i="2"/>
  <c r="G233" i="2"/>
  <c r="G168" i="2"/>
  <c r="K168" i="2" s="1"/>
  <c r="G206" i="2"/>
  <c r="G183" i="2"/>
  <c r="G182" i="2"/>
  <c r="G199" i="2"/>
  <c r="K199" i="2" s="1"/>
  <c r="G110" i="2"/>
  <c r="K110" i="2" s="1"/>
  <c r="AC110" i="2" s="1"/>
  <c r="G56" i="2"/>
  <c r="K56" i="2" s="1"/>
  <c r="G239" i="2"/>
  <c r="G198" i="2"/>
  <c r="K182" i="2"/>
  <c r="K204" i="2"/>
  <c r="G52" i="2"/>
  <c r="K52" i="2" s="1"/>
  <c r="G45" i="2"/>
  <c r="K45" i="2" s="1"/>
  <c r="G124" i="2"/>
  <c r="K124" i="2" s="1"/>
  <c r="G130" i="2"/>
  <c r="G129" i="2"/>
  <c r="K129" i="2" s="1"/>
  <c r="AC129" i="2" s="1"/>
  <c r="F471" i="2"/>
  <c r="F437" i="2"/>
  <c r="AC25" i="2"/>
  <c r="K245" i="2"/>
  <c r="AC245" i="2" s="1"/>
  <c r="K125" i="2"/>
  <c r="K160" i="2"/>
  <c r="AC160" i="2" s="1"/>
  <c r="K183" i="2"/>
  <c r="AC218" i="2"/>
  <c r="H218" i="2"/>
  <c r="AC314" i="2"/>
  <c r="K99" i="2"/>
  <c r="AC99" i="2" s="1"/>
  <c r="K239" i="2"/>
  <c r="L301" i="2"/>
  <c r="F484" i="2"/>
  <c r="H70" i="2"/>
  <c r="AC303" i="2"/>
  <c r="AC70" i="2"/>
  <c r="K226" i="2"/>
  <c r="AC226" i="2" s="1"/>
  <c r="K234" i="2"/>
  <c r="AC234" i="2" s="1"/>
  <c r="AC21" i="2"/>
  <c r="L20" i="2"/>
  <c r="K128" i="2"/>
  <c r="AC121" i="2"/>
  <c r="AC194" i="2"/>
  <c r="F505" i="2"/>
  <c r="K187" i="2"/>
  <c r="K80" i="2"/>
  <c r="AC80" i="2" s="1"/>
  <c r="K179" i="2"/>
  <c r="K130" i="2"/>
  <c r="AC130" i="2" s="1"/>
  <c r="L290" i="2"/>
  <c r="K74" i="2"/>
  <c r="AC74" i="2" s="1"/>
  <c r="AC122" i="2"/>
  <c r="F408" i="2"/>
  <c r="AC146" i="2"/>
  <c r="F493" i="2"/>
  <c r="AC216" i="2"/>
  <c r="K281" i="2"/>
  <c r="K127" i="2"/>
  <c r="F511" i="2"/>
  <c r="AC228" i="2"/>
  <c r="F393" i="2"/>
  <c r="AD274" i="2"/>
  <c r="K286" i="2"/>
  <c r="AC286" i="2" s="1"/>
  <c r="K206" i="2"/>
  <c r="AC206" i="2" s="1"/>
  <c r="AC229" i="2"/>
  <c r="K147" i="2"/>
  <c r="H217" i="2"/>
  <c r="H235" i="2"/>
  <c r="AC31" i="2"/>
  <c r="F473" i="2"/>
  <c r="E342" i="2"/>
  <c r="AD169" i="2"/>
  <c r="AC251" i="2"/>
  <c r="H251" i="2"/>
  <c r="J251" i="2" s="1"/>
  <c r="AC32" i="2"/>
  <c r="K107" i="2"/>
  <c r="K288" i="2"/>
  <c r="AC288" i="2" s="1"/>
  <c r="K200" i="2"/>
  <c r="L211" i="2"/>
  <c r="AC262" i="2"/>
  <c r="H262" i="2"/>
  <c r="J262" i="2" s="1"/>
  <c r="G78" i="2"/>
  <c r="K78" i="2" s="1"/>
  <c r="AC78" i="2" s="1"/>
  <c r="K46" i="2"/>
  <c r="AC46" i="2" s="1"/>
  <c r="K164" i="2"/>
  <c r="G213" i="2"/>
  <c r="K213" i="2" s="1"/>
  <c r="AC213" i="2" s="1"/>
  <c r="AC307" i="2"/>
  <c r="G234" i="2"/>
  <c r="AC56" i="2" l="1"/>
  <c r="F479" i="2"/>
  <c r="AC175" i="2"/>
  <c r="L174" i="2"/>
  <c r="AC45" i="2"/>
  <c r="L44" i="2"/>
  <c r="AC126" i="2"/>
  <c r="F412" i="2"/>
  <c r="F498" i="2"/>
  <c r="AC168" i="2"/>
  <c r="F410" i="2"/>
  <c r="AC124" i="2"/>
  <c r="AC52" i="2"/>
  <c r="L50" i="2"/>
  <c r="AC173" i="2"/>
  <c r="F499" i="2"/>
  <c r="F519" i="2"/>
  <c r="L203" i="2"/>
  <c r="AC204" i="2"/>
  <c r="L72" i="2"/>
  <c r="AC73" i="2"/>
  <c r="AD301" i="2"/>
  <c r="F397" i="2"/>
  <c r="E358" i="2"/>
  <c r="AC182" i="2"/>
  <c r="F500" i="2"/>
  <c r="F509" i="2"/>
  <c r="F502" i="2"/>
  <c r="F504" i="2"/>
  <c r="AC187" i="2"/>
  <c r="F513" i="2"/>
  <c r="AC239" i="2"/>
  <c r="AD35" i="2"/>
  <c r="E331" i="2"/>
  <c r="E330" i="2"/>
  <c r="X24" i="2"/>
  <c r="F372" i="2"/>
  <c r="AD24" i="2"/>
  <c r="F423" i="2"/>
  <c r="F390" i="2"/>
  <c r="AD211" i="2"/>
  <c r="E350" i="2"/>
  <c r="F517" i="2"/>
  <c r="AC306" i="2"/>
  <c r="AC200" i="2"/>
  <c r="F508" i="2"/>
  <c r="G151" i="2"/>
  <c r="K151" i="2" s="1"/>
  <c r="AC151" i="2" s="1"/>
  <c r="G98" i="2"/>
  <c r="K98" i="2" s="1"/>
  <c r="AC98" i="2" s="1"/>
  <c r="G185" i="2"/>
  <c r="K185" i="2" s="1"/>
  <c r="G155" i="2"/>
  <c r="K155" i="2" s="1"/>
  <c r="G149" i="2"/>
  <c r="K149" i="2" s="1"/>
  <c r="AC149" i="2" s="1"/>
  <c r="G105" i="2"/>
  <c r="K105" i="2" s="1"/>
  <c r="AC105" i="2" s="1"/>
  <c r="G190" i="2"/>
  <c r="K190" i="2" s="1"/>
  <c r="AC190" i="2" s="1"/>
  <c r="F6" i="2"/>
  <c r="G259" i="2"/>
  <c r="K259" i="2" s="1"/>
  <c r="G159" i="2"/>
  <c r="K159" i="2" s="1"/>
  <c r="AC159" i="2" s="1"/>
  <c r="G158" i="2"/>
  <c r="K158" i="2" s="1"/>
  <c r="F5" i="2"/>
  <c r="G189" i="2"/>
  <c r="K189" i="2" s="1"/>
  <c r="AC189" i="2" s="1"/>
  <c r="G188" i="2"/>
  <c r="K188" i="2" s="1"/>
  <c r="G139" i="2"/>
  <c r="K139" i="2" s="1"/>
  <c r="F16" i="2"/>
  <c r="G209" i="2"/>
  <c r="K209" i="2" s="1"/>
  <c r="AC209" i="2" s="1"/>
  <c r="G150" i="2"/>
  <c r="K150" i="2" s="1"/>
  <c r="AC150" i="2" s="1"/>
  <c r="G143" i="2"/>
  <c r="K143" i="2" s="1"/>
  <c r="AC143" i="2" s="1"/>
  <c r="G91" i="2"/>
  <c r="K91" i="2" s="1"/>
  <c r="AC91" i="2" s="1"/>
  <c r="F8" i="2"/>
  <c r="G90" i="2"/>
  <c r="K90" i="2" s="1"/>
  <c r="AC90" i="2" s="1"/>
  <c r="G85" i="2"/>
  <c r="K85" i="2" s="1"/>
  <c r="G68" i="2"/>
  <c r="K68" i="2" s="1"/>
  <c r="AC68" i="2" s="1"/>
  <c r="I6" i="2"/>
  <c r="G60" i="2"/>
  <c r="K60" i="2" s="1"/>
  <c r="K319" i="2" s="1"/>
  <c r="G115" i="2"/>
  <c r="K115" i="2" s="1"/>
  <c r="AC115" i="2" s="1"/>
  <c r="G208" i="2"/>
  <c r="K208" i="2" s="1"/>
  <c r="G157" i="2"/>
  <c r="K157" i="2" s="1"/>
  <c r="G131" i="2"/>
  <c r="K131" i="2" s="1"/>
  <c r="AC131" i="2" s="1"/>
  <c r="L221" i="2"/>
  <c r="F475" i="2"/>
  <c r="AC34" i="2"/>
  <c r="AC101" i="2"/>
  <c r="L100" i="2"/>
  <c r="AC107" i="2"/>
  <c r="F491" i="2"/>
  <c r="F489" i="2"/>
  <c r="F490" i="2"/>
  <c r="F413" i="2"/>
  <c r="AC127" i="2"/>
  <c r="F370" i="2"/>
  <c r="E328" i="2"/>
  <c r="AD20" i="2"/>
  <c r="AC125" i="2"/>
  <c r="F411" i="2"/>
  <c r="F507" i="2"/>
  <c r="AC199" i="2"/>
  <c r="F394" i="2"/>
  <c r="E354" i="2"/>
  <c r="AD276" i="2"/>
  <c r="F427" i="2"/>
  <c r="E356" i="2"/>
  <c r="AD290" i="2"/>
  <c r="F494" i="2"/>
  <c r="AC147" i="2"/>
  <c r="L171" i="2"/>
  <c r="AC172" i="2"/>
  <c r="AC179" i="2"/>
  <c r="L178" i="2"/>
  <c r="L280" i="2"/>
  <c r="AC281" i="2"/>
  <c r="F414" i="2"/>
  <c r="AC128" i="2"/>
  <c r="F501" i="2"/>
  <c r="AC183" i="2"/>
  <c r="AC198" i="2"/>
  <c r="F506" i="2"/>
  <c r="F422" i="2"/>
  <c r="F371" i="2"/>
  <c r="E329" i="2"/>
  <c r="AD22" i="2"/>
  <c r="K123" i="2"/>
  <c r="K106" i="2"/>
  <c r="AC106" i="2" s="1"/>
  <c r="L165" i="2"/>
  <c r="F496" i="2"/>
  <c r="F434" i="2"/>
  <c r="AC166" i="2"/>
  <c r="F7" i="2"/>
  <c r="AC164" i="2"/>
  <c r="F495" i="2"/>
  <c r="AC233" i="2"/>
  <c r="F512" i="2"/>
  <c r="L318" i="2" l="1"/>
  <c r="AC319" i="2"/>
  <c r="F510" i="2"/>
  <c r="F503" i="2"/>
  <c r="AC188" i="2"/>
  <c r="E341" i="2"/>
  <c r="F382" i="2"/>
  <c r="AD165" i="2"/>
  <c r="F416" i="2"/>
  <c r="AC158" i="2"/>
  <c r="F374" i="2"/>
  <c r="E333" i="2"/>
  <c r="AD50" i="2"/>
  <c r="AC123" i="2"/>
  <c r="F409" i="2"/>
  <c r="F417" i="2" s="1"/>
  <c r="F391" i="2"/>
  <c r="F424" i="2"/>
  <c r="AD221" i="2"/>
  <c r="E351" i="2"/>
  <c r="L258" i="2"/>
  <c r="AC259" i="2"/>
  <c r="AC157" i="2"/>
  <c r="L156" i="2"/>
  <c r="L207" i="2"/>
  <c r="AC208" i="2"/>
  <c r="L186" i="2"/>
  <c r="F378" i="2"/>
  <c r="AD100" i="2"/>
  <c r="E337" i="2"/>
  <c r="F431" i="2"/>
  <c r="L59" i="2"/>
  <c r="AC60" i="2"/>
  <c r="AC155" i="2"/>
  <c r="F415" i="2"/>
  <c r="L154" i="2"/>
  <c r="AC185" i="2"/>
  <c r="L184" i="2"/>
  <c r="AC85" i="2"/>
  <c r="L84" i="2"/>
  <c r="K300" i="2"/>
  <c r="K317" i="2" s="1"/>
  <c r="AD44" i="2"/>
  <c r="E332" i="2"/>
  <c r="F373" i="2"/>
  <c r="E355" i="2"/>
  <c r="F395" i="2"/>
  <c r="AD280" i="2"/>
  <c r="F385" i="2"/>
  <c r="E345" i="2"/>
  <c r="AD178" i="2"/>
  <c r="E344" i="2"/>
  <c r="F384" i="2"/>
  <c r="AD174" i="2"/>
  <c r="AD72" i="2"/>
  <c r="E335" i="2"/>
  <c r="F376" i="2"/>
  <c r="E343" i="2"/>
  <c r="AD171" i="2"/>
  <c r="F383" i="2"/>
  <c r="AC139" i="2"/>
  <c r="F492" i="2"/>
  <c r="L137" i="2"/>
  <c r="E348" i="2"/>
  <c r="F388" i="2"/>
  <c r="AD203" i="2"/>
  <c r="AC317" i="2" l="1"/>
  <c r="L316" i="2"/>
  <c r="F375" i="2"/>
  <c r="E334" i="2"/>
  <c r="AD59" i="2"/>
  <c r="AD84" i="2"/>
  <c r="F377" i="2"/>
  <c r="E336" i="2"/>
  <c r="F392" i="2"/>
  <c r="F425" i="2"/>
  <c r="F438" i="2" s="1"/>
  <c r="AD258" i="2"/>
  <c r="E352" i="2"/>
  <c r="AC300" i="2"/>
  <c r="L299" i="2"/>
  <c r="F386" i="2"/>
  <c r="AD184" i="2"/>
  <c r="E346" i="2"/>
  <c r="F389" i="2"/>
  <c r="E349" i="2"/>
  <c r="AD207" i="2"/>
  <c r="E339" i="2"/>
  <c r="F380" i="2"/>
  <c r="AD154" i="2"/>
  <c r="F387" i="2"/>
  <c r="E347" i="2"/>
  <c r="AD186" i="2"/>
  <c r="AD137" i="2"/>
  <c r="F379" i="2"/>
  <c r="E338" i="2"/>
  <c r="K321" i="2"/>
  <c r="E340" i="2"/>
  <c r="F381" i="2"/>
  <c r="AD156" i="2"/>
  <c r="AD318" i="2"/>
  <c r="E360" i="2"/>
  <c r="K322" i="2" l="1"/>
  <c r="AC322" i="2" s="1"/>
  <c r="AC321" i="2"/>
  <c r="K323" i="2"/>
  <c r="AC323" i="2" s="1"/>
  <c r="AD299" i="2"/>
  <c r="F396" i="2"/>
  <c r="E357" i="2"/>
  <c r="AD316" i="2"/>
  <c r="E359" i="2"/>
  <c r="F399" i="2"/>
  <c r="L320" i="2" l="1"/>
  <c r="K325" i="2"/>
  <c r="AC325" i="2" l="1"/>
  <c r="L324" i="2"/>
  <c r="AD320" i="2"/>
  <c r="E361" i="2"/>
  <c r="F398" i="2"/>
  <c r="L326" i="2"/>
  <c r="AD324" i="2" l="1"/>
  <c r="E362" i="2"/>
  <c r="F400" i="2"/>
  <c r="F401" i="2" s="1"/>
  <c r="F402" i="2" s="1"/>
  <c r="E363" i="2"/>
  <c r="E364" i="2" s="1"/>
  <c r="J8" i="2"/>
  <c r="L327" i="2"/>
  <c r="AD326" i="2"/>
  <c r="J9" i="2" l="1"/>
  <c r="J10" i="2"/>
  <c r="F462" i="1" l="1"/>
  <c r="F458" i="1"/>
  <c r="F457" i="1"/>
  <c r="F456" i="1"/>
  <c r="F455" i="1"/>
  <c r="F454" i="1"/>
  <c r="F453" i="1"/>
  <c r="F452" i="1"/>
  <c r="F451" i="1"/>
  <c r="F450" i="1"/>
  <c r="F449" i="1"/>
  <c r="F448" i="1"/>
  <c r="F430" i="1"/>
  <c r="F429" i="1"/>
  <c r="F427" i="1"/>
  <c r="F426" i="1"/>
  <c r="E351" i="1"/>
  <c r="J308" i="1"/>
  <c r="K308" i="1" s="1"/>
  <c r="J307" i="1"/>
  <c r="K307" i="1" s="1"/>
  <c r="F514" i="1" s="1"/>
  <c r="J306" i="1"/>
  <c r="K306" i="1" s="1"/>
  <c r="J305" i="1"/>
  <c r="K305" i="1" s="1"/>
  <c r="J304" i="1"/>
  <c r="K304" i="1" s="1"/>
  <c r="J303" i="1"/>
  <c r="K303" i="1" s="1"/>
  <c r="J302" i="1"/>
  <c r="K302" i="1" s="1"/>
  <c r="J301" i="1"/>
  <c r="K301" i="1" s="1"/>
  <c r="J300" i="1"/>
  <c r="K300" i="1" s="1"/>
  <c r="F512" i="1" s="1"/>
  <c r="J299" i="1"/>
  <c r="K299" i="1" s="1"/>
  <c r="J298" i="1"/>
  <c r="K298" i="1" s="1"/>
  <c r="F510" i="1" s="1"/>
  <c r="J297" i="1"/>
  <c r="K297" i="1" s="1"/>
  <c r="F509" i="1" s="1"/>
  <c r="J296" i="1"/>
  <c r="K296" i="1" s="1"/>
  <c r="J295" i="1"/>
  <c r="K295" i="1" s="1"/>
  <c r="J290" i="1"/>
  <c r="G290" i="1"/>
  <c r="J289" i="1"/>
  <c r="G289" i="1"/>
  <c r="J288" i="1"/>
  <c r="G288" i="1"/>
  <c r="K288" i="1" s="1"/>
  <c r="J287" i="1"/>
  <c r="G287" i="1"/>
  <c r="K287" i="1" s="1"/>
  <c r="J286" i="1"/>
  <c r="G286" i="1"/>
  <c r="J285" i="1"/>
  <c r="G285" i="1"/>
  <c r="J284" i="1"/>
  <c r="K284" i="1" s="1"/>
  <c r="J283" i="1"/>
  <c r="K283" i="1" s="1"/>
  <c r="J282" i="1"/>
  <c r="G282" i="1"/>
  <c r="J280" i="1"/>
  <c r="K280" i="1" s="1"/>
  <c r="J279" i="1"/>
  <c r="K279" i="1" s="1"/>
  <c r="J278" i="1"/>
  <c r="K278" i="1" s="1"/>
  <c r="J276" i="1"/>
  <c r="K276" i="1" s="1"/>
  <c r="L275" i="1" s="1"/>
  <c r="G41" i="7" s="1"/>
  <c r="J271" i="1"/>
  <c r="K271" i="1" s="1"/>
  <c r="J270" i="1"/>
  <c r="K270" i="1" s="1"/>
  <c r="J269" i="1"/>
  <c r="K269" i="1" s="1"/>
  <c r="J268" i="1"/>
  <c r="K268" i="1" s="1"/>
  <c r="J267" i="1"/>
  <c r="K267" i="1" s="1"/>
  <c r="J266" i="1"/>
  <c r="K266" i="1" s="1"/>
  <c r="J264" i="1"/>
  <c r="K264" i="1" s="1"/>
  <c r="J263" i="1"/>
  <c r="K263" i="1" s="1"/>
  <c r="J262" i="1"/>
  <c r="K262" i="1" s="1"/>
  <c r="J261" i="1"/>
  <c r="K261" i="1" s="1"/>
  <c r="J260" i="1"/>
  <c r="K260" i="1" s="1"/>
  <c r="J259" i="1"/>
  <c r="K259" i="1" s="1"/>
  <c r="J258" i="1"/>
  <c r="K258" i="1" s="1"/>
  <c r="J257" i="1"/>
  <c r="K257" i="1" s="1"/>
  <c r="J256" i="1"/>
  <c r="J254" i="1"/>
  <c r="K254" i="1" s="1"/>
  <c r="J253" i="1"/>
  <c r="K253" i="1" s="1"/>
  <c r="J252" i="1"/>
  <c r="K252" i="1" s="1"/>
  <c r="J251" i="1"/>
  <c r="K251" i="1" s="1"/>
  <c r="J250" i="1"/>
  <c r="K250" i="1" s="1"/>
  <c r="J249" i="1"/>
  <c r="K249" i="1" s="1"/>
  <c r="J248" i="1"/>
  <c r="K248" i="1" s="1"/>
  <c r="J247" i="1"/>
  <c r="J246" i="1"/>
  <c r="K246" i="1" s="1"/>
  <c r="J245" i="1"/>
  <c r="K245" i="1" s="1"/>
  <c r="F508" i="1" s="1"/>
  <c r="J244" i="1"/>
  <c r="K244" i="1" s="1"/>
  <c r="J243" i="1"/>
  <c r="K243" i="1" s="1"/>
  <c r="J242" i="1"/>
  <c r="K242" i="1" s="1"/>
  <c r="J241" i="1"/>
  <c r="K241" i="1" s="1"/>
  <c r="J240" i="1"/>
  <c r="K240" i="1" s="1"/>
  <c r="J239" i="1"/>
  <c r="K239" i="1" s="1"/>
  <c r="J238" i="1"/>
  <c r="K238" i="1" s="1"/>
  <c r="J237" i="1"/>
  <c r="K237" i="1" s="1"/>
  <c r="J236" i="1"/>
  <c r="G236" i="1"/>
  <c r="J235" i="1"/>
  <c r="K235" i="1" s="1"/>
  <c r="J234" i="1"/>
  <c r="K234" i="1" s="1"/>
  <c r="J233" i="1"/>
  <c r="K233" i="1" s="1"/>
  <c r="J232" i="1"/>
  <c r="G232" i="1"/>
  <c r="K232" i="1" s="1"/>
  <c r="J231" i="1"/>
  <c r="K231" i="1" s="1"/>
  <c r="J230" i="1"/>
  <c r="G230" i="1"/>
  <c r="J229" i="1"/>
  <c r="G229" i="1"/>
  <c r="J228" i="1"/>
  <c r="K228" i="1" s="1"/>
  <c r="J227" i="1"/>
  <c r="K227" i="1" s="1"/>
  <c r="J226" i="1"/>
  <c r="K226" i="1" s="1"/>
  <c r="J225" i="1"/>
  <c r="K225" i="1" s="1"/>
  <c r="J224" i="1"/>
  <c r="G224" i="1"/>
  <c r="K224" i="1" s="1"/>
  <c r="F505" i="1" s="1"/>
  <c r="J223" i="1"/>
  <c r="G223" i="1"/>
  <c r="J222" i="1"/>
  <c r="G222" i="1"/>
  <c r="K222" i="1" s="1"/>
  <c r="J221" i="1"/>
  <c r="K221" i="1" s="1"/>
  <c r="J220" i="1"/>
  <c r="K220" i="1" s="1"/>
  <c r="J219" i="1"/>
  <c r="K219" i="1" s="1"/>
  <c r="J218" i="1"/>
  <c r="K218" i="1" s="1"/>
  <c r="J216" i="1"/>
  <c r="G216" i="1"/>
  <c r="J215" i="1"/>
  <c r="K215" i="1" s="1"/>
  <c r="J214" i="1"/>
  <c r="K214" i="1" s="1"/>
  <c r="J213" i="1"/>
  <c r="K213" i="1" s="1"/>
  <c r="J212" i="1"/>
  <c r="K212" i="1" s="1"/>
  <c r="J211" i="1"/>
  <c r="K211" i="1" s="1"/>
  <c r="J210" i="1"/>
  <c r="K210" i="1" s="1"/>
  <c r="J209" i="1"/>
  <c r="G209" i="1"/>
  <c r="K209" i="1" s="1"/>
  <c r="J208" i="1"/>
  <c r="G208" i="1"/>
  <c r="J205" i="1"/>
  <c r="J204" i="1"/>
  <c r="J203" i="1"/>
  <c r="J201" i="1"/>
  <c r="G201" i="1"/>
  <c r="J200" i="1"/>
  <c r="J199" i="1"/>
  <c r="G199" i="1"/>
  <c r="J197" i="1"/>
  <c r="K197" i="1" s="1"/>
  <c r="J196" i="1"/>
  <c r="K196" i="1" s="1"/>
  <c r="J195" i="1"/>
  <c r="G195" i="1"/>
  <c r="J194" i="1"/>
  <c r="G194" i="1"/>
  <c r="J193" i="1"/>
  <c r="G193" i="1"/>
  <c r="J192" i="1"/>
  <c r="G192" i="1"/>
  <c r="J191" i="1"/>
  <c r="G191" i="1"/>
  <c r="J190" i="1"/>
  <c r="K190" i="1" s="1"/>
  <c r="J189" i="1"/>
  <c r="K189" i="1" s="1"/>
  <c r="F499" i="1" s="1"/>
  <c r="J188" i="1"/>
  <c r="K188" i="1" s="1"/>
  <c r="J187" i="1"/>
  <c r="J186" i="1"/>
  <c r="G186" i="1"/>
  <c r="J185" i="1"/>
  <c r="J184" i="1"/>
  <c r="J183" i="1"/>
  <c r="J182" i="1"/>
  <c r="G182" i="1"/>
  <c r="J179" i="1"/>
  <c r="J177" i="1"/>
  <c r="G177" i="1"/>
  <c r="J176" i="1"/>
  <c r="G176" i="1"/>
  <c r="J174" i="1"/>
  <c r="G174" i="1"/>
  <c r="H173" i="1"/>
  <c r="J173" i="1" s="1"/>
  <c r="G173" i="1"/>
  <c r="J171" i="1"/>
  <c r="K171" i="1" s="1"/>
  <c r="J170" i="1"/>
  <c r="G170" i="1"/>
  <c r="J169" i="1"/>
  <c r="K169" i="1" s="1"/>
  <c r="J167" i="1"/>
  <c r="G167" i="1"/>
  <c r="J166" i="1"/>
  <c r="J164" i="1"/>
  <c r="K164" i="1" s="1"/>
  <c r="L163" i="1" s="1"/>
  <c r="J162" i="1"/>
  <c r="G162" i="1"/>
  <c r="J161" i="1"/>
  <c r="K161" i="1" s="1"/>
  <c r="J160" i="1"/>
  <c r="G160" i="1"/>
  <c r="J158" i="1"/>
  <c r="K158" i="1" s="1"/>
  <c r="F489" i="1" s="1"/>
  <c r="J157" i="1"/>
  <c r="K157" i="1" s="1"/>
  <c r="J156" i="1"/>
  <c r="K156" i="1" s="1"/>
  <c r="J155" i="1"/>
  <c r="J154" i="1"/>
  <c r="K154" i="1" s="1"/>
  <c r="J153" i="1"/>
  <c r="J152" i="1"/>
  <c r="J151" i="1"/>
  <c r="K151" i="1" s="1"/>
  <c r="J149" i="1"/>
  <c r="J147" i="1"/>
  <c r="K147" i="1" s="1"/>
  <c r="J146" i="1"/>
  <c r="J145" i="1"/>
  <c r="J144" i="1"/>
  <c r="J143" i="1"/>
  <c r="K143" i="1" s="1"/>
  <c r="J142" i="1"/>
  <c r="K142" i="1" s="1"/>
  <c r="J141" i="1"/>
  <c r="K141" i="1" s="1"/>
  <c r="F488" i="1" s="1"/>
  <c r="J140" i="1"/>
  <c r="K140" i="1" s="1"/>
  <c r="F487" i="1" s="1"/>
  <c r="J139" i="1"/>
  <c r="K139" i="1" s="1"/>
  <c r="J138" i="1"/>
  <c r="K138" i="1" s="1"/>
  <c r="J137" i="1"/>
  <c r="J136" i="1"/>
  <c r="K136" i="1" s="1"/>
  <c r="J135" i="1"/>
  <c r="K135" i="1" s="1"/>
  <c r="J134" i="1"/>
  <c r="K134" i="1" s="1"/>
  <c r="J133" i="1"/>
  <c r="J132" i="1"/>
  <c r="K132" i="1" s="1"/>
  <c r="J130" i="1"/>
  <c r="K130" i="1" s="1"/>
  <c r="J129" i="1"/>
  <c r="K129" i="1" s="1"/>
  <c r="J128" i="1"/>
  <c r="K128" i="1" s="1"/>
  <c r="J127" i="1"/>
  <c r="K127" i="1" s="1"/>
  <c r="J125" i="1"/>
  <c r="G125" i="1"/>
  <c r="J124" i="1"/>
  <c r="K124" i="1" s="1"/>
  <c r="J123" i="1"/>
  <c r="G123" i="1"/>
  <c r="J122" i="1"/>
  <c r="G122" i="1"/>
  <c r="J121" i="1"/>
  <c r="G121" i="1"/>
  <c r="J120" i="1"/>
  <c r="G120" i="1"/>
  <c r="J119" i="1"/>
  <c r="K119" i="1" s="1"/>
  <c r="F406" i="1" s="1"/>
  <c r="J118" i="1"/>
  <c r="K118" i="1" s="1"/>
  <c r="F405" i="1" s="1"/>
  <c r="J117" i="1"/>
  <c r="G117" i="1"/>
  <c r="J116" i="1"/>
  <c r="G116" i="1"/>
  <c r="J115" i="1"/>
  <c r="K115" i="1" s="1"/>
  <c r="F402" i="1" s="1"/>
  <c r="J114" i="1"/>
  <c r="K114" i="1" s="1"/>
  <c r="F401" i="1" s="1"/>
  <c r="J113" i="1"/>
  <c r="K113" i="1" s="1"/>
  <c r="F400" i="1" s="1"/>
  <c r="J112" i="1"/>
  <c r="K112" i="1" s="1"/>
  <c r="J111" i="1"/>
  <c r="K111" i="1" s="1"/>
  <c r="J110" i="1"/>
  <c r="K110" i="1" s="1"/>
  <c r="J109" i="1"/>
  <c r="K109" i="1" s="1"/>
  <c r="J107" i="1"/>
  <c r="J106" i="1"/>
  <c r="G106" i="1"/>
  <c r="K106" i="1" s="1"/>
  <c r="F11" i="4" s="1"/>
  <c r="J105" i="1"/>
  <c r="K105" i="1" s="1"/>
  <c r="J104" i="1"/>
  <c r="K104" i="1" s="1"/>
  <c r="J103" i="1"/>
  <c r="K103" i="1" s="1"/>
  <c r="J102" i="1"/>
  <c r="G102" i="1"/>
  <c r="J101" i="1"/>
  <c r="K101" i="1" s="1"/>
  <c r="J100" i="1"/>
  <c r="G100" i="1"/>
  <c r="J99" i="1"/>
  <c r="G99" i="1"/>
  <c r="J98" i="1"/>
  <c r="K98" i="1" s="1"/>
  <c r="J97" i="1"/>
  <c r="J96" i="1"/>
  <c r="K96" i="1" s="1"/>
  <c r="J95" i="1"/>
  <c r="G95" i="1"/>
  <c r="J94" i="1"/>
  <c r="K94" i="1" s="1"/>
  <c r="J93" i="1"/>
  <c r="K93" i="1" s="1"/>
  <c r="J91" i="1"/>
  <c r="K91" i="1" s="1"/>
  <c r="J90" i="1"/>
  <c r="J89" i="1"/>
  <c r="K89" i="1" s="1"/>
  <c r="J88" i="1"/>
  <c r="K88" i="1" s="1"/>
  <c r="J87" i="1"/>
  <c r="K87" i="1" s="1"/>
  <c r="J86" i="1"/>
  <c r="K86" i="1" s="1"/>
  <c r="J85" i="1"/>
  <c r="K85" i="1" s="1"/>
  <c r="F482" i="1" s="1"/>
  <c r="J84" i="1"/>
  <c r="K84" i="1" s="1"/>
  <c r="F481" i="1" s="1"/>
  <c r="J83" i="1"/>
  <c r="J82" i="1"/>
  <c r="J81" i="1"/>
  <c r="K81" i="1" s="1"/>
  <c r="J80" i="1"/>
  <c r="K80" i="1" s="1"/>
  <c r="J79" i="1"/>
  <c r="K79" i="1" s="1"/>
  <c r="J78" i="1"/>
  <c r="K78" i="1" s="1"/>
  <c r="J77" i="1"/>
  <c r="K77" i="1" s="1"/>
  <c r="J75" i="1"/>
  <c r="K75" i="1" s="1"/>
  <c r="J74" i="1"/>
  <c r="G74" i="1"/>
  <c r="J73" i="1"/>
  <c r="K73" i="1" s="1"/>
  <c r="J72" i="1"/>
  <c r="G72" i="1"/>
  <c r="J71" i="1"/>
  <c r="G71" i="1"/>
  <c r="J70" i="1"/>
  <c r="G70" i="1"/>
  <c r="J69" i="1"/>
  <c r="G69" i="1"/>
  <c r="J68" i="1"/>
  <c r="K68" i="1" s="1"/>
  <c r="J67" i="1"/>
  <c r="K67" i="1" s="1"/>
  <c r="F480" i="1" s="1"/>
  <c r="J66" i="1"/>
  <c r="G66" i="1"/>
  <c r="J65" i="1"/>
  <c r="G65" i="1"/>
  <c r="J63" i="1"/>
  <c r="K63" i="1" s="1"/>
  <c r="F478" i="1"/>
  <c r="J60" i="1"/>
  <c r="G60" i="1"/>
  <c r="J59" i="1"/>
  <c r="J58" i="1"/>
  <c r="K58" i="1" s="1"/>
  <c r="J57" i="1"/>
  <c r="K57" i="1" s="1"/>
  <c r="J56" i="1"/>
  <c r="K56" i="1" s="1"/>
  <c r="F476" i="1" s="1"/>
  <c r="J55" i="1"/>
  <c r="K55" i="1" s="1"/>
  <c r="F475" i="1" s="1"/>
  <c r="J54" i="1"/>
  <c r="K54" i="1" s="1"/>
  <c r="F474" i="1" s="1"/>
  <c r="J53" i="1"/>
  <c r="K53" i="1" s="1"/>
  <c r="J52" i="1"/>
  <c r="J51" i="1"/>
  <c r="K51" i="1" s="1"/>
  <c r="J49" i="1"/>
  <c r="K49" i="1" s="1"/>
  <c r="J48" i="1"/>
  <c r="J47" i="1"/>
  <c r="K47" i="1" s="1"/>
  <c r="F473" i="1" s="1"/>
  <c r="J46" i="1"/>
  <c r="K46" i="1" s="1"/>
  <c r="F472" i="1" s="1"/>
  <c r="J45" i="1"/>
  <c r="K45" i="1" s="1"/>
  <c r="J44" i="1"/>
  <c r="H43" i="1"/>
  <c r="J43" i="1" s="1"/>
  <c r="G43" i="1"/>
  <c r="J42" i="1"/>
  <c r="K42" i="1" s="1"/>
  <c r="J40" i="1"/>
  <c r="J39" i="1"/>
  <c r="J38" i="1"/>
  <c r="K38" i="1" s="1"/>
  <c r="J37" i="1"/>
  <c r="G37" i="1"/>
  <c r="J36" i="1"/>
  <c r="G36" i="1"/>
  <c r="E325" i="1"/>
  <c r="J34" i="1"/>
  <c r="K34" i="1" s="1"/>
  <c r="F469" i="1" s="1"/>
  <c r="J33" i="1"/>
  <c r="J32" i="1"/>
  <c r="K32" i="1" s="1"/>
  <c r="F468" i="1" s="1"/>
  <c r="J31" i="1"/>
  <c r="K31" i="1" s="1"/>
  <c r="F467" i="1" s="1"/>
  <c r="J30" i="1"/>
  <c r="K30" i="1" s="1"/>
  <c r="F466" i="1" s="1"/>
  <c r="J29" i="1"/>
  <c r="J28" i="1"/>
  <c r="K28" i="1" s="1"/>
  <c r="J27" i="1"/>
  <c r="K27" i="1" s="1"/>
  <c r="J26" i="1"/>
  <c r="K26" i="1" s="1"/>
  <c r="J25" i="1"/>
  <c r="J23" i="1"/>
  <c r="K23" i="1" s="1"/>
  <c r="G21" i="1"/>
  <c r="AO17" i="1"/>
  <c r="AH17" i="1"/>
  <c r="AO15" i="1"/>
  <c r="AP15" i="1" s="1"/>
  <c r="AH15" i="1"/>
  <c r="AI15" i="1" s="1"/>
  <c r="AL14" i="1"/>
  <c r="AL13" i="1"/>
  <c r="G187" i="1"/>
  <c r="AL12" i="1"/>
  <c r="AS11" i="1"/>
  <c r="AL11" i="1"/>
  <c r="AO9" i="1"/>
  <c r="AP9" i="1" s="1"/>
  <c r="AH9" i="1"/>
  <c r="AH8" i="1"/>
  <c r="E8" i="1"/>
  <c r="AH7" i="1"/>
  <c r="AL6" i="1"/>
  <c r="AH6" i="1"/>
  <c r="AL5" i="1"/>
  <c r="AH5" i="1"/>
  <c r="AL4" i="1"/>
  <c r="AS3" i="1"/>
  <c r="AL3" i="1"/>
  <c r="AL7" i="1" s="1"/>
  <c r="G25" i="1"/>
  <c r="F511" i="1" l="1"/>
  <c r="K290" i="1"/>
  <c r="K60" i="1"/>
  <c r="K174" i="1"/>
  <c r="K229" i="1"/>
  <c r="F506" i="1" s="1"/>
  <c r="E336" i="1"/>
  <c r="K282" i="1"/>
  <c r="K273" i="1"/>
  <c r="L272" i="1" s="1"/>
  <c r="G40" i="7" s="1"/>
  <c r="K37" i="1"/>
  <c r="AL15" i="1"/>
  <c r="K187" i="1"/>
  <c r="K201" i="1"/>
  <c r="K223" i="1"/>
  <c r="E350" i="1"/>
  <c r="K176" i="1"/>
  <c r="F494" i="1" s="1"/>
  <c r="K205" i="1"/>
  <c r="F16" i="1"/>
  <c r="K166" i="1"/>
  <c r="K236" i="1"/>
  <c r="F507" i="1" s="1"/>
  <c r="K99" i="1"/>
  <c r="F22" i="4" s="1"/>
  <c r="AI9" i="1"/>
  <c r="K25" i="1"/>
  <c r="F18" i="4" s="1"/>
  <c r="K65" i="1"/>
  <c r="F19" i="4" s="1"/>
  <c r="K146" i="1"/>
  <c r="G155" i="1"/>
  <c r="K155" i="1" s="1"/>
  <c r="F3" i="1"/>
  <c r="G256" i="1"/>
  <c r="K256" i="1" s="1"/>
  <c r="L255" i="1" s="1"/>
  <c r="G39" i="7" s="1"/>
  <c r="G107" i="1"/>
  <c r="K107" i="1" s="1"/>
  <c r="F5" i="1"/>
  <c r="G144" i="1"/>
  <c r="K144" i="1" s="1"/>
  <c r="G179" i="1"/>
  <c r="K179" i="1" s="1"/>
  <c r="L178" i="1" s="1"/>
  <c r="G183" i="1"/>
  <c r="K183" i="1" s="1"/>
  <c r="G82" i="1"/>
  <c r="K82" i="1" s="1"/>
  <c r="G184" i="1"/>
  <c r="K184" i="1" s="1"/>
  <c r="G152" i="1"/>
  <c r="K152" i="1" s="1"/>
  <c r="F410" i="1" s="1"/>
  <c r="G153" i="1"/>
  <c r="K153" i="1" s="1"/>
  <c r="G137" i="1"/>
  <c r="K137" i="1" s="1"/>
  <c r="K289" i="1"/>
  <c r="K182" i="1"/>
  <c r="F9" i="4" s="1"/>
  <c r="K33" i="1"/>
  <c r="F24" i="4" s="1"/>
  <c r="K44" i="1"/>
  <c r="K195" i="1"/>
  <c r="F502" i="1" s="1"/>
  <c r="K162" i="1"/>
  <c r="F492" i="1" s="1"/>
  <c r="K194" i="1"/>
  <c r="F501" i="1" s="1"/>
  <c r="K66" i="1"/>
  <c r="F27" i="4" s="1"/>
  <c r="K48" i="1"/>
  <c r="K102" i="1"/>
  <c r="K69" i="1"/>
  <c r="K167" i="1"/>
  <c r="F493" i="1" s="1"/>
  <c r="K100" i="1"/>
  <c r="K117" i="1"/>
  <c r="F404" i="1" s="1"/>
  <c r="K39" i="1"/>
  <c r="F470" i="1" s="1"/>
  <c r="K121" i="1"/>
  <c r="F408" i="1" s="1"/>
  <c r="K193" i="1"/>
  <c r="F500" i="1" s="1"/>
  <c r="K186" i="1"/>
  <c r="K173" i="1"/>
  <c r="G59" i="1"/>
  <c r="K59" i="1" s="1"/>
  <c r="F7" i="1"/>
  <c r="K204" i="1"/>
  <c r="K71" i="1"/>
  <c r="K216" i="1"/>
  <c r="K230" i="1"/>
  <c r="K72" i="1"/>
  <c r="K285" i="1"/>
  <c r="K191" i="1"/>
  <c r="K123" i="1"/>
  <c r="K208" i="1"/>
  <c r="K192" i="1"/>
  <c r="K95" i="1"/>
  <c r="K125" i="1"/>
  <c r="F26" i="4" s="1"/>
  <c r="K116" i="1"/>
  <c r="F403" i="1" s="1"/>
  <c r="K170" i="1"/>
  <c r="K286" i="1"/>
  <c r="K122" i="1"/>
  <c r="K199" i="1"/>
  <c r="F513" i="1" s="1"/>
  <c r="K74" i="1"/>
  <c r="L294" i="1"/>
  <c r="G45" i="7" s="1"/>
  <c r="F425" i="1"/>
  <c r="K40" i="1"/>
  <c r="F471" i="1" s="1"/>
  <c r="K177" i="1"/>
  <c r="F495" i="1" s="1"/>
  <c r="F477" i="1"/>
  <c r="K120" i="1"/>
  <c r="F407" i="1" s="1"/>
  <c r="F420" i="1"/>
  <c r="F387" i="1"/>
  <c r="L22" i="1"/>
  <c r="K43" i="1"/>
  <c r="K70" i="1"/>
  <c r="E347" i="1"/>
  <c r="F491" i="1"/>
  <c r="F424" i="1"/>
  <c r="F431" i="1"/>
  <c r="K52" i="1"/>
  <c r="F8" i="4" s="1"/>
  <c r="K200" i="1"/>
  <c r="K160" i="1"/>
  <c r="K247" i="1"/>
  <c r="L277" i="1"/>
  <c r="G42" i="7" s="1"/>
  <c r="K29" i="1"/>
  <c r="K36" i="1"/>
  <c r="F6" i="1"/>
  <c r="G83" i="1"/>
  <c r="K83" i="1" s="1"/>
  <c r="G133" i="1"/>
  <c r="K133" i="1" s="1"/>
  <c r="G145" i="1"/>
  <c r="K145" i="1" s="1"/>
  <c r="F479" i="1"/>
  <c r="G97" i="1"/>
  <c r="K97" i="1" s="1"/>
  <c r="G185" i="1"/>
  <c r="K185" i="1" s="1"/>
  <c r="F8" i="1"/>
  <c r="G203" i="1"/>
  <c r="K203" i="1" s="1"/>
  <c r="F4" i="1"/>
  <c r="G90" i="1"/>
  <c r="K90" i="1" s="1"/>
  <c r="G149" i="1"/>
  <c r="K149" i="1" s="1"/>
  <c r="L202" i="1" l="1"/>
  <c r="G36" i="7" s="1"/>
  <c r="E12" i="4"/>
  <c r="F12" i="4" s="1"/>
  <c r="F16" i="4"/>
  <c r="E15" i="4"/>
  <c r="F15" i="4" s="1"/>
  <c r="E10" i="4"/>
  <c r="F10" i="4" s="1"/>
  <c r="E13" i="4"/>
  <c r="F13" i="4" s="1"/>
  <c r="E17" i="4"/>
  <c r="F17" i="4" s="1"/>
  <c r="E23" i="4"/>
  <c r="F23" i="4" s="1"/>
  <c r="G17" i="7"/>
  <c r="F419" i="1"/>
  <c r="F465" i="1"/>
  <c r="G33" i="7"/>
  <c r="F498" i="1"/>
  <c r="L168" i="1"/>
  <c r="G31" i="7" s="1"/>
  <c r="F14" i="4"/>
  <c r="F484" i="1"/>
  <c r="L207" i="1"/>
  <c r="F25" i="4"/>
  <c r="L172" i="1"/>
  <c r="G32" i="7" s="1"/>
  <c r="L41" i="1"/>
  <c r="L281" i="1"/>
  <c r="F483" i="1"/>
  <c r="F485" i="1"/>
  <c r="F503" i="1"/>
  <c r="L217" i="1"/>
  <c r="L165" i="1"/>
  <c r="F496" i="1"/>
  <c r="F386" i="1"/>
  <c r="E346" i="1"/>
  <c r="L50" i="1"/>
  <c r="L76" i="1"/>
  <c r="L64" i="1"/>
  <c r="L150" i="1"/>
  <c r="L181" i="1"/>
  <c r="L198" i="1"/>
  <c r="L92" i="1"/>
  <c r="L148" i="1"/>
  <c r="G26" i="7" s="1"/>
  <c r="F409" i="1"/>
  <c r="F411" i="1" s="1"/>
  <c r="F486" i="1"/>
  <c r="L131" i="1"/>
  <c r="G25" i="7" s="1"/>
  <c r="K293" i="1"/>
  <c r="K312" i="1" s="1"/>
  <c r="L311" i="1" s="1"/>
  <c r="E339" i="1"/>
  <c r="E348" i="1"/>
  <c r="F421" i="1"/>
  <c r="F388" i="1"/>
  <c r="L24" i="1"/>
  <c r="G18" i="7" s="1"/>
  <c r="N323" i="1"/>
  <c r="N324" i="1" s="1"/>
  <c r="N325" i="1" s="1"/>
  <c r="F428" i="1"/>
  <c r="F490" i="1"/>
  <c r="L159" i="1"/>
  <c r="G28" i="7" s="1"/>
  <c r="F391" i="1"/>
  <c r="E352" i="1"/>
  <c r="L35" i="1"/>
  <c r="G19" i="7" s="1"/>
  <c r="K292" i="1"/>
  <c r="F380" i="1"/>
  <c r="F416" i="1"/>
  <c r="F365" i="1"/>
  <c r="E323" i="1"/>
  <c r="E343" i="1"/>
  <c r="F383" i="1"/>
  <c r="F504" i="1"/>
  <c r="F497" i="1"/>
  <c r="E338" i="1" l="1"/>
  <c r="F379" i="1"/>
  <c r="E340" i="1"/>
  <c r="F378" i="1"/>
  <c r="E349" i="1"/>
  <c r="G43" i="7"/>
  <c r="E327" i="1"/>
  <c r="G20" i="7"/>
  <c r="E334" i="1"/>
  <c r="G27" i="7"/>
  <c r="F371" i="1"/>
  <c r="G23" i="7"/>
  <c r="F369" i="1"/>
  <c r="G21" i="7"/>
  <c r="E341" i="1"/>
  <c r="G34" i="7"/>
  <c r="F370" i="1"/>
  <c r="G22" i="7"/>
  <c r="E344" i="1"/>
  <c r="G37" i="7"/>
  <c r="E331" i="1"/>
  <c r="G24" i="7"/>
  <c r="F385" i="1"/>
  <c r="G38" i="7"/>
  <c r="E342" i="1"/>
  <c r="G35" i="7"/>
  <c r="F377" i="1"/>
  <c r="G30" i="7"/>
  <c r="F389" i="1"/>
  <c r="F368" i="1"/>
  <c r="F384" i="1"/>
  <c r="F417" i="1"/>
  <c r="F418" i="1"/>
  <c r="E337" i="1"/>
  <c r="F381" i="1"/>
  <c r="E329" i="1"/>
  <c r="E328" i="1"/>
  <c r="F372" i="1"/>
  <c r="F375" i="1"/>
  <c r="F382" i="1"/>
  <c r="E345" i="1"/>
  <c r="E330" i="1"/>
  <c r="L291" i="1"/>
  <c r="E332" i="1"/>
  <c r="F373" i="1"/>
  <c r="F367" i="1"/>
  <c r="E326" i="1"/>
  <c r="E354" i="1"/>
  <c r="E335" i="1"/>
  <c r="F376" i="1"/>
  <c r="E324" i="1"/>
  <c r="F366" i="1"/>
  <c r="E333" i="1"/>
  <c r="F374" i="1"/>
  <c r="H21" i="1" l="1"/>
  <c r="F390" i="1"/>
  <c r="F432" i="1"/>
  <c r="J21" i="1" l="1"/>
  <c r="K21" i="1" s="1"/>
  <c r="K310" i="1" l="1"/>
  <c r="L20" i="1"/>
  <c r="K314" i="1" l="1"/>
  <c r="L309" i="1"/>
  <c r="F364" i="1"/>
  <c r="E322" i="1"/>
  <c r="F393" i="1" l="1"/>
  <c r="E353" i="1"/>
  <c r="K316" i="1"/>
  <c r="K315" i="1"/>
  <c r="K318" i="1" l="1"/>
  <c r="K319" i="1"/>
  <c r="L317" i="1" s="1"/>
  <c r="L313" i="1"/>
  <c r="F394" i="1" l="1"/>
  <c r="E356" i="1"/>
  <c r="E355" i="1"/>
  <c r="F392" i="1"/>
  <c r="F395" i="1" s="1"/>
  <c r="L320" i="1"/>
  <c r="F396" i="1" l="1"/>
  <c r="L321" i="1"/>
  <c r="E357" i="1"/>
  <c r="E358" i="1" s="1"/>
  <c r="J14" i="1"/>
  <c r="J16" i="1" l="1"/>
  <c r="J15" i="1"/>
  <c r="E351" i="9" l="1"/>
  <c r="E352" i="9"/>
  <c r="E354" i="9"/>
  <c r="K14" i="9"/>
  <c r="B11" i="12" s="1"/>
  <c r="C313" i="12" s="1"/>
  <c r="L15" i="9" l="1"/>
  <c r="F362" i="9"/>
  <c r="L313" i="9"/>
  <c r="B48" i="7" s="1"/>
  <c r="L309" i="9"/>
  <c r="L290" i="9"/>
  <c r="B44" i="7" s="1"/>
  <c r="B47" i="7" l="1"/>
  <c r="F47" i="7" s="1"/>
  <c r="G47" i="7" s="1"/>
  <c r="E320" i="9"/>
  <c r="B16" i="7"/>
  <c r="F390" i="9"/>
  <c r="H309" i="12"/>
  <c r="I309" i="12" s="1"/>
  <c r="F12" i="12"/>
  <c r="H11" i="12"/>
  <c r="I11" i="12" s="1"/>
  <c r="L307" i="9"/>
  <c r="F388" i="9"/>
  <c r="F44" i="7"/>
  <c r="G44" i="7" s="1"/>
  <c r="E353" i="9"/>
  <c r="F48" i="7"/>
  <c r="G48" i="7" s="1"/>
  <c r="F391" i="9"/>
  <c r="B46" i="7" l="1"/>
  <c r="F46" i="7" s="1"/>
  <c r="G46" i="7" s="1"/>
  <c r="H12" i="12"/>
  <c r="L316" i="9"/>
  <c r="H300" i="12"/>
  <c r="I300" i="12" s="1"/>
  <c r="F301" i="12"/>
  <c r="F310" i="12"/>
  <c r="H308" i="12"/>
  <c r="I308" i="12" s="1"/>
  <c r="F16" i="7"/>
  <c r="L318" i="9" l="1"/>
  <c r="K2" i="9" s="1"/>
  <c r="B49" i="7"/>
  <c r="B50" i="7" s="1"/>
  <c r="I12" i="12"/>
  <c r="F312" i="12"/>
  <c r="E43" i="18" s="1"/>
  <c r="F43" i="18" s="1"/>
  <c r="H310" i="12"/>
  <c r="E355" i="9"/>
  <c r="E356" i="9" s="1"/>
  <c r="F392" i="9"/>
  <c r="F393" i="9" s="1"/>
  <c r="F394" i="9" s="1"/>
  <c r="B20" i="4"/>
  <c r="H301" i="12"/>
  <c r="G16" i="7"/>
  <c r="L319" i="9" l="1"/>
  <c r="D11" i="7"/>
  <c r="B10" i="7"/>
  <c r="C41" i="8"/>
  <c r="I301" i="12"/>
  <c r="I310" i="12"/>
  <c r="K6" i="9"/>
  <c r="D12" i="7"/>
  <c r="K4" i="9"/>
  <c r="B14" i="4"/>
  <c r="B22" i="4"/>
  <c r="B12" i="4"/>
  <c r="B18" i="4"/>
  <c r="B21" i="4"/>
  <c r="F29" i="4"/>
  <c r="B17" i="4"/>
  <c r="B19" i="4"/>
  <c r="B10" i="4"/>
  <c r="B27" i="4"/>
  <c r="B13" i="4"/>
  <c r="B15" i="4"/>
  <c r="B11" i="4"/>
  <c r="B8" i="4"/>
  <c r="B25" i="4"/>
  <c r="F49" i="7"/>
  <c r="D50" i="7"/>
  <c r="B16" i="4"/>
  <c r="B26" i="4"/>
  <c r="B23" i="4"/>
  <c r="B24" i="4"/>
  <c r="B28" i="4"/>
  <c r="B9" i="4"/>
  <c r="F6" i="12"/>
  <c r="H312" i="12"/>
  <c r="F313" i="12"/>
  <c r="F10" i="7" l="1"/>
  <c r="B12" i="7"/>
  <c r="B11" i="7"/>
  <c r="I312" i="12"/>
  <c r="G43" i="18" s="1"/>
  <c r="G49" i="7"/>
  <c r="F50" i="7"/>
  <c r="I6" i="12"/>
  <c r="F8" i="12"/>
  <c r="I8" i="12" s="1"/>
  <c r="F7" i="12"/>
  <c r="I7" i="12" s="1"/>
</calcChain>
</file>

<file path=xl/sharedStrings.xml><?xml version="1.0" encoding="utf-8"?>
<sst xmlns="http://schemas.openxmlformats.org/spreadsheetml/2006/main" count="14210" uniqueCount="1200">
  <si>
    <t>WorkSheet Name</t>
  </si>
  <si>
    <t>Report Code</t>
  </si>
  <si>
    <t>Company Id</t>
  </si>
  <si>
    <t>Job Id</t>
  </si>
  <si>
    <t>Start Date</t>
  </si>
  <si>
    <t>End Date</t>
  </si>
  <si>
    <t>Payroll Subledger</t>
  </si>
  <si>
    <t>Pay Period Id</t>
  </si>
  <si>
    <t>Project Details</t>
  </si>
  <si>
    <t>Project</t>
  </si>
  <si>
    <t>Robindale &amp; 215</t>
  </si>
  <si>
    <t>Total Cost</t>
  </si>
  <si>
    <t>Unit Breakdown</t>
  </si>
  <si>
    <t>Parking</t>
  </si>
  <si>
    <t xml:space="preserve">Budget Level </t>
  </si>
  <si>
    <t>Level 3</t>
  </si>
  <si>
    <t>Unit Type</t>
  </si>
  <si>
    <t>Number</t>
  </si>
  <si>
    <t>%</t>
  </si>
  <si>
    <t>Cover Parking</t>
  </si>
  <si>
    <t>Railing Estimate</t>
  </si>
  <si>
    <t>Building 3</t>
  </si>
  <si>
    <t>Stucco</t>
  </si>
  <si>
    <t>Product</t>
  </si>
  <si>
    <t>Senior</t>
  </si>
  <si>
    <t>Cost Per Unit</t>
  </si>
  <si>
    <t>Studios</t>
  </si>
  <si>
    <t>Cover Accesible Parking</t>
  </si>
  <si>
    <t>Building 1</t>
  </si>
  <si>
    <t xml:space="preserve">Start Date </t>
  </si>
  <si>
    <t>1 Br - 1 Ba</t>
  </si>
  <si>
    <t>Open Parking</t>
  </si>
  <si>
    <t>Northwest</t>
  </si>
  <si>
    <t>Timeline</t>
  </si>
  <si>
    <t>Cost Per SF</t>
  </si>
  <si>
    <t>2 Br - 1 Ba</t>
  </si>
  <si>
    <t>Accessible Parking</t>
  </si>
  <si>
    <t>Southwest</t>
  </si>
  <si>
    <t>Floors</t>
  </si>
  <si>
    <t>2 Br - 2 Ba</t>
  </si>
  <si>
    <t>Waiver</t>
  </si>
  <si>
    <t>Northeast</t>
  </si>
  <si>
    <t>Bldg. SF</t>
  </si>
  <si>
    <t xml:space="preserve">Efficiency </t>
  </si>
  <si>
    <t>3 Br - 2 Ba</t>
  </si>
  <si>
    <t>Total Parking Provided</t>
  </si>
  <si>
    <t>Southeast</t>
  </si>
  <si>
    <t xml:space="preserve">Acres </t>
  </si>
  <si>
    <t>Totals</t>
  </si>
  <si>
    <t>Parking Ratio</t>
  </si>
  <si>
    <t>More</t>
  </si>
  <si>
    <t>Site SF</t>
  </si>
  <si>
    <t>Buildings</t>
  </si>
  <si>
    <t>Building 2 &amp; 5</t>
  </si>
  <si>
    <t>Building 4</t>
  </si>
  <si>
    <t>Description</t>
  </si>
  <si>
    <t>Cost Code</t>
  </si>
  <si>
    <t>Cost Category</t>
  </si>
  <si>
    <t>Sub job</t>
  </si>
  <si>
    <t>Source</t>
  </si>
  <si>
    <t>UMO</t>
  </si>
  <si>
    <t>Quantity</t>
  </si>
  <si>
    <t>U.P.</t>
  </si>
  <si>
    <t>Escal %</t>
  </si>
  <si>
    <t>Total U.P.</t>
  </si>
  <si>
    <t xml:space="preserve">Sub Total </t>
  </si>
  <si>
    <t>Total</t>
  </si>
  <si>
    <t>Description / Details</t>
  </si>
  <si>
    <t>General Requirement</t>
  </si>
  <si>
    <t>01</t>
  </si>
  <si>
    <t>S</t>
  </si>
  <si>
    <t>Mo</t>
  </si>
  <si>
    <t xml:space="preserve">General Requirements   </t>
  </si>
  <si>
    <t>Potholing</t>
  </si>
  <si>
    <t>02-3213</t>
  </si>
  <si>
    <t>ON-SITE</t>
  </si>
  <si>
    <t>Allowance</t>
  </si>
  <si>
    <t xml:space="preserve">Existing Conditions   </t>
  </si>
  <si>
    <t>02</t>
  </si>
  <si>
    <t xml:space="preserve">Slabs </t>
  </si>
  <si>
    <t>03-3101</t>
  </si>
  <si>
    <t>BUILDING</t>
  </si>
  <si>
    <t>Proposal</t>
  </si>
  <si>
    <t>LS</t>
  </si>
  <si>
    <t>Proposal (Alpha) - High Bid</t>
  </si>
  <si>
    <t>NRC Concrete ($1,542,922) - Low Bid</t>
  </si>
  <si>
    <t>Deepened Footings</t>
  </si>
  <si>
    <t>N/A</t>
  </si>
  <si>
    <t>Grading &amp; Paving</t>
  </si>
  <si>
    <t xml:space="preserve">Concrete Slab Repairs </t>
  </si>
  <si>
    <t>RR</t>
  </si>
  <si>
    <t>Wets</t>
  </si>
  <si>
    <t>Pump House Concrete</t>
  </si>
  <si>
    <t>PUMPHOUSE</t>
  </si>
  <si>
    <t>Slabs</t>
  </si>
  <si>
    <t>Trash Enclosure Concrete</t>
  </si>
  <si>
    <t>03-3102</t>
  </si>
  <si>
    <t>OTHER SITE</t>
  </si>
  <si>
    <t>EA</t>
  </si>
  <si>
    <t>Proposal (Alpha)</t>
  </si>
  <si>
    <t>Wood Framing</t>
  </si>
  <si>
    <t xml:space="preserve">Pool Area Shower Concrete </t>
  </si>
  <si>
    <t>03-3105</t>
  </si>
  <si>
    <t>POOL AREA</t>
  </si>
  <si>
    <t>Plumbing</t>
  </si>
  <si>
    <t>Cabana Concrete</t>
  </si>
  <si>
    <t>03-3107</t>
  </si>
  <si>
    <t>Electrical</t>
  </si>
  <si>
    <t xml:space="preserve">Pool Equipment Foundation </t>
  </si>
  <si>
    <t>03-3108</t>
  </si>
  <si>
    <t>POOL EQUIP</t>
  </si>
  <si>
    <t>Mechanical</t>
  </si>
  <si>
    <t>Lightweight Concrete</t>
  </si>
  <si>
    <t>03-3116</t>
  </si>
  <si>
    <t>Propsal (Nevada Gyp) - Low Bid</t>
  </si>
  <si>
    <t>Sound-Crete ($289,353) - High Bid</t>
  </si>
  <si>
    <t>Finished Carpentry</t>
  </si>
  <si>
    <t>Deck Concrete</t>
  </si>
  <si>
    <t>03-5001</t>
  </si>
  <si>
    <t>Sound-Crete ($41,260) - High Bid</t>
  </si>
  <si>
    <t>Drywall &amp; Paint</t>
  </si>
  <si>
    <t xml:space="preserve">Concrete   </t>
  </si>
  <si>
    <t>03</t>
  </si>
  <si>
    <t>Masonry</t>
  </si>
  <si>
    <t>Elevator Shaft</t>
  </si>
  <si>
    <t>04-2201</t>
  </si>
  <si>
    <t>Stop</t>
  </si>
  <si>
    <t>Wood framed.</t>
  </si>
  <si>
    <t>Structural Steel</t>
  </si>
  <si>
    <t>Trash Enclosure</t>
  </si>
  <si>
    <t>04-2202</t>
  </si>
  <si>
    <t>Budget</t>
  </si>
  <si>
    <t>Count</t>
  </si>
  <si>
    <t>See Off and Onsite Budget</t>
  </si>
  <si>
    <t>AWAITING UPDATED PROPOSALS</t>
  </si>
  <si>
    <t>Site Iron</t>
  </si>
  <si>
    <t>Masonry Veneer</t>
  </si>
  <si>
    <t>04-4301</t>
  </si>
  <si>
    <t>Elevators</t>
  </si>
  <si>
    <t>Masonry Veneer Pool Area</t>
  </si>
  <si>
    <t>04-4305</t>
  </si>
  <si>
    <t>Sprinkler Systems</t>
  </si>
  <si>
    <t xml:space="preserve">Pool Eq. Shower </t>
  </si>
  <si>
    <t>04-4306</t>
  </si>
  <si>
    <t>A</t>
  </si>
  <si>
    <t>Fire Alarm</t>
  </si>
  <si>
    <t xml:space="preserve">Masonry   </t>
  </si>
  <si>
    <t>04</t>
  </si>
  <si>
    <t>Insulation</t>
  </si>
  <si>
    <t>05-1201</t>
  </si>
  <si>
    <t>Proposal (Imperial Iron)</t>
  </si>
  <si>
    <t xml:space="preserve">Elevator Shaft Iron </t>
  </si>
  <si>
    <t>05-1202</t>
  </si>
  <si>
    <t>Roofing</t>
  </si>
  <si>
    <t xml:space="preserve">Stair Handrails </t>
  </si>
  <si>
    <t>05-5201</t>
  </si>
  <si>
    <t>West Henderson</t>
  </si>
  <si>
    <t>Flight</t>
  </si>
  <si>
    <t>West Henderson proposal - Desert Steel</t>
  </si>
  <si>
    <t>Dry Utilities</t>
  </si>
  <si>
    <t>Garage Stair Railings</t>
  </si>
  <si>
    <t>Cabana Iron</t>
  </si>
  <si>
    <t>05-7004</t>
  </si>
  <si>
    <t>Decks</t>
  </si>
  <si>
    <t>Pool Equipment Gate</t>
  </si>
  <si>
    <t>05-7005</t>
  </si>
  <si>
    <t>Const. Clean</t>
  </si>
  <si>
    <t xml:space="preserve">Iron Railings </t>
  </si>
  <si>
    <t>05-7300</t>
  </si>
  <si>
    <t>LF</t>
  </si>
  <si>
    <t>Security Systems</t>
  </si>
  <si>
    <t>Cable Railings</t>
  </si>
  <si>
    <t>05-7316</t>
  </si>
  <si>
    <t>COMMON AREA</t>
  </si>
  <si>
    <t>Windows &amp; Sliders</t>
  </si>
  <si>
    <t xml:space="preserve">Metals   </t>
  </si>
  <si>
    <t>05</t>
  </si>
  <si>
    <t>Pools &amp; Spa</t>
  </si>
  <si>
    <t xml:space="preserve">Framing </t>
  </si>
  <si>
    <t>06-1100</t>
  </si>
  <si>
    <t>Proposal (National Builders) - Low Bid</t>
  </si>
  <si>
    <t>Rafael Construction ($9,293,005) - High Bidder</t>
  </si>
  <si>
    <t>Carports &amp; Iron</t>
  </si>
  <si>
    <t>Framing Pump House</t>
  </si>
  <si>
    <t>Bruner</t>
  </si>
  <si>
    <t>SF</t>
  </si>
  <si>
    <t>Site Concrete</t>
  </si>
  <si>
    <t>Framing - Crane</t>
  </si>
  <si>
    <t>Cabinets - Units</t>
  </si>
  <si>
    <t xml:space="preserve">Cabana Framing </t>
  </si>
  <si>
    <t>06-1109</t>
  </si>
  <si>
    <t>Cabinets - Common Areas</t>
  </si>
  <si>
    <t xml:space="preserve">BBQ Framing </t>
  </si>
  <si>
    <t>06-1110</t>
  </si>
  <si>
    <t>Countertops - Units</t>
  </si>
  <si>
    <t>Fireplace Framing</t>
  </si>
  <si>
    <t>06-1111</t>
  </si>
  <si>
    <t>Countertops - Common Areas</t>
  </si>
  <si>
    <t>Trellis</t>
  </si>
  <si>
    <t>06-1114</t>
  </si>
  <si>
    <t>Unit Tub/Shower Surrounds</t>
  </si>
  <si>
    <t>Pool Equipment Framing</t>
  </si>
  <si>
    <t>Flooring - Units</t>
  </si>
  <si>
    <t>Finish Carpentry - Units</t>
  </si>
  <si>
    <t>06-2001</t>
  </si>
  <si>
    <t>Liavable SF</t>
  </si>
  <si>
    <t>Per WH proposal based on liavable SF.</t>
  </si>
  <si>
    <t>Flooring - Common Areas</t>
  </si>
  <si>
    <t xml:space="preserve">Finish Carpentry - Common </t>
  </si>
  <si>
    <t>Added 10% as we have indication BFS has purchased Rystin and Doors and Millwork companies.</t>
  </si>
  <si>
    <t>Site Landscaping</t>
  </si>
  <si>
    <t>Finish Carpentry - Pump House</t>
  </si>
  <si>
    <t>06-2001S</t>
  </si>
  <si>
    <t>Blinds</t>
  </si>
  <si>
    <t xml:space="preserve">BBQ Trim </t>
  </si>
  <si>
    <t>06-2006</t>
  </si>
  <si>
    <t>Unit Appliances</t>
  </si>
  <si>
    <t>Shutters</t>
  </si>
  <si>
    <t>06-4919</t>
  </si>
  <si>
    <t>Interior Furniture</t>
  </si>
  <si>
    <t xml:space="preserve">Wood, Plastics, &amp; Composites   </t>
  </si>
  <si>
    <t>06</t>
  </si>
  <si>
    <t>Exterior Furniture</t>
  </si>
  <si>
    <t xml:space="preserve">Insulation </t>
  </si>
  <si>
    <t>07-2101</t>
  </si>
  <si>
    <t>Proposal (Battle Born) - Low Bid</t>
  </si>
  <si>
    <t>TruTeam ($852,000) - Middle Bid</t>
  </si>
  <si>
    <t>Gold Star ($858,434) - High Bid</t>
  </si>
  <si>
    <t>Solar Panels</t>
  </si>
  <si>
    <t>Insulation - PH</t>
  </si>
  <si>
    <t>Proposal (Battle Born)</t>
  </si>
  <si>
    <t>DAS System</t>
  </si>
  <si>
    <t>07-3001</t>
  </si>
  <si>
    <t>Proposal (TORC)</t>
  </si>
  <si>
    <t>Xbuilt ($1,492,543) - High Bid</t>
  </si>
  <si>
    <t>Street Signs</t>
  </si>
  <si>
    <t>Roofing - PH</t>
  </si>
  <si>
    <t>Xbuilt ($4,478)</t>
  </si>
  <si>
    <t>Temp Power</t>
  </si>
  <si>
    <t>Cabana Roofing</t>
  </si>
  <si>
    <t>07-3002</t>
  </si>
  <si>
    <t>Proposal (Xbuilt)</t>
  </si>
  <si>
    <t>TORC (Not Included)</t>
  </si>
  <si>
    <t>Surveying/Testing</t>
  </si>
  <si>
    <t>Pump House Roofing</t>
  </si>
  <si>
    <t>Gym Equipment</t>
  </si>
  <si>
    <t>Pool Equipment Roofing</t>
  </si>
  <si>
    <t>07-3003</t>
  </si>
  <si>
    <t>Gym Flooring</t>
  </si>
  <si>
    <t>Trash Enclosure Cover</t>
  </si>
  <si>
    <t>07-6101</t>
  </si>
  <si>
    <t>Proposal (Hirschi)</t>
  </si>
  <si>
    <t>Electrical Fixtures</t>
  </si>
  <si>
    <t>Pigeon Proofing</t>
  </si>
  <si>
    <t>07-7001</t>
  </si>
  <si>
    <t>Pavers and Pool Deck</t>
  </si>
  <si>
    <t>Gutters and Downspouts</t>
  </si>
  <si>
    <t>07-7124</t>
  </si>
  <si>
    <t>Signage</t>
  </si>
  <si>
    <t>Roof Ladders</t>
  </si>
  <si>
    <t>07-7210</t>
  </si>
  <si>
    <t>2 Per building</t>
  </si>
  <si>
    <t>Site Security</t>
  </si>
  <si>
    <t xml:space="preserve">Roof Access Doors </t>
  </si>
  <si>
    <t>07-7233</t>
  </si>
  <si>
    <t>Roof Winch</t>
  </si>
  <si>
    <t>07-7250</t>
  </si>
  <si>
    <t xml:space="preserve">Thermal &amp; Moisture Protection   </t>
  </si>
  <si>
    <t>07</t>
  </si>
  <si>
    <t>Entry Doors</t>
  </si>
  <si>
    <t>08-1001</t>
  </si>
  <si>
    <t>Common Doors</t>
  </si>
  <si>
    <t>08-1002</t>
  </si>
  <si>
    <t>Included</t>
  </si>
  <si>
    <t xml:space="preserve">Pocket Doors - 3 Panel </t>
  </si>
  <si>
    <t>Garage Doors</t>
  </si>
  <si>
    <t>08-3619</t>
  </si>
  <si>
    <t>Windows and Sliding Glass Doors</t>
  </si>
  <si>
    <t>08-5301</t>
  </si>
  <si>
    <t>Per Unit</t>
  </si>
  <si>
    <t>Contempo unit windows Proposal plus $100 per unit for frontage windows.</t>
  </si>
  <si>
    <t>Windows Repair and Replacement</t>
  </si>
  <si>
    <t>Pool Equipment Windows</t>
  </si>
  <si>
    <t>08-5303</t>
  </si>
  <si>
    <t>Pool Glass Walls</t>
  </si>
  <si>
    <t>08-8001</t>
  </si>
  <si>
    <t>Fixed Glass</t>
  </si>
  <si>
    <t>08-8002</t>
  </si>
  <si>
    <t>Mirrors - LED</t>
  </si>
  <si>
    <t>08-8301</t>
  </si>
  <si>
    <t>Mirrors - LED Install</t>
  </si>
  <si>
    <t>08-8302</t>
  </si>
  <si>
    <t>Mirrors - Framed</t>
  </si>
  <si>
    <t>Mirrors - Polished Edges (Units)</t>
  </si>
  <si>
    <t>Bathroom</t>
  </si>
  <si>
    <t>Updated based on Bruner budget</t>
  </si>
  <si>
    <t>Mirrors - Polished Edges (Restrooms)</t>
  </si>
  <si>
    <t xml:space="preserve">Openings   </t>
  </si>
  <si>
    <t>08</t>
  </si>
  <si>
    <t>Cost Prep Labor</t>
  </si>
  <si>
    <t>09-0101</t>
  </si>
  <si>
    <t>Cost Prep Mat - Home Depot</t>
  </si>
  <si>
    <t>09-0102</t>
  </si>
  <si>
    <t xml:space="preserve">Clean Up - Final </t>
  </si>
  <si>
    <t>09-0103</t>
  </si>
  <si>
    <t>Includes Dumpters</t>
  </si>
  <si>
    <t>Clean Up - During Construction - Labor</t>
  </si>
  <si>
    <t>09-0104</t>
  </si>
  <si>
    <t>Dumpsters</t>
  </si>
  <si>
    <t>09-0113</t>
  </si>
  <si>
    <t>DUMPSTERS</t>
  </si>
  <si>
    <t xml:space="preserve">Unit </t>
  </si>
  <si>
    <t>Clean Up - Hauling Exterior</t>
  </si>
  <si>
    <t>09-0121</t>
  </si>
  <si>
    <t>Included in Construction Cleaning Contract.</t>
  </si>
  <si>
    <t xml:space="preserve">Stucco </t>
  </si>
  <si>
    <t>09-2423</t>
  </si>
  <si>
    <t>Proposal (Desert Plastering) - Low Bid</t>
  </si>
  <si>
    <t>Builder's First Source ($993,890) - High Bid</t>
  </si>
  <si>
    <t xml:space="preserve">Stucco - Pump House </t>
  </si>
  <si>
    <t>09-2423S</t>
  </si>
  <si>
    <t>Stucco - Walls</t>
  </si>
  <si>
    <t>09-2424</t>
  </si>
  <si>
    <t>Stucco - Pool Area</t>
  </si>
  <si>
    <t>09-2428</t>
  </si>
  <si>
    <t>Stucco - Cabana</t>
  </si>
  <si>
    <t>09-2429</t>
  </si>
  <si>
    <t xml:space="preserve">Stucco - Pool Equipment </t>
  </si>
  <si>
    <t>09-2430</t>
  </si>
  <si>
    <t>Pebble</t>
  </si>
  <si>
    <t>Stucco - Repairs</t>
  </si>
  <si>
    <t>09-2423A</t>
  </si>
  <si>
    <t>Drywall</t>
  </si>
  <si>
    <t>09-2905</t>
  </si>
  <si>
    <t>Proposal (Classic Drywall &amp; Paint)</t>
  </si>
  <si>
    <t>Drywall - Repairs</t>
  </si>
  <si>
    <t>09-2905A</t>
  </si>
  <si>
    <t>Drywall - Pump House</t>
  </si>
  <si>
    <t>09-2905S</t>
  </si>
  <si>
    <t>Tile Tubs and Showers</t>
  </si>
  <si>
    <t>09-3001</t>
  </si>
  <si>
    <t xml:space="preserve">Common Tile </t>
  </si>
  <si>
    <t>09-3002</t>
  </si>
  <si>
    <t>Torrey Pines</t>
  </si>
  <si>
    <t>Unit</t>
  </si>
  <si>
    <t>Based on Torrey Pines awarded proposal</t>
  </si>
  <si>
    <t>Kitchen Backsplash</t>
  </si>
  <si>
    <t>09-3003</t>
  </si>
  <si>
    <t>Cabana Tile</t>
  </si>
  <si>
    <t>09-3008</t>
  </si>
  <si>
    <t>09-6001</t>
  </si>
  <si>
    <t>SY</t>
  </si>
  <si>
    <t>Sheet Vinyl - Seamless</t>
  </si>
  <si>
    <t>Common Wood</t>
  </si>
  <si>
    <t>09-6401</t>
  </si>
  <si>
    <t>Common Vinyl</t>
  </si>
  <si>
    <t>09-6517</t>
  </si>
  <si>
    <t>Hall Flooring</t>
  </si>
  <si>
    <t>09-6520</t>
  </si>
  <si>
    <t>Torrey Pines approved proposal</t>
  </si>
  <si>
    <t xml:space="preserve">Hall Flooring - Elevators </t>
  </si>
  <si>
    <t>09-6520A</t>
  </si>
  <si>
    <t>Common - Plank</t>
  </si>
  <si>
    <t>09-6521</t>
  </si>
  <si>
    <t>Common - VCT</t>
  </si>
  <si>
    <t>09-6522</t>
  </si>
  <si>
    <t>Common - Rubber Floor (Ecore)</t>
  </si>
  <si>
    <t>09-6566</t>
  </si>
  <si>
    <t>Bruner proposal</t>
  </si>
  <si>
    <t>Common - Carpet Stairs</t>
  </si>
  <si>
    <t>09-6802</t>
  </si>
  <si>
    <t xml:space="preserve"> Pebble contracted Price (RMI) plus an additional $300)</t>
  </si>
  <si>
    <t>Hall Runner Install</t>
  </si>
  <si>
    <t>09-6803</t>
  </si>
  <si>
    <t>Based on Torrey Pines, assumption is that we are not doing hall runners (if so, $0.05 per SF)</t>
  </si>
  <si>
    <t>Hall Runner Materials</t>
  </si>
  <si>
    <t>09-6804</t>
  </si>
  <si>
    <t>Based on Torrey Pines, assumption is that we are not doing hall runners (if so, $0.30 per SF)</t>
  </si>
  <si>
    <t>Painting - Repairs</t>
  </si>
  <si>
    <t>09-9101A</t>
  </si>
  <si>
    <t>Painting</t>
  </si>
  <si>
    <t>09-9101</t>
  </si>
  <si>
    <t>Painting - Pump House</t>
  </si>
  <si>
    <t>09-9101S</t>
  </si>
  <si>
    <t>Painting - Walls</t>
  </si>
  <si>
    <t>09-9102</t>
  </si>
  <si>
    <t>Painting - Pool Area</t>
  </si>
  <si>
    <t>09-9106</t>
  </si>
  <si>
    <t xml:space="preserve">Wall Covering </t>
  </si>
  <si>
    <t xml:space="preserve">Walls - Specialty </t>
  </si>
  <si>
    <t>09-9110</t>
  </si>
  <si>
    <t xml:space="preserve">Finishes   </t>
  </si>
  <si>
    <t>09</t>
  </si>
  <si>
    <t xml:space="preserve">Entry Directory </t>
  </si>
  <si>
    <t>10-1300</t>
  </si>
  <si>
    <t>Unit Carport Signs</t>
  </si>
  <si>
    <t>10-1401</t>
  </si>
  <si>
    <t>CARPORT</t>
  </si>
  <si>
    <t>Per Pebble budget</t>
  </si>
  <si>
    <t xml:space="preserve">Site Signage </t>
  </si>
  <si>
    <t>10-1404</t>
  </si>
  <si>
    <t>Entry Sign Letters</t>
  </si>
  <si>
    <t>10-1419</t>
  </si>
  <si>
    <t>Offsite Street Signs</t>
  </si>
  <si>
    <t>10-1454</t>
  </si>
  <si>
    <t>Offsite</t>
  </si>
  <si>
    <t>Bath Accessories</t>
  </si>
  <si>
    <t>10-2816</t>
  </si>
  <si>
    <t>Per Bathroom</t>
  </si>
  <si>
    <t>Per Pebble Budget</t>
  </si>
  <si>
    <t>Shower Doors</t>
  </si>
  <si>
    <t>10-2919</t>
  </si>
  <si>
    <t>Fire Places</t>
  </si>
  <si>
    <t>10-3000</t>
  </si>
  <si>
    <t>Fire Places - Pool Area</t>
  </si>
  <si>
    <t>10-3200</t>
  </si>
  <si>
    <t>BBQ Units</t>
  </si>
  <si>
    <t>10-3355</t>
  </si>
  <si>
    <t>Arzano</t>
  </si>
  <si>
    <t>Lock Boxes</t>
  </si>
  <si>
    <t>10-4116</t>
  </si>
  <si>
    <t>Fire Extinguishers</t>
  </si>
  <si>
    <t>10-4416</t>
  </si>
  <si>
    <t>Is this not included in the sprinkler contract? Yes but seperate cost code.</t>
  </si>
  <si>
    <t xml:space="preserve">Mail Boxes </t>
  </si>
  <si>
    <t>10-5523</t>
  </si>
  <si>
    <t xml:space="preserve">Closet Shelving </t>
  </si>
  <si>
    <t>10-5723</t>
  </si>
  <si>
    <t xml:space="preserve">Window Awnings Small </t>
  </si>
  <si>
    <t>10-7313</t>
  </si>
  <si>
    <t>Window Awnings Large</t>
  </si>
  <si>
    <t xml:space="preserve">Specialties   </t>
  </si>
  <si>
    <t>10</t>
  </si>
  <si>
    <t xml:space="preserve">Appliances </t>
  </si>
  <si>
    <t>11-3013</t>
  </si>
  <si>
    <t>Appliances - Laundry Room</t>
  </si>
  <si>
    <t>Units</t>
  </si>
  <si>
    <t>Based on Torret Pines ($65k) Laundry room appliance cost per unit.</t>
  </si>
  <si>
    <t>Appliances - Common</t>
  </si>
  <si>
    <t>Kithcen and laundry rooms</t>
  </si>
  <si>
    <t xml:space="preserve">Equipment   </t>
  </si>
  <si>
    <t>11</t>
  </si>
  <si>
    <t>12-0131</t>
  </si>
  <si>
    <t>Included in Construction Cleaning Contract</t>
  </si>
  <si>
    <t>W.H Units</t>
  </si>
  <si>
    <t>Box Count</t>
  </si>
  <si>
    <t>Robin. Units</t>
  </si>
  <si>
    <t># of Units</t>
  </si>
  <si>
    <t>Total Counts</t>
  </si>
  <si>
    <t>12-2100</t>
  </si>
  <si>
    <t>Incudes New Requirement for Cordless Blinds.</t>
  </si>
  <si>
    <t>A1A</t>
  </si>
  <si>
    <t>1A</t>
  </si>
  <si>
    <t>Cabinets Units</t>
  </si>
  <si>
    <t>12-3531</t>
  </si>
  <si>
    <t>Boxes</t>
  </si>
  <si>
    <t>Based on Thermafoil White, W.H. units (A1A, B1B, B3A, and B2C) to approximate counts. Add $150,260 if upgrading to Morning Dew ($159.80 / SF)</t>
  </si>
  <si>
    <t>Counts to the side</t>
  </si>
  <si>
    <t>B1B</t>
  </si>
  <si>
    <t>1B</t>
  </si>
  <si>
    <t>Cabinet Common Areas</t>
  </si>
  <si>
    <t>12-3535</t>
  </si>
  <si>
    <t>B3A</t>
  </si>
  <si>
    <t>2A</t>
  </si>
  <si>
    <t>Counter Tops Units</t>
  </si>
  <si>
    <t>12-3601</t>
  </si>
  <si>
    <t xml:space="preserve">Bruner </t>
  </si>
  <si>
    <t>Based on Arctic White SF cost from Bruner and Takeoffs. Add $79,844 if upgrading to Carrera Trigato ($28.40 / SF)</t>
  </si>
  <si>
    <t>B2C</t>
  </si>
  <si>
    <t>2B</t>
  </si>
  <si>
    <t xml:space="preserve">Counter Tops Common Areas </t>
  </si>
  <si>
    <t>12-3605</t>
  </si>
  <si>
    <t>Counter Tops Pool Area</t>
  </si>
  <si>
    <t>12-3608</t>
  </si>
  <si>
    <t>BBQ Top</t>
  </si>
  <si>
    <t>12-3609</t>
  </si>
  <si>
    <t xml:space="preserve">Furnishings   </t>
  </si>
  <si>
    <t>12</t>
  </si>
  <si>
    <t>Countertop SF</t>
  </si>
  <si>
    <t>Pools and Spas</t>
  </si>
  <si>
    <t>13-1113</t>
  </si>
  <si>
    <t>WH plus $37k for a 2nd spa.</t>
  </si>
  <si>
    <t xml:space="preserve">Carports </t>
  </si>
  <si>
    <t>13-3401</t>
  </si>
  <si>
    <t>Pool Equipment Cover</t>
  </si>
  <si>
    <t>13-3402</t>
  </si>
  <si>
    <t>Decatur</t>
  </si>
  <si>
    <t xml:space="preserve">Special Construction   </t>
  </si>
  <si>
    <t>13</t>
  </si>
  <si>
    <t>Trash Chute</t>
  </si>
  <si>
    <t>13-G</t>
  </si>
  <si>
    <t xml:space="preserve">Elevator </t>
  </si>
  <si>
    <t>14-2400</t>
  </si>
  <si>
    <t>Proposal (Otis)</t>
  </si>
  <si>
    <t>Pool and Spa Lifts</t>
  </si>
  <si>
    <t>14-4101</t>
  </si>
  <si>
    <t xml:space="preserve">Conveying Equipment   </t>
  </si>
  <si>
    <t>14</t>
  </si>
  <si>
    <t>Sprinkler Design  &amp; Permit</t>
  </si>
  <si>
    <t>21-0600</t>
  </si>
  <si>
    <t xml:space="preserve">Sprinkler System </t>
  </si>
  <si>
    <t>21-1313</t>
  </si>
  <si>
    <t>Proposal (Nevada Fire Protection)</t>
  </si>
  <si>
    <t>Fire Pump</t>
  </si>
  <si>
    <t>21-3000</t>
  </si>
  <si>
    <t>Focus Bruner proposal (2nd lowest)</t>
  </si>
  <si>
    <t xml:space="preserve">Fire Suppression   </t>
  </si>
  <si>
    <t>21</t>
  </si>
  <si>
    <t>1 Bathroom Unit</t>
  </si>
  <si>
    <t>22-1001</t>
  </si>
  <si>
    <t>Proposal (Focus) - Middle bid</t>
  </si>
  <si>
    <t>JMAC ($3,325,080) - Low Bid</t>
  </si>
  <si>
    <t>Modern ($4,123,227) - High Bid</t>
  </si>
  <si>
    <t>2 Bathroom Unit</t>
  </si>
  <si>
    <t>Plumbing - Pump House</t>
  </si>
  <si>
    <t>22-1001S</t>
  </si>
  <si>
    <t xml:space="preserve">Pool Area  </t>
  </si>
  <si>
    <t>22-1003</t>
  </si>
  <si>
    <t xml:space="preserve">Pool Equipment </t>
  </si>
  <si>
    <t>22-1007</t>
  </si>
  <si>
    <t xml:space="preserve">Plumbing   </t>
  </si>
  <si>
    <t>22</t>
  </si>
  <si>
    <t>HVAC Standard</t>
  </si>
  <si>
    <t>23-3001</t>
  </si>
  <si>
    <t>Allstate signed off proposal</t>
  </si>
  <si>
    <t>HVAC - Pump House</t>
  </si>
  <si>
    <t>23-3001S</t>
  </si>
  <si>
    <t xml:space="preserve">HVAC   </t>
  </si>
  <si>
    <t>23</t>
  </si>
  <si>
    <t>26-1001</t>
  </si>
  <si>
    <t>Proposal (Northstar)</t>
  </si>
  <si>
    <t>Electrical - Pump House</t>
  </si>
  <si>
    <t>26-5001</t>
  </si>
  <si>
    <t>Building Electrical Fixtures</t>
  </si>
  <si>
    <t>26-5002</t>
  </si>
  <si>
    <t>Per Unit allowance from West Henderson</t>
  </si>
  <si>
    <t>Hall Lighting Fixtures</t>
  </si>
  <si>
    <t>26-5003</t>
  </si>
  <si>
    <t>Per unit allowance from West Henderson</t>
  </si>
  <si>
    <t xml:space="preserve">Carports Electrical </t>
  </si>
  <si>
    <t>Space</t>
  </si>
  <si>
    <t>Carport Fixtures</t>
  </si>
  <si>
    <t xml:space="preserve">Cabana Electrical </t>
  </si>
  <si>
    <t>Cabana Fixtures</t>
  </si>
  <si>
    <t>26-5004</t>
  </si>
  <si>
    <t xml:space="preserve">Street Lights </t>
  </si>
  <si>
    <t>26-5613</t>
  </si>
  <si>
    <t>See Budget</t>
  </si>
  <si>
    <t xml:space="preserve">Site Lighting Electrical </t>
  </si>
  <si>
    <t>26-1005</t>
  </si>
  <si>
    <t>Site Lighting Fixtures</t>
  </si>
  <si>
    <t>26-5602</t>
  </si>
  <si>
    <t>Acre</t>
  </si>
  <si>
    <t xml:space="preserve">Pool Lighting Electrical </t>
  </si>
  <si>
    <t>26-1004</t>
  </si>
  <si>
    <t>Pool Lighting Fixtures</t>
  </si>
  <si>
    <t>26-5603</t>
  </si>
  <si>
    <t xml:space="preserve">Pool Equipment Electrical </t>
  </si>
  <si>
    <t>26-1007</t>
  </si>
  <si>
    <t xml:space="preserve">Pump House Electrical </t>
  </si>
  <si>
    <t>Pump House Fixtures</t>
  </si>
  <si>
    <t xml:space="preserve">Electrical   </t>
  </si>
  <si>
    <t>26</t>
  </si>
  <si>
    <t>TV and Media</t>
  </si>
  <si>
    <t>27-2201</t>
  </si>
  <si>
    <t>Per Building</t>
  </si>
  <si>
    <t xml:space="preserve">DAS System </t>
  </si>
  <si>
    <t>27-3010</t>
  </si>
  <si>
    <t>Pool ADA Phone</t>
  </si>
  <si>
    <t>27-3201</t>
  </si>
  <si>
    <t>Per Pool</t>
  </si>
  <si>
    <t xml:space="preserve">Communications   </t>
  </si>
  <si>
    <t>27</t>
  </si>
  <si>
    <t>Security System</t>
  </si>
  <si>
    <t>28-1001</t>
  </si>
  <si>
    <t>Site Security System</t>
  </si>
  <si>
    <t>28-2001</t>
  </si>
  <si>
    <t>Pebble monthly cost to date.</t>
  </si>
  <si>
    <t>Fire Alarm / Two Way Comm AOR</t>
  </si>
  <si>
    <t>28-4601</t>
  </si>
  <si>
    <t>Fire Alarm - Pump House</t>
  </si>
  <si>
    <t>28-4601S</t>
  </si>
  <si>
    <t xml:space="preserve">Electronic Safety &amp; Security   </t>
  </si>
  <si>
    <t>28</t>
  </si>
  <si>
    <t>Construction Water</t>
  </si>
  <si>
    <t>31-0121</t>
  </si>
  <si>
    <t xml:space="preserve">Dust Control </t>
  </si>
  <si>
    <t>31-0122</t>
  </si>
  <si>
    <t>Track Out Pad / DEMO</t>
  </si>
  <si>
    <t>31-0505</t>
  </si>
  <si>
    <t>Rock Dirt Haul Off</t>
  </si>
  <si>
    <t>31-1492</t>
  </si>
  <si>
    <t>Mass Grading</t>
  </si>
  <si>
    <t>31-2201</t>
  </si>
  <si>
    <t>Proposal (Civil Werx)</t>
  </si>
  <si>
    <t>Fine Grade</t>
  </si>
  <si>
    <t>31-2216</t>
  </si>
  <si>
    <t>Hard Dig</t>
  </si>
  <si>
    <t>31-2319</t>
  </si>
  <si>
    <t xml:space="preserve">Dewatering </t>
  </si>
  <si>
    <t>31-2322</t>
  </si>
  <si>
    <t>Storm Water Prevention</t>
  </si>
  <si>
    <t>31-2501</t>
  </si>
  <si>
    <t xml:space="preserve">Earthwork   </t>
  </si>
  <si>
    <t>31</t>
  </si>
  <si>
    <t>Bond Repair</t>
  </si>
  <si>
    <t>32-0100</t>
  </si>
  <si>
    <t>Street Cleaning</t>
  </si>
  <si>
    <t>32-0111</t>
  </si>
  <si>
    <t xml:space="preserve">Asphalt Sawcut and Removal </t>
  </si>
  <si>
    <t>32-0506</t>
  </si>
  <si>
    <t>See Budget File</t>
  </si>
  <si>
    <t>Paving</t>
  </si>
  <si>
    <t>32-1216</t>
  </si>
  <si>
    <t>Proposal (America United Construction)</t>
  </si>
  <si>
    <t>Seal Coat</t>
  </si>
  <si>
    <t>32-1236</t>
  </si>
  <si>
    <t>Pavers</t>
  </si>
  <si>
    <t>32-1401</t>
  </si>
  <si>
    <t>Pool Decks</t>
  </si>
  <si>
    <t>32-1402</t>
  </si>
  <si>
    <t>Pool Deck</t>
  </si>
  <si>
    <t xml:space="preserve">Curbs and Gutters </t>
  </si>
  <si>
    <t>32-1613</t>
  </si>
  <si>
    <t>Tack On Curb</t>
  </si>
  <si>
    <t>32-1614</t>
  </si>
  <si>
    <t>Concrete Flatwork</t>
  </si>
  <si>
    <t>32-1623</t>
  </si>
  <si>
    <t>Bus Pad</t>
  </si>
  <si>
    <t>32-1625</t>
  </si>
  <si>
    <t>Pool Hardscape</t>
  </si>
  <si>
    <t>32-1626</t>
  </si>
  <si>
    <t>Street Signs / Striping</t>
  </si>
  <si>
    <t>32-1700</t>
  </si>
  <si>
    <t>Walls Iron</t>
  </si>
  <si>
    <t>32-3101</t>
  </si>
  <si>
    <t>Trash Enclosure Iron Gates</t>
  </si>
  <si>
    <t>32-3103</t>
  </si>
  <si>
    <t>Site Railings</t>
  </si>
  <si>
    <t>32-3104</t>
  </si>
  <si>
    <t>Dog Run Fence</t>
  </si>
  <si>
    <t>32-3105</t>
  </si>
  <si>
    <t>Pool Fence</t>
  </si>
  <si>
    <t>32-3106</t>
  </si>
  <si>
    <t>Pool Fence Gates</t>
  </si>
  <si>
    <t>Entry Security Gates</t>
  </si>
  <si>
    <t>32-3111</t>
  </si>
  <si>
    <t>Crash Gate</t>
  </si>
  <si>
    <t xml:space="preserve">Entry Security Gates Electrical </t>
  </si>
  <si>
    <t>32-3112</t>
  </si>
  <si>
    <t>Entry Gate Transmitters</t>
  </si>
  <si>
    <t>32-3113</t>
  </si>
  <si>
    <t xml:space="preserve">Entry Gates </t>
  </si>
  <si>
    <t>32-3114</t>
  </si>
  <si>
    <t>Temp Fencing</t>
  </si>
  <si>
    <t>32-3120</t>
  </si>
  <si>
    <t xml:space="preserve">Walls Masonry </t>
  </si>
  <si>
    <t>32-3201</t>
  </si>
  <si>
    <t>Walls Pilaster Caps</t>
  </si>
  <si>
    <t>32-3202</t>
  </si>
  <si>
    <t>Preliminary Civil Plans</t>
  </si>
  <si>
    <t xml:space="preserve">Retaining Walls </t>
  </si>
  <si>
    <t>32-3204</t>
  </si>
  <si>
    <t>Pool Walls</t>
  </si>
  <si>
    <t>32-3208</t>
  </si>
  <si>
    <t>Site Furniture Permanent</t>
  </si>
  <si>
    <t>32-3343</t>
  </si>
  <si>
    <t>32-9001</t>
  </si>
  <si>
    <t>West Henderson proposal with 304k lanscaping sf is under $8.50 /sf</t>
  </si>
  <si>
    <t>Site Landscaping Lighting</t>
  </si>
  <si>
    <t>Site Landscaping Planter Pots</t>
  </si>
  <si>
    <t>32-9433</t>
  </si>
  <si>
    <t xml:space="preserve">Offsite Asphalt Sawcut and Removal </t>
  </si>
  <si>
    <t xml:space="preserve">Allowance </t>
  </si>
  <si>
    <t>Offsite Paving</t>
  </si>
  <si>
    <t>Offsite Curbs and Gutters</t>
  </si>
  <si>
    <t>Offsite Concrete Flatwork</t>
  </si>
  <si>
    <t>Offsite Parvin Realignment</t>
  </si>
  <si>
    <t>32-5500</t>
  </si>
  <si>
    <t xml:space="preserve">Exterior Improvements   </t>
  </si>
  <si>
    <t>32</t>
  </si>
  <si>
    <t>33-0501</t>
  </si>
  <si>
    <t>Traffic Control, AC Removal and Patch</t>
  </si>
  <si>
    <t>33-1001</t>
  </si>
  <si>
    <t xml:space="preserve">Water </t>
  </si>
  <si>
    <t>Proposal (ACME)</t>
  </si>
  <si>
    <t>Sewer</t>
  </si>
  <si>
    <t>33-3001</t>
  </si>
  <si>
    <t>Storm Drain</t>
  </si>
  <si>
    <t>33-4001</t>
  </si>
  <si>
    <t>Sub Drains</t>
  </si>
  <si>
    <t>33-4116</t>
  </si>
  <si>
    <t>Gas</t>
  </si>
  <si>
    <t>33-5001</t>
  </si>
  <si>
    <t>Electric</t>
  </si>
  <si>
    <t>33-7101</t>
  </si>
  <si>
    <t>Secondary Conduit</t>
  </si>
  <si>
    <t>33-7102</t>
  </si>
  <si>
    <t>Bollards</t>
  </si>
  <si>
    <t>33-7103</t>
  </si>
  <si>
    <t>Cable TV</t>
  </si>
  <si>
    <t>33-8201</t>
  </si>
  <si>
    <t>Phone</t>
  </si>
  <si>
    <t>33-8202</t>
  </si>
  <si>
    <t>Off Site Water</t>
  </si>
  <si>
    <t>Off Site Sewer</t>
  </si>
  <si>
    <t>Off Site Storm Drain</t>
  </si>
  <si>
    <t>Off Site Electric</t>
  </si>
  <si>
    <t xml:space="preserve">Utilities   </t>
  </si>
  <si>
    <t>33</t>
  </si>
  <si>
    <t>Bridge</t>
  </si>
  <si>
    <t>UNchanged</t>
  </si>
  <si>
    <t>Other</t>
  </si>
  <si>
    <t>Current prelim plan calls for 47,604 Sf 6" concrete with 18" on center rebard. Estimated cost $600k but chosed with $300k allowance since this may change.</t>
  </si>
  <si>
    <t>Brigde Over Duct Creek Wash</t>
  </si>
  <si>
    <t xml:space="preserve">Traffic Control </t>
  </si>
  <si>
    <t>34-4116</t>
  </si>
  <si>
    <t xml:space="preserve">Transportation   </t>
  </si>
  <si>
    <t>34</t>
  </si>
  <si>
    <t>Solar PV System</t>
  </si>
  <si>
    <t>48-1413</t>
  </si>
  <si>
    <t>Unchanged</t>
  </si>
  <si>
    <t>Solar PV Conduit</t>
  </si>
  <si>
    <t>48-1414</t>
  </si>
  <si>
    <t xml:space="preserve">Car Charging Stations </t>
  </si>
  <si>
    <t>48-1913</t>
  </si>
  <si>
    <t xml:space="preserve">Electrical Power Generation   </t>
  </si>
  <si>
    <t>48</t>
  </si>
  <si>
    <t xml:space="preserve">Staking </t>
  </si>
  <si>
    <t>49-0601</t>
  </si>
  <si>
    <t>Using Pebble Cost to Date as Benchmark.</t>
  </si>
  <si>
    <t xml:space="preserve">Re Staking </t>
  </si>
  <si>
    <t>49-0602</t>
  </si>
  <si>
    <t xml:space="preserve">Certs and Verifications </t>
  </si>
  <si>
    <t>49-0603</t>
  </si>
  <si>
    <t xml:space="preserve">Slab Testing </t>
  </si>
  <si>
    <t>49-0801</t>
  </si>
  <si>
    <t>EAH</t>
  </si>
  <si>
    <t xml:space="preserve">Grading Testing </t>
  </si>
  <si>
    <t>49-0802</t>
  </si>
  <si>
    <t xml:space="preserve">Other Testing </t>
  </si>
  <si>
    <t>49-0803</t>
  </si>
  <si>
    <t xml:space="preserve">Masonry Testing </t>
  </si>
  <si>
    <t>49-0807</t>
  </si>
  <si>
    <t xml:space="preserve">Pavement Testing </t>
  </si>
  <si>
    <t>49-0808</t>
  </si>
  <si>
    <t>Third Party Inspections</t>
  </si>
  <si>
    <t>49-0950</t>
  </si>
  <si>
    <t xml:space="preserve">Field Surveys, Staking   </t>
  </si>
  <si>
    <t>49</t>
  </si>
  <si>
    <t>BABA</t>
  </si>
  <si>
    <t>Bid Risk</t>
  </si>
  <si>
    <t>Bid Risk &amp; BABA</t>
  </si>
  <si>
    <t>Golf Carts</t>
  </si>
  <si>
    <t>11-1001</t>
  </si>
  <si>
    <t>Convenience Store Equipment</t>
  </si>
  <si>
    <t>11-2101</t>
  </si>
  <si>
    <t xml:space="preserve">Pet Wash </t>
  </si>
  <si>
    <t>11-2102</t>
  </si>
  <si>
    <t>Office Equipment</t>
  </si>
  <si>
    <t>11-2801</t>
  </si>
  <si>
    <t xml:space="preserve">Gym Exercise Equipment </t>
  </si>
  <si>
    <t>11-6613</t>
  </si>
  <si>
    <t>Playground / Basketball Hoop</t>
  </si>
  <si>
    <t>11-6813</t>
  </si>
  <si>
    <t>Maintenance Shop Equipment</t>
  </si>
  <si>
    <t>11-8101</t>
  </si>
  <si>
    <t>Maintenance Shop Start Up Supplies</t>
  </si>
  <si>
    <t>11-8102</t>
  </si>
  <si>
    <t>Alowance</t>
  </si>
  <si>
    <t>Fixed Asset Misc.</t>
  </si>
  <si>
    <t>11-8105</t>
  </si>
  <si>
    <t xml:space="preserve">Interior Furniture </t>
  </si>
  <si>
    <t>12-5000</t>
  </si>
  <si>
    <t>Per Armen Email with an old proposal on Robindale interior and exteior furniture</t>
  </si>
  <si>
    <t>12-5483</t>
  </si>
  <si>
    <t>Rec Building TV Media Computer</t>
  </si>
  <si>
    <t>Rec Building Telephone System</t>
  </si>
  <si>
    <t>27-3202</t>
  </si>
  <si>
    <t>Maintenance Radios</t>
  </si>
  <si>
    <t>27-3243</t>
  </si>
  <si>
    <t xml:space="preserve">FFE </t>
  </si>
  <si>
    <t>FFE Extra</t>
  </si>
  <si>
    <t xml:space="preserve">Construction Contingency </t>
  </si>
  <si>
    <t>55-9800</t>
  </si>
  <si>
    <t>55</t>
  </si>
  <si>
    <t>Sub Bonds</t>
  </si>
  <si>
    <t>50-9950</t>
  </si>
  <si>
    <t>B</t>
  </si>
  <si>
    <t>50</t>
  </si>
  <si>
    <t xml:space="preserve">GL Insurance </t>
  </si>
  <si>
    <t>50-0001</t>
  </si>
  <si>
    <t>3.03 per $1,000</t>
  </si>
  <si>
    <t>Misc.</t>
  </si>
  <si>
    <t>5% of GL Ins.</t>
  </si>
  <si>
    <t>Umbrella</t>
  </si>
  <si>
    <t>95% of GL Ins.</t>
  </si>
  <si>
    <t>GL Insurance</t>
  </si>
  <si>
    <t>Overhead</t>
  </si>
  <si>
    <t>56</t>
  </si>
  <si>
    <t>Contractor Fee</t>
  </si>
  <si>
    <t>OH &amp; Contractor Fee</t>
  </si>
  <si>
    <t>Total Hard Costs</t>
  </si>
  <si>
    <t>6% General Conditions</t>
  </si>
  <si>
    <t>Parking Garage</t>
  </si>
  <si>
    <t>03-G</t>
  </si>
  <si>
    <t xml:space="preserve">5th Story Factor </t>
  </si>
  <si>
    <t>01 - General Requirements</t>
  </si>
  <si>
    <t>02 - Existing Conditions</t>
  </si>
  <si>
    <t>03 - Concrete</t>
  </si>
  <si>
    <t>04 - Masonry</t>
  </si>
  <si>
    <t>05 - Metals</t>
  </si>
  <si>
    <t>06 - Wood, Plastics, &amp; Composites</t>
  </si>
  <si>
    <t>07 - Thermal &amp; Moisture Protection</t>
  </si>
  <si>
    <t>08 - Openings</t>
  </si>
  <si>
    <t>09 - Finishes</t>
  </si>
  <si>
    <t>10 - Specialties</t>
  </si>
  <si>
    <t>11 - Equipment</t>
  </si>
  <si>
    <t>12 - Furnishings</t>
  </si>
  <si>
    <t>13 - Special Construction</t>
  </si>
  <si>
    <t>14 - Conveying Equipment</t>
  </si>
  <si>
    <t>21 - Fire Suppression</t>
  </si>
  <si>
    <t>22 - Plumbing</t>
  </si>
  <si>
    <t>23 - HVAC</t>
  </si>
  <si>
    <t>26 - Electrical</t>
  </si>
  <si>
    <t>27 - Communications</t>
  </si>
  <si>
    <t>28 - Electronic Safety &amp; Security</t>
  </si>
  <si>
    <t>31 - Earthwork</t>
  </si>
  <si>
    <t>32 - Exterior Improvements</t>
  </si>
  <si>
    <t>33 - Utilities</t>
  </si>
  <si>
    <t>34 - Transportation</t>
  </si>
  <si>
    <t>48 - Electrical Power Generation</t>
  </si>
  <si>
    <t>49 - Field Surveys, Staking</t>
  </si>
  <si>
    <t>50 - Sub Bonds</t>
  </si>
  <si>
    <t>55 - Construction Contingency</t>
  </si>
  <si>
    <t>56 - Contractor Fee</t>
  </si>
  <si>
    <t>check</t>
  </si>
  <si>
    <t>FOR ADJUSTMENTS</t>
  </si>
  <si>
    <t>Appliances, Flooring &amp; Blinds</t>
  </si>
  <si>
    <t>Common - Rubber Floor</t>
  </si>
  <si>
    <t>Common - Carpet</t>
  </si>
  <si>
    <t>Total Appliances, Flooring &amp; Blinds</t>
  </si>
  <si>
    <t>Site Work</t>
  </si>
  <si>
    <t>Major Categories</t>
  </si>
  <si>
    <t>Existing Conditions</t>
  </si>
  <si>
    <t>Earthwork</t>
  </si>
  <si>
    <t>Exterior Improvements</t>
  </si>
  <si>
    <t>Utilities</t>
  </si>
  <si>
    <t>Transportation</t>
  </si>
  <si>
    <t>Electrical Power Generation</t>
  </si>
  <si>
    <t>Minor Categories</t>
  </si>
  <si>
    <t>06-0111</t>
  </si>
  <si>
    <t>Gazebo</t>
  </si>
  <si>
    <t>Other Site</t>
  </si>
  <si>
    <t>10-1454OFFSITE</t>
  </si>
  <si>
    <t>26-5613OFFSITE</t>
  </si>
  <si>
    <t>Total Site Work</t>
  </si>
  <si>
    <t>32-0506OFFSITE</t>
  </si>
  <si>
    <t>already included in 32</t>
  </si>
  <si>
    <t>32-1216OFFSITE</t>
  </si>
  <si>
    <t>32-1613OFFSITE</t>
  </si>
  <si>
    <t>32-1623OFFSITE</t>
  </si>
  <si>
    <t>33-4001OFFSITE</t>
  </si>
  <si>
    <t>already included in 33</t>
  </si>
  <si>
    <t>33-1001OFFSITE</t>
  </si>
  <si>
    <t>33-3001OFFSITE</t>
  </si>
  <si>
    <t>33-7101OFFSITE</t>
  </si>
  <si>
    <t>34-4116OFFSITE</t>
  </si>
  <si>
    <t>already included in 34</t>
  </si>
  <si>
    <t>HOME FUNDS INELIGIBLE COSTS</t>
  </si>
  <si>
    <t>Offsite Work</t>
  </si>
  <si>
    <t>Other Ineligible Costs</t>
  </si>
  <si>
    <t>Pool Equipment Shower Stone</t>
  </si>
  <si>
    <t>Stucco - Pool Wall</t>
  </si>
  <si>
    <t>Level 2.1</t>
  </si>
  <si>
    <t>Variance</t>
  </si>
  <si>
    <t>Building Gross Square Feet</t>
  </si>
  <si>
    <t>% Change</t>
  </si>
  <si>
    <t>Updated per Bids</t>
  </si>
  <si>
    <t>Robindale &amp;215</t>
  </si>
  <si>
    <t>Level 1</t>
  </si>
  <si>
    <t>Updated per Bids - Only 1 pool equipment gate</t>
  </si>
  <si>
    <t>n/a</t>
  </si>
  <si>
    <t>Level 2</t>
  </si>
  <si>
    <t>4"  over 4" slab profile. WH that has a proposal at $9.16 by NRC but all other competitors are over $12/sf.</t>
  </si>
  <si>
    <t>Nevada Gypsum 1" with Mat.</t>
  </si>
  <si>
    <t>West H.</t>
  </si>
  <si>
    <t>Place holder. No Plans</t>
  </si>
  <si>
    <t>WH</t>
  </si>
  <si>
    <t>Bruner Ave</t>
  </si>
  <si>
    <t>Red Rock proposal.</t>
  </si>
  <si>
    <t>Squares</t>
  </si>
  <si>
    <t>JASON</t>
  </si>
  <si>
    <t>Pricing from Bruner contract.</t>
  </si>
  <si>
    <t>WH Classic proposal.</t>
  </si>
  <si>
    <t>Classic Proposal</t>
  </si>
  <si>
    <t>W. Henderson</t>
  </si>
  <si>
    <t>Elevator</t>
  </si>
  <si>
    <t>West Henderson (Otis) Proposal - $10k per Bradley Roska at Otis</t>
  </si>
  <si>
    <t xml:space="preserve">SNF Proposal at Bruner. </t>
  </si>
  <si>
    <t>Bruner pricing by Focus with comventional DWV.</t>
  </si>
  <si>
    <t>Sigma proposal.</t>
  </si>
  <si>
    <t xml:space="preserve">Used Decatur because the new low frequency code expected to be adopted by Clark County as well. </t>
  </si>
  <si>
    <t>Preliminary Plans has 5' sidewalk versus 3.5' previous budget.</t>
  </si>
  <si>
    <t xml:space="preserve">See Budget File </t>
  </si>
  <si>
    <t xml:space="preserve">See Budget File. </t>
  </si>
  <si>
    <t>POC on Robindale water lines.</t>
  </si>
  <si>
    <t>Allowance. Per Pete POC are onsite.</t>
  </si>
  <si>
    <t>Unit Matrix</t>
  </si>
  <si>
    <t>Reports Available</t>
  </si>
  <si>
    <t xml:space="preserve">SER (GCW) </t>
  </si>
  <si>
    <t>Soils Report</t>
  </si>
  <si>
    <t xml:space="preserve">Alta Survey </t>
  </si>
  <si>
    <t xml:space="preserve">Plans </t>
  </si>
  <si>
    <t>List of Take offs</t>
  </si>
  <si>
    <t>Patios</t>
  </si>
  <si>
    <t>Lightweight</t>
  </si>
  <si>
    <t>Slab SF</t>
  </si>
  <si>
    <t>GSF</t>
  </si>
  <si>
    <t>Counter tops</t>
  </si>
  <si>
    <t>Fitness Center</t>
  </si>
  <si>
    <t xml:space="preserve">Unit Appliances </t>
  </si>
  <si>
    <t>Building 2</t>
  </si>
  <si>
    <t>Elevators Stops</t>
  </si>
  <si>
    <t>Landscaping</t>
  </si>
  <si>
    <t>Kitchens</t>
  </si>
  <si>
    <t>Trash Encl.</t>
  </si>
  <si>
    <t>Site Plan</t>
  </si>
  <si>
    <t>Lighweight</t>
  </si>
  <si>
    <t>Laundries</t>
  </si>
  <si>
    <t>Pump House</t>
  </si>
  <si>
    <t>Assumption</t>
  </si>
  <si>
    <t xml:space="preserve">Stairs </t>
  </si>
  <si>
    <t>1x1 Decks</t>
  </si>
  <si>
    <t>Patio</t>
  </si>
  <si>
    <t>Pool Equipment</t>
  </si>
  <si>
    <t>Pool</t>
  </si>
  <si>
    <t>2x1 Decks</t>
  </si>
  <si>
    <t>Deck</t>
  </si>
  <si>
    <t>Gym</t>
  </si>
  <si>
    <t xml:space="preserve">SF </t>
  </si>
  <si>
    <t>Iron Rail</t>
  </si>
  <si>
    <t>Corridors</t>
  </si>
  <si>
    <t xml:space="preserve">Square  </t>
  </si>
  <si>
    <t>Other Common Areas</t>
  </si>
  <si>
    <t>Square Yard</t>
  </si>
  <si>
    <t>Laundry</t>
  </si>
  <si>
    <t>Returns</t>
  </si>
  <si>
    <t>Livable Area</t>
  </si>
  <si>
    <t>Dog Park Fence</t>
  </si>
  <si>
    <t>Great Room (c</t>
  </si>
  <si>
    <t>Common Bldg. 1</t>
  </si>
  <si>
    <t>Stairs Landings</t>
  </si>
  <si>
    <t>Landings</t>
  </si>
  <si>
    <t>Asphalt</t>
  </si>
  <si>
    <t>Leasing</t>
  </si>
  <si>
    <t>Pavers Pool</t>
  </si>
  <si>
    <t>Awning Small</t>
  </si>
  <si>
    <t>Awning Large</t>
  </si>
  <si>
    <t>Building A</t>
  </si>
  <si>
    <t>Building B</t>
  </si>
  <si>
    <t>Building C</t>
  </si>
  <si>
    <t>Bruner Proposal</t>
  </si>
  <si>
    <t>Average cost from three proposals from  Bruner (California, Paragon, and Anthony &amp; Sylvan)</t>
  </si>
  <si>
    <t>Level 1.2</t>
  </si>
  <si>
    <t>Updated take off</t>
  </si>
  <si>
    <t>Eliminated CMU shaft for framing.</t>
  </si>
  <si>
    <t>New takeoff based on 50% DD yielded 366 more squares (added parapet walls to take off).</t>
  </si>
  <si>
    <t>Contempo W. Henderson proposal plus $100 /unit for frontage windows.</t>
  </si>
  <si>
    <t xml:space="preserve">New take off based on 50% DD tielded 3k SY more than previous. </t>
  </si>
  <si>
    <t xml:space="preserve">Increase as an allowance per building. </t>
  </si>
  <si>
    <t>Updated pricing to Torrey Pines contract versus previous budget using Pebble.</t>
  </si>
  <si>
    <t>Deleted hallway runners in latest plans.</t>
  </si>
  <si>
    <t>Based on West Henderson Paint proposal by Classic.</t>
  </si>
  <si>
    <t>Updated to Torrrey Pines cost / unit verus Decatur.</t>
  </si>
  <si>
    <t>Using Thermafoil White, W.H. units. Add $150,260 if upgrading to Morning Dew ($159.80 / SF)</t>
  </si>
  <si>
    <t>Based on Otis discussion on estimated cost per 2-stop elevator</t>
  </si>
  <si>
    <t>Updated to West Henderson proposal by Sigma (cost/SF).</t>
  </si>
  <si>
    <t>Used Decatur due to expectation that all Jurisdictions would implement new code.</t>
  </si>
  <si>
    <t>Updated based on new take off and West Henderson prices. Preliminary Civils provided.</t>
  </si>
  <si>
    <t>Updated take off based on preliminary site plan by Engeneer. Preliminary Civils provided.</t>
  </si>
  <si>
    <t>Updated pricing at West Henderson increased by $0.50 / sf. Robindale assimilates WH based on project size and large open spaces.</t>
  </si>
  <si>
    <t>Civil plans shows minimal but this budget assumes the entire Robindale frontage to be paved due to poor currect conditions.</t>
  </si>
  <si>
    <t>Updated based on preliminary civil plans and WH pricing.</t>
  </si>
  <si>
    <t>Updated designed prepared by estimating team.</t>
  </si>
  <si>
    <t>Updated allowances</t>
  </si>
  <si>
    <t>Updated allowance.</t>
  </si>
  <si>
    <t>ROBINDALE AND 215 - DETAILS OF BUDGET CHANGE</t>
  </si>
  <si>
    <t>Budget 1.2</t>
  </si>
  <si>
    <t>Budget 2</t>
  </si>
  <si>
    <t>Reason for Change</t>
  </si>
  <si>
    <t>Elevator Shaft to be framed, not CMU.</t>
  </si>
  <si>
    <t>Finishes</t>
  </si>
  <si>
    <t>Updated to Bruner and 5% for annual increase in appliance cost.</t>
  </si>
  <si>
    <t xml:space="preserve">Fire Alarm / Two Way </t>
  </si>
  <si>
    <t>Preliminary civil shows an 50k CY export site. Increase export while decreasing hard dig and excavation based on take off.</t>
  </si>
  <si>
    <t>Updated takeoff based on preliminary civil plans.</t>
  </si>
  <si>
    <t>Walls Masonry</t>
  </si>
  <si>
    <t>Retaining Walls</t>
  </si>
  <si>
    <t xml:space="preserve">Preliminary Civils show no lift station ($200k) and hard dig decreased by $50k. Soils show limited hard dig. </t>
  </si>
  <si>
    <t>Updated with a internal power design based on previous projects. Lowered Hard dig to $50k from $100k.</t>
  </si>
  <si>
    <t>Based on preliminary civils take offs.</t>
  </si>
  <si>
    <t>Assuming Main Building approximatly $500k and $350k for each of the 2 other buidlings.</t>
  </si>
  <si>
    <t>SENIOR / AFFORABLE PROJECTS</t>
  </si>
  <si>
    <t>Robindale &amp; 215 (Level 2)</t>
  </si>
  <si>
    <t>West Henderson Level 3</t>
  </si>
  <si>
    <t>South Nellis</t>
  </si>
  <si>
    <t>Contract</t>
  </si>
  <si>
    <t>Acres</t>
  </si>
  <si>
    <t xml:space="preserve">% </t>
  </si>
  <si>
    <t>Cost</t>
  </si>
  <si>
    <t>UOM</t>
  </si>
  <si>
    <t>U</t>
  </si>
  <si>
    <t>PU</t>
  </si>
  <si>
    <t>COMMENTS ROBINDALE VS WEST HENDERSON</t>
  </si>
  <si>
    <t>Recommendation for Robindale</t>
  </si>
  <si>
    <t xml:space="preserve">WH is ave between the 3 current proposal. </t>
  </si>
  <si>
    <t>Leave as budgeted</t>
  </si>
  <si>
    <t>SF (Bldg)</t>
  </si>
  <si>
    <t xml:space="preserve">Increase to WH </t>
  </si>
  <si>
    <t>WH ave of 2 best proposal. 3rd is an outlier. Larger units at WH.</t>
  </si>
  <si>
    <t>1 Bath Unit</t>
  </si>
  <si>
    <t>WH is tied to JMAC proposal.</t>
  </si>
  <si>
    <t>Decrease to Bruner</t>
  </si>
  <si>
    <t>WH has more cabinet boxes due to extra bathrooms (increase/unit)</t>
  </si>
  <si>
    <t>Budgeted basd on WH proposal per liavable SF</t>
  </si>
  <si>
    <t xml:space="preserve">Decrese to WH $/SF </t>
  </si>
  <si>
    <t>SF (Slab)</t>
  </si>
  <si>
    <t>WH has low outlier proposal.</t>
  </si>
  <si>
    <t>Henderson has signicant higher permit fees</t>
  </si>
  <si>
    <t>Selected a budget cost/SF in between WH and Bruner.</t>
  </si>
  <si>
    <t>SY (Bldg)</t>
  </si>
  <si>
    <t>WH has more countertops with secondary bathrooms.</t>
  </si>
  <si>
    <t>Increase to Bruner</t>
  </si>
  <si>
    <t xml:space="preserve">LW SF </t>
  </si>
  <si>
    <t>Budgeted in the event a second spa is designed.</t>
  </si>
  <si>
    <t>Square</t>
  </si>
  <si>
    <t>Total Hard Costs (Level 2)</t>
  </si>
  <si>
    <t>Total Hard Costs (Level 2.1)</t>
  </si>
  <si>
    <t>No Units</t>
  </si>
  <si>
    <t>Parking Spaces</t>
  </si>
  <si>
    <t>Building SF</t>
  </si>
  <si>
    <t>Building Efficiency</t>
  </si>
  <si>
    <t>Total Hard Cost</t>
  </si>
  <si>
    <t>TOTAL BUDGET</t>
  </si>
  <si>
    <t>TOTAL BUDGET PER UNIT</t>
  </si>
  <si>
    <t>Variance Per Unit</t>
  </si>
  <si>
    <t>Hard Cost Divisions</t>
  </si>
  <si>
    <t>Robindale</t>
  </si>
  <si>
    <t>Russell IV</t>
  </si>
  <si>
    <t>AVE</t>
  </si>
  <si>
    <t>Var to Comp</t>
  </si>
  <si>
    <t>Subtotal</t>
  </si>
  <si>
    <t>Slab</t>
  </si>
  <si>
    <t>Slab Per Unit</t>
  </si>
  <si>
    <t>Contractor Fee &amp; OH</t>
  </si>
  <si>
    <t>Roof</t>
  </si>
  <si>
    <t>Total Hard Cost Budget</t>
  </si>
  <si>
    <t>Roof SQ Per Unit</t>
  </si>
  <si>
    <t>Unit / Acre</t>
  </si>
  <si>
    <t>4"  over 4" slab profile.</t>
  </si>
  <si>
    <t>Ave between NV Gyp and Sound-Crete</t>
  </si>
  <si>
    <t>Integrity proposal at Bruner (Desert is at $10k per stop)</t>
  </si>
  <si>
    <t>Integrity proposal at Bruner (Desert is at $5,600 per enclosure)</t>
  </si>
  <si>
    <t>Focus Framing signed off proposal at Bruner.</t>
  </si>
  <si>
    <t>Moving Ave</t>
  </si>
  <si>
    <t>Average of 3 proposals at Bruner.</t>
  </si>
  <si>
    <t>Comparable cost at Bruner.</t>
  </si>
  <si>
    <t>Bruner proposal.</t>
  </si>
  <si>
    <t xml:space="preserve">Wall Constructors proposal. </t>
  </si>
  <si>
    <t>Assumption of 25% of corridor SF.</t>
  </si>
  <si>
    <t>Latest proposal by Wall Contractors</t>
  </si>
  <si>
    <t>Rainbow</t>
  </si>
  <si>
    <t>Decatur Option 2 -     Corona Elmwood  Thurmofoil</t>
  </si>
  <si>
    <t>Decatur 3 Stop Hydrolift.</t>
  </si>
  <si>
    <t>Previously used Russell pricing.</t>
  </si>
  <si>
    <t>Bruner SNF proposal plus 5% escalation due to more buildings needing more main panels and equipment.</t>
  </si>
  <si>
    <t xml:space="preserve">Budget Details </t>
  </si>
  <si>
    <t>Budget based on Project Due Diligence report prepared by Impulse Civil Eng.  3/5/25</t>
  </si>
  <si>
    <t>Previous budget used Decatur per unit cost.</t>
  </si>
  <si>
    <t>See Budget File. It includes $110k in hard dig.</t>
  </si>
  <si>
    <t>Budget includes $200k for lift station. Pete doesn't believe is needed.</t>
  </si>
  <si>
    <t>See Budget File (Includes $111K in Hard Dig)</t>
  </si>
  <si>
    <t>Included in budget for Onsite.</t>
  </si>
  <si>
    <t>$50k allowance plus rough street work allowance.</t>
  </si>
  <si>
    <t>Allowance for cutting the chanel concrete.</t>
  </si>
  <si>
    <t>Increase allowance to account for EV new requirements.</t>
  </si>
  <si>
    <t xml:space="preserve">Site Evaluation Report (GCW) </t>
  </si>
  <si>
    <t>Soils Report (Nova or Universal)</t>
  </si>
  <si>
    <t>TOTAL COST</t>
  </si>
  <si>
    <t>Alta Survey (Wallace)</t>
  </si>
  <si>
    <t>PER UNIT</t>
  </si>
  <si>
    <t>PER GSF</t>
  </si>
  <si>
    <t>Efficiency Factor</t>
  </si>
  <si>
    <t>B1B Railings</t>
  </si>
  <si>
    <t>Change timeline from 24 to 30 months due to complexcity of bridges, underground and project size 17.25 acres/363 units.</t>
  </si>
  <si>
    <t>Pool Eq. Shower Stone</t>
  </si>
  <si>
    <t>Flamingo</t>
  </si>
  <si>
    <t>It includes the material increased since for 2nd half of 2024.</t>
  </si>
  <si>
    <t>08-0151</t>
  </si>
  <si>
    <t>Inclunded with Construction Cleaning Contract.</t>
  </si>
  <si>
    <t>12 Month Moving Average</t>
  </si>
  <si>
    <t>Decatur Option 1 Corona White 949 Thurmofoil (most afforable).</t>
  </si>
  <si>
    <t>Decatur Option 3 &amp; 4 - MSI Calcuta Miksa or Carrera Triato (Regular units).</t>
  </si>
  <si>
    <t xml:space="preserve">Sprinkler Design </t>
  </si>
  <si>
    <t>Raptor Sovent system at Torrey Pines.</t>
  </si>
  <si>
    <t>Budgeted at Torrey Pines</t>
  </si>
  <si>
    <t xml:space="preserve">Includes new refrigerant . </t>
  </si>
  <si>
    <t xml:space="preserve">Includes 5% for Additional EV Requirements Allowance, No Gear Expediting </t>
  </si>
  <si>
    <t>Previously used Decatur pricing.</t>
  </si>
  <si>
    <t>Changed U.Mea to SF versus unit.</t>
  </si>
  <si>
    <t>Demolition</t>
  </si>
  <si>
    <t>Pricing based on Torrey Pines desity of 40k SF and GTI proposal.</t>
  </si>
  <si>
    <t>Per Clark County on 10/30/24</t>
  </si>
  <si>
    <t>See Budget File (Further Negotiations with SWG Needed)</t>
  </si>
  <si>
    <t>See Budget File (Includes $34K in Hard Dig)</t>
  </si>
  <si>
    <t xml:space="preserve">See Budget File (Includes $35k in Hard Dig and street light rough). </t>
  </si>
  <si>
    <t>Breakdown Per Building</t>
  </si>
  <si>
    <t>Bldg.</t>
  </si>
  <si>
    <t>GSF / 2</t>
  </si>
  <si>
    <t>1x1 Counter tops</t>
  </si>
  <si>
    <t>Count Est.</t>
  </si>
  <si>
    <t>2x1 Counter Tops</t>
  </si>
  <si>
    <t>Count Est. 1 per 35 Units</t>
  </si>
  <si>
    <t>1x1 Cab Boxes</t>
  </si>
  <si>
    <t>2x1 Cab Boxes</t>
  </si>
  <si>
    <t>Timline</t>
  </si>
  <si>
    <t>Bldg 1 = 2, Bldg 2 =2, Bldg 3=2</t>
  </si>
  <si>
    <t>Bldg SF</t>
  </si>
  <si>
    <t>Prorate to Bruner SF</t>
  </si>
  <si>
    <t>Building 1 SF</t>
  </si>
  <si>
    <t>Garage Parking</t>
  </si>
  <si>
    <t>Building 2 SF</t>
  </si>
  <si>
    <t>Liavable Area</t>
  </si>
  <si>
    <t>Building 3 SF</t>
  </si>
  <si>
    <t>60% of spaces (Bruner)</t>
  </si>
  <si>
    <t>Asphalt SF</t>
  </si>
  <si>
    <t>Soils Report (Universal)</t>
  </si>
  <si>
    <t>Private Garages</t>
  </si>
  <si>
    <t>Building Perimeter</t>
  </si>
  <si>
    <t>Bldg 1 LF</t>
  </si>
  <si>
    <t>Corridor</t>
  </si>
  <si>
    <t>Bldg  2 LF</t>
  </si>
  <si>
    <t>Bldg 3 LF</t>
  </si>
  <si>
    <t>Subjob</t>
  </si>
  <si>
    <t>Unit Meas.</t>
  </si>
  <si>
    <t>Unit Cost</t>
  </si>
  <si>
    <t>Escalation %</t>
  </si>
  <si>
    <t>T. Unit Cost</t>
  </si>
  <si>
    <t xml:space="preserve">Parking Garage Structure </t>
  </si>
  <si>
    <t xml:space="preserve">Core Slab Precast Concrete </t>
  </si>
  <si>
    <t>Concrete Slab on Grade</t>
  </si>
  <si>
    <t xml:space="preserve">Concrete Topping Slab 4" / Level </t>
  </si>
  <si>
    <t xml:space="preserve">Electrical </t>
  </si>
  <si>
    <t>Dry Sprinklers</t>
  </si>
  <si>
    <t>Mechanical Ventilation</t>
  </si>
  <si>
    <t>Stairs and Railings</t>
  </si>
  <si>
    <t>Per Derek No Structural Steel in Common Areas</t>
  </si>
  <si>
    <t>Linear Foot</t>
  </si>
  <si>
    <t xml:space="preserve">Per Solar Industries include +10% Due to New Energy Star U Factor Requirement Less than or equall to 0.28 </t>
  </si>
  <si>
    <t>Wigwam</t>
  </si>
  <si>
    <t>Cost Prep Mat</t>
  </si>
  <si>
    <t xml:space="preserve">Clean Up - During Construction </t>
  </si>
  <si>
    <t>Latest</t>
  </si>
  <si>
    <t xml:space="preserve">TP cost &amp; rough take off. </t>
  </si>
  <si>
    <t>Per Derek 2 Gyms,  1,300 SF Each, Larger Gym</t>
  </si>
  <si>
    <t xml:space="preserve">Design Item Could be removed from Budget </t>
  </si>
  <si>
    <t>Arzano cost and rough take off.</t>
  </si>
  <si>
    <t>Each building considered to have common area. Allowance per building.</t>
  </si>
  <si>
    <t>Each building considered to have 1 BBQ. Allowance per building.</t>
  </si>
  <si>
    <t>60% of parking spaces.</t>
  </si>
  <si>
    <t>Tiny Homes</t>
  </si>
  <si>
    <t>Enix include 10% for New Refrigerent Upgrade to R-454B</t>
  </si>
  <si>
    <t>SqFt</t>
  </si>
  <si>
    <t>Per Derek 2 Dog Parks</t>
  </si>
  <si>
    <t>Per Derek (2) Pools</t>
  </si>
  <si>
    <t>Flamingo actual per unit</t>
  </si>
  <si>
    <t>Bridge Over Duct Creek Wash</t>
  </si>
  <si>
    <t>Olson Concrete Propsoal 7/23/24 Includes $50,000 each bridge for demo of the concrete channel, excavation for the hybrid box invert and backfill.</t>
  </si>
  <si>
    <t>Alper</t>
  </si>
  <si>
    <t>LS / Gym</t>
  </si>
  <si>
    <t>LS / Bldg</t>
  </si>
  <si>
    <t xml:space="preserve"> Overhead &amp; Contractor Fee</t>
  </si>
  <si>
    <t>Robindale Senior Apartments</t>
  </si>
  <si>
    <t>Hard Costs Budget</t>
  </si>
  <si>
    <t>Las Vegas, NV</t>
  </si>
  <si>
    <t>Hard Cost Item</t>
  </si>
  <si>
    <t>ROM Total</t>
  </si>
  <si>
    <t>"% Factor" Adj.</t>
  </si>
  <si>
    <t>$</t>
  </si>
  <si>
    <t>$ / GSF</t>
  </si>
  <si>
    <t>$ / U</t>
  </si>
  <si>
    <t>02-49</t>
  </si>
  <si>
    <t>50 - Sub Bonds / Contractor Insurance</t>
  </si>
  <si>
    <t>Differences Onsite Water</t>
  </si>
  <si>
    <t>Fire Hydrants</t>
  </si>
  <si>
    <t xml:space="preserve">6" Domestic </t>
  </si>
  <si>
    <t>8" line</t>
  </si>
  <si>
    <t>10" Fire Line</t>
  </si>
  <si>
    <t>Fittings &amp; Valves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</si>
</sst>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mm/dd/yy;@"/>
    <numFmt numFmtId="165" formatCode="&quot;$&quot;#,##0"/>
    <numFmt numFmtId="166" formatCode="&quot;$&quot;#,##0.0"/>
    <numFmt numFmtId="167" formatCode="#,##0.0"/>
    <numFmt numFmtId="168" formatCode="0.000%"/>
    <numFmt numFmtId="169" formatCode="&quot;$&quot;#,##0.00"/>
    <numFmt numFmtId="170" formatCode="_(* #,##0_);_(* \(#,##0\);_(* &quot;-&quot;??_);_(@_)"/>
    <numFmt numFmtId="171" formatCode="_(&quot;$&quot;* #,##0_);_(&quot;$&quot;* \(#,##0\);_(&quot;$&quot;* &quot;-&quot;??_);_(@_)"/>
    <numFmt numFmtId="172" formatCode="_([$$-409]* #,##0_);_([$$-409]* \(#,##0\);_([$$-409]* &quot;-&quot;??_);_(@_)"/>
    <numFmt numFmtId="173" formatCode="0.0"/>
    <numFmt numFmtId="174" formatCode="0.0%"/>
    <numFmt numFmtId="175" formatCode="&quot;$&quot;#,##0.0_);[Red]\(&quot;$&quot;#,##0.0\)"/>
  </numFmts>
  <fonts count="27">
    <font>
      <sz val="11"/>
      <color theme="1"/>
      <name val="Aptos Narrow"/>
      <family val="2"/>
      <scheme val="minor"/>
    </font>
    <font>
      <sz val="11"/>
      <color theme="1"/>
      <name val="Aptos Narrow"/>
      <family val="2"/>
      <scheme val="minor"/>
    </font>
    <font>
      <sz val="11"/>
      <color rgb="FFFF0000"/>
      <name val="Aptos Narrow"/>
      <family val="2"/>
      <scheme val="minor"/>
    </font>
    <font>
      <b/>
      <sz val="11"/>
      <name val="Aptos Narrow"/>
      <family val="2"/>
      <scheme val="minor"/>
    </font>
    <font>
      <sz val="11"/>
      <name val="Aptos Narrow"/>
      <family val="2"/>
      <scheme val="minor"/>
    </font>
    <font>
      <sz val="11"/>
      <color theme="6"/>
      <name val="Aptos Narrow"/>
      <family val="2"/>
      <scheme val="minor"/>
    </font>
    <font>
      <i/>
      <sz val="11"/>
      <name val="Aptos Narrow"/>
      <family val="2"/>
      <scheme val="minor"/>
    </font>
    <font>
      <u val="singleAccounting"/>
      <sz val="11"/>
      <name val="Aptos Narrow"/>
      <family val="2"/>
      <scheme val="minor"/>
    </font>
    <font>
      <sz val="11"/>
      <color rgb="FF0000FF"/>
      <name val="Aptos Narrow"/>
      <family val="2"/>
      <scheme val="minor"/>
    </font>
    <font>
      <sz val="11"/>
      <name val="Calibri"/>
      <family val="2"/>
    </font>
    <font>
      <sz val="11"/>
      <color theme="1"/>
      <name val="Amasis MT Pro"/>
      <family val="1"/>
    </font>
    <font>
      <b/>
      <sz val="11"/>
      <color theme="1"/>
      <name val="Amasis MT Pro"/>
      <family val="1"/>
    </font>
    <font>
      <b/>
      <sz val="11"/>
      <name val="Amasis MT Pro"/>
      <family val="1"/>
    </font>
    <font>
      <sz val="11"/>
      <name val="Amasis MT Pro"/>
      <family val="1"/>
    </font>
    <font>
      <sz val="11"/>
      <color rgb="FF000000"/>
      <name val="Amasis MT Pro"/>
      <family val="1"/>
    </font>
    <font>
      <b/>
      <sz val="11"/>
      <color theme="1"/>
      <name val="Aptos Narrow"/>
      <family val="2"/>
      <scheme val="minor"/>
    </font>
    <font>
      <i/>
      <sz val="11"/>
      <color theme="1"/>
      <name val="Aptos Narrow"/>
      <family val="2"/>
      <scheme val="minor"/>
    </font>
    <font>
      <sz val="8"/>
      <name val="Aptos Narrow"/>
      <family val="2"/>
      <scheme val="minor"/>
    </font>
    <font>
      <b/>
      <sz val="12"/>
      <name val="Geneva"/>
      <family val="2"/>
    </font>
    <font>
      <sz val="10"/>
      <name val="Geneva"/>
      <family val="2"/>
    </font>
    <font>
      <sz val="12"/>
      <name val="Geneva"/>
      <family val="2"/>
    </font>
    <font>
      <b/>
      <sz val="10"/>
      <name val="Geneva"/>
      <family val="2"/>
    </font>
    <font>
      <sz val="10"/>
      <color rgb="FF0000FF"/>
      <name val="Geneva"/>
    </font>
    <font>
      <b/>
      <u val="singleAccounting"/>
      <sz val="10"/>
      <name val="Geneva"/>
    </font>
    <font>
      <b/>
      <sz val="10"/>
      <name val="Geneva"/>
    </font>
    <font>
      <u val="singleAccounting"/>
      <sz val="11"/>
      <color theme="1"/>
      <name val="Aptos Narrow"/>
      <family val="2"/>
      <scheme val="minor"/>
    </font>
    <font>
      <i/>
      <sz val="11"/>
      <color theme="1"/>
      <name val="Amasis MT Pro"/>
      <family val="1"/>
    </font>
  </fonts>
  <fills count="16">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2"/>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9" tint="0.59999389629810485"/>
        <bgColor indexed="64"/>
      </patternFill>
    </fill>
  </fills>
  <borders count="66">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hair">
        <color indexed="64"/>
      </bottom>
      <diagonal/>
    </border>
    <border>
      <left/>
      <right/>
      <top/>
      <bottom style="thin">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hair">
        <color indexed="64"/>
      </top>
      <bottom style="thin">
        <color indexed="64"/>
      </bottom>
      <diagonal/>
    </border>
    <border>
      <left style="medium">
        <color indexed="64"/>
      </left>
      <right/>
      <top/>
      <bottom style="hair">
        <color auto="1"/>
      </bottom>
      <diagonal/>
    </border>
    <border>
      <left/>
      <right/>
      <top/>
      <bottom style="hair">
        <color auto="1"/>
      </bottom>
      <diagonal/>
    </border>
    <border>
      <left/>
      <right style="medium">
        <color indexed="64"/>
      </right>
      <top/>
      <bottom style="hair">
        <color auto="1"/>
      </bottom>
      <diagonal/>
    </border>
    <border>
      <left/>
      <right/>
      <top/>
      <bottom style="medium">
        <color indexed="64"/>
      </bottom>
      <diagonal/>
    </border>
    <border>
      <left/>
      <right/>
      <top style="hair">
        <color indexed="64"/>
      </top>
      <bottom style="medium">
        <color indexed="64"/>
      </bottom>
      <diagonal/>
    </border>
    <border>
      <left/>
      <right/>
      <top style="medium">
        <color indexed="64"/>
      </top>
      <bottom style="thin">
        <color indexed="64"/>
      </bottom>
      <diagonal/>
    </border>
    <border>
      <left style="medium">
        <color indexed="64"/>
      </left>
      <right/>
      <top style="hair">
        <color auto="1"/>
      </top>
      <bottom/>
      <diagonal/>
    </border>
    <border>
      <left/>
      <right/>
      <top style="hair">
        <color auto="1"/>
      </top>
      <bottom/>
      <diagonal/>
    </border>
    <border>
      <left/>
      <right style="medium">
        <color indexed="64"/>
      </right>
      <top style="hair">
        <color auto="1"/>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style="hair">
        <color indexed="64"/>
      </right>
      <top/>
      <bottom style="medium">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right/>
      <top style="thin">
        <color indexed="64"/>
      </top>
      <bottom/>
      <diagonal/>
    </border>
    <border>
      <left style="hair">
        <color indexed="64"/>
      </left>
      <right style="hair">
        <color indexed="64"/>
      </right>
      <top style="thin">
        <color indexed="64"/>
      </top>
      <bottom/>
      <diagonal/>
    </border>
    <border>
      <left/>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bottom style="hair">
        <color auto="1"/>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medium">
        <color indexed="64"/>
      </top>
      <bottom style="medium">
        <color indexed="64"/>
      </bottom>
      <diagonal/>
    </border>
    <border>
      <left style="hair">
        <color indexed="64"/>
      </left>
      <right style="hair">
        <color indexed="64"/>
      </right>
      <top style="hair">
        <color auto="1"/>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bottom style="thin">
        <color indexed="64"/>
      </bottom>
      <diagonal/>
    </border>
    <border>
      <left style="hair">
        <color indexed="64"/>
      </left>
      <right/>
      <top style="medium">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medium">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75">
    <xf numFmtId="0" fontId="0" fillId="0" borderId="0" xfId="0"/>
    <xf numFmtId="0" fontId="3" fillId="2" borderId="1" xfId="0" applyFont="1" applyFill="1" applyBorder="1" applyAlignment="1">
      <alignment horizontal="centerContinuous"/>
    </xf>
    <xf numFmtId="0" fontId="4" fillId="3" borderId="0" xfId="0" applyFont="1" applyFill="1" applyAlignment="1">
      <alignment horizontal="center"/>
    </xf>
    <xf numFmtId="0" fontId="4" fillId="3" borderId="0" xfId="0" applyFont="1" applyFill="1"/>
    <xf numFmtId="0" fontId="3" fillId="4" borderId="2" xfId="0" applyFont="1" applyFill="1" applyBorder="1" applyAlignment="1">
      <alignment horizontal="centerContinuous"/>
    </xf>
    <xf numFmtId="0" fontId="3" fillId="4" borderId="1" xfId="0" applyFont="1" applyFill="1" applyBorder="1" applyAlignment="1">
      <alignment horizontal="centerContinuous"/>
    </xf>
    <xf numFmtId="0" fontId="3" fillId="4" borderId="3" xfId="0" applyFont="1" applyFill="1" applyBorder="1" applyAlignment="1">
      <alignment horizontal="centerContinuous"/>
    </xf>
    <xf numFmtId="0" fontId="3" fillId="3" borderId="4" xfId="0" applyFont="1" applyFill="1" applyBorder="1"/>
    <xf numFmtId="0" fontId="4" fillId="3" borderId="4" xfId="0" applyFont="1" applyFill="1" applyBorder="1" applyAlignment="1">
      <alignment horizontal="center"/>
    </xf>
    <xf numFmtId="0" fontId="3" fillId="3" borderId="5" xfId="0" applyFont="1" applyFill="1" applyBorder="1" applyAlignment="1">
      <alignment horizontal="left"/>
    </xf>
    <xf numFmtId="0" fontId="3" fillId="3" borderId="5" xfId="0" applyFont="1" applyFill="1" applyBorder="1" applyAlignment="1">
      <alignment horizontal="center"/>
    </xf>
    <xf numFmtId="0" fontId="4" fillId="3" borderId="6" xfId="0" applyFont="1" applyFill="1" applyBorder="1"/>
    <xf numFmtId="3" fontId="4" fillId="3" borderId="4" xfId="0" applyNumberFormat="1" applyFont="1" applyFill="1" applyBorder="1" applyAlignment="1">
      <alignment horizontal="center"/>
    </xf>
    <xf numFmtId="0" fontId="4" fillId="3" borderId="7" xfId="0" applyFont="1" applyFill="1" applyBorder="1"/>
    <xf numFmtId="0" fontId="4" fillId="3" borderId="8" xfId="0" applyFont="1" applyFill="1" applyBorder="1"/>
    <xf numFmtId="3" fontId="4" fillId="3" borderId="9" xfId="0" applyNumberFormat="1" applyFont="1" applyFill="1" applyBorder="1" applyAlignment="1">
      <alignment horizontal="center"/>
    </xf>
    <xf numFmtId="0" fontId="4" fillId="3" borderId="10" xfId="0" applyFont="1" applyFill="1" applyBorder="1"/>
    <xf numFmtId="0" fontId="3" fillId="3" borderId="9" xfId="0" applyFont="1" applyFill="1" applyBorder="1"/>
    <xf numFmtId="0" fontId="4" fillId="3" borderId="9" xfId="0" applyFont="1" applyFill="1" applyBorder="1" applyAlignment="1">
      <alignment horizontal="center"/>
    </xf>
    <xf numFmtId="0" fontId="4" fillId="3" borderId="11" xfId="0" applyFont="1" applyFill="1" applyBorder="1" applyAlignment="1">
      <alignment horizontal="left" indent="1"/>
    </xf>
    <xf numFmtId="0" fontId="4" fillId="3" borderId="11" xfId="0" applyFont="1" applyFill="1" applyBorder="1" applyAlignment="1">
      <alignment horizontal="center"/>
    </xf>
    <xf numFmtId="9" fontId="4" fillId="3" borderId="11" xfId="3" applyFont="1" applyFill="1" applyBorder="1" applyAlignment="1">
      <alignment horizontal="center"/>
    </xf>
    <xf numFmtId="0" fontId="4" fillId="3" borderId="12" xfId="0" applyFont="1" applyFill="1" applyBorder="1"/>
    <xf numFmtId="0" fontId="4" fillId="3" borderId="13" xfId="0" applyFont="1" applyFill="1" applyBorder="1"/>
    <xf numFmtId="0" fontId="4" fillId="3" borderId="14" xfId="0" applyFont="1" applyFill="1" applyBorder="1"/>
    <xf numFmtId="0" fontId="4" fillId="3" borderId="9" xfId="0" applyFont="1" applyFill="1" applyBorder="1" applyAlignment="1">
      <alignment horizontal="left" indent="1"/>
    </xf>
    <xf numFmtId="9" fontId="4" fillId="3" borderId="9" xfId="3" applyFont="1" applyFill="1" applyBorder="1" applyAlignment="1">
      <alignment horizontal="center"/>
    </xf>
    <xf numFmtId="0" fontId="4" fillId="3" borderId="15" xfId="0" applyFont="1" applyFill="1" applyBorder="1"/>
    <xf numFmtId="0" fontId="4" fillId="3" borderId="16" xfId="0" applyFont="1" applyFill="1" applyBorder="1"/>
    <xf numFmtId="164" fontId="4" fillId="3" borderId="9" xfId="0" applyNumberFormat="1" applyFont="1" applyFill="1" applyBorder="1" applyAlignment="1">
      <alignment horizontal="center"/>
    </xf>
    <xf numFmtId="3" fontId="4" fillId="5" borderId="9" xfId="0" applyNumberFormat="1" applyFont="1" applyFill="1" applyBorder="1" applyAlignment="1">
      <alignment horizontal="center"/>
    </xf>
    <xf numFmtId="3" fontId="4" fillId="0" borderId="9" xfId="0" applyNumberFormat="1" applyFont="1" applyBorder="1" applyAlignment="1">
      <alignment horizontal="center"/>
    </xf>
    <xf numFmtId="0" fontId="4" fillId="0" borderId="8" xfId="0" applyFont="1" applyBorder="1"/>
    <xf numFmtId="0" fontId="4" fillId="0" borderId="10" xfId="0" applyFont="1" applyBorder="1"/>
    <xf numFmtId="0" fontId="4" fillId="3" borderId="17" xfId="0" applyFont="1" applyFill="1" applyBorder="1" applyAlignment="1">
      <alignment horizontal="left" indent="1"/>
    </xf>
    <xf numFmtId="0" fontId="4" fillId="3" borderId="17" xfId="0" applyFont="1" applyFill="1" applyBorder="1" applyAlignment="1">
      <alignment horizontal="center"/>
    </xf>
    <xf numFmtId="9" fontId="4" fillId="3" borderId="17" xfId="3" applyFont="1" applyFill="1" applyBorder="1" applyAlignment="1">
      <alignment horizontal="center"/>
    </xf>
    <xf numFmtId="0" fontId="4" fillId="3" borderId="18" xfId="0" applyFont="1" applyFill="1" applyBorder="1"/>
    <xf numFmtId="3" fontId="4" fillId="3" borderId="19" xfId="0" applyNumberFormat="1" applyFont="1" applyFill="1" applyBorder="1" applyAlignment="1">
      <alignment horizontal="center"/>
    </xf>
    <xf numFmtId="0" fontId="4" fillId="3" borderId="20" xfId="0" applyFont="1" applyFill="1" applyBorder="1"/>
    <xf numFmtId="0" fontId="3" fillId="2" borderId="21" xfId="0" applyFont="1" applyFill="1" applyBorder="1" applyAlignment="1">
      <alignment horizontal="left"/>
    </xf>
    <xf numFmtId="0" fontId="3" fillId="2" borderId="21" xfId="0" applyFont="1" applyFill="1" applyBorder="1" applyAlignment="1">
      <alignment horizontal="center"/>
    </xf>
    <xf numFmtId="9" fontId="3" fillId="2" borderId="21" xfId="3" applyFont="1" applyFill="1" applyBorder="1" applyAlignment="1">
      <alignment horizontal="center"/>
    </xf>
    <xf numFmtId="0" fontId="4" fillId="3" borderId="22" xfId="0" applyFont="1" applyFill="1" applyBorder="1" applyAlignment="1">
      <alignment horizontal="center"/>
    </xf>
    <xf numFmtId="4" fontId="4" fillId="3" borderId="9" xfId="0" applyNumberFormat="1" applyFont="1" applyFill="1" applyBorder="1" applyAlignment="1">
      <alignment horizontal="center"/>
    </xf>
    <xf numFmtId="3" fontId="3" fillId="2" borderId="21" xfId="3" applyNumberFormat="1" applyFont="1" applyFill="1" applyBorder="1" applyAlignment="1">
      <alignment horizontal="center"/>
    </xf>
    <xf numFmtId="0" fontId="4" fillId="3" borderId="9" xfId="0" applyFont="1" applyFill="1" applyBorder="1"/>
    <xf numFmtId="0" fontId="3" fillId="3" borderId="0" xfId="0" applyFont="1" applyFill="1" applyAlignment="1">
      <alignment horizontal="left" vertical="top" indent="1" readingOrder="1"/>
    </xf>
    <xf numFmtId="0" fontId="3" fillId="2" borderId="23" xfId="0" applyFont="1" applyFill="1" applyBorder="1" applyAlignment="1">
      <alignment horizontal="left"/>
    </xf>
    <xf numFmtId="0" fontId="3" fillId="2" borderId="23" xfId="0" applyFont="1" applyFill="1" applyBorder="1" applyAlignment="1">
      <alignment horizontal="centerContinuous"/>
    </xf>
    <xf numFmtId="0" fontId="4" fillId="0" borderId="24" xfId="0" applyFont="1" applyBorder="1"/>
    <xf numFmtId="1" fontId="4" fillId="0" borderId="25" xfId="0" applyNumberFormat="1" applyFont="1" applyBorder="1" applyAlignment="1">
      <alignment horizontal="center"/>
    </xf>
    <xf numFmtId="0" fontId="4" fillId="0" borderId="26" xfId="0" applyFont="1" applyBorder="1"/>
    <xf numFmtId="0" fontId="3" fillId="3" borderId="11" xfId="0" applyFont="1" applyFill="1" applyBorder="1" applyAlignment="1">
      <alignment horizontal="left"/>
    </xf>
    <xf numFmtId="1" fontId="4" fillId="3" borderId="9" xfId="0" applyNumberFormat="1" applyFont="1" applyFill="1" applyBorder="1" applyAlignment="1">
      <alignment horizontal="center"/>
    </xf>
    <xf numFmtId="0" fontId="3" fillId="3" borderId="9" xfId="0" applyFont="1" applyFill="1" applyBorder="1" applyAlignment="1">
      <alignment horizontal="left"/>
    </xf>
    <xf numFmtId="0" fontId="3" fillId="5" borderId="12" xfId="0" applyFont="1" applyFill="1" applyBorder="1" applyAlignment="1">
      <alignment horizontal="left"/>
    </xf>
    <xf numFmtId="0" fontId="3" fillId="5" borderId="13" xfId="0" applyFont="1" applyFill="1" applyBorder="1" applyAlignment="1">
      <alignment horizontal="left"/>
    </xf>
    <xf numFmtId="165" fontId="3" fillId="5" borderId="14" xfId="0" applyNumberFormat="1" applyFont="1" applyFill="1" applyBorder="1" applyAlignment="1">
      <alignment horizontal="right"/>
    </xf>
    <xf numFmtId="0" fontId="3" fillId="5" borderId="15" xfId="0" applyFont="1" applyFill="1" applyBorder="1" applyAlignment="1">
      <alignment horizontal="left"/>
    </xf>
    <xf numFmtId="0" fontId="3" fillId="5" borderId="0" xfId="0" applyFont="1" applyFill="1" applyAlignment="1">
      <alignment horizontal="left"/>
    </xf>
    <xf numFmtId="165" fontId="3" fillId="5" borderId="16" xfId="0" applyNumberFormat="1" applyFont="1" applyFill="1" applyBorder="1" applyAlignment="1">
      <alignment horizontal="right"/>
    </xf>
    <xf numFmtId="0" fontId="3" fillId="3" borderId="22" xfId="0" applyFont="1" applyFill="1" applyBorder="1" applyAlignment="1">
      <alignment horizontal="left"/>
    </xf>
    <xf numFmtId="0" fontId="3" fillId="3" borderId="22" xfId="0" applyFont="1" applyFill="1" applyBorder="1"/>
    <xf numFmtId="0" fontId="4" fillId="3" borderId="22" xfId="0" applyFont="1" applyFill="1" applyBorder="1"/>
    <xf numFmtId="2" fontId="4" fillId="3" borderId="22" xfId="0" applyNumberFormat="1" applyFont="1" applyFill="1" applyBorder="1" applyAlignment="1">
      <alignment horizontal="center"/>
    </xf>
    <xf numFmtId="0" fontId="3" fillId="5" borderId="27" xfId="0" applyFont="1" applyFill="1" applyBorder="1" applyAlignment="1">
      <alignment horizontal="left"/>
    </xf>
    <xf numFmtId="0" fontId="3" fillId="5" borderId="21" xfId="0" applyFont="1" applyFill="1" applyBorder="1" applyAlignment="1">
      <alignment horizontal="left"/>
    </xf>
    <xf numFmtId="166" fontId="3" fillId="5" borderId="28" xfId="0" applyNumberFormat="1" applyFont="1" applyFill="1" applyBorder="1" applyAlignment="1">
      <alignment horizontal="right"/>
    </xf>
    <xf numFmtId="0" fontId="3" fillId="3" borderId="0" xfId="0" applyFont="1" applyFill="1"/>
    <xf numFmtId="167" fontId="4" fillId="3" borderId="0" xfId="0" applyNumberFormat="1" applyFont="1" applyFill="1" applyAlignment="1">
      <alignment horizontal="center"/>
    </xf>
    <xf numFmtId="0" fontId="4" fillId="3" borderId="27" xfId="0" applyFont="1" applyFill="1" applyBorder="1"/>
    <xf numFmtId="0" fontId="4" fillId="3" borderId="21" xfId="0" applyFont="1" applyFill="1" applyBorder="1"/>
    <xf numFmtId="0" fontId="4" fillId="3" borderId="28" xfId="0" applyFont="1" applyFill="1" applyBorder="1"/>
    <xf numFmtId="0" fontId="4" fillId="3" borderId="29" xfId="0" applyFont="1" applyFill="1" applyBorder="1"/>
    <xf numFmtId="3" fontId="4" fillId="3" borderId="22" xfId="0" applyNumberFormat="1" applyFont="1" applyFill="1" applyBorder="1" applyAlignment="1">
      <alignment horizontal="center"/>
    </xf>
    <xf numFmtId="0" fontId="4" fillId="3" borderId="30" xfId="0" applyFont="1" applyFill="1" applyBorder="1"/>
    <xf numFmtId="0" fontId="3" fillId="2" borderId="21"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31" xfId="0" applyFont="1" applyFill="1" applyBorder="1" applyAlignment="1">
      <alignment horizontal="center" vertical="center" wrapText="1"/>
    </xf>
    <xf numFmtId="0" fontId="3" fillId="2" borderId="21" xfId="0" applyFont="1" applyFill="1" applyBorder="1" applyAlignment="1">
      <alignment horizontal="centerContinuous" vertical="center"/>
    </xf>
    <xf numFmtId="0" fontId="4" fillId="2" borderId="21" xfId="0" applyFont="1" applyFill="1" applyBorder="1" applyAlignment="1">
      <alignment horizontal="centerContinuous" vertical="center"/>
    </xf>
    <xf numFmtId="0" fontId="3" fillId="3" borderId="13" xfId="0" applyFont="1" applyFill="1" applyBorder="1" applyAlignment="1">
      <alignment horizontal="left" vertical="top" indent="1" readingOrder="1"/>
    </xf>
    <xf numFmtId="0" fontId="4" fillId="3" borderId="32" xfId="0" applyFont="1" applyFill="1" applyBorder="1" applyAlignment="1">
      <alignment horizontal="center"/>
    </xf>
    <xf numFmtId="3" fontId="4" fillId="3" borderId="32" xfId="0" applyNumberFormat="1" applyFont="1" applyFill="1" applyBorder="1"/>
    <xf numFmtId="9" fontId="4" fillId="3" borderId="32" xfId="3" applyFont="1" applyFill="1" applyBorder="1" applyAlignment="1">
      <alignment horizontal="center"/>
    </xf>
    <xf numFmtId="3" fontId="4" fillId="3" borderId="32" xfId="0" applyNumberFormat="1" applyFont="1" applyFill="1" applyBorder="1" applyAlignment="1">
      <alignment horizontal="right"/>
    </xf>
    <xf numFmtId="165" fontId="3" fillId="3" borderId="23" xfId="0" applyNumberFormat="1" applyFont="1" applyFill="1" applyBorder="1"/>
    <xf numFmtId="0" fontId="4" fillId="3" borderId="19" xfId="0" applyFont="1" applyFill="1" applyBorder="1"/>
    <xf numFmtId="0" fontId="4" fillId="3" borderId="0" xfId="0" applyFont="1" applyFill="1" applyAlignment="1">
      <alignment horizontal="left" vertical="top" indent="3" readingOrder="1"/>
    </xf>
    <xf numFmtId="0" fontId="4" fillId="3" borderId="33" xfId="0" applyFont="1" applyFill="1" applyBorder="1" applyAlignment="1">
      <alignment horizontal="center"/>
    </xf>
    <xf numFmtId="3" fontId="4" fillId="3" borderId="33" xfId="0" applyNumberFormat="1" applyFont="1" applyFill="1" applyBorder="1" applyAlignment="1">
      <alignment horizontal="center"/>
    </xf>
    <xf numFmtId="4" fontId="4" fillId="5" borderId="33" xfId="0" applyNumberFormat="1" applyFont="1" applyFill="1" applyBorder="1"/>
    <xf numFmtId="9" fontId="4" fillId="3" borderId="33" xfId="3" applyFont="1" applyFill="1" applyBorder="1" applyAlignment="1">
      <alignment horizontal="center"/>
    </xf>
    <xf numFmtId="4" fontId="4" fillId="3" borderId="33" xfId="0" applyNumberFormat="1" applyFont="1" applyFill="1" applyBorder="1" applyAlignment="1">
      <alignment horizontal="right"/>
    </xf>
    <xf numFmtId="3" fontId="4" fillId="3" borderId="33" xfId="0" applyNumberFormat="1" applyFont="1" applyFill="1" applyBorder="1" applyAlignment="1">
      <alignment horizontal="right"/>
    </xf>
    <xf numFmtId="0" fontId="3" fillId="3" borderId="34" xfId="0" applyFont="1" applyFill="1" applyBorder="1" applyAlignment="1">
      <alignment horizontal="left" vertical="top" indent="1" readingOrder="1"/>
    </xf>
    <xf numFmtId="0" fontId="4" fillId="3" borderId="35" xfId="0" applyFont="1" applyFill="1" applyBorder="1" applyAlignment="1">
      <alignment horizontal="center"/>
    </xf>
    <xf numFmtId="3" fontId="4" fillId="3" borderId="35" xfId="0" applyNumberFormat="1" applyFont="1" applyFill="1" applyBorder="1" applyAlignment="1">
      <alignment horizontal="center"/>
    </xf>
    <xf numFmtId="4" fontId="4" fillId="3" borderId="35" xfId="0" applyNumberFormat="1" applyFont="1" applyFill="1" applyBorder="1"/>
    <xf numFmtId="9" fontId="4" fillId="3" borderId="35" xfId="3" applyFont="1" applyFill="1" applyBorder="1" applyAlignment="1">
      <alignment horizontal="center"/>
    </xf>
    <xf numFmtId="4" fontId="4" fillId="3" borderId="35" xfId="0" applyNumberFormat="1" applyFont="1" applyFill="1" applyBorder="1" applyAlignment="1">
      <alignment horizontal="right"/>
    </xf>
    <xf numFmtId="3" fontId="4" fillId="3" borderId="35" xfId="0" applyNumberFormat="1" applyFont="1" applyFill="1" applyBorder="1" applyAlignment="1">
      <alignment horizontal="right"/>
    </xf>
    <xf numFmtId="165" fontId="3" fillId="3" borderId="36" xfId="0" applyNumberFormat="1" applyFont="1" applyFill="1" applyBorder="1"/>
    <xf numFmtId="0" fontId="4" fillId="3" borderId="5" xfId="0" applyFont="1" applyFill="1" applyBorder="1" applyAlignment="1">
      <alignment horizontal="left" vertical="top" indent="3" readingOrder="1"/>
    </xf>
    <xf numFmtId="0" fontId="4" fillId="3" borderId="37" xfId="0" applyFont="1" applyFill="1" applyBorder="1" applyAlignment="1">
      <alignment horizontal="center"/>
    </xf>
    <xf numFmtId="3" fontId="4" fillId="3" borderId="37" xfId="0" applyNumberFormat="1" applyFont="1" applyFill="1" applyBorder="1" applyAlignment="1">
      <alignment horizontal="center"/>
    </xf>
    <xf numFmtId="4" fontId="4" fillId="3" borderId="37" xfId="0" applyNumberFormat="1" applyFont="1" applyFill="1" applyBorder="1"/>
    <xf numFmtId="9" fontId="4" fillId="3" borderId="37" xfId="3" applyFont="1" applyFill="1" applyBorder="1" applyAlignment="1">
      <alignment horizontal="center"/>
    </xf>
    <xf numFmtId="4" fontId="4" fillId="3" borderId="37" xfId="0" applyNumberFormat="1" applyFont="1" applyFill="1" applyBorder="1" applyAlignment="1">
      <alignment horizontal="right"/>
    </xf>
    <xf numFmtId="3" fontId="4" fillId="3" borderId="37" xfId="0" applyNumberFormat="1" applyFont="1" applyFill="1" applyBorder="1" applyAlignment="1">
      <alignment horizontal="right"/>
    </xf>
    <xf numFmtId="0" fontId="4" fillId="3" borderId="19" xfId="0" applyFont="1" applyFill="1" applyBorder="1" applyAlignment="1">
      <alignment horizontal="left" vertical="top" indent="3" readingOrder="1"/>
    </xf>
    <xf numFmtId="0" fontId="4" fillId="3" borderId="38" xfId="0" applyFont="1" applyFill="1" applyBorder="1" applyAlignment="1">
      <alignment horizontal="center"/>
    </xf>
    <xf numFmtId="3" fontId="4" fillId="3" borderId="38" xfId="0" applyNumberFormat="1" applyFont="1" applyFill="1" applyBorder="1" applyAlignment="1">
      <alignment horizontal="center"/>
    </xf>
    <xf numFmtId="4" fontId="4" fillId="3" borderId="38" xfId="0" applyNumberFormat="1" applyFont="1" applyFill="1" applyBorder="1"/>
    <xf numFmtId="9" fontId="4" fillId="3" borderId="38" xfId="3" applyFont="1" applyFill="1" applyBorder="1" applyAlignment="1">
      <alignment horizontal="center"/>
    </xf>
    <xf numFmtId="4" fontId="4" fillId="3" borderId="38" xfId="0" applyNumberFormat="1" applyFont="1" applyFill="1" applyBorder="1" applyAlignment="1">
      <alignment horizontal="right"/>
    </xf>
    <xf numFmtId="3" fontId="4" fillId="3" borderId="38" xfId="0" applyNumberFormat="1" applyFont="1" applyFill="1" applyBorder="1" applyAlignment="1">
      <alignment horizontal="right"/>
    </xf>
    <xf numFmtId="0" fontId="4" fillId="3" borderId="9" xfId="0" applyFont="1" applyFill="1" applyBorder="1" applyAlignment="1">
      <alignment horizontal="left" vertical="top" indent="3" readingOrder="1"/>
    </xf>
    <xf numFmtId="0" fontId="4" fillId="3" borderId="39" xfId="0" applyFont="1" applyFill="1" applyBorder="1" applyAlignment="1">
      <alignment horizontal="center"/>
    </xf>
    <xf numFmtId="3" fontId="4" fillId="3" borderId="39" xfId="0" applyNumberFormat="1" applyFont="1" applyFill="1" applyBorder="1" applyAlignment="1">
      <alignment horizontal="center"/>
    </xf>
    <xf numFmtId="4" fontId="4" fillId="3" borderId="39" xfId="0" applyNumberFormat="1" applyFont="1" applyFill="1" applyBorder="1"/>
    <xf numFmtId="9" fontId="4" fillId="3" borderId="39" xfId="3" applyFont="1" applyFill="1" applyBorder="1" applyAlignment="1">
      <alignment horizontal="center"/>
    </xf>
    <xf numFmtId="4" fontId="4" fillId="3" borderId="39" xfId="0" applyNumberFormat="1" applyFont="1" applyFill="1" applyBorder="1" applyAlignment="1">
      <alignment horizontal="right"/>
    </xf>
    <xf numFmtId="0" fontId="4" fillId="3" borderId="17" xfId="0" applyFont="1" applyFill="1" applyBorder="1" applyAlignment="1">
      <alignment horizontal="left" vertical="top" indent="3" readingOrder="1"/>
    </xf>
    <xf numFmtId="0" fontId="4" fillId="3" borderId="40" xfId="0" applyFont="1" applyFill="1" applyBorder="1" applyAlignment="1">
      <alignment horizontal="center"/>
    </xf>
    <xf numFmtId="3" fontId="4" fillId="3" borderId="40" xfId="0" applyNumberFormat="1" applyFont="1" applyFill="1" applyBorder="1" applyAlignment="1">
      <alignment horizontal="center"/>
    </xf>
    <xf numFmtId="4" fontId="4" fillId="3" borderId="40" xfId="0" applyNumberFormat="1" applyFont="1" applyFill="1" applyBorder="1"/>
    <xf numFmtId="9" fontId="4" fillId="3" borderId="40" xfId="3" applyFont="1" applyFill="1" applyBorder="1" applyAlignment="1">
      <alignment horizontal="center"/>
    </xf>
    <xf numFmtId="4" fontId="4" fillId="3" borderId="40" xfId="0" applyNumberFormat="1" applyFont="1" applyFill="1" applyBorder="1" applyAlignment="1">
      <alignment horizontal="right"/>
    </xf>
    <xf numFmtId="165" fontId="3" fillId="3" borderId="5" xfId="0" applyNumberFormat="1" applyFont="1" applyFill="1" applyBorder="1"/>
    <xf numFmtId="3" fontId="4" fillId="3" borderId="35" xfId="0" applyNumberFormat="1" applyFont="1" applyFill="1" applyBorder="1"/>
    <xf numFmtId="0" fontId="2" fillId="3" borderId="35" xfId="0" applyFont="1" applyFill="1" applyBorder="1" applyAlignment="1">
      <alignment horizontal="center"/>
    </xf>
    <xf numFmtId="3" fontId="2" fillId="3" borderId="35" xfId="0" applyNumberFormat="1" applyFont="1" applyFill="1" applyBorder="1" applyAlignment="1">
      <alignment horizontal="center"/>
    </xf>
    <xf numFmtId="4" fontId="2" fillId="3" borderId="35" xfId="0" applyNumberFormat="1" applyFont="1" applyFill="1" applyBorder="1"/>
    <xf numFmtId="9" fontId="2" fillId="3" borderId="35" xfId="3" applyFont="1" applyFill="1" applyBorder="1" applyAlignment="1">
      <alignment horizontal="center"/>
    </xf>
    <xf numFmtId="3" fontId="2" fillId="3" borderId="35" xfId="0" applyNumberFormat="1" applyFont="1" applyFill="1" applyBorder="1"/>
    <xf numFmtId="0" fontId="4" fillId="0" borderId="9" xfId="0" applyFont="1" applyBorder="1" applyAlignment="1">
      <alignment horizontal="left" vertical="top" indent="3" readingOrder="1"/>
    </xf>
    <xf numFmtId="3" fontId="4" fillId="3" borderId="39" xfId="0" applyNumberFormat="1" applyFont="1" applyFill="1" applyBorder="1"/>
    <xf numFmtId="0" fontId="4" fillId="0" borderId="0" xfId="0" applyFont="1"/>
    <xf numFmtId="165" fontId="3" fillId="0" borderId="36" xfId="0" applyNumberFormat="1" applyFont="1" applyBorder="1"/>
    <xf numFmtId="0" fontId="5" fillId="3" borderId="37" xfId="0" applyFont="1" applyFill="1" applyBorder="1" applyAlignment="1">
      <alignment horizontal="center"/>
    </xf>
    <xf numFmtId="3" fontId="5" fillId="3" borderId="37" xfId="0" applyNumberFormat="1" applyFont="1" applyFill="1" applyBorder="1" applyAlignment="1">
      <alignment horizontal="center"/>
    </xf>
    <xf numFmtId="4" fontId="5" fillId="3" borderId="37" xfId="0" applyNumberFormat="1" applyFont="1" applyFill="1" applyBorder="1"/>
    <xf numFmtId="9" fontId="5" fillId="3" borderId="37" xfId="3" applyFont="1" applyFill="1" applyBorder="1" applyAlignment="1">
      <alignment horizontal="center"/>
    </xf>
    <xf numFmtId="4" fontId="5" fillId="3" borderId="37" xfId="0" applyNumberFormat="1" applyFont="1" applyFill="1" applyBorder="1" applyAlignment="1">
      <alignment horizontal="right"/>
    </xf>
    <xf numFmtId="3" fontId="5" fillId="3" borderId="37" xfId="0" applyNumberFormat="1" applyFont="1" applyFill="1" applyBorder="1" applyAlignment="1">
      <alignment horizontal="right"/>
    </xf>
    <xf numFmtId="169" fontId="4" fillId="3" borderId="9" xfId="0" applyNumberFormat="1" applyFont="1" applyFill="1" applyBorder="1"/>
    <xf numFmtId="3" fontId="4" fillId="3" borderId="38" xfId="0" applyNumberFormat="1" applyFont="1" applyFill="1" applyBorder="1"/>
    <xf numFmtId="170" fontId="4" fillId="3" borderId="9" xfId="1" applyNumberFormat="1" applyFont="1" applyFill="1" applyBorder="1" applyAlignment="1">
      <alignment horizontal="left"/>
    </xf>
    <xf numFmtId="0" fontId="2" fillId="3" borderId="9" xfId="0" applyFont="1" applyFill="1" applyBorder="1"/>
    <xf numFmtId="167" fontId="4" fillId="3" borderId="39" xfId="0" applyNumberFormat="1" applyFont="1" applyFill="1" applyBorder="1" applyAlignment="1">
      <alignment horizontal="center"/>
    </xf>
    <xf numFmtId="0" fontId="4" fillId="0" borderId="19" xfId="0" applyFont="1" applyBorder="1" applyAlignment="1">
      <alignment horizontal="left" vertical="top" indent="3" readingOrder="1"/>
    </xf>
    <xf numFmtId="167" fontId="4" fillId="3" borderId="38" xfId="0" applyNumberFormat="1" applyFont="1" applyFill="1" applyBorder="1" applyAlignment="1">
      <alignment horizontal="center"/>
    </xf>
    <xf numFmtId="0" fontId="2" fillId="3" borderId="0" xfId="0" applyFont="1" applyFill="1" applyAlignment="1">
      <alignment horizontal="center"/>
    </xf>
    <xf numFmtId="0" fontId="2" fillId="3" borderId="0" xfId="0" applyFont="1" applyFill="1"/>
    <xf numFmtId="10" fontId="4" fillId="3" borderId="38" xfId="3" applyNumberFormat="1" applyFont="1" applyFill="1" applyBorder="1" applyAlignment="1">
      <alignment horizontal="center"/>
    </xf>
    <xf numFmtId="10" fontId="4" fillId="3" borderId="37" xfId="3" applyNumberFormat="1" applyFont="1" applyFill="1" applyBorder="1" applyAlignment="1">
      <alignment horizontal="center"/>
    </xf>
    <xf numFmtId="49" fontId="4" fillId="3" borderId="9" xfId="0" applyNumberFormat="1" applyFont="1" applyFill="1" applyBorder="1" applyAlignment="1">
      <alignment horizontal="left" vertical="top" indent="3" readingOrder="1"/>
    </xf>
    <xf numFmtId="4" fontId="4" fillId="0" borderId="39" xfId="0" applyNumberFormat="1" applyFont="1" applyBorder="1"/>
    <xf numFmtId="7" fontId="4" fillId="3" borderId="38" xfId="2" applyNumberFormat="1" applyFont="1" applyFill="1" applyBorder="1" applyAlignment="1">
      <alignment horizontal="center"/>
    </xf>
    <xf numFmtId="10" fontId="4" fillId="3" borderId="33" xfId="3" applyNumberFormat="1" applyFont="1" applyFill="1" applyBorder="1" applyAlignment="1">
      <alignment horizontal="center"/>
    </xf>
    <xf numFmtId="4" fontId="4" fillId="3" borderId="33" xfId="0" applyNumberFormat="1" applyFont="1" applyFill="1" applyBorder="1"/>
    <xf numFmtId="0" fontId="3" fillId="2" borderId="41" xfId="0" applyFont="1" applyFill="1" applyBorder="1" applyAlignment="1">
      <alignment horizontal="left" vertical="top" readingOrder="1"/>
    </xf>
    <xf numFmtId="0" fontId="4" fillId="2" borderId="42" xfId="0" applyFont="1" applyFill="1" applyBorder="1" applyAlignment="1">
      <alignment horizontal="center"/>
    </xf>
    <xf numFmtId="4" fontId="4" fillId="2" borderId="42" xfId="0" applyNumberFormat="1" applyFont="1" applyFill="1" applyBorder="1"/>
    <xf numFmtId="9" fontId="4" fillId="2" borderId="42" xfId="3" applyFont="1" applyFill="1" applyBorder="1" applyAlignment="1">
      <alignment horizontal="center"/>
    </xf>
    <xf numFmtId="3" fontId="4" fillId="2" borderId="42" xfId="0" applyNumberFormat="1" applyFont="1" applyFill="1" applyBorder="1"/>
    <xf numFmtId="165" fontId="3" fillId="2" borderId="41" xfId="0" applyNumberFormat="1" applyFont="1" applyFill="1" applyBorder="1"/>
    <xf numFmtId="0" fontId="4" fillId="2" borderId="25" xfId="0" applyFont="1" applyFill="1" applyBorder="1"/>
    <xf numFmtId="9" fontId="4" fillId="3" borderId="0" xfId="3" applyFont="1" applyFill="1" applyAlignment="1">
      <alignment horizontal="center"/>
    </xf>
    <xf numFmtId="165" fontId="4" fillId="3" borderId="0" xfId="0" applyNumberFormat="1" applyFont="1" applyFill="1"/>
    <xf numFmtId="0" fontId="4" fillId="3" borderId="43" xfId="0" applyFont="1" applyFill="1" applyBorder="1" applyAlignment="1">
      <alignment horizontal="left" vertical="top" indent="1" readingOrder="1"/>
    </xf>
    <xf numFmtId="3" fontId="4" fillId="3" borderId="44" xfId="0" applyNumberFormat="1" applyFont="1" applyFill="1" applyBorder="1" applyAlignment="1">
      <alignment horizontal="right"/>
    </xf>
    <xf numFmtId="0" fontId="3" fillId="3" borderId="12" xfId="0" applyFont="1" applyFill="1" applyBorder="1"/>
    <xf numFmtId="0" fontId="4" fillId="3" borderId="45" xfId="0" applyFont="1" applyFill="1" applyBorder="1" applyAlignment="1">
      <alignment horizontal="left" vertical="top" indent="1" readingOrder="1"/>
    </xf>
    <xf numFmtId="3" fontId="4" fillId="3" borderId="46" xfId="0" applyNumberFormat="1" applyFont="1" applyFill="1" applyBorder="1" applyAlignment="1">
      <alignment horizontal="right"/>
    </xf>
    <xf numFmtId="44" fontId="4" fillId="3" borderId="15" xfId="2" applyFont="1" applyFill="1" applyBorder="1"/>
    <xf numFmtId="44" fontId="4" fillId="3" borderId="27" xfId="0" applyNumberFormat="1" applyFont="1" applyFill="1" applyBorder="1"/>
    <xf numFmtId="0" fontId="4" fillId="3" borderId="47" xfId="0" applyFont="1" applyFill="1" applyBorder="1" applyAlignment="1">
      <alignment horizontal="left" vertical="top" indent="1" readingOrder="1"/>
    </xf>
    <xf numFmtId="3" fontId="4" fillId="3" borderId="48" xfId="0" applyNumberFormat="1" applyFont="1" applyFill="1" applyBorder="1" applyAlignment="1">
      <alignment horizontal="right"/>
    </xf>
    <xf numFmtId="0" fontId="3" fillId="3" borderId="47" xfId="0" applyFont="1" applyFill="1" applyBorder="1" applyAlignment="1">
      <alignment horizontal="left" vertical="top" indent="1" readingOrder="1"/>
    </xf>
    <xf numFmtId="3" fontId="4" fillId="3" borderId="0" xfId="0" applyNumberFormat="1" applyFont="1" applyFill="1"/>
    <xf numFmtId="0" fontId="3" fillId="0" borderId="0" xfId="0" applyFont="1" applyAlignment="1">
      <alignment horizontal="center"/>
    </xf>
    <xf numFmtId="0" fontId="4" fillId="0" borderId="0" xfId="0" applyFont="1" applyAlignment="1">
      <alignment horizontal="center"/>
    </xf>
    <xf numFmtId="44" fontId="4" fillId="0" borderId="0" xfId="2" applyFont="1"/>
    <xf numFmtId="44" fontId="4" fillId="0" borderId="0" xfId="0" applyNumberFormat="1" applyFont="1" applyAlignment="1">
      <alignment horizontal="center"/>
    </xf>
    <xf numFmtId="0" fontId="6" fillId="0" borderId="0" xfId="0" applyFont="1"/>
    <xf numFmtId="0" fontId="6" fillId="0" borderId="0" xfId="0" applyFont="1" applyAlignment="1">
      <alignment horizontal="center"/>
    </xf>
    <xf numFmtId="43" fontId="6" fillId="0" borderId="0" xfId="0" applyNumberFormat="1" applyFont="1" applyAlignment="1">
      <alignment horizontal="center"/>
    </xf>
    <xf numFmtId="0" fontId="3" fillId="0" borderId="0" xfId="0" applyFont="1"/>
    <xf numFmtId="44" fontId="7" fillId="0" borderId="0" xfId="2" applyFont="1"/>
    <xf numFmtId="44" fontId="3" fillId="0" borderId="0" xfId="0" applyNumberFormat="1" applyFont="1"/>
    <xf numFmtId="0" fontId="4" fillId="0" borderId="0" xfId="0" applyFont="1" applyAlignment="1">
      <alignment horizontal="left"/>
    </xf>
    <xf numFmtId="0" fontId="3" fillId="4" borderId="0" xfId="0" applyFont="1" applyFill="1" applyAlignment="1">
      <alignment horizontal="centerContinuous"/>
    </xf>
    <xf numFmtId="0" fontId="3" fillId="6" borderId="41" xfId="0" applyFont="1" applyFill="1" applyBorder="1"/>
    <xf numFmtId="0" fontId="3" fillId="6" borderId="41" xfId="0" applyFont="1" applyFill="1" applyBorder="1" applyAlignment="1">
      <alignment horizontal="center"/>
    </xf>
    <xf numFmtId="0" fontId="4" fillId="3" borderId="4" xfId="0" applyFont="1" applyFill="1" applyBorder="1"/>
    <xf numFmtId="3" fontId="8" fillId="3" borderId="4" xfId="0" applyNumberFormat="1" applyFont="1" applyFill="1" applyBorder="1" applyAlignment="1">
      <alignment horizontal="center"/>
    </xf>
    <xf numFmtId="3" fontId="8" fillId="3" borderId="9" xfId="0" applyNumberFormat="1" applyFont="1" applyFill="1" applyBorder="1" applyAlignment="1">
      <alignment horizontal="center"/>
    </xf>
    <xf numFmtId="0" fontId="8" fillId="3" borderId="11" xfId="0" applyFont="1" applyFill="1" applyBorder="1" applyAlignment="1">
      <alignment horizontal="center"/>
    </xf>
    <xf numFmtId="0" fontId="4" fillId="3" borderId="19" xfId="0" applyFont="1" applyFill="1" applyBorder="1" applyAlignment="1">
      <alignment horizontal="center"/>
    </xf>
    <xf numFmtId="0" fontId="4" fillId="0" borderId="19" xfId="0" applyFont="1" applyBorder="1" applyAlignment="1">
      <alignment horizontal="center"/>
    </xf>
    <xf numFmtId="3" fontId="4" fillId="3" borderId="25" xfId="0" applyNumberFormat="1" applyFont="1" applyFill="1" applyBorder="1" applyAlignment="1">
      <alignment horizontal="center"/>
    </xf>
    <xf numFmtId="0" fontId="8" fillId="7" borderId="9" xfId="0" applyFont="1" applyFill="1" applyBorder="1" applyAlignment="1">
      <alignment horizontal="center"/>
    </xf>
    <xf numFmtId="0" fontId="4" fillId="0" borderId="9" xfId="0" applyFont="1" applyBorder="1" applyAlignment="1">
      <alignment horizontal="center"/>
    </xf>
    <xf numFmtId="0" fontId="8" fillId="0" borderId="9" xfId="0" applyFont="1" applyBorder="1" applyAlignment="1">
      <alignment horizontal="center"/>
    </xf>
    <xf numFmtId="0" fontId="4" fillId="3" borderId="25" xfId="0" applyFont="1" applyFill="1" applyBorder="1" applyAlignment="1">
      <alignment horizontal="center"/>
    </xf>
    <xf numFmtId="0" fontId="8" fillId="3" borderId="9" xfId="0" applyFont="1" applyFill="1" applyBorder="1" applyAlignment="1">
      <alignment horizontal="center"/>
    </xf>
    <xf numFmtId="3" fontId="3" fillId="6" borderId="41" xfId="0" applyNumberFormat="1" applyFont="1" applyFill="1" applyBorder="1" applyAlignment="1">
      <alignment horizontal="center"/>
    </xf>
    <xf numFmtId="3" fontId="8" fillId="3" borderId="19" xfId="0" applyNumberFormat="1" applyFont="1" applyFill="1" applyBorder="1" applyAlignment="1">
      <alignment horizontal="center"/>
    </xf>
    <xf numFmtId="0" fontId="8" fillId="3" borderId="17" xfId="0" applyFont="1" applyFill="1" applyBorder="1" applyAlignment="1">
      <alignment horizontal="center"/>
    </xf>
    <xf numFmtId="0" fontId="3" fillId="2" borderId="12" xfId="0" applyFont="1" applyFill="1" applyBorder="1" applyAlignment="1">
      <alignment horizontal="left"/>
    </xf>
    <xf numFmtId="0" fontId="3" fillId="2" borderId="13" xfId="0" applyFont="1" applyFill="1" applyBorder="1" applyAlignment="1">
      <alignment horizontal="left"/>
    </xf>
    <xf numFmtId="165" fontId="3" fillId="2" borderId="14" xfId="0" applyNumberFormat="1" applyFont="1" applyFill="1" applyBorder="1" applyAlignment="1">
      <alignment horizontal="right"/>
    </xf>
    <xf numFmtId="0" fontId="4" fillId="0" borderId="9" xfId="0" applyFont="1" applyBorder="1"/>
    <xf numFmtId="3" fontId="8" fillId="0" borderId="9" xfId="0" applyNumberFormat="1" applyFont="1" applyBorder="1" applyAlignment="1">
      <alignment horizontal="center"/>
    </xf>
    <xf numFmtId="4" fontId="8" fillId="5" borderId="9" xfId="0" applyNumberFormat="1" applyFont="1" applyFill="1" applyBorder="1" applyAlignment="1">
      <alignment horizontal="center"/>
    </xf>
    <xf numFmtId="0" fontId="3" fillId="2" borderId="15" xfId="0" applyFont="1" applyFill="1" applyBorder="1" applyAlignment="1">
      <alignment horizontal="left"/>
    </xf>
    <xf numFmtId="0" fontId="3" fillId="2" borderId="0" xfId="0" applyFont="1" applyFill="1" applyAlignment="1">
      <alignment horizontal="left"/>
    </xf>
    <xf numFmtId="165" fontId="3" fillId="2" borderId="16" xfId="0" applyNumberFormat="1" applyFont="1" applyFill="1" applyBorder="1" applyAlignment="1">
      <alignment horizontal="right"/>
    </xf>
    <xf numFmtId="0" fontId="3" fillId="3" borderId="19" xfId="0" applyFont="1" applyFill="1" applyBorder="1"/>
    <xf numFmtId="0" fontId="8" fillId="3" borderId="19" xfId="0" applyFont="1" applyFill="1" applyBorder="1" applyAlignment="1">
      <alignment horizontal="center"/>
    </xf>
    <xf numFmtId="0" fontId="3" fillId="2" borderId="27" xfId="0" applyFont="1" applyFill="1" applyBorder="1" applyAlignment="1">
      <alignment horizontal="left"/>
    </xf>
    <xf numFmtId="166" fontId="3" fillId="2" borderId="28" xfId="0" applyNumberFormat="1" applyFont="1" applyFill="1" applyBorder="1" applyAlignment="1">
      <alignment horizontal="right"/>
    </xf>
    <xf numFmtId="1" fontId="8" fillId="3" borderId="9" xfId="0" applyNumberFormat="1" applyFont="1" applyFill="1" applyBorder="1" applyAlignment="1">
      <alignment horizontal="center"/>
    </xf>
    <xf numFmtId="0" fontId="4" fillId="3" borderId="11" xfId="0" applyFont="1" applyFill="1" applyBorder="1"/>
    <xf numFmtId="0" fontId="4" fillId="0" borderId="25" xfId="0" applyFont="1" applyBorder="1"/>
    <xf numFmtId="1" fontId="8" fillId="0" borderId="25" xfId="0" applyNumberFormat="1" applyFont="1" applyBorder="1" applyAlignment="1">
      <alignment horizontal="center"/>
    </xf>
    <xf numFmtId="171" fontId="4" fillId="3" borderId="0" xfId="2" applyNumberFormat="1" applyFont="1" applyFill="1"/>
    <xf numFmtId="171" fontId="4" fillId="3" borderId="0" xfId="0" applyNumberFormat="1" applyFont="1" applyFill="1"/>
    <xf numFmtId="0" fontId="4" fillId="3" borderId="0" xfId="0" applyFont="1" applyFill="1" applyAlignment="1">
      <alignment vertical="center"/>
    </xf>
    <xf numFmtId="3" fontId="8" fillId="3" borderId="33" xfId="0" applyNumberFormat="1" applyFont="1" applyFill="1" applyBorder="1" applyAlignment="1">
      <alignment horizontal="center"/>
    </xf>
    <xf numFmtId="0" fontId="4" fillId="5" borderId="0" xfId="0" applyFont="1" applyFill="1"/>
    <xf numFmtId="4" fontId="8" fillId="3" borderId="37" xfId="0" applyNumberFormat="1" applyFont="1" applyFill="1" applyBorder="1"/>
    <xf numFmtId="169" fontId="4" fillId="3" borderId="0" xfId="0" applyNumberFormat="1" applyFont="1" applyFill="1"/>
    <xf numFmtId="169" fontId="4" fillId="3" borderId="0" xfId="0" applyNumberFormat="1" applyFont="1" applyFill="1" applyAlignment="1">
      <alignment horizontal="center"/>
    </xf>
    <xf numFmtId="4" fontId="8" fillId="3" borderId="39" xfId="0" applyNumberFormat="1" applyFont="1" applyFill="1" applyBorder="1"/>
    <xf numFmtId="3" fontId="8" fillId="3" borderId="39" xfId="0" applyNumberFormat="1" applyFont="1" applyFill="1" applyBorder="1" applyAlignment="1">
      <alignment horizontal="center"/>
    </xf>
    <xf numFmtId="3" fontId="8" fillId="3" borderId="39" xfId="0" applyNumberFormat="1" applyFont="1" applyFill="1" applyBorder="1"/>
    <xf numFmtId="0" fontId="4" fillId="3" borderId="33" xfId="0" applyFont="1" applyFill="1" applyBorder="1"/>
    <xf numFmtId="168" fontId="4" fillId="3" borderId="9" xfId="3" applyNumberFormat="1" applyFont="1" applyFill="1" applyBorder="1"/>
    <xf numFmtId="3" fontId="8" fillId="3" borderId="38" xfId="0" applyNumberFormat="1" applyFont="1" applyFill="1" applyBorder="1" applyAlignment="1">
      <alignment horizontal="center"/>
    </xf>
    <xf numFmtId="170" fontId="4" fillId="3" borderId="9" xfId="1" applyNumberFormat="1" applyFont="1" applyFill="1" applyBorder="1" applyAlignment="1"/>
    <xf numFmtId="170" fontId="4" fillId="3" borderId="9" xfId="1" applyNumberFormat="1" applyFont="1" applyFill="1" applyBorder="1"/>
    <xf numFmtId="0" fontId="4" fillId="5" borderId="9" xfId="0" applyFont="1" applyFill="1" applyBorder="1" applyAlignment="1">
      <alignment horizontal="left" vertical="top" indent="3" readingOrder="1"/>
    </xf>
    <xf numFmtId="165" fontId="3" fillId="7" borderId="36" xfId="0" applyNumberFormat="1" applyFont="1" applyFill="1" applyBorder="1"/>
    <xf numFmtId="0" fontId="10" fillId="0" borderId="0" xfId="0" applyFont="1"/>
    <xf numFmtId="0" fontId="10" fillId="0" borderId="0" xfId="0" applyFont="1" applyAlignment="1">
      <alignment horizontal="center"/>
    </xf>
    <xf numFmtId="0" fontId="11" fillId="0" borderId="21" xfId="0" applyFont="1" applyBorder="1" applyAlignment="1">
      <alignment horizontal="centerContinuous"/>
    </xf>
    <xf numFmtId="0" fontId="10" fillId="0" borderId="0" xfId="0" applyFont="1" applyAlignment="1">
      <alignment vertical="center"/>
    </xf>
    <xf numFmtId="0" fontId="12" fillId="0" borderId="21" xfId="0" applyFont="1" applyBorder="1" applyAlignment="1">
      <alignment horizontal="centerContinuous" vertical="center"/>
    </xf>
    <xf numFmtId="0" fontId="10" fillId="0" borderId="21" xfId="0" applyFont="1" applyBorder="1" applyAlignment="1">
      <alignment horizontal="centerContinuous" vertical="center"/>
    </xf>
    <xf numFmtId="0" fontId="12" fillId="0" borderId="21" xfId="0" applyFont="1" applyBorder="1" applyAlignment="1">
      <alignment horizontal="center" vertical="center"/>
    </xf>
    <xf numFmtId="0" fontId="10" fillId="0" borderId="0" xfId="0" applyFont="1" applyAlignment="1">
      <alignment horizontal="center" vertical="center"/>
    </xf>
    <xf numFmtId="0" fontId="10" fillId="8" borderId="0" xfId="0" applyFont="1" applyFill="1" applyAlignment="1">
      <alignment vertical="center"/>
    </xf>
    <xf numFmtId="0" fontId="10" fillId="3" borderId="0" xfId="0" applyFont="1" applyFill="1" applyAlignment="1">
      <alignment vertical="center"/>
    </xf>
    <xf numFmtId="172" fontId="10" fillId="0" borderId="0" xfId="0" applyNumberFormat="1" applyFont="1" applyAlignment="1">
      <alignment vertical="center"/>
    </xf>
    <xf numFmtId="173" fontId="10" fillId="0" borderId="0" xfId="0" applyNumberFormat="1" applyFont="1" applyAlignment="1">
      <alignment horizontal="center" vertical="center"/>
    </xf>
    <xf numFmtId="3" fontId="10" fillId="0" borderId="0" xfId="0" applyNumberFormat="1" applyFont="1" applyAlignment="1">
      <alignment horizontal="center" vertical="center"/>
    </xf>
    <xf numFmtId="3" fontId="13" fillId="0" borderId="0" xfId="0" applyNumberFormat="1" applyFont="1" applyAlignment="1">
      <alignment horizontal="center" vertical="center"/>
    </xf>
    <xf numFmtId="4" fontId="10" fillId="0" borderId="0" xfId="0" applyNumberFormat="1" applyFont="1" applyAlignment="1">
      <alignment horizontal="center" vertical="center"/>
    </xf>
    <xf numFmtId="4" fontId="13" fillId="0" borderId="0" xfId="0" applyNumberFormat="1" applyFont="1" applyAlignment="1">
      <alignment horizontal="center" vertical="center"/>
    </xf>
    <xf numFmtId="0" fontId="10" fillId="0" borderId="21" xfId="0" applyFont="1" applyBorder="1" applyAlignment="1">
      <alignment vertical="center"/>
    </xf>
    <xf numFmtId="0" fontId="10" fillId="0" borderId="21" xfId="0" applyFont="1" applyBorder="1" applyAlignment="1">
      <alignment horizontal="center" vertical="center"/>
    </xf>
    <xf numFmtId="3" fontId="10" fillId="0" borderId="21" xfId="0" applyNumberFormat="1" applyFont="1" applyBorder="1" applyAlignment="1">
      <alignment horizontal="center" vertical="center"/>
    </xf>
    <xf numFmtId="3" fontId="13" fillId="0" borderId="21" xfId="0" applyNumberFormat="1" applyFont="1" applyBorder="1" applyAlignment="1">
      <alignment horizontal="center" vertical="center"/>
    </xf>
    <xf numFmtId="0" fontId="12" fillId="0" borderId="21" xfId="0" applyFont="1" applyBorder="1" applyAlignment="1">
      <alignment horizontal="left" vertical="center"/>
    </xf>
    <xf numFmtId="0" fontId="13" fillId="0" borderId="19" xfId="0" applyFont="1" applyBorder="1" applyAlignment="1">
      <alignment horizontal="left" vertical="center" readingOrder="1"/>
    </xf>
    <xf numFmtId="9" fontId="13" fillId="0" borderId="19" xfId="3" applyFont="1" applyBorder="1" applyAlignment="1">
      <alignment horizontal="left" vertical="center" readingOrder="1"/>
    </xf>
    <xf numFmtId="3" fontId="10" fillId="0" borderId="19" xfId="0" applyNumberFormat="1" applyFont="1" applyBorder="1" applyAlignment="1">
      <alignment horizontal="right" vertical="center"/>
    </xf>
    <xf numFmtId="3" fontId="13" fillId="0" borderId="19" xfId="0" applyNumberFormat="1" applyFont="1" applyBorder="1" applyAlignment="1">
      <alignment horizontal="center" vertical="center"/>
    </xf>
    <xf numFmtId="4" fontId="10" fillId="0" borderId="19" xfId="0" applyNumberFormat="1" applyFont="1" applyBorder="1" applyAlignment="1">
      <alignment horizontal="center" vertical="center"/>
    </xf>
    <xf numFmtId="167" fontId="10" fillId="0" borderId="19" xfId="0" applyNumberFormat="1" applyFont="1" applyBorder="1" applyAlignment="1">
      <alignment horizontal="center" vertical="center"/>
    </xf>
    <xf numFmtId="0" fontId="13" fillId="0" borderId="9" xfId="0" applyFont="1" applyBorder="1" applyAlignment="1">
      <alignment horizontal="left" vertical="center" readingOrder="1"/>
    </xf>
    <xf numFmtId="9" fontId="13" fillId="0" borderId="9" xfId="3" applyFont="1" applyBorder="1" applyAlignment="1">
      <alignment horizontal="left" vertical="center" readingOrder="1"/>
    </xf>
    <xf numFmtId="3" fontId="10" fillId="0" borderId="9" xfId="0" applyNumberFormat="1" applyFont="1" applyBorder="1" applyAlignment="1">
      <alignment horizontal="right" vertical="center"/>
    </xf>
    <xf numFmtId="3" fontId="13" fillId="0" borderId="9" xfId="0" applyNumberFormat="1" applyFont="1" applyBorder="1" applyAlignment="1">
      <alignment horizontal="center" vertical="center"/>
    </xf>
    <xf numFmtId="3" fontId="10" fillId="0" borderId="9" xfId="0" applyNumberFormat="1" applyFont="1" applyBorder="1" applyAlignment="1">
      <alignment horizontal="center" vertical="center"/>
    </xf>
    <xf numFmtId="4" fontId="10" fillId="0" borderId="9" xfId="0" applyNumberFormat="1" applyFont="1" applyBorder="1" applyAlignment="1">
      <alignment horizontal="center" vertical="center"/>
    </xf>
    <xf numFmtId="3" fontId="10" fillId="0" borderId="9" xfId="0" applyNumberFormat="1" applyFont="1" applyBorder="1" applyAlignment="1">
      <alignment vertical="center"/>
    </xf>
    <xf numFmtId="4" fontId="14" fillId="0" borderId="9" xfId="0" applyNumberFormat="1" applyFont="1" applyBorder="1" applyAlignment="1">
      <alignment horizontal="center" vertical="center"/>
    </xf>
    <xf numFmtId="4" fontId="13" fillId="0" borderId="9" xfId="0" applyNumberFormat="1" applyFont="1" applyBorder="1" applyAlignment="1">
      <alignment horizontal="center" vertical="center"/>
    </xf>
    <xf numFmtId="3" fontId="14" fillId="0" borderId="9" xfId="0" applyNumberFormat="1" applyFont="1" applyBorder="1" applyAlignment="1">
      <alignment horizontal="center" vertical="center"/>
    </xf>
    <xf numFmtId="3" fontId="13" fillId="0" borderId="9" xfId="0" applyNumberFormat="1" applyFont="1" applyBorder="1" applyAlignment="1">
      <alignment vertical="center"/>
    </xf>
    <xf numFmtId="0" fontId="13" fillId="0" borderId="22" xfId="0" applyFont="1" applyBorder="1" applyAlignment="1">
      <alignment horizontal="left" vertical="center" readingOrder="1"/>
    </xf>
    <xf numFmtId="9" fontId="13" fillId="0" borderId="22" xfId="3" applyFont="1" applyBorder="1" applyAlignment="1">
      <alignment horizontal="left" vertical="center" readingOrder="1"/>
    </xf>
    <xf numFmtId="3" fontId="10" fillId="0" borderId="22" xfId="0" applyNumberFormat="1" applyFont="1" applyBorder="1" applyAlignment="1">
      <alignment vertical="center"/>
    </xf>
    <xf numFmtId="3" fontId="13" fillId="0" borderId="22" xfId="0" applyNumberFormat="1" applyFont="1" applyBorder="1" applyAlignment="1">
      <alignment horizontal="center" vertical="center"/>
    </xf>
    <xf numFmtId="3" fontId="10" fillId="0" borderId="22" xfId="0" applyNumberFormat="1" applyFont="1" applyBorder="1" applyAlignment="1">
      <alignment horizontal="center" vertical="center"/>
    </xf>
    <xf numFmtId="0" fontId="12" fillId="0" borderId="0" xfId="0" applyFont="1" applyAlignment="1">
      <alignment horizontal="left" vertical="center" readingOrder="1"/>
    </xf>
    <xf numFmtId="165" fontId="10" fillId="0" borderId="0" xfId="0" applyNumberFormat="1" applyFont="1" applyAlignment="1">
      <alignment horizontal="right" vertical="center"/>
    </xf>
    <xf numFmtId="165" fontId="10" fillId="0" borderId="0" xfId="0" applyNumberFormat="1" applyFont="1" applyAlignment="1">
      <alignment horizontal="center" vertical="center"/>
    </xf>
    <xf numFmtId="3" fontId="10" fillId="0" borderId="0" xfId="0" applyNumberFormat="1" applyFont="1"/>
    <xf numFmtId="0" fontId="3" fillId="2" borderId="1" xfId="0" applyFont="1" applyFill="1" applyBorder="1" applyAlignment="1">
      <alignment horizontal="center"/>
    </xf>
    <xf numFmtId="0" fontId="3" fillId="3" borderId="9" xfId="0" applyFont="1" applyFill="1" applyBorder="1" applyAlignment="1">
      <alignment horizontal="left" indent="11"/>
    </xf>
    <xf numFmtId="0" fontId="3" fillId="3" borderId="9" xfId="0" applyFont="1" applyFill="1" applyBorder="1" applyAlignment="1">
      <alignment horizontal="center"/>
    </xf>
    <xf numFmtId="0" fontId="4" fillId="3" borderId="9" xfId="0" applyFont="1" applyFill="1" applyBorder="1" applyAlignment="1">
      <alignment horizontal="left" indent="13"/>
    </xf>
    <xf numFmtId="165" fontId="4" fillId="3" borderId="9" xfId="0" applyNumberFormat="1" applyFont="1" applyFill="1" applyBorder="1" applyAlignment="1">
      <alignment horizontal="center"/>
    </xf>
    <xf numFmtId="166" fontId="4" fillId="3" borderId="9" xfId="0" applyNumberFormat="1" applyFont="1" applyFill="1" applyBorder="1" applyAlignment="1">
      <alignment horizontal="center"/>
    </xf>
    <xf numFmtId="0" fontId="4" fillId="3" borderId="0" xfId="0" applyFont="1" applyFill="1" applyAlignment="1">
      <alignment horizontal="right"/>
    </xf>
    <xf numFmtId="9" fontId="3" fillId="5" borderId="0" xfId="0" applyNumberFormat="1" applyFont="1" applyFill="1" applyAlignment="1">
      <alignment horizontal="center"/>
    </xf>
    <xf numFmtId="0" fontId="3" fillId="2" borderId="2" xfId="0" applyFont="1" applyFill="1" applyBorder="1" applyAlignment="1">
      <alignment horizontal="center" vertical="center"/>
    </xf>
    <xf numFmtId="0" fontId="4" fillId="3" borderId="1" xfId="0" applyFont="1" applyFill="1" applyBorder="1"/>
    <xf numFmtId="0" fontId="3" fillId="2" borderId="49" xfId="0" applyFont="1" applyFill="1" applyBorder="1" applyAlignment="1">
      <alignment horizontal="center" vertical="center" wrapText="1"/>
    </xf>
    <xf numFmtId="0" fontId="0" fillId="0" borderId="1" xfId="0" applyBorder="1"/>
    <xf numFmtId="0" fontId="3" fillId="2" borderId="1" xfId="0" applyFont="1" applyFill="1" applyBorder="1" applyAlignment="1">
      <alignment horizontal="centerContinuous" vertical="center"/>
    </xf>
    <xf numFmtId="0" fontId="3" fillId="2" borderId="3" xfId="0" applyFont="1" applyFill="1" applyBorder="1" applyAlignment="1">
      <alignment horizontal="centerContinuous" vertical="center"/>
    </xf>
    <xf numFmtId="0" fontId="4" fillId="3" borderId="18" xfId="0" applyFont="1" applyFill="1" applyBorder="1" applyAlignment="1">
      <alignment horizontal="left" vertical="top" indent="3" readingOrder="1"/>
    </xf>
    <xf numFmtId="3" fontId="0" fillId="3" borderId="38" xfId="0" applyNumberFormat="1" applyFill="1" applyBorder="1" applyAlignment="1">
      <alignment horizontal="right"/>
    </xf>
    <xf numFmtId="174" fontId="0" fillId="3" borderId="38" xfId="3" applyNumberFormat="1" applyFont="1" applyFill="1" applyBorder="1" applyAlignment="1">
      <alignment horizontal="right"/>
    </xf>
    <xf numFmtId="165" fontId="4" fillId="3" borderId="0" xfId="0" applyNumberFormat="1" applyFont="1" applyFill="1" applyAlignment="1">
      <alignment horizontal="left"/>
    </xf>
    <xf numFmtId="9" fontId="4" fillId="3" borderId="0" xfId="3" applyFont="1" applyFill="1" applyBorder="1" applyAlignment="1">
      <alignment horizontal="center"/>
    </xf>
    <xf numFmtId="165" fontId="4" fillId="3" borderId="0" xfId="0" applyNumberFormat="1" applyFont="1" applyFill="1" applyAlignment="1">
      <alignment horizontal="center"/>
    </xf>
    <xf numFmtId="9" fontId="4" fillId="3" borderId="16" xfId="3" applyFont="1" applyFill="1" applyBorder="1" applyAlignment="1">
      <alignment horizontal="center"/>
    </xf>
    <xf numFmtId="165" fontId="4" fillId="3" borderId="25" xfId="0" applyNumberFormat="1" applyFont="1" applyFill="1" applyBorder="1" applyAlignment="1">
      <alignment horizontal="left"/>
    </xf>
    <xf numFmtId="9" fontId="4" fillId="3" borderId="25" xfId="3" applyFont="1" applyFill="1" applyBorder="1" applyAlignment="1">
      <alignment horizontal="center"/>
    </xf>
    <xf numFmtId="165" fontId="4" fillId="3" borderId="25" xfId="0" applyNumberFormat="1" applyFont="1" applyFill="1" applyBorder="1" applyAlignment="1">
      <alignment horizontal="center"/>
    </xf>
    <xf numFmtId="9" fontId="4" fillId="3" borderId="26" xfId="3" applyFont="1" applyFill="1" applyBorder="1" applyAlignment="1">
      <alignment horizontal="center"/>
    </xf>
    <xf numFmtId="9" fontId="4" fillId="0" borderId="25" xfId="3" applyFont="1" applyFill="1" applyBorder="1" applyAlignment="1">
      <alignment horizontal="center"/>
    </xf>
    <xf numFmtId="9" fontId="2" fillId="3" borderId="25" xfId="3" applyFont="1" applyFill="1" applyBorder="1" applyAlignment="1">
      <alignment horizontal="center"/>
    </xf>
    <xf numFmtId="165" fontId="2" fillId="3" borderId="25" xfId="0" applyNumberFormat="1" applyFont="1" applyFill="1" applyBorder="1" applyAlignment="1">
      <alignment horizontal="center"/>
    </xf>
    <xf numFmtId="9" fontId="2" fillId="3" borderId="26" xfId="3" applyFont="1" applyFill="1" applyBorder="1" applyAlignment="1">
      <alignment horizontal="center"/>
    </xf>
    <xf numFmtId="0" fontId="4" fillId="3" borderId="8" xfId="0" applyFont="1" applyFill="1" applyBorder="1" applyAlignment="1">
      <alignment horizontal="left" vertical="top" indent="3" readingOrder="1"/>
    </xf>
    <xf numFmtId="174" fontId="4" fillId="3" borderId="39" xfId="3" applyNumberFormat="1" applyFont="1" applyFill="1" applyBorder="1"/>
    <xf numFmtId="174" fontId="0" fillId="3" borderId="39" xfId="3" applyNumberFormat="1" applyFont="1" applyFill="1" applyBorder="1"/>
    <xf numFmtId="174" fontId="0" fillId="3" borderId="38" xfId="3" applyNumberFormat="1" applyFont="1" applyFill="1" applyBorder="1"/>
    <xf numFmtId="3" fontId="0" fillId="0" borderId="0" xfId="0" applyNumberFormat="1"/>
    <xf numFmtId="4" fontId="0" fillId="0" borderId="0" xfId="0" applyNumberFormat="1"/>
    <xf numFmtId="0" fontId="4" fillId="3" borderId="24" xfId="0" applyFont="1" applyFill="1" applyBorder="1" applyAlignment="1">
      <alignment horizontal="left" vertical="top" indent="3" readingOrder="1"/>
    </xf>
    <xf numFmtId="3" fontId="0" fillId="3" borderId="50" xfId="0" applyNumberFormat="1" applyFill="1" applyBorder="1" applyAlignment="1">
      <alignment horizontal="right"/>
    </xf>
    <xf numFmtId="174" fontId="0" fillId="3" borderId="33" xfId="3" applyNumberFormat="1" applyFont="1" applyFill="1" applyBorder="1" applyAlignment="1">
      <alignment horizontal="right"/>
    </xf>
    <xf numFmtId="0" fontId="15" fillId="0" borderId="51" xfId="0" applyFont="1" applyBorder="1"/>
    <xf numFmtId="3" fontId="15" fillId="0" borderId="41" xfId="0" applyNumberFormat="1" applyFont="1" applyBorder="1"/>
    <xf numFmtId="0" fontId="0" fillId="0" borderId="41" xfId="0" applyBorder="1"/>
    <xf numFmtId="165" fontId="4" fillId="3" borderId="41" xfId="0" applyNumberFormat="1" applyFont="1" applyFill="1" applyBorder="1" applyAlignment="1">
      <alignment horizontal="left"/>
    </xf>
    <xf numFmtId="9" fontId="4" fillId="3" borderId="41" xfId="3" applyFont="1" applyFill="1" applyBorder="1" applyAlignment="1">
      <alignment horizontal="center"/>
    </xf>
    <xf numFmtId="165" fontId="4" fillId="3" borderId="41" xfId="0" applyNumberFormat="1" applyFont="1" applyFill="1" applyBorder="1" applyAlignment="1">
      <alignment horizontal="center"/>
    </xf>
    <xf numFmtId="9" fontId="4" fillId="3" borderId="52" xfId="3" applyFont="1" applyFill="1" applyBorder="1" applyAlignment="1">
      <alignment horizontal="center"/>
    </xf>
    <xf numFmtId="9" fontId="3" fillId="3" borderId="0" xfId="3" applyFont="1" applyFill="1" applyAlignment="1">
      <alignment horizontal="center" vertical="top" readingOrder="1"/>
    </xf>
    <xf numFmtId="0" fontId="3" fillId="3" borderId="0" xfId="0" applyFont="1" applyFill="1" applyAlignment="1">
      <alignment horizontal="center"/>
    </xf>
    <xf numFmtId="3" fontId="10" fillId="3" borderId="9" xfId="0" applyNumberFormat="1" applyFont="1" applyFill="1" applyBorder="1" applyAlignment="1">
      <alignment horizontal="center" vertical="center"/>
    </xf>
    <xf numFmtId="0" fontId="16" fillId="0" borderId="0" xfId="0" applyFont="1" applyAlignment="1">
      <alignment horizontal="center"/>
    </xf>
    <xf numFmtId="0" fontId="13" fillId="3" borderId="9" xfId="0" applyFont="1" applyFill="1" applyBorder="1" applyAlignment="1">
      <alignment horizontal="left" vertical="center" readingOrder="1"/>
    </xf>
    <xf numFmtId="9" fontId="13" fillId="3" borderId="9" xfId="3" applyFont="1" applyFill="1" applyBorder="1" applyAlignment="1">
      <alignment horizontal="left" vertical="center" readingOrder="1"/>
    </xf>
    <xf numFmtId="3" fontId="10" fillId="3" borderId="9" xfId="0" applyNumberFormat="1" applyFont="1" applyFill="1" applyBorder="1" applyAlignment="1">
      <alignment horizontal="right" vertical="center"/>
    </xf>
    <xf numFmtId="3" fontId="13" fillId="3" borderId="9" xfId="0" applyNumberFormat="1" applyFont="1" applyFill="1" applyBorder="1" applyAlignment="1">
      <alignment horizontal="center" vertical="center"/>
    </xf>
    <xf numFmtId="0" fontId="3" fillId="3" borderId="5" xfId="0" applyFont="1" applyFill="1" applyBorder="1" applyAlignment="1">
      <alignment horizontal="left" vertical="top" indent="1" readingOrder="1"/>
    </xf>
    <xf numFmtId="3" fontId="4" fillId="3" borderId="37" xfId="0" applyNumberFormat="1" applyFont="1" applyFill="1" applyBorder="1"/>
    <xf numFmtId="0" fontId="4" fillId="3" borderId="4" xfId="0" applyFont="1" applyFill="1" applyBorder="1" applyAlignment="1">
      <alignment horizontal="left" vertical="top" indent="3" readingOrder="1"/>
    </xf>
    <xf numFmtId="0" fontId="4" fillId="3" borderId="53" xfId="0" applyFont="1" applyFill="1" applyBorder="1" applyAlignment="1">
      <alignment horizontal="center"/>
    </xf>
    <xf numFmtId="3" fontId="4" fillId="3" borderId="53" xfId="0" applyNumberFormat="1" applyFont="1" applyFill="1" applyBorder="1" applyAlignment="1">
      <alignment horizontal="center"/>
    </xf>
    <xf numFmtId="9" fontId="4" fillId="3" borderId="53" xfId="3" applyFont="1" applyFill="1" applyBorder="1" applyAlignment="1">
      <alignment horizontal="center"/>
    </xf>
    <xf numFmtId="3" fontId="4" fillId="3" borderId="53" xfId="0" applyNumberFormat="1" applyFont="1" applyFill="1" applyBorder="1" applyAlignment="1">
      <alignment horizontal="right"/>
    </xf>
    <xf numFmtId="0" fontId="4" fillId="3" borderId="25" xfId="0" applyFont="1" applyFill="1" applyBorder="1" applyAlignment="1">
      <alignment horizontal="left" vertical="top" indent="3" readingOrder="1"/>
    </xf>
    <xf numFmtId="0" fontId="4" fillId="3" borderId="50" xfId="0" applyFont="1" applyFill="1" applyBorder="1" applyAlignment="1">
      <alignment horizontal="center"/>
    </xf>
    <xf numFmtId="3" fontId="4" fillId="3" borderId="50" xfId="0" applyNumberFormat="1" applyFont="1" applyFill="1" applyBorder="1" applyAlignment="1">
      <alignment horizontal="center"/>
    </xf>
    <xf numFmtId="4" fontId="4" fillId="3" borderId="50" xfId="0" applyNumberFormat="1" applyFont="1" applyFill="1" applyBorder="1"/>
    <xf numFmtId="9" fontId="4" fillId="3" borderId="50" xfId="3" applyFont="1" applyFill="1" applyBorder="1" applyAlignment="1">
      <alignment horizontal="center"/>
    </xf>
    <xf numFmtId="4" fontId="4" fillId="3" borderId="50" xfId="0" applyNumberFormat="1" applyFont="1" applyFill="1" applyBorder="1" applyAlignment="1">
      <alignment horizontal="right"/>
    </xf>
    <xf numFmtId="165" fontId="3" fillId="3" borderId="0" xfId="0" applyNumberFormat="1" applyFont="1" applyFill="1"/>
    <xf numFmtId="0" fontId="3" fillId="3" borderId="41" xfId="0" applyFont="1" applyFill="1" applyBorder="1" applyAlignment="1">
      <alignment horizontal="left" vertical="top" readingOrder="1"/>
    </xf>
    <xf numFmtId="0" fontId="4" fillId="3" borderId="42" xfId="0" applyFont="1" applyFill="1" applyBorder="1" applyAlignment="1">
      <alignment horizontal="center"/>
    </xf>
    <xf numFmtId="4" fontId="4" fillId="3" borderId="42" xfId="0" applyNumberFormat="1" applyFont="1" applyFill="1" applyBorder="1"/>
    <xf numFmtId="9" fontId="4" fillId="3" borderId="42" xfId="3" applyFont="1" applyFill="1" applyBorder="1" applyAlignment="1">
      <alignment horizontal="center"/>
    </xf>
    <xf numFmtId="3" fontId="4" fillId="3" borderId="42" xfId="0" applyNumberFormat="1" applyFont="1" applyFill="1" applyBorder="1"/>
    <xf numFmtId="165" fontId="3" fillId="3" borderId="41" xfId="0" applyNumberFormat="1" applyFont="1" applyFill="1" applyBorder="1"/>
    <xf numFmtId="0" fontId="4" fillId="3" borderId="41" xfId="0" applyFont="1" applyFill="1" applyBorder="1"/>
    <xf numFmtId="0" fontId="2" fillId="3" borderId="37" xfId="0" applyFont="1" applyFill="1" applyBorder="1" applyAlignment="1">
      <alignment horizontal="center"/>
    </xf>
    <xf numFmtId="3" fontId="2" fillId="3" borderId="37" xfId="0" applyNumberFormat="1" applyFont="1" applyFill="1" applyBorder="1" applyAlignment="1">
      <alignment horizontal="center"/>
    </xf>
    <xf numFmtId="4" fontId="2" fillId="3" borderId="37" xfId="0" applyNumberFormat="1" applyFont="1" applyFill="1" applyBorder="1"/>
    <xf numFmtId="9" fontId="2" fillId="3" borderId="37" xfId="3" applyFont="1" applyFill="1" applyBorder="1" applyAlignment="1">
      <alignment horizontal="center"/>
    </xf>
    <xf numFmtId="3" fontId="2" fillId="3" borderId="37" xfId="0" applyNumberFormat="1" applyFont="1" applyFill="1" applyBorder="1"/>
    <xf numFmtId="0" fontId="4" fillId="3" borderId="17" xfId="0" applyFont="1" applyFill="1" applyBorder="1"/>
    <xf numFmtId="169" fontId="4" fillId="3" borderId="17" xfId="0" applyNumberFormat="1" applyFont="1" applyFill="1" applyBorder="1"/>
    <xf numFmtId="170" fontId="4" fillId="3" borderId="19" xfId="1" applyNumberFormat="1" applyFont="1" applyFill="1" applyBorder="1" applyAlignment="1">
      <alignment horizontal="left"/>
    </xf>
    <xf numFmtId="3" fontId="4" fillId="0" borderId="25" xfId="0" applyNumberFormat="1" applyFont="1" applyBorder="1" applyAlignment="1">
      <alignment horizontal="center"/>
    </xf>
    <xf numFmtId="0" fontId="15" fillId="0" borderId="5" xfId="0" applyFont="1" applyBorder="1"/>
    <xf numFmtId="43" fontId="0" fillId="0" borderId="0" xfId="1" applyFont="1"/>
    <xf numFmtId="43" fontId="0" fillId="0" borderId="0" xfId="0" applyNumberFormat="1"/>
    <xf numFmtId="3" fontId="5" fillId="3" borderId="38" xfId="0" applyNumberFormat="1" applyFont="1" applyFill="1" applyBorder="1" applyAlignment="1">
      <alignment horizontal="right"/>
    </xf>
    <xf numFmtId="3" fontId="5" fillId="3" borderId="39" xfId="0" applyNumberFormat="1" applyFont="1" applyFill="1" applyBorder="1"/>
    <xf numFmtId="0" fontId="3" fillId="9" borderId="54" xfId="0" applyFont="1" applyFill="1" applyBorder="1" applyAlignment="1">
      <alignment horizontal="left"/>
    </xf>
    <xf numFmtId="165" fontId="3" fillId="9" borderId="55" xfId="0" applyNumberFormat="1" applyFont="1" applyFill="1" applyBorder="1" applyAlignment="1">
      <alignment horizontal="right"/>
    </xf>
    <xf numFmtId="9" fontId="3" fillId="9" borderId="55" xfId="3" applyFont="1" applyFill="1" applyBorder="1" applyAlignment="1">
      <alignment horizontal="right"/>
    </xf>
    <xf numFmtId="3" fontId="4" fillId="3" borderId="0" xfId="0" applyNumberFormat="1" applyFont="1" applyFill="1" applyAlignment="1">
      <alignment horizontal="center"/>
    </xf>
    <xf numFmtId="4" fontId="4" fillId="3" borderId="0" xfId="0" applyNumberFormat="1" applyFont="1" applyFill="1"/>
    <xf numFmtId="0" fontId="3" fillId="10" borderId="1" xfId="0" applyFont="1" applyFill="1" applyBorder="1" applyAlignment="1">
      <alignment horizontal="centerContinuous"/>
    </xf>
    <xf numFmtId="3" fontId="0" fillId="10" borderId="38" xfId="0" applyNumberFormat="1" applyFill="1" applyBorder="1" applyAlignment="1">
      <alignment horizontal="right"/>
    </xf>
    <xf numFmtId="3" fontId="4" fillId="10" borderId="38" xfId="0" applyNumberFormat="1" applyFont="1" applyFill="1" applyBorder="1" applyAlignment="1">
      <alignment horizontal="right"/>
    </xf>
    <xf numFmtId="3" fontId="15" fillId="10" borderId="41" xfId="0" applyNumberFormat="1" applyFont="1" applyFill="1" applyBorder="1"/>
    <xf numFmtId="174" fontId="4" fillId="3" borderId="39" xfId="3" applyNumberFormat="1" applyFont="1" applyFill="1" applyBorder="1" applyAlignment="1">
      <alignment horizontal="center"/>
    </xf>
    <xf numFmtId="4" fontId="10" fillId="3" borderId="9" xfId="0" applyNumberFormat="1" applyFont="1" applyFill="1" applyBorder="1" applyAlignment="1">
      <alignment horizontal="center" vertical="center"/>
    </xf>
    <xf numFmtId="3" fontId="18" fillId="0" borderId="5" xfId="0" applyNumberFormat="1" applyFont="1" applyBorder="1"/>
    <xf numFmtId="0" fontId="0" fillId="0" borderId="5" xfId="0" applyBorder="1"/>
    <xf numFmtId="3" fontId="1" fillId="0" borderId="5" xfId="1" applyNumberFormat="1" applyBorder="1"/>
    <xf numFmtId="3" fontId="20" fillId="0" borderId="5" xfId="1" applyNumberFormat="1" applyFont="1" applyBorder="1"/>
    <xf numFmtId="6" fontId="21" fillId="0" borderId="5" xfId="2" applyNumberFormat="1" applyFont="1" applyBorder="1" applyAlignment="1">
      <alignment horizontal="right"/>
    </xf>
    <xf numFmtId="0" fontId="21" fillId="0" borderId="5" xfId="0" applyFont="1" applyBorder="1" applyAlignment="1">
      <alignment horizontal="right"/>
    </xf>
    <xf numFmtId="3" fontId="19" fillId="0" borderId="0" xfId="0" applyNumberFormat="1" applyFont="1"/>
    <xf numFmtId="3" fontId="1" fillId="0" borderId="0" xfId="1" applyNumberFormat="1"/>
    <xf numFmtId="3" fontId="19" fillId="0" borderId="0" xfId="0" applyNumberFormat="1" applyFont="1" applyAlignment="1">
      <alignment horizontal="right"/>
    </xf>
    <xf numFmtId="6" fontId="22" fillId="0" borderId="0" xfId="2" applyNumberFormat="1" applyFont="1"/>
    <xf numFmtId="8" fontId="0" fillId="0" borderId="0" xfId="0" applyNumberFormat="1"/>
    <xf numFmtId="10" fontId="22" fillId="0" borderId="0" xfId="3" applyNumberFormat="1" applyFont="1"/>
    <xf numFmtId="44" fontId="23" fillId="0" borderId="0" xfId="0" applyNumberFormat="1" applyFont="1"/>
    <xf numFmtId="44" fontId="23" fillId="0" borderId="0" xfId="0" applyNumberFormat="1" applyFont="1" applyAlignment="1">
      <alignment horizontal="center"/>
    </xf>
    <xf numFmtId="0" fontId="24" fillId="0" borderId="0" xfId="0" applyFont="1" applyAlignment="1">
      <alignment horizontal="center"/>
    </xf>
    <xf numFmtId="0" fontId="0" fillId="0" borderId="0" xfId="0" applyAlignment="1">
      <alignment horizontal="center"/>
    </xf>
    <xf numFmtId="9" fontId="22" fillId="0" borderId="0" xfId="0" applyNumberFormat="1" applyFont="1"/>
    <xf numFmtId="6" fontId="0" fillId="0" borderId="0" xfId="0" applyNumberFormat="1"/>
    <xf numFmtId="175" fontId="0" fillId="0" borderId="0" xfId="0" applyNumberFormat="1"/>
    <xf numFmtId="0" fontId="22" fillId="0" borderId="0" xfId="0" applyFont="1"/>
    <xf numFmtId="6" fontId="22" fillId="0" borderId="0" xfId="0" applyNumberFormat="1" applyFont="1"/>
    <xf numFmtId="10" fontId="22" fillId="0" borderId="0" xfId="0" applyNumberFormat="1" applyFont="1"/>
    <xf numFmtId="0" fontId="24" fillId="0" borderId="36" xfId="0" applyFont="1" applyBorder="1"/>
    <xf numFmtId="6" fontId="24" fillId="0" borderId="36" xfId="0" applyNumberFormat="1" applyFont="1" applyBorder="1"/>
    <xf numFmtId="175" fontId="24" fillId="0" borderId="36" xfId="0" applyNumberFormat="1" applyFont="1" applyBorder="1"/>
    <xf numFmtId="6" fontId="24" fillId="0" borderId="0" xfId="0" applyNumberFormat="1" applyFont="1"/>
    <xf numFmtId="165" fontId="3" fillId="3" borderId="0" xfId="0" applyNumberFormat="1" applyFont="1" applyFill="1" applyAlignment="1">
      <alignment horizontal="right"/>
    </xf>
    <xf numFmtId="9" fontId="3" fillId="3" borderId="0" xfId="3" applyFont="1" applyFill="1" applyBorder="1" applyAlignment="1">
      <alignment horizontal="right"/>
    </xf>
    <xf numFmtId="0" fontId="3" fillId="9" borderId="54" xfId="0" applyFont="1" applyFill="1" applyBorder="1" applyAlignment="1">
      <alignment horizontal="centerContinuous" wrapText="1"/>
    </xf>
    <xf numFmtId="9" fontId="3" fillId="3" borderId="5" xfId="3" applyFont="1" applyFill="1" applyBorder="1"/>
    <xf numFmtId="9" fontId="4" fillId="3" borderId="0" xfId="3" applyFont="1" applyFill="1"/>
    <xf numFmtId="9" fontId="3" fillId="3" borderId="0" xfId="3" applyFont="1" applyFill="1"/>
    <xf numFmtId="9" fontId="4" fillId="3" borderId="0" xfId="3" applyFont="1" applyFill="1" applyAlignment="1">
      <alignment horizontal="right"/>
    </xf>
    <xf numFmtId="174" fontId="3" fillId="3" borderId="41" xfId="3" applyNumberFormat="1" applyFont="1" applyFill="1" applyBorder="1"/>
    <xf numFmtId="3" fontId="3" fillId="3" borderId="37" xfId="0" applyNumberFormat="1" applyFont="1" applyFill="1" applyBorder="1" applyAlignment="1">
      <alignment horizontal="right"/>
    </xf>
    <xf numFmtId="0" fontId="4" fillId="3" borderId="56" xfId="0" applyFont="1" applyFill="1" applyBorder="1"/>
    <xf numFmtId="9" fontId="4" fillId="3" borderId="56" xfId="3" applyFont="1" applyFill="1" applyBorder="1"/>
    <xf numFmtId="0" fontId="4" fillId="3" borderId="57" xfId="0" applyFont="1" applyFill="1" applyBorder="1"/>
    <xf numFmtId="9" fontId="4" fillId="3" borderId="57" xfId="3" applyFont="1" applyFill="1" applyBorder="1"/>
    <xf numFmtId="3" fontId="4" fillId="3" borderId="56" xfId="0" applyNumberFormat="1" applyFont="1" applyFill="1" applyBorder="1"/>
    <xf numFmtId="165" fontId="3" fillId="3" borderId="56" xfId="0" applyNumberFormat="1" applyFont="1" applyFill="1" applyBorder="1"/>
    <xf numFmtId="9" fontId="4" fillId="3" borderId="56" xfId="3" applyFont="1" applyFill="1" applyBorder="1" applyAlignment="1">
      <alignment horizontal="right"/>
    </xf>
    <xf numFmtId="167" fontId="4" fillId="3" borderId="39" xfId="0" applyNumberFormat="1" applyFont="1" applyFill="1" applyBorder="1"/>
    <xf numFmtId="3" fontId="3" fillId="9" borderId="55" xfId="0" applyNumberFormat="1" applyFont="1" applyFill="1" applyBorder="1" applyAlignment="1">
      <alignment horizontal="right"/>
    </xf>
    <xf numFmtId="3" fontId="3" fillId="3" borderId="0" xfId="3" applyNumberFormat="1" applyFont="1" applyFill="1" applyBorder="1" applyAlignment="1">
      <alignment horizontal="right"/>
    </xf>
    <xf numFmtId="44" fontId="4" fillId="3" borderId="0" xfId="2" applyFont="1" applyFill="1"/>
    <xf numFmtId="3" fontId="4" fillId="3" borderId="39" xfId="0" applyNumberFormat="1" applyFont="1" applyFill="1" applyBorder="1" applyAlignment="1">
      <alignment horizontal="right"/>
    </xf>
    <xf numFmtId="44" fontId="4" fillId="3" borderId="9" xfId="2" applyFont="1" applyFill="1" applyBorder="1"/>
    <xf numFmtId="44" fontId="4" fillId="3" borderId="0" xfId="0" applyNumberFormat="1" applyFont="1" applyFill="1"/>
    <xf numFmtId="3" fontId="4" fillId="3" borderId="40" xfId="0" applyNumberFormat="1" applyFont="1" applyFill="1" applyBorder="1" applyAlignment="1">
      <alignment horizontal="right"/>
    </xf>
    <xf numFmtId="3" fontId="4" fillId="3" borderId="58" xfId="0" applyNumberFormat="1" applyFont="1" applyFill="1" applyBorder="1" applyAlignment="1">
      <alignment horizontal="right"/>
    </xf>
    <xf numFmtId="44" fontId="4" fillId="3" borderId="19" xfId="2" applyFont="1" applyFill="1" applyBorder="1"/>
    <xf numFmtId="165" fontId="3" fillId="3" borderId="59" xfId="0" applyNumberFormat="1" applyFont="1" applyFill="1" applyBorder="1"/>
    <xf numFmtId="9" fontId="3" fillId="3" borderId="59" xfId="3" applyFont="1" applyFill="1" applyBorder="1"/>
    <xf numFmtId="0" fontId="3" fillId="3" borderId="59" xfId="3" applyNumberFormat="1" applyFont="1" applyFill="1" applyBorder="1"/>
    <xf numFmtId="3" fontId="3" fillId="3" borderId="58" xfId="0" applyNumberFormat="1" applyFont="1" applyFill="1" applyBorder="1" applyAlignment="1">
      <alignment horizontal="right"/>
    </xf>
    <xf numFmtId="3" fontId="3" fillId="3" borderId="58" xfId="0" applyNumberFormat="1" applyFont="1" applyFill="1" applyBorder="1"/>
    <xf numFmtId="44" fontId="4" fillId="3" borderId="25" xfId="2" applyFont="1" applyFill="1" applyBorder="1" applyAlignment="1">
      <alignment horizontal="left"/>
    </xf>
    <xf numFmtId="9" fontId="4" fillId="3" borderId="25" xfId="3" applyFont="1" applyFill="1" applyBorder="1" applyAlignment="1">
      <alignment horizontal="left"/>
    </xf>
    <xf numFmtId="0" fontId="10" fillId="11" borderId="0" xfId="0" applyFont="1" applyFill="1" applyAlignment="1">
      <alignment vertical="center"/>
    </xf>
    <xf numFmtId="0" fontId="4" fillId="3" borderId="5" xfId="0" applyFont="1" applyFill="1" applyBorder="1"/>
    <xf numFmtId="44" fontId="4" fillId="3" borderId="5" xfId="2" applyFont="1" applyFill="1" applyBorder="1"/>
    <xf numFmtId="44" fontId="4" fillId="3" borderId="16" xfId="0" applyNumberFormat="1" applyFont="1" applyFill="1" applyBorder="1"/>
    <xf numFmtId="170" fontId="0" fillId="0" borderId="0" xfId="1" applyNumberFormat="1" applyFont="1"/>
    <xf numFmtId="170" fontId="0" fillId="0" borderId="5" xfId="1" applyNumberFormat="1" applyFont="1" applyBorder="1"/>
    <xf numFmtId="0" fontId="0" fillId="0" borderId="2" xfId="0" applyBorder="1"/>
    <xf numFmtId="0" fontId="2" fillId="3" borderId="57" xfId="0" applyFont="1" applyFill="1" applyBorder="1"/>
    <xf numFmtId="3" fontId="2" fillId="3" borderId="37" xfId="0" applyNumberFormat="1" applyFont="1" applyFill="1" applyBorder="1" applyAlignment="1">
      <alignment horizontal="right"/>
    </xf>
    <xf numFmtId="10" fontId="4" fillId="3" borderId="0" xfId="3" applyNumberFormat="1" applyFont="1" applyFill="1"/>
    <xf numFmtId="4" fontId="4" fillId="3" borderId="39" xfId="0" applyNumberFormat="1" applyFont="1" applyFill="1" applyBorder="1" applyAlignment="1">
      <alignment horizontal="center"/>
    </xf>
    <xf numFmtId="174" fontId="3" fillId="3" borderId="60" xfId="3" applyNumberFormat="1" applyFont="1" applyFill="1" applyBorder="1"/>
    <xf numFmtId="3" fontId="4" fillId="3" borderId="49" xfId="0" applyNumberFormat="1" applyFont="1" applyFill="1" applyBorder="1"/>
    <xf numFmtId="165" fontId="3" fillId="3" borderId="60" xfId="0" applyNumberFormat="1" applyFont="1" applyFill="1" applyBorder="1"/>
    <xf numFmtId="0" fontId="3" fillId="3" borderId="2" xfId="0" applyFont="1" applyFill="1" applyBorder="1" applyAlignment="1">
      <alignment horizontal="left" vertical="top" readingOrder="1"/>
    </xf>
    <xf numFmtId="9" fontId="3" fillId="3" borderId="62" xfId="3" applyFont="1" applyFill="1" applyBorder="1"/>
    <xf numFmtId="3" fontId="3" fillId="3" borderId="39" xfId="0" applyNumberFormat="1" applyFont="1" applyFill="1" applyBorder="1" applyAlignment="1">
      <alignment horizontal="right"/>
    </xf>
    <xf numFmtId="165" fontId="3" fillId="3" borderId="62" xfId="0" applyNumberFormat="1" applyFont="1" applyFill="1" applyBorder="1"/>
    <xf numFmtId="0" fontId="3" fillId="3" borderId="8" xfId="0" applyFont="1" applyFill="1" applyBorder="1" applyAlignment="1">
      <alignment horizontal="left" vertical="top" indent="1" readingOrder="1"/>
    </xf>
    <xf numFmtId="0" fontId="4" fillId="3" borderId="8" xfId="0" applyFont="1" applyFill="1" applyBorder="1" applyAlignment="1">
      <alignment horizontal="left" vertical="top" indent="5" readingOrder="1"/>
    </xf>
    <xf numFmtId="165" fontId="4" fillId="3" borderId="39" xfId="0" applyNumberFormat="1" applyFont="1" applyFill="1" applyBorder="1"/>
    <xf numFmtId="165" fontId="4" fillId="3" borderId="39" xfId="2" applyNumberFormat="1" applyFont="1" applyFill="1" applyBorder="1" applyAlignment="1">
      <alignment horizontal="right"/>
    </xf>
    <xf numFmtId="165" fontId="4" fillId="3" borderId="62" xfId="0" applyNumberFormat="1" applyFont="1" applyFill="1" applyBorder="1"/>
    <xf numFmtId="9" fontId="4" fillId="3" borderId="62" xfId="3" applyFont="1" applyFill="1" applyBorder="1"/>
    <xf numFmtId="9" fontId="4" fillId="3" borderId="62" xfId="3" applyFont="1" applyFill="1" applyBorder="1" applyAlignment="1">
      <alignment horizontal="right"/>
    </xf>
    <xf numFmtId="2" fontId="10" fillId="0" borderId="9" xfId="0" applyNumberFormat="1" applyFont="1" applyBorder="1" applyAlignment="1">
      <alignment horizontal="center" vertical="center"/>
    </xf>
    <xf numFmtId="3" fontId="10" fillId="0" borderId="9" xfId="1" applyNumberFormat="1" applyFont="1" applyBorder="1" applyAlignment="1">
      <alignment horizontal="center" vertical="center"/>
    </xf>
    <xf numFmtId="0" fontId="10" fillId="0" borderId="9" xfId="0" applyFont="1" applyBorder="1" applyAlignment="1">
      <alignment horizontal="center" vertical="center"/>
    </xf>
    <xf numFmtId="3" fontId="4" fillId="3" borderId="53" xfId="0" applyNumberFormat="1" applyFont="1" applyFill="1" applyBorder="1"/>
    <xf numFmtId="44" fontId="0" fillId="0" borderId="0" xfId="2" applyFont="1"/>
    <xf numFmtId="167" fontId="4" fillId="3" borderId="37" xfId="0" applyNumberFormat="1" applyFont="1" applyFill="1" applyBorder="1"/>
    <xf numFmtId="167" fontId="4" fillId="0" borderId="39" xfId="0" applyNumberFormat="1" applyFont="1" applyBorder="1"/>
    <xf numFmtId="0" fontId="15" fillId="0" borderId="0" xfId="0" applyFont="1"/>
    <xf numFmtId="3" fontId="3" fillId="3" borderId="49" xfId="0" applyNumberFormat="1" applyFont="1" applyFill="1" applyBorder="1"/>
    <xf numFmtId="3" fontId="0" fillId="0" borderId="0" xfId="0" applyNumberFormat="1" applyAlignment="1">
      <alignment horizontal="center"/>
    </xf>
    <xf numFmtId="9" fontId="0" fillId="0" borderId="0" xfId="3" applyFont="1" applyAlignment="1">
      <alignment horizontal="center"/>
    </xf>
    <xf numFmtId="167" fontId="0" fillId="0" borderId="0" xfId="0" applyNumberFormat="1" applyAlignment="1">
      <alignment horizontal="center"/>
    </xf>
    <xf numFmtId="0" fontId="15" fillId="13" borderId="1" xfId="0" applyFont="1" applyFill="1" applyBorder="1" applyAlignment="1">
      <alignment horizontal="centerContinuous"/>
    </xf>
    <xf numFmtId="0" fontId="0" fillId="3" borderId="0" xfId="0" applyFill="1" applyAlignment="1">
      <alignment horizontal="center"/>
    </xf>
    <xf numFmtId="0" fontId="0" fillId="3" borderId="0" xfId="0" applyFill="1"/>
    <xf numFmtId="0" fontId="15" fillId="3" borderId="4" xfId="0" applyFont="1" applyFill="1" applyBorder="1"/>
    <xf numFmtId="0" fontId="0" fillId="3" borderId="4" xfId="0" applyFill="1" applyBorder="1" applyAlignment="1">
      <alignment horizontal="center"/>
    </xf>
    <xf numFmtId="0" fontId="15" fillId="13" borderId="54" xfId="0" applyFont="1" applyFill="1" applyBorder="1" applyAlignment="1">
      <alignment horizontal="left"/>
    </xf>
    <xf numFmtId="165" fontId="15" fillId="13" borderId="55" xfId="0" applyNumberFormat="1" applyFont="1" applyFill="1" applyBorder="1" applyAlignment="1">
      <alignment horizontal="right"/>
    </xf>
    <xf numFmtId="0" fontId="15" fillId="3" borderId="9" xfId="0" applyFont="1" applyFill="1" applyBorder="1"/>
    <xf numFmtId="0" fontId="0" fillId="3" borderId="9" xfId="0" applyFill="1" applyBorder="1" applyAlignment="1">
      <alignment horizontal="center"/>
    </xf>
    <xf numFmtId="0" fontId="15" fillId="3" borderId="5" xfId="0" applyFont="1" applyFill="1" applyBorder="1" applyAlignment="1">
      <alignment horizontal="left"/>
    </xf>
    <xf numFmtId="0" fontId="15" fillId="3" borderId="5" xfId="0" applyFont="1" applyFill="1" applyBorder="1" applyAlignment="1">
      <alignment horizontal="center"/>
    </xf>
    <xf numFmtId="0" fontId="0" fillId="3" borderId="9" xfId="0" applyFill="1" applyBorder="1"/>
    <xf numFmtId="0" fontId="0" fillId="3" borderId="12" xfId="0" applyFill="1" applyBorder="1"/>
    <xf numFmtId="0" fontId="0" fillId="3" borderId="13" xfId="0" applyFill="1" applyBorder="1"/>
    <xf numFmtId="0" fontId="0" fillId="3" borderId="14" xfId="0" applyFill="1" applyBorder="1"/>
    <xf numFmtId="0" fontId="0" fillId="3" borderId="11" xfId="0" applyFill="1" applyBorder="1" applyAlignment="1">
      <alignment horizontal="left" indent="1"/>
    </xf>
    <xf numFmtId="0" fontId="0" fillId="3" borderId="11" xfId="0" applyFill="1" applyBorder="1" applyAlignment="1">
      <alignment horizontal="center"/>
    </xf>
    <xf numFmtId="9" fontId="0" fillId="3" borderId="11" xfId="3" applyFont="1" applyFill="1" applyBorder="1" applyAlignment="1">
      <alignment horizontal="center"/>
    </xf>
    <xf numFmtId="0" fontId="0" fillId="3" borderId="15" xfId="0" applyFill="1" applyBorder="1"/>
    <xf numFmtId="0" fontId="0" fillId="3" borderId="16" xfId="0" applyFill="1" applyBorder="1"/>
    <xf numFmtId="164" fontId="0" fillId="3" borderId="9" xfId="0" applyNumberFormat="1" applyFill="1" applyBorder="1" applyAlignment="1">
      <alignment horizontal="center"/>
    </xf>
    <xf numFmtId="0" fontId="0" fillId="3" borderId="9" xfId="0" applyFill="1" applyBorder="1" applyAlignment="1">
      <alignment horizontal="left" indent="1"/>
    </xf>
    <xf numFmtId="9" fontId="0" fillId="3" borderId="9" xfId="3" applyFont="1" applyFill="1" applyBorder="1" applyAlignment="1">
      <alignment horizontal="center"/>
    </xf>
    <xf numFmtId="3" fontId="0" fillId="3" borderId="9" xfId="0" applyNumberFormat="1" applyFill="1" applyBorder="1" applyAlignment="1">
      <alignment horizontal="center"/>
    </xf>
    <xf numFmtId="9" fontId="15" fillId="13" borderId="55" xfId="3" applyFont="1" applyFill="1" applyBorder="1" applyAlignment="1">
      <alignment horizontal="right"/>
    </xf>
    <xf numFmtId="0" fontId="0" fillId="3" borderId="17" xfId="0" applyFill="1" applyBorder="1" applyAlignment="1">
      <alignment horizontal="left" indent="1"/>
    </xf>
    <xf numFmtId="0" fontId="0" fillId="3" borderId="17" xfId="0" applyFill="1" applyBorder="1" applyAlignment="1">
      <alignment horizontal="center"/>
    </xf>
    <xf numFmtId="9" fontId="0" fillId="3" borderId="17" xfId="3" applyFont="1" applyFill="1" applyBorder="1" applyAlignment="1">
      <alignment horizontal="center"/>
    </xf>
    <xf numFmtId="4" fontId="0" fillId="3" borderId="9" xfId="0" applyNumberFormat="1" applyFill="1" applyBorder="1" applyAlignment="1">
      <alignment horizontal="center"/>
    </xf>
    <xf numFmtId="0" fontId="15" fillId="13" borderId="21" xfId="0" applyFont="1" applyFill="1" applyBorder="1" applyAlignment="1">
      <alignment horizontal="left"/>
    </xf>
    <xf numFmtId="0" fontId="15" fillId="13" borderId="21" xfId="0" applyFont="1" applyFill="1" applyBorder="1" applyAlignment="1">
      <alignment horizontal="center"/>
    </xf>
    <xf numFmtId="9" fontId="15" fillId="13" borderId="21" xfId="3" applyFont="1" applyFill="1" applyBorder="1" applyAlignment="1">
      <alignment horizontal="center"/>
    </xf>
    <xf numFmtId="0" fontId="15" fillId="3" borderId="22" xfId="0" applyFont="1" applyFill="1" applyBorder="1"/>
    <xf numFmtId="0" fontId="0" fillId="3" borderId="22" xfId="0" applyFill="1" applyBorder="1"/>
    <xf numFmtId="2" fontId="0" fillId="3" borderId="22" xfId="0" applyNumberFormat="1" applyFill="1" applyBorder="1" applyAlignment="1">
      <alignment horizontal="center"/>
    </xf>
    <xf numFmtId="0" fontId="15" fillId="3" borderId="0" xfId="0" applyFont="1" applyFill="1" applyAlignment="1">
      <alignment horizontal="left" vertical="top" indent="1" readingOrder="1"/>
    </xf>
    <xf numFmtId="3" fontId="0" fillId="3" borderId="22" xfId="0" applyNumberFormat="1" applyFill="1" applyBorder="1" applyAlignment="1">
      <alignment horizontal="center"/>
    </xf>
    <xf numFmtId="0" fontId="15" fillId="13" borderId="21" xfId="0" applyFont="1" applyFill="1" applyBorder="1" applyAlignment="1">
      <alignment horizontal="center" vertical="center"/>
    </xf>
    <xf numFmtId="0" fontId="15" fillId="13" borderId="31" xfId="0" applyFont="1" applyFill="1" applyBorder="1" applyAlignment="1">
      <alignment horizontal="center" vertical="center"/>
    </xf>
    <xf numFmtId="0" fontId="15" fillId="13" borderId="31" xfId="0" applyFont="1" applyFill="1" applyBorder="1" applyAlignment="1">
      <alignment horizontal="center" vertical="center" wrapText="1"/>
    </xf>
    <xf numFmtId="0" fontId="15" fillId="13" borderId="21" xfId="0" applyFont="1" applyFill="1" applyBorder="1" applyAlignment="1">
      <alignment horizontal="centerContinuous" vertical="center"/>
    </xf>
    <xf numFmtId="0" fontId="0" fillId="13" borderId="21" xfId="0" applyFill="1" applyBorder="1" applyAlignment="1">
      <alignment horizontal="centerContinuous" vertical="center"/>
    </xf>
    <xf numFmtId="0" fontId="0" fillId="3" borderId="4" xfId="0" applyFill="1" applyBorder="1" applyAlignment="1">
      <alignment horizontal="left" vertical="top" indent="3" readingOrder="1"/>
    </xf>
    <xf numFmtId="0" fontId="0" fillId="3" borderId="53" xfId="0" applyFill="1" applyBorder="1" applyAlignment="1">
      <alignment horizontal="center"/>
    </xf>
    <xf numFmtId="3" fontId="0" fillId="3" borderId="53" xfId="0" applyNumberFormat="1" applyFill="1" applyBorder="1" applyAlignment="1">
      <alignment horizontal="center"/>
    </xf>
    <xf numFmtId="3" fontId="0" fillId="3" borderId="53" xfId="0" applyNumberFormat="1" applyFill="1" applyBorder="1"/>
    <xf numFmtId="9" fontId="0" fillId="3" borderId="53" xfId="3" applyFont="1" applyFill="1" applyBorder="1" applyAlignment="1">
      <alignment horizontal="center"/>
    </xf>
    <xf numFmtId="3" fontId="0" fillId="3" borderId="53" xfId="0" applyNumberFormat="1" applyFill="1" applyBorder="1" applyAlignment="1">
      <alignment horizontal="right"/>
    </xf>
    <xf numFmtId="0" fontId="15" fillId="3" borderId="5" xfId="0" applyFont="1" applyFill="1" applyBorder="1" applyAlignment="1">
      <alignment horizontal="left" vertical="top" indent="1" readingOrder="1"/>
    </xf>
    <xf numFmtId="0" fontId="0" fillId="3" borderId="37" xfId="0" applyFill="1" applyBorder="1" applyAlignment="1">
      <alignment horizontal="center"/>
    </xf>
    <xf numFmtId="3" fontId="0" fillId="3" borderId="37" xfId="0" applyNumberFormat="1" applyFill="1" applyBorder="1"/>
    <xf numFmtId="9" fontId="0" fillId="3" borderId="37" xfId="3" applyFont="1" applyFill="1" applyBorder="1" applyAlignment="1">
      <alignment horizontal="center"/>
    </xf>
    <xf numFmtId="3" fontId="0" fillId="3" borderId="37" xfId="0" applyNumberFormat="1" applyFill="1" applyBorder="1" applyAlignment="1">
      <alignment horizontal="right"/>
    </xf>
    <xf numFmtId="165" fontId="15" fillId="3" borderId="5" xfId="0" applyNumberFormat="1" applyFont="1" applyFill="1" applyBorder="1"/>
    <xf numFmtId="0" fontId="0" fillId="3" borderId="17" xfId="0" applyFill="1" applyBorder="1"/>
    <xf numFmtId="0" fontId="0" fillId="3" borderId="19" xfId="0" applyFill="1" applyBorder="1" applyAlignment="1">
      <alignment horizontal="left" vertical="top" indent="3" readingOrder="1"/>
    </xf>
    <xf numFmtId="0" fontId="0" fillId="3" borderId="38" xfId="0" applyFill="1" applyBorder="1" applyAlignment="1">
      <alignment horizontal="center"/>
    </xf>
    <xf numFmtId="3" fontId="0" fillId="3" borderId="38" xfId="0" applyNumberFormat="1" applyFill="1" applyBorder="1" applyAlignment="1">
      <alignment horizontal="center"/>
    </xf>
    <xf numFmtId="3" fontId="0" fillId="3" borderId="38" xfId="0" applyNumberFormat="1" applyFill="1" applyBorder="1"/>
    <xf numFmtId="9" fontId="0" fillId="3" borderId="38" xfId="3" applyFont="1" applyFill="1" applyBorder="1" applyAlignment="1">
      <alignment horizontal="center"/>
    </xf>
    <xf numFmtId="0" fontId="0" fillId="3" borderId="19" xfId="0" applyFill="1" applyBorder="1"/>
    <xf numFmtId="4" fontId="0" fillId="3" borderId="38" xfId="0" applyNumberFormat="1" applyFill="1" applyBorder="1"/>
    <xf numFmtId="3" fontId="0" fillId="3" borderId="39" xfId="0" applyNumberFormat="1" applyFill="1" applyBorder="1" applyAlignment="1">
      <alignment horizontal="right"/>
    </xf>
    <xf numFmtId="0" fontId="0" fillId="3" borderId="9" xfId="0" applyFill="1" applyBorder="1" applyAlignment="1">
      <alignment horizontal="left" vertical="top" indent="3" readingOrder="1"/>
    </xf>
    <xf numFmtId="0" fontId="0" fillId="3" borderId="39" xfId="0" applyFill="1" applyBorder="1" applyAlignment="1">
      <alignment horizontal="center"/>
    </xf>
    <xf numFmtId="3" fontId="0" fillId="3" borderId="39" xfId="0" applyNumberFormat="1" applyFill="1" applyBorder="1" applyAlignment="1">
      <alignment horizontal="center"/>
    </xf>
    <xf numFmtId="3" fontId="0" fillId="3" borderId="39" xfId="0" applyNumberFormat="1" applyFill="1" applyBorder="1"/>
    <xf numFmtId="9" fontId="0" fillId="3" borderId="39" xfId="3" applyFont="1" applyFill="1" applyBorder="1" applyAlignment="1">
      <alignment horizontal="center"/>
    </xf>
    <xf numFmtId="0" fontId="0" fillId="3" borderId="33" xfId="0" applyFill="1" applyBorder="1" applyAlignment="1">
      <alignment horizontal="center"/>
    </xf>
    <xf numFmtId="3" fontId="0" fillId="3" borderId="33" xfId="0" applyNumberFormat="1" applyFill="1" applyBorder="1" applyAlignment="1">
      <alignment horizontal="center"/>
    </xf>
    <xf numFmtId="0" fontId="0" fillId="3" borderId="25" xfId="0" applyFill="1" applyBorder="1" applyAlignment="1">
      <alignment horizontal="left" vertical="top" indent="3" readingOrder="1"/>
    </xf>
    <xf numFmtId="0" fontId="0" fillId="3" borderId="50" xfId="0" applyFill="1" applyBorder="1" applyAlignment="1">
      <alignment horizontal="center"/>
    </xf>
    <xf numFmtId="3" fontId="0" fillId="3" borderId="50" xfId="0" applyNumberFormat="1" applyFill="1" applyBorder="1" applyAlignment="1">
      <alignment horizontal="center"/>
    </xf>
    <xf numFmtId="4" fontId="0" fillId="3" borderId="50" xfId="0" applyNumberFormat="1" applyFill="1" applyBorder="1"/>
    <xf numFmtId="9" fontId="0" fillId="3" borderId="50" xfId="3" applyFont="1" applyFill="1" applyBorder="1" applyAlignment="1">
      <alignment horizontal="center"/>
    </xf>
    <xf numFmtId="4" fontId="0" fillId="3" borderId="50" xfId="0" applyNumberFormat="1" applyFill="1" applyBorder="1" applyAlignment="1">
      <alignment horizontal="right"/>
    </xf>
    <xf numFmtId="4" fontId="0" fillId="3" borderId="39" xfId="0" applyNumberFormat="1" applyFill="1" applyBorder="1"/>
    <xf numFmtId="4" fontId="0" fillId="3" borderId="39" xfId="0" applyNumberFormat="1" applyFill="1" applyBorder="1" applyAlignment="1">
      <alignment horizontal="right"/>
    </xf>
    <xf numFmtId="3" fontId="0" fillId="3" borderId="37" xfId="0" applyNumberFormat="1" applyFill="1" applyBorder="1" applyAlignment="1">
      <alignment horizontal="center"/>
    </xf>
    <xf numFmtId="4" fontId="0" fillId="3" borderId="37" xfId="0" applyNumberFormat="1" applyFill="1" applyBorder="1"/>
    <xf numFmtId="4" fontId="0" fillId="3" borderId="37" xfId="0" applyNumberFormat="1" applyFill="1" applyBorder="1" applyAlignment="1">
      <alignment horizontal="right"/>
    </xf>
    <xf numFmtId="167" fontId="0" fillId="3" borderId="39" xfId="0" applyNumberFormat="1" applyFill="1" applyBorder="1"/>
    <xf numFmtId="167" fontId="0" fillId="3" borderId="38" xfId="0" applyNumberFormat="1" applyFill="1" applyBorder="1" applyAlignment="1">
      <alignment horizontal="right"/>
    </xf>
    <xf numFmtId="4" fontId="0" fillId="3" borderId="38" xfId="0" applyNumberFormat="1" applyFill="1" applyBorder="1" applyAlignment="1">
      <alignment horizontal="right"/>
    </xf>
    <xf numFmtId="44" fontId="0" fillId="3" borderId="9" xfId="2" applyFont="1" applyFill="1" applyBorder="1"/>
    <xf numFmtId="0" fontId="0" fillId="0" borderId="9" xfId="0" applyBorder="1" applyAlignment="1">
      <alignment horizontal="left" vertical="top" indent="3" readingOrder="1"/>
    </xf>
    <xf numFmtId="171" fontId="0" fillId="3" borderId="0" xfId="2" applyNumberFormat="1" applyFont="1" applyFill="1"/>
    <xf numFmtId="3" fontId="0" fillId="3" borderId="0" xfId="0" applyNumberFormat="1" applyFill="1"/>
    <xf numFmtId="171" fontId="0" fillId="3" borderId="0" xfId="0" applyNumberFormat="1" applyFill="1"/>
    <xf numFmtId="0" fontId="15" fillId="3" borderId="37" xfId="0" applyFont="1" applyFill="1" applyBorder="1" applyAlignment="1">
      <alignment horizontal="center"/>
    </xf>
    <xf numFmtId="0" fontId="0" fillId="3" borderId="63" xfId="0" applyFill="1" applyBorder="1" applyAlignment="1">
      <alignment horizontal="center" vertical="center"/>
    </xf>
    <xf numFmtId="0" fontId="0" fillId="3" borderId="1" xfId="0" applyFill="1" applyBorder="1" applyAlignment="1">
      <alignment horizontal="center" vertical="center"/>
    </xf>
    <xf numFmtId="0" fontId="0" fillId="3" borderId="64" xfId="0" applyFill="1" applyBorder="1" applyAlignment="1">
      <alignment horizontal="left" vertical="center"/>
    </xf>
    <xf numFmtId="0" fontId="0" fillId="3" borderId="0" xfId="0" applyFill="1" applyAlignment="1">
      <alignment horizontal="center" vertical="center"/>
    </xf>
    <xf numFmtId="43" fontId="0" fillId="3" borderId="64" xfId="1" applyFont="1" applyFill="1" applyBorder="1" applyAlignment="1">
      <alignment horizontal="center" vertical="center"/>
    </xf>
    <xf numFmtId="0" fontId="0" fillId="3" borderId="0" xfId="0" applyFill="1" applyAlignment="1">
      <alignment horizontal="left"/>
    </xf>
    <xf numFmtId="0" fontId="0" fillId="3" borderId="65" xfId="0" applyFill="1" applyBorder="1" applyAlignment="1">
      <alignment horizontal="left" vertical="center"/>
    </xf>
    <xf numFmtId="0" fontId="0" fillId="3" borderId="21" xfId="0" applyFill="1" applyBorder="1" applyAlignment="1">
      <alignment horizontal="center" vertical="center"/>
    </xf>
    <xf numFmtId="43" fontId="0" fillId="3" borderId="63" xfId="1" applyFont="1" applyFill="1" applyBorder="1" applyAlignment="1">
      <alignment horizontal="center" vertical="center"/>
    </xf>
    <xf numFmtId="0" fontId="0" fillId="3" borderId="63" xfId="0" applyFill="1" applyBorder="1"/>
    <xf numFmtId="0" fontId="0" fillId="3" borderId="64" xfId="0" applyFill="1" applyBorder="1"/>
    <xf numFmtId="2" fontId="0" fillId="3" borderId="0" xfId="0" applyNumberFormat="1" applyFill="1" applyAlignment="1">
      <alignment horizontal="center" vertical="center"/>
    </xf>
    <xf numFmtId="43" fontId="0" fillId="3" borderId="64" xfId="1" applyFont="1" applyFill="1" applyBorder="1"/>
    <xf numFmtId="0" fontId="0" fillId="3" borderId="65" xfId="0" applyFill="1" applyBorder="1"/>
    <xf numFmtId="2" fontId="0" fillId="3" borderId="21" xfId="0" applyNumberFormat="1" applyFill="1" applyBorder="1" applyAlignment="1">
      <alignment horizontal="center" vertical="center"/>
    </xf>
    <xf numFmtId="43" fontId="0" fillId="3" borderId="65" xfId="1" applyFont="1" applyFill="1" applyBorder="1"/>
    <xf numFmtId="1" fontId="0" fillId="3" borderId="0" xfId="0" applyNumberFormat="1" applyFill="1"/>
    <xf numFmtId="2" fontId="0" fillId="3" borderId="0" xfId="0" applyNumberFormat="1" applyFill="1"/>
    <xf numFmtId="169" fontId="0" fillId="3" borderId="17" xfId="0" applyNumberFormat="1" applyFill="1" applyBorder="1"/>
    <xf numFmtId="0" fontId="0" fillId="12" borderId="19" xfId="0" applyFill="1" applyBorder="1"/>
    <xf numFmtId="170" fontId="0" fillId="3" borderId="19" xfId="1" applyNumberFormat="1" applyFont="1" applyFill="1" applyBorder="1" applyAlignment="1">
      <alignment horizontal="left"/>
    </xf>
    <xf numFmtId="4" fontId="0" fillId="3" borderId="0" xfId="0" applyNumberFormat="1" applyFill="1"/>
    <xf numFmtId="167" fontId="0" fillId="3" borderId="39" xfId="0" applyNumberFormat="1" applyFill="1" applyBorder="1" applyAlignment="1">
      <alignment horizontal="center"/>
    </xf>
    <xf numFmtId="49" fontId="0" fillId="3" borderId="9" xfId="0" applyNumberFormat="1" applyFill="1" applyBorder="1" applyAlignment="1">
      <alignment horizontal="left" vertical="top" indent="3" readingOrder="1"/>
    </xf>
    <xf numFmtId="3" fontId="0" fillId="0" borderId="39" xfId="0" applyNumberFormat="1" applyBorder="1"/>
    <xf numFmtId="10" fontId="0" fillId="3" borderId="38" xfId="3" applyNumberFormat="1" applyFont="1" applyFill="1" applyBorder="1" applyAlignment="1">
      <alignment horizontal="center"/>
    </xf>
    <xf numFmtId="4" fontId="0" fillId="3" borderId="39" xfId="0" applyNumberFormat="1" applyFill="1" applyBorder="1" applyAlignment="1">
      <alignment horizontal="center"/>
    </xf>
    <xf numFmtId="174" fontId="0" fillId="3" borderId="39" xfId="3" applyNumberFormat="1" applyFont="1" applyFill="1" applyBorder="1" applyAlignment="1">
      <alignment horizontal="center"/>
    </xf>
    <xf numFmtId="3" fontId="0" fillId="3" borderId="0" xfId="0" applyNumberFormat="1" applyFill="1" applyAlignment="1">
      <alignment horizontal="center"/>
    </xf>
    <xf numFmtId="9" fontId="0" fillId="3" borderId="0" xfId="3" applyFont="1" applyFill="1" applyBorder="1" applyAlignment="1">
      <alignment horizontal="center"/>
    </xf>
    <xf numFmtId="165" fontId="15" fillId="3" borderId="0" xfId="0" applyNumberFormat="1" applyFont="1" applyFill="1"/>
    <xf numFmtId="0" fontId="15" fillId="13" borderId="41" xfId="0" applyFont="1" applyFill="1" applyBorder="1" applyAlignment="1">
      <alignment horizontal="left" vertical="top" readingOrder="1"/>
    </xf>
    <xf numFmtId="0" fontId="0" fillId="13" borderId="42" xfId="0" applyFill="1" applyBorder="1" applyAlignment="1">
      <alignment horizontal="center"/>
    </xf>
    <xf numFmtId="4" fontId="0" fillId="13" borderId="42" xfId="0" applyNumberFormat="1" applyFill="1" applyBorder="1"/>
    <xf numFmtId="9" fontId="0" fillId="13" borderId="42" xfId="3" applyFont="1" applyFill="1" applyBorder="1" applyAlignment="1">
      <alignment horizontal="center"/>
    </xf>
    <xf numFmtId="3" fontId="0" fillId="13" borderId="42" xfId="0" applyNumberFormat="1" applyFill="1" applyBorder="1"/>
    <xf numFmtId="165" fontId="15" fillId="13" borderId="41" xfId="0" applyNumberFormat="1" applyFont="1" applyFill="1" applyBorder="1"/>
    <xf numFmtId="0" fontId="0" fillId="13" borderId="41" xfId="0" applyFill="1" applyBorder="1"/>
    <xf numFmtId="9" fontId="0" fillId="3" borderId="0" xfId="3" applyFont="1" applyFill="1" applyAlignment="1">
      <alignment horizontal="center"/>
    </xf>
    <xf numFmtId="165" fontId="0" fillId="3" borderId="0" xfId="0" applyNumberFormat="1" applyFill="1"/>
    <xf numFmtId="0" fontId="0" fillId="3" borderId="43" xfId="0" applyFill="1" applyBorder="1" applyAlignment="1">
      <alignment horizontal="left" vertical="top" indent="1" readingOrder="1"/>
    </xf>
    <xf numFmtId="3" fontId="0" fillId="3" borderId="44" xfId="0" applyNumberFormat="1" applyFill="1" applyBorder="1" applyAlignment="1">
      <alignment horizontal="right"/>
    </xf>
    <xf numFmtId="0" fontId="15" fillId="3" borderId="12" xfId="0" applyFont="1" applyFill="1" applyBorder="1"/>
    <xf numFmtId="0" fontId="0" fillId="3" borderId="45" xfId="0" applyFill="1" applyBorder="1" applyAlignment="1">
      <alignment horizontal="left" vertical="top" indent="1" readingOrder="1"/>
    </xf>
    <xf numFmtId="3" fontId="0" fillId="3" borderId="46" xfId="0" applyNumberFormat="1" applyFill="1" applyBorder="1" applyAlignment="1">
      <alignment horizontal="right"/>
    </xf>
    <xf numFmtId="44" fontId="0" fillId="3" borderId="15" xfId="2" applyFont="1" applyFill="1" applyBorder="1"/>
    <xf numFmtId="44" fontId="0" fillId="3" borderId="16" xfId="0" applyNumberFormat="1" applyFill="1" applyBorder="1"/>
    <xf numFmtId="44" fontId="0" fillId="3" borderId="27" xfId="0" applyNumberFormat="1" applyFill="1" applyBorder="1"/>
    <xf numFmtId="0" fontId="0" fillId="3" borderId="28" xfId="0" applyFill="1" applyBorder="1"/>
    <xf numFmtId="44" fontId="0" fillId="3" borderId="0" xfId="0" applyNumberFormat="1" applyFill="1"/>
    <xf numFmtId="0" fontId="0" fillId="3" borderId="47" xfId="0" applyFill="1" applyBorder="1" applyAlignment="1">
      <alignment horizontal="left" vertical="top" indent="1" readingOrder="1"/>
    </xf>
    <xf numFmtId="3" fontId="0" fillId="3" borderId="48" xfId="0" applyNumberFormat="1" applyFill="1" applyBorder="1" applyAlignment="1">
      <alignment horizontal="right"/>
    </xf>
    <xf numFmtId="0" fontId="15" fillId="3" borderId="47" xfId="0" applyFont="1" applyFill="1" applyBorder="1" applyAlignment="1">
      <alignment horizontal="left" vertical="top" indent="1" readingOrder="1"/>
    </xf>
    <xf numFmtId="0" fontId="15" fillId="0" borderId="0" xfId="0" applyFont="1" applyAlignment="1">
      <alignment horizontal="center"/>
    </xf>
    <xf numFmtId="44" fontId="0" fillId="0" borderId="0" xfId="0" applyNumberFormat="1" applyAlignment="1">
      <alignment horizontal="center"/>
    </xf>
    <xf numFmtId="0" fontId="16" fillId="0" borderId="0" xfId="0" applyFont="1"/>
    <xf numFmtId="43" fontId="16" fillId="0" borderId="0" xfId="0" applyNumberFormat="1" applyFont="1" applyAlignment="1">
      <alignment horizontal="center"/>
    </xf>
    <xf numFmtId="44" fontId="25" fillId="0" borderId="0" xfId="2" applyFont="1"/>
    <xf numFmtId="44" fontId="15" fillId="0" borderId="0" xfId="0" applyNumberFormat="1" applyFont="1"/>
    <xf numFmtId="0" fontId="0" fillId="0" borderId="0" xfId="0" applyAlignment="1">
      <alignment horizontal="left"/>
    </xf>
    <xf numFmtId="4" fontId="10" fillId="14" borderId="19" xfId="0" applyNumberFormat="1" applyFont="1" applyFill="1" applyBorder="1" applyAlignment="1">
      <alignment horizontal="center" vertical="center"/>
    </xf>
    <xf numFmtId="3" fontId="10" fillId="14" borderId="9" xfId="1" applyNumberFormat="1" applyFont="1" applyFill="1" applyBorder="1" applyAlignment="1">
      <alignment horizontal="center" vertical="center"/>
    </xf>
    <xf numFmtId="2" fontId="10" fillId="14" borderId="9" xfId="0" applyNumberFormat="1" applyFont="1" applyFill="1" applyBorder="1" applyAlignment="1">
      <alignment horizontal="center" vertical="center"/>
    </xf>
    <xf numFmtId="3" fontId="10" fillId="14" borderId="9" xfId="0" applyNumberFormat="1" applyFont="1" applyFill="1" applyBorder="1" applyAlignment="1">
      <alignment horizontal="center" vertical="center"/>
    </xf>
    <xf numFmtId="0" fontId="10" fillId="14" borderId="9" xfId="0" applyFont="1" applyFill="1" applyBorder="1" applyAlignment="1">
      <alignment horizontal="center" vertical="center"/>
    </xf>
    <xf numFmtId="4" fontId="10" fillId="14" borderId="9" xfId="0" applyNumberFormat="1" applyFont="1" applyFill="1" applyBorder="1" applyAlignment="1">
      <alignment horizontal="center" vertical="center"/>
    </xf>
    <xf numFmtId="3" fontId="13" fillId="14" borderId="9" xfId="0" applyNumberFormat="1" applyFont="1" applyFill="1" applyBorder="1" applyAlignment="1">
      <alignment horizontal="center" vertical="center"/>
    </xf>
    <xf numFmtId="3" fontId="10" fillId="14" borderId="22" xfId="0" applyNumberFormat="1" applyFont="1" applyFill="1" applyBorder="1" applyAlignment="1">
      <alignment horizontal="center" vertical="center"/>
    </xf>
    <xf numFmtId="3" fontId="10" fillId="15" borderId="9" xfId="0" applyNumberFormat="1" applyFont="1" applyFill="1" applyBorder="1" applyAlignment="1">
      <alignment horizontal="center" vertical="center"/>
    </xf>
    <xf numFmtId="3" fontId="10" fillId="5" borderId="9" xfId="0" applyNumberFormat="1" applyFont="1" applyFill="1" applyBorder="1" applyAlignment="1">
      <alignment horizontal="center" vertical="center"/>
    </xf>
    <xf numFmtId="3" fontId="14" fillId="5" borderId="9" xfId="0" applyNumberFormat="1" applyFont="1" applyFill="1" applyBorder="1" applyAlignment="1">
      <alignment horizontal="center" vertical="center"/>
    </xf>
    <xf numFmtId="4" fontId="10" fillId="5" borderId="9" xfId="0" applyNumberFormat="1" applyFont="1" applyFill="1" applyBorder="1" applyAlignment="1">
      <alignment horizontal="center" vertical="center"/>
    </xf>
    <xf numFmtId="0" fontId="13" fillId="0" borderId="9" xfId="0" applyFont="1" applyBorder="1" applyAlignment="1">
      <alignment horizontal="center" vertical="center" readingOrder="1"/>
    </xf>
    <xf numFmtId="0" fontId="13" fillId="0" borderId="22" xfId="0" applyFont="1" applyBorder="1" applyAlignment="1">
      <alignment horizontal="center" vertical="center" readingOrder="1"/>
    </xf>
    <xf numFmtId="0" fontId="12" fillId="0" borderId="21" xfId="0" applyFont="1" applyBorder="1" applyAlignment="1">
      <alignment horizontal="center" vertical="center" wrapText="1"/>
    </xf>
    <xf numFmtId="0" fontId="12" fillId="0" borderId="21" xfId="0" applyFont="1" applyBorder="1" applyAlignment="1">
      <alignment horizontal="left" vertical="center" readingOrder="1"/>
    </xf>
    <xf numFmtId="165" fontId="10" fillId="0" borderId="21" xfId="0" applyNumberFormat="1" applyFont="1" applyBorder="1" applyAlignment="1">
      <alignment horizontal="right" vertical="center"/>
    </xf>
    <xf numFmtId="0" fontId="26" fillId="0" borderId="0" xfId="0" applyFont="1"/>
    <xf numFmtId="165" fontId="26" fillId="0" borderId="0" xfId="0" applyNumberFormat="1" applyFont="1" applyAlignment="1">
      <alignment horizontal="right" vertical="center"/>
    </xf>
    <xf numFmtId="0" fontId="26" fillId="0" borderId="0" xfId="0" applyFont="1" applyAlignment="1">
      <alignment horizontal="left" indent="2"/>
    </xf>
    <xf numFmtId="44" fontId="0" fillId="3" borderId="11" xfId="2" applyFont="1" applyFill="1" applyBorder="1" applyAlignment="1">
      <alignment horizontal="left"/>
    </xf>
    <xf numFmtId="0" fontId="0" fillId="3" borderId="9" xfId="0" applyFill="1" applyBorder="1" applyAlignment="1">
      <alignment horizontal="left"/>
    </xf>
    <xf numFmtId="0" fontId="0" fillId="3" borderId="9" xfId="0" applyFill="1" applyBorder="1" applyAlignment="1">
      <alignment horizontal="left" vertical="center"/>
    </xf>
    <xf numFmtId="0" fontId="0" fillId="3" borderId="11" xfId="0" applyFill="1" applyBorder="1" applyAlignment="1">
      <alignment horizontal="left"/>
    </xf>
    <xf numFmtId="0" fontId="3" fillId="9" borderId="54" xfId="0" applyFont="1" applyFill="1" applyBorder="1" applyAlignment="1">
      <alignment horizontal="center" wrapText="1"/>
    </xf>
    <xf numFmtId="0" fontId="3" fillId="9" borderId="36" xfId="0" applyFont="1" applyFill="1" applyBorder="1" applyAlignment="1">
      <alignment horizontal="center" wrapText="1"/>
    </xf>
    <xf numFmtId="0" fontId="4" fillId="3" borderId="8" xfId="0" applyFont="1" applyFill="1" applyBorder="1" applyAlignment="1">
      <alignment horizontal="left" vertical="center"/>
    </xf>
    <xf numFmtId="0" fontId="4" fillId="3" borderId="9" xfId="0" applyFont="1" applyFill="1" applyBorder="1" applyAlignment="1">
      <alignment horizontal="left" vertical="center"/>
    </xf>
    <xf numFmtId="0" fontId="4" fillId="3" borderId="10" xfId="0" applyFont="1" applyFill="1" applyBorder="1" applyAlignment="1">
      <alignment horizontal="left" vertical="center"/>
    </xf>
    <xf numFmtId="0" fontId="4" fillId="3" borderId="1" xfId="0" applyFont="1" applyFill="1" applyBorder="1" applyAlignment="1">
      <alignment horizontal="left" vertical="center"/>
    </xf>
    <xf numFmtId="0" fontId="4" fillId="3" borderId="3" xfId="0" applyFont="1" applyFill="1" applyBorder="1" applyAlignment="1">
      <alignment horizontal="left" vertical="center"/>
    </xf>
    <xf numFmtId="165" fontId="3" fillId="3" borderId="61" xfId="0" applyNumberFormat="1" applyFont="1" applyFill="1" applyBorder="1" applyAlignment="1">
      <alignment horizontal="center"/>
    </xf>
    <xf numFmtId="165" fontId="3" fillId="3" borderId="3" xfId="0" applyNumberFormat="1" applyFont="1" applyFill="1" applyBorder="1" applyAlignment="1">
      <alignment horizontal="center"/>
    </xf>
    <xf numFmtId="165" fontId="3" fillId="3" borderId="2" xfId="0" applyNumberFormat="1" applyFont="1" applyFill="1" applyBorder="1" applyAlignment="1">
      <alignment horizontal="center"/>
    </xf>
    <xf numFmtId="165" fontId="3" fillId="3" borderId="1" xfId="0" applyNumberFormat="1" applyFont="1" applyFill="1" applyBorder="1" applyAlignment="1">
      <alignment horizontal="center"/>
    </xf>
    <xf numFmtId="0" fontId="9" fillId="0" borderId="9" xfId="0" applyFont="1" applyBorder="1" applyAlignment="1">
      <alignment horizontal="left" wrapText="1"/>
    </xf>
  </cellXfs>
  <cellStyles count="4">
    <cellStyle name="Comma" xfId="1" builtinId="3"/>
    <cellStyle name="Currency" xfId="2" builtinId="4"/>
    <cellStyle name="Normal" xfId="0" builtinId="0"/>
    <cellStyle name="Percent" xfId="3" builtinId="5"/>
  </cellStyles>
  <dxfs count="244">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auto="1"/>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fill>
        <patternFill>
          <bgColor rgb="FFFFC7CE"/>
        </patternFill>
      </fill>
    </dxf>
    <dxf>
      <fill>
        <patternFill>
          <bgColor theme="4" tint="0.599963377788628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b/>
        <i val="0"/>
      </font>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rgb="FFFF0000"/>
        </patternFill>
      </fill>
    </dxf>
    <dxf>
      <font>
        <color auto="1"/>
      </font>
      <fill>
        <patternFill>
          <bgColor rgb="FFFF0000"/>
        </patternFill>
      </fill>
    </dxf>
    <dxf>
      <fill>
        <patternFill>
          <bgColor theme="3" tint="0.89996032593768116"/>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rgb="FFFF0000"/>
        </patternFill>
      </fill>
    </dxf>
    <dxf>
      <font>
        <color auto="1"/>
      </font>
      <fill>
        <patternFill>
          <bgColor rgb="FFFF0000"/>
        </patternFill>
      </fill>
    </dxf>
    <dxf>
      <fill>
        <patternFill>
          <bgColor theme="3" tint="0.89996032593768116"/>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b/>
        <i val="0"/>
      </font>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rgb="FFFF0000"/>
        </patternFill>
      </fill>
    </dxf>
    <dxf>
      <font>
        <color auto="1"/>
      </font>
      <fill>
        <patternFill>
          <bgColor rgb="FFFF0000"/>
        </patternFill>
      </fill>
    </dxf>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externalLink" Target="externalLinks/externalLink51.xml"/><Relationship Id="rId84"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74" Type="http://schemas.openxmlformats.org/officeDocument/2006/relationships/externalLink" Target="externalLinks/externalLink57.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44.xml"/><Relationship Id="rId82" Type="http://schemas.openxmlformats.org/officeDocument/2006/relationships/customXml" Target="../customXml/item1.xml"/><Relationship Id="rId19" Type="http://schemas.openxmlformats.org/officeDocument/2006/relationships/externalLink" Target="externalLinks/externalLink2.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56" Type="http://schemas.openxmlformats.org/officeDocument/2006/relationships/externalLink" Target="externalLinks/externalLink39.xml"/><Relationship Id="rId64" Type="http://schemas.openxmlformats.org/officeDocument/2006/relationships/externalLink" Target="externalLinks/externalLink47.xml"/><Relationship Id="rId69" Type="http://schemas.openxmlformats.org/officeDocument/2006/relationships/externalLink" Target="externalLinks/externalLink52.xml"/><Relationship Id="rId77" Type="http://schemas.openxmlformats.org/officeDocument/2006/relationships/externalLink" Target="externalLinks/externalLink60.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externalLink" Target="externalLinks/externalLink29.xml"/><Relationship Id="rId59" Type="http://schemas.openxmlformats.org/officeDocument/2006/relationships/externalLink" Target="externalLinks/externalLink42.xml"/><Relationship Id="rId67" Type="http://schemas.openxmlformats.org/officeDocument/2006/relationships/externalLink" Target="externalLinks/externalLink50.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54" Type="http://schemas.openxmlformats.org/officeDocument/2006/relationships/externalLink" Target="externalLinks/externalLink37.xml"/><Relationship Id="rId62" Type="http://schemas.openxmlformats.org/officeDocument/2006/relationships/externalLink" Target="externalLinks/externalLink45.xml"/><Relationship Id="rId70" Type="http://schemas.openxmlformats.org/officeDocument/2006/relationships/externalLink" Target="externalLinks/externalLink53.xml"/><Relationship Id="rId75" Type="http://schemas.openxmlformats.org/officeDocument/2006/relationships/externalLink" Target="externalLinks/externalLink58.xml"/><Relationship Id="rId83"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externalLink" Target="externalLinks/externalLink32.xml"/><Relationship Id="rId57" Type="http://schemas.openxmlformats.org/officeDocument/2006/relationships/externalLink" Target="externalLinks/externalLink40.xml"/><Relationship Id="rId10" Type="http://schemas.openxmlformats.org/officeDocument/2006/relationships/worksheet" Target="worksheets/sheet10.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52" Type="http://schemas.openxmlformats.org/officeDocument/2006/relationships/externalLink" Target="externalLinks/externalLink35.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73" Type="http://schemas.openxmlformats.org/officeDocument/2006/relationships/externalLink" Target="externalLinks/externalLink56.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externalLink" Target="externalLinks/externalLink59.xml"/><Relationship Id="rId7" Type="http://schemas.openxmlformats.org/officeDocument/2006/relationships/worksheet" Target="worksheets/sheet7.xml"/><Relationship Id="rId71" Type="http://schemas.openxmlformats.org/officeDocument/2006/relationships/externalLink" Target="externalLinks/externalLink54.xml"/><Relationship Id="rId2" Type="http://schemas.openxmlformats.org/officeDocument/2006/relationships/worksheet" Target="worksheets/sheet2.xml"/><Relationship Id="rId29" Type="http://schemas.openxmlformats.org/officeDocument/2006/relationships/externalLink" Target="externalLinks/externalLink12.xml"/><Relationship Id="rId24" Type="http://schemas.openxmlformats.org/officeDocument/2006/relationships/externalLink" Target="externalLinks/externalLink7.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66" Type="http://schemas.openxmlformats.org/officeDocument/2006/relationships/externalLink" Target="externalLinks/externalLink4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WINNT\Profiles\Charrison\Local%20Settings\Temporary%20Internet%20Files\OLKF\Accrexp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SSHORE\1996\96CAMEX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20-%20PRODUCTION\GM\Closed\Colorado%20&amp;%20Stewart%20Creative%20Office\Underwriting\AVI-JV-PROFORM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210\Corp%20File%20Share\PROJECT%20PROFORMAS\Models\Lennar%20VestaCalc%202006_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210\Corp%20File%20Share\A%20-%20PRODUCTION\GM\Closed\Colorado%20&amp;%20Stewart%20Creative%20Office\Underwriting\AVI-JV-PROFORM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ref-ntdata1\public\TEMP\EXCEL\BUDGETS\WCI98\CPM\CPM9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210\Corp%20File%20Share\A%20-%20Production\GM\Shaw's%20Marketplace%20-%20G&amp;K\Economics%20-%20Shaw's%20Marketplace%20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210\Corp%20File%20Share\PROJECT%20PROFORMAS\WIP\A%20PROJECTS%20PROFORMAS\Thunder%20Road\TIAA\PROJECT%20PROFORMAS\WIP\A%20PROJECTS%20PROFORMAS\Centennial%20Apts\Forward%20Commitment\Economics%20-%20Centennial%20by%20NewMark.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vation3\Windows\PMCOMMON\AMY\ldata\2002\02BUDGETS\02%20New%20product\02Positano\4171c.WK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Arby%20Riley%20Apartments%20BLM%20Pilot%20%232\Arby%20Riley%20Apts%20Proforma%20by%20ovation%20100%25%20@%2080%25AMI%20w%20HOM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Client%20mgt\Real%20Estate\SF\Real%20Estate\Templeton%20Group\Model\2004\Budget%20Rollup_v11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210\Corp%20File%20Share\A%20-%20PRODUCTION\BT\Active\BD%20Fox%20&amp;%20Freinds%20Building%20-%20Santa%20Monica\Underwriting\Economics.xl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210\Corp%20File%20Share\PROJECT%20PROFORMAS\Models\OVATION\Apts%20Proforma%20by%20Ovation%20v0207.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server210\PROJECT%20PROFORMAS\WIP\A%20PROJECTS%20PROFORMAS\Centennial%20Apts\Forward%20Commitment\Underwriting\PROJECT%20PROFORMAS\WIP\Existent%20Projects%20Refinancing%20&amp;%202nd%20Mortgages\Positano\Positano%20underwriting%20analysis%20by%20churchill.xls?69E4E299" TargetMode="External"/><Relationship Id="rId1" Type="http://schemas.openxmlformats.org/officeDocument/2006/relationships/externalLinkPath" Target="file:///\\69E4E299\Positano%20underwriting%20analysis%20by%20churchil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HUD%20Financing%20-%20Future%20Development\HUD%20221(d)(4)%20Apts%20Proforma%20by%20Ovation%20v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s.moyer347\My%20Documents\Company\Cost%20Analysis\2008\0787%20Alafia\Alafia%20Project%20Cost%20templat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WSPAVIL\97\WSPCAM9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TIAA\601TOWER\REPORTS\Closed%20Capit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ref-ntdata1\public\DATA96\MRR\96MAST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210\Corp%20File%20Share\RMW\SLR\SHARE\share\Best%20Practices%20Committee\A&amp;D%20Budget%20CshFlow%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AADATA\River%20Heights\River%20Heights\RIVERHTP\REPORTS\PROPMAN\ACCOUNTI\Month%20End\RH%20Bal%20Sheet%20Rec%20Form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210\Corp%20File%20Share\PROJECT%20PROFORMAS\Models\Lennar%20land%20mode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ref-ntdata1\public\TEMP\windows\TEMP\Budget%20Analysis\Scott\TrizecHahn\98BudTemp\Link\SOL98exp.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fi\sheet\Swapster\Market%20Data\Swapster%20Curv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ref-ntdata1\public\Budget%20Analysis\Scott\Westfield99\DOWNLOAD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rver210\Corp%20File%20Share\Documents%20and%20Settings\r.hazelton304\Local%20Settings\Temporary%20Internet%20Files\OLK63\HUD\HUD%20Apartmen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Duck%20Creek\PROFORMAS\Duck%20Creek%20Apts%20Proforma%20by%20Ovation%20v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ovation1-my.sharepoint.com/disbreq.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210\Corp%20File%20Share\ERIC\LDATA\PURCHASING\BIDS\Lone%20Mountain\Budget%20Projection%202005-06-1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SSRRealty\12600%20Whitewater\BankRec\13-524-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Accounting\COLUMBUS\Xee\Channingway%20Center\Reports\Monthend\Channingway%20Month%20End-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JANSS\96\MODEL96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GARDEN\1996\96TAX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erver210\Corp%20File%20Share\OVATION\Excel%20Files\DEPOSITS%20&amp;%20WIRES\OVATIONDEPOSI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Grand%20Canyon%20&amp;%20Trop\221d4\Due%20Dilligence\Example%20-%20HUD%202328%20201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erver210\PROJECT%20PROFORMAS\Investor%20Reports\Acapella\WIP\A%20PROJECTS%20PROFORMAS\Centennial%20Apts\Forward%20Commitment\Underwriting\PROJECT%20PROFORMAS\WIP\AA%20PROSPECTIVE%20NEW%20PROJECTS\Altessa\Altessa%20Underwritin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er210\Corp%20File%20Share\PROJECT%20PROFORMAS\WIP\A%20PROJECTS%20PROFORMAS\Centennial%20Apts\Forward%20Commitment\Underwriting\PROJECT%20PROFORMAS\WIP\AA%20PROSPECTIVE%20NEW%20PROJECTS\Altessa\Altessa%20Underwritin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sers\j.karim347\Desktop\Working%20Draft%20-%20Updated%20Report.xlsm"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https://lasvegasliving-my.sharepoint.com/personal/victora_ovationco_com/Documents/Desktop/Total/Proshine/Proposals/Proposal%20for%20Triple%207%20Moving%20Office%20Cleaning%2011-14-24.xlsx" TargetMode="External"/><Relationship Id="rId1" Type="http://schemas.openxmlformats.org/officeDocument/2006/relationships/externalLinkPath" Target="https://lasvegasliving-my.sharepoint.com/personal/victora_ovationco_com/Documents/Desktop/Total/Proshine/Proposals/Proposal%20for%20Triple%207%20Moving%20Office%20Cleaning%2011-14-24.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erver210\Corp%20File%20Share\A%20-%20Production\PW\1.%20Closed\Ezralow%20-%20Westlake%20Village%20Industrial%20Park\Underwriting%20&amp;%20Package\Underwriting%20-%20Westlake%20Village%20Industrial%20Park.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WIGGLE\CAM\3INS695.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er210\Corp%20File%20Share\A%20-%20Production\MR\ARA%20-%201515%20Wynkoop%20Substitution\Underwriting%20&amp;%20Package\Underwriting%20-%201515%20Wynkoop%20Substitutio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My%20Documents\Budget%20Rollup_Carefree%20v7%200922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Z:\A%20-%20Production\GM\ACTIVE\Brentwood%20Retail%20-%20Avi\Econ.Brentwood%20Retai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Lake%20Las%20Vegas%20Project\Lake%20Las%20Vegas%20Apts%20Proforma%20by%20Ovation%20(version%2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Duck%20Creek\PROFORMAS\Duck%20Creek%20Apts%20Proforma%20by%20Ovation%20v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Documents%20and%20Settings\s.moyer347\My%20Documents\Company\Cost%20Analysis\2007\0950%20Tuscany%20Villas\Tuscany%201%2018%2008%20Draft%20Lender's%20Cos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J:\Documents%20and%20Settings\nbk791d\Local%20Settings\Temporary%20Internet%20Files\OLK18\Model\LBO%20v.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Trop%20&amp;%20215%20Corner\Trop%20&amp;%20215%20Apts%20Proforma%20by%20Ovation%20v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erver210\Corp%20File%20Share\winnt\temp\notes2CBB50\Finance\Feasibility%20Studies\Greystone%20South%20Coast\Playa%20Vista\Playa%20Vista%20825%20VestaCalc%2011-20-03%2098.2%25%20of%20MRpr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USERS\KTR\Accounting\Peggy's%20Analysis\SunwestReno%20for%20PAM\Analysi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erver210\Corp%20File%20Share\Real%20Estate\Commercial%20Mortgage%20Backed%20Securities\San%20Francisco\Flatt\Deals%20by%20Borrower\Beckstrand\Old%20Mill%20II\Old%20Mill%20II%20Spreads%20BW.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Documents%20and%20Settings\feely\Local%20Settings\Temporary%20Internet%20Files\OLK6A\52399052660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Mailserver\accdata\Celine\Test%20Mall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erver210\Corp%20File%20Share\winnt\temp\notes2CBB50\Documents%20and%20Settings\drich\My%20Documents\Research\VestaCalc%202003_1.0W.xls" TargetMode="External"/></Relationships>
</file>

<file path=xl/externalLinks/_rels/externalLink56.xml.rels><?xml version="1.0" encoding="UTF-8" standalone="yes"?>
<Relationships xmlns="http://schemas.openxmlformats.org/package/2006/relationships"><Relationship Id="rId2" Type="http://schemas.microsoft.com/office/2019/04/relationships/externalLinkLongPath" Target="file:///N:\PROJECT%20PROFORMAS\WIP\A%20PROJECTS%20PROFORMAS\Centennial%20Apts\Forward%20Commitment\Underwriting\Documents%20and%20Settings\mitsanas\My%20Documents\gm%20special\GEORGE\GM\APARTS\70%20units%20torrance%20dcf%20&amp;%20cf\Apt%20Analysis%20DCF%20&amp;%20CF.xls?73C0CA52" TargetMode="External"/><Relationship Id="rId1" Type="http://schemas.openxmlformats.org/officeDocument/2006/relationships/externalLinkPath" Target="file:///\\73C0CA52\Apt%20Analysis%20DCF%20&amp;%20CF.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erver210\Corp%20File%20Share\ERIC\LDATA\PURCHASING\BIDS\Duck%20Creek\Budget%20Projection\Budget%20Projection%202008-11-10.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Renovations/Aspire%20at%20Tropicana/02%20-%20Projection%20Budgets%20&amp;%20Draws%20-%20MP/01%20-%20Pre-Construction%20Budgets/Construction%20Budget/JHREIG%20Multifamily%20VOTE1" TargetMode="External"/><Relationship Id="rId1" Type="http://schemas.openxmlformats.org/officeDocument/2006/relationships/externalLinkPath" Target="/sites/Construction/Shared%20Documents/Renovations/Aspire%20at%20Tropicana/02%20-%20Projection%20Budgets%20&amp;%20Draws%20-%20MP/01%20-%20Pre-Construction%20Budgets/Construction%20Budget/JHREIG%20Multifamily%20VOTE1" TargetMode="External"/></Relationships>
</file>

<file path=xl/externalLinks/_rels/externalLink59.xml.rels><?xml version="1.0" encoding="UTF-8" standalone="yes"?>
<Relationships xmlns="http://schemas.openxmlformats.org/package/2006/relationships"><Relationship Id="rId3" Type="http://schemas.openxmlformats.org/officeDocument/2006/relationships/externalLinkPath" Target="https://lasvegasliving.sharepoint.com/sites/OvationFiles/Shared%20Documents/Construction/Robindale%20&amp;%20215/02%20-%20Project%20Budgets%20&amp;%20Draws%20-%20MP/01%20-%20Pre-Construction%20Budgets/Construction%20budget/Level%201.1/Supporting%20documents/Budget%20-%20Robindale%20&amp;%20215%20-%20By%20Phases%207-19-24%20-%20SCENARIO%202B%20(Sumitted).xlsx" TargetMode="External"/><Relationship Id="rId2" Type="http://schemas.microsoft.com/office/2019/04/relationships/externalLinkLongPath" Target="Supporting%20documents/Budget%20-%20Robindale%20&amp;%20215%20-%20By%20Phases%207-19-24%20-%20SCENARIO%202B%20(Sumitted).xlsx?95333B3A" TargetMode="External"/><Relationship Id="rId1" Type="http://schemas.openxmlformats.org/officeDocument/2006/relationships/externalLinkPath" Target="file:///\\95333B3A\Budget%20-%20Robindale%20&amp;%20215%20-%20By%20Phases%207-19-24%20-%20SCENARIO%202B%20(Sumitted).xlsx" TargetMode="External"/></Relationships>
</file>

<file path=xl/externalLinks/_rels/externalLink60.xml.rels><?xml version="1.0" encoding="UTF-8" standalone="yes"?>
<Relationships xmlns="http://schemas.openxmlformats.org/package/2006/relationships"><Relationship Id="rId3" Type="http://schemas.openxmlformats.org/officeDocument/2006/relationships/externalLinkPath" Target="../../../../../../../OvationFiles/Shared%20Documents/Affordable%20Housing/1.%20New%20Developments/Robindale/Proformas/1.%20Models%20for%20RFP/Baseline/Robindale%20Proforma%20(Baseline)%20080124%20post_alan.xlsx" TargetMode="External"/><Relationship Id="rId2" Type="http://schemas.openxmlformats.org/officeDocument/2006/relationships/externalLinkPath" Target="https://lasvegasliving.sharepoint.com/sites/OvationFiles/Shared%20Documents/Affordable%20Housing/1.%20New%20Developments/Robindale/Proformas/1.%20Models%20for%20RFP/Baseline/Robindale%20Proforma%20(Baseline)%20080124%20post_alan.xlsx" TargetMode="External"/><Relationship Id="rId1" Type="http://schemas.openxmlformats.org/officeDocument/2006/relationships/externalLinkPath" Target="/sites/OvationFiles/Shared%20Documents/Affordable%20Housing/1.%20New%20Developments/Robindale/Proformas/1.%20Models%20for%20RFP/Baseline/Robindale%20Proforma%20(Baseline)%20080124%20post_a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T"/>
      <sheetName val="B"/>
      <sheetName val="Current"/>
      <sheetName val="NOV"/>
      <sheetName val="DEC"/>
      <sheetName val="JAN98"/>
      <sheetName val="feb98"/>
      <sheetName val="MAR98"/>
      <sheetName val="apr98"/>
      <sheetName val="MAY98"/>
      <sheetName val="JUN98"/>
      <sheetName val="Accrexp98"/>
      <sheetName val="Mgmt Fee Schd"/>
      <sheetName val="Lookup Values"/>
      <sheetName val="Mgmt_Fee_Schd"/>
      <sheetName val="CRITER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 STMT"/>
      <sheetName val="5CM95"/>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ssumptions"/>
      <sheetName val="Hen Scratchings"/>
      <sheetName val="Monthly Inputs"/>
      <sheetName val="Monthly Spreads"/>
      <sheetName val="AdminMonthly"/>
      <sheetName val="Formulas"/>
      <sheetName val="AdminDirConst"/>
      <sheetName val="Cover"/>
      <sheetName val="Sensitivity - Single"/>
      <sheetName val="Sensitivity - Dual"/>
      <sheetName val="Investment Overview"/>
      <sheetName val="Income Stmt Summ by Plan"/>
      <sheetName val="Profit Proforma by Plan"/>
      <sheetName val="Monthly Cash Flow"/>
      <sheetName val="Quarterly Cash Flow"/>
      <sheetName val="Annual Cash Flow"/>
      <sheetName val="P&amp;L Stmt."/>
      <sheetName val="Quarterly P&amp;L Stmt."/>
      <sheetName val="Annual P&amp;L Stmt."/>
      <sheetName val="Balance Sheet"/>
      <sheetName val="Quarterly Balance Sheet"/>
      <sheetName val="Annual Balance Sheet"/>
      <sheetName val="Essbase"/>
      <sheetName val="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HEDULE A"/>
      <sheetName val="SCHEDULE B+C"/>
      <sheetName val="SCHEDULE D"/>
      <sheetName val="SCHEDULE E "/>
      <sheetName val="SCHEDULE E (1)"/>
      <sheetName val="SCHEDULE F"/>
      <sheetName val="SCHEDULE G"/>
      <sheetName val="SCHEDULE H"/>
      <sheetName val="SCHEDULE J"/>
      <sheetName val="SCHEDULE 1"/>
      <sheetName val="SCHEDULE 2"/>
      <sheetName val="SCHEDULE 3 "/>
      <sheetName val="MARKETING II"/>
      <sheetName val="MARKETING III"/>
      <sheetName val="SCHEDULE A "/>
      <sheetName val="SCHEDULE B,C,MARKETING"/>
      <sheetName val="CURRENT INCOME SUMMARY"/>
      <sheetName val="SCHEDULE I"/>
      <sheetName val="SCHEDULE 3"/>
      <sheetName val="SCHEDULE B&amp;C"/>
      <sheetName val="SCHEDULE D1"/>
      <sheetName val="SCHEDULE E (2)"/>
      <sheetName val="SCHEDULE L"/>
      <sheetName val="5CM95"/>
      <sheetName val="Query"/>
    </sheetNames>
    <sheetDataSet>
      <sheetData sheetId="0"/>
      <sheetData sheetId="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Sum"/>
      <sheetName val="Rent_Roll"/>
      <sheetName val="Hist_Bdgt"/>
      <sheetName val="Lease_Exp"/>
      <sheetName val="Proforma"/>
      <sheetName val="Prepayment"/>
      <sheetName val="AMORT"/>
      <sheetName val="Cash Flow Analysis"/>
    </sheetNames>
    <sheetDataSet>
      <sheetData sheetId="0" refreshError="1"/>
      <sheetData sheetId="1" refreshError="1"/>
      <sheetData sheetId="2" refreshError="1"/>
      <sheetData sheetId="3" refreshError="1"/>
      <sheetData sheetId="4"/>
      <sheetData sheetId="5"/>
      <sheetData sheetId="6"/>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Summary"/>
      <sheetName val="UNIT MIX"/>
      <sheetName val="PRO FORMA"/>
      <sheetName val="holdback"/>
      <sheetName val="COST"/>
      <sheetName val="Exp Comps"/>
      <sheetName val="S&amp;U"/>
      <sheetName val="rent comps "/>
    </sheetNames>
    <sheetDataSet>
      <sheetData sheetId="0"/>
      <sheetData sheetId="1"/>
      <sheetData sheetId="2"/>
      <sheetData sheetId="3"/>
      <sheetData sheetId="4"/>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cost analysis"/>
      <sheetName val="project detail"/>
      <sheetName val="income basis"/>
      <sheetName val="income basis (use)"/>
      <sheetName val="income stmt yr0"/>
      <sheetName val="cf summary dist as apts"/>
      <sheetName val="cf summary dist as condo"/>
      <sheetName val="Sensitivity"/>
      <sheetName val="Sensitivity (IRR)"/>
      <sheetName val="annual inc stmt"/>
      <sheetName val="mo income stmt"/>
      <sheetName val="annual balance sheet"/>
      <sheetName val="balance sheet"/>
      <sheetName val="annual cash flow"/>
      <sheetName val="cash flow"/>
      <sheetName val="depreciation analysis"/>
      <sheetName val="tax analysis"/>
      <sheetName val="source &amp; uses mo sch"/>
      <sheetName val="% of completion"/>
      <sheetName val="ownership chart"/>
      <sheetName val="amr sch"/>
      <sheetName val="ovation orig. rents vs. cu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 Output--&gt;"/>
      <sheetName val="Summary"/>
      <sheetName val="__FDSCACHE__"/>
      <sheetName val="Price Per Unit"/>
      <sheetName val="Consolidated"/>
      <sheetName val="Cash Flows.CFVV"/>
      <sheetName val="Cash Flows.CFSH"/>
      <sheetName val="Cash Flows.CFSV"/>
      <sheetName val="Cash Flows.CFPUB"/>
      <sheetName val="Cash Flows.CFWH"/>
      <sheetName val="Cash Flows.CFEST"/>
      <sheetName val="Cash Flows.CFALX"/>
      <sheetName val="Cash Flows.CFPBL"/>
      <sheetName val="Cash Flows.CFOAK"/>
      <sheetName val="Cash Flows.CFN"/>
      <sheetName val="Cash Flows.CFW"/>
      <sheetName val="2003A Consol---&gt;"/>
      <sheetName val="CFVV 2003A Consol"/>
      <sheetName val="CFSH 2003A Consol"/>
      <sheetName val="CFSV 2003A Consol"/>
      <sheetName val="CFPUB 2003A Consol"/>
      <sheetName val="CFWH 2003A Consol"/>
      <sheetName val="CFEST 2003A Consol"/>
      <sheetName val="CFALX 2003A Consol"/>
      <sheetName val="CFPBL 2003A Consol"/>
      <sheetName val="CFOAK 2003A Conso"/>
      <sheetName val="2003A v 2003B"/>
      <sheetName val="2004B Consol---&gt;"/>
      <sheetName val="CFVV 2004B Consol"/>
      <sheetName val="CFSH 2004B Consol"/>
      <sheetName val="CFSV 2004B Consol"/>
      <sheetName val="CFPUB 2004B Consol"/>
      <sheetName val="CFWH 2004B Consol"/>
      <sheetName val="CFEST 2004B Consol"/>
      <sheetName val="CFALX 2004B Consol"/>
      <sheetName val="CFPBL 2004B Consol"/>
      <sheetName val="CFOAK 2004B Consol"/>
      <sheetName val="CFN 2004B Consol"/>
      <sheetName val="2004B Consol"/>
      <sheetName val="Projections 2005==&gt;"/>
      <sheetName val="2005E Consol"/>
      <sheetName val="2005E Assumptions"/>
      <sheetName val="CFVV 2005E"/>
      <sheetName val="CFSH 2005E"/>
      <sheetName val="CFSV 2005E"/>
      <sheetName val="CFPUB 2005E"/>
      <sheetName val="CFWH 2005E"/>
      <sheetName val="CFEST 2005E"/>
      <sheetName val="CFALX 2005E"/>
      <sheetName val="CFPBL 2005E"/>
      <sheetName val="CFOAK 2005E"/>
      <sheetName val="CFN 2005E"/>
      <sheetName val="CFW 2005E"/>
      <sheetName val="RI CFVV 2005"/>
      <sheetName val="RI CFSH 2005"/>
      <sheetName val="RI CFSV 2005"/>
      <sheetName val="RI CFPUB 2005"/>
      <sheetName val="RI CFWH 2005"/>
      <sheetName val="RI CFEST 2005"/>
      <sheetName val="RI CFALX 2005"/>
      <sheetName val="RI CFPBL 2005"/>
      <sheetName val="RI CFOAK 2005"/>
      <sheetName val="RI CFN 2005"/>
      <sheetName val="RI CFW 2005"/>
      <sheetName val="Backup==&gt;"/>
      <sheetName val="2003 IS"/>
      <sheetName val="CF 2002 for all props"/>
      <sheetName val="Unit Mix"/>
      <sheetName val="Capex"/>
      <sheetName val="CFVV Capex"/>
      <sheetName val="CFSH Capex"/>
      <sheetName val="CFSV Capex"/>
      <sheetName val="CFPUB Capex"/>
      <sheetName val="CFWH Capex"/>
      <sheetName val="CFEST Capex"/>
      <sheetName val="CFALX Capex"/>
      <sheetName val="CFPBL Capex"/>
      <sheetName val="CFOAK Capex"/>
      <sheetName val="Charts==&gt;"/>
      <sheetName val="Advertising Summary"/>
      <sheetName val="Occupancy"/>
      <sheetName val="Occupancy Summary"/>
      <sheetName val="Comparison"/>
      <sheetName val="2004B Assumptions"/>
      <sheetName val="CFVV----&gt;"/>
      <sheetName val="Cover. CFVV"/>
      <sheetName val="Yr vs Yr. CFVV"/>
      <sheetName val="CFVV 2004B"/>
      <sheetName val="Gross Potential-IND. CFVV 2004"/>
      <sheetName val="Rental Income-IND.CFVV 2004"/>
      <sheetName val="Misc. Income.CFVV"/>
      <sheetName val="Advertising.CFVV"/>
      <sheetName val="Activities Expenses.CFVV"/>
      <sheetName val="Repairs and Maintenance.CFVV"/>
      <sheetName val="Hsekpg &amp; Laundry.CFVV"/>
      <sheetName val="Vacancy Expenses.CFVV"/>
      <sheetName val="Personel Expenses.CFVV"/>
      <sheetName val="Payroll Burden.CFVV"/>
      <sheetName val="Other PR Expenses.CFVV"/>
      <sheetName val="G &amp; A Expenses.CFVV"/>
      <sheetName val="Fees, Taxes &amp; Insurance.CFVV"/>
      <sheetName val="CF SH-----&gt;"/>
      <sheetName val="Cover.CFSH"/>
      <sheetName val="Yr vs Yr.CFSH"/>
      <sheetName val="CFSH 2004B"/>
      <sheetName val="Gross Potential-IND.CFSH"/>
      <sheetName val="Rental Income-IND.CFSH 2004"/>
      <sheetName val="Misc. Income.CFSH"/>
      <sheetName val="Advertising.CFSH"/>
      <sheetName val="Activities Expenses.CFSH"/>
      <sheetName val="Repairs and Maintenance.CFSH"/>
      <sheetName val="Hsekpg &amp; Laundry.CFSH"/>
      <sheetName val="Vacancy Expenses.CFSH"/>
      <sheetName val="Personel Expenses.CFSH"/>
      <sheetName val="Payroll Burden.CFSH"/>
      <sheetName val="Other PR Expenses.CFSH"/>
      <sheetName val="G &amp; A Expenses.CFSH"/>
      <sheetName val="Fees, Taxes &amp; Insurance.CFSH"/>
      <sheetName val="CFSV----&gt; "/>
      <sheetName val="Cover.CFSV"/>
      <sheetName val="Yr vs Yr.CFSV"/>
      <sheetName val="CFSV 2004B"/>
      <sheetName val="Gross Potential-FS.CFSV"/>
      <sheetName val="Gross Potential-IND.CFSV"/>
      <sheetName val="Rental Income-IND.CFSV 2004"/>
      <sheetName val="Rental Income-FS.CFSV"/>
      <sheetName val="Extra Services Income.CFSV"/>
      <sheetName val="Misc. Income.CFSV"/>
      <sheetName val="Advertising.CFSV"/>
      <sheetName val="Utilities.CFSV"/>
      <sheetName val="Activities Expenses.CFSV"/>
      <sheetName val="Repairs and Maintenance.CFSV"/>
      <sheetName val="Food &amp; Other Dietary.CFSV"/>
      <sheetName val="Hsekpg &amp; Laundry.CFSV"/>
      <sheetName val="Vacancy Expenses.CFSV"/>
      <sheetName val="Personel Expenses.CFSV"/>
      <sheetName val="Payroll Burden.CFSV"/>
      <sheetName val="Other PR Expenses.CFSV"/>
      <sheetName val="G &amp; A Expenses.CFSV"/>
      <sheetName val="Taxes &amp; Insurance.CFSV"/>
      <sheetName val="CF PUB----&gt; "/>
      <sheetName val="Cover.CFPUB"/>
      <sheetName val="Yr vs Yr.CFPUB"/>
      <sheetName val="CFPUB 2004B"/>
      <sheetName val="Gross Potential-IND.CFPUB"/>
      <sheetName val="Gross Potential-FS.CFPUB"/>
      <sheetName val="Rental Income-FS.CFPUB"/>
      <sheetName val="Extra Services Income.CFPUB"/>
      <sheetName val="Misc. Income.CFPUB"/>
      <sheetName val="Advertising.CFPUB"/>
      <sheetName val="Utilities.CFPUB"/>
      <sheetName val="Activities Expenses.CFPUB"/>
      <sheetName val="Repairs and Maintenance.CFPUB"/>
      <sheetName val="Food &amp; Other Dietary.CFPUB"/>
      <sheetName val="Hsekpg &amp; Laundry.CFPUB"/>
      <sheetName val="Vacancy Expenses.CFPUB"/>
      <sheetName val="Personel Expenses.CFPUB"/>
      <sheetName val="Payroll Burden.CFPUB"/>
      <sheetName val="Other PR Expenses.CFPUB"/>
      <sheetName val="G &amp; A Expenses.CFPUB"/>
      <sheetName val="Fees, Taxes &amp; Insurance.CFPUB"/>
      <sheetName val="Rental Income-IND.CFPUB 2004"/>
      <sheetName val="CF WH----&gt;"/>
      <sheetName val="Cover.CFWH"/>
      <sheetName val="Yr vs Yr.CFWH"/>
      <sheetName val="CFWH 2004B"/>
      <sheetName val="Gross Potential-IND.CFWH"/>
      <sheetName val="Gross Potential-FS.CFWH"/>
      <sheetName val="Rental Income-IND.CFWH 2004"/>
      <sheetName val="Rental Income-FS.CFWH"/>
      <sheetName val="Extra Services Income.CFWH"/>
      <sheetName val="Misc. Income.CFWH"/>
      <sheetName val="Advertising.CFWH"/>
      <sheetName val="Utilities.CFWH"/>
      <sheetName val="Activities Expenses.CFWH"/>
      <sheetName val="Repairs and Maintenance.CFWH"/>
      <sheetName val="Food &amp; Other Dietary.CFWH"/>
      <sheetName val="Hsekpg &amp; Laundry.CFWH"/>
      <sheetName val="Vacancy Expenses.CFWH"/>
      <sheetName val="Personel Expenses.CFWH"/>
      <sheetName val="Payroll Burden.CFWH"/>
      <sheetName val="Other PR Expenses.CFWH"/>
      <sheetName val="G &amp; A Expenses.CFWH"/>
      <sheetName val="Fees, Taxes &amp; Insurance.CFWH"/>
      <sheetName val="CF EST----&gt;"/>
      <sheetName val="Cover.CFEST"/>
      <sheetName val="Yr vs Yr.CFEST"/>
      <sheetName val="Gross Potential-IND.CFEST"/>
      <sheetName val="CFEST 2004B"/>
      <sheetName val="Rental Income-FS.CFEST 2004"/>
      <sheetName val="Gross Potential-FS.CFEST"/>
      <sheetName val="Rental Income-IND.CFEST"/>
      <sheetName val="Extra Services Income.CFEST"/>
      <sheetName val="Misc. Income.CFEST"/>
      <sheetName val="Advertising.CFEST"/>
      <sheetName val="Utilities.CFEST"/>
      <sheetName val="Activities Expenses.CFEST"/>
      <sheetName val="Repairs and Maintenance.CFEST"/>
      <sheetName val="Food &amp; Other Dietary.CFEST"/>
      <sheetName val="Hsekpg &amp; Laundry.CFEST"/>
      <sheetName val="Vacancy Expenses.CFEST"/>
      <sheetName val="Personel Expenses.CFEST"/>
      <sheetName val="Payroll Burden.CFEST"/>
      <sheetName val="Other PR Expenses.CFEST"/>
      <sheetName val="G &amp; A Expenses.CFEST"/>
      <sheetName val="Fees, Taxes &amp; Insurance.CFEST"/>
      <sheetName val="CF ALX----&gt;"/>
      <sheetName val="Cover.CFALX"/>
      <sheetName val="Yr vs Yr.CFALX"/>
      <sheetName val="CFALX 2004B"/>
      <sheetName val="Gross Potential-IND.CFALX"/>
      <sheetName val="Gross Potential-FS.CFALX"/>
      <sheetName val="Rental Income-IND.CFALX 2004"/>
      <sheetName val="Rental Income-FS.CFALX"/>
      <sheetName val="Extra Services Income.CFALX"/>
      <sheetName val="Misc. Income.CFALX"/>
      <sheetName val="Advertising.CFALX"/>
      <sheetName val="Utilities.CFALX"/>
      <sheetName val="Activities Expenses.CFALX"/>
      <sheetName val="Repairs and Maintenance.CFALX"/>
      <sheetName val="Food &amp; Other Dietary.CFALX"/>
      <sheetName val="Hsekpg &amp; Laundry.CFALX"/>
      <sheetName val="Vacancy Expenses.CFALX"/>
      <sheetName val="Personel Expenses.CFALX"/>
      <sheetName val="Payroll Burden.CFALX"/>
      <sheetName val="Other PR Expenses.CFALX"/>
      <sheetName val="G &amp; A Expenses.CFALX"/>
      <sheetName val="Fees, Taxes &amp; Insurance.CFALX"/>
      <sheetName val="CF PBL----&gt;"/>
      <sheetName val="Cover.CFPBL"/>
      <sheetName val="Yr vs Yr.CFPBL"/>
      <sheetName val="CFPBL 2004B"/>
      <sheetName val="Gross Potential-IND.CFPBL"/>
      <sheetName val="Gross Potential-FS.CFPBL"/>
      <sheetName val="Rental Income-IND.CFPBL 2004"/>
      <sheetName val="Rental Income-FS.CFPBL"/>
      <sheetName val="Extra Services Income.CFPBL"/>
      <sheetName val="Misc. Income.CFPBL"/>
      <sheetName val="Advertising.CFPBL"/>
      <sheetName val="Utilities.CFPBL"/>
      <sheetName val="Activities Expenses.CFPBL"/>
      <sheetName val="Repairs and Maintenance.CFPBL"/>
      <sheetName val="Food &amp; Other Dietary.CFPBL"/>
      <sheetName val="Hsekpg &amp; Laundry.CFPBL"/>
      <sheetName val="Vacancy Expenses.CFPBL"/>
      <sheetName val="Personel Expenses.CFPBL"/>
      <sheetName val="Payroll Burden.CFPBL"/>
      <sheetName val="Other PR Expenses.CFPBL"/>
      <sheetName val="G &amp; A Expenses.CFPBL"/>
      <sheetName val="Fees, Taxes &amp; Insurance.CFPBL"/>
      <sheetName val="CF OAK----&gt;"/>
      <sheetName val="Cover.CFOAK"/>
      <sheetName val="Yr vs Yr.CFOAK"/>
      <sheetName val="Gross Potential-IND.CFOAK"/>
      <sheetName val="CFOAK 2004B"/>
      <sheetName val="Gross Potential-FS.CFOAK"/>
      <sheetName val="Rental Income-IND.CFOAK"/>
      <sheetName val="Rental Income-FS.CFOAK 2004"/>
      <sheetName val="Extra Services Income.CFOAK"/>
      <sheetName val="Misc. Income.CFOAK"/>
      <sheetName val="Advertising.CFOAK"/>
      <sheetName val="Utilities.CFOAK"/>
      <sheetName val="Activities Expenses.CFOAK"/>
      <sheetName val="Repairs and Maintenance.CFOAK"/>
      <sheetName val="Food &amp; Other Dietary.CFOAK"/>
      <sheetName val="Hsekpg &amp; Laundry.CFOAK"/>
      <sheetName val="Vacancy Expenses.CFOAK"/>
      <sheetName val="Personel Expenses.CFOAK"/>
      <sheetName val="Payroll Burden.CFOAK"/>
      <sheetName val="Other PR Expenses.CFOAK"/>
      <sheetName val="G &amp; A Expenses.CFOAK"/>
      <sheetName val="Fees, Taxes &amp; Insurance.CFOAK"/>
      <sheetName val="CF N----&gt;"/>
      <sheetName val="CFN 2004B"/>
      <sheetName val="Gross Potential-FS.CFN"/>
      <sheetName val="Rental Income-FS.CFN 2004"/>
      <sheetName val="CF W-----&gt;"/>
      <sheetName val="CFW 2004B"/>
      <sheetName val="Gross Potential-FS.CFW"/>
      <sheetName val="Rental Income-FS.CFW 2004"/>
      <sheetName val="W Budget Stbl"/>
      <sheetName val="W Gross Potential Stbl"/>
      <sheetName val="W Rental Income Stbl"/>
      <sheetName val="W Misc. Income Stbl"/>
      <sheetName val="W Advertising Stl"/>
      <sheetName val="W Utilities Stbl"/>
      <sheetName val="W Activities Expenses Stbl"/>
      <sheetName val="W Repairs and Maintenance Stbl"/>
      <sheetName val="W Vacancy Expenses Stbl"/>
      <sheetName val="W Personel Expenses Stbl"/>
      <sheetName val="W Payroll Burden Stbl"/>
      <sheetName val="W Other PR Expenses Stbl"/>
      <sheetName val="W G &amp; A Expenses Stbl"/>
      <sheetName val="W Taxes &amp; Insurance Stbl"/>
      <sheetName val="2003 Actuals==&gt;"/>
      <sheetName val="CFVV 2003A"/>
      <sheetName val="CFSH 2003A"/>
      <sheetName val="CFSV 2003A"/>
      <sheetName val="CFPUB 2003A"/>
      <sheetName val="CFWH 2003A"/>
      <sheetName val="CFEST 2003A"/>
      <sheetName val="CFALX 2003A"/>
      <sheetName val="CFPBL 2003A"/>
      <sheetName val="CFOAK 2003A"/>
      <sheetName val="Misc. Income.CFN"/>
      <sheetName val="Advertising.CFN"/>
      <sheetName val="Utilities.CFN"/>
      <sheetName val="Activities Expenses.CFN"/>
      <sheetName val="Repairs and Maintenance.CFN"/>
      <sheetName val="Guest Suite Expense.CFN"/>
      <sheetName val="Vacancy Expenses.CFN"/>
      <sheetName val="Personel Expenses.CFN"/>
      <sheetName val="Sheet1.CFN"/>
      <sheetName val="Payroll Burden.CFN"/>
      <sheetName val="Other PR Expenses.CFN"/>
      <sheetName val="G &amp; A Expenses.CFN"/>
      <sheetName val="Taxes &amp; Insurance.CFN"/>
      <sheetName val="Extra Services Income.CFW"/>
      <sheetName val="Misc. Income.CFW"/>
      <sheetName val="Advertising.CFW"/>
      <sheetName val="Utilities.CFW"/>
      <sheetName val="Activities Expenses.CFW"/>
      <sheetName val="Repairs and Maintenance.CFW"/>
      <sheetName val="Food &amp; Other Dietary.CFW"/>
      <sheetName val="Hskpg &amp; Laundry.CFW"/>
      <sheetName val="Vacancy Expenses.CFW"/>
      <sheetName val="Personel Expenses.CFW"/>
      <sheetName val="Payroll Burden.CFW"/>
      <sheetName val="Other PR Expenses.CFW"/>
      <sheetName val="G &amp; A Expenses.CFW"/>
      <sheetName val="Taxes &amp; Insurance.CF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
      <sheetName val="Inv. Summary"/>
      <sheetName val="Rent Roll"/>
      <sheetName val="Proforma"/>
      <sheetName val="Source &amp; Use"/>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interest reserve cal"/>
      <sheetName val="cost analysis"/>
      <sheetName val="project detail"/>
      <sheetName val="fee calculation"/>
      <sheetName val="based rents"/>
      <sheetName val="income stmt yr0"/>
      <sheetName val="cf summary dist as apts"/>
      <sheetName val="buyout valuation"/>
      <sheetName val="Sensitivity"/>
      <sheetName val="Sensitivity (IRR)"/>
      <sheetName val="annual inc stmt"/>
      <sheetName val="annual balance sheet"/>
      <sheetName val="annual cash flow"/>
      <sheetName val="depreciation analysis"/>
      <sheetName val="mo income stmt"/>
      <sheetName val="balance sheet"/>
      <sheetName val="cash flow"/>
      <sheetName val="source &amp; uses mo sch"/>
      <sheetName val="% of completion"/>
      <sheetName val="ownership chart"/>
      <sheetName val="amr sch"/>
      <sheetName val="CHECK"/>
      <sheetName val="ovation orig. rents vs. curr"/>
      <sheetName val="cf summary dist as condo"/>
      <sheetName val="tax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Information"/>
      <sheetName val="Rent Roll Analysis"/>
      <sheetName val="Underwriting"/>
      <sheetName val="Loan Summary"/>
      <sheetName val="Spread-Cap Rate Matrix"/>
      <sheetName val="unmapped sheet"/>
      <sheetName val="JHDropdowns"/>
      <sheetName val="LaunchingPad"/>
      <sheetName val="GlobalInfo"/>
      <sheetName val="Dropdowns"/>
      <sheetName val="RangeNameInfo"/>
      <sheetName val="RentRoll_Import"/>
      <sheetName val="RentRoll_Export"/>
      <sheetName val="_EXICashFlowImport"/>
      <sheetName val="_EXICashFlowExport"/>
      <sheetName val="_EXIChartOfAccounts"/>
      <sheetName val="_EXIFunnelImport"/>
      <sheetName val="_EXIFunnelEx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1d4"/>
      <sheetName val="CHECK"/>
      <sheetName val="Assumptions"/>
      <sheetName val="INDEX"/>
      <sheetName val="Table of Contents"/>
      <sheetName val="Table of Contents (2)"/>
      <sheetName val="Investment Summary"/>
      <sheetName val="Investment Summary (5yr)"/>
      <sheetName val="Investment Analysis"/>
      <sheetName val="CF Dist Analysis"/>
      <sheetName val="CF Dist Analysis (5yr)"/>
      <sheetName val="sources &amp; uses"/>
      <sheetName val="HUD budget"/>
      <sheetName val="Mortgage (FHA) (2)"/>
      <sheetName val="perm loan"/>
      <sheetName val="cost analysis"/>
      <sheetName val="bank loan budget"/>
      <sheetName val="interest reserve cal"/>
      <sheetName val="fee calculation"/>
      <sheetName val="project detail"/>
      <sheetName val="base rents"/>
      <sheetName val="income stmt yr0"/>
      <sheetName val="Const Loan (0)"/>
      <sheetName val="FMV Analysis"/>
      <sheetName val="site detail"/>
      <sheetName val="Const Loan (1)"/>
      <sheetName val="Sensitivity"/>
      <sheetName val="Sensitivity (3)"/>
      <sheetName val="Sensitivity (4)"/>
      <sheetName val="Sensitivity (5)"/>
      <sheetName val="annual inc stmt"/>
      <sheetName val="annual balance sheet"/>
      <sheetName val="annual cash flow"/>
      <sheetName val="depreciation analysis"/>
      <sheetName val="tax analysis"/>
      <sheetName val="ownership chart"/>
      <sheetName val="summary (v5)"/>
      <sheetName val="Bank budgets"/>
      <sheetName val="budgets (v5)"/>
      <sheetName val="CF Split (V5)"/>
      <sheetName val="interest reserve cal (v1)"/>
      <sheetName val="mo income stmt"/>
      <sheetName val="balance sheet"/>
      <sheetName val="cash flow"/>
      <sheetName val="amr sch"/>
      <sheetName val="source &amp; uses mo sch"/>
      <sheetName val="% of completion"/>
      <sheetName val="&lt;&gt;"/>
      <sheetName val="Const Loan"/>
      <sheetName val="Appraisal (0)"/>
      <sheetName val="perm loa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sheetName val="SF Values"/>
      <sheetName val="D3G MF Bldg Comps"/>
      <sheetName val="Site Cost Data"/>
      <sheetName val="Architect Fee Calc"/>
      <sheetName val="Other Fees"/>
      <sheetName val="Not Used1"/>
      <sheetName val="92326 Master"/>
      <sheetName val="92326 AT"/>
      <sheetName val="92326 BA"/>
      <sheetName val="92326 BB"/>
      <sheetName val="92326 BT"/>
      <sheetName val="92326 C"/>
      <sheetName val="92326 Lease"/>
      <sheetName val="92326 GR7"/>
      <sheetName val="92326 GR6SH"/>
      <sheetName val="92326 GR12"/>
      <sheetName val="D3G LI"/>
      <sheetName val="92331-B"/>
      <sheetName val="2328 Master"/>
      <sheetName val="2328 TYPE A"/>
      <sheetName val="2328 TYPE B"/>
      <sheetName val="2328 TYPE 1"/>
      <sheetName val="2328 TYPE 2"/>
      <sheetName val="2328 TYPE 3"/>
      <sheetName val="2328 CLUBHOUSE"/>
      <sheetName val="2328 LI"/>
      <sheetName val="2328 GR"/>
      <sheetName val="92329-Work"/>
      <sheetName val="92329"/>
      <sheetName val="Site Info"/>
      <sheetName val="92264 Section G"/>
      <sheetName val="92264 Section M CNA"/>
      <sheetName val="226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_96 CAM"/>
      <sheetName val="CAMINVBU"/>
    </sheetNames>
    <sheetDataSet>
      <sheetData sheetId="0"/>
      <sheetData sheetId="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P (2)"/>
      <sheetName val="MERCK"/>
      <sheetName val="FIRST P"/>
      <sheetName val="CHEESB"/>
      <sheetName val="OMNI"/>
      <sheetName val="OMNI (2)"/>
      <sheetName val="WALDEN"/>
      <sheetName val="FORCE"/>
      <sheetName val="INCREDBL"/>
      <sheetName val="MASTER"/>
      <sheetName val="KOSIERADZKI"/>
      <sheetName val="WALDENEXP"/>
      <sheetName val="BRDG DTA"/>
      <sheetName val="STWRT TTLE"/>
      <sheetName val="TRNSMRCA"/>
      <sheetName val="LEONE"/>
      <sheetName val="TWOS"/>
      <sheetName val="CAST"/>
      <sheetName val="MAIRE"/>
      <sheetName val="PAIDP"/>
      <sheetName val="INFORMIX"/>
      <sheetName val="MAINWR"/>
      <sheetName val="NORTHC"/>
      <sheetName val="PAID PRES EXP"/>
      <sheetName val="KNAPPENBERGER"/>
      <sheetName val="INFORMIX-GILMAN"/>
      <sheetName val="Sheet1"/>
      <sheetName val="Sheet2"/>
      <sheetName val="Sheet3"/>
      <sheetName val="12_96 CAM"/>
      <sheetName val="CAMINVBU"/>
      <sheetName val="RECONCILIATION"/>
      <sheetName val="Sch01"/>
      <sheetName val="1120 Pg1"/>
      <sheetName val="Assumptions"/>
      <sheetName val="FIRST_P_(2)"/>
      <sheetName val="FIRST_P"/>
      <sheetName val="OMNI_(2)"/>
      <sheetName val="BRDG_DTA"/>
      <sheetName val="STWRT_TTLE"/>
      <sheetName val="PAID_PRES_EXP"/>
      <sheetName val="12_96_CAM"/>
      <sheetName val="1120_Pg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96"/>
      <sheetName val="EA96"/>
      <sheetName val="EGR96"/>
      <sheetName val="ENF96"/>
      <sheetName val="GSP96"/>
      <sheetName val="MER96"/>
      <sheetName val="MID96"/>
      <sheetName val="MON96"/>
      <sheetName val="MVC96"/>
      <sheetName val="PBO96"/>
      <sheetName val="PCR96"/>
      <sheetName val="CRITERIA1"/>
      <sheetName val="BRDG DTA"/>
      <sheetName val="CAST"/>
      <sheetName val="CHEESB"/>
      <sheetName val="FIRST P"/>
      <sheetName val="FORCE"/>
      <sheetName val="INCREDBL"/>
      <sheetName val="INFORMIX"/>
      <sheetName val="LEONE"/>
      <sheetName val="MAIRE"/>
      <sheetName val="MAINWR"/>
      <sheetName val="MASTER"/>
      <sheetName val="MERCK"/>
      <sheetName val="NORTHC"/>
      <sheetName val="OMNI"/>
      <sheetName val="PAIDP"/>
      <sheetName val="STWRT TTLE"/>
      <sheetName val="TRNSMRCA"/>
      <sheetName val="TWOS"/>
      <sheetName val="WALDEN"/>
      <sheetName val="WALDENEXP"/>
      <sheetName val="File Admin"/>
      <sheetName val="Sheet2"/>
      <sheetName val="Common Area Maintenance"/>
      <sheetName val="Gen-Info"/>
      <sheetName val="npv"/>
      <sheetName val="DETAIL"/>
      <sheetName val="RENT"/>
      <sheetName val="Inputs (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3"/>
    </sheetNames>
    <sheetDataSet>
      <sheetData sheetId="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Rec"/>
      <sheetName val="Checklist"/>
      <sheetName val="Cover"/>
      <sheetName val="Contact"/>
      <sheetName val="Table of Cont"/>
      <sheetName val="Mgmt fees"/>
      <sheetName val="Dues"/>
      <sheetName val="AR "/>
      <sheetName val="Other Assets"/>
      <sheetName val="Payee 1"/>
      <sheetName val="Payee 2"/>
      <sheetName val="Payee 3"/>
      <sheetName val="RE"/>
      <sheetName val="RE Taxes"/>
      <sheetName val="Variance"/>
      <sheetName val="JE FORM"/>
      <sheetName val="Inc Rec"/>
      <sheetName val="Cash Flow"/>
      <sheetName val="Corp. Recvbl Recon."/>
      <sheetName val="Bte. Recon."/>
      <sheetName val="Instructions"/>
      <sheetName val="BRDG DTA"/>
      <sheetName val="CAST"/>
      <sheetName val="CHEESB"/>
      <sheetName val="FIRST P"/>
      <sheetName val="FORCE"/>
      <sheetName val="INCREDBL"/>
      <sheetName val="INFORMIX"/>
      <sheetName val="LEONE"/>
      <sheetName val="MAIRE"/>
      <sheetName val="MAINWR"/>
      <sheetName val="MASTER"/>
      <sheetName val="MERCK"/>
      <sheetName val="NORTHC"/>
      <sheetName val="OMNI"/>
      <sheetName val="PAIDP"/>
      <sheetName val="STWRT TTLE"/>
      <sheetName val="TRNSMRCA"/>
      <sheetName val="TWOS"/>
      <sheetName val="WALDEN"/>
      <sheetName val="WALDENEXP"/>
      <sheetName val="CB Dump"/>
      <sheetName val="Sheet2"/>
      <sheetName val="Cover Sheet"/>
      <sheetName val="#REF"/>
      <sheetName val="7"/>
      <sheetName val="6"/>
      <sheetName val="9"/>
      <sheetName val="14"/>
      <sheetName val="11"/>
      <sheetName val="Contents"/>
      <sheetName val="TAXES P9.1"/>
      <sheetName val="Rent Roll P8"/>
      <sheetName val="Lease Commission P10.5"/>
      <sheetName val="Vacancy Loss"/>
      <sheetName val="PCR96"/>
      <sheetName val="MVC96"/>
      <sheetName val="Bank_Rec"/>
      <sheetName val="Table_of_Cont"/>
      <sheetName val="Mgmt_fees"/>
      <sheetName val="AR_"/>
      <sheetName val="Other_Assets"/>
      <sheetName val="Payee_1"/>
      <sheetName val="Payee_2"/>
      <sheetName val="Payee_3"/>
      <sheetName val="RE_Taxes"/>
      <sheetName val="JE_FORM"/>
      <sheetName val="Inc_Rec"/>
      <sheetName val="Cash_Flow"/>
      <sheetName val="Corp__Recvbl_Recon_"/>
      <sheetName val="Bte__Recon_"/>
      <sheetName val="BRDG_DTA"/>
      <sheetName val="FIRST_P"/>
      <sheetName val="STWRT_TTLE"/>
      <sheetName val="CB_Dump"/>
      <sheetName val="Cover_Sheet"/>
      <sheetName val="TAXES_P9_1"/>
      <sheetName val="Rent_Roll_P8"/>
      <sheetName val="Lease_Commission_P10_5"/>
      <sheetName val="Copp mgt fee"/>
      <sheetName val="Amortization Schedule"/>
      <sheetName val="ORGANIZ. COSTS"/>
      <sheetName val="Basic Input Sheet"/>
      <sheetName val="File Admin"/>
      <sheetName val="BKREC"/>
      <sheetName val="TAX"/>
      <sheetName val="0900"/>
      <sheetName val="Data"/>
      <sheetName val="Allowance"/>
      <sheetName val="BS &amp; 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Assumptions"/>
      <sheetName val="Product Desc"/>
      <sheetName val="Land Residual - SFD"/>
      <sheetName val="Land Residual - SFA"/>
      <sheetName val="Absorption"/>
      <sheetName val="Costing"/>
      <sheetName val="Inv Overview"/>
      <sheetName val="Monthly Cash Flow"/>
      <sheetName val="Quarterly Cash Flow"/>
      <sheetName val="Annual Cash Flow"/>
      <sheetName val="Monthly Fin Stmt"/>
      <sheetName val="3rd Party Financing"/>
      <sheetName val="Tierred Return"/>
      <sheetName val="Tiered Returns 2"/>
      <sheetName val="Tiered Return 3"/>
      <sheetName val="Tiered Return"/>
      <sheetName val="Residual Revenue"/>
      <sheetName val="Diagnostic"/>
      <sheetName val="Inflation"/>
      <sheetName val="Formulas"/>
      <sheetName val="Finance"/>
      <sheetName val="LIBOR Forwards"/>
      <sheetName val="Monthly Fin Stmt (Internal)"/>
      <sheetName val="Homebuilding Closings"/>
      <sheetName val="GEN_INFO"/>
      <sheetName val="JV_INFO"/>
      <sheetName val="BY_PARCEL"/>
      <sheetName val="BY_QUARTER"/>
      <sheetName val="HS_BY_PHASE"/>
      <sheetName val="Chart"/>
      <sheetName val="Defaults"/>
      <sheetName val="Summary CF"/>
      <sheetName val="Variance"/>
      <sheetName val="Notes"/>
      <sheetName val="Design Ch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HEDULE A"/>
      <sheetName val="SCHEDULE B&amp;C"/>
      <sheetName val="SCHEDULE D"/>
      <sheetName val="SCHEDULE D1"/>
      <sheetName val="SCHEDULE E "/>
      <sheetName val="SCHEDULE E (1)"/>
      <sheetName val="SCHEDULE F"/>
      <sheetName val="SCHEDULE G"/>
      <sheetName val="SCHEDULE H"/>
      <sheetName val="SCHEDULE I"/>
      <sheetName val="SCHEDULE J"/>
      <sheetName val="SCHEDULE K"/>
      <sheetName val="SCHEDULE 1"/>
      <sheetName val="SCHEDULE 2"/>
      <sheetName val="SCHEDULE 3"/>
      <sheetName val="MARKETING II"/>
      <sheetName val="MARKETING III"/>
      <sheetName val="Sheet1"/>
      <sheetName val="Market temp"/>
      <sheetName val="Inc Rec"/>
      <sheetName val="PCR96"/>
      <sheetName val="MVC96"/>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ves"/>
      <sheetName val="Conventions"/>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Input"/>
      <sheetName val="Inc Rec"/>
      <sheetName val="By dept-bymonthBud"/>
      <sheetName val="Accountant Copy Only"/>
      <sheetName val="Tables"/>
      <sheetName val="234 #1"/>
      <sheetName val="RANGES"/>
      <sheetName val="2GD01Budget"/>
      <sheetName val="Conversion"/>
      <sheetName val="PropertyMappings"/>
      <sheetName val="cash allow"/>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put"/>
      <sheetName val="Instruction"/>
      <sheetName val="Notes"/>
      <sheetName val="Summary"/>
      <sheetName val="S&amp;U"/>
      <sheetName val="2013"/>
      <sheetName val="Rents"/>
      <sheetName val="Other Income"/>
      <sheetName val="Commercial I&amp;E"/>
      <sheetName val="2328-Total"/>
      <sheetName val="2328-Main"/>
      <sheetName val="2328-Sub1"/>
      <sheetName val="2328-Sub2"/>
      <sheetName val="CNA"/>
      <sheetName val="Other Fees"/>
      <sheetName val="Prepaids"/>
      <sheetName val="Cash"/>
      <sheetName val="Bond Costs"/>
      <sheetName val="IOD"/>
      <sheetName val="2264"/>
      <sheetName val="2264-A"/>
      <sheetName val="2264-J"/>
      <sheetName val="2438"/>
      <sheetName val="2283"/>
      <sheetName val="RC by Formula"/>
      <sheetName val="Purchase Costs"/>
      <sheetName val="Refinance Costs"/>
      <sheetName val="R R D"/>
      <sheetName val="Reserve Deposits"/>
      <sheetName val="Sensitivity"/>
      <sheetName val="Exec Sum"/>
      <sheetName val="Summary Costs"/>
      <sheetName val="Rent Comps"/>
      <sheetName val="Expense Comps"/>
      <sheetName val="Occupancy Comps"/>
      <sheetName val="Calc1"/>
      <sheetName val="Calc2"/>
      <sheetName val="C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DEX"/>
      <sheetName val="Table of Contents"/>
      <sheetName val="Investment Summary"/>
      <sheetName val="Investment Analysis"/>
      <sheetName val="CF Split Analysis"/>
      <sheetName val="sources &amp; uses"/>
      <sheetName val="perm loan"/>
      <sheetName val="perm loan (2)"/>
      <sheetName val="fee calculation"/>
      <sheetName val="CHECK"/>
      <sheetName val="bank loan budget"/>
      <sheetName val="interest reserve cal"/>
      <sheetName val="cost analysis"/>
      <sheetName val="project detail"/>
      <sheetName val="site detail"/>
      <sheetName val="base rents"/>
      <sheetName val="income stmt yr0"/>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erona)"/>
      <sheetName val="budgets (verona)"/>
      <sheetName val="mo income stmt"/>
      <sheetName val="balance sheet"/>
      <sheetName val="cash flow"/>
      <sheetName val="ownership chart"/>
      <sheetName val="amr sch"/>
      <sheetName val="source &amp; uses mo sch"/>
      <sheetName val="% of completion"/>
      <sheetName val="&lt;&gt;"/>
      <sheetName val="ovation orig. rents vs. curr"/>
      <sheetName val="buyout valuation"/>
      <sheetName val="cf 30 yr sale"/>
      <sheetName val="CF Split Analysis (4)"/>
      <sheetName val="Sensitivity (I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
      <sheetName val="ACH2"/>
      <sheetName val="Wire2"/>
      <sheetName val="PymtAdvice"/>
      <sheetName val="PymtAdvice 2"/>
      <sheetName val="Approve"/>
      <sheetName val="DisbReq"/>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dgs"/>
      <sheetName val="Clubhouse"/>
      <sheetName val="Garages"/>
      <sheetName val="Site"/>
      <sheetName val="Sheet2"/>
      <sheetName val="Sheet3"/>
    </sheetNames>
    <sheetDataSet>
      <sheetData sheetId="0"/>
      <sheetData sheetId="1"/>
      <sheetData sheetId="2"/>
      <sheetData sheetId="3"/>
      <sheetData sheetId="4"/>
      <sheetData sheetId="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1"/>
      <sheetName val="1001"/>
      <sheetName val="0901"/>
      <sheetName val="0801"/>
      <sheetName val="0701"/>
      <sheetName val="0601"/>
      <sheetName val="0501"/>
      <sheetName val="0401"/>
      <sheetName val="0301"/>
      <sheetName val="0201"/>
      <sheetName val="0101"/>
      <sheetName val="1200"/>
      <sheetName val="1100"/>
      <sheetName val="1000"/>
      <sheetName val="0900"/>
      <sheetName val="030!"/>
      <sheetName val=" 401"/>
      <sheetName val="Inc Rec"/>
      <sheetName val="ACCT ANALYSIS"/>
      <sheetName val="12_96 CAM"/>
      <sheetName val="CAMINVBU"/>
      <sheetName val="CalcSheet"/>
      <sheetName val="_401"/>
      <sheetName val="Inc_Rec"/>
      <sheetName val="ACCT_ANALYSIS"/>
      <sheetName val="Condo Assumptions"/>
      <sheetName val="RECONCILIATION"/>
      <sheetName val="13-524-D"/>
      <sheetName val="Vacancy Loss"/>
      <sheetName val="RENT"/>
      <sheetName val="Bldg Summary"/>
      <sheetName val="Companies"/>
      <sheetName val="XAG Inputs &amp; Log"/>
      <sheetName val="Estimated RI "/>
      <sheetName val="File Admin"/>
      <sheetName val="Basic Input Sheet"/>
      <sheetName val="Sheet2"/>
      <sheetName val="ACCRD INS (2001)"/>
      <sheetName val="Input"/>
      <sheetName val="tax1730&amp;2210"/>
      <sheetName val="2060 Accr"/>
      <sheetName val="June Variance"/>
      <sheetName val="0601_x0000__x0000__x0000__x0000__x0000__x0000__x0000__x0000__x0000__x0009__x0000__x0012_[13-524-D.xls]0"/>
      <sheetName val="Bldg_Summary"/>
      <sheetName val="File_Admin"/>
      <sheetName val="XAG_Inputs_&amp;_Log"/>
      <sheetName val="Estimated_RI_"/>
      <sheetName val="ACCRD_INS_(2001)"/>
      <sheetName val="Vacancy_Loss"/>
      <sheetName val="Basic_Input_Sheet"/>
      <sheetName val="Detail"/>
      <sheetName val="Loan Amortization Schedule"/>
      <sheetName val="Depr Anal"/>
      <sheetName val="#REF"/>
      <sheetName val="Project Reporting Information"/>
      <sheetName val="WorkSheetName"/>
      <sheetName val="LEASGR"/>
      <sheetName val="Accr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ints"/>
      <sheetName val="Mgmt YTD"/>
      <sheetName val="Mgmt Fee Invoice"/>
      <sheetName val="Cklst"/>
      <sheetName val="Cover"/>
      <sheetName val="Contact"/>
      <sheetName val="Inc Rec"/>
      <sheetName val="RR"/>
      <sheetName val="Cash Flow"/>
      <sheetName val="Balance Sheet"/>
      <sheetName val="3110"/>
      <sheetName val="Retained Earnings"/>
      <sheetName val="Variance"/>
      <sheetName val="Corp. Rec."/>
      <sheetName val="BTE Recv."/>
      <sheetName val="JE FORM"/>
      <sheetName val="Instructions"/>
      <sheetName val="Security Deposit"/>
      <sheetName val="Notes and Mortgages Pay."/>
      <sheetName val="Contributions"/>
      <sheetName val="Manual Billing"/>
      <sheetName val="One Time Charge for oPx"/>
      <sheetName val="0900"/>
      <sheetName val="Cal"/>
      <sheetName val="RECONCILIATION"/>
      <sheetName val="Mgmt_YTD"/>
      <sheetName val="Mgmt_Fee_Invoice"/>
      <sheetName val="Inc_Rec"/>
      <sheetName val="Cash_Flow"/>
      <sheetName val="Balance_Sheet"/>
      <sheetName val="Retained_Earnings"/>
      <sheetName val="Corp__Rec_"/>
      <sheetName val="BTE_Recv_"/>
      <sheetName val="JE_FORM"/>
      <sheetName val="Security_Deposit"/>
      <sheetName val="Notes_and_Mortgages_Pay_"/>
      <sheetName val="Manual_Billing"/>
      <sheetName val="One_Time_Charge_for_oPx"/>
      <sheetName val="Summary Esc. 1st  half 2005-06"/>
      <sheetName val="ACCT ANALYSIS"/>
      <sheetName val="tax1730&amp;2210"/>
      <sheetName val="Bldg Summary"/>
      <sheetName val="Input"/>
      <sheetName val="2060 Accr"/>
      <sheetName val="Sheet1"/>
      <sheetName val="Channingway Month End-2002"/>
      <sheetName val="Base Accounts"/>
      <sheetName val="#REF"/>
      <sheetName val="Property Tax Estimate"/>
      <sheetName val="Detail"/>
      <sheetName val="Companies"/>
      <sheetName val="WorkSheetName"/>
      <sheetName val="N-Clean-Vac - 483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TAX INV (2)"/>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TX95C"/>
    </sheetNames>
    <sheetDataSet>
      <sheetData sheetId="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IMB AUTO INS"/>
      <sheetName val="MGMT FEES"/>
      <sheetName val="Paradise-BR Ovation LLC"/>
      <sheetName val="D"/>
      <sheetName val="E"/>
      <sheetName val="Dep fr IUB to NSB"/>
      <sheetName val="TRF IUB TO NSB"/>
      <sheetName val="REIMB INTERCO"/>
      <sheetName val="REIMB COBRA"/>
      <sheetName val="MISC"/>
      <sheetName val="PAYROLL REIMB"/>
      <sheetName val="ALM CONTRIBUTION"/>
      <sheetName val="ALM Distribution"/>
      <sheetName val="SHARON HARRY PR"/>
      <sheetName val="PR FUNDING"/>
      <sheetName val="COVER PAYROLL"/>
      <sheetName val="Draw IUB LOC"/>
      <sheetName val="misc 2 "/>
      <sheetName val="Centennial Contractor Fee"/>
      <sheetName val="Thunder Road Contractor Fee"/>
      <sheetName val="Centennial Developer Fee"/>
      <sheetName val="deferred fees &amp; interco"/>
      <sheetName val="Lone Mountain Developer Fee"/>
      <sheetName val="Lone Mountain Contractor Fee"/>
      <sheetName val="Lone Mtn Contr Fee Paradise"/>
      <sheetName val="Ins Claim Reimb"/>
      <sheetName val="IUB Loan - PM portion"/>
      <sheetName val="IUB Loan pymt"/>
      <sheetName val="PAYROLL REIMB (2)"/>
      <sheetName val="ADP"/>
      <sheetName val="ada"/>
      <sheetName val="Sheet1"/>
      <sheetName val="IUB Loan pymt (2)"/>
      <sheetName val="IUB Loan pymt (3)"/>
      <sheetName val="WWS "/>
      <sheetName val="Turn-Rite reimbursements"/>
      <sheetName val="Bnk Chgs"/>
      <sheetName val="cash "/>
      <sheetName val="SHARON PR"/>
      <sheetName val="ALM Personal Exp"/>
      <sheetName val="PR FUNDING (2)"/>
      <sheetName val="LMS  "/>
      <sheetName val="MISC 5"/>
      <sheetName val="trf to WWS"/>
      <sheetName val="trf to LMS"/>
      <sheetName val="LMS Contractor Fee"/>
      <sheetName val="Bnk Chg Reimb"/>
      <sheetName val="Turn-Rite reimbursements (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sheetData sheetId="30"/>
      <sheetData sheetId="31" refreshError="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2328-All Improvements"/>
      <sheetName val="Bldg A"/>
      <sheetName val="Bldg B"/>
      <sheetName val="Bldg C"/>
      <sheetName val="Bldg F"/>
      <sheetName val="Club-Leasing"/>
      <sheetName val="Carports"/>
      <sheetName val="Trash Encloser"/>
      <sheetName val="Site Breakdown"/>
      <sheetName val="Gen Reqs Breakdown"/>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ummary (nml &amp; ovation)"/>
      <sheetName val="cf summary"/>
      <sheetName val="Underwriting"/>
      <sheetName val="annual inc stmt"/>
      <sheetName val="annual inc stmt (2)"/>
      <sheetName val="Calculator"/>
      <sheetName val="Madera amrt"/>
      <sheetName val="Amort-Schs"/>
      <sheetName val="PMT-Analysis"/>
      <sheetName val="Prepay Penaltie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ummary (nml &amp; ovation)"/>
      <sheetName val="cf summary"/>
      <sheetName val="Underwriting"/>
      <sheetName val="annual inc stmt"/>
      <sheetName val="annual inc stmt (2)"/>
      <sheetName val="Calculator"/>
      <sheetName val="Madera amrt"/>
      <sheetName val="Amort-Schs"/>
      <sheetName val="PMT-Analysis"/>
      <sheetName val="Prepay Penaltie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ipants"/>
      <sheetName val="Checklist"/>
      <sheetName val="@Salient Data Sheet"/>
      <sheetName val="2328 Master"/>
      <sheetName val="2328 TYPE 1"/>
      <sheetName val="2328 TYPE 2"/>
      <sheetName val="2328 TYPE 3"/>
      <sheetName val="2328 TYPE 4"/>
      <sheetName val="2328 TYPE 5"/>
      <sheetName val="2328 TYPE 6"/>
      <sheetName val="2328 TYPE 7"/>
      <sheetName val="2328 TYPE 8"/>
      <sheetName val="2328 TYPE 9"/>
      <sheetName val="2328 TYPE 10"/>
      <sheetName val="2328 TYPE 11"/>
      <sheetName val="2328 TYPE 12"/>
      <sheetName val="2328 TYPE 13"/>
      <sheetName val="2328 TYPE 14"/>
      <sheetName val="2328 TYPE 15"/>
      <sheetName val="2328 TYPE 16"/>
      <sheetName val="SF Table"/>
      <sheetName val="Other Fees"/>
      <sheetName val="Coverpage"/>
      <sheetName val="221d4 Report"/>
      <sheetName val="AE Appendix Page"/>
      <sheetName val="Cost Apps 1"/>
      <sheetName val="MF Bldg Comps"/>
      <sheetName val="CH Comps"/>
      <sheetName val="92326 Master"/>
      <sheetName val="92326 Type 1"/>
      <sheetName val="92326 Type 2"/>
      <sheetName val="92326 Type 3"/>
      <sheetName val="92326 Type 4"/>
      <sheetName val="92326 Type 5"/>
      <sheetName val="92326 Type 6"/>
      <sheetName val="92326 Type 7"/>
      <sheetName val="92326 Type 8"/>
      <sheetName val="92326 Type 9"/>
      <sheetName val="92326 Type 10"/>
      <sheetName val="92326 Type 11"/>
      <sheetName val="92326 Type 12"/>
      <sheetName val="92326 Type 13"/>
      <sheetName val="92326 Type 14"/>
      <sheetName val="92326 Type 15"/>
      <sheetName val="92326 Type 16"/>
      <sheetName val="@Site $ Back Up"/>
      <sheetName val="Bldg Cost $ Back Up"/>
      <sheetName val="Bldg 2 Cost $ Back Up"/>
      <sheetName val="Accessory 1 Cost $ Back Up"/>
      <sheetName val="Accessory 2 Cost $ Back Up"/>
      <sheetName val="Accessory 3 Cost $ Back Up"/>
      <sheetName val="Accessory 4 Cost $ Back Up"/>
      <sheetName val="Accessory 5 Cost $ Back Up"/>
      <sheetName val="Accessory 6 Cost $ Back Up"/>
      <sheetName val="Cost Apps 2"/>
      <sheetName val="AE Fee"/>
      <sheetName val="Cost Apps 3"/>
      <sheetName val="92331-B"/>
      <sheetName val="Cost Apps 4"/>
      <sheetName val="92329 (NC)"/>
      <sheetName val="92329 - Work (NC)"/>
      <sheetName val="92329 (SR)"/>
      <sheetName val="92329 - Work (SR)"/>
      <sheetName val="Cost Apps 5"/>
      <sheetName val="92264"/>
      <sheetName val="92264 Section G"/>
      <sheetName val="92264 Section M CNA"/>
      <sheetName val="Resume Appendix"/>
      <sheetName val="Sheet1"/>
      <sheetName val="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posal for Triple 7 Moving Of"/>
      <sheetName val="Sheet4"/>
    </sheetNames>
    <definedNames>
      <definedName name="Annual_interest_rate"/>
      <definedName name="First_payment_due"/>
      <definedName name="Payments_per_year"/>
      <definedName name="Periodic_rate"/>
      <definedName name="Pmt_to_use"/>
      <definedName name="Term_in_years"/>
      <definedName name="Total_payments"/>
    </definedNames>
    <sheetDataSet>
      <sheetData sheetId="0" refreshError="1"/>
      <sheetData sheetId="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puts"/>
      <sheetName val="Summary"/>
      <sheetName val="RentRoll-Stabilized"/>
      <sheetName val="H&amp;B"/>
      <sheetName val="Proforma"/>
      <sheetName val="Cost"/>
      <sheetName val="Sale Comps"/>
      <sheetName val="Income Comps"/>
      <sheetName val="Land Comps"/>
      <sheetName val="Proforma - 1.50x DCR"/>
      <sheetName val="Rent Roll"/>
      <sheetName val="Sources &amp; Uses"/>
      <sheetName val="Sales Comps"/>
      <sheetName val="Land Sale Comps"/>
      <sheetName val="Asking Rent Comps"/>
      <sheetName val="Amort"/>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sheetName val="RentRoll-Stabilized"/>
      <sheetName val="Cost"/>
      <sheetName val="Sale Comps"/>
      <sheetName val="Income Comps"/>
      <sheetName val="Land Comps"/>
      <sheetName val="Appraisal Comparisons"/>
      <sheetName val="Portfolio Info --&gt;"/>
      <sheetName val="Portfolio Analysis"/>
      <sheetName val="Updated Portfolio Analysis"/>
      <sheetName val="Historical Information"/>
      <sheetName val="Rent Rollover Schedule"/>
      <sheetName val="Wynkoop Info --&gt;"/>
      <sheetName val="Rent Roll - Wynkoop"/>
      <sheetName val="H&amp;B &amp; Proforma - Wynkoop"/>
      <sheetName val="W - 2012"/>
      <sheetName val="W - 2013"/>
      <sheetName val="W - Oct T-12"/>
      <sheetName val="W - Oct 2014 YTD"/>
      <sheetName val="Festival Info --&gt;"/>
      <sheetName val="Festival Comp"/>
      <sheetName val="F - Oct 14 T-12"/>
      <sheetName val="F - Newmark Orig UW"/>
      <sheetName val="Admiral Info --&gt;"/>
      <sheetName val="Admiral Comp"/>
      <sheetName val="A - Oct 14 T-12"/>
      <sheetName val="A - Newmark Orig UW"/>
      <sheetName val="Mission Hills Info --&gt;"/>
      <sheetName val="Mission Hills Comp"/>
      <sheetName val="M - Oct 14 T-12"/>
      <sheetName val="M - Newmark Orig UW"/>
      <sheetName val="Alexandria Commons Info --&gt;"/>
      <sheetName val="Rent Roll - Alexandria"/>
      <sheetName val="H&amp;B - Alexandria"/>
      <sheetName val="Proforma - Alexandria"/>
      <sheetName val="A - 2012"/>
      <sheetName val="A - 2013"/>
      <sheetName val="A - Oct T-12"/>
      <sheetName val="A  - Oct 2014 YTD"/>
      <sheetName val="St. John's --&gt;"/>
      <sheetName val="Rent Roll - St. Johns"/>
      <sheetName val="H&amp;B - St. Johns"/>
      <sheetName val="Proforma - St. Johns"/>
      <sheetName val="SJ - 2011"/>
      <sheetName val="SJ - 2012"/>
      <sheetName val="SJ - 2013"/>
      <sheetName val="SJ - Oct 2014 YTD"/>
      <sheetName val="McCook --&gt;"/>
      <sheetName val="MC - Oct 2014 YTD"/>
      <sheetName val="Proforma - McCo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Ind."/>
      <sheetName val="Cash Flows.CFALX"/>
      <sheetName val="Cash Flows.CFPBL"/>
      <sheetName val="Cash Flows.CFPUB"/>
      <sheetName val="Cash Flows.CFSH"/>
      <sheetName val="Cash Flows.CFSV"/>
      <sheetName val="Cash Flows.CFVV"/>
      <sheetName val="Cash Flows.CFWH"/>
      <sheetName val="Loss to Lease"/>
      <sheetName val="Cash Flows.CFEST"/>
      <sheetName val="Cash Flows.CFOAK"/>
      <sheetName val="Cash Flows.CFN"/>
      <sheetName val="Cash Flows.CFW"/>
      <sheetName val="2004B Consol---&gt;"/>
      <sheetName val="CFVV 2004B Consol"/>
      <sheetName val="CFSH 2004B Consol"/>
      <sheetName val="CFSV 2004B Consol"/>
      <sheetName val="CFPUB 2004B Consol"/>
      <sheetName val="CFWH 2004B Consol"/>
      <sheetName val="CFEST 2004B Consol"/>
      <sheetName val="CFALX 2004B Consol"/>
      <sheetName val="CFPBL 2004B Consol"/>
      <sheetName val="CFOAK 2004B Consol"/>
      <sheetName val="CFN 2004B Consol"/>
      <sheetName val="2004B Consol"/>
      <sheetName val="Projections 2005==&gt;"/>
      <sheetName val="2005E Assumptions"/>
      <sheetName val="CFVV 2005E"/>
      <sheetName val="CFSH 2005E"/>
      <sheetName val="CFSV 2005E"/>
      <sheetName val="CFPUB 2005E"/>
      <sheetName val="CFWH 2005E"/>
      <sheetName val="CFEST 2005E"/>
      <sheetName val="CFALX 2005E"/>
      <sheetName val="CFPBL 2005E"/>
      <sheetName val="CFOAK 2005E"/>
      <sheetName val="CFN 2005E"/>
      <sheetName val="CFW 2005E"/>
      <sheetName val="RI CFVV 2005"/>
      <sheetName val="RI CFSH 2005"/>
      <sheetName val="RI CFSV 2005"/>
      <sheetName val="RI CFPUB 2005"/>
      <sheetName val="RI CFWH 2005"/>
      <sheetName val="RI CFEST 2005"/>
      <sheetName val="RI CFALX 2005"/>
      <sheetName val="RI CFPBL 2005"/>
      <sheetName val="RI CFOAK 2005"/>
      <sheetName val="RI CFN 2005"/>
      <sheetName val="RI CFW 2005"/>
      <sheetName val="Backup==&gt;"/>
      <sheetName val="CFVV----&gt;"/>
      <sheetName val="CFVV 2004B"/>
      <sheetName val="Gross Potential-IND. CFVV 2004"/>
      <sheetName val="Rental Income-IND.CFVV 2004"/>
      <sheetName val="Misc. Income.CFVV"/>
      <sheetName val="Advertising.CFVV"/>
      <sheetName val="Activities Expenses.CFVV"/>
      <sheetName val="CF SH-----&gt;"/>
      <sheetName val="CFSH 2004B"/>
      <sheetName val="Gross Potential-IND.CFSH"/>
      <sheetName val="Rental Income-IND.CFSH 2004"/>
      <sheetName val="Misc. Income.CFSH"/>
      <sheetName val="Advertising.CFSH"/>
      <sheetName val="Vacancy Expenses.CFSH"/>
      <sheetName val="Fees, Taxes &amp; Insurance.CFSH"/>
      <sheetName val="CFSV----&gt; "/>
      <sheetName val="CFSV 2004B"/>
      <sheetName val="Gross Potential-FS.CFSV"/>
      <sheetName val="Gross Potential-IND.CFSV"/>
      <sheetName val="Rental Income-IND.CFSV 2004"/>
      <sheetName val="Rental Income-FS.CFSV"/>
      <sheetName val="Repairs and Maintenance.CFSV"/>
      <sheetName val="CF PUB----&gt; "/>
      <sheetName val="CFPUB 2004B"/>
      <sheetName val="Gross Potential-IND.CFPUB"/>
      <sheetName val="Rental Income-IND.CFPUB 2004"/>
      <sheetName val="CF WH----&gt;"/>
      <sheetName val="CFWH 2004B"/>
      <sheetName val="Gross Potential-IND.CFWH"/>
      <sheetName val="Rental Income-IND.CFWH 2004"/>
      <sheetName val="CF EST----&gt;"/>
      <sheetName val="CFEST 2004B"/>
      <sheetName val="Rental Income-FS.CFEST 2004"/>
      <sheetName val="Gross Potential-FS.CFEST"/>
      <sheetName val="CF ALX----&gt;"/>
      <sheetName val="CFALX 2004B"/>
      <sheetName val="Gross Potential-IND.CFALX"/>
      <sheetName val="Rental Income-IND.CFALX 2004"/>
      <sheetName val="CF PBL----&gt;"/>
      <sheetName val="CFPBL 2004B"/>
      <sheetName val="Gross Potential-IND.CFPBL"/>
      <sheetName val="Rental Income-IND.CFPBL 2004"/>
      <sheetName val="Vacancy Expenses.CFPBL"/>
      <sheetName val="CF OAK----&gt;"/>
      <sheetName val="CFOAK 2004B"/>
      <sheetName val="Gross Potential-FS.CFOAK"/>
      <sheetName val="Rental Income-FS.CFOAK 2004"/>
      <sheetName val="CF N----&gt;"/>
      <sheetName val="CFN 2004B"/>
      <sheetName val="Gross Potential-FS.CFN"/>
      <sheetName val="Rental Income-FS.CFN 2004"/>
      <sheetName val="CF W-----&gt;"/>
      <sheetName val="CFW 2004B"/>
      <sheetName val="Gross Potential-FS.CFW"/>
      <sheetName val="Rental Income-FS.CFW 2004"/>
      <sheetName val="W Budget Stbl"/>
      <sheetName val="W Gross Potential Stbl"/>
      <sheetName val="W Rental Income Stbl"/>
      <sheetName val="W Misc. Income Stbl"/>
      <sheetName val="W Advertising Stl"/>
      <sheetName val="W Utilities Stbl"/>
      <sheetName val="W Activities Expenses Stbl"/>
      <sheetName val="W Repairs and Maintenance Stbl"/>
      <sheetName val="W Vacancy Expenses Stbl"/>
      <sheetName val="W Personel Expenses Stbl"/>
      <sheetName val="W Payroll Burden Stbl"/>
      <sheetName val="W Other PR Expenses Stbl"/>
      <sheetName val="W G &amp; A Expenses Stbl"/>
      <sheetName val="W Taxes &amp; Insurance Stbl"/>
      <sheetName val="CF 2002 for all props"/>
      <sheetName val="Unit Mix"/>
      <sheetName val="Capex"/>
      <sheetName val="CFVV Capex"/>
      <sheetName val="CFSH Capex"/>
      <sheetName val="CFSV Capex"/>
      <sheetName val="CFPUB Capex"/>
      <sheetName val="CFWH Capex"/>
      <sheetName val="CFEST Capex"/>
      <sheetName val="CFALX Capex"/>
      <sheetName val="CFPBL Capex"/>
      <sheetName val="CFOAK Capex"/>
      <sheetName val="Charts==&gt;"/>
      <sheetName val="Advertising Summary"/>
      <sheetName val="Occupancy"/>
      <sheetName val="Occupanc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_Roll (2006)"/>
      <sheetName val="Rent_Roll (Current)"/>
      <sheetName val="Cost_Equity_SourcesUses"/>
      <sheetName val="Inv_Sum"/>
    </sheetNames>
    <sheetDataSet>
      <sheetData sheetId="0"/>
      <sheetData sheetId="1"/>
      <sheetData sheetId="2"/>
      <sheetData sheetId="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Investment Analysis"/>
      <sheetName val="CF Split Analysis"/>
      <sheetName val="summary"/>
      <sheetName val="sources &amp; uses"/>
      <sheetName val="perm loan"/>
      <sheetName val="fee calculation"/>
      <sheetName val="bank loan budget"/>
      <sheetName val="interest reserve cal"/>
      <sheetName val="cost analysis"/>
      <sheetName val="project detail"/>
      <sheetName val="base rents"/>
      <sheetName val="rent basis (2)"/>
      <sheetName val="income stmt yr0"/>
      <sheetName val="Sensitivity"/>
      <sheetName val="Sensitivity (2)"/>
      <sheetName val="Sensitivity (IRR)"/>
      <sheetName val="annual inc stmt"/>
      <sheetName val="annual balance sheet"/>
      <sheetName val="annual cash flow"/>
      <sheetName val="depreciation analysis"/>
      <sheetName val="tax analysis"/>
      <sheetName val="mo income stmt"/>
      <sheetName val="balance sheet"/>
      <sheetName val="cash flow"/>
      <sheetName val="condo sale cash flow"/>
      <sheetName val="source &amp; uses mo sch"/>
      <sheetName val="% of completion"/>
      <sheetName val="amr sch"/>
      <sheetName val="SID sch"/>
      <sheetName val="ownership chart"/>
      <sheetName val="CHECK"/>
      <sheetName val="ovation orig. rents vs. curr"/>
      <sheetName val="cf summary dist as apts"/>
      <sheetName val="cf summary dist as condo"/>
      <sheetName val="buyout valuation"/>
      <sheetName val="cf 30 yr s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Assumptions"/>
      <sheetName val="INDEX"/>
      <sheetName val="Table of Contents"/>
      <sheetName val="Table of Contents (2)"/>
      <sheetName val="Investment Summary"/>
      <sheetName val="Investment Analysis"/>
      <sheetName val="CF Split Analysis"/>
      <sheetName val="sources &amp; uses"/>
      <sheetName val="perm loan"/>
      <sheetName val="interest reserve cal"/>
      <sheetName val="interest reserve cal (1)"/>
      <sheetName val="interest reserve cal (2)"/>
      <sheetName val="fee calculation"/>
      <sheetName val="bank loan budget"/>
      <sheetName val="cost analysis"/>
      <sheetName val="project detail"/>
      <sheetName val="site detail"/>
      <sheetName val="base rents"/>
      <sheetName val="income stmt yr0"/>
      <sheetName val="Appraisal (0)"/>
      <sheetName val="Const Loan (0)"/>
      <sheetName val="Const Loan (00)"/>
      <sheetName val="FMV"/>
      <sheetName val="Const Loan (1)"/>
      <sheetName val="Const Loan (2)"/>
      <sheetName val="Const Loan (3)"/>
      <sheetName val="Const Loan (4)"/>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6)"/>
      <sheetName val="Bank budgets"/>
      <sheetName val="budgets (v6)"/>
      <sheetName val="CF Split (V5)"/>
      <sheetName val="mo income stmt"/>
      <sheetName val="mo income stmt (2)"/>
      <sheetName val="balance sheet"/>
      <sheetName val="cash flow"/>
      <sheetName val="ownership chart"/>
      <sheetName val="amr sch"/>
      <sheetName val="source &amp; uses mo sch"/>
      <sheetName val="% of completion"/>
      <sheetName val="&lt;&gt;"/>
      <sheetName val="ovation orig. rents vs. curr"/>
      <sheetName val="buyout valuation"/>
      <sheetName val="Sensitivity (IRR)"/>
      <sheetName val="Appraisal"/>
      <sheetName val="Appraisal (3)"/>
      <sheetName val="perm loa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sheetName val="Square Footage Take-offs"/>
      <sheetName val="Cost Estimate Worksheet"/>
      <sheetName val="92329"/>
      <sheetName val="92329-Work"/>
      <sheetName val="SNA"/>
      <sheetName val="92264 Section G - Rehab Only"/>
      <sheetName val="92264 Section M CNA"/>
      <sheetName val="2264"/>
      <sheetName val="Architect Fee Calc"/>
      <sheetName val="92331-B"/>
      <sheetName val="92326 Master"/>
      <sheetName val="92326 CC"/>
      <sheetName val="D3G LI"/>
      <sheetName val="2328-Main"/>
      <sheetName val="2328- Clubhouse"/>
      <sheetName val="2328-LI Page 1"/>
      <sheetName val="2328-LI Page 2"/>
      <sheetName val="2328-LI Page 3"/>
      <sheetName val="Other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AVP"/>
      <sheetName val="Assumptions"/>
      <sheetName val="IS, CYE(3)"/>
      <sheetName val="IS, FYE(2)"/>
      <sheetName val="CF"/>
      <sheetName val="BS"/>
      <sheetName val="debt"/>
      <sheetName val="Debt Refinancing"/>
      <sheetName val="BSadj"/>
      <sheetName val="BOCA Mgmt Equity"/>
      <sheetName val="Returns"/>
      <sheetName val="ratios"/>
      <sheetName val="CMBS Analysis"/>
      <sheetName val="BREAK"/>
      <sheetName val="ownership summary"/>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Assumptions"/>
      <sheetName val="INDEX"/>
      <sheetName val="Table of Contents"/>
      <sheetName val="Table of Contents (2)"/>
      <sheetName val="Investment Summary"/>
      <sheetName val="Sensitivity (0)"/>
      <sheetName val="sources &amp; uses"/>
      <sheetName val="project detail"/>
      <sheetName val="income stmt yr0"/>
      <sheetName val="base rents (2)"/>
      <sheetName val="Expenses Analysis"/>
      <sheetName val="FMV Analysis"/>
      <sheetName val="Const Loan (1)"/>
      <sheetName val="Const Loan (0)"/>
      <sheetName val="site detail"/>
      <sheetName val="Investment Analysis"/>
      <sheetName val="Investment Summary (5yr)"/>
      <sheetName val="CF Dist Analysis"/>
      <sheetName val="CF Dist Analysis (5yr)"/>
      <sheetName val="perm loan"/>
      <sheetName val="cost analysis"/>
      <sheetName val="bank loan budget"/>
      <sheetName val="interest reserve cal"/>
      <sheetName val="fee calculation"/>
      <sheetName val="Sensitivity"/>
      <sheetName val="Sensitivity (3)"/>
      <sheetName val="annual inc stmt"/>
      <sheetName val="annual balance sheet"/>
      <sheetName val="annual cash flow"/>
      <sheetName val="depreciation analysis"/>
      <sheetName val="tax analysis"/>
      <sheetName val="ownership chart"/>
      <sheetName val="summary (v5)"/>
      <sheetName val="Bank budgets"/>
      <sheetName val="budgets (v5)"/>
      <sheetName val="CF Split (V5)"/>
      <sheetName val="interest reserve cal (v1)"/>
      <sheetName val="mo income stmt"/>
      <sheetName val="balance sheet"/>
      <sheetName val="cash flow"/>
      <sheetName val="amr sch"/>
      <sheetName val="source &amp; uses mo sch"/>
      <sheetName val="% of completion"/>
      <sheetName val="&lt;&gt;"/>
      <sheetName val="Appraisal (0)"/>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Notes Sheet"/>
      <sheetName val="Assumptions"/>
      <sheetName val="Monthly Inputs"/>
      <sheetName val="Monthly Spreads"/>
      <sheetName val="Data Tables"/>
      <sheetName val="AdminMonthly"/>
      <sheetName val="Formulas"/>
      <sheetName val="Inflation"/>
      <sheetName val="AdminDirConst"/>
      <sheetName val="Cover"/>
      <sheetName val="Sensitivity - Single"/>
      <sheetName val="Sensitivity - Dual"/>
      <sheetName val="Investment Overview (old)"/>
      <sheetName val="Investment Overview"/>
      <sheetName val="Income Stmt Summ by Plan"/>
      <sheetName val="Profit Proforma by Plan"/>
      <sheetName val="Sheet1"/>
      <sheetName val="Monthly Cash Flow"/>
      <sheetName val="Quarterly Cash Flow"/>
      <sheetName val="Q CF Investor"/>
      <sheetName val="Annual Cash Flow"/>
      <sheetName val="P&amp;L Stmt."/>
      <sheetName val="Quarterly P&amp;L Stmt."/>
      <sheetName val="Annual P&amp;L Stmt."/>
      <sheetName val="Balance Sheet"/>
      <sheetName val="Quarterly Balance Sheet"/>
      <sheetName val="Annual 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 Total Project Ph IV"/>
      <sheetName val="Costs Total Project Ph III"/>
      <sheetName val="Costs Total Project Ph II"/>
      <sheetName val="Costs Total Project Ph I"/>
      <sheetName val="Costs Total Project"/>
      <sheetName val="Budget Total Project"/>
      <sheetName val=" CF Analysis"/>
      <sheetName val="Construction Costs"/>
      <sheetName val="Cash Flow (1)"/>
      <sheetName val="Cash Flow (2)"/>
      <sheetName val="Cash Flow (3)"/>
      <sheetName val="Cash Flow (4)"/>
      <sheetName val="Cash Flow (5)"/>
      <sheetName val="Cash Flow (6)"/>
      <sheetName val="Sheet2"/>
      <sheetName val="Sheet3"/>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Prescreen"/>
      <sheetName val="Property Pics"/>
      <sheetName val="Property Maps"/>
      <sheetName val="Assumptions"/>
      <sheetName val="Rent Roll &amp; Vacancy"/>
      <sheetName val="Concessions"/>
      <sheetName val="Property Analysis Form"/>
      <sheetName val="Inc Exp"/>
      <sheetName val="ctData"/>
      <sheetName val="Sheet1"/>
      <sheetName val="Inc Exp Comments"/>
      <sheetName val="Optg Stmt Summary"/>
      <sheetName val="Rollover"/>
      <sheetName val="Sensitivity Analysis"/>
      <sheetName val="Replacement Reserve"/>
      <sheetName val="Proforma"/>
      <sheetName val="DSC"/>
      <sheetName val="Amortization Table"/>
      <sheetName val="CBA B-Note"/>
      <sheetName val="RENT ROLL PKG"/>
      <sheetName val="PAF PKG"/>
      <sheetName val="Inc Expense (2)"/>
      <sheetName val="HISTORY P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23990526602"/>
      <sheetName val="Template"/>
      <sheetName val="Sheet3"/>
      <sheetName val="Data Lookup"/>
      <sheetName val="8TX95C"/>
      <sheetName val="ENCUMBRANCE"/>
      <sheetName val="CSH TB"/>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SMCAMEXP97"/>
      <sheetName val="Sheet1 (2)"/>
      <sheetName val="SCountyCAMEXP97 "/>
      <sheetName val="Contrib"/>
      <sheetName val="Exppool"/>
      <sheetName val="SSMCAMEXP96"/>
      <sheetName val="SShoreGLA96CAM"/>
      <sheetName val="Sheet1"/>
      <sheetName val="GLA96TAX"/>
      <sheetName val="SSMGLA12"/>
      <sheetName val="SCounty"/>
      <sheetName val="SC.GLA97"/>
      <sheetName val="Tenants"/>
      <sheetName val="Sales Data"/>
      <sheetName val="Sheet3"/>
      <sheetName val="Contrib (2)"/>
      <sheetName val="Input"/>
      <sheetName val="SCH-28 Cash Disbursements"/>
      <sheetName val="Template"/>
      <sheetName val="3-00 RECONCILIATION"/>
      <sheetName val="Test Malls"/>
      <sheetName val="Mgmt Fee Schd"/>
      <sheetName val="Summary"/>
      <sheetName val="Sheet1_(2)"/>
      <sheetName val="SCountyCAMEXP97_"/>
      <sheetName val="SC_GLA97"/>
      <sheetName val="Sales_Data"/>
      <sheetName val="Contrib_(2)"/>
      <sheetName val="SCH-28_Cash_Disbursements"/>
      <sheetName val="3-00_RECONCILIATION"/>
      <sheetName val="Test_Malls"/>
      <sheetName val="Mgmt_Fee_Schd"/>
      <sheetName val="Note 4-10"/>
      <sheetName val="Hyperion NOI"/>
      <sheetName val="HYP NOI @ 100%"/>
      <sheetName val="Spacenet I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AdminMonthly"/>
      <sheetName val="Formulas"/>
      <sheetName val="Menu"/>
      <sheetName val="Hen Scratchings"/>
      <sheetName val="Monthly Inputs"/>
      <sheetName val="Monthly Spreads"/>
      <sheetName val="Data Tables"/>
      <sheetName val="AdminDirConst"/>
      <sheetName val="Cover"/>
      <sheetName val="Sensitivity - Single"/>
      <sheetName val="Sensitivity - Dual"/>
      <sheetName val="Investment Overview"/>
      <sheetName val="Income Stmt Summ by Plan"/>
      <sheetName val="Profit Proforma by Plan"/>
      <sheetName val="Monthly Cash Flow"/>
      <sheetName val="Quarterly Cash Flow"/>
      <sheetName val="Annual Cash Flow"/>
      <sheetName val="P&amp;L Stmt."/>
      <sheetName val="Quarterly P&amp;L Stmt."/>
      <sheetName val="Annual P&amp;L Stmt."/>
      <sheetName val="Balance Sheet"/>
      <sheetName val="Quarterly Balance Sheet"/>
      <sheetName val="Annual Balance Sheet"/>
      <sheetName val="Essbase"/>
      <sheetName val="Proj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buildup"/>
      <sheetName val="DCF FOR LPS"/>
    </sheetNames>
    <sheetDataSet>
      <sheetData sheetId="0"/>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hanges"/>
      <sheetName val="Bldg"/>
      <sheetName val="Site"/>
      <sheetName val="Clubhouse"/>
      <sheetName val="Upg"/>
      <sheetName val="Sheet3"/>
    </sheetNames>
    <sheetDataSet>
      <sheetData sheetId="0"/>
      <sheetData sheetId="1"/>
      <sheetData sheetId="2"/>
      <sheetData sheetId="3"/>
      <sheetData sheetId="4"/>
      <sheetData sheetId="5"/>
      <sheetData sheetId="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an Information"/>
      <sheetName val="Rent Roll Analysis"/>
      <sheetName val="Underwriting"/>
      <sheetName val="unmapped sheet"/>
      <sheetName val="Vote Cover - 1"/>
      <sheetName val="Vote Loan Info - 2"/>
      <sheetName val="Allocation, Prepay &amp; Dates - 3"/>
      <sheetName val="Vote Comments - 4"/>
      <sheetName val="Vote Use-Fees-Borrower Info - 5"/>
      <sheetName val="Vote Principal-Sponsor- 6"/>
      <sheetName val="Vote Escrows- 7"/>
      <sheetName val="Vote Property Info A - 8 "/>
      <sheetName val="Vote Property Info B - 9"/>
      <sheetName val="Vote Valuation- 10"/>
      <sheetName val="Vote Cash Flow- 11"/>
      <sheetName val="Vote Cash Flow Footnotes - 12"/>
      <sheetName val="Vote Rent Roll - 13"/>
      <sheetName val="New Rating"/>
      <sheetName val="Vote Duration"/>
      <sheetName val="Vote Rate Circle"/>
      <sheetName val="Rate Reset"/>
      <sheetName val="Variable to Fixed"/>
      <sheetName val="Cmte. of Finance Pg 1"/>
      <sheetName val="Cmte. of Finance Pg 2"/>
      <sheetName val="VLI  Listing Sheet"/>
      <sheetName val="IPLICO  Listing Sheet "/>
      <sheetName val="JHRECO LTD  Listing Sheet  "/>
      <sheetName val="Vote - Open Text"/>
      <sheetName val="Vote Rating"/>
      <sheetName val="JHREF Re-Fi"/>
      <sheetName val="JHLICO Rate Circle"/>
      <sheetName val="JHREF Rate Lock"/>
      <sheetName val="LaunchingPad"/>
      <sheetName val="GlobalInfo"/>
      <sheetName val="JHDropdowns"/>
      <sheetName val="Dropdowns"/>
      <sheetName val="RangeNameInfo"/>
      <sheetName val="RentRoll_Import"/>
      <sheetName val="RentRoll_Export"/>
      <sheetName val="_EXICashFlowImport"/>
      <sheetName val="_EXICashFlowExport"/>
      <sheetName val="_EXIChartOfAccounts"/>
      <sheetName val="_EXIFunnelImport"/>
      <sheetName val="_EXIFunnelEx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mbined - vErik"/>
      <sheetName val="Scenario 2 - Phase 1"/>
      <sheetName val="Scenario 2 - Phase 2"/>
      <sheetName val="Combined Ph 1 &amp; 2"/>
      <sheetName val="Summary Combined Ph 1 &amp; 2 (2)"/>
      <sheetName val="Sheet2"/>
    </sheetNames>
    <sheetDataSet>
      <sheetData sheetId="0"/>
      <sheetData sheetId="1">
        <row r="2">
          <cell r="O2">
            <v>103714</v>
          </cell>
          <cell r="S2">
            <v>9638</v>
          </cell>
        </row>
        <row r="3">
          <cell r="E3">
            <v>0</v>
          </cell>
          <cell r="O3">
            <v>4</v>
          </cell>
          <cell r="S3">
            <v>6034</v>
          </cell>
        </row>
        <row r="4">
          <cell r="E4">
            <v>147</v>
          </cell>
          <cell r="O4">
            <v>6.5428571428571427</v>
          </cell>
        </row>
        <row r="5">
          <cell r="E5">
            <v>82</v>
          </cell>
          <cell r="O5">
            <v>11</v>
          </cell>
        </row>
        <row r="6">
          <cell r="E6">
            <v>0</v>
          </cell>
          <cell r="O6">
            <v>2</v>
          </cell>
          <cell r="S6">
            <v>2656</v>
          </cell>
        </row>
        <row r="7">
          <cell r="E7">
            <v>0</v>
          </cell>
          <cell r="O7">
            <v>2</v>
          </cell>
        </row>
        <row r="8">
          <cell r="O8">
            <v>1690.4178105565545</v>
          </cell>
          <cell r="S8">
            <v>0</v>
          </cell>
        </row>
        <row r="9">
          <cell r="B9">
            <v>11.7</v>
          </cell>
          <cell r="O9">
            <v>1078.23</v>
          </cell>
          <cell r="S9">
            <v>77100</v>
          </cell>
        </row>
        <row r="10">
          <cell r="F10">
            <v>0</v>
          </cell>
          <cell r="O10">
            <v>10934.000000000002</v>
          </cell>
          <cell r="S10">
            <v>94000</v>
          </cell>
        </row>
        <row r="11">
          <cell r="F11">
            <v>0</v>
          </cell>
          <cell r="O11">
            <v>176687</v>
          </cell>
          <cell r="S11">
            <v>0</v>
          </cell>
        </row>
        <row r="12">
          <cell r="F12">
            <v>516</v>
          </cell>
          <cell r="O12">
            <v>309.59999999999997</v>
          </cell>
          <cell r="S12">
            <v>254</v>
          </cell>
        </row>
        <row r="13">
          <cell r="F13">
            <v>5</v>
          </cell>
          <cell r="O13">
            <v>203000</v>
          </cell>
          <cell r="S13">
            <v>255</v>
          </cell>
        </row>
        <row r="14">
          <cell r="F14">
            <v>0</v>
          </cell>
          <cell r="O14">
            <v>1699.5000000000002</v>
          </cell>
          <cell r="S14">
            <v>9315</v>
          </cell>
        </row>
        <row r="15">
          <cell r="O15">
            <v>1815.0000000000002</v>
          </cell>
          <cell r="S15">
            <v>12738</v>
          </cell>
        </row>
        <row r="16">
          <cell r="O16">
            <v>0</v>
          </cell>
          <cell r="S16">
            <v>0</v>
          </cell>
        </row>
        <row r="17">
          <cell r="S17">
            <v>7800</v>
          </cell>
        </row>
        <row r="21">
          <cell r="G21">
            <v>24</v>
          </cell>
        </row>
        <row r="23">
          <cell r="H23">
            <v>12000</v>
          </cell>
        </row>
        <row r="27">
          <cell r="H27">
            <v>7500</v>
          </cell>
        </row>
        <row r="28">
          <cell r="G28">
            <v>300</v>
          </cell>
        </row>
        <row r="30">
          <cell r="G30">
            <v>2</v>
          </cell>
        </row>
        <row r="57">
          <cell r="G57">
            <v>1690.4178105565545</v>
          </cell>
          <cell r="K57">
            <v>157073.62295691506</v>
          </cell>
        </row>
        <row r="64">
          <cell r="G64">
            <v>2</v>
          </cell>
        </row>
        <row r="70">
          <cell r="G70">
            <v>2</v>
          </cell>
          <cell r="K70">
            <v>2062</v>
          </cell>
        </row>
        <row r="113">
          <cell r="H113">
            <v>4500</v>
          </cell>
        </row>
        <row r="117">
          <cell r="G117">
            <v>3</v>
          </cell>
        </row>
        <row r="121">
          <cell r="G121">
            <v>2</v>
          </cell>
        </row>
        <row r="122">
          <cell r="G122">
            <v>2</v>
          </cell>
        </row>
        <row r="148">
          <cell r="G148">
            <v>6</v>
          </cell>
        </row>
        <row r="152">
          <cell r="G152">
            <v>16</v>
          </cell>
        </row>
        <row r="153">
          <cell r="G153">
            <v>6</v>
          </cell>
        </row>
        <row r="160">
          <cell r="G160">
            <v>3</v>
          </cell>
        </row>
        <row r="162">
          <cell r="G162">
            <v>2</v>
          </cell>
          <cell r="K162">
            <v>50000</v>
          </cell>
        </row>
        <row r="164">
          <cell r="G164">
            <v>2</v>
          </cell>
        </row>
        <row r="172">
          <cell r="G172">
            <v>10</v>
          </cell>
        </row>
        <row r="210">
          <cell r="G210">
            <v>229</v>
          </cell>
          <cell r="K210">
            <v>356782</v>
          </cell>
        </row>
        <row r="215">
          <cell r="G215">
            <v>1</v>
          </cell>
          <cell r="K215">
            <v>75000</v>
          </cell>
        </row>
        <row r="216">
          <cell r="G216">
            <v>1</v>
          </cell>
          <cell r="K216">
            <v>466553</v>
          </cell>
        </row>
        <row r="217">
          <cell r="G217">
            <v>1</v>
          </cell>
          <cell r="K217">
            <v>11006</v>
          </cell>
        </row>
        <row r="218">
          <cell r="G218">
            <v>1</v>
          </cell>
          <cell r="K218">
            <v>200000</v>
          </cell>
        </row>
        <row r="222">
          <cell r="G222">
            <v>1</v>
          </cell>
          <cell r="K222">
            <v>5000</v>
          </cell>
        </row>
        <row r="223">
          <cell r="G223">
            <v>1</v>
          </cell>
          <cell r="K223">
            <v>7500</v>
          </cell>
        </row>
        <row r="224">
          <cell r="G224">
            <v>1</v>
          </cell>
          <cell r="K224">
            <v>15000</v>
          </cell>
        </row>
        <row r="225">
          <cell r="G225">
            <v>1</v>
          </cell>
          <cell r="K225">
            <v>562190.93999999994</v>
          </cell>
        </row>
        <row r="229">
          <cell r="G229">
            <v>1</v>
          </cell>
          <cell r="K229">
            <v>85168</v>
          </cell>
        </row>
        <row r="230">
          <cell r="G230">
            <v>1</v>
          </cell>
          <cell r="K230">
            <v>67440</v>
          </cell>
        </row>
        <row r="231">
          <cell r="G231">
            <v>1</v>
          </cell>
          <cell r="K231">
            <v>215140</v>
          </cell>
        </row>
        <row r="235">
          <cell r="G235">
            <v>1</v>
          </cell>
          <cell r="K235">
            <v>162550</v>
          </cell>
        </row>
        <row r="237">
          <cell r="G237">
            <v>1</v>
          </cell>
          <cell r="K237">
            <v>15000</v>
          </cell>
        </row>
        <row r="246">
          <cell r="G246">
            <v>1</v>
          </cell>
          <cell r="K246">
            <v>192198</v>
          </cell>
        </row>
        <row r="248">
          <cell r="G248">
            <v>1</v>
          </cell>
          <cell r="K248">
            <v>150000</v>
          </cell>
        </row>
        <row r="250">
          <cell r="G250">
            <v>1</v>
          </cell>
          <cell r="K250">
            <v>7000</v>
          </cell>
        </row>
        <row r="251">
          <cell r="G251">
            <v>229</v>
          </cell>
          <cell r="K251">
            <v>2568931.2380952383</v>
          </cell>
        </row>
        <row r="261">
          <cell r="G261">
            <v>1</v>
          </cell>
          <cell r="K261">
            <v>1384327</v>
          </cell>
        </row>
        <row r="262">
          <cell r="K262">
            <v>446750</v>
          </cell>
        </row>
        <row r="264">
          <cell r="G264">
            <v>1</v>
          </cell>
          <cell r="K264">
            <v>5000</v>
          </cell>
        </row>
        <row r="265">
          <cell r="G265">
            <v>1</v>
          </cell>
          <cell r="K265">
            <v>200000</v>
          </cell>
        </row>
        <row r="266">
          <cell r="G266">
            <v>1</v>
          </cell>
          <cell r="K266">
            <v>10000</v>
          </cell>
        </row>
        <row r="270">
          <cell r="G270">
            <v>1</v>
          </cell>
          <cell r="K270">
            <v>499900</v>
          </cell>
        </row>
        <row r="271">
          <cell r="G271">
            <v>1</v>
          </cell>
          <cell r="K271">
            <v>132664</v>
          </cell>
        </row>
        <row r="273">
          <cell r="G273">
            <v>1</v>
          </cell>
          <cell r="K273">
            <v>125900</v>
          </cell>
        </row>
        <row r="277">
          <cell r="G277">
            <v>1</v>
          </cell>
          <cell r="K277">
            <v>977434</v>
          </cell>
        </row>
        <row r="278">
          <cell r="G278">
            <v>1</v>
          </cell>
          <cell r="K278">
            <v>20837</v>
          </cell>
        </row>
        <row r="313">
          <cell r="G313">
            <v>2</v>
          </cell>
          <cell r="K313">
            <v>39000</v>
          </cell>
        </row>
        <row r="314">
          <cell r="G314">
            <v>2</v>
          </cell>
          <cell r="K314">
            <v>4000</v>
          </cell>
        </row>
      </sheetData>
      <sheetData sheetId="2">
        <row r="2">
          <cell r="O2">
            <v>60883</v>
          </cell>
          <cell r="S2">
            <v>4654</v>
          </cell>
        </row>
        <row r="3">
          <cell r="E3">
            <v>0</v>
          </cell>
          <cell r="I3">
            <v>134</v>
          </cell>
          <cell r="J3">
            <v>121766</v>
          </cell>
          <cell r="O3">
            <v>2</v>
          </cell>
          <cell r="S3">
            <v>4799</v>
          </cell>
        </row>
        <row r="4">
          <cell r="E4">
            <v>71</v>
          </cell>
          <cell r="O4">
            <v>4</v>
          </cell>
        </row>
        <row r="5">
          <cell r="E5">
            <v>63</v>
          </cell>
          <cell r="O5">
            <v>5</v>
          </cell>
        </row>
        <row r="6">
          <cell r="E6">
            <v>0</v>
          </cell>
          <cell r="O6">
            <v>0</v>
          </cell>
          <cell r="S6">
            <v>1328</v>
          </cell>
        </row>
        <row r="7">
          <cell r="E7">
            <v>0</v>
          </cell>
          <cell r="O7">
            <v>0</v>
          </cell>
        </row>
        <row r="8">
          <cell r="O8">
            <v>992.32222805132096</v>
          </cell>
          <cell r="S8">
            <v>0</v>
          </cell>
        </row>
        <row r="9">
          <cell r="B9">
            <v>5.5500000000000007</v>
          </cell>
          <cell r="O9">
            <v>615</v>
          </cell>
          <cell r="S9">
            <v>0</v>
          </cell>
        </row>
        <row r="10">
          <cell r="F10">
            <v>0</v>
          </cell>
          <cell r="O10">
            <v>7443.333333333333</v>
          </cell>
          <cell r="S10">
            <v>0</v>
          </cell>
        </row>
        <row r="11">
          <cell r="F11">
            <v>0</v>
          </cell>
          <cell r="O11">
            <v>106187</v>
          </cell>
          <cell r="S11">
            <v>97500</v>
          </cell>
        </row>
        <row r="12">
          <cell r="F12">
            <v>190</v>
          </cell>
          <cell r="O12">
            <v>114</v>
          </cell>
          <cell r="S12">
            <v>0</v>
          </cell>
        </row>
        <row r="13">
          <cell r="F13">
            <v>3</v>
          </cell>
          <cell r="O13">
            <v>82447</v>
          </cell>
          <cell r="S13">
            <v>0</v>
          </cell>
        </row>
        <row r="14">
          <cell r="F14">
            <v>0</v>
          </cell>
          <cell r="O14">
            <v>0</v>
          </cell>
          <cell r="S14">
            <v>0</v>
          </cell>
        </row>
        <row r="15">
          <cell r="O15">
            <v>0</v>
          </cell>
          <cell r="S15">
            <v>0</v>
          </cell>
        </row>
        <row r="16">
          <cell r="O16">
            <v>2392.5</v>
          </cell>
          <cell r="S16">
            <v>14079</v>
          </cell>
        </row>
        <row r="21">
          <cell r="G21">
            <v>18</v>
          </cell>
        </row>
        <row r="23">
          <cell r="H23">
            <v>4000</v>
          </cell>
        </row>
        <row r="27">
          <cell r="H27">
            <v>7500</v>
          </cell>
        </row>
        <row r="28">
          <cell r="G28">
            <v>300</v>
          </cell>
        </row>
        <row r="30">
          <cell r="G30">
            <v>1</v>
          </cell>
        </row>
        <row r="57">
          <cell r="G57">
            <v>992.32222805132096</v>
          </cell>
          <cell r="K57">
            <v>91511.955870892823</v>
          </cell>
        </row>
        <row r="64">
          <cell r="G64">
            <v>2</v>
          </cell>
        </row>
        <row r="70">
          <cell r="G70">
            <v>2</v>
          </cell>
          <cell r="K70">
            <v>2062</v>
          </cell>
        </row>
        <row r="113">
          <cell r="H113">
            <v>4500</v>
          </cell>
        </row>
        <row r="117">
          <cell r="G117">
            <v>1</v>
          </cell>
        </row>
        <row r="121">
          <cell r="G121">
            <v>1</v>
          </cell>
        </row>
        <row r="122">
          <cell r="G122">
            <v>1</v>
          </cell>
        </row>
        <row r="148">
          <cell r="G148">
            <v>2</v>
          </cell>
        </row>
        <row r="152">
          <cell r="G152">
            <v>4</v>
          </cell>
        </row>
        <row r="153">
          <cell r="G153">
            <v>2</v>
          </cell>
        </row>
        <row r="160">
          <cell r="G160">
            <v>1</v>
          </cell>
        </row>
        <row r="162">
          <cell r="G162">
            <v>1</v>
          </cell>
          <cell r="K162">
            <v>35000</v>
          </cell>
        </row>
        <row r="164">
          <cell r="G164">
            <v>2</v>
          </cell>
        </row>
        <row r="172">
          <cell r="G172">
            <v>4</v>
          </cell>
        </row>
        <row r="210">
          <cell r="G210">
            <v>134</v>
          </cell>
          <cell r="K210">
            <v>222842</v>
          </cell>
        </row>
        <row r="215">
          <cell r="G215">
            <v>1</v>
          </cell>
          <cell r="K215">
            <v>50000</v>
          </cell>
        </row>
        <row r="216">
          <cell r="G216">
            <v>1</v>
          </cell>
          <cell r="K216">
            <v>194569</v>
          </cell>
        </row>
        <row r="217">
          <cell r="G217">
            <v>1</v>
          </cell>
          <cell r="K217">
            <v>6408</v>
          </cell>
        </row>
        <row r="218">
          <cell r="G218">
            <v>1</v>
          </cell>
          <cell r="K218">
            <v>100000</v>
          </cell>
        </row>
        <row r="222">
          <cell r="G222">
            <v>1</v>
          </cell>
          <cell r="K222">
            <v>5000</v>
          </cell>
        </row>
        <row r="223">
          <cell r="G223">
            <v>1</v>
          </cell>
          <cell r="K223">
            <v>7500</v>
          </cell>
        </row>
        <row r="224">
          <cell r="G224">
            <v>1</v>
          </cell>
          <cell r="K224">
            <v>7500</v>
          </cell>
        </row>
        <row r="225">
          <cell r="G225">
            <v>1</v>
          </cell>
          <cell r="K225">
            <v>183785</v>
          </cell>
        </row>
        <row r="229">
          <cell r="G229">
            <v>1</v>
          </cell>
          <cell r="K229">
            <v>31119</v>
          </cell>
        </row>
        <row r="230">
          <cell r="G230">
            <v>1</v>
          </cell>
          <cell r="K230">
            <v>30492</v>
          </cell>
        </row>
        <row r="231">
          <cell r="G231">
            <v>1</v>
          </cell>
          <cell r="K231">
            <v>80762</v>
          </cell>
        </row>
        <row r="235">
          <cell r="G235">
            <v>1</v>
          </cell>
          <cell r="K235">
            <v>23250</v>
          </cell>
        </row>
        <row r="237">
          <cell r="G237">
            <v>1</v>
          </cell>
          <cell r="K237">
            <v>10000</v>
          </cell>
        </row>
        <row r="246">
          <cell r="G246">
            <v>1</v>
          </cell>
          <cell r="K246">
            <v>70670</v>
          </cell>
        </row>
        <row r="248">
          <cell r="G248">
            <v>1</v>
          </cell>
          <cell r="K248">
            <v>50000</v>
          </cell>
        </row>
        <row r="250">
          <cell r="G250">
            <v>1</v>
          </cell>
          <cell r="K250">
            <v>7000</v>
          </cell>
        </row>
        <row r="251">
          <cell r="G251">
            <v>134</v>
          </cell>
          <cell r="K251">
            <v>1064801.8388278389</v>
          </cell>
        </row>
        <row r="261">
          <cell r="G261">
            <v>1</v>
          </cell>
          <cell r="K261">
            <v>470868</v>
          </cell>
        </row>
        <row r="262">
          <cell r="K262">
            <v>100000</v>
          </cell>
        </row>
        <row r="264">
          <cell r="G264">
            <v>1</v>
          </cell>
          <cell r="K264">
            <v>5000</v>
          </cell>
        </row>
        <row r="265">
          <cell r="G265">
            <v>1</v>
          </cell>
          <cell r="K265">
            <v>75000</v>
          </cell>
        </row>
        <row r="266">
          <cell r="G266">
            <v>1</v>
          </cell>
          <cell r="K266">
            <v>10000</v>
          </cell>
        </row>
        <row r="270">
          <cell r="K270">
            <v>0</v>
          </cell>
        </row>
        <row r="271">
          <cell r="K271">
            <v>0</v>
          </cell>
        </row>
        <row r="273">
          <cell r="K273">
            <v>0</v>
          </cell>
        </row>
        <row r="277">
          <cell r="G277">
            <v>0</v>
          </cell>
          <cell r="K277">
            <v>0</v>
          </cell>
        </row>
        <row r="278">
          <cell r="G278">
            <v>1</v>
          </cell>
          <cell r="K278">
            <v>20837</v>
          </cell>
        </row>
        <row r="313">
          <cell r="G313">
            <v>1</v>
          </cell>
          <cell r="K313">
            <v>19500</v>
          </cell>
        </row>
        <row r="314">
          <cell r="G314">
            <v>1</v>
          </cell>
          <cell r="K314">
            <v>2000</v>
          </cell>
        </row>
      </sheetData>
      <sheetData sheetId="3" refreshError="1"/>
      <sheetData sheetId="4" refreshError="1"/>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update_checklist"/>
      <sheetName val="For_Side-By-Side"/>
      <sheetName val="Praxis_Dev_Cost"/>
      <sheetName val="Praxis_Expenses"/>
      <sheetName val="IS_Comp (TP)"/>
      <sheetName val="Input"/>
      <sheetName val="Draw_Sched"/>
      <sheetName val="Rates"/>
      <sheetName val="Ovation_Expenses"/>
      <sheetName val="Insurance_Bonds"/>
      <sheetName val="Parcel Data"/>
      <sheetName val="re_tax_backup"/>
      <sheetName val="Historical_Recap"/>
      <sheetName val="for_forward_planning"/>
      <sheetName val="Updates"/>
      <sheetName val="Timing"/>
      <sheetName val="SC_Comp_w_Master"/>
      <sheetName val="Soft_Cost_Detail"/>
      <sheetName val="Hard_Cost_Detail"/>
      <sheetName val="Financing"/>
      <sheetName val="UW_Highlights"/>
      <sheetName val="Cover"/>
      <sheetName val="Ovation_Fees_Comp"/>
      <sheetName val="Source_Use_Comp"/>
      <sheetName val="IS_Comp"/>
      <sheetName val="HC_Comp"/>
      <sheetName val="Const_Comp"/>
      <sheetName val="Op_CF_Comp"/>
      <sheetName val="Capital_Comp"/>
      <sheetName val="Project_Sum"/>
      <sheetName val="Const_Cost_Summ"/>
      <sheetName val="Stab_Ops"/>
      <sheetName val="Income"/>
      <sheetName val="unit_matrix"/>
      <sheetName val="HUD_Max_Rents"/>
      <sheetName val="Expenses"/>
      <sheetName val="Lease Up"/>
      <sheetName val="Construction_Interest"/>
      <sheetName val="Operating_Debt"/>
      <sheetName val="Operating"/>
      <sheetName val="TaxCredits"/>
      <sheetName val="Reserves"/>
      <sheetName val="Debt"/>
      <sheetName val="Flow"/>
      <sheetName val="Interest_Sanity_Test"/>
      <sheetName val="Depreciation"/>
      <sheetName val="InvestorBenefits"/>
      <sheetName val="Quarterly IRR"/>
      <sheetName val="HOME_Units"/>
      <sheetName val="Use of Cash"/>
      <sheetName val="Ovation_Fees_Comp (2)"/>
      <sheetName val="Source_Use_Comp (2)"/>
      <sheetName val="IS_Comp (2)"/>
      <sheetName val="HC_Comp (2)"/>
      <sheetName val="Const_Comp (2)"/>
      <sheetName val="Op_CF_Comp (2)"/>
      <sheetName val="Capital_Comp (2)"/>
      <sheetName val="GAHP"/>
      <sheetName val="CHF_Loan"/>
      <sheetName val="Sponsor_Loan"/>
      <sheetName val="Citi_Salary_Schedule"/>
      <sheetName val="Draw_Curve"/>
      <sheetName val="Sensitivities"/>
      <sheetName val="Cap_Draw_Comp"/>
      <sheetName val="Const_Int_Comp"/>
      <sheetName val="Draw_Curves_Comp"/>
    </sheetNames>
    <sheetDataSet>
      <sheetData sheetId="0"/>
      <sheetData sheetId="1"/>
      <sheetData sheetId="2"/>
      <sheetData sheetId="3"/>
      <sheetData sheetId="4"/>
      <sheetData sheetId="5">
        <row r="13">
          <cell r="C13">
            <v>363</v>
          </cell>
        </row>
        <row r="20">
          <cell r="C20">
            <v>311142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AF24D-98D3-482B-BA24-4E74F444E903}">
  <dimension ref="A1:H1"/>
  <sheetViews>
    <sheetView workbookViewId="0"/>
  </sheetViews>
  <sheetFormatPr defaultRowHeight="15"/>
  <cols>
    <col min="1" max="1" width="15.7109375" bestFit="1" customWidth="1"/>
    <col min="2" max="2" width="11.28515625" bestFit="1" customWidth="1"/>
    <col min="3" max="3" width="11.140625" bestFit="1" customWidth="1"/>
    <col min="4" max="4" width="6" bestFit="1" customWidth="1"/>
    <col min="5" max="5" width="9.140625" bestFit="1" customWidth="1"/>
    <col min="6" max="6" width="8.42578125" bestFit="1" customWidth="1"/>
    <col min="7" max="7" width="16" bestFit="1" customWidth="1"/>
    <col min="8" max="8" width="12.140625" bestFit="1" customWidth="1"/>
  </cols>
  <sheetData>
    <row r="1" spans="1:8">
      <c r="A1" t="s">
        <v>0</v>
      </c>
      <c r="B1" t="s">
        <v>1</v>
      </c>
      <c r="C1" t="s">
        <v>2</v>
      </c>
      <c r="D1" t="s">
        <v>3</v>
      </c>
      <c r="E1" t="s">
        <v>4</v>
      </c>
      <c r="F1" t="s">
        <v>5</v>
      </c>
      <c r="G1" t="s">
        <v>6</v>
      </c>
      <c r="H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6C1D-0AF3-4FB3-80E8-8D53F9CD6935}">
  <sheetPr>
    <tabColor theme="6" tint="0.39997558519241921"/>
    <pageSetUpPr fitToPage="1"/>
  </sheetPr>
  <dimension ref="A1:AQ513"/>
  <sheetViews>
    <sheetView showGridLines="0" tabSelected="1" view="pageBreakPreview" zoomScale="70" zoomScaleNormal="100" zoomScaleSheetLayoutView="70" workbookViewId="0">
      <pane xSplit="1" ySplit="13" topLeftCell="B15" activePane="bottomRight" state="frozen"/>
      <selection pane="bottomRight" activeCell="B1" sqref="B1"/>
      <selection pane="bottomLeft" activeCell="I20" sqref="I20"/>
      <selection pane="topRight" activeCell="I20" sqref="I20"/>
    </sheetView>
  </sheetViews>
  <sheetFormatPr defaultColWidth="9.140625" defaultRowHeight="15" outlineLevelRow="1"/>
  <cols>
    <col min="1" max="1" width="42.5703125" style="491" bestFit="1" customWidth="1"/>
    <col min="2" max="2" width="18.28515625" style="490" customWidth="1"/>
    <col min="3" max="3" width="17.85546875" style="490" bestFit="1" customWidth="1"/>
    <col min="4" max="4" width="20" style="490" customWidth="1"/>
    <col min="5" max="5" width="22.5703125" style="490" customWidth="1"/>
    <col min="6" max="6" width="14.85546875" style="490" customWidth="1"/>
    <col min="7" max="7" width="10.28515625" style="491" customWidth="1"/>
    <col min="8" max="8" width="16" style="491" bestFit="1" customWidth="1"/>
    <col min="9" max="9" width="13.140625" style="491" customWidth="1"/>
    <col min="10" max="10" width="16.5703125" style="491" bestFit="1" customWidth="1"/>
    <col min="11" max="11" width="17.42578125" style="491" customWidth="1"/>
    <col min="12" max="12" width="16" style="491" bestFit="1" customWidth="1"/>
    <col min="13" max="13" width="11.5703125" style="491" customWidth="1"/>
    <col min="14" max="14" width="23.42578125" style="491" customWidth="1"/>
    <col min="15" max="15" width="16.28515625" style="491" customWidth="1"/>
    <col min="16" max="16" width="8.85546875" style="491" customWidth="1"/>
    <col min="17" max="17" width="11" style="491" customWidth="1"/>
    <col min="18" max="18" width="18.28515625" style="491" customWidth="1"/>
    <col min="19" max="19" width="16" style="491" bestFit="1" customWidth="1"/>
    <col min="20" max="20" width="7.7109375" style="491" bestFit="1" customWidth="1"/>
    <col min="21" max="21" width="42" style="491" customWidth="1"/>
    <col min="22" max="22" width="9.140625" style="491"/>
    <col min="23" max="23" width="11" style="491" bestFit="1" customWidth="1"/>
    <col min="24" max="24" width="15" style="491" bestFit="1" customWidth="1"/>
    <col min="25" max="25" width="10.28515625" style="491" bestFit="1" customWidth="1"/>
    <col min="26" max="26" width="15.140625" style="491" bestFit="1" customWidth="1"/>
    <col min="27" max="27" width="12.5703125" style="491" customWidth="1"/>
    <col min="28" max="28" width="29.7109375" style="491" bestFit="1" customWidth="1"/>
    <col min="29" max="29" width="18.140625" style="491" bestFit="1" customWidth="1"/>
    <col min="30" max="31" width="9.140625" style="491"/>
    <col min="32" max="33" width="9.28515625" style="491" bestFit="1" customWidth="1"/>
    <col min="34" max="34" width="9.140625" style="491"/>
    <col min="35" max="35" width="10.5703125" style="491" bestFit="1" customWidth="1"/>
    <col min="36" max="36" width="9.140625" style="491" customWidth="1"/>
    <col min="37" max="38" width="9.140625" style="491"/>
    <col min="39" max="40" width="9.28515625" style="491" bestFit="1" customWidth="1"/>
    <col min="41" max="41" width="9.140625" style="491"/>
    <col min="42" max="42" width="12.85546875" style="491" customWidth="1"/>
    <col min="43" max="43" width="9.28515625" style="491" bestFit="1" customWidth="1"/>
    <col min="44" max="16384" width="9.140625" style="491"/>
  </cols>
  <sheetData>
    <row r="1" spans="1:43" ht="15.75" thickBot="1">
      <c r="A1" s="489" t="s">
        <v>8</v>
      </c>
      <c r="B1" s="489"/>
    </row>
    <row r="2" spans="1:43" ht="15.75" thickBot="1">
      <c r="A2" s="492" t="s">
        <v>9</v>
      </c>
      <c r="B2" s="493" t="s">
        <v>10</v>
      </c>
      <c r="J2" s="494" t="s">
        <v>11</v>
      </c>
      <c r="K2" s="495">
        <f>L319</f>
        <v>68910227.733412534</v>
      </c>
      <c r="M2" s="489" t="s">
        <v>12</v>
      </c>
      <c r="N2" s="489"/>
      <c r="O2" s="489"/>
      <c r="Q2" s="489" t="s">
        <v>13</v>
      </c>
      <c r="R2" s="489"/>
      <c r="S2" s="489"/>
    </row>
    <row r="3" spans="1:43">
      <c r="A3" s="496" t="s">
        <v>14</v>
      </c>
      <c r="B3" s="497" t="s">
        <v>15</v>
      </c>
      <c r="J3" s="490"/>
      <c r="K3" s="490"/>
      <c r="M3" s="498" t="s">
        <v>16</v>
      </c>
      <c r="N3" s="499" t="s">
        <v>17</v>
      </c>
      <c r="O3" s="499" t="s">
        <v>18</v>
      </c>
      <c r="Q3" s="496" t="s">
        <v>19</v>
      </c>
      <c r="R3" s="500"/>
      <c r="S3" s="497">
        <v>286</v>
      </c>
      <c r="AE3" s="501" t="s">
        <v>20</v>
      </c>
      <c r="AF3" s="502"/>
      <c r="AG3" s="502"/>
      <c r="AH3" s="502"/>
      <c r="AI3" s="502" t="s">
        <v>21</v>
      </c>
      <c r="AJ3" s="503">
        <f>21*7</f>
        <v>147</v>
      </c>
      <c r="AL3" s="501" t="s">
        <v>22</v>
      </c>
      <c r="AM3" s="502"/>
      <c r="AN3" s="502"/>
      <c r="AO3" s="502"/>
      <c r="AP3" s="502" t="s">
        <v>21</v>
      </c>
      <c r="AQ3" s="503">
        <f>15000+6560+6500+15400+4570+4635+4540+4250</f>
        <v>61455</v>
      </c>
    </row>
    <row r="4" spans="1:43">
      <c r="A4" s="496" t="s">
        <v>23</v>
      </c>
      <c r="B4" s="497" t="s">
        <v>24</v>
      </c>
      <c r="J4" s="494" t="s">
        <v>25</v>
      </c>
      <c r="K4" s="495">
        <f>K2/N9</f>
        <v>189835.33810857448</v>
      </c>
      <c r="M4" s="504" t="s">
        <v>26</v>
      </c>
      <c r="N4" s="505">
        <v>0</v>
      </c>
      <c r="O4" s="506">
        <f t="shared" ref="O4:O9" si="0">N4/$N$9</f>
        <v>0</v>
      </c>
      <c r="Q4" s="496" t="s">
        <v>27</v>
      </c>
      <c r="R4" s="500"/>
      <c r="S4" s="497"/>
      <c r="AE4" s="507" t="s">
        <v>28</v>
      </c>
      <c r="AJ4" s="508">
        <f>14*7</f>
        <v>98</v>
      </c>
      <c r="AL4" s="507" t="s">
        <v>28</v>
      </c>
      <c r="AQ4" s="508"/>
    </row>
    <row r="5" spans="1:43">
      <c r="A5" s="496" t="s">
        <v>29</v>
      </c>
      <c r="B5" s="509"/>
      <c r="F5" s="607"/>
      <c r="J5" s="490"/>
      <c r="K5" s="490"/>
      <c r="M5" s="510" t="s">
        <v>30</v>
      </c>
      <c r="N5" s="497">
        <f>'Assumptions &amp; Takeoffs'!B4+'Assumptions &amp; Takeoffs'!B5</f>
        <v>218</v>
      </c>
      <c r="O5" s="511">
        <f t="shared" si="0"/>
        <v>0.60055096418732778</v>
      </c>
      <c r="Q5" s="496" t="s">
        <v>31</v>
      </c>
      <c r="R5" s="500"/>
      <c r="S5" s="497">
        <v>112</v>
      </c>
      <c r="AE5" s="507" t="s">
        <v>32</v>
      </c>
      <c r="AF5" s="491">
        <f>21*4+8*8+7*6</f>
        <v>190</v>
      </c>
      <c r="AJ5" s="508">
        <f>8*22</f>
        <v>176</v>
      </c>
      <c r="AL5" s="507" t="s">
        <v>32</v>
      </c>
      <c r="AM5" s="491">
        <v>19256</v>
      </c>
      <c r="AQ5" s="508"/>
    </row>
    <row r="6" spans="1:43">
      <c r="A6" s="496" t="s">
        <v>33</v>
      </c>
      <c r="B6" s="512">
        <v>24</v>
      </c>
      <c r="J6" s="494" t="s">
        <v>34</v>
      </c>
      <c r="K6" s="495">
        <f>K2/B8</f>
        <v>190.05995441834162</v>
      </c>
      <c r="M6" s="510" t="s">
        <v>35</v>
      </c>
      <c r="N6" s="497">
        <f>'Assumptions &amp; Takeoffs'!B6+'Assumptions &amp; Takeoffs'!B7</f>
        <v>145</v>
      </c>
      <c r="O6" s="511">
        <f t="shared" si="0"/>
        <v>0.39944903581267216</v>
      </c>
      <c r="Q6" s="496" t="s">
        <v>36</v>
      </c>
      <c r="R6" s="500"/>
      <c r="S6" s="497">
        <v>14</v>
      </c>
      <c r="AE6" s="507" t="s">
        <v>37</v>
      </c>
      <c r="AF6" s="491">
        <f>14*4+21*2+8*6</f>
        <v>146</v>
      </c>
      <c r="AJ6" s="508">
        <f>7*10</f>
        <v>70</v>
      </c>
      <c r="AL6" s="507" t="s">
        <v>37</v>
      </c>
      <c r="AM6" s="491">
        <v>8980</v>
      </c>
      <c r="AQ6" s="508"/>
    </row>
    <row r="7" spans="1:43">
      <c r="A7" s="496" t="s">
        <v>38</v>
      </c>
      <c r="B7" s="497">
        <v>2</v>
      </c>
      <c r="J7" s="490"/>
      <c r="K7" s="490"/>
      <c r="M7" s="510" t="s">
        <v>39</v>
      </c>
      <c r="N7" s="497">
        <v>0</v>
      </c>
      <c r="O7" s="511">
        <f t="shared" si="0"/>
        <v>0</v>
      </c>
      <c r="Q7" s="496" t="s">
        <v>40</v>
      </c>
      <c r="R7" s="500"/>
      <c r="S7" s="497">
        <v>0</v>
      </c>
      <c r="AE7" s="507" t="s">
        <v>41</v>
      </c>
      <c r="AF7" s="491">
        <f>21*2+14*2+8*6</f>
        <v>118</v>
      </c>
      <c r="AJ7" s="508">
        <f>SUM(AJ3:AJ6)</f>
        <v>491</v>
      </c>
      <c r="AL7" s="507" t="s">
        <v>41</v>
      </c>
      <c r="AM7" s="491">
        <v>8850</v>
      </c>
      <c r="AQ7" s="508"/>
    </row>
    <row r="8" spans="1:43">
      <c r="A8" s="496" t="s">
        <v>42</v>
      </c>
      <c r="B8" s="512">
        <f>98509+136604+127458</f>
        <v>362571</v>
      </c>
      <c r="J8" s="494" t="s">
        <v>43</v>
      </c>
      <c r="K8" s="513">
        <f>'Assumptions &amp; Takeoffs'!D8/B8</f>
        <v>0.78175860727967761</v>
      </c>
      <c r="M8" s="514" t="s">
        <v>44</v>
      </c>
      <c r="N8" s="515">
        <v>0</v>
      </c>
      <c r="O8" s="516">
        <f t="shared" si="0"/>
        <v>0</v>
      </c>
      <c r="Q8" s="496" t="s">
        <v>45</v>
      </c>
      <c r="R8" s="500"/>
      <c r="S8" s="497">
        <f>SUM(S3:S7)</f>
        <v>412</v>
      </c>
      <c r="AE8" s="507" t="s">
        <v>46</v>
      </c>
      <c r="AF8" s="491">
        <f>21*2+14*8+8*12+7*8</f>
        <v>306</v>
      </c>
      <c r="AJ8" s="508"/>
      <c r="AL8" s="507" t="s">
        <v>46</v>
      </c>
      <c r="AM8" s="491">
        <v>19965</v>
      </c>
      <c r="AQ8" s="508"/>
    </row>
    <row r="9" spans="1:43" ht="15.75" thickBot="1">
      <c r="A9" s="496" t="s">
        <v>47</v>
      </c>
      <c r="B9" s="517">
        <v>17.350000000000001</v>
      </c>
      <c r="M9" s="518" t="s">
        <v>48</v>
      </c>
      <c r="N9" s="519">
        <f>SUM(N4:N8)</f>
        <v>363</v>
      </c>
      <c r="O9" s="520">
        <f t="shared" si="0"/>
        <v>1</v>
      </c>
      <c r="Q9" s="521" t="s">
        <v>49</v>
      </c>
      <c r="R9" s="522"/>
      <c r="S9" s="523">
        <f>S8/N9</f>
        <v>1.1349862258953167</v>
      </c>
      <c r="T9" s="524"/>
      <c r="AE9" s="507" t="s">
        <v>50</v>
      </c>
      <c r="AF9" s="491">
        <f>21*4+8*6</f>
        <v>132</v>
      </c>
      <c r="AG9" s="491">
        <f>SUM(AF5:AF9)</f>
        <v>892</v>
      </c>
      <c r="AJ9" s="508"/>
      <c r="AL9" s="507" t="s">
        <v>50</v>
      </c>
      <c r="AM9" s="491">
        <f>5870+6250+6290+5915</f>
        <v>24325</v>
      </c>
      <c r="AN9" s="491">
        <f>SUM(AM5:AM9)</f>
        <v>81376</v>
      </c>
      <c r="AQ9" s="508"/>
    </row>
    <row r="10" spans="1:43">
      <c r="A10" s="496" t="s">
        <v>51</v>
      </c>
      <c r="B10" s="512">
        <f>B9*43560</f>
        <v>755766.00000000012</v>
      </c>
      <c r="T10" s="524"/>
      <c r="AE10" s="507"/>
      <c r="AJ10" s="508"/>
      <c r="AL10" s="507"/>
      <c r="AQ10" s="508"/>
    </row>
    <row r="11" spans="1:43" ht="15.75" thickBot="1">
      <c r="A11" s="521" t="s">
        <v>52</v>
      </c>
      <c r="B11" s="525">
        <v>3</v>
      </c>
      <c r="T11" s="524"/>
      <c r="AE11" s="507" t="s">
        <v>53</v>
      </c>
      <c r="AI11" s="491" t="s">
        <v>54</v>
      </c>
      <c r="AJ11" s="508">
        <f>14*8</f>
        <v>112</v>
      </c>
      <c r="AL11" s="507" t="s">
        <v>53</v>
      </c>
      <c r="AP11" s="491" t="s">
        <v>54</v>
      </c>
      <c r="AQ11" s="508">
        <f>5782+5760+8825+9150</f>
        <v>29517</v>
      </c>
    </row>
    <row r="12" spans="1:43">
      <c r="T12" s="524"/>
      <c r="AE12" s="507" t="s">
        <v>32</v>
      </c>
      <c r="AJ12" s="508">
        <f>20*8</f>
        <v>160</v>
      </c>
      <c r="AL12" s="507" t="s">
        <v>32</v>
      </c>
      <c r="AQ12" s="508"/>
    </row>
    <row r="13" spans="1:43" ht="30.75" customHeight="1" thickBot="1">
      <c r="A13" s="526" t="s">
        <v>55</v>
      </c>
      <c r="B13" s="527" t="s">
        <v>56</v>
      </c>
      <c r="C13" s="527" t="s">
        <v>57</v>
      </c>
      <c r="D13" s="527" t="s">
        <v>58</v>
      </c>
      <c r="E13" s="527" t="s">
        <v>59</v>
      </c>
      <c r="F13" s="527" t="s">
        <v>60</v>
      </c>
      <c r="G13" s="527" t="s">
        <v>61</v>
      </c>
      <c r="H13" s="527" t="s">
        <v>62</v>
      </c>
      <c r="I13" s="528" t="s">
        <v>63</v>
      </c>
      <c r="J13" s="527" t="s">
        <v>64</v>
      </c>
      <c r="K13" s="527" t="s">
        <v>65</v>
      </c>
      <c r="L13" s="526" t="s">
        <v>66</v>
      </c>
      <c r="M13" s="529" t="s">
        <v>67</v>
      </c>
      <c r="N13" s="530"/>
      <c r="O13" s="530"/>
      <c r="P13" s="530"/>
      <c r="Q13" s="530"/>
      <c r="R13" s="530"/>
      <c r="S13" s="530"/>
      <c r="T13" s="530"/>
      <c r="U13" s="530"/>
    </row>
    <row r="14" spans="1:43" ht="14.25" hidden="1" customHeight="1" outlineLevel="1">
      <c r="A14" s="531" t="s">
        <v>68</v>
      </c>
      <c r="B14" s="532" t="s">
        <v>69</v>
      </c>
      <c r="C14" s="532" t="s">
        <v>70</v>
      </c>
      <c r="D14" s="532"/>
      <c r="E14" s="532"/>
      <c r="F14" s="532" t="s">
        <v>71</v>
      </c>
      <c r="G14" s="533">
        <f>$B$6</f>
        <v>24</v>
      </c>
      <c r="H14" s="534">
        <f>N324</f>
        <v>139138.87868068207</v>
      </c>
      <c r="I14" s="535">
        <v>0</v>
      </c>
      <c r="J14" s="536">
        <f t="shared" ref="J14" si="1">H14*(1+I14)</f>
        <v>139138.87868068207</v>
      </c>
      <c r="K14" s="536">
        <f>J14*G14</f>
        <v>3339333.08833637</v>
      </c>
      <c r="M14" s="500"/>
      <c r="N14" s="500"/>
      <c r="O14" s="500"/>
      <c r="P14" s="500"/>
      <c r="Q14" s="500"/>
      <c r="R14" s="500"/>
      <c r="S14" s="500"/>
      <c r="T14" s="500"/>
      <c r="U14" s="500"/>
    </row>
    <row r="15" spans="1:43" collapsed="1">
      <c r="A15" s="537" t="s">
        <v>72</v>
      </c>
      <c r="B15" s="538" t="s">
        <v>69</v>
      </c>
      <c r="C15" s="538"/>
      <c r="D15" s="538"/>
      <c r="E15" s="538"/>
      <c r="F15" s="538"/>
      <c r="G15" s="538"/>
      <c r="H15" s="539"/>
      <c r="I15" s="540"/>
      <c r="J15" s="541"/>
      <c r="K15" s="541"/>
      <c r="L15" s="542">
        <f>K14</f>
        <v>3339333.08833637</v>
      </c>
      <c r="M15" s="543"/>
      <c r="N15" s="543"/>
      <c r="O15" s="543"/>
      <c r="P15" s="543"/>
      <c r="Q15" s="543"/>
      <c r="R15" s="543"/>
      <c r="S15" s="543"/>
      <c r="T15" s="543"/>
      <c r="U15" s="543"/>
    </row>
    <row r="16" spans="1:43" hidden="1" outlineLevel="1">
      <c r="A16" s="544" t="s">
        <v>73</v>
      </c>
      <c r="B16" s="545" t="s">
        <v>74</v>
      </c>
      <c r="C16" s="545" t="s">
        <v>70</v>
      </c>
      <c r="D16" s="545" t="s">
        <v>75</v>
      </c>
      <c r="E16" s="545" t="s">
        <v>76</v>
      </c>
      <c r="F16" s="545"/>
      <c r="G16" s="546">
        <v>1</v>
      </c>
      <c r="H16" s="547">
        <v>16000</v>
      </c>
      <c r="I16" s="548">
        <v>0</v>
      </c>
      <c r="J16" s="309">
        <f>H16*(1+I16)</f>
        <v>16000</v>
      </c>
      <c r="K16" s="309">
        <f>J16*G16</f>
        <v>16000</v>
      </c>
      <c r="M16" s="549"/>
      <c r="N16" s="549"/>
      <c r="O16" s="549"/>
      <c r="P16" s="549"/>
      <c r="Q16" s="549"/>
      <c r="R16" s="549"/>
      <c r="S16" s="549"/>
      <c r="T16" s="549"/>
      <c r="U16" s="549"/>
    </row>
    <row r="17" spans="1:29" collapsed="1">
      <c r="A17" s="537" t="s">
        <v>77</v>
      </c>
      <c r="B17" s="538" t="s">
        <v>78</v>
      </c>
      <c r="C17" s="538"/>
      <c r="D17" s="538"/>
      <c r="E17" s="538"/>
      <c r="F17" s="538"/>
      <c r="G17" s="538"/>
      <c r="H17" s="539"/>
      <c r="I17" s="540"/>
      <c r="J17" s="541"/>
      <c r="K17" s="541"/>
      <c r="L17" s="542">
        <f>K16</f>
        <v>16000</v>
      </c>
      <c r="M17" s="543"/>
      <c r="N17" s="543"/>
      <c r="O17" s="543"/>
      <c r="P17" s="543"/>
      <c r="Q17" s="543"/>
      <c r="R17" s="543"/>
      <c r="S17" s="543"/>
      <c r="T17" s="543"/>
      <c r="U17" s="543"/>
    </row>
    <row r="18" spans="1:29" hidden="1" outlineLevel="1">
      <c r="A18" s="544" t="s">
        <v>79</v>
      </c>
      <c r="B18" s="545" t="s">
        <v>80</v>
      </c>
      <c r="C18" s="545" t="s">
        <v>70</v>
      </c>
      <c r="D18" s="545" t="s">
        <v>81</v>
      </c>
      <c r="E18" s="545" t="s">
        <v>82</v>
      </c>
      <c r="F18" s="545" t="s">
        <v>83</v>
      </c>
      <c r="G18" s="546">
        <v>1</v>
      </c>
      <c r="H18" s="550">
        <v>2185768</v>
      </c>
      <c r="I18" s="548">
        <v>0</v>
      </c>
      <c r="J18" s="551">
        <f t="shared" ref="J18:J20" si="2">H18*(1+I18)</f>
        <v>2185768</v>
      </c>
      <c r="K18" s="309">
        <f t="shared" ref="K18:K27" si="3">J18*G18</f>
        <v>2185768</v>
      </c>
      <c r="M18" s="549" t="s">
        <v>84</v>
      </c>
      <c r="N18" s="549"/>
      <c r="O18" s="549" t="s">
        <v>85</v>
      </c>
      <c r="P18" s="549"/>
      <c r="Q18" s="549"/>
      <c r="R18" s="549"/>
      <c r="S18" s="549"/>
      <c r="T18" s="549"/>
      <c r="U18" s="549"/>
      <c r="V18" s="490"/>
    </row>
    <row r="19" spans="1:29" hidden="1" outlineLevel="1">
      <c r="A19" s="552" t="s">
        <v>86</v>
      </c>
      <c r="B19" s="553" t="s">
        <v>80</v>
      </c>
      <c r="C19" s="553" t="s">
        <v>70</v>
      </c>
      <c r="D19" s="553" t="s">
        <v>81</v>
      </c>
      <c r="E19" s="553" t="s">
        <v>87</v>
      </c>
      <c r="F19" s="553"/>
      <c r="G19" s="554"/>
      <c r="H19" s="555"/>
      <c r="I19" s="556"/>
      <c r="J19" s="551">
        <f>H19*(1+I19)</f>
        <v>0</v>
      </c>
      <c r="K19" s="309">
        <f t="shared" si="3"/>
        <v>0</v>
      </c>
      <c r="M19" s="500"/>
      <c r="N19" s="500"/>
      <c r="O19" s="500"/>
      <c r="P19" s="500"/>
      <c r="Q19" s="500"/>
      <c r="R19" s="500"/>
      <c r="S19" s="500"/>
      <c r="T19" s="500"/>
      <c r="U19" s="500"/>
      <c r="V19" s="490"/>
      <c r="AB19" s="491" t="s">
        <v>88</v>
      </c>
      <c r="AC19" s="575">
        <v>1833769</v>
      </c>
    </row>
    <row r="20" spans="1:29" hidden="1" outlineLevel="1">
      <c r="A20" s="552" t="s">
        <v>89</v>
      </c>
      <c r="B20" s="553" t="s">
        <v>80</v>
      </c>
      <c r="C20" s="553" t="s">
        <v>90</v>
      </c>
      <c r="D20" s="553" t="s">
        <v>81</v>
      </c>
      <c r="E20" s="557" t="s">
        <v>76</v>
      </c>
      <c r="F20" s="553" t="s">
        <v>83</v>
      </c>
      <c r="G20" s="554">
        <v>1</v>
      </c>
      <c r="H20" s="555">
        <v>7500</v>
      </c>
      <c r="I20" s="556">
        <v>0</v>
      </c>
      <c r="J20" s="551">
        <f t="shared" si="2"/>
        <v>7500</v>
      </c>
      <c r="K20" s="309">
        <f t="shared" si="3"/>
        <v>7500</v>
      </c>
      <c r="M20" s="500"/>
      <c r="N20" s="500"/>
      <c r="O20" s="500"/>
      <c r="P20" s="500"/>
      <c r="Q20" s="500"/>
      <c r="R20" s="500"/>
      <c r="S20" s="500"/>
      <c r="T20" s="500"/>
      <c r="U20" s="500"/>
      <c r="V20" s="490"/>
      <c r="AB20" s="491" t="s">
        <v>91</v>
      </c>
      <c r="AC20" s="575">
        <v>1812662</v>
      </c>
    </row>
    <row r="21" spans="1:29" hidden="1" outlineLevel="1">
      <c r="A21" s="552" t="s">
        <v>92</v>
      </c>
      <c r="B21" s="553" t="s">
        <v>80</v>
      </c>
      <c r="C21" s="553" t="s">
        <v>70</v>
      </c>
      <c r="D21" s="553" t="s">
        <v>93</v>
      </c>
      <c r="E21" s="553" t="s">
        <v>76</v>
      </c>
      <c r="F21" s="557" t="s">
        <v>83</v>
      </c>
      <c r="G21" s="558">
        <v>1</v>
      </c>
      <c r="H21" s="555">
        <v>8500</v>
      </c>
      <c r="I21" s="556"/>
      <c r="J21" s="551">
        <f>H21*(1+I21)</f>
        <v>8500</v>
      </c>
      <c r="K21" s="309">
        <f t="shared" si="3"/>
        <v>8500</v>
      </c>
      <c r="M21" s="500"/>
      <c r="N21" s="500"/>
      <c r="O21" s="500"/>
      <c r="P21" s="500"/>
      <c r="Q21" s="500"/>
      <c r="R21" s="500"/>
      <c r="S21" s="500"/>
      <c r="T21" s="500"/>
      <c r="U21" s="500"/>
      <c r="V21" s="490"/>
      <c r="AB21" s="491" t="s">
        <v>94</v>
      </c>
      <c r="AC21" s="575">
        <v>1542922</v>
      </c>
    </row>
    <row r="22" spans="1:29" hidden="1" outlineLevel="1">
      <c r="A22" s="552" t="s">
        <v>95</v>
      </c>
      <c r="B22" s="553" t="s">
        <v>96</v>
      </c>
      <c r="C22" s="553" t="s">
        <v>70</v>
      </c>
      <c r="D22" s="553" t="s">
        <v>97</v>
      </c>
      <c r="E22" s="553" t="s">
        <v>82</v>
      </c>
      <c r="F22" s="553" t="s">
        <v>98</v>
      </c>
      <c r="G22" s="554">
        <f>'Assumptions &amp; Takeoffs'!B14</f>
        <v>14</v>
      </c>
      <c r="H22" s="555">
        <v>2958</v>
      </c>
      <c r="I22" s="556">
        <v>0</v>
      </c>
      <c r="J22" s="551">
        <f t="shared" ref="J22:J27" si="4">H22*(1+I22)</f>
        <v>2958</v>
      </c>
      <c r="K22" s="309">
        <f>J22*G22</f>
        <v>41412</v>
      </c>
      <c r="M22" s="500" t="s">
        <v>99</v>
      </c>
      <c r="N22" s="500"/>
      <c r="O22" s="500"/>
      <c r="P22" s="500"/>
      <c r="Q22" s="500"/>
      <c r="R22" s="500"/>
      <c r="S22" s="500"/>
      <c r="T22" s="500"/>
      <c r="U22" s="500"/>
      <c r="V22" s="490"/>
      <c r="AB22" s="491" t="s">
        <v>100</v>
      </c>
      <c r="AC22" s="575">
        <v>6634921</v>
      </c>
    </row>
    <row r="23" spans="1:29" hidden="1" outlineLevel="1">
      <c r="A23" s="552" t="s">
        <v>101</v>
      </c>
      <c r="B23" s="553" t="s">
        <v>102</v>
      </c>
      <c r="C23" s="553" t="s">
        <v>70</v>
      </c>
      <c r="D23" s="553" t="s">
        <v>103</v>
      </c>
      <c r="E23" s="553" t="s">
        <v>76</v>
      </c>
      <c r="F23" s="553" t="s">
        <v>83</v>
      </c>
      <c r="G23" s="554">
        <v>1</v>
      </c>
      <c r="H23" s="555">
        <v>23959</v>
      </c>
      <c r="I23" s="556">
        <v>0</v>
      </c>
      <c r="J23" s="551">
        <f t="shared" si="4"/>
        <v>23959</v>
      </c>
      <c r="K23" s="309">
        <f t="shared" si="3"/>
        <v>23959</v>
      </c>
      <c r="M23" s="500"/>
      <c r="N23" s="500"/>
      <c r="O23" s="500"/>
      <c r="P23" s="500"/>
      <c r="Q23" s="500"/>
      <c r="R23" s="500"/>
      <c r="S23" s="500"/>
      <c r="T23" s="500"/>
      <c r="U23" s="500"/>
      <c r="V23" s="490"/>
      <c r="AB23" s="491" t="s">
        <v>104</v>
      </c>
      <c r="AC23" s="575">
        <v>3325080</v>
      </c>
    </row>
    <row r="24" spans="1:29" hidden="1" outlineLevel="1">
      <c r="A24" s="552" t="s">
        <v>105</v>
      </c>
      <c r="B24" s="553" t="s">
        <v>106</v>
      </c>
      <c r="C24" s="553" t="s">
        <v>70</v>
      </c>
      <c r="D24" s="553" t="s">
        <v>103</v>
      </c>
      <c r="E24" s="553" t="s">
        <v>76</v>
      </c>
      <c r="F24" s="553" t="s">
        <v>83</v>
      </c>
      <c r="G24" s="554">
        <v>1</v>
      </c>
      <c r="H24" s="555">
        <v>6500</v>
      </c>
      <c r="I24" s="556">
        <v>0</v>
      </c>
      <c r="J24" s="551">
        <f t="shared" si="4"/>
        <v>6500</v>
      </c>
      <c r="K24" s="309">
        <f t="shared" si="3"/>
        <v>6500</v>
      </c>
      <c r="M24" s="500"/>
      <c r="N24" s="500"/>
      <c r="O24" s="500"/>
      <c r="P24" s="500"/>
      <c r="Q24" s="500"/>
      <c r="R24" s="500"/>
      <c r="S24" s="500"/>
      <c r="T24" s="500"/>
      <c r="U24" s="500"/>
      <c r="V24" s="490"/>
      <c r="AB24" s="491" t="s">
        <v>107</v>
      </c>
      <c r="AC24" s="575">
        <v>4641350</v>
      </c>
    </row>
    <row r="25" spans="1:29" hidden="1" outlineLevel="1">
      <c r="A25" s="552" t="s">
        <v>108</v>
      </c>
      <c r="B25" s="553" t="s">
        <v>109</v>
      </c>
      <c r="C25" s="553" t="s">
        <v>70</v>
      </c>
      <c r="D25" s="553" t="s">
        <v>110</v>
      </c>
      <c r="E25" s="553" t="s">
        <v>76</v>
      </c>
      <c r="F25" s="553" t="s">
        <v>83</v>
      </c>
      <c r="G25" s="554">
        <v>1</v>
      </c>
      <c r="H25" s="555">
        <v>4290</v>
      </c>
      <c r="I25" s="556">
        <v>0</v>
      </c>
      <c r="J25" s="551">
        <f t="shared" si="4"/>
        <v>4290</v>
      </c>
      <c r="K25" s="309">
        <f t="shared" si="3"/>
        <v>4290</v>
      </c>
      <c r="M25" s="500" t="s">
        <v>99</v>
      </c>
      <c r="N25" s="500"/>
      <c r="O25" s="500"/>
      <c r="P25" s="500"/>
      <c r="Q25" s="500"/>
      <c r="R25" s="500"/>
      <c r="S25" s="500"/>
      <c r="T25" s="500"/>
      <c r="U25" s="500"/>
      <c r="V25" s="490"/>
      <c r="AB25" s="491" t="s">
        <v>111</v>
      </c>
      <c r="AC25" s="575"/>
    </row>
    <row r="26" spans="1:29" hidden="1" outlineLevel="1">
      <c r="A26" s="559" t="s">
        <v>112</v>
      </c>
      <c r="B26" s="560" t="s">
        <v>113</v>
      </c>
      <c r="C26" s="560" t="s">
        <v>70</v>
      </c>
      <c r="D26" s="560" t="s">
        <v>81</v>
      </c>
      <c r="E26" s="560" t="s">
        <v>82</v>
      </c>
      <c r="F26" s="560" t="s">
        <v>83</v>
      </c>
      <c r="G26" s="561">
        <v>1</v>
      </c>
      <c r="H26" s="562">
        <f>73410+103920+96980</f>
        <v>274310</v>
      </c>
      <c r="I26" s="563">
        <v>0</v>
      </c>
      <c r="J26" s="564">
        <f t="shared" si="4"/>
        <v>274310</v>
      </c>
      <c r="K26" s="309">
        <f t="shared" si="3"/>
        <v>274310</v>
      </c>
      <c r="M26" s="500" t="s">
        <v>114</v>
      </c>
      <c r="N26" s="500"/>
      <c r="O26" s="500" t="s">
        <v>115</v>
      </c>
      <c r="P26" s="500"/>
      <c r="Q26" s="500"/>
      <c r="R26" s="500"/>
      <c r="S26" s="500"/>
      <c r="T26" s="500"/>
      <c r="U26" s="500"/>
      <c r="V26" s="490"/>
      <c r="AB26" s="491" t="s">
        <v>116</v>
      </c>
      <c r="AC26" s="575"/>
    </row>
    <row r="27" spans="1:29" hidden="1" outlineLevel="1">
      <c r="A27" s="552" t="s">
        <v>117</v>
      </c>
      <c r="B27" s="553" t="s">
        <v>118</v>
      </c>
      <c r="C27" s="553" t="s">
        <v>70</v>
      </c>
      <c r="D27" s="553" t="s">
        <v>81</v>
      </c>
      <c r="E27" s="553" t="s">
        <v>82</v>
      </c>
      <c r="F27" s="553" t="s">
        <v>83</v>
      </c>
      <c r="G27" s="554">
        <v>1</v>
      </c>
      <c r="H27" s="565">
        <f>10030+12540+10030</f>
        <v>32600</v>
      </c>
      <c r="I27" s="556">
        <v>0</v>
      </c>
      <c r="J27" s="566">
        <f t="shared" si="4"/>
        <v>32600</v>
      </c>
      <c r="K27" s="309">
        <f t="shared" si="3"/>
        <v>32600</v>
      </c>
      <c r="M27" s="500" t="s">
        <v>114</v>
      </c>
      <c r="N27" s="500"/>
      <c r="O27" s="500" t="s">
        <v>119</v>
      </c>
      <c r="P27" s="500"/>
      <c r="Q27" s="500"/>
      <c r="R27" s="500"/>
      <c r="S27" s="500"/>
      <c r="T27" s="500"/>
      <c r="U27" s="500"/>
      <c r="V27" s="490"/>
      <c r="AB27" s="491" t="s">
        <v>120</v>
      </c>
      <c r="AC27" s="575">
        <v>3860853</v>
      </c>
    </row>
    <row r="28" spans="1:29" collapsed="1">
      <c r="A28" s="537" t="s">
        <v>121</v>
      </c>
      <c r="B28" s="538" t="s">
        <v>122</v>
      </c>
      <c r="C28" s="538"/>
      <c r="D28" s="538"/>
      <c r="E28" s="538"/>
      <c r="F28" s="538"/>
      <c r="G28" s="567"/>
      <c r="H28" s="568"/>
      <c r="I28" s="540"/>
      <c r="J28" s="569"/>
      <c r="K28" s="541"/>
      <c r="L28" s="542">
        <f>SUM(K18:K27)</f>
        <v>2584839</v>
      </c>
      <c r="M28" s="543"/>
      <c r="N28" s="543"/>
      <c r="O28" s="543"/>
      <c r="P28" s="543"/>
      <c r="Q28" s="543"/>
      <c r="R28" s="543"/>
      <c r="S28" s="543"/>
      <c r="T28" s="543"/>
      <c r="U28" s="543"/>
      <c r="V28" s="490"/>
      <c r="AB28" s="491" t="s">
        <v>123</v>
      </c>
      <c r="AC28" s="575">
        <v>737195</v>
      </c>
    </row>
    <row r="29" spans="1:29" hidden="1" outlineLevel="1">
      <c r="A29" s="544" t="s">
        <v>124</v>
      </c>
      <c r="B29" s="545" t="s">
        <v>125</v>
      </c>
      <c r="C29" s="545" t="s">
        <v>70</v>
      </c>
      <c r="D29" s="545" t="s">
        <v>81</v>
      </c>
      <c r="E29" s="545" t="s">
        <v>87</v>
      </c>
      <c r="F29" s="545" t="s">
        <v>126</v>
      </c>
      <c r="G29" s="546">
        <v>0</v>
      </c>
      <c r="H29" s="547">
        <v>11500</v>
      </c>
      <c r="I29" s="548">
        <v>0</v>
      </c>
      <c r="J29" s="309">
        <f t="shared" ref="J29:J33" si="5">H29*(1+I29)</f>
        <v>11500</v>
      </c>
      <c r="K29" s="309">
        <f>J29*G29</f>
        <v>0</v>
      </c>
      <c r="M29" s="549" t="s">
        <v>127</v>
      </c>
      <c r="N29" s="549"/>
      <c r="O29" s="549"/>
      <c r="P29" s="549"/>
      <c r="Q29" s="549"/>
      <c r="R29" s="549"/>
      <c r="S29" s="549"/>
      <c r="T29" s="549"/>
      <c r="U29" s="549"/>
      <c r="V29" s="490"/>
      <c r="AB29" s="491" t="s">
        <v>128</v>
      </c>
      <c r="AC29" s="575">
        <v>121085</v>
      </c>
    </row>
    <row r="30" spans="1:29" hidden="1" outlineLevel="1">
      <c r="A30" s="552" t="s">
        <v>129</v>
      </c>
      <c r="B30" s="553" t="s">
        <v>130</v>
      </c>
      <c r="C30" s="553" t="s">
        <v>70</v>
      </c>
      <c r="D30" s="553" t="s">
        <v>97</v>
      </c>
      <c r="E30" s="553" t="s">
        <v>131</v>
      </c>
      <c r="F30" s="553" t="s">
        <v>132</v>
      </c>
      <c r="G30" s="554">
        <v>14</v>
      </c>
      <c r="H30" s="555">
        <v>7000</v>
      </c>
      <c r="I30" s="556">
        <v>0</v>
      </c>
      <c r="J30" s="551">
        <f t="shared" si="5"/>
        <v>7000</v>
      </c>
      <c r="K30" s="309">
        <f>J30*G30</f>
        <v>98000</v>
      </c>
      <c r="M30" s="500" t="s">
        <v>133</v>
      </c>
      <c r="N30" s="500"/>
      <c r="O30" s="500" t="s">
        <v>134</v>
      </c>
      <c r="P30" s="500"/>
      <c r="Q30" s="500"/>
      <c r="R30" s="500"/>
      <c r="S30" s="500"/>
      <c r="T30" s="500"/>
      <c r="U30" s="500"/>
      <c r="V30" s="490"/>
      <c r="AB30" s="491" t="s">
        <v>135</v>
      </c>
      <c r="AC30" s="575">
        <v>608507</v>
      </c>
    </row>
    <row r="31" spans="1:29" hidden="1" outlineLevel="1">
      <c r="A31" s="552" t="s">
        <v>136</v>
      </c>
      <c r="B31" s="553" t="s">
        <v>137</v>
      </c>
      <c r="C31" s="553" t="s">
        <v>70</v>
      </c>
      <c r="D31" s="553" t="s">
        <v>75</v>
      </c>
      <c r="E31" s="553" t="s">
        <v>87</v>
      </c>
      <c r="F31" s="553"/>
      <c r="G31" s="554"/>
      <c r="H31" s="555">
        <v>0</v>
      </c>
      <c r="I31" s="556"/>
      <c r="J31" s="551">
        <f t="shared" si="5"/>
        <v>0</v>
      </c>
      <c r="K31" s="309">
        <f>J31*G31</f>
        <v>0</v>
      </c>
      <c r="M31" s="500"/>
      <c r="N31" s="500"/>
      <c r="O31" s="500"/>
      <c r="P31" s="500"/>
      <c r="Q31" s="500"/>
      <c r="R31" s="500"/>
      <c r="S31" s="500"/>
      <c r="T31" s="500"/>
      <c r="U31" s="500"/>
      <c r="V31" s="490"/>
      <c r="AB31" s="491" t="s">
        <v>138</v>
      </c>
      <c r="AC31" s="575"/>
    </row>
    <row r="32" spans="1:29" hidden="1" outlineLevel="1">
      <c r="A32" s="552" t="s">
        <v>139</v>
      </c>
      <c r="B32" s="553" t="s">
        <v>140</v>
      </c>
      <c r="C32" s="553" t="s">
        <v>70</v>
      </c>
      <c r="D32" s="553" t="s">
        <v>103</v>
      </c>
      <c r="E32" s="553" t="s">
        <v>76</v>
      </c>
      <c r="F32" s="553" t="s">
        <v>83</v>
      </c>
      <c r="G32" s="554">
        <v>3</v>
      </c>
      <c r="H32" s="555">
        <v>5000</v>
      </c>
      <c r="I32" s="556">
        <v>0</v>
      </c>
      <c r="J32" s="551">
        <f t="shared" si="5"/>
        <v>5000</v>
      </c>
      <c r="K32" s="309">
        <f>J32*G32</f>
        <v>15000</v>
      </c>
      <c r="M32" s="500"/>
      <c r="N32" s="500"/>
      <c r="O32" s="500" t="s">
        <v>134</v>
      </c>
      <c r="P32" s="500"/>
      <c r="Q32" s="500"/>
      <c r="R32" s="500"/>
      <c r="S32" s="500"/>
      <c r="T32" s="500"/>
      <c r="U32" s="500"/>
      <c r="V32" s="490"/>
      <c r="AB32" s="491" t="s">
        <v>141</v>
      </c>
      <c r="AC32" s="575"/>
    </row>
    <row r="33" spans="1:29" hidden="1" outlineLevel="1">
      <c r="A33" s="552" t="s">
        <v>142</v>
      </c>
      <c r="B33" s="553" t="s">
        <v>143</v>
      </c>
      <c r="C33" s="553" t="s">
        <v>144</v>
      </c>
      <c r="D33" s="553" t="s">
        <v>110</v>
      </c>
      <c r="E33" s="553" t="s">
        <v>76</v>
      </c>
      <c r="F33" s="553" t="s">
        <v>83</v>
      </c>
      <c r="G33" s="554">
        <v>1</v>
      </c>
      <c r="H33" s="555">
        <v>15000</v>
      </c>
      <c r="I33" s="556">
        <v>0</v>
      </c>
      <c r="J33" s="551">
        <f t="shared" si="5"/>
        <v>15000</v>
      </c>
      <c r="K33" s="309">
        <f>J33*G33</f>
        <v>15000</v>
      </c>
      <c r="M33" s="500"/>
      <c r="N33" s="500"/>
      <c r="O33" s="500" t="s">
        <v>134</v>
      </c>
      <c r="P33" s="500"/>
      <c r="Q33" s="500"/>
      <c r="R33" s="500"/>
      <c r="S33" s="500"/>
      <c r="T33" s="500"/>
      <c r="U33" s="500"/>
      <c r="V33" s="490"/>
      <c r="AB33" s="491" t="s">
        <v>145</v>
      </c>
      <c r="AC33" s="575"/>
    </row>
    <row r="34" spans="1:29" collapsed="1">
      <c r="A34" s="537" t="s">
        <v>146</v>
      </c>
      <c r="B34" s="538" t="s">
        <v>147</v>
      </c>
      <c r="C34" s="538"/>
      <c r="D34" s="538"/>
      <c r="E34" s="538"/>
      <c r="F34" s="538"/>
      <c r="G34" s="567"/>
      <c r="H34" s="568"/>
      <c r="I34" s="540"/>
      <c r="J34" s="569"/>
      <c r="K34" s="541"/>
      <c r="L34" s="542">
        <f>SUM(K29:K33)</f>
        <v>128000</v>
      </c>
      <c r="M34" s="543"/>
      <c r="N34" s="543"/>
      <c r="O34" s="543"/>
      <c r="P34" s="543"/>
      <c r="Q34" s="543"/>
      <c r="R34" s="543"/>
      <c r="S34" s="543"/>
      <c r="T34" s="543"/>
      <c r="U34" s="543"/>
      <c r="V34" s="490"/>
      <c r="AB34" s="491" t="s">
        <v>148</v>
      </c>
      <c r="AC34" s="575">
        <v>572070</v>
      </c>
    </row>
    <row r="35" spans="1:29" hidden="1" outlineLevel="1">
      <c r="A35" s="544" t="s">
        <v>128</v>
      </c>
      <c r="B35" s="545" t="s">
        <v>149</v>
      </c>
      <c r="C35" s="545" t="s">
        <v>70</v>
      </c>
      <c r="D35" s="545" t="s">
        <v>81</v>
      </c>
      <c r="E35" s="545" t="s">
        <v>82</v>
      </c>
      <c r="F35" s="545" t="s">
        <v>83</v>
      </c>
      <c r="G35" s="546">
        <v>1</v>
      </c>
      <c r="H35" s="547">
        <f>51595+31455+26435</f>
        <v>109485</v>
      </c>
      <c r="I35" s="548">
        <v>0</v>
      </c>
      <c r="J35" s="309">
        <f t="shared" ref="J35:J42" si="6">H35*(1+I35)</f>
        <v>109485</v>
      </c>
      <c r="K35" s="309">
        <f t="shared" ref="K35:K42" si="7">J35*G35</f>
        <v>109485</v>
      </c>
      <c r="M35" s="549" t="s">
        <v>150</v>
      </c>
      <c r="N35" s="549"/>
      <c r="O35" s="549"/>
      <c r="P35" s="549"/>
      <c r="Q35" s="549"/>
      <c r="R35" s="549"/>
      <c r="S35" s="549"/>
      <c r="T35" s="549"/>
      <c r="U35" s="549"/>
      <c r="V35" s="490"/>
      <c r="AB35" s="491" t="s">
        <v>22</v>
      </c>
      <c r="AC35" s="575">
        <v>897250</v>
      </c>
    </row>
    <row r="36" spans="1:29" hidden="1" outlineLevel="1">
      <c r="A36" s="552" t="s">
        <v>151</v>
      </c>
      <c r="B36" s="553" t="s">
        <v>152</v>
      </c>
      <c r="C36" s="553" t="s">
        <v>70</v>
      </c>
      <c r="D36" s="553" t="s">
        <v>81</v>
      </c>
      <c r="E36" s="553" t="s">
        <v>82</v>
      </c>
      <c r="F36" s="553" t="s">
        <v>83</v>
      </c>
      <c r="G36" s="554">
        <v>1</v>
      </c>
      <c r="H36" s="555">
        <v>9600</v>
      </c>
      <c r="I36" s="556">
        <v>0</v>
      </c>
      <c r="J36" s="309">
        <f t="shared" si="6"/>
        <v>9600</v>
      </c>
      <c r="K36" s="309">
        <f>J36*G36</f>
        <v>9600</v>
      </c>
      <c r="M36" s="500" t="s">
        <v>150</v>
      </c>
      <c r="N36" s="500"/>
      <c r="O36" s="500"/>
      <c r="P36" s="500"/>
      <c r="Q36" s="500"/>
      <c r="R36" s="500"/>
      <c r="S36" s="500"/>
      <c r="T36" s="500"/>
      <c r="U36" s="500"/>
      <c r="V36" s="490"/>
      <c r="AB36" s="491" t="s">
        <v>153</v>
      </c>
      <c r="AC36" s="575">
        <v>1492534</v>
      </c>
    </row>
    <row r="37" spans="1:29" hidden="1" outlineLevel="1">
      <c r="A37" s="552" t="s">
        <v>154</v>
      </c>
      <c r="B37" s="553" t="s">
        <v>155</v>
      </c>
      <c r="C37" s="553" t="s">
        <v>70</v>
      </c>
      <c r="D37" s="553" t="s">
        <v>81</v>
      </c>
      <c r="E37" s="553" t="s">
        <v>156</v>
      </c>
      <c r="F37" s="553" t="s">
        <v>157</v>
      </c>
      <c r="G37" s="554">
        <f>'Assumptions &amp; Takeoffs'!B15</f>
        <v>19</v>
      </c>
      <c r="H37" s="555">
        <v>3000</v>
      </c>
      <c r="I37" s="556">
        <v>0</v>
      </c>
      <c r="J37" s="309">
        <f t="shared" si="6"/>
        <v>3000</v>
      </c>
      <c r="K37" s="309">
        <f>J37*G37</f>
        <v>57000</v>
      </c>
      <c r="M37" s="500" t="s">
        <v>158</v>
      </c>
      <c r="N37" s="500"/>
      <c r="O37" s="500"/>
      <c r="P37" s="500"/>
      <c r="Q37" s="500"/>
      <c r="R37" s="500"/>
      <c r="S37" s="500"/>
      <c r="T37" s="500"/>
      <c r="U37" s="500"/>
      <c r="V37" s="490"/>
      <c r="AB37" s="491" t="s">
        <v>159</v>
      </c>
      <c r="AC37" s="575"/>
    </row>
    <row r="38" spans="1:29" hidden="1" outlineLevel="1">
      <c r="A38" s="552" t="s">
        <v>160</v>
      </c>
      <c r="B38" s="553" t="s">
        <v>155</v>
      </c>
      <c r="C38" s="553" t="s">
        <v>70</v>
      </c>
      <c r="D38" s="553" t="s">
        <v>81</v>
      </c>
      <c r="E38" s="553" t="s">
        <v>87</v>
      </c>
      <c r="F38" s="553"/>
      <c r="G38" s="554"/>
      <c r="H38" s="555">
        <v>0</v>
      </c>
      <c r="I38" s="556">
        <v>0</v>
      </c>
      <c r="J38" s="309">
        <f t="shared" si="6"/>
        <v>0</v>
      </c>
      <c r="K38" s="309">
        <f t="shared" si="7"/>
        <v>0</v>
      </c>
      <c r="M38" s="500"/>
      <c r="N38" s="500"/>
      <c r="O38" s="500"/>
      <c r="P38" s="500"/>
      <c r="Q38" s="500"/>
      <c r="R38" s="500"/>
      <c r="S38" s="500"/>
      <c r="T38" s="500"/>
      <c r="U38" s="500"/>
      <c r="V38" s="490"/>
      <c r="AB38" s="491" t="s">
        <v>112</v>
      </c>
      <c r="AC38" s="575">
        <v>306910</v>
      </c>
    </row>
    <row r="39" spans="1:29" hidden="1" outlineLevel="1">
      <c r="A39" s="552" t="s">
        <v>161</v>
      </c>
      <c r="B39" s="553" t="s">
        <v>162</v>
      </c>
      <c r="C39" s="553" t="s">
        <v>70</v>
      </c>
      <c r="D39" s="553" t="s">
        <v>103</v>
      </c>
      <c r="E39" s="553" t="s">
        <v>87</v>
      </c>
      <c r="F39" s="553"/>
      <c r="G39" s="554"/>
      <c r="H39" s="555">
        <v>0</v>
      </c>
      <c r="I39" s="556">
        <v>0</v>
      </c>
      <c r="J39" s="309">
        <f t="shared" si="6"/>
        <v>0</v>
      </c>
      <c r="K39" s="309">
        <f t="shared" si="7"/>
        <v>0</v>
      </c>
      <c r="M39" s="500"/>
      <c r="N39" s="500"/>
      <c r="O39" s="500"/>
      <c r="P39" s="500"/>
      <c r="Q39" s="500"/>
      <c r="R39" s="500"/>
      <c r="S39" s="500"/>
      <c r="T39" s="500"/>
      <c r="U39" s="500"/>
      <c r="V39" s="490"/>
      <c r="AB39" s="491" t="s">
        <v>163</v>
      </c>
      <c r="AC39" s="575"/>
    </row>
    <row r="40" spans="1:29" hidden="1" outlineLevel="1">
      <c r="A40" s="552" t="s">
        <v>164</v>
      </c>
      <c r="B40" s="553" t="s">
        <v>165</v>
      </c>
      <c r="C40" s="553" t="s">
        <v>70</v>
      </c>
      <c r="D40" s="553" t="s">
        <v>110</v>
      </c>
      <c r="E40" s="553" t="s">
        <v>131</v>
      </c>
      <c r="F40" s="553" t="s">
        <v>132</v>
      </c>
      <c r="G40" s="554">
        <v>2</v>
      </c>
      <c r="H40" s="555">
        <v>1950</v>
      </c>
      <c r="I40" s="556">
        <v>0</v>
      </c>
      <c r="J40" s="309">
        <f t="shared" si="6"/>
        <v>1950</v>
      </c>
      <c r="K40" s="309">
        <f t="shared" si="7"/>
        <v>3900</v>
      </c>
      <c r="M40" s="500" t="s">
        <v>133</v>
      </c>
      <c r="N40" s="500"/>
      <c r="O40" s="500" t="s">
        <v>134</v>
      </c>
      <c r="P40" s="500"/>
      <c r="Q40" s="500"/>
      <c r="R40" s="500"/>
      <c r="S40" s="500"/>
      <c r="T40" s="500"/>
      <c r="U40" s="500"/>
      <c r="V40" s="490"/>
      <c r="AB40" s="491" t="s">
        <v>166</v>
      </c>
      <c r="AC40" s="575"/>
    </row>
    <row r="41" spans="1:29" hidden="1" outlineLevel="1">
      <c r="A41" s="552" t="s">
        <v>167</v>
      </c>
      <c r="B41" s="553" t="s">
        <v>168</v>
      </c>
      <c r="C41" s="553" t="s">
        <v>70</v>
      </c>
      <c r="D41" s="553" t="s">
        <v>81</v>
      </c>
      <c r="E41" s="553" t="s">
        <v>156</v>
      </c>
      <c r="F41" s="553" t="s">
        <v>169</v>
      </c>
      <c r="G41" s="554">
        <f>'Assumptions &amp; Takeoffs'!$B$18</f>
        <v>2595</v>
      </c>
      <c r="H41" s="570">
        <v>92.5</v>
      </c>
      <c r="I41" s="556">
        <v>0</v>
      </c>
      <c r="J41" s="571">
        <v>92.5</v>
      </c>
      <c r="K41" s="309">
        <f t="shared" si="7"/>
        <v>240037.5</v>
      </c>
      <c r="M41" s="500" t="s">
        <v>158</v>
      </c>
      <c r="N41" s="500"/>
      <c r="O41" s="500"/>
      <c r="P41" s="500"/>
      <c r="Q41" s="500"/>
      <c r="R41" s="500"/>
      <c r="S41" s="500"/>
      <c r="T41" s="500"/>
      <c r="U41" s="500"/>
      <c r="V41" s="490"/>
      <c r="AB41" s="491" t="s">
        <v>170</v>
      </c>
      <c r="AC41" s="575"/>
    </row>
    <row r="42" spans="1:29" hidden="1" outlineLevel="1">
      <c r="A42" s="552" t="s">
        <v>171</v>
      </c>
      <c r="B42" s="553" t="s">
        <v>172</v>
      </c>
      <c r="C42" s="553" t="s">
        <v>70</v>
      </c>
      <c r="D42" s="553" t="s">
        <v>173</v>
      </c>
      <c r="E42" s="553" t="s">
        <v>87</v>
      </c>
      <c r="F42" s="553"/>
      <c r="G42" s="554"/>
      <c r="H42" s="555">
        <v>0</v>
      </c>
      <c r="I42" s="556">
        <v>0</v>
      </c>
      <c r="J42" s="551">
        <f t="shared" si="6"/>
        <v>0</v>
      </c>
      <c r="K42" s="309">
        <f t="shared" si="7"/>
        <v>0</v>
      </c>
      <c r="M42" s="500"/>
      <c r="N42" s="500"/>
      <c r="O42" s="500"/>
      <c r="P42" s="500"/>
      <c r="Q42" s="500"/>
      <c r="R42" s="500"/>
      <c r="S42" s="500"/>
      <c r="T42" s="500"/>
      <c r="U42" s="500"/>
      <c r="V42" s="490"/>
      <c r="AB42" s="491" t="s">
        <v>174</v>
      </c>
      <c r="AC42" s="575"/>
    </row>
    <row r="43" spans="1:29" collapsed="1">
      <c r="A43" s="537" t="s">
        <v>175</v>
      </c>
      <c r="B43" s="538" t="s">
        <v>176</v>
      </c>
      <c r="C43" s="538"/>
      <c r="D43" s="538"/>
      <c r="E43" s="538"/>
      <c r="F43" s="538"/>
      <c r="G43" s="567"/>
      <c r="H43" s="568"/>
      <c r="I43" s="540"/>
      <c r="J43" s="569"/>
      <c r="K43" s="541"/>
      <c r="L43" s="542">
        <f>SUM(K35:K42)</f>
        <v>420022.5</v>
      </c>
      <c r="M43" s="543"/>
      <c r="N43" s="543"/>
      <c r="O43" s="543"/>
      <c r="P43" s="543"/>
      <c r="Q43" s="543"/>
      <c r="R43" s="543"/>
      <c r="S43" s="543"/>
      <c r="T43" s="543"/>
      <c r="U43" s="543"/>
      <c r="V43" s="490"/>
      <c r="AB43" s="491" t="s">
        <v>177</v>
      </c>
      <c r="AC43" s="575"/>
    </row>
    <row r="44" spans="1:29" hidden="1" outlineLevel="1">
      <c r="A44" s="552" t="s">
        <v>178</v>
      </c>
      <c r="B44" s="553" t="s">
        <v>179</v>
      </c>
      <c r="C44" s="553" t="s">
        <v>70</v>
      </c>
      <c r="D44" s="553" t="s">
        <v>81</v>
      </c>
      <c r="E44" s="553" t="s">
        <v>82</v>
      </c>
      <c r="F44" s="553" t="s">
        <v>83</v>
      </c>
      <c r="G44" s="554">
        <v>1</v>
      </c>
      <c r="H44" s="565">
        <v>6634921</v>
      </c>
      <c r="I44" s="556">
        <v>0</v>
      </c>
      <c r="J44" s="572">
        <f t="shared" ref="J44:J56" si="8">H44*(1+I44)</f>
        <v>6634921</v>
      </c>
      <c r="K44" s="309">
        <f t="shared" ref="K44:K56" si="9">J44*G44</f>
        <v>6634921</v>
      </c>
      <c r="M44" s="573" t="s">
        <v>180</v>
      </c>
      <c r="N44" s="500"/>
      <c r="O44" s="500"/>
      <c r="P44" s="500" t="s">
        <v>181</v>
      </c>
      <c r="Q44" s="500"/>
      <c r="R44" s="500"/>
      <c r="S44" s="500"/>
      <c r="T44" s="500"/>
      <c r="U44" s="500"/>
      <c r="V44" s="490"/>
      <c r="AB44" s="491" t="s">
        <v>182</v>
      </c>
      <c r="AC44" s="575"/>
    </row>
    <row r="45" spans="1:29" hidden="1" outlineLevel="1">
      <c r="A45" s="552" t="s">
        <v>183</v>
      </c>
      <c r="B45" s="553" t="s">
        <v>179</v>
      </c>
      <c r="C45" s="553" t="s">
        <v>70</v>
      </c>
      <c r="D45" s="553" t="s">
        <v>93</v>
      </c>
      <c r="E45" s="553" t="s">
        <v>184</v>
      </c>
      <c r="F45" s="553" t="s">
        <v>185</v>
      </c>
      <c r="G45" s="554">
        <v>600</v>
      </c>
      <c r="H45" s="565">
        <v>18.68</v>
      </c>
      <c r="I45" s="556">
        <v>0</v>
      </c>
      <c r="J45" s="572">
        <f t="shared" si="8"/>
        <v>18.68</v>
      </c>
      <c r="K45" s="309">
        <f t="shared" si="9"/>
        <v>11208</v>
      </c>
      <c r="M45" s="500"/>
      <c r="N45" s="500"/>
      <c r="O45" s="500"/>
      <c r="P45" s="500"/>
      <c r="Q45" s="500"/>
      <c r="R45" s="500"/>
      <c r="S45" s="500"/>
      <c r="T45" s="500"/>
      <c r="U45" s="500"/>
      <c r="V45" s="490"/>
      <c r="AB45" s="491" t="s">
        <v>186</v>
      </c>
      <c r="AC45" s="575">
        <v>547947</v>
      </c>
    </row>
    <row r="46" spans="1:29" hidden="1" outlineLevel="1">
      <c r="A46" s="552" t="s">
        <v>187</v>
      </c>
      <c r="B46" s="553" t="s">
        <v>179</v>
      </c>
      <c r="C46" s="553" t="s">
        <v>70</v>
      </c>
      <c r="D46" s="553" t="s">
        <v>81</v>
      </c>
      <c r="E46" s="553" t="s">
        <v>87</v>
      </c>
      <c r="F46" s="553"/>
      <c r="G46" s="554"/>
      <c r="H46" s="565"/>
      <c r="I46" s="556">
        <v>0</v>
      </c>
      <c r="J46" s="309">
        <f t="shared" si="8"/>
        <v>0</v>
      </c>
      <c r="K46" s="309">
        <f t="shared" si="9"/>
        <v>0</v>
      </c>
      <c r="M46" s="500"/>
      <c r="N46" s="500"/>
      <c r="O46" s="500"/>
      <c r="P46" s="500"/>
      <c r="Q46" s="500"/>
      <c r="R46" s="500"/>
      <c r="S46" s="500"/>
      <c r="T46" s="500"/>
      <c r="U46" s="500"/>
      <c r="V46" s="490"/>
      <c r="AB46" s="491" t="s">
        <v>188</v>
      </c>
      <c r="AC46" s="575"/>
    </row>
    <row r="47" spans="1:29" hidden="1" outlineLevel="1">
      <c r="A47" s="552" t="s">
        <v>189</v>
      </c>
      <c r="B47" s="553" t="s">
        <v>190</v>
      </c>
      <c r="C47" s="553" t="s">
        <v>70</v>
      </c>
      <c r="D47" s="553" t="s">
        <v>173</v>
      </c>
      <c r="E47" s="553" t="s">
        <v>87</v>
      </c>
      <c r="F47" s="553"/>
      <c r="G47" s="554"/>
      <c r="H47" s="565"/>
      <c r="I47" s="556">
        <v>0</v>
      </c>
      <c r="J47" s="309">
        <f t="shared" si="8"/>
        <v>0</v>
      </c>
      <c r="K47" s="309">
        <f t="shared" si="9"/>
        <v>0</v>
      </c>
      <c r="M47" s="500"/>
      <c r="N47" s="500"/>
      <c r="O47" s="500"/>
      <c r="P47" s="500"/>
      <c r="Q47" s="500"/>
      <c r="R47" s="500"/>
      <c r="S47" s="500"/>
      <c r="T47" s="500"/>
      <c r="U47" s="500"/>
      <c r="V47" s="490"/>
      <c r="AB47" s="491" t="s">
        <v>191</v>
      </c>
      <c r="AC47" s="575"/>
    </row>
    <row r="48" spans="1:29" hidden="1" outlineLevel="1">
      <c r="A48" s="552" t="s">
        <v>192</v>
      </c>
      <c r="B48" s="553" t="s">
        <v>193</v>
      </c>
      <c r="C48" s="553" t="s">
        <v>70</v>
      </c>
      <c r="D48" s="553" t="s">
        <v>173</v>
      </c>
      <c r="E48" s="553" t="s">
        <v>76</v>
      </c>
      <c r="F48" s="553" t="s">
        <v>83</v>
      </c>
      <c r="G48" s="554">
        <v>4</v>
      </c>
      <c r="H48" s="555">
        <v>2500</v>
      </c>
      <c r="I48" s="556">
        <v>0</v>
      </c>
      <c r="J48" s="309">
        <f t="shared" si="8"/>
        <v>2500</v>
      </c>
      <c r="K48" s="309">
        <f t="shared" si="9"/>
        <v>10000</v>
      </c>
      <c r="M48" s="500"/>
      <c r="N48" s="500"/>
      <c r="O48" s="500"/>
      <c r="P48" s="500"/>
      <c r="Q48" s="500"/>
      <c r="R48" s="500"/>
      <c r="S48" s="500"/>
      <c r="T48" s="500"/>
      <c r="U48" s="500"/>
      <c r="V48" s="490"/>
      <c r="AB48" s="491" t="s">
        <v>194</v>
      </c>
      <c r="AC48" s="575"/>
    </row>
    <row r="49" spans="1:29" hidden="1" outlineLevel="1">
      <c r="A49" s="552" t="s">
        <v>195</v>
      </c>
      <c r="B49" s="553" t="s">
        <v>196</v>
      </c>
      <c r="C49" s="553" t="s">
        <v>70</v>
      </c>
      <c r="D49" s="553" t="s">
        <v>173</v>
      </c>
      <c r="E49" s="553" t="s">
        <v>87</v>
      </c>
      <c r="F49" s="553"/>
      <c r="G49" s="554"/>
      <c r="H49" s="565"/>
      <c r="I49" s="556">
        <v>0</v>
      </c>
      <c r="J49" s="309">
        <f t="shared" si="8"/>
        <v>0</v>
      </c>
      <c r="K49" s="309">
        <f t="shared" si="9"/>
        <v>0</v>
      </c>
      <c r="M49" s="500"/>
      <c r="N49" s="500"/>
      <c r="O49" s="500"/>
      <c r="P49" s="500"/>
      <c r="Q49" s="500"/>
      <c r="R49" s="500"/>
      <c r="S49" s="500"/>
      <c r="T49" s="500"/>
      <c r="U49" s="500"/>
      <c r="V49" s="490"/>
      <c r="AB49" s="491" t="s">
        <v>197</v>
      </c>
      <c r="AC49" s="575"/>
    </row>
    <row r="50" spans="1:29" hidden="1" outlineLevel="1">
      <c r="A50" s="552" t="s">
        <v>198</v>
      </c>
      <c r="B50" s="553" t="s">
        <v>199</v>
      </c>
      <c r="C50" s="553" t="s">
        <v>70</v>
      </c>
      <c r="D50" s="553" t="s">
        <v>81</v>
      </c>
      <c r="E50" s="553" t="s">
        <v>87</v>
      </c>
      <c r="F50" s="553"/>
      <c r="G50" s="554"/>
      <c r="H50" s="565"/>
      <c r="I50" s="556">
        <v>0</v>
      </c>
      <c r="J50" s="309">
        <f t="shared" si="8"/>
        <v>0</v>
      </c>
      <c r="K50" s="309">
        <f t="shared" si="9"/>
        <v>0</v>
      </c>
      <c r="M50" s="500"/>
      <c r="N50" s="500"/>
      <c r="O50" s="500"/>
      <c r="P50" s="500"/>
      <c r="Q50" s="500"/>
      <c r="R50" s="500"/>
      <c r="S50" s="500"/>
      <c r="T50" s="500"/>
      <c r="U50" s="500"/>
      <c r="V50" s="490"/>
      <c r="AB50" s="491" t="s">
        <v>200</v>
      </c>
      <c r="AC50" s="575"/>
    </row>
    <row r="51" spans="1:29" hidden="1" outlineLevel="1">
      <c r="A51" s="552" t="s">
        <v>201</v>
      </c>
      <c r="B51" s="553" t="s">
        <v>199</v>
      </c>
      <c r="C51" s="553" t="s">
        <v>70</v>
      </c>
      <c r="D51" s="553" t="s">
        <v>110</v>
      </c>
      <c r="E51" s="553" t="s">
        <v>87</v>
      </c>
      <c r="F51" s="553"/>
      <c r="G51" s="554"/>
      <c r="H51" s="565"/>
      <c r="I51" s="556">
        <v>0</v>
      </c>
      <c r="J51" s="309">
        <f t="shared" si="8"/>
        <v>0</v>
      </c>
      <c r="K51" s="309">
        <f t="shared" si="9"/>
        <v>0</v>
      </c>
      <c r="M51" s="500"/>
      <c r="N51" s="500"/>
      <c r="O51" s="500"/>
      <c r="P51" s="500"/>
      <c r="Q51" s="500"/>
      <c r="R51" s="500"/>
      <c r="S51" s="500"/>
      <c r="T51" s="500"/>
      <c r="U51" s="500"/>
      <c r="V51" s="490"/>
      <c r="AB51" s="491" t="s">
        <v>202</v>
      </c>
      <c r="AC51" s="575"/>
    </row>
    <row r="52" spans="1:29" hidden="1" outlineLevel="1">
      <c r="A52" s="574" t="s">
        <v>203</v>
      </c>
      <c r="B52" s="553" t="s">
        <v>204</v>
      </c>
      <c r="C52" s="553" t="s">
        <v>70</v>
      </c>
      <c r="D52" s="553" t="s">
        <v>81</v>
      </c>
      <c r="E52" s="545" t="s">
        <v>156</v>
      </c>
      <c r="F52" s="553" t="s">
        <v>205</v>
      </c>
      <c r="G52" s="554">
        <f>'Assumptions &amp; Takeoffs'!B21</f>
        <v>269691</v>
      </c>
      <c r="H52" s="570">
        <v>3.55</v>
      </c>
      <c r="I52" s="556">
        <v>0.1</v>
      </c>
      <c r="J52" s="309">
        <f t="shared" si="8"/>
        <v>3.9050000000000002</v>
      </c>
      <c r="K52" s="309">
        <f>J52*G52</f>
        <v>1053143.355</v>
      </c>
      <c r="M52" s="500" t="s">
        <v>206</v>
      </c>
      <c r="N52" s="500"/>
      <c r="O52" s="500"/>
      <c r="P52" s="500"/>
      <c r="Q52" s="500"/>
      <c r="R52" s="500"/>
      <c r="S52" s="500"/>
      <c r="T52" s="500"/>
      <c r="U52" s="500"/>
      <c r="V52" s="490"/>
      <c r="AB52" s="491" t="s">
        <v>207</v>
      </c>
      <c r="AC52" s="575"/>
    </row>
    <row r="53" spans="1:29" hidden="1" outlineLevel="1">
      <c r="A53" s="552" t="s">
        <v>208</v>
      </c>
      <c r="B53" s="553" t="s">
        <v>204</v>
      </c>
      <c r="C53" s="553" t="s">
        <v>70</v>
      </c>
      <c r="D53" s="553" t="s">
        <v>173</v>
      </c>
      <c r="E53" s="553" t="s">
        <v>184</v>
      </c>
      <c r="F53" s="553" t="s">
        <v>185</v>
      </c>
      <c r="G53" s="554">
        <f>B8</f>
        <v>362571</v>
      </c>
      <c r="H53" s="555">
        <v>1.0800044831855071</v>
      </c>
      <c r="I53" s="556">
        <v>0.1</v>
      </c>
      <c r="J53" s="309">
        <f t="shared" si="8"/>
        <v>1.1880049315040579</v>
      </c>
      <c r="K53" s="309">
        <f t="shared" si="9"/>
        <v>430736.13602035778</v>
      </c>
      <c r="M53" s="500" t="s">
        <v>209</v>
      </c>
      <c r="N53" s="500"/>
      <c r="O53" s="500"/>
      <c r="P53" s="500"/>
      <c r="Q53" s="500"/>
      <c r="R53" s="500"/>
      <c r="S53" s="500"/>
      <c r="T53" s="500"/>
      <c r="U53" s="500"/>
      <c r="V53" s="490"/>
      <c r="X53" s="575"/>
      <c r="AB53" s="491" t="s">
        <v>210</v>
      </c>
      <c r="AC53" s="575"/>
    </row>
    <row r="54" spans="1:29" hidden="1" outlineLevel="1">
      <c r="A54" s="552" t="s">
        <v>211</v>
      </c>
      <c r="B54" s="553" t="s">
        <v>212</v>
      </c>
      <c r="C54" s="553" t="s">
        <v>70</v>
      </c>
      <c r="D54" s="553" t="s">
        <v>93</v>
      </c>
      <c r="E54" s="553" t="s">
        <v>76</v>
      </c>
      <c r="F54" s="553" t="s">
        <v>83</v>
      </c>
      <c r="G54" s="554">
        <v>1</v>
      </c>
      <c r="H54" s="555">
        <v>4000</v>
      </c>
      <c r="I54" s="556">
        <v>0</v>
      </c>
      <c r="J54" s="309">
        <f t="shared" si="8"/>
        <v>4000</v>
      </c>
      <c r="K54" s="309">
        <f t="shared" si="9"/>
        <v>4000</v>
      </c>
      <c r="M54" s="500"/>
      <c r="N54" s="500"/>
      <c r="O54" s="500"/>
      <c r="P54" s="500"/>
      <c r="Q54" s="500"/>
      <c r="R54" s="500"/>
      <c r="S54" s="500"/>
      <c r="T54" s="500"/>
      <c r="U54" s="500"/>
      <c r="V54" s="490"/>
      <c r="X54" s="576"/>
      <c r="AB54" s="491" t="s">
        <v>213</v>
      </c>
      <c r="AC54" s="575"/>
    </row>
    <row r="55" spans="1:29" hidden="1" outlineLevel="1">
      <c r="A55" s="552" t="s">
        <v>214</v>
      </c>
      <c r="B55" s="553" t="s">
        <v>215</v>
      </c>
      <c r="C55" s="553" t="s">
        <v>70</v>
      </c>
      <c r="D55" s="553" t="s">
        <v>173</v>
      </c>
      <c r="E55" s="553" t="s">
        <v>76</v>
      </c>
      <c r="F55" s="553" t="s">
        <v>83</v>
      </c>
      <c r="G55" s="554">
        <v>4</v>
      </c>
      <c r="H55" s="555">
        <v>1250</v>
      </c>
      <c r="I55" s="556">
        <v>0</v>
      </c>
      <c r="J55" s="309">
        <f t="shared" si="8"/>
        <v>1250</v>
      </c>
      <c r="K55" s="309">
        <f t="shared" si="9"/>
        <v>5000</v>
      </c>
      <c r="M55" s="500"/>
      <c r="N55" s="500"/>
      <c r="O55" s="500"/>
      <c r="P55" s="500"/>
      <c r="Q55" s="500"/>
      <c r="R55" s="500"/>
      <c r="S55" s="500"/>
      <c r="T55" s="500"/>
      <c r="U55" s="500"/>
      <c r="V55" s="490"/>
      <c r="X55" s="577"/>
      <c r="AB55" s="491" t="s">
        <v>216</v>
      </c>
      <c r="AC55" s="575"/>
    </row>
    <row r="56" spans="1:29" hidden="1" outlineLevel="1">
      <c r="A56" s="552" t="s">
        <v>217</v>
      </c>
      <c r="B56" s="553" t="s">
        <v>218</v>
      </c>
      <c r="C56" s="553" t="s">
        <v>70</v>
      </c>
      <c r="D56" s="553" t="s">
        <v>81</v>
      </c>
      <c r="E56" s="553" t="s">
        <v>87</v>
      </c>
      <c r="F56" s="553"/>
      <c r="G56" s="554"/>
      <c r="H56" s="565"/>
      <c r="I56" s="556">
        <v>0</v>
      </c>
      <c r="J56" s="551">
        <f t="shared" si="8"/>
        <v>0</v>
      </c>
      <c r="K56" s="309">
        <f t="shared" si="9"/>
        <v>0</v>
      </c>
      <c r="M56" s="500"/>
      <c r="N56" s="500"/>
      <c r="O56" s="500"/>
      <c r="P56" s="500"/>
      <c r="Q56" s="500"/>
      <c r="R56" s="500"/>
      <c r="S56" s="500"/>
      <c r="T56" s="500"/>
      <c r="U56" s="500"/>
      <c r="V56" s="490"/>
      <c r="AB56" s="491" t="s">
        <v>219</v>
      </c>
      <c r="AC56" s="575"/>
    </row>
    <row r="57" spans="1:29" collapsed="1">
      <c r="A57" s="537" t="s">
        <v>220</v>
      </c>
      <c r="B57" s="538" t="s">
        <v>221</v>
      </c>
      <c r="C57" s="538"/>
      <c r="D57" s="538"/>
      <c r="E57" s="538"/>
      <c r="F57" s="538"/>
      <c r="G57" s="567"/>
      <c r="H57" s="568"/>
      <c r="I57" s="540"/>
      <c r="J57" s="569"/>
      <c r="K57" s="541"/>
      <c r="L57" s="542">
        <f>SUM(K44:K56)</f>
        <v>8149008.4910203582</v>
      </c>
      <c r="M57" s="543"/>
      <c r="N57" s="543"/>
      <c r="O57" s="543"/>
      <c r="P57" s="543"/>
      <c r="Q57" s="543"/>
      <c r="R57" s="543"/>
      <c r="S57" s="543"/>
      <c r="T57" s="543"/>
      <c r="U57" s="543"/>
      <c r="V57" s="490"/>
      <c r="AB57" s="491" t="s">
        <v>222</v>
      </c>
      <c r="AC57" s="575"/>
    </row>
    <row r="58" spans="1:29" hidden="1" outlineLevel="1">
      <c r="A58" s="544" t="s">
        <v>223</v>
      </c>
      <c r="B58" s="545" t="s">
        <v>224</v>
      </c>
      <c r="C58" s="545" t="s">
        <v>70</v>
      </c>
      <c r="D58" s="545" t="s">
        <v>81</v>
      </c>
      <c r="E58" s="545" t="s">
        <v>82</v>
      </c>
      <c r="F58" s="545" t="s">
        <v>83</v>
      </c>
      <c r="G58" s="546">
        <v>1</v>
      </c>
      <c r="H58" s="547">
        <f>153825+213360+204135</f>
        <v>571320</v>
      </c>
      <c r="I58" s="548">
        <v>0</v>
      </c>
      <c r="J58" s="572">
        <f t="shared" ref="J58:J70" si="10">H58*(1+I58)</f>
        <v>571320</v>
      </c>
      <c r="K58" s="309">
        <f t="shared" ref="K58:K70" si="11">J58*G58</f>
        <v>571320</v>
      </c>
      <c r="M58" s="500" t="s">
        <v>225</v>
      </c>
      <c r="N58" s="549"/>
      <c r="O58" s="549" t="s">
        <v>226</v>
      </c>
      <c r="P58" s="549"/>
      <c r="Q58" s="549"/>
      <c r="R58" s="549" t="s">
        <v>227</v>
      </c>
      <c r="S58" s="549"/>
      <c r="T58" s="549"/>
      <c r="U58" s="549"/>
      <c r="V58" s="490"/>
      <c r="AB58" s="491" t="s">
        <v>228</v>
      </c>
      <c r="AC58" s="575"/>
    </row>
    <row r="59" spans="1:29" hidden="1" outlineLevel="1">
      <c r="A59" s="544" t="s">
        <v>229</v>
      </c>
      <c r="B59" s="545" t="s">
        <v>224</v>
      </c>
      <c r="C59" s="545" t="s">
        <v>70</v>
      </c>
      <c r="D59" s="545" t="s">
        <v>93</v>
      </c>
      <c r="E59" s="545" t="s">
        <v>82</v>
      </c>
      <c r="F59" s="545" t="s">
        <v>83</v>
      </c>
      <c r="G59" s="546">
        <v>1</v>
      </c>
      <c r="H59" s="547">
        <v>750</v>
      </c>
      <c r="I59" s="548">
        <v>0</v>
      </c>
      <c r="J59" s="309">
        <f t="shared" si="10"/>
        <v>750</v>
      </c>
      <c r="K59" s="309">
        <f t="shared" si="11"/>
        <v>750</v>
      </c>
      <c r="M59" s="500" t="s">
        <v>230</v>
      </c>
      <c r="N59" s="549"/>
      <c r="O59" s="549"/>
      <c r="P59" s="549"/>
      <c r="Q59" s="549"/>
      <c r="R59" s="549"/>
      <c r="S59" s="549"/>
      <c r="T59" s="549"/>
      <c r="U59" s="549"/>
      <c r="V59" s="490"/>
      <c r="AB59" s="491" t="s">
        <v>231</v>
      </c>
      <c r="AC59" s="575"/>
    </row>
    <row r="60" spans="1:29" hidden="1" outlineLevel="1">
      <c r="A60" s="552" t="s">
        <v>153</v>
      </c>
      <c r="B60" s="553" t="s">
        <v>232</v>
      </c>
      <c r="C60" s="553" t="s">
        <v>70</v>
      </c>
      <c r="D60" s="553" t="s">
        <v>81</v>
      </c>
      <c r="E60" s="553" t="s">
        <v>82</v>
      </c>
      <c r="F60" s="553" t="s">
        <v>83</v>
      </c>
      <c r="G60" s="554">
        <v>1</v>
      </c>
      <c r="H60" s="547">
        <f>259925+25335+362950+35470+337920+34290+32800</f>
        <v>1088690</v>
      </c>
      <c r="I60" s="556">
        <v>0</v>
      </c>
      <c r="J60" s="555">
        <f t="shared" si="10"/>
        <v>1088690</v>
      </c>
      <c r="K60" s="555">
        <f t="shared" si="11"/>
        <v>1088690</v>
      </c>
      <c r="M60" s="500" t="s">
        <v>233</v>
      </c>
      <c r="N60" s="500"/>
      <c r="O60" s="500" t="s">
        <v>234</v>
      </c>
      <c r="P60" s="500"/>
      <c r="Q60" s="500"/>
      <c r="R60" s="500"/>
      <c r="S60" s="500"/>
      <c r="T60" s="500"/>
      <c r="U60" s="500"/>
      <c r="V60" s="490"/>
      <c r="AB60" s="491" t="s">
        <v>235</v>
      </c>
      <c r="AC60" s="575"/>
    </row>
    <row r="61" spans="1:29" hidden="1" outlineLevel="1">
      <c r="A61" s="552" t="s">
        <v>236</v>
      </c>
      <c r="B61" s="553" t="s">
        <v>232</v>
      </c>
      <c r="C61" s="553" t="s">
        <v>70</v>
      </c>
      <c r="D61" s="553" t="s">
        <v>93</v>
      </c>
      <c r="E61" s="545" t="s">
        <v>82</v>
      </c>
      <c r="F61" s="545" t="s">
        <v>83</v>
      </c>
      <c r="G61" s="546">
        <v>1</v>
      </c>
      <c r="H61" s="547">
        <v>8295</v>
      </c>
      <c r="I61" s="556">
        <v>0</v>
      </c>
      <c r="J61" s="555">
        <f t="shared" si="10"/>
        <v>8295</v>
      </c>
      <c r="K61" s="555">
        <f t="shared" si="11"/>
        <v>8295</v>
      </c>
      <c r="M61" s="500" t="s">
        <v>233</v>
      </c>
      <c r="N61" s="500"/>
      <c r="O61" s="500" t="s">
        <v>237</v>
      </c>
      <c r="P61" s="500"/>
      <c r="Q61" s="500"/>
      <c r="R61" s="500"/>
      <c r="S61" s="500"/>
      <c r="T61" s="500"/>
      <c r="U61" s="500"/>
      <c r="V61" s="490"/>
      <c r="AB61" s="491" t="s">
        <v>238</v>
      </c>
      <c r="AC61" s="575"/>
    </row>
    <row r="62" spans="1:29" hidden="1" outlineLevel="1">
      <c r="A62" s="552" t="s">
        <v>239</v>
      </c>
      <c r="B62" s="553" t="s">
        <v>240</v>
      </c>
      <c r="C62" s="553" t="s">
        <v>70</v>
      </c>
      <c r="D62" s="553" t="s">
        <v>173</v>
      </c>
      <c r="E62" s="553" t="s">
        <v>82</v>
      </c>
      <c r="F62" s="553" t="s">
        <v>83</v>
      </c>
      <c r="G62" s="554">
        <v>1</v>
      </c>
      <c r="H62" s="565">
        <v>15685</v>
      </c>
      <c r="I62" s="556">
        <v>0</v>
      </c>
      <c r="J62" s="555">
        <f t="shared" si="10"/>
        <v>15685</v>
      </c>
      <c r="K62" s="555">
        <f t="shared" si="11"/>
        <v>15685</v>
      </c>
      <c r="M62" s="500" t="s">
        <v>241</v>
      </c>
      <c r="N62" s="500"/>
      <c r="O62" s="500" t="s">
        <v>242</v>
      </c>
      <c r="P62" s="500"/>
      <c r="Q62" s="500"/>
      <c r="R62" s="500"/>
      <c r="S62" s="500"/>
      <c r="T62" s="500"/>
      <c r="U62" s="500"/>
      <c r="V62" s="490"/>
      <c r="AB62" s="491" t="s">
        <v>243</v>
      </c>
      <c r="AC62" s="575"/>
    </row>
    <row r="63" spans="1:29" hidden="1" outlineLevel="1">
      <c r="A63" s="552" t="s">
        <v>244</v>
      </c>
      <c r="B63" s="553" t="s">
        <v>240</v>
      </c>
      <c r="C63" s="553" t="s">
        <v>70</v>
      </c>
      <c r="D63" s="553" t="s">
        <v>93</v>
      </c>
      <c r="E63" s="553" t="s">
        <v>76</v>
      </c>
      <c r="F63" s="553" t="s">
        <v>83</v>
      </c>
      <c r="G63" s="554">
        <v>1</v>
      </c>
      <c r="H63" s="555">
        <v>7500</v>
      </c>
      <c r="I63" s="556">
        <v>0</v>
      </c>
      <c r="J63" s="555">
        <f t="shared" si="10"/>
        <v>7500</v>
      </c>
      <c r="K63" s="555">
        <f t="shared" si="11"/>
        <v>7500</v>
      </c>
      <c r="M63" s="500"/>
      <c r="N63" s="500"/>
      <c r="O63" s="500"/>
      <c r="P63" s="500"/>
      <c r="Q63" s="500"/>
      <c r="R63" s="500"/>
      <c r="S63" s="500"/>
      <c r="T63" s="500"/>
      <c r="U63" s="500"/>
      <c r="V63" s="490"/>
      <c r="AB63" s="491" t="s">
        <v>245</v>
      </c>
      <c r="AC63" s="575"/>
    </row>
    <row r="64" spans="1:29" hidden="1" outlineLevel="1">
      <c r="A64" s="552" t="s">
        <v>246</v>
      </c>
      <c r="B64" s="553" t="s">
        <v>247</v>
      </c>
      <c r="C64" s="553" t="s">
        <v>70</v>
      </c>
      <c r="D64" s="553" t="s">
        <v>110</v>
      </c>
      <c r="E64" s="553" t="s">
        <v>76</v>
      </c>
      <c r="F64" s="553" t="s">
        <v>83</v>
      </c>
      <c r="G64" s="554">
        <f>'Assumptions &amp; Takeoffs'!B16</f>
        <v>1</v>
      </c>
      <c r="H64" s="555">
        <v>7500</v>
      </c>
      <c r="I64" s="556">
        <v>0</v>
      </c>
      <c r="J64" s="555">
        <f t="shared" si="10"/>
        <v>7500</v>
      </c>
      <c r="K64" s="555">
        <f t="shared" si="11"/>
        <v>7500</v>
      </c>
      <c r="M64" s="500"/>
      <c r="N64" s="500"/>
      <c r="O64" s="500"/>
      <c r="P64" s="500"/>
      <c r="Q64" s="500"/>
      <c r="R64" s="500"/>
      <c r="S64" s="500"/>
      <c r="T64" s="500"/>
      <c r="U64" s="500"/>
      <c r="V64" s="490"/>
      <c r="AB64" s="491" t="s">
        <v>248</v>
      </c>
      <c r="AC64" s="575"/>
    </row>
    <row r="65" spans="1:29" hidden="1" outlineLevel="1">
      <c r="A65" s="552" t="s">
        <v>249</v>
      </c>
      <c r="B65" s="553" t="s">
        <v>250</v>
      </c>
      <c r="C65" s="553" t="s">
        <v>70</v>
      </c>
      <c r="D65" s="553" t="s">
        <v>97</v>
      </c>
      <c r="E65" s="553" t="s">
        <v>82</v>
      </c>
      <c r="F65" s="553" t="s">
        <v>83</v>
      </c>
      <c r="G65" s="554">
        <v>1</v>
      </c>
      <c r="H65" s="555">
        <v>250000</v>
      </c>
      <c r="I65" s="556">
        <v>0</v>
      </c>
      <c r="J65" s="555">
        <f t="shared" si="10"/>
        <v>250000</v>
      </c>
      <c r="K65" s="555">
        <f t="shared" si="11"/>
        <v>250000</v>
      </c>
      <c r="M65" s="500" t="s">
        <v>251</v>
      </c>
      <c r="N65" s="500"/>
      <c r="O65" s="500"/>
      <c r="P65" s="500"/>
      <c r="Q65" s="500"/>
      <c r="R65" s="500"/>
      <c r="S65" s="500"/>
      <c r="T65" s="500"/>
      <c r="U65" s="500"/>
      <c r="V65" s="490"/>
      <c r="AB65" s="491" t="s">
        <v>252</v>
      </c>
      <c r="AC65" s="575"/>
    </row>
    <row r="66" spans="1:29" hidden="1" outlineLevel="1">
      <c r="A66" s="552" t="s">
        <v>253</v>
      </c>
      <c r="B66" s="553" t="s">
        <v>254</v>
      </c>
      <c r="C66" s="553" t="s">
        <v>70</v>
      </c>
      <c r="D66" s="553" t="s">
        <v>81</v>
      </c>
      <c r="E66" s="553" t="s">
        <v>76</v>
      </c>
      <c r="F66" s="553" t="s">
        <v>185</v>
      </c>
      <c r="G66" s="554">
        <f>$B$8</f>
        <v>362571</v>
      </c>
      <c r="H66" s="565">
        <v>0.08</v>
      </c>
      <c r="I66" s="556">
        <v>0</v>
      </c>
      <c r="J66" s="565">
        <f t="shared" si="10"/>
        <v>0.08</v>
      </c>
      <c r="K66" s="555">
        <f t="shared" si="11"/>
        <v>29005.68</v>
      </c>
      <c r="M66" s="500"/>
      <c r="N66" s="500"/>
      <c r="O66" s="500"/>
      <c r="P66" s="500"/>
      <c r="Q66" s="500"/>
      <c r="R66" s="500"/>
      <c r="S66" s="500"/>
      <c r="T66" s="500"/>
      <c r="U66" s="500"/>
      <c r="V66" s="490"/>
      <c r="AB66" s="491" t="s">
        <v>255</v>
      </c>
      <c r="AC66" s="575"/>
    </row>
    <row r="67" spans="1:29" hidden="1" outlineLevel="1">
      <c r="A67" s="552" t="s">
        <v>256</v>
      </c>
      <c r="B67" s="553" t="s">
        <v>257</v>
      </c>
      <c r="C67" s="553" t="s">
        <v>70</v>
      </c>
      <c r="D67" s="553" t="s">
        <v>81</v>
      </c>
      <c r="E67" s="553" t="s">
        <v>76</v>
      </c>
      <c r="F67" s="553" t="s">
        <v>185</v>
      </c>
      <c r="G67" s="554">
        <f>$B$8</f>
        <v>362571</v>
      </c>
      <c r="H67" s="565">
        <v>0.05</v>
      </c>
      <c r="I67" s="556">
        <v>0</v>
      </c>
      <c r="J67" s="565">
        <f t="shared" si="10"/>
        <v>0.05</v>
      </c>
      <c r="K67" s="555">
        <f t="shared" si="11"/>
        <v>18128.55</v>
      </c>
      <c r="M67" s="500"/>
      <c r="N67" s="500"/>
      <c r="O67" s="500"/>
      <c r="P67" s="500"/>
      <c r="Q67" s="500"/>
      <c r="R67" s="500"/>
      <c r="S67" s="500"/>
      <c r="T67" s="500"/>
      <c r="U67" s="500"/>
      <c r="V67" s="490"/>
      <c r="AB67" s="491" t="s">
        <v>258</v>
      </c>
      <c r="AC67" s="575"/>
    </row>
    <row r="68" spans="1:29" hidden="1" outlineLevel="1">
      <c r="A68" s="552" t="s">
        <v>259</v>
      </c>
      <c r="B68" s="553" t="s">
        <v>260</v>
      </c>
      <c r="C68" s="553" t="s">
        <v>70</v>
      </c>
      <c r="D68" s="553" t="s">
        <v>81</v>
      </c>
      <c r="E68" s="553" t="s">
        <v>76</v>
      </c>
      <c r="F68" s="553" t="s">
        <v>132</v>
      </c>
      <c r="G68" s="554">
        <f>2*$B$11</f>
        <v>6</v>
      </c>
      <c r="H68" s="555">
        <v>1550</v>
      </c>
      <c r="I68" s="556">
        <v>0</v>
      </c>
      <c r="J68" s="555">
        <f t="shared" si="10"/>
        <v>1550</v>
      </c>
      <c r="K68" s="555">
        <f t="shared" si="11"/>
        <v>9300</v>
      </c>
      <c r="M68" s="500" t="s">
        <v>261</v>
      </c>
      <c r="N68" s="500"/>
      <c r="O68" s="500"/>
      <c r="P68" s="500"/>
      <c r="Q68" s="500"/>
      <c r="R68" s="500"/>
      <c r="S68" s="500"/>
      <c r="T68" s="500"/>
      <c r="U68" s="500"/>
      <c r="V68" s="490"/>
      <c r="AB68" s="491" t="s">
        <v>262</v>
      </c>
      <c r="AC68" s="575"/>
    </row>
    <row r="69" spans="1:29" hidden="1" outlineLevel="1">
      <c r="A69" s="552" t="s">
        <v>263</v>
      </c>
      <c r="B69" s="553" t="s">
        <v>264</v>
      </c>
      <c r="C69" s="553" t="s">
        <v>70</v>
      </c>
      <c r="D69" s="553" t="s">
        <v>81</v>
      </c>
      <c r="E69" s="553" t="s">
        <v>76</v>
      </c>
      <c r="F69" s="553" t="s">
        <v>132</v>
      </c>
      <c r="G69" s="554">
        <f>2*$B$11</f>
        <v>6</v>
      </c>
      <c r="H69" s="555">
        <v>2500</v>
      </c>
      <c r="I69" s="556">
        <v>0</v>
      </c>
      <c r="J69" s="555">
        <f t="shared" si="10"/>
        <v>2500</v>
      </c>
      <c r="K69" s="555">
        <f t="shared" si="11"/>
        <v>15000</v>
      </c>
      <c r="M69" s="500" t="s">
        <v>261</v>
      </c>
      <c r="N69" s="500"/>
      <c r="O69" s="500"/>
      <c r="P69" s="500"/>
      <c r="Q69" s="500"/>
      <c r="R69" s="500"/>
      <c r="S69" s="500"/>
      <c r="T69" s="500"/>
      <c r="U69" s="500"/>
      <c r="V69" s="490"/>
      <c r="AB69" s="491" t="s">
        <v>136</v>
      </c>
      <c r="AC69" s="575"/>
    </row>
    <row r="70" spans="1:29" hidden="1" outlineLevel="1">
      <c r="A70" s="552" t="s">
        <v>265</v>
      </c>
      <c r="B70" s="553" t="s">
        <v>266</v>
      </c>
      <c r="C70" s="553" t="s">
        <v>70</v>
      </c>
      <c r="D70" s="553" t="s">
        <v>81</v>
      </c>
      <c r="E70" s="553" t="s">
        <v>87</v>
      </c>
      <c r="F70" s="553"/>
      <c r="G70" s="554"/>
      <c r="H70" s="565"/>
      <c r="I70" s="556">
        <v>0</v>
      </c>
      <c r="J70" s="551">
        <f t="shared" si="10"/>
        <v>0</v>
      </c>
      <c r="K70" s="309">
        <f t="shared" si="11"/>
        <v>0</v>
      </c>
      <c r="M70" s="500"/>
      <c r="N70" s="500"/>
      <c r="O70" s="500"/>
      <c r="P70" s="500"/>
      <c r="Q70" s="500"/>
      <c r="R70" s="500"/>
      <c r="S70" s="500"/>
      <c r="T70" s="500"/>
      <c r="U70" s="500"/>
      <c r="V70" s="490"/>
      <c r="AC70" s="575">
        <f>SUM(AC19:AC69)</f>
        <v>28935055</v>
      </c>
    </row>
    <row r="71" spans="1:29" collapsed="1">
      <c r="A71" s="537" t="s">
        <v>267</v>
      </c>
      <c r="B71" s="538" t="s">
        <v>268</v>
      </c>
      <c r="C71" s="578"/>
      <c r="D71" s="538"/>
      <c r="E71" s="538"/>
      <c r="F71" s="538"/>
      <c r="G71" s="567"/>
      <c r="H71" s="568"/>
      <c r="I71" s="540"/>
      <c r="J71" s="569"/>
      <c r="K71" s="541"/>
      <c r="L71" s="542">
        <f>SUM(K58:K70)</f>
        <v>2021174.23</v>
      </c>
      <c r="M71" s="543"/>
      <c r="N71" s="543"/>
      <c r="O71" s="543"/>
      <c r="P71" s="543"/>
      <c r="Q71" s="543"/>
      <c r="R71" s="543"/>
      <c r="S71" s="543"/>
      <c r="T71" s="543"/>
      <c r="U71" s="543"/>
      <c r="V71" s="490"/>
    </row>
    <row r="72" spans="1:29" hidden="1" outlineLevel="1">
      <c r="A72" s="552" t="s">
        <v>269</v>
      </c>
      <c r="B72" s="553" t="s">
        <v>270</v>
      </c>
      <c r="C72" s="553" t="s">
        <v>70</v>
      </c>
      <c r="D72" s="553" t="s">
        <v>173</v>
      </c>
      <c r="E72" s="553" t="s">
        <v>76</v>
      </c>
      <c r="F72" s="553" t="s">
        <v>132</v>
      </c>
      <c r="G72" s="554">
        <v>3</v>
      </c>
      <c r="H72" s="555">
        <v>8000</v>
      </c>
      <c r="I72" s="556">
        <v>0</v>
      </c>
      <c r="J72" s="555">
        <f t="shared" ref="J72:J85" si="12">H72*(1+I72)</f>
        <v>8000</v>
      </c>
      <c r="K72" s="555">
        <f t="shared" ref="K72:K85" si="13">J72*G72</f>
        <v>24000</v>
      </c>
      <c r="M72" s="500"/>
      <c r="N72" s="500"/>
      <c r="O72" s="500"/>
      <c r="P72" s="500"/>
      <c r="Q72" s="500"/>
      <c r="R72" s="500"/>
      <c r="S72" s="500"/>
      <c r="T72" s="500"/>
      <c r="U72" s="500"/>
      <c r="V72" s="490"/>
    </row>
    <row r="73" spans="1:29" hidden="1" outlineLevel="1">
      <c r="A73" s="552" t="s">
        <v>271</v>
      </c>
      <c r="B73" s="553" t="s">
        <v>272</v>
      </c>
      <c r="C73" s="553" t="s">
        <v>70</v>
      </c>
      <c r="D73" s="553" t="s">
        <v>173</v>
      </c>
      <c r="E73" s="553" t="s">
        <v>273</v>
      </c>
      <c r="F73" s="553"/>
      <c r="G73" s="554"/>
      <c r="H73" s="565"/>
      <c r="I73" s="556">
        <v>0</v>
      </c>
      <c r="J73" s="565">
        <f t="shared" si="12"/>
        <v>0</v>
      </c>
      <c r="K73" s="555">
        <f t="shared" si="13"/>
        <v>0</v>
      </c>
      <c r="M73" s="500"/>
      <c r="N73" s="500"/>
      <c r="O73" s="500"/>
      <c r="P73" s="500"/>
      <c r="Q73" s="500"/>
      <c r="R73" s="500"/>
      <c r="S73" s="500"/>
      <c r="T73" s="500"/>
      <c r="U73" s="500"/>
      <c r="V73" s="490"/>
    </row>
    <row r="74" spans="1:29" hidden="1" outlineLevel="1">
      <c r="A74" s="552" t="s">
        <v>274</v>
      </c>
      <c r="B74" s="553" t="s">
        <v>272</v>
      </c>
      <c r="C74" s="553" t="s">
        <v>70</v>
      </c>
      <c r="D74" s="553" t="s">
        <v>81</v>
      </c>
      <c r="E74" s="553" t="s">
        <v>87</v>
      </c>
      <c r="F74" s="553"/>
      <c r="G74" s="554"/>
      <c r="H74" s="565"/>
      <c r="I74" s="556">
        <v>0</v>
      </c>
      <c r="J74" s="565">
        <f t="shared" si="12"/>
        <v>0</v>
      </c>
      <c r="K74" s="555">
        <f t="shared" si="13"/>
        <v>0</v>
      </c>
      <c r="M74" s="500"/>
      <c r="N74" s="500"/>
      <c r="O74" s="500"/>
      <c r="P74" s="500"/>
      <c r="Q74" s="500"/>
      <c r="R74" s="500"/>
      <c r="S74" s="500"/>
      <c r="T74" s="500"/>
      <c r="U74" s="500"/>
      <c r="V74" s="490"/>
    </row>
    <row r="75" spans="1:29" hidden="1" outlineLevel="1">
      <c r="A75" s="552" t="s">
        <v>275</v>
      </c>
      <c r="B75" s="553" t="s">
        <v>276</v>
      </c>
      <c r="C75" s="553" t="s">
        <v>70</v>
      </c>
      <c r="D75" s="553" t="s">
        <v>81</v>
      </c>
      <c r="E75" s="553" t="s">
        <v>87</v>
      </c>
      <c r="F75" s="553"/>
      <c r="G75" s="554"/>
      <c r="H75" s="565"/>
      <c r="I75" s="556">
        <v>0</v>
      </c>
      <c r="J75" s="565">
        <f t="shared" si="12"/>
        <v>0</v>
      </c>
      <c r="K75" s="555">
        <f t="shared" si="13"/>
        <v>0</v>
      </c>
      <c r="M75" s="500"/>
      <c r="N75" s="500"/>
      <c r="O75" s="500"/>
      <c r="P75" s="500"/>
      <c r="Q75" s="500"/>
      <c r="R75" s="500"/>
      <c r="S75" s="500"/>
      <c r="T75" s="500"/>
      <c r="U75" s="500"/>
      <c r="V75" s="490"/>
    </row>
    <row r="76" spans="1:29" hidden="1" outlineLevel="1">
      <c r="A76" s="552" t="s">
        <v>277</v>
      </c>
      <c r="B76" s="553" t="s">
        <v>278</v>
      </c>
      <c r="C76" s="553" t="s">
        <v>70</v>
      </c>
      <c r="D76" s="553" t="s">
        <v>81</v>
      </c>
      <c r="E76" s="545" t="s">
        <v>156</v>
      </c>
      <c r="F76" s="553" t="s">
        <v>279</v>
      </c>
      <c r="G76" s="546">
        <f>$N$9</f>
        <v>363</v>
      </c>
      <c r="H76" s="555">
        <f>565499/390</f>
        <v>1449.9974358974359</v>
      </c>
      <c r="I76" s="556">
        <v>0</v>
      </c>
      <c r="J76" s="555">
        <f t="shared" si="12"/>
        <v>1449.9974358974359</v>
      </c>
      <c r="K76" s="555">
        <f t="shared" si="13"/>
        <v>526349.0692307693</v>
      </c>
      <c r="M76" s="500" t="s">
        <v>280</v>
      </c>
      <c r="N76" s="500"/>
      <c r="O76" s="500"/>
      <c r="P76" s="500"/>
      <c r="Q76" s="500"/>
      <c r="R76" s="500"/>
      <c r="S76" s="500"/>
      <c r="T76" s="500"/>
      <c r="U76" s="500"/>
      <c r="V76" s="490"/>
    </row>
    <row r="77" spans="1:29" hidden="1" outlineLevel="1">
      <c r="A77" s="552" t="s">
        <v>281</v>
      </c>
      <c r="B77" s="553" t="s">
        <v>278</v>
      </c>
      <c r="C77" s="553" t="s">
        <v>90</v>
      </c>
      <c r="D77" s="553" t="s">
        <v>81</v>
      </c>
      <c r="E77" s="553" t="s">
        <v>76</v>
      </c>
      <c r="F77" s="553" t="s">
        <v>279</v>
      </c>
      <c r="G77" s="546">
        <f>$N$9</f>
        <v>363</v>
      </c>
      <c r="H77" s="555">
        <v>75</v>
      </c>
      <c r="I77" s="556">
        <v>0</v>
      </c>
      <c r="J77" s="555">
        <f t="shared" si="12"/>
        <v>75</v>
      </c>
      <c r="K77" s="555">
        <f t="shared" si="13"/>
        <v>27225</v>
      </c>
      <c r="M77" s="500"/>
      <c r="N77" s="500"/>
      <c r="O77" s="500"/>
      <c r="P77" s="500"/>
      <c r="Q77" s="500"/>
      <c r="R77" s="500"/>
      <c r="S77" s="500"/>
      <c r="T77" s="500"/>
      <c r="U77" s="500"/>
      <c r="V77" s="490"/>
    </row>
    <row r="78" spans="1:29" hidden="1" outlineLevel="1">
      <c r="A78" s="552" t="s">
        <v>282</v>
      </c>
      <c r="B78" s="553" t="s">
        <v>283</v>
      </c>
      <c r="C78" s="553" t="s">
        <v>70</v>
      </c>
      <c r="D78" s="553" t="s">
        <v>110</v>
      </c>
      <c r="E78" s="553" t="s">
        <v>87</v>
      </c>
      <c r="F78" s="553"/>
      <c r="G78" s="554"/>
      <c r="H78" s="565"/>
      <c r="I78" s="556">
        <v>0</v>
      </c>
      <c r="J78" s="565">
        <f t="shared" si="12"/>
        <v>0</v>
      </c>
      <c r="K78" s="555">
        <f t="shared" si="13"/>
        <v>0</v>
      </c>
      <c r="M78" s="500"/>
      <c r="N78" s="500"/>
      <c r="O78" s="500"/>
      <c r="P78" s="500"/>
      <c r="Q78" s="500"/>
      <c r="R78" s="500"/>
      <c r="S78" s="500"/>
      <c r="T78" s="500"/>
      <c r="U78" s="500"/>
      <c r="V78" s="490"/>
    </row>
    <row r="79" spans="1:29" hidden="1" outlineLevel="1">
      <c r="A79" s="552" t="s">
        <v>284</v>
      </c>
      <c r="B79" s="553" t="s">
        <v>285</v>
      </c>
      <c r="C79" s="553" t="s">
        <v>70</v>
      </c>
      <c r="D79" s="553" t="s">
        <v>103</v>
      </c>
      <c r="E79" s="553" t="s">
        <v>87</v>
      </c>
      <c r="F79" s="553"/>
      <c r="G79" s="554"/>
      <c r="H79" s="565"/>
      <c r="I79" s="556">
        <v>0</v>
      </c>
      <c r="J79" s="565">
        <f t="shared" si="12"/>
        <v>0</v>
      </c>
      <c r="K79" s="555">
        <f t="shared" si="13"/>
        <v>0</v>
      </c>
      <c r="M79" s="500"/>
      <c r="N79" s="500"/>
      <c r="O79" s="500"/>
      <c r="P79" s="500"/>
      <c r="Q79" s="500"/>
      <c r="R79" s="500"/>
      <c r="S79" s="500"/>
      <c r="T79" s="500"/>
      <c r="U79" s="500"/>
      <c r="V79" s="490"/>
    </row>
    <row r="80" spans="1:29" hidden="1" outlineLevel="1">
      <c r="A80" s="552" t="s">
        <v>286</v>
      </c>
      <c r="B80" s="553" t="s">
        <v>287</v>
      </c>
      <c r="C80" s="553" t="s">
        <v>70</v>
      </c>
      <c r="D80" s="553" t="s">
        <v>81</v>
      </c>
      <c r="E80" s="553" t="s">
        <v>87</v>
      </c>
      <c r="F80" s="553"/>
      <c r="G80" s="554"/>
      <c r="H80" s="565"/>
      <c r="I80" s="556">
        <v>0</v>
      </c>
      <c r="J80" s="565">
        <f t="shared" si="12"/>
        <v>0</v>
      </c>
      <c r="K80" s="555">
        <f t="shared" si="13"/>
        <v>0</v>
      </c>
      <c r="M80" s="500"/>
      <c r="N80" s="500"/>
      <c r="O80" s="500"/>
      <c r="P80" s="500"/>
      <c r="Q80" s="500"/>
      <c r="R80" s="500"/>
      <c r="S80" s="500"/>
      <c r="T80" s="500"/>
      <c r="U80" s="500"/>
      <c r="V80" s="490"/>
    </row>
    <row r="81" spans="1:24" hidden="1" outlineLevel="1">
      <c r="A81" s="552" t="s">
        <v>288</v>
      </c>
      <c r="B81" s="553" t="s">
        <v>289</v>
      </c>
      <c r="C81" s="553" t="s">
        <v>70</v>
      </c>
      <c r="D81" s="553" t="s">
        <v>81</v>
      </c>
      <c r="E81" s="553" t="s">
        <v>87</v>
      </c>
      <c r="F81" s="553"/>
      <c r="G81" s="554"/>
      <c r="H81" s="565"/>
      <c r="I81" s="556">
        <v>0</v>
      </c>
      <c r="J81" s="565">
        <f t="shared" si="12"/>
        <v>0</v>
      </c>
      <c r="K81" s="555">
        <f t="shared" si="13"/>
        <v>0</v>
      </c>
      <c r="M81" s="500"/>
      <c r="N81" s="500"/>
      <c r="O81" s="500"/>
      <c r="P81" s="500"/>
      <c r="Q81" s="500"/>
      <c r="R81" s="500"/>
      <c r="S81" s="500"/>
      <c r="T81" s="500"/>
      <c r="U81" s="500"/>
      <c r="V81" s="490"/>
    </row>
    <row r="82" spans="1:24" hidden="1" outlineLevel="1">
      <c r="A82" s="552" t="s">
        <v>290</v>
      </c>
      <c r="B82" s="553" t="s">
        <v>291</v>
      </c>
      <c r="C82" s="553" t="s">
        <v>70</v>
      </c>
      <c r="D82" s="553" t="s">
        <v>81</v>
      </c>
      <c r="E82" s="553" t="s">
        <v>87</v>
      </c>
      <c r="F82" s="553"/>
      <c r="G82" s="554"/>
      <c r="H82" s="565"/>
      <c r="I82" s="556">
        <v>0</v>
      </c>
      <c r="J82" s="565">
        <f t="shared" si="12"/>
        <v>0</v>
      </c>
      <c r="K82" s="555">
        <f t="shared" si="13"/>
        <v>0</v>
      </c>
      <c r="M82" s="500"/>
      <c r="N82" s="500"/>
      <c r="O82" s="500"/>
      <c r="P82" s="500"/>
      <c r="Q82" s="500"/>
      <c r="R82" s="500"/>
      <c r="S82" s="500"/>
      <c r="T82" s="500"/>
      <c r="U82" s="500"/>
      <c r="V82" s="490"/>
    </row>
    <row r="83" spans="1:24" hidden="1" outlineLevel="1">
      <c r="A83" s="552" t="s">
        <v>292</v>
      </c>
      <c r="B83" s="553" t="s">
        <v>289</v>
      </c>
      <c r="C83" s="553" t="s">
        <v>70</v>
      </c>
      <c r="D83" s="553" t="s">
        <v>81</v>
      </c>
      <c r="E83" s="553" t="s">
        <v>87</v>
      </c>
      <c r="F83" s="553"/>
      <c r="G83" s="554"/>
      <c r="H83" s="565"/>
      <c r="I83" s="556">
        <v>0</v>
      </c>
      <c r="J83" s="555">
        <f t="shared" si="12"/>
        <v>0</v>
      </c>
      <c r="K83" s="555">
        <f t="shared" si="13"/>
        <v>0</v>
      </c>
      <c r="M83" s="500"/>
      <c r="N83" s="500"/>
      <c r="O83" s="500"/>
      <c r="P83" s="500"/>
      <c r="Q83" s="500"/>
      <c r="R83" s="500"/>
      <c r="S83" s="500"/>
      <c r="T83" s="500"/>
      <c r="U83" s="500"/>
      <c r="V83" s="490"/>
    </row>
    <row r="84" spans="1:24" hidden="1" outlineLevel="1">
      <c r="A84" s="552" t="s">
        <v>293</v>
      </c>
      <c r="B84" s="553" t="s">
        <v>289</v>
      </c>
      <c r="C84" s="553" t="s">
        <v>70</v>
      </c>
      <c r="D84" s="553" t="s">
        <v>81</v>
      </c>
      <c r="E84" s="553" t="s">
        <v>184</v>
      </c>
      <c r="F84" s="553" t="s">
        <v>294</v>
      </c>
      <c r="G84" s="546">
        <f>N9</f>
        <v>363</v>
      </c>
      <c r="H84" s="555">
        <v>175</v>
      </c>
      <c r="I84" s="556">
        <v>0</v>
      </c>
      <c r="J84" s="555">
        <f t="shared" si="12"/>
        <v>175</v>
      </c>
      <c r="K84" s="555">
        <f>J84*G84</f>
        <v>63525</v>
      </c>
      <c r="M84" s="500" t="s">
        <v>295</v>
      </c>
      <c r="N84" s="500"/>
      <c r="O84" s="500"/>
      <c r="P84" s="500"/>
      <c r="Q84" s="500"/>
      <c r="R84" s="500"/>
      <c r="S84" s="500"/>
      <c r="T84" s="500"/>
      <c r="U84" s="500"/>
      <c r="V84" s="490"/>
    </row>
    <row r="85" spans="1:24" hidden="1" outlineLevel="1">
      <c r="A85" s="552" t="s">
        <v>296</v>
      </c>
      <c r="B85" s="553" t="s">
        <v>289</v>
      </c>
      <c r="C85" s="553" t="s">
        <v>70</v>
      </c>
      <c r="D85" s="553" t="s">
        <v>81</v>
      </c>
      <c r="E85" s="553" t="s">
        <v>76</v>
      </c>
      <c r="F85" s="553" t="s">
        <v>132</v>
      </c>
      <c r="G85" s="554">
        <v>6</v>
      </c>
      <c r="H85" s="555">
        <v>300</v>
      </c>
      <c r="I85" s="556">
        <v>0</v>
      </c>
      <c r="J85" s="551">
        <f t="shared" si="12"/>
        <v>300</v>
      </c>
      <c r="K85" s="309">
        <f t="shared" si="13"/>
        <v>1800</v>
      </c>
      <c r="M85" s="500"/>
      <c r="N85" s="500"/>
      <c r="O85" s="500"/>
      <c r="P85" s="500"/>
      <c r="Q85" s="500"/>
      <c r="R85" s="500"/>
      <c r="S85" s="500"/>
      <c r="T85" s="500"/>
      <c r="U85" s="500"/>
      <c r="V85" s="490"/>
    </row>
    <row r="86" spans="1:24" collapsed="1">
      <c r="A86" s="537" t="s">
        <v>297</v>
      </c>
      <c r="B86" s="538" t="s">
        <v>298</v>
      </c>
      <c r="C86" s="578"/>
      <c r="D86" s="538"/>
      <c r="E86" s="538"/>
      <c r="F86" s="538"/>
      <c r="G86" s="567"/>
      <c r="H86" s="568"/>
      <c r="I86" s="540"/>
      <c r="J86" s="569"/>
      <c r="K86" s="541"/>
      <c r="L86" s="542">
        <f>SUM(K72:K85)</f>
        <v>642899.0692307693</v>
      </c>
      <c r="M86" s="543"/>
      <c r="N86" s="543"/>
      <c r="O86" s="543"/>
      <c r="P86" s="543"/>
      <c r="Q86" s="543"/>
      <c r="R86" s="543"/>
      <c r="S86" s="543"/>
      <c r="T86" s="543"/>
      <c r="U86" s="543"/>
      <c r="V86" s="490"/>
    </row>
    <row r="87" spans="1:24" hidden="1" outlineLevel="1">
      <c r="A87" s="544" t="s">
        <v>299</v>
      </c>
      <c r="B87" s="545" t="s">
        <v>300</v>
      </c>
      <c r="C87" s="545" t="s">
        <v>70</v>
      </c>
      <c r="D87" s="545" t="s">
        <v>81</v>
      </c>
      <c r="E87" s="545" t="s">
        <v>87</v>
      </c>
      <c r="F87" s="545"/>
      <c r="G87" s="546"/>
      <c r="H87" s="550"/>
      <c r="I87" s="548">
        <v>0</v>
      </c>
      <c r="J87" s="572">
        <f t="shared" ref="J87:J124" si="14">H87*(1+I87)</f>
        <v>0</v>
      </c>
      <c r="K87" s="309">
        <f t="shared" ref="K87:K124" si="15">J87*G87</f>
        <v>0</v>
      </c>
      <c r="M87" s="549"/>
      <c r="N87" s="549"/>
      <c r="O87" s="549"/>
      <c r="P87" s="549"/>
      <c r="Q87" s="549"/>
      <c r="R87" s="549"/>
      <c r="S87" s="549"/>
      <c r="T87" s="549"/>
      <c r="U87" s="549"/>
      <c r="V87" s="490"/>
    </row>
    <row r="88" spans="1:24" hidden="1" outlineLevel="1">
      <c r="A88" s="552" t="s">
        <v>301</v>
      </c>
      <c r="B88" s="553" t="s">
        <v>302</v>
      </c>
      <c r="C88" s="553" t="s">
        <v>70</v>
      </c>
      <c r="D88" s="553" t="s">
        <v>81</v>
      </c>
      <c r="E88" s="553" t="s">
        <v>76</v>
      </c>
      <c r="F88" s="553" t="s">
        <v>83</v>
      </c>
      <c r="G88" s="554">
        <v>1</v>
      </c>
      <c r="H88" s="555">
        <v>10000</v>
      </c>
      <c r="I88" s="556">
        <v>0</v>
      </c>
      <c r="J88" s="555">
        <f t="shared" si="14"/>
        <v>10000</v>
      </c>
      <c r="K88" s="555">
        <f t="shared" si="15"/>
        <v>10000</v>
      </c>
      <c r="M88" s="500"/>
      <c r="N88" s="500"/>
      <c r="O88" s="500"/>
      <c r="P88" s="500"/>
      <c r="Q88" s="500"/>
      <c r="R88" s="500"/>
      <c r="S88" s="500"/>
      <c r="T88" s="500"/>
      <c r="U88" s="500"/>
      <c r="V88" s="490"/>
    </row>
    <row r="89" spans="1:24" hidden="1" outlineLevel="1">
      <c r="A89" s="552" t="s">
        <v>303</v>
      </c>
      <c r="B89" s="553" t="s">
        <v>304</v>
      </c>
      <c r="C89" s="553" t="s">
        <v>70</v>
      </c>
      <c r="D89" s="553" t="s">
        <v>81</v>
      </c>
      <c r="E89" s="553" t="s">
        <v>184</v>
      </c>
      <c r="F89" s="553" t="s">
        <v>185</v>
      </c>
      <c r="G89" s="554">
        <f t="shared" ref="G89:G117" si="16">$B$8</f>
        <v>362571</v>
      </c>
      <c r="H89" s="565">
        <v>0.85</v>
      </c>
      <c r="I89" s="556">
        <v>0</v>
      </c>
      <c r="J89" s="565">
        <f t="shared" si="14"/>
        <v>0.85</v>
      </c>
      <c r="K89" s="555">
        <f t="shared" si="15"/>
        <v>308185.34999999998</v>
      </c>
      <c r="M89" s="500" t="s">
        <v>305</v>
      </c>
      <c r="N89" s="500"/>
      <c r="O89" s="500"/>
      <c r="P89" s="500"/>
      <c r="Q89" s="500"/>
      <c r="R89" s="500"/>
      <c r="S89" s="500"/>
      <c r="T89" s="500"/>
      <c r="U89" s="500"/>
      <c r="V89" s="490"/>
    </row>
    <row r="90" spans="1:24" hidden="1" outlineLevel="1">
      <c r="A90" s="552" t="s">
        <v>306</v>
      </c>
      <c r="B90" s="553" t="s">
        <v>307</v>
      </c>
      <c r="C90" s="553" t="s">
        <v>70</v>
      </c>
      <c r="D90" s="553" t="s">
        <v>81</v>
      </c>
      <c r="E90" s="553" t="s">
        <v>76</v>
      </c>
      <c r="F90" s="553" t="s">
        <v>83</v>
      </c>
      <c r="G90" s="554">
        <v>1</v>
      </c>
      <c r="H90" s="555">
        <v>75000</v>
      </c>
      <c r="I90" s="556">
        <v>0</v>
      </c>
      <c r="J90" s="555">
        <f t="shared" si="14"/>
        <v>75000</v>
      </c>
      <c r="K90" s="555">
        <f t="shared" si="15"/>
        <v>75000</v>
      </c>
      <c r="M90" s="500"/>
      <c r="N90" s="500"/>
      <c r="O90" s="500"/>
      <c r="P90" s="500"/>
      <c r="Q90" s="500"/>
      <c r="R90" s="500"/>
      <c r="S90" s="500"/>
      <c r="T90" s="500"/>
      <c r="U90" s="500"/>
      <c r="V90" s="490"/>
    </row>
    <row r="91" spans="1:24" hidden="1" outlineLevel="1">
      <c r="A91" s="552" t="s">
        <v>308</v>
      </c>
      <c r="B91" s="553" t="s">
        <v>309</v>
      </c>
      <c r="C91" s="553" t="s">
        <v>70</v>
      </c>
      <c r="D91" s="553" t="s">
        <v>310</v>
      </c>
      <c r="E91" s="553" t="s">
        <v>76</v>
      </c>
      <c r="F91" s="553" t="s">
        <v>311</v>
      </c>
      <c r="G91" s="546">
        <f>$N$9</f>
        <v>363</v>
      </c>
      <c r="H91" s="565">
        <v>79</v>
      </c>
      <c r="I91" s="556">
        <v>0</v>
      </c>
      <c r="J91" s="565">
        <f t="shared" si="14"/>
        <v>79</v>
      </c>
      <c r="K91" s="555">
        <f t="shared" si="15"/>
        <v>28677</v>
      </c>
      <c r="M91" s="500"/>
      <c r="N91" s="500"/>
      <c r="O91" s="500"/>
      <c r="P91" s="500"/>
      <c r="Q91" s="500"/>
      <c r="R91" s="500"/>
      <c r="S91" s="500"/>
      <c r="T91" s="500"/>
      <c r="U91" s="500"/>
      <c r="V91" s="490"/>
    </row>
    <row r="92" spans="1:24" hidden="1" outlineLevel="1">
      <c r="A92" s="552" t="s">
        <v>312</v>
      </c>
      <c r="B92" s="553" t="s">
        <v>313</v>
      </c>
      <c r="C92" s="553" t="s">
        <v>70</v>
      </c>
      <c r="D92" s="553" t="s">
        <v>75</v>
      </c>
      <c r="E92" s="553" t="s">
        <v>76</v>
      </c>
      <c r="F92" s="553" t="s">
        <v>83</v>
      </c>
      <c r="G92" s="554">
        <v>1</v>
      </c>
      <c r="H92" s="555">
        <v>10000</v>
      </c>
      <c r="I92" s="556">
        <v>0</v>
      </c>
      <c r="J92" s="555">
        <f>H92*(1+I92)</f>
        <v>10000</v>
      </c>
      <c r="K92" s="555">
        <f t="shared" si="15"/>
        <v>10000</v>
      </c>
      <c r="M92" s="500" t="s">
        <v>314</v>
      </c>
      <c r="N92" s="500"/>
      <c r="O92" s="500"/>
      <c r="P92" s="500"/>
      <c r="Q92" s="500"/>
      <c r="R92" s="500"/>
      <c r="S92" s="500"/>
      <c r="T92" s="500"/>
      <c r="U92" s="500"/>
      <c r="V92" s="490"/>
    </row>
    <row r="93" spans="1:24" hidden="1" outlineLevel="1">
      <c r="A93" s="552" t="s">
        <v>315</v>
      </c>
      <c r="B93" s="553" t="s">
        <v>316</v>
      </c>
      <c r="C93" s="553" t="s">
        <v>70</v>
      </c>
      <c r="D93" s="553" t="s">
        <v>81</v>
      </c>
      <c r="E93" s="553" t="s">
        <v>82</v>
      </c>
      <c r="F93" s="553" t="s">
        <v>83</v>
      </c>
      <c r="G93" s="554">
        <v>1</v>
      </c>
      <c r="H93" s="565">
        <f>246420+335664+315166</f>
        <v>897250</v>
      </c>
      <c r="I93" s="556">
        <v>0</v>
      </c>
      <c r="J93" s="565">
        <f t="shared" si="14"/>
        <v>897250</v>
      </c>
      <c r="K93" s="555">
        <f t="shared" si="15"/>
        <v>897250</v>
      </c>
      <c r="M93" s="500" t="s">
        <v>317</v>
      </c>
      <c r="N93" s="500"/>
      <c r="O93" s="500"/>
      <c r="P93" s="500" t="s">
        <v>318</v>
      </c>
      <c r="Q93" s="500"/>
      <c r="R93" s="500"/>
      <c r="S93" s="500"/>
      <c r="T93" s="500"/>
      <c r="U93" s="500"/>
      <c r="V93" s="490"/>
    </row>
    <row r="94" spans="1:24" hidden="1" outlineLevel="1">
      <c r="A94" s="552" t="s">
        <v>319</v>
      </c>
      <c r="B94" s="553" t="s">
        <v>320</v>
      </c>
      <c r="C94" s="553" t="s">
        <v>144</v>
      </c>
      <c r="D94" s="553" t="s">
        <v>93</v>
      </c>
      <c r="E94" s="553" t="s">
        <v>76</v>
      </c>
      <c r="F94" s="553" t="s">
        <v>83</v>
      </c>
      <c r="G94" s="554">
        <f>'Assumptions &amp; Takeoffs'!B24</f>
        <v>1</v>
      </c>
      <c r="H94" s="555">
        <v>6000</v>
      </c>
      <c r="I94" s="556">
        <v>0</v>
      </c>
      <c r="J94" s="555">
        <f t="shared" si="14"/>
        <v>6000</v>
      </c>
      <c r="K94" s="555">
        <f t="shared" si="15"/>
        <v>6000</v>
      </c>
      <c r="M94" s="500"/>
      <c r="N94" s="500"/>
      <c r="O94" s="500"/>
      <c r="P94" s="500"/>
      <c r="Q94" s="500"/>
      <c r="R94" s="500"/>
      <c r="S94" s="500"/>
      <c r="T94" s="500"/>
      <c r="U94" s="500"/>
      <c r="V94" s="490"/>
    </row>
    <row r="95" spans="1:24" hidden="1" outlineLevel="1">
      <c r="A95" s="552" t="s">
        <v>321</v>
      </c>
      <c r="B95" s="553" t="s">
        <v>322</v>
      </c>
      <c r="C95" s="553" t="s">
        <v>70</v>
      </c>
      <c r="D95" s="553" t="s">
        <v>103</v>
      </c>
      <c r="E95" s="553" t="s">
        <v>87</v>
      </c>
      <c r="F95" s="553"/>
      <c r="G95" s="554"/>
      <c r="H95" s="565"/>
      <c r="I95" s="556">
        <v>0</v>
      </c>
      <c r="J95" s="565">
        <f t="shared" si="14"/>
        <v>0</v>
      </c>
      <c r="K95" s="555">
        <f t="shared" si="15"/>
        <v>0</v>
      </c>
      <c r="M95" s="500"/>
      <c r="N95" s="500"/>
      <c r="O95" s="500"/>
      <c r="P95" s="500"/>
      <c r="Q95" s="500"/>
      <c r="R95" s="500"/>
      <c r="S95" s="500"/>
      <c r="T95" s="500"/>
      <c r="U95" s="500"/>
      <c r="V95" s="490"/>
    </row>
    <row r="96" spans="1:24" hidden="1" outlineLevel="1">
      <c r="A96" s="552" t="s">
        <v>323</v>
      </c>
      <c r="B96" s="553" t="s">
        <v>324</v>
      </c>
      <c r="C96" s="553" t="s">
        <v>144</v>
      </c>
      <c r="D96" s="553" t="s">
        <v>103</v>
      </c>
      <c r="E96" s="553" t="s">
        <v>76</v>
      </c>
      <c r="F96" s="553" t="s">
        <v>83</v>
      </c>
      <c r="G96" s="554">
        <f>'Assumptions &amp; Takeoffs'!$B$16</f>
        <v>1</v>
      </c>
      <c r="H96" s="555">
        <v>2000</v>
      </c>
      <c r="I96" s="556">
        <v>0</v>
      </c>
      <c r="J96" s="555">
        <f t="shared" si="14"/>
        <v>2000</v>
      </c>
      <c r="K96" s="555">
        <f t="shared" si="15"/>
        <v>2000</v>
      </c>
      <c r="M96" s="500"/>
      <c r="N96" s="500"/>
      <c r="O96" s="500"/>
      <c r="P96" s="500"/>
      <c r="Q96" s="500"/>
      <c r="R96" s="500"/>
      <c r="S96" s="500"/>
      <c r="T96" s="500"/>
      <c r="U96" s="500"/>
      <c r="V96" s="490"/>
      <c r="X96" s="575"/>
    </row>
    <row r="97" spans="1:24" hidden="1" outlineLevel="1">
      <c r="A97" s="552" t="s">
        <v>325</v>
      </c>
      <c r="B97" s="553" t="s">
        <v>326</v>
      </c>
      <c r="C97" s="553" t="s">
        <v>70</v>
      </c>
      <c r="D97" s="553" t="s">
        <v>103</v>
      </c>
      <c r="E97" s="553" t="s">
        <v>87</v>
      </c>
      <c r="F97" s="553"/>
      <c r="G97" s="554"/>
      <c r="H97" s="565"/>
      <c r="I97" s="556">
        <v>0</v>
      </c>
      <c r="J97" s="565">
        <f t="shared" si="14"/>
        <v>0</v>
      </c>
      <c r="K97" s="555">
        <f t="shared" si="15"/>
        <v>0</v>
      </c>
      <c r="M97" s="500"/>
      <c r="N97" s="500"/>
      <c r="O97" s="500"/>
      <c r="P97" s="500"/>
      <c r="Q97" s="500"/>
      <c r="R97" s="500"/>
      <c r="S97" s="500"/>
      <c r="T97" s="500"/>
      <c r="U97" s="500"/>
      <c r="V97" s="490"/>
      <c r="X97" s="575"/>
    </row>
    <row r="98" spans="1:24" hidden="1" outlineLevel="1">
      <c r="A98" s="552" t="s">
        <v>327</v>
      </c>
      <c r="B98" s="553" t="s">
        <v>328</v>
      </c>
      <c r="C98" s="553" t="s">
        <v>70</v>
      </c>
      <c r="D98" s="553" t="s">
        <v>110</v>
      </c>
      <c r="E98" s="553" t="s">
        <v>329</v>
      </c>
      <c r="F98" s="553" t="s">
        <v>83</v>
      </c>
      <c r="G98" s="554">
        <v>1</v>
      </c>
      <c r="H98" s="555">
        <v>5000</v>
      </c>
      <c r="I98" s="556">
        <v>0</v>
      </c>
      <c r="J98" s="555">
        <f t="shared" si="14"/>
        <v>5000</v>
      </c>
      <c r="K98" s="555">
        <f t="shared" si="15"/>
        <v>5000</v>
      </c>
      <c r="M98" s="500"/>
      <c r="N98" s="500"/>
      <c r="O98" s="500"/>
      <c r="P98" s="500"/>
      <c r="Q98" s="500"/>
      <c r="R98" s="500"/>
      <c r="S98" s="500"/>
      <c r="T98" s="500"/>
      <c r="U98" s="500"/>
      <c r="V98" s="490"/>
      <c r="X98" s="575"/>
    </row>
    <row r="99" spans="1:24" hidden="1" outlineLevel="1">
      <c r="A99" s="552" t="s">
        <v>330</v>
      </c>
      <c r="B99" s="553" t="s">
        <v>331</v>
      </c>
      <c r="C99" s="553" t="s">
        <v>90</v>
      </c>
      <c r="D99" s="553" t="s">
        <v>81</v>
      </c>
      <c r="E99" s="553" t="s">
        <v>76</v>
      </c>
      <c r="F99" s="553" t="s">
        <v>83</v>
      </c>
      <c r="G99" s="554">
        <v>1</v>
      </c>
      <c r="H99" s="555">
        <v>1500</v>
      </c>
      <c r="I99" s="556">
        <v>0</v>
      </c>
      <c r="J99" s="555">
        <f t="shared" si="14"/>
        <v>1500</v>
      </c>
      <c r="K99" s="555">
        <f t="shared" si="15"/>
        <v>1500</v>
      </c>
      <c r="M99" s="500"/>
      <c r="N99" s="500"/>
      <c r="O99" s="500"/>
      <c r="P99" s="500"/>
      <c r="Q99" s="500"/>
      <c r="R99" s="500"/>
      <c r="S99" s="500"/>
      <c r="T99" s="500"/>
      <c r="U99" s="500"/>
      <c r="V99" s="490"/>
      <c r="X99" s="575"/>
    </row>
    <row r="100" spans="1:24" hidden="1" outlineLevel="1">
      <c r="A100" s="552" t="s">
        <v>332</v>
      </c>
      <c r="B100" s="553" t="s">
        <v>333</v>
      </c>
      <c r="C100" s="553" t="s">
        <v>70</v>
      </c>
      <c r="D100" s="553" t="s">
        <v>81</v>
      </c>
      <c r="E100" s="553" t="s">
        <v>82</v>
      </c>
      <c r="F100" s="553" t="s">
        <v>83</v>
      </c>
      <c r="G100" s="554">
        <v>1</v>
      </c>
      <c r="H100" s="565">
        <f>701759+996592+926648+2351+2000</f>
        <v>2629350</v>
      </c>
      <c r="I100" s="556">
        <v>0</v>
      </c>
      <c r="J100" s="565">
        <f t="shared" si="14"/>
        <v>2629350</v>
      </c>
      <c r="K100" s="555">
        <f>J100*G100</f>
        <v>2629350</v>
      </c>
      <c r="M100" s="500" t="s">
        <v>334</v>
      </c>
      <c r="N100" s="500"/>
      <c r="O100" s="500"/>
      <c r="P100" s="500"/>
      <c r="Q100" s="500"/>
      <c r="R100" s="500"/>
      <c r="S100" s="500"/>
      <c r="T100" s="500"/>
      <c r="U100" s="500"/>
      <c r="V100" s="490"/>
      <c r="X100" s="575"/>
    </row>
    <row r="101" spans="1:24" hidden="1" outlineLevel="1">
      <c r="A101" s="552" t="s">
        <v>335</v>
      </c>
      <c r="B101" s="553" t="s">
        <v>336</v>
      </c>
      <c r="C101" s="553" t="s">
        <v>90</v>
      </c>
      <c r="D101" s="553" t="s">
        <v>81</v>
      </c>
      <c r="E101" s="553" t="s">
        <v>76</v>
      </c>
      <c r="F101" s="553" t="s">
        <v>311</v>
      </c>
      <c r="G101" s="546">
        <f>$N$9</f>
        <v>363</v>
      </c>
      <c r="H101" s="555">
        <v>85</v>
      </c>
      <c r="I101" s="556">
        <v>0</v>
      </c>
      <c r="J101" s="555">
        <f t="shared" si="14"/>
        <v>85</v>
      </c>
      <c r="K101" s="555">
        <f t="shared" si="15"/>
        <v>30855</v>
      </c>
      <c r="M101" s="500"/>
      <c r="N101" s="500"/>
      <c r="O101" s="500"/>
      <c r="P101" s="500"/>
      <c r="Q101" s="500"/>
      <c r="R101" s="500"/>
      <c r="S101" s="500"/>
      <c r="T101" s="500"/>
      <c r="U101" s="500"/>
      <c r="V101" s="490"/>
      <c r="X101" s="575"/>
    </row>
    <row r="102" spans="1:24" hidden="1" outlineLevel="1">
      <c r="A102" s="552" t="s">
        <v>337</v>
      </c>
      <c r="B102" s="553" t="s">
        <v>338</v>
      </c>
      <c r="C102" s="553" t="s">
        <v>70</v>
      </c>
      <c r="D102" s="553" t="s">
        <v>93</v>
      </c>
      <c r="E102" s="553" t="s">
        <v>76</v>
      </c>
      <c r="F102" s="553" t="s">
        <v>83</v>
      </c>
      <c r="G102" s="546">
        <v>1</v>
      </c>
      <c r="H102" s="555">
        <v>1000</v>
      </c>
      <c r="I102" s="556">
        <v>0</v>
      </c>
      <c r="J102" s="555">
        <f t="shared" si="14"/>
        <v>1000</v>
      </c>
      <c r="K102" s="555">
        <f t="shared" si="15"/>
        <v>1000</v>
      </c>
      <c r="M102" s="500"/>
      <c r="N102" s="500"/>
      <c r="O102" s="500"/>
      <c r="P102" s="500"/>
      <c r="Q102" s="500"/>
      <c r="R102" s="500"/>
      <c r="S102" s="500"/>
      <c r="T102" s="500"/>
      <c r="U102" s="500"/>
      <c r="V102" s="490"/>
      <c r="X102" s="575"/>
    </row>
    <row r="103" spans="1:24" hidden="1" outlineLevel="1">
      <c r="A103" s="552" t="s">
        <v>339</v>
      </c>
      <c r="B103" s="553" t="s">
        <v>340</v>
      </c>
      <c r="C103" s="553" t="s">
        <v>70</v>
      </c>
      <c r="D103" s="553" t="s">
        <v>81</v>
      </c>
      <c r="E103" s="553" t="s">
        <v>87</v>
      </c>
      <c r="F103" s="553"/>
      <c r="G103" s="554"/>
      <c r="H103" s="565"/>
      <c r="I103" s="556">
        <v>0</v>
      </c>
      <c r="J103" s="565">
        <f t="shared" si="14"/>
        <v>0</v>
      </c>
      <c r="K103" s="555">
        <f t="shared" si="15"/>
        <v>0</v>
      </c>
      <c r="M103" s="500"/>
      <c r="N103" s="500"/>
      <c r="O103" s="500"/>
      <c r="P103" s="500"/>
      <c r="Q103" s="500"/>
      <c r="R103" s="500"/>
      <c r="S103" s="500"/>
      <c r="T103" s="500"/>
      <c r="U103" s="500"/>
      <c r="V103" s="490"/>
      <c r="X103" s="575"/>
    </row>
    <row r="104" spans="1:24" hidden="1" outlineLevel="1">
      <c r="A104" s="552" t="s">
        <v>341</v>
      </c>
      <c r="B104" s="553" t="s">
        <v>342</v>
      </c>
      <c r="C104" s="553" t="s">
        <v>70</v>
      </c>
      <c r="D104" s="553" t="s">
        <v>173</v>
      </c>
      <c r="E104" s="553" t="s">
        <v>343</v>
      </c>
      <c r="F104" s="553" t="s">
        <v>344</v>
      </c>
      <c r="G104" s="554">
        <f>N9</f>
        <v>363</v>
      </c>
      <c r="H104" s="555">
        <v>468.71</v>
      </c>
      <c r="I104" s="556">
        <v>0</v>
      </c>
      <c r="J104" s="555">
        <f t="shared" si="14"/>
        <v>468.71</v>
      </c>
      <c r="K104" s="555">
        <f t="shared" si="15"/>
        <v>170141.72999999998</v>
      </c>
      <c r="M104" s="500" t="s">
        <v>345</v>
      </c>
      <c r="N104" s="500"/>
      <c r="O104" s="500"/>
      <c r="P104" s="500"/>
      <c r="Q104" s="500"/>
      <c r="R104" s="500"/>
      <c r="S104" s="500"/>
      <c r="T104" s="500"/>
      <c r="U104" s="500"/>
      <c r="V104" s="490"/>
      <c r="X104" s="575"/>
    </row>
    <row r="105" spans="1:24" hidden="1" outlineLevel="1">
      <c r="A105" s="552" t="s">
        <v>346</v>
      </c>
      <c r="B105" s="553" t="s">
        <v>347</v>
      </c>
      <c r="C105" s="553" t="s">
        <v>70</v>
      </c>
      <c r="D105" s="553" t="s">
        <v>81</v>
      </c>
      <c r="E105" s="553" t="s">
        <v>87</v>
      </c>
      <c r="F105" s="553"/>
      <c r="G105" s="554"/>
      <c r="H105" s="565"/>
      <c r="I105" s="556">
        <v>0</v>
      </c>
      <c r="J105" s="555">
        <f t="shared" si="14"/>
        <v>0</v>
      </c>
      <c r="K105" s="555">
        <f t="shared" si="15"/>
        <v>0</v>
      </c>
      <c r="M105" s="500"/>
      <c r="N105" s="500"/>
      <c r="O105" s="500"/>
      <c r="P105" s="500"/>
      <c r="Q105" s="500"/>
      <c r="R105" s="500"/>
      <c r="S105" s="500"/>
      <c r="T105" s="500"/>
      <c r="U105" s="500"/>
      <c r="V105" s="490"/>
      <c r="X105" s="575"/>
    </row>
    <row r="106" spans="1:24" hidden="1" outlineLevel="1">
      <c r="A106" s="552" t="s">
        <v>348</v>
      </c>
      <c r="B106" s="553" t="s">
        <v>349</v>
      </c>
      <c r="C106" s="553" t="s">
        <v>70</v>
      </c>
      <c r="D106" s="553" t="s">
        <v>103</v>
      </c>
      <c r="E106" s="553" t="s">
        <v>87</v>
      </c>
      <c r="F106" s="553"/>
      <c r="G106" s="554"/>
      <c r="H106" s="565"/>
      <c r="I106" s="556">
        <v>0</v>
      </c>
      <c r="J106" s="555">
        <f t="shared" si="14"/>
        <v>0</v>
      </c>
      <c r="K106" s="555">
        <f t="shared" si="15"/>
        <v>0</v>
      </c>
      <c r="M106" s="500"/>
      <c r="N106" s="500"/>
      <c r="O106" s="500"/>
      <c r="P106" s="500"/>
      <c r="Q106" s="500"/>
      <c r="R106" s="500"/>
      <c r="S106" s="500"/>
      <c r="T106" s="500"/>
      <c r="U106" s="500"/>
      <c r="V106" s="490"/>
      <c r="X106" s="575"/>
    </row>
    <row r="107" spans="1:24" hidden="1" outlineLevel="1">
      <c r="A107" s="552" t="s">
        <v>202</v>
      </c>
      <c r="B107" s="553" t="s">
        <v>350</v>
      </c>
      <c r="C107" s="553" t="s">
        <v>70</v>
      </c>
      <c r="D107" s="553" t="s">
        <v>81</v>
      </c>
      <c r="E107" s="553" t="s">
        <v>184</v>
      </c>
      <c r="F107" s="553" t="s">
        <v>351</v>
      </c>
      <c r="G107" s="554">
        <f>'Assumptions &amp; Takeoffs'!D8/9</f>
        <v>31493.666666666668</v>
      </c>
      <c r="H107" s="565">
        <v>16.296552387099432</v>
      </c>
      <c r="I107" s="556">
        <v>0</v>
      </c>
      <c r="J107" s="565">
        <f t="shared" si="14"/>
        <v>16.296552387099432</v>
      </c>
      <c r="K107" s="555">
        <f t="shared" si="15"/>
        <v>513238.18869518046</v>
      </c>
      <c r="M107" s="500" t="s">
        <v>352</v>
      </c>
      <c r="N107" s="500"/>
      <c r="O107" s="500"/>
      <c r="P107" s="500"/>
      <c r="Q107" s="500"/>
      <c r="R107" s="500"/>
      <c r="S107" s="500"/>
      <c r="T107" s="500"/>
      <c r="U107" s="500"/>
      <c r="V107" s="490"/>
    </row>
    <row r="108" spans="1:24" hidden="1" outlineLevel="1">
      <c r="A108" s="552" t="s">
        <v>353</v>
      </c>
      <c r="B108" s="553" t="s">
        <v>354</v>
      </c>
      <c r="C108" s="553" t="s">
        <v>70</v>
      </c>
      <c r="D108" s="553" t="s">
        <v>173</v>
      </c>
      <c r="E108" s="553" t="s">
        <v>87</v>
      </c>
      <c r="F108" s="553"/>
      <c r="G108" s="554">
        <v>0</v>
      </c>
      <c r="H108" s="555">
        <v>0</v>
      </c>
      <c r="I108" s="556">
        <v>0</v>
      </c>
      <c r="J108" s="555">
        <f t="shared" si="14"/>
        <v>0</v>
      </c>
      <c r="K108" s="555">
        <f t="shared" si="15"/>
        <v>0</v>
      </c>
      <c r="M108" s="500"/>
      <c r="N108" s="500"/>
      <c r="O108" s="500"/>
      <c r="P108" s="500"/>
      <c r="Q108" s="500"/>
      <c r="R108" s="500"/>
      <c r="S108" s="500"/>
      <c r="T108" s="500"/>
      <c r="U108" s="500"/>
      <c r="V108" s="490"/>
    </row>
    <row r="109" spans="1:24" hidden="1" outlineLevel="1">
      <c r="A109" s="552" t="s">
        <v>355</v>
      </c>
      <c r="B109" s="553" t="s">
        <v>356</v>
      </c>
      <c r="C109" s="553" t="s">
        <v>70</v>
      </c>
      <c r="D109" s="553" t="s">
        <v>173</v>
      </c>
      <c r="E109" s="553" t="s">
        <v>87</v>
      </c>
      <c r="F109" s="553"/>
      <c r="G109" s="554">
        <v>0</v>
      </c>
      <c r="H109" s="555">
        <v>0</v>
      </c>
      <c r="I109" s="556">
        <v>0</v>
      </c>
      <c r="J109" s="555">
        <f t="shared" si="14"/>
        <v>0</v>
      </c>
      <c r="K109" s="555">
        <f t="shared" si="15"/>
        <v>0</v>
      </c>
      <c r="M109" s="500"/>
      <c r="N109" s="500"/>
      <c r="O109" s="500"/>
      <c r="P109" s="500"/>
      <c r="Q109" s="500"/>
      <c r="R109" s="500"/>
      <c r="S109" s="500"/>
      <c r="T109" s="500"/>
      <c r="U109" s="500"/>
      <c r="V109" s="490"/>
    </row>
    <row r="110" spans="1:24" hidden="1" outlineLevel="1">
      <c r="A110" s="552" t="s">
        <v>357</v>
      </c>
      <c r="B110" s="553" t="s">
        <v>358</v>
      </c>
      <c r="C110" s="553" t="s">
        <v>70</v>
      </c>
      <c r="D110" s="553" t="s">
        <v>173</v>
      </c>
      <c r="E110" s="553" t="s">
        <v>343</v>
      </c>
      <c r="F110" s="553" t="s">
        <v>185</v>
      </c>
      <c r="G110" s="554">
        <f t="shared" si="16"/>
        <v>362571</v>
      </c>
      <c r="H110" s="565">
        <v>0.75</v>
      </c>
      <c r="I110" s="556">
        <v>0</v>
      </c>
      <c r="J110" s="565">
        <f t="shared" si="14"/>
        <v>0.75</v>
      </c>
      <c r="K110" s="555">
        <f t="shared" si="15"/>
        <v>271928.25</v>
      </c>
      <c r="M110" s="500" t="s">
        <v>359</v>
      </c>
      <c r="N110" s="500"/>
      <c r="O110" s="500"/>
      <c r="P110" s="500"/>
      <c r="Q110" s="500"/>
      <c r="R110" s="500"/>
      <c r="S110" s="500"/>
      <c r="T110" s="500"/>
      <c r="U110" s="500"/>
      <c r="V110" s="490"/>
    </row>
    <row r="111" spans="1:24" hidden="1" outlineLevel="1">
      <c r="A111" s="552" t="s">
        <v>360</v>
      </c>
      <c r="B111" s="553" t="s">
        <v>361</v>
      </c>
      <c r="C111" s="553" t="s">
        <v>144</v>
      </c>
      <c r="D111" s="553" t="s">
        <v>173</v>
      </c>
      <c r="E111" s="553" t="s">
        <v>76</v>
      </c>
      <c r="F111" s="553" t="s">
        <v>132</v>
      </c>
      <c r="G111" s="554">
        <f>'Assumptions &amp; Takeoffs'!B12</f>
        <v>6</v>
      </c>
      <c r="H111" s="555">
        <v>750</v>
      </c>
      <c r="I111" s="556">
        <v>0</v>
      </c>
      <c r="J111" s="555">
        <f t="shared" si="14"/>
        <v>750</v>
      </c>
      <c r="K111" s="555">
        <f t="shared" si="15"/>
        <v>4500</v>
      </c>
      <c r="M111" s="500"/>
      <c r="N111" s="500"/>
      <c r="O111" s="500"/>
      <c r="P111" s="500"/>
      <c r="Q111" s="500"/>
      <c r="R111" s="500"/>
      <c r="S111" s="500"/>
      <c r="T111" s="500"/>
      <c r="U111" s="500"/>
      <c r="V111" s="490"/>
    </row>
    <row r="112" spans="1:24" hidden="1" outlineLevel="1">
      <c r="A112" s="552" t="s">
        <v>362</v>
      </c>
      <c r="B112" s="553" t="s">
        <v>363</v>
      </c>
      <c r="C112" s="553" t="s">
        <v>70</v>
      </c>
      <c r="D112" s="553" t="s">
        <v>173</v>
      </c>
      <c r="E112" s="553" t="s">
        <v>87</v>
      </c>
      <c r="F112" s="553"/>
      <c r="G112" s="554">
        <v>0</v>
      </c>
      <c r="H112" s="555">
        <v>0</v>
      </c>
      <c r="I112" s="556">
        <v>0</v>
      </c>
      <c r="J112" s="555">
        <f t="shared" si="14"/>
        <v>0</v>
      </c>
      <c r="K112" s="555">
        <f t="shared" si="15"/>
        <v>0</v>
      </c>
      <c r="M112" s="500"/>
      <c r="N112" s="500"/>
      <c r="O112" s="500"/>
      <c r="P112" s="500"/>
      <c r="Q112" s="500"/>
      <c r="R112" s="500"/>
      <c r="S112" s="500"/>
      <c r="T112" s="500"/>
      <c r="U112" s="500"/>
      <c r="V112" s="490"/>
    </row>
    <row r="113" spans="1:22" hidden="1" outlineLevel="1">
      <c r="A113" s="552" t="s">
        <v>364</v>
      </c>
      <c r="B113" s="553" t="s">
        <v>365</v>
      </c>
      <c r="C113" s="553" t="s">
        <v>70</v>
      </c>
      <c r="D113" s="553" t="s">
        <v>173</v>
      </c>
      <c r="E113" s="553" t="s">
        <v>87</v>
      </c>
      <c r="F113" s="553" t="s">
        <v>185</v>
      </c>
      <c r="G113" s="554">
        <v>0</v>
      </c>
      <c r="H113" s="555">
        <v>0</v>
      </c>
      <c r="I113" s="556">
        <v>0</v>
      </c>
      <c r="J113" s="555">
        <f t="shared" si="14"/>
        <v>0</v>
      </c>
      <c r="K113" s="555">
        <f t="shared" si="15"/>
        <v>0</v>
      </c>
      <c r="M113" s="500"/>
      <c r="N113" s="500"/>
      <c r="O113" s="500"/>
      <c r="P113" s="500"/>
      <c r="Q113" s="500"/>
      <c r="R113" s="500"/>
      <c r="S113" s="500"/>
      <c r="T113" s="500"/>
      <c r="U113" s="500"/>
      <c r="V113" s="490"/>
    </row>
    <row r="114" spans="1:22" hidden="1" outlineLevel="1">
      <c r="A114" s="552" t="s">
        <v>366</v>
      </c>
      <c r="B114" s="553" t="s">
        <v>367</v>
      </c>
      <c r="C114" s="553" t="s">
        <v>70</v>
      </c>
      <c r="D114" s="553" t="s">
        <v>173</v>
      </c>
      <c r="E114" s="553" t="s">
        <v>184</v>
      </c>
      <c r="F114" s="553" t="s">
        <v>185</v>
      </c>
      <c r="G114" s="554">
        <f>'Assumptions &amp; Takeoffs'!B17</f>
        <v>1901.9</v>
      </c>
      <c r="H114" s="565">
        <v>19.54</v>
      </c>
      <c r="I114" s="556">
        <v>0</v>
      </c>
      <c r="J114" s="565">
        <f t="shared" si="14"/>
        <v>19.54</v>
      </c>
      <c r="K114" s="555">
        <f t="shared" si="15"/>
        <v>37163.125999999997</v>
      </c>
      <c r="M114" s="500" t="s">
        <v>368</v>
      </c>
      <c r="N114" s="500"/>
      <c r="O114" s="500"/>
      <c r="P114" s="500"/>
      <c r="Q114" s="500"/>
      <c r="R114" s="500"/>
      <c r="S114" s="500"/>
      <c r="T114" s="500"/>
      <c r="U114" s="500"/>
      <c r="V114" s="490"/>
    </row>
    <row r="115" spans="1:22" hidden="1" outlineLevel="1">
      <c r="A115" s="552" t="s">
        <v>369</v>
      </c>
      <c r="B115" s="553" t="s">
        <v>370</v>
      </c>
      <c r="C115" s="553" t="s">
        <v>70</v>
      </c>
      <c r="D115" s="553" t="s">
        <v>173</v>
      </c>
      <c r="E115" s="553" t="s">
        <v>329</v>
      </c>
      <c r="F115" s="553" t="s">
        <v>132</v>
      </c>
      <c r="G115" s="554">
        <f>'Assumptions &amp; Takeoffs'!$B$15</f>
        <v>19</v>
      </c>
      <c r="H115" s="555">
        <v>1848.1428571428571</v>
      </c>
      <c r="I115" s="556">
        <v>0</v>
      </c>
      <c r="J115" s="555">
        <f t="shared" si="14"/>
        <v>1848.1428571428571</v>
      </c>
      <c r="K115" s="555">
        <f t="shared" si="15"/>
        <v>35114.714285714283</v>
      </c>
      <c r="M115" s="660" t="s">
        <v>371</v>
      </c>
      <c r="N115" s="660"/>
      <c r="O115" s="660"/>
      <c r="P115" s="660"/>
      <c r="Q115" s="660"/>
      <c r="R115" s="660"/>
      <c r="S115" s="660"/>
      <c r="T115" s="660"/>
      <c r="U115" s="660"/>
      <c r="V115" s="490"/>
    </row>
    <row r="116" spans="1:22" hidden="1" outlineLevel="1">
      <c r="A116" s="552" t="s">
        <v>372</v>
      </c>
      <c r="B116" s="553" t="s">
        <v>373</v>
      </c>
      <c r="C116" s="553" t="s">
        <v>70</v>
      </c>
      <c r="D116" s="553" t="s">
        <v>173</v>
      </c>
      <c r="E116" s="553" t="s">
        <v>329</v>
      </c>
      <c r="F116" s="553" t="s">
        <v>185</v>
      </c>
      <c r="G116" s="554">
        <f t="shared" si="16"/>
        <v>362571</v>
      </c>
      <c r="H116" s="565">
        <v>0</v>
      </c>
      <c r="I116" s="556">
        <v>0</v>
      </c>
      <c r="J116" s="565">
        <f t="shared" si="14"/>
        <v>0</v>
      </c>
      <c r="K116" s="555">
        <f t="shared" si="15"/>
        <v>0</v>
      </c>
      <c r="M116" s="660" t="s">
        <v>374</v>
      </c>
      <c r="N116" s="660"/>
      <c r="O116" s="660"/>
      <c r="P116" s="660"/>
      <c r="Q116" s="660"/>
      <c r="R116" s="660"/>
      <c r="S116" s="660"/>
      <c r="T116" s="660"/>
      <c r="U116" s="660"/>
      <c r="V116" s="490"/>
    </row>
    <row r="117" spans="1:22" hidden="1" outlineLevel="1">
      <c r="A117" s="552" t="s">
        <v>375</v>
      </c>
      <c r="B117" s="553" t="s">
        <v>376</v>
      </c>
      <c r="C117" s="553" t="s">
        <v>70</v>
      </c>
      <c r="D117" s="553" t="s">
        <v>173</v>
      </c>
      <c r="E117" s="553" t="s">
        <v>329</v>
      </c>
      <c r="F117" s="553" t="s">
        <v>185</v>
      </c>
      <c r="G117" s="554">
        <f t="shared" si="16"/>
        <v>362571</v>
      </c>
      <c r="H117" s="565">
        <v>0</v>
      </c>
      <c r="I117" s="556">
        <v>0</v>
      </c>
      <c r="J117" s="565">
        <f t="shared" si="14"/>
        <v>0</v>
      </c>
      <c r="K117" s="555">
        <f t="shared" si="15"/>
        <v>0</v>
      </c>
      <c r="M117" s="660" t="s">
        <v>377</v>
      </c>
      <c r="N117" s="660"/>
      <c r="O117" s="660"/>
      <c r="P117" s="660"/>
      <c r="Q117" s="660"/>
      <c r="R117" s="660"/>
      <c r="S117" s="660"/>
      <c r="T117" s="660"/>
      <c r="U117" s="660"/>
      <c r="V117" s="490"/>
    </row>
    <row r="118" spans="1:22" hidden="1" outlineLevel="1">
      <c r="A118" s="552" t="s">
        <v>378</v>
      </c>
      <c r="B118" s="553" t="s">
        <v>379</v>
      </c>
      <c r="C118" s="553" t="s">
        <v>90</v>
      </c>
      <c r="D118" s="553" t="s">
        <v>81</v>
      </c>
      <c r="E118" s="553" t="s">
        <v>76</v>
      </c>
      <c r="F118" s="553" t="s">
        <v>83</v>
      </c>
      <c r="G118" s="546">
        <v>1</v>
      </c>
      <c r="H118" s="555">
        <v>10000</v>
      </c>
      <c r="I118" s="556">
        <v>0</v>
      </c>
      <c r="J118" s="555">
        <f t="shared" si="14"/>
        <v>10000</v>
      </c>
      <c r="K118" s="555">
        <f t="shared" si="15"/>
        <v>10000</v>
      </c>
      <c r="M118" s="500"/>
      <c r="N118" s="500"/>
      <c r="O118" s="500"/>
      <c r="P118" s="500"/>
      <c r="Q118" s="500"/>
      <c r="R118" s="500"/>
      <c r="S118" s="500"/>
      <c r="T118" s="500"/>
      <c r="U118" s="500"/>
      <c r="V118" s="490"/>
    </row>
    <row r="119" spans="1:22" hidden="1" outlineLevel="1">
      <c r="A119" s="552" t="s">
        <v>380</v>
      </c>
      <c r="B119" s="553" t="s">
        <v>381</v>
      </c>
      <c r="C119" s="553" t="s">
        <v>70</v>
      </c>
      <c r="D119" s="553" t="s">
        <v>81</v>
      </c>
      <c r="E119" s="553" t="s">
        <v>82</v>
      </c>
      <c r="F119" s="553" t="s">
        <v>83</v>
      </c>
      <c r="G119" s="554">
        <v>1</v>
      </c>
      <c r="H119" s="565">
        <f>185739+263373+243134+1573+2000</f>
        <v>695819</v>
      </c>
      <c r="I119" s="556">
        <v>0</v>
      </c>
      <c r="J119" s="565">
        <f t="shared" si="14"/>
        <v>695819</v>
      </c>
      <c r="K119" s="555">
        <f t="shared" si="15"/>
        <v>695819</v>
      </c>
      <c r="M119" s="500" t="s">
        <v>334</v>
      </c>
      <c r="N119" s="500"/>
      <c r="O119" s="500"/>
      <c r="P119" s="500"/>
      <c r="Q119" s="500"/>
      <c r="R119" s="500"/>
      <c r="S119" s="500"/>
      <c r="T119" s="500"/>
      <c r="U119" s="500"/>
      <c r="V119" s="490"/>
    </row>
    <row r="120" spans="1:22" hidden="1" outlineLevel="1">
      <c r="A120" s="552" t="s">
        <v>382</v>
      </c>
      <c r="B120" s="553" t="s">
        <v>383</v>
      </c>
      <c r="C120" s="553" t="s">
        <v>70</v>
      </c>
      <c r="D120" s="553" t="s">
        <v>93</v>
      </c>
      <c r="E120" s="553" t="s">
        <v>76</v>
      </c>
      <c r="F120" s="553" t="s">
        <v>83</v>
      </c>
      <c r="G120" s="546">
        <v>1</v>
      </c>
      <c r="H120" s="555">
        <v>1000</v>
      </c>
      <c r="I120" s="556">
        <v>0</v>
      </c>
      <c r="J120" s="555">
        <f t="shared" si="14"/>
        <v>1000</v>
      </c>
      <c r="K120" s="555">
        <f t="shared" si="15"/>
        <v>1000</v>
      </c>
      <c r="M120" s="500"/>
      <c r="N120" s="500"/>
      <c r="O120" s="500"/>
      <c r="P120" s="500"/>
      <c r="Q120" s="500"/>
      <c r="R120" s="500"/>
      <c r="S120" s="500"/>
      <c r="T120" s="500"/>
      <c r="U120" s="500"/>
      <c r="V120" s="490"/>
    </row>
    <row r="121" spans="1:22" hidden="1" outlineLevel="1">
      <c r="A121" s="552" t="s">
        <v>384</v>
      </c>
      <c r="B121" s="553" t="s">
        <v>385</v>
      </c>
      <c r="C121" s="553" t="s">
        <v>70</v>
      </c>
      <c r="D121" s="553" t="s">
        <v>81</v>
      </c>
      <c r="E121" s="553" t="s">
        <v>87</v>
      </c>
      <c r="F121" s="553"/>
      <c r="G121" s="554"/>
      <c r="H121" s="565"/>
      <c r="I121" s="556">
        <v>0</v>
      </c>
      <c r="J121" s="555">
        <f t="shared" si="14"/>
        <v>0</v>
      </c>
      <c r="K121" s="555">
        <f t="shared" si="15"/>
        <v>0</v>
      </c>
      <c r="M121" s="500"/>
      <c r="N121" s="500"/>
      <c r="O121" s="500"/>
      <c r="P121" s="500"/>
      <c r="Q121" s="500"/>
      <c r="R121" s="500"/>
      <c r="S121" s="500"/>
      <c r="T121" s="500"/>
      <c r="U121" s="500"/>
      <c r="V121" s="490"/>
    </row>
    <row r="122" spans="1:22" hidden="1" outlineLevel="1">
      <c r="A122" s="552" t="s">
        <v>386</v>
      </c>
      <c r="B122" s="553" t="s">
        <v>387</v>
      </c>
      <c r="C122" s="553" t="s">
        <v>70</v>
      </c>
      <c r="D122" s="553" t="s">
        <v>103</v>
      </c>
      <c r="E122" s="553" t="s">
        <v>87</v>
      </c>
      <c r="F122" s="553"/>
      <c r="G122" s="554"/>
      <c r="H122" s="565"/>
      <c r="I122" s="556">
        <v>0</v>
      </c>
      <c r="J122" s="555">
        <f t="shared" si="14"/>
        <v>0</v>
      </c>
      <c r="K122" s="555">
        <f t="shared" si="15"/>
        <v>0</v>
      </c>
      <c r="M122" s="500"/>
      <c r="N122" s="500"/>
      <c r="O122" s="500"/>
      <c r="P122" s="500"/>
      <c r="Q122" s="500"/>
      <c r="R122" s="500"/>
      <c r="S122" s="500"/>
      <c r="T122" s="500"/>
      <c r="U122" s="500"/>
      <c r="V122" s="490"/>
    </row>
    <row r="123" spans="1:22" hidden="1" outlineLevel="1">
      <c r="A123" s="552" t="s">
        <v>388</v>
      </c>
      <c r="B123" s="553"/>
      <c r="C123" s="553" t="s">
        <v>70</v>
      </c>
      <c r="D123" s="553" t="s">
        <v>173</v>
      </c>
      <c r="E123" s="553" t="s">
        <v>87</v>
      </c>
      <c r="F123" s="553"/>
      <c r="G123" s="554"/>
      <c r="H123" s="565"/>
      <c r="I123" s="556">
        <v>0</v>
      </c>
      <c r="J123" s="555">
        <f t="shared" si="14"/>
        <v>0</v>
      </c>
      <c r="K123" s="555">
        <f t="shared" si="15"/>
        <v>0</v>
      </c>
      <c r="M123" s="500"/>
      <c r="N123" s="500"/>
      <c r="O123" s="500"/>
      <c r="P123" s="500"/>
      <c r="Q123" s="500"/>
      <c r="R123" s="500"/>
      <c r="S123" s="500"/>
      <c r="T123" s="500"/>
      <c r="U123" s="500"/>
      <c r="V123" s="490"/>
    </row>
    <row r="124" spans="1:22" hidden="1" outlineLevel="1">
      <c r="A124" s="552" t="s">
        <v>389</v>
      </c>
      <c r="B124" s="553" t="s">
        <v>390</v>
      </c>
      <c r="C124" s="553" t="s">
        <v>70</v>
      </c>
      <c r="D124" s="553" t="s">
        <v>173</v>
      </c>
      <c r="E124" s="553" t="s">
        <v>87</v>
      </c>
      <c r="F124" s="553"/>
      <c r="G124" s="554"/>
      <c r="H124" s="565"/>
      <c r="I124" s="556">
        <v>0</v>
      </c>
      <c r="J124" s="551">
        <f t="shared" si="14"/>
        <v>0</v>
      </c>
      <c r="K124" s="309">
        <f t="shared" si="15"/>
        <v>0</v>
      </c>
      <c r="M124" s="500"/>
      <c r="N124" s="500"/>
      <c r="O124" s="500"/>
      <c r="P124" s="500"/>
      <c r="Q124" s="500"/>
      <c r="R124" s="500"/>
      <c r="S124" s="500"/>
      <c r="T124" s="500"/>
      <c r="U124" s="500"/>
      <c r="V124" s="490"/>
    </row>
    <row r="125" spans="1:22" collapsed="1">
      <c r="A125" s="537" t="s">
        <v>391</v>
      </c>
      <c r="B125" s="538" t="s">
        <v>392</v>
      </c>
      <c r="C125" s="578"/>
      <c r="D125" s="538"/>
      <c r="E125" s="538"/>
      <c r="F125" s="538"/>
      <c r="G125" s="567"/>
      <c r="H125" s="568"/>
      <c r="I125" s="540"/>
      <c r="J125" s="569"/>
      <c r="K125" s="541"/>
      <c r="L125" s="542">
        <f>SUM(K87:K124)</f>
        <v>5743722.358980895</v>
      </c>
      <c r="M125" s="543"/>
      <c r="N125" s="543"/>
      <c r="O125" s="543"/>
      <c r="P125" s="543"/>
      <c r="Q125" s="543"/>
      <c r="R125" s="543"/>
      <c r="S125" s="543"/>
      <c r="T125" s="543"/>
      <c r="U125" s="543"/>
      <c r="V125" s="490"/>
    </row>
    <row r="126" spans="1:22" hidden="1" outlineLevel="1">
      <c r="A126" s="544" t="s">
        <v>393</v>
      </c>
      <c r="B126" s="545" t="s">
        <v>394</v>
      </c>
      <c r="C126" s="545" t="s">
        <v>70</v>
      </c>
      <c r="D126" s="545" t="s">
        <v>75</v>
      </c>
      <c r="E126" s="545" t="s">
        <v>87</v>
      </c>
      <c r="F126" s="545"/>
      <c r="G126" s="546"/>
      <c r="H126" s="547">
        <v>5478</v>
      </c>
      <c r="I126" s="548">
        <v>0</v>
      </c>
      <c r="J126" s="309">
        <f t="shared" ref="J126:J141" si="17">H126*(1+I126)</f>
        <v>5478</v>
      </c>
      <c r="K126" s="309">
        <f t="shared" ref="K126:K141" si="18">J126*G126</f>
        <v>0</v>
      </c>
      <c r="M126" s="549"/>
      <c r="N126" s="549"/>
      <c r="O126" s="549"/>
      <c r="P126" s="549"/>
      <c r="Q126" s="549"/>
      <c r="R126" s="549"/>
      <c r="S126" s="549"/>
      <c r="T126" s="549"/>
      <c r="U126" s="549"/>
      <c r="V126" s="490"/>
    </row>
    <row r="127" spans="1:22" hidden="1" outlineLevel="1">
      <c r="A127" s="552" t="s">
        <v>395</v>
      </c>
      <c r="B127" s="553" t="s">
        <v>396</v>
      </c>
      <c r="C127" s="553" t="s">
        <v>70</v>
      </c>
      <c r="D127" s="553" t="s">
        <v>397</v>
      </c>
      <c r="E127" s="553" t="s">
        <v>329</v>
      </c>
      <c r="F127" s="553" t="s">
        <v>344</v>
      </c>
      <c r="G127" s="546">
        <f>$N$9</f>
        <v>363</v>
      </c>
      <c r="H127" s="555">
        <v>212</v>
      </c>
      <c r="I127" s="556">
        <v>0</v>
      </c>
      <c r="J127" s="555">
        <f t="shared" si="17"/>
        <v>212</v>
      </c>
      <c r="K127" s="555">
        <f t="shared" si="18"/>
        <v>76956</v>
      </c>
      <c r="M127" s="500" t="s">
        <v>398</v>
      </c>
      <c r="N127" s="500"/>
      <c r="O127" s="500"/>
      <c r="P127" s="500"/>
      <c r="Q127" s="500"/>
      <c r="R127" s="500"/>
      <c r="S127" s="500"/>
      <c r="T127" s="500"/>
      <c r="U127" s="500"/>
      <c r="V127" s="490"/>
    </row>
    <row r="128" spans="1:22" hidden="1" outlineLevel="1">
      <c r="A128" s="552" t="s">
        <v>399</v>
      </c>
      <c r="B128" s="553" t="s">
        <v>400</v>
      </c>
      <c r="C128" s="553" t="s">
        <v>70</v>
      </c>
      <c r="D128" s="553" t="s">
        <v>75</v>
      </c>
      <c r="E128" s="557" t="s">
        <v>76</v>
      </c>
      <c r="F128" s="553" t="s">
        <v>83</v>
      </c>
      <c r="G128" s="554">
        <v>1</v>
      </c>
      <c r="H128" s="555">
        <v>7500</v>
      </c>
      <c r="I128" s="556">
        <v>0</v>
      </c>
      <c r="J128" s="555">
        <f t="shared" si="17"/>
        <v>7500</v>
      </c>
      <c r="K128" s="555">
        <f t="shared" si="18"/>
        <v>7500</v>
      </c>
      <c r="M128" s="500"/>
      <c r="N128" s="500"/>
      <c r="O128" s="500"/>
      <c r="P128" s="500"/>
      <c r="Q128" s="500"/>
      <c r="R128" s="500"/>
      <c r="S128" s="500"/>
      <c r="T128" s="500"/>
      <c r="U128" s="500"/>
      <c r="V128" s="490"/>
    </row>
    <row r="129" spans="1:22" hidden="1" outlineLevel="1">
      <c r="A129" s="552" t="s">
        <v>401</v>
      </c>
      <c r="B129" s="553" t="s">
        <v>402</v>
      </c>
      <c r="C129" s="553" t="s">
        <v>70</v>
      </c>
      <c r="D129" s="553" t="s">
        <v>75</v>
      </c>
      <c r="E129" s="553" t="s">
        <v>76</v>
      </c>
      <c r="F129" s="553" t="s">
        <v>83</v>
      </c>
      <c r="G129" s="554">
        <v>1</v>
      </c>
      <c r="H129" s="555">
        <v>6500</v>
      </c>
      <c r="I129" s="556">
        <v>0</v>
      </c>
      <c r="J129" s="555">
        <f t="shared" si="17"/>
        <v>6500</v>
      </c>
      <c r="K129" s="555">
        <f t="shared" si="18"/>
        <v>6500</v>
      </c>
      <c r="M129" s="500"/>
      <c r="N129" s="500"/>
      <c r="O129" s="500"/>
      <c r="P129" s="500"/>
      <c r="Q129" s="500"/>
      <c r="R129" s="500"/>
      <c r="S129" s="500"/>
      <c r="T129" s="500"/>
      <c r="U129" s="500"/>
      <c r="V129" s="490"/>
    </row>
    <row r="130" spans="1:22" hidden="1" outlineLevel="1">
      <c r="A130" s="552" t="s">
        <v>403</v>
      </c>
      <c r="B130" s="553" t="s">
        <v>404</v>
      </c>
      <c r="C130" s="553" t="s">
        <v>70</v>
      </c>
      <c r="D130" s="553" t="s">
        <v>405</v>
      </c>
      <c r="E130" s="553" t="s">
        <v>76</v>
      </c>
      <c r="F130" s="553" t="s">
        <v>83</v>
      </c>
      <c r="G130" s="554">
        <v>1</v>
      </c>
      <c r="H130" s="555">
        <v>7500</v>
      </c>
      <c r="I130" s="556">
        <v>0</v>
      </c>
      <c r="J130" s="555">
        <f t="shared" si="17"/>
        <v>7500</v>
      </c>
      <c r="K130" s="555">
        <f t="shared" si="18"/>
        <v>7500</v>
      </c>
      <c r="M130" s="500"/>
      <c r="N130" s="500"/>
      <c r="O130" s="500"/>
      <c r="P130" s="500"/>
      <c r="Q130" s="500"/>
      <c r="R130" s="500"/>
      <c r="S130" s="500"/>
      <c r="T130" s="500"/>
      <c r="U130" s="500"/>
      <c r="V130" s="490"/>
    </row>
    <row r="131" spans="1:22" hidden="1" outlineLevel="1">
      <c r="A131" s="552" t="s">
        <v>406</v>
      </c>
      <c r="B131" s="553" t="s">
        <v>407</v>
      </c>
      <c r="C131" s="553" t="s">
        <v>70</v>
      </c>
      <c r="D131" s="553" t="s">
        <v>81</v>
      </c>
      <c r="E131" s="553" t="s">
        <v>329</v>
      </c>
      <c r="F131" s="553" t="s">
        <v>408</v>
      </c>
      <c r="G131" s="546">
        <f>$N$9+N7+N8</f>
        <v>363</v>
      </c>
      <c r="H131" s="555">
        <v>41</v>
      </c>
      <c r="I131" s="556">
        <v>0</v>
      </c>
      <c r="J131" s="555">
        <f t="shared" si="17"/>
        <v>41</v>
      </c>
      <c r="K131" s="555">
        <f t="shared" si="18"/>
        <v>14883</v>
      </c>
      <c r="M131" s="500" t="s">
        <v>409</v>
      </c>
      <c r="N131" s="500"/>
      <c r="O131" s="500"/>
      <c r="P131" s="500"/>
      <c r="Q131" s="500"/>
      <c r="R131" s="500"/>
      <c r="S131" s="500"/>
      <c r="T131" s="500"/>
      <c r="U131" s="500"/>
      <c r="V131" s="490"/>
    </row>
    <row r="132" spans="1:22" hidden="1" outlineLevel="1">
      <c r="A132" s="552" t="s">
        <v>410</v>
      </c>
      <c r="B132" s="553" t="s">
        <v>411</v>
      </c>
      <c r="C132" s="553" t="s">
        <v>70</v>
      </c>
      <c r="D132" s="553" t="s">
        <v>81</v>
      </c>
      <c r="E132" s="553" t="s">
        <v>87</v>
      </c>
      <c r="F132" s="553"/>
      <c r="G132" s="554"/>
      <c r="H132" s="555">
        <v>0</v>
      </c>
      <c r="I132" s="556">
        <v>0</v>
      </c>
      <c r="J132" s="555">
        <f t="shared" si="17"/>
        <v>0</v>
      </c>
      <c r="K132" s="555">
        <f t="shared" si="18"/>
        <v>0</v>
      </c>
      <c r="M132" s="500"/>
      <c r="N132" s="500"/>
      <c r="O132" s="500"/>
      <c r="P132" s="500"/>
      <c r="Q132" s="500"/>
      <c r="R132" s="500"/>
      <c r="S132" s="500"/>
      <c r="T132" s="500"/>
      <c r="U132" s="500"/>
      <c r="V132" s="490"/>
    </row>
    <row r="133" spans="1:22" hidden="1" outlineLevel="1">
      <c r="A133" s="552" t="s">
        <v>412</v>
      </c>
      <c r="B133" s="553" t="s">
        <v>413</v>
      </c>
      <c r="C133" s="553" t="s">
        <v>70</v>
      </c>
      <c r="D133" s="553" t="s">
        <v>81</v>
      </c>
      <c r="E133" s="553" t="s">
        <v>87</v>
      </c>
      <c r="F133" s="553"/>
      <c r="G133" s="554"/>
      <c r="H133" s="555">
        <v>0</v>
      </c>
      <c r="I133" s="556">
        <v>0</v>
      </c>
      <c r="J133" s="555">
        <f t="shared" si="17"/>
        <v>0</v>
      </c>
      <c r="K133" s="555">
        <f t="shared" si="18"/>
        <v>0</v>
      </c>
      <c r="M133" s="500"/>
      <c r="N133" s="500"/>
      <c r="O133" s="500"/>
      <c r="P133" s="500"/>
      <c r="Q133" s="500"/>
      <c r="R133" s="500"/>
      <c r="S133" s="500"/>
      <c r="T133" s="500"/>
      <c r="U133" s="500"/>
      <c r="V133" s="490"/>
    </row>
    <row r="134" spans="1:22" hidden="1" outlineLevel="1">
      <c r="A134" s="552" t="s">
        <v>414</v>
      </c>
      <c r="B134" s="553" t="s">
        <v>415</v>
      </c>
      <c r="C134" s="553" t="s">
        <v>70</v>
      </c>
      <c r="D134" s="553" t="s">
        <v>103</v>
      </c>
      <c r="E134" s="553" t="s">
        <v>87</v>
      </c>
      <c r="F134" s="553"/>
      <c r="G134" s="554"/>
      <c r="H134" s="555">
        <v>0</v>
      </c>
      <c r="I134" s="556">
        <v>0</v>
      </c>
      <c r="J134" s="555">
        <f t="shared" si="17"/>
        <v>0</v>
      </c>
      <c r="K134" s="555">
        <f t="shared" si="18"/>
        <v>0</v>
      </c>
      <c r="M134" s="500"/>
      <c r="N134" s="500"/>
      <c r="O134" s="500"/>
      <c r="P134" s="500"/>
      <c r="Q134" s="500"/>
      <c r="R134" s="500"/>
      <c r="S134" s="500"/>
      <c r="T134" s="500"/>
      <c r="U134" s="500"/>
      <c r="V134" s="490"/>
    </row>
    <row r="135" spans="1:22" hidden="1" outlineLevel="1">
      <c r="A135" s="552" t="s">
        <v>416</v>
      </c>
      <c r="B135" s="553" t="s">
        <v>417</v>
      </c>
      <c r="C135" s="553" t="s">
        <v>70</v>
      </c>
      <c r="D135" s="553" t="s">
        <v>103</v>
      </c>
      <c r="E135" s="553" t="s">
        <v>418</v>
      </c>
      <c r="F135" s="553" t="s">
        <v>83</v>
      </c>
      <c r="G135" s="554">
        <v>4</v>
      </c>
      <c r="H135" s="555">
        <v>3360</v>
      </c>
      <c r="I135" s="556">
        <v>0</v>
      </c>
      <c r="J135" s="555">
        <f t="shared" si="17"/>
        <v>3360</v>
      </c>
      <c r="K135" s="555">
        <f t="shared" si="18"/>
        <v>13440</v>
      </c>
      <c r="M135" s="500"/>
      <c r="N135" s="500"/>
      <c r="O135" s="500"/>
      <c r="P135" s="500"/>
      <c r="Q135" s="500"/>
      <c r="R135" s="500"/>
      <c r="S135" s="500"/>
      <c r="T135" s="500"/>
      <c r="U135" s="500"/>
      <c r="V135" s="490"/>
    </row>
    <row r="136" spans="1:22" hidden="1" outlineLevel="1">
      <c r="A136" s="552" t="s">
        <v>419</v>
      </c>
      <c r="B136" s="553" t="s">
        <v>420</v>
      </c>
      <c r="C136" s="553" t="s">
        <v>70</v>
      </c>
      <c r="D136" s="553" t="s">
        <v>75</v>
      </c>
      <c r="E136" s="553" t="s">
        <v>76</v>
      </c>
      <c r="F136" s="553" t="s">
        <v>83</v>
      </c>
      <c r="G136" s="554">
        <v>1</v>
      </c>
      <c r="H136" s="555">
        <v>5000</v>
      </c>
      <c r="I136" s="556">
        <v>0</v>
      </c>
      <c r="J136" s="555">
        <f t="shared" si="17"/>
        <v>5000</v>
      </c>
      <c r="K136" s="555">
        <f t="shared" si="18"/>
        <v>5000</v>
      </c>
      <c r="M136" s="500"/>
      <c r="N136" s="500"/>
      <c r="O136" s="500"/>
      <c r="P136" s="500"/>
      <c r="Q136" s="500"/>
      <c r="R136" s="500"/>
      <c r="S136" s="500"/>
      <c r="T136" s="500"/>
      <c r="U136" s="500"/>
      <c r="V136" s="490"/>
    </row>
    <row r="137" spans="1:22" hidden="1" outlineLevel="1">
      <c r="A137" s="552" t="s">
        <v>421</v>
      </c>
      <c r="B137" s="553" t="s">
        <v>422</v>
      </c>
      <c r="C137" s="553" t="s">
        <v>70</v>
      </c>
      <c r="D137" s="553" t="s">
        <v>81</v>
      </c>
      <c r="E137" s="553" t="s">
        <v>76</v>
      </c>
      <c r="F137" s="553" t="s">
        <v>83</v>
      </c>
      <c r="G137" s="546">
        <v>1</v>
      </c>
      <c r="H137" s="555">
        <v>30000</v>
      </c>
      <c r="I137" s="556">
        <v>0</v>
      </c>
      <c r="J137" s="555">
        <f t="shared" si="17"/>
        <v>30000</v>
      </c>
      <c r="K137" s="555">
        <f t="shared" si="18"/>
        <v>30000</v>
      </c>
      <c r="M137" s="500" t="s">
        <v>423</v>
      </c>
      <c r="N137" s="500"/>
      <c r="O137" s="500"/>
      <c r="P137" s="500"/>
      <c r="Q137" s="500"/>
      <c r="R137" s="500"/>
      <c r="S137" s="500"/>
      <c r="T137" s="500"/>
      <c r="U137" s="500"/>
      <c r="V137" s="490"/>
    </row>
    <row r="138" spans="1:22" hidden="1" outlineLevel="1">
      <c r="A138" s="552" t="s">
        <v>424</v>
      </c>
      <c r="B138" s="553" t="s">
        <v>425</v>
      </c>
      <c r="C138" s="553" t="s">
        <v>70</v>
      </c>
      <c r="D138" s="553" t="s">
        <v>81</v>
      </c>
      <c r="E138" s="553" t="s">
        <v>329</v>
      </c>
      <c r="F138" s="553" t="s">
        <v>344</v>
      </c>
      <c r="G138" s="546">
        <f>$N$9</f>
        <v>363</v>
      </c>
      <c r="H138" s="555">
        <v>230</v>
      </c>
      <c r="I138" s="556">
        <v>0</v>
      </c>
      <c r="J138" s="555">
        <f t="shared" si="17"/>
        <v>230</v>
      </c>
      <c r="K138" s="555">
        <f t="shared" si="18"/>
        <v>83490</v>
      </c>
      <c r="M138" s="500" t="s">
        <v>409</v>
      </c>
      <c r="N138" s="500"/>
      <c r="O138" s="500"/>
      <c r="P138" s="500"/>
      <c r="Q138" s="500"/>
      <c r="R138" s="500"/>
      <c r="S138" s="500"/>
      <c r="T138" s="500"/>
      <c r="U138" s="500"/>
      <c r="V138" s="490"/>
    </row>
    <row r="139" spans="1:22" hidden="1" outlineLevel="1">
      <c r="A139" s="552" t="s">
        <v>426</v>
      </c>
      <c r="B139" s="553" t="s">
        <v>427</v>
      </c>
      <c r="C139" s="553" t="s">
        <v>70</v>
      </c>
      <c r="D139" s="553" t="s">
        <v>81</v>
      </c>
      <c r="E139" s="553" t="s">
        <v>184</v>
      </c>
      <c r="F139" s="553" t="s">
        <v>344</v>
      </c>
      <c r="G139" s="546">
        <f>$N$9</f>
        <v>363</v>
      </c>
      <c r="H139" s="555">
        <v>332</v>
      </c>
      <c r="I139" s="556">
        <v>0</v>
      </c>
      <c r="J139" s="555">
        <f t="shared" si="17"/>
        <v>332</v>
      </c>
      <c r="K139" s="555">
        <f t="shared" si="18"/>
        <v>120516</v>
      </c>
      <c r="M139" s="500"/>
      <c r="N139" s="500"/>
      <c r="O139" s="500"/>
      <c r="P139" s="500"/>
      <c r="Q139" s="500"/>
      <c r="R139" s="500"/>
      <c r="S139" s="500"/>
      <c r="T139" s="500"/>
      <c r="U139" s="500"/>
      <c r="V139" s="490"/>
    </row>
    <row r="140" spans="1:22" hidden="1" outlineLevel="1">
      <c r="A140" s="552" t="s">
        <v>428</v>
      </c>
      <c r="B140" s="553" t="s">
        <v>429</v>
      </c>
      <c r="C140" s="553" t="s">
        <v>70</v>
      </c>
      <c r="D140" s="553" t="s">
        <v>81</v>
      </c>
      <c r="E140" s="553" t="s">
        <v>343</v>
      </c>
      <c r="F140" s="553" t="s">
        <v>132</v>
      </c>
      <c r="G140" s="554">
        <f>'Assumptions &amp; Takeoffs'!$B$26</f>
        <v>30</v>
      </c>
      <c r="H140" s="555">
        <v>2500</v>
      </c>
      <c r="I140" s="556">
        <v>0</v>
      </c>
      <c r="J140" s="555">
        <f t="shared" si="17"/>
        <v>2500</v>
      </c>
      <c r="K140" s="555">
        <f t="shared" si="18"/>
        <v>75000</v>
      </c>
      <c r="M140" s="500"/>
      <c r="N140" s="500"/>
      <c r="O140" s="500"/>
      <c r="P140" s="500"/>
      <c r="Q140" s="500"/>
      <c r="R140" s="500"/>
      <c r="S140" s="500"/>
      <c r="T140" s="500"/>
      <c r="U140" s="500"/>
      <c r="V140" s="490"/>
    </row>
    <row r="141" spans="1:22" hidden="1" outlineLevel="1">
      <c r="A141" s="552" t="s">
        <v>430</v>
      </c>
      <c r="B141" s="553" t="s">
        <v>429</v>
      </c>
      <c r="C141" s="553" t="s">
        <v>70</v>
      </c>
      <c r="D141" s="553" t="s">
        <v>81</v>
      </c>
      <c r="E141" s="553" t="s">
        <v>343</v>
      </c>
      <c r="F141" s="553" t="s">
        <v>132</v>
      </c>
      <c r="G141" s="554">
        <f>'Assumptions &amp; Takeoffs'!$B$27</f>
        <v>10</v>
      </c>
      <c r="H141" s="555">
        <v>8500</v>
      </c>
      <c r="I141" s="556">
        <v>0</v>
      </c>
      <c r="J141" s="551">
        <f t="shared" si="17"/>
        <v>8500</v>
      </c>
      <c r="K141" s="309">
        <f t="shared" si="18"/>
        <v>85000</v>
      </c>
      <c r="M141" s="500"/>
      <c r="N141" s="500"/>
      <c r="O141" s="500"/>
      <c r="P141" s="500"/>
      <c r="Q141" s="500"/>
      <c r="R141" s="500"/>
      <c r="S141" s="500"/>
      <c r="T141" s="500"/>
      <c r="U141" s="500"/>
      <c r="V141" s="490"/>
    </row>
    <row r="142" spans="1:22" collapsed="1">
      <c r="A142" s="537" t="s">
        <v>431</v>
      </c>
      <c r="B142" s="538" t="s">
        <v>432</v>
      </c>
      <c r="C142" s="578"/>
      <c r="D142" s="538"/>
      <c r="E142" s="538"/>
      <c r="F142" s="538"/>
      <c r="G142" s="567"/>
      <c r="H142" s="568"/>
      <c r="I142" s="540"/>
      <c r="J142" s="569"/>
      <c r="K142" s="541"/>
      <c r="L142" s="542">
        <f>SUM(K126:K141)</f>
        <v>525785</v>
      </c>
      <c r="M142" s="543"/>
      <c r="N142" s="543"/>
      <c r="O142" s="543"/>
      <c r="P142" s="543"/>
      <c r="Q142" s="543"/>
      <c r="R142" s="543"/>
      <c r="S142" s="543"/>
      <c r="T142" s="543"/>
      <c r="U142" s="543"/>
      <c r="V142" s="490"/>
    </row>
    <row r="143" spans="1:22" hidden="1" outlineLevel="1">
      <c r="A143" s="552" t="s">
        <v>433</v>
      </c>
      <c r="B143" s="553" t="s">
        <v>434</v>
      </c>
      <c r="C143" s="553" t="s">
        <v>70</v>
      </c>
      <c r="D143" s="553" t="s">
        <v>81</v>
      </c>
      <c r="E143" s="553" t="s">
        <v>184</v>
      </c>
      <c r="F143" s="553" t="s">
        <v>344</v>
      </c>
      <c r="G143" s="554">
        <f>$N$9</f>
        <v>363</v>
      </c>
      <c r="H143" s="555">
        <f>'Unit Pricing Comparison'!I13</f>
        <v>3169.7043298969074</v>
      </c>
      <c r="I143" s="556">
        <v>0.05</v>
      </c>
      <c r="J143" s="551">
        <f t="shared" ref="J143:J145" si="19">H143*(1+I143)</f>
        <v>3328.1895463917531</v>
      </c>
      <c r="K143" s="309">
        <f>J143*G143</f>
        <v>1208132.8053402065</v>
      </c>
      <c r="M143" s="549"/>
      <c r="N143" s="549"/>
      <c r="O143" s="549"/>
      <c r="P143" s="549"/>
      <c r="Q143" s="549"/>
      <c r="R143" s="549"/>
      <c r="S143" s="549"/>
      <c r="T143" s="549"/>
      <c r="U143" s="549"/>
      <c r="V143" s="490"/>
    </row>
    <row r="144" spans="1:22" hidden="1" outlineLevel="1">
      <c r="A144" s="552" t="s">
        <v>435</v>
      </c>
      <c r="B144" s="553" t="s">
        <v>434</v>
      </c>
      <c r="C144" s="553" t="s">
        <v>70</v>
      </c>
      <c r="D144" s="553" t="s">
        <v>81</v>
      </c>
      <c r="E144" s="553" t="s">
        <v>343</v>
      </c>
      <c r="F144" s="553" t="s">
        <v>436</v>
      </c>
      <c r="G144" s="554">
        <f>$N$9</f>
        <v>363</v>
      </c>
      <c r="H144" s="555">
        <f>65304/190</f>
        <v>343.70526315789476</v>
      </c>
      <c r="I144" s="556">
        <v>0</v>
      </c>
      <c r="J144" s="555">
        <f t="shared" si="19"/>
        <v>343.70526315789476</v>
      </c>
      <c r="K144" s="555">
        <f>J144*G144</f>
        <v>124765.0105263158</v>
      </c>
      <c r="M144" s="491" t="s">
        <v>437</v>
      </c>
      <c r="V144" s="490"/>
    </row>
    <row r="145" spans="1:29" hidden="1" outlineLevel="1">
      <c r="A145" s="552" t="s">
        <v>438</v>
      </c>
      <c r="B145" s="553" t="s">
        <v>434</v>
      </c>
      <c r="C145" s="553" t="s">
        <v>70</v>
      </c>
      <c r="D145" s="553" t="s">
        <v>81</v>
      </c>
      <c r="E145" s="553" t="s">
        <v>76</v>
      </c>
      <c r="F145" s="553" t="s">
        <v>83</v>
      </c>
      <c r="G145" s="554">
        <v>1</v>
      </c>
      <c r="H145" s="555">
        <v>35000</v>
      </c>
      <c r="I145" s="556">
        <v>0</v>
      </c>
      <c r="J145" s="551">
        <f t="shared" si="19"/>
        <v>35000</v>
      </c>
      <c r="K145" s="309">
        <f>J145*G145</f>
        <v>35000</v>
      </c>
      <c r="M145" s="491" t="s">
        <v>439</v>
      </c>
      <c r="V145" s="490"/>
    </row>
    <row r="146" spans="1:29" ht="15.75" collapsed="1" thickBot="1">
      <c r="A146" s="537" t="s">
        <v>440</v>
      </c>
      <c r="B146" s="538" t="s">
        <v>441</v>
      </c>
      <c r="C146" s="578"/>
      <c r="D146" s="538"/>
      <c r="E146" s="538"/>
      <c r="F146" s="538"/>
      <c r="G146" s="567"/>
      <c r="H146" s="568"/>
      <c r="I146" s="540"/>
      <c r="J146" s="569"/>
      <c r="K146" s="541"/>
      <c r="L146" s="542">
        <f>SUM(K143:K145)</f>
        <v>1367897.8158665223</v>
      </c>
      <c r="M146" s="543"/>
      <c r="N146" s="543"/>
      <c r="O146" s="543"/>
      <c r="P146" s="543"/>
      <c r="Q146" s="543"/>
      <c r="R146" s="543"/>
      <c r="S146" s="543"/>
      <c r="T146" s="543"/>
      <c r="U146" s="543"/>
      <c r="V146" s="490"/>
    </row>
    <row r="147" spans="1:29" ht="15.75" hidden="1" outlineLevel="1" thickBot="1">
      <c r="A147" s="544" t="s">
        <v>308</v>
      </c>
      <c r="B147" s="545" t="s">
        <v>442</v>
      </c>
      <c r="C147" s="545" t="s">
        <v>70</v>
      </c>
      <c r="D147" s="545" t="s">
        <v>310</v>
      </c>
      <c r="E147" s="545" t="s">
        <v>87</v>
      </c>
      <c r="F147" s="545">
        <v>0</v>
      </c>
      <c r="G147" s="546">
        <v>0</v>
      </c>
      <c r="H147" s="547">
        <v>0</v>
      </c>
      <c r="I147" s="548">
        <v>0</v>
      </c>
      <c r="J147" s="309">
        <f t="shared" ref="J147:J154" si="20">H147*(1+I147)</f>
        <v>0</v>
      </c>
      <c r="K147" s="309">
        <f t="shared" ref="K147:K154" si="21">J147*G147</f>
        <v>0</v>
      </c>
      <c r="M147" s="549" t="s">
        <v>443</v>
      </c>
      <c r="N147" s="549"/>
      <c r="O147" s="549"/>
      <c r="P147" s="549"/>
      <c r="Q147" s="549"/>
      <c r="R147" s="549"/>
      <c r="S147" s="549"/>
      <c r="T147" s="549"/>
      <c r="U147" s="549"/>
      <c r="V147" s="490"/>
      <c r="Y147" s="579" t="s">
        <v>444</v>
      </c>
      <c r="Z147" s="580" t="s">
        <v>445</v>
      </c>
      <c r="AA147" s="580" t="s">
        <v>446</v>
      </c>
      <c r="AB147" s="580" t="s">
        <v>447</v>
      </c>
      <c r="AC147" s="579" t="s">
        <v>448</v>
      </c>
    </row>
    <row r="148" spans="1:29" hidden="1" outlineLevel="1">
      <c r="A148" s="552" t="s">
        <v>213</v>
      </c>
      <c r="B148" s="553" t="s">
        <v>449</v>
      </c>
      <c r="C148" s="553" t="s">
        <v>70</v>
      </c>
      <c r="D148" s="553" t="s">
        <v>81</v>
      </c>
      <c r="E148" s="553" t="s">
        <v>343</v>
      </c>
      <c r="F148" s="553" t="s">
        <v>279</v>
      </c>
      <c r="G148" s="546">
        <f>$N$9</f>
        <v>363</v>
      </c>
      <c r="H148" s="555">
        <v>443</v>
      </c>
      <c r="I148" s="556">
        <v>0</v>
      </c>
      <c r="J148" s="555">
        <f t="shared" si="20"/>
        <v>443</v>
      </c>
      <c r="K148" s="555">
        <f t="shared" si="21"/>
        <v>160809</v>
      </c>
      <c r="M148" s="500" t="s">
        <v>450</v>
      </c>
      <c r="N148" s="500"/>
      <c r="O148" s="500"/>
      <c r="P148" s="500"/>
      <c r="Q148" s="500"/>
      <c r="R148" s="500"/>
      <c r="S148" s="500"/>
      <c r="T148" s="500"/>
      <c r="U148" s="500"/>
      <c r="V148" s="490"/>
      <c r="Y148" s="581" t="s">
        <v>451</v>
      </c>
      <c r="Z148" s="582">
        <v>16</v>
      </c>
      <c r="AA148" s="582" t="s">
        <v>452</v>
      </c>
      <c r="AB148" s="582">
        <v>168</v>
      </c>
      <c r="AC148" s="583">
        <f>AB148*Z148</f>
        <v>2688</v>
      </c>
    </row>
    <row r="149" spans="1:29" hidden="1" outlineLevel="1">
      <c r="A149" s="552" t="s">
        <v>453</v>
      </c>
      <c r="B149" s="553" t="s">
        <v>454</v>
      </c>
      <c r="C149" s="553" t="s">
        <v>70</v>
      </c>
      <c r="D149" s="553" t="s">
        <v>81</v>
      </c>
      <c r="E149" s="553" t="s">
        <v>156</v>
      </c>
      <c r="F149" s="553" t="s">
        <v>455</v>
      </c>
      <c r="G149" s="546">
        <f>AC152</f>
        <v>6830</v>
      </c>
      <c r="H149" s="555">
        <v>137.80000000000001</v>
      </c>
      <c r="I149" s="556">
        <v>0</v>
      </c>
      <c r="J149" s="555">
        <f t="shared" si="20"/>
        <v>137.80000000000001</v>
      </c>
      <c r="K149" s="555">
        <f t="shared" si="21"/>
        <v>941174.00000000012</v>
      </c>
      <c r="M149" s="660" t="s">
        <v>456</v>
      </c>
      <c r="N149" s="660"/>
      <c r="O149" s="660"/>
      <c r="P149" s="660"/>
      <c r="Q149" s="660"/>
      <c r="R149" s="660"/>
      <c r="S149" s="660"/>
      <c r="T149" s="660"/>
      <c r="U149" s="660"/>
      <c r="V149" s="584" t="s">
        <v>457</v>
      </c>
      <c r="Y149" s="581" t="s">
        <v>458</v>
      </c>
      <c r="Z149" s="582">
        <v>14</v>
      </c>
      <c r="AA149" s="582" t="s">
        <v>459</v>
      </c>
      <c r="AB149" s="582">
        <v>52</v>
      </c>
      <c r="AC149" s="583">
        <f>AB149*Z149</f>
        <v>728</v>
      </c>
    </row>
    <row r="150" spans="1:29" hidden="1" outlineLevel="1">
      <c r="A150" s="552" t="s">
        <v>460</v>
      </c>
      <c r="B150" s="553" t="s">
        <v>461</v>
      </c>
      <c r="C150" s="553" t="s">
        <v>70</v>
      </c>
      <c r="D150" s="553" t="s">
        <v>81</v>
      </c>
      <c r="E150" s="553" t="s">
        <v>76</v>
      </c>
      <c r="F150" s="553" t="s">
        <v>83</v>
      </c>
      <c r="G150" s="554">
        <v>1</v>
      </c>
      <c r="H150" s="555">
        <v>75000</v>
      </c>
      <c r="I150" s="556">
        <v>0</v>
      </c>
      <c r="J150" s="555">
        <f t="shared" si="20"/>
        <v>75000</v>
      </c>
      <c r="K150" s="555">
        <f t="shared" si="21"/>
        <v>75000</v>
      </c>
      <c r="M150" s="500"/>
      <c r="N150" s="500"/>
      <c r="O150" s="500"/>
      <c r="P150" s="500"/>
      <c r="Q150" s="500"/>
      <c r="R150" s="500"/>
      <c r="S150" s="500"/>
      <c r="T150" s="500"/>
      <c r="U150" s="500"/>
      <c r="V150" s="490"/>
      <c r="Y150" s="581" t="s">
        <v>462</v>
      </c>
      <c r="Z150" s="582">
        <v>24</v>
      </c>
      <c r="AA150" s="582" t="s">
        <v>463</v>
      </c>
      <c r="AB150" s="582">
        <v>125</v>
      </c>
      <c r="AC150" s="583">
        <f>AB150*Z150</f>
        <v>3000</v>
      </c>
    </row>
    <row r="151" spans="1:29" ht="15.75" hidden="1" outlineLevel="1" thickBot="1">
      <c r="A151" s="552" t="s">
        <v>464</v>
      </c>
      <c r="B151" s="553" t="s">
        <v>465</v>
      </c>
      <c r="C151" s="553" t="s">
        <v>70</v>
      </c>
      <c r="D151" s="553" t="s">
        <v>81</v>
      </c>
      <c r="E151" s="553" t="s">
        <v>466</v>
      </c>
      <c r="F151" s="553" t="s">
        <v>344</v>
      </c>
      <c r="G151" s="546">
        <f>N9</f>
        <v>363</v>
      </c>
      <c r="H151" s="555">
        <f>'Unit Pricing Comparison'!I23</f>
        <v>1868.4432989690722</v>
      </c>
      <c r="I151" s="556">
        <v>0</v>
      </c>
      <c r="J151" s="555">
        <f t="shared" si="20"/>
        <v>1868.4432989690722</v>
      </c>
      <c r="K151" s="555">
        <f t="shared" si="21"/>
        <v>678244.91752577317</v>
      </c>
      <c r="M151" s="661" t="s">
        <v>467</v>
      </c>
      <c r="N151" s="661"/>
      <c r="O151" s="661"/>
      <c r="P151" s="661"/>
      <c r="Q151" s="661"/>
      <c r="R151" s="661"/>
      <c r="S151" s="661"/>
      <c r="T151" s="661"/>
      <c r="U151" s="661"/>
      <c r="V151" s="584" t="s">
        <v>457</v>
      </c>
      <c r="Y151" s="585" t="s">
        <v>468</v>
      </c>
      <c r="Z151" s="586">
        <v>23</v>
      </c>
      <c r="AA151" s="586" t="s">
        <v>469</v>
      </c>
      <c r="AB151" s="586">
        <v>18</v>
      </c>
      <c r="AC151" s="583">
        <f>AB151*Z151</f>
        <v>414</v>
      </c>
    </row>
    <row r="152" spans="1:29" ht="15.75" hidden="1" outlineLevel="1" thickBot="1">
      <c r="A152" s="552" t="s">
        <v>470</v>
      </c>
      <c r="B152" s="553" t="s">
        <v>471</v>
      </c>
      <c r="C152" s="553" t="s">
        <v>144</v>
      </c>
      <c r="D152" s="553" t="s">
        <v>81</v>
      </c>
      <c r="E152" s="553" t="s">
        <v>76</v>
      </c>
      <c r="F152" s="553" t="s">
        <v>83</v>
      </c>
      <c r="G152" s="554">
        <v>1</v>
      </c>
      <c r="H152" s="555">
        <v>65000</v>
      </c>
      <c r="I152" s="556">
        <v>0</v>
      </c>
      <c r="J152" s="555">
        <f t="shared" si="20"/>
        <v>65000</v>
      </c>
      <c r="K152" s="555">
        <f t="shared" si="21"/>
        <v>65000</v>
      </c>
      <c r="M152" s="500"/>
      <c r="N152" s="500"/>
      <c r="O152" s="500"/>
      <c r="P152" s="500"/>
      <c r="Q152" s="500"/>
      <c r="R152" s="500"/>
      <c r="S152" s="500"/>
      <c r="T152" s="500"/>
      <c r="U152" s="500"/>
      <c r="V152" s="490"/>
      <c r="Y152" s="582"/>
      <c r="Z152" s="582"/>
      <c r="AA152" s="582"/>
      <c r="AB152" s="582"/>
      <c r="AC152" s="587">
        <f>SUM(AC148:AC151)</f>
        <v>6830</v>
      </c>
    </row>
    <row r="153" spans="1:29" hidden="1" outlineLevel="1">
      <c r="A153" s="552" t="s">
        <v>472</v>
      </c>
      <c r="B153" s="553" t="s">
        <v>473</v>
      </c>
      <c r="C153" s="553" t="s">
        <v>70</v>
      </c>
      <c r="D153" s="553" t="s">
        <v>103</v>
      </c>
      <c r="E153" s="553" t="s">
        <v>87</v>
      </c>
      <c r="F153" s="553"/>
      <c r="G153" s="554"/>
      <c r="H153" s="555"/>
      <c r="I153" s="556">
        <v>0</v>
      </c>
      <c r="J153" s="555">
        <f t="shared" si="20"/>
        <v>0</v>
      </c>
      <c r="K153" s="555">
        <f t="shared" si="21"/>
        <v>0</v>
      </c>
      <c r="M153" s="500"/>
      <c r="N153" s="500"/>
      <c r="O153" s="500"/>
      <c r="P153" s="500"/>
      <c r="Q153" s="500"/>
      <c r="R153" s="500"/>
      <c r="S153" s="500"/>
      <c r="T153" s="500"/>
      <c r="U153" s="500"/>
      <c r="V153" s="490"/>
    </row>
    <row r="154" spans="1:29" ht="15.75" hidden="1" outlineLevel="1" thickBot="1">
      <c r="A154" s="552" t="s">
        <v>474</v>
      </c>
      <c r="B154" s="553" t="s">
        <v>475</v>
      </c>
      <c r="C154" s="553" t="s">
        <v>70</v>
      </c>
      <c r="D154" s="553" t="s">
        <v>103</v>
      </c>
      <c r="E154" s="553" t="s">
        <v>76</v>
      </c>
      <c r="F154" s="553" t="s">
        <v>83</v>
      </c>
      <c r="G154" s="554">
        <v>4</v>
      </c>
      <c r="H154" s="555">
        <v>6000</v>
      </c>
      <c r="I154" s="556">
        <v>0</v>
      </c>
      <c r="J154" s="551">
        <f t="shared" si="20"/>
        <v>6000</v>
      </c>
      <c r="K154" s="309">
        <f t="shared" si="21"/>
        <v>24000</v>
      </c>
      <c r="M154" s="500"/>
      <c r="N154" s="500"/>
      <c r="O154" s="500"/>
      <c r="P154" s="500"/>
      <c r="Q154" s="500"/>
      <c r="R154" s="500"/>
      <c r="S154" s="500"/>
      <c r="T154" s="500"/>
      <c r="U154" s="500"/>
      <c r="V154" s="490"/>
    </row>
    <row r="155" spans="1:29" ht="15.75" collapsed="1" thickBot="1">
      <c r="A155" s="537" t="s">
        <v>476</v>
      </c>
      <c r="B155" s="538" t="s">
        <v>477</v>
      </c>
      <c r="C155" s="578"/>
      <c r="D155" s="538"/>
      <c r="E155" s="538"/>
      <c r="F155" s="538"/>
      <c r="G155" s="567"/>
      <c r="H155" s="568"/>
      <c r="I155" s="540"/>
      <c r="J155" s="569"/>
      <c r="K155" s="541"/>
      <c r="L155" s="542">
        <f>SUM(K147:K154)</f>
        <v>1944227.9175257732</v>
      </c>
      <c r="M155" s="543"/>
      <c r="N155" s="543"/>
      <c r="O155" s="543"/>
      <c r="P155" s="543"/>
      <c r="Q155" s="543"/>
      <c r="R155" s="543"/>
      <c r="S155" s="543"/>
      <c r="T155" s="543"/>
      <c r="U155" s="543"/>
      <c r="V155" s="490"/>
      <c r="Y155" s="588" t="s">
        <v>436</v>
      </c>
      <c r="Z155" s="580" t="s">
        <v>478</v>
      </c>
      <c r="AA155" s="580" t="s">
        <v>447</v>
      </c>
      <c r="AB155" s="588" t="s">
        <v>448</v>
      </c>
    </row>
    <row r="156" spans="1:29" hidden="1" outlineLevel="1">
      <c r="A156" s="552" t="s">
        <v>479</v>
      </c>
      <c r="B156" s="553" t="s">
        <v>480</v>
      </c>
      <c r="C156" s="553" t="s">
        <v>70</v>
      </c>
      <c r="D156" s="553" t="s">
        <v>103</v>
      </c>
      <c r="E156" s="553" t="s">
        <v>156</v>
      </c>
      <c r="F156" s="553" t="s">
        <v>83</v>
      </c>
      <c r="G156" s="554">
        <f>'Assumptions &amp; Takeoffs'!$B$16</f>
        <v>1</v>
      </c>
      <c r="H156" s="555">
        <f>'Unit Pricing Comparison'!H25+37119</f>
        <v>290932.33333333337</v>
      </c>
      <c r="I156" s="556">
        <v>0</v>
      </c>
      <c r="J156" s="551">
        <f t="shared" ref="J156:J158" si="22">H156*(1+I156)</f>
        <v>290932.33333333337</v>
      </c>
      <c r="K156" s="309">
        <f>J156*G156</f>
        <v>290932.33333333337</v>
      </c>
      <c r="M156" s="662" t="s">
        <v>481</v>
      </c>
      <c r="N156" s="662"/>
      <c r="O156" s="662"/>
      <c r="P156" s="662"/>
      <c r="Q156" s="662"/>
      <c r="R156" s="662"/>
      <c r="S156" s="662"/>
      <c r="T156" s="662"/>
      <c r="U156" s="662"/>
      <c r="V156" s="490"/>
      <c r="Y156" s="589" t="s">
        <v>452</v>
      </c>
      <c r="Z156" s="590">
        <v>55.2</v>
      </c>
      <c r="AA156" s="582">
        <f>AB148</f>
        <v>168</v>
      </c>
      <c r="AB156" s="591">
        <f>AA156*Z156</f>
        <v>9273.6</v>
      </c>
    </row>
    <row r="157" spans="1:29" hidden="1" outlineLevel="1">
      <c r="A157" s="552" t="s">
        <v>482</v>
      </c>
      <c r="B157" s="553" t="s">
        <v>483</v>
      </c>
      <c r="C157" s="553" t="s">
        <v>70</v>
      </c>
      <c r="D157" s="553" t="s">
        <v>397</v>
      </c>
      <c r="E157" s="553" t="s">
        <v>343</v>
      </c>
      <c r="F157" s="553" t="s">
        <v>132</v>
      </c>
      <c r="G157" s="554">
        <f>'Assumptions &amp; Takeoffs'!$B$22</f>
        <v>286</v>
      </c>
      <c r="H157" s="555">
        <v>2292</v>
      </c>
      <c r="I157" s="556">
        <v>0</v>
      </c>
      <c r="J157" s="555">
        <f t="shared" si="22"/>
        <v>2292</v>
      </c>
      <c r="K157" s="555">
        <f>J157*G157</f>
        <v>655512</v>
      </c>
      <c r="M157" s="500" t="s">
        <v>82</v>
      </c>
      <c r="N157" s="500"/>
      <c r="O157" s="500"/>
      <c r="P157" s="500"/>
      <c r="Q157" s="500"/>
      <c r="R157" s="500"/>
      <c r="S157" s="500"/>
      <c r="T157" s="500"/>
      <c r="U157" s="500"/>
      <c r="V157" s="490"/>
      <c r="Y157" s="589" t="s">
        <v>459</v>
      </c>
      <c r="Z157" s="582">
        <v>77.08</v>
      </c>
      <c r="AA157" s="582">
        <f>AB149</f>
        <v>52</v>
      </c>
      <c r="AB157" s="591">
        <f>AA157*Z157</f>
        <v>4008.16</v>
      </c>
    </row>
    <row r="158" spans="1:29" hidden="1" outlineLevel="1">
      <c r="A158" s="552" t="s">
        <v>484</v>
      </c>
      <c r="B158" s="553" t="s">
        <v>485</v>
      </c>
      <c r="C158" s="553" t="s">
        <v>70</v>
      </c>
      <c r="D158" s="553" t="s">
        <v>110</v>
      </c>
      <c r="E158" s="553" t="s">
        <v>486</v>
      </c>
      <c r="F158" s="553" t="s">
        <v>132</v>
      </c>
      <c r="G158" s="554">
        <f>'Assumptions &amp; Takeoffs'!$B$16</f>
        <v>1</v>
      </c>
      <c r="H158" s="555">
        <v>7049</v>
      </c>
      <c r="I158" s="556">
        <v>0</v>
      </c>
      <c r="J158" s="551">
        <f t="shared" si="22"/>
        <v>7049</v>
      </c>
      <c r="K158" s="309">
        <f>J158*G158</f>
        <v>7049</v>
      </c>
      <c r="M158" s="500"/>
      <c r="N158" s="500"/>
      <c r="O158" s="500"/>
      <c r="P158" s="500"/>
      <c r="Q158" s="500"/>
      <c r="R158" s="500"/>
      <c r="S158" s="500"/>
      <c r="T158" s="500"/>
      <c r="U158" s="500"/>
      <c r="V158" s="490"/>
      <c r="Y158" s="589" t="s">
        <v>463</v>
      </c>
      <c r="Z158" s="582">
        <v>64.88</v>
      </c>
      <c r="AA158" s="582">
        <f>AB150</f>
        <v>125</v>
      </c>
      <c r="AB158" s="591">
        <f>AA158*Z158</f>
        <v>8109.9999999999991</v>
      </c>
    </row>
    <row r="159" spans="1:29" ht="15.75" collapsed="1" thickBot="1">
      <c r="A159" s="537" t="s">
        <v>487</v>
      </c>
      <c r="B159" s="538" t="s">
        <v>488</v>
      </c>
      <c r="C159" s="578"/>
      <c r="D159" s="538"/>
      <c r="E159" s="538"/>
      <c r="F159" s="538"/>
      <c r="G159" s="567"/>
      <c r="H159" s="568"/>
      <c r="I159" s="540"/>
      <c r="J159" s="569"/>
      <c r="K159" s="541"/>
      <c r="L159" s="542">
        <f>SUM(K156:K158)</f>
        <v>953493.33333333337</v>
      </c>
      <c r="M159" s="543"/>
      <c r="N159" s="543"/>
      <c r="O159" s="543"/>
      <c r="P159" s="543"/>
      <c r="Q159" s="543"/>
      <c r="R159" s="543"/>
      <c r="S159" s="543"/>
      <c r="T159" s="543"/>
      <c r="U159" s="543"/>
      <c r="V159" s="490"/>
      <c r="Y159" s="592" t="s">
        <v>469</v>
      </c>
      <c r="Z159" s="593">
        <v>64.599999999999994</v>
      </c>
      <c r="AA159" s="586">
        <f>AB151</f>
        <v>18</v>
      </c>
      <c r="AB159" s="594">
        <f>AA159*Z159</f>
        <v>1162.8</v>
      </c>
    </row>
    <row r="160" spans="1:29" hidden="1" outlineLevel="1">
      <c r="A160" s="552" t="s">
        <v>489</v>
      </c>
      <c r="B160" s="553" t="s">
        <v>490</v>
      </c>
      <c r="C160" s="553" t="s">
        <v>70</v>
      </c>
      <c r="D160" s="553" t="s">
        <v>81</v>
      </c>
      <c r="E160" s="553" t="s">
        <v>87</v>
      </c>
      <c r="F160" s="553"/>
      <c r="G160" s="554"/>
      <c r="H160" s="565"/>
      <c r="I160" s="556">
        <v>0</v>
      </c>
      <c r="J160" s="551">
        <f t="shared" ref="J160" si="23">H160*(1+I160)</f>
        <v>0</v>
      </c>
      <c r="K160" s="309">
        <f>J160*G160</f>
        <v>0</v>
      </c>
      <c r="M160" s="549"/>
      <c r="N160" s="549"/>
      <c r="O160" s="549"/>
      <c r="P160" s="549"/>
      <c r="Q160" s="549"/>
      <c r="R160" s="549"/>
      <c r="S160" s="549"/>
      <c r="T160" s="549"/>
      <c r="U160" s="549"/>
      <c r="V160" s="490"/>
      <c r="AB160" s="591"/>
    </row>
    <row r="161" spans="1:28" ht="15.75" hidden="1" collapsed="1" thickBot="1">
      <c r="A161" s="537" t="s">
        <v>489</v>
      </c>
      <c r="B161" s="538" t="s">
        <v>490</v>
      </c>
      <c r="C161" s="538"/>
      <c r="D161" s="538"/>
      <c r="E161" s="538"/>
      <c r="F161" s="538"/>
      <c r="G161" s="567"/>
      <c r="H161" s="568"/>
      <c r="I161" s="540"/>
      <c r="J161" s="568"/>
      <c r="K161" s="539"/>
      <c r="L161" s="542">
        <f>SUM(K160)</f>
        <v>0</v>
      </c>
      <c r="M161" s="543"/>
      <c r="N161" s="543"/>
      <c r="O161" s="543"/>
      <c r="P161" s="543"/>
      <c r="Q161" s="543"/>
      <c r="R161" s="543"/>
      <c r="S161" s="543"/>
      <c r="T161" s="543"/>
      <c r="U161" s="543"/>
      <c r="V161" s="490"/>
      <c r="AB161" s="594">
        <f>SUM(AB156:AB159)</f>
        <v>22554.559999999998</v>
      </c>
    </row>
    <row r="162" spans="1:28" hidden="1" outlineLevel="1">
      <c r="A162" s="544" t="s">
        <v>491</v>
      </c>
      <c r="B162" s="545" t="s">
        <v>492</v>
      </c>
      <c r="C162" s="545" t="s">
        <v>70</v>
      </c>
      <c r="D162" s="545" t="s">
        <v>81</v>
      </c>
      <c r="E162" s="545" t="s">
        <v>82</v>
      </c>
      <c r="F162" s="545" t="s">
        <v>83</v>
      </c>
      <c r="G162" s="546">
        <v>1</v>
      </c>
      <c r="H162" s="547">
        <v>693215</v>
      </c>
      <c r="I162" s="548">
        <v>0</v>
      </c>
      <c r="J162" s="309">
        <f t="shared" ref="J162:J163" si="24">H162*(1+I162)</f>
        <v>693215</v>
      </c>
      <c r="K162" s="309">
        <f>J162*G162</f>
        <v>693215</v>
      </c>
      <c r="M162" s="659" t="s">
        <v>493</v>
      </c>
      <c r="N162" s="659"/>
      <c r="O162" s="659"/>
      <c r="P162" s="659"/>
      <c r="Q162" s="659"/>
      <c r="R162" s="659"/>
      <c r="S162" s="659"/>
      <c r="T162" s="659"/>
      <c r="U162" s="659"/>
      <c r="V162" s="490"/>
      <c r="W162" s="595">
        <f>(493797-10000)/12</f>
        <v>40316.416666666664</v>
      </c>
      <c r="X162" s="596"/>
    </row>
    <row r="163" spans="1:28" hidden="1" outlineLevel="1">
      <c r="A163" s="552" t="s">
        <v>494</v>
      </c>
      <c r="B163" s="553" t="s">
        <v>495</v>
      </c>
      <c r="C163" s="553" t="s">
        <v>70</v>
      </c>
      <c r="D163" s="553" t="s">
        <v>103</v>
      </c>
      <c r="E163" s="553" t="s">
        <v>76</v>
      </c>
      <c r="F163" s="553" t="s">
        <v>132</v>
      </c>
      <c r="G163" s="554">
        <f>'Assumptions &amp; Takeoffs'!$B$16*2</f>
        <v>2</v>
      </c>
      <c r="H163" s="555">
        <v>6500</v>
      </c>
      <c r="I163" s="556">
        <v>0</v>
      </c>
      <c r="J163" s="551">
        <f t="shared" si="24"/>
        <v>6500</v>
      </c>
      <c r="K163" s="309">
        <f>J163*G163</f>
        <v>13000</v>
      </c>
      <c r="M163" s="500"/>
      <c r="N163" s="500"/>
      <c r="O163" s="500"/>
      <c r="P163" s="500"/>
      <c r="Q163" s="500"/>
      <c r="R163" s="500"/>
      <c r="S163" s="500"/>
      <c r="T163" s="500"/>
      <c r="U163" s="500"/>
      <c r="V163" s="490"/>
      <c r="W163" s="491">
        <f>W162*2</f>
        <v>80632.833333333328</v>
      </c>
    </row>
    <row r="164" spans="1:28" collapsed="1">
      <c r="A164" s="537" t="s">
        <v>496</v>
      </c>
      <c r="B164" s="538" t="s">
        <v>497</v>
      </c>
      <c r="C164" s="578"/>
      <c r="D164" s="538"/>
      <c r="E164" s="538"/>
      <c r="F164" s="538"/>
      <c r="G164" s="567"/>
      <c r="H164" s="568"/>
      <c r="I164" s="540"/>
      <c r="J164" s="569"/>
      <c r="K164" s="541"/>
      <c r="L164" s="542">
        <f>SUM(K162:K163)</f>
        <v>706215</v>
      </c>
      <c r="M164" s="543"/>
      <c r="N164" s="543"/>
      <c r="O164" s="543"/>
      <c r="P164" s="543"/>
      <c r="Q164" s="543"/>
      <c r="R164" s="543"/>
      <c r="S164" s="543"/>
      <c r="T164" s="543"/>
      <c r="U164" s="543"/>
      <c r="V164" s="490"/>
    </row>
    <row r="165" spans="1:28" hidden="1" outlineLevel="1">
      <c r="A165" s="552" t="s">
        <v>498</v>
      </c>
      <c r="B165" s="553" t="s">
        <v>499</v>
      </c>
      <c r="C165" s="553" t="s">
        <v>70</v>
      </c>
      <c r="D165" s="553" t="s">
        <v>81</v>
      </c>
      <c r="E165" s="553" t="s">
        <v>82</v>
      </c>
      <c r="F165" s="553" t="s">
        <v>83</v>
      </c>
      <c r="G165" s="554">
        <v>1</v>
      </c>
      <c r="H165" s="555">
        <v>51000</v>
      </c>
      <c r="I165" s="556">
        <v>0</v>
      </c>
      <c r="J165" s="551">
        <f t="shared" ref="J165:J167" si="25">H165*(1+I165)</f>
        <v>51000</v>
      </c>
      <c r="K165" s="309">
        <f>J165*G165</f>
        <v>51000</v>
      </c>
      <c r="M165" s="549"/>
      <c r="N165" s="549"/>
      <c r="O165" s="549"/>
      <c r="P165" s="549"/>
      <c r="Q165" s="549"/>
      <c r="R165" s="549"/>
      <c r="S165" s="549"/>
      <c r="T165" s="549"/>
      <c r="U165" s="549"/>
      <c r="V165" s="490"/>
    </row>
    <row r="166" spans="1:28" hidden="1" outlineLevel="1">
      <c r="A166" s="552" t="s">
        <v>500</v>
      </c>
      <c r="B166" s="553" t="s">
        <v>501</v>
      </c>
      <c r="C166" s="553" t="s">
        <v>70</v>
      </c>
      <c r="D166" s="553" t="s">
        <v>81</v>
      </c>
      <c r="E166" s="553" t="s">
        <v>82</v>
      </c>
      <c r="F166" s="553" t="s">
        <v>83</v>
      </c>
      <c r="G166" s="554">
        <v>1</v>
      </c>
      <c r="H166" s="565">
        <f>292200+411300+377600</f>
        <v>1081100</v>
      </c>
      <c r="I166" s="556">
        <v>0</v>
      </c>
      <c r="J166" s="565">
        <f t="shared" si="25"/>
        <v>1081100</v>
      </c>
      <c r="K166" s="555">
        <f>J166*G166</f>
        <v>1081100</v>
      </c>
      <c r="M166" s="500" t="s">
        <v>502</v>
      </c>
      <c r="N166" s="500"/>
      <c r="O166" s="500"/>
      <c r="P166" s="500"/>
      <c r="Q166" s="500"/>
      <c r="R166" s="500"/>
      <c r="S166" s="500"/>
      <c r="T166" s="500"/>
      <c r="U166" s="500"/>
      <c r="V166" s="490"/>
    </row>
    <row r="167" spans="1:28" hidden="1" outlineLevel="1">
      <c r="A167" s="552" t="s">
        <v>503</v>
      </c>
      <c r="B167" s="553" t="s">
        <v>504</v>
      </c>
      <c r="C167" s="553" t="s">
        <v>70</v>
      </c>
      <c r="D167" s="553" t="s">
        <v>93</v>
      </c>
      <c r="E167" s="553" t="s">
        <v>184</v>
      </c>
      <c r="F167" s="553" t="s">
        <v>132</v>
      </c>
      <c r="G167" s="554">
        <v>1</v>
      </c>
      <c r="H167" s="555">
        <v>125000</v>
      </c>
      <c r="I167" s="556">
        <v>0</v>
      </c>
      <c r="J167" s="551">
        <f t="shared" si="25"/>
        <v>125000</v>
      </c>
      <c r="K167" s="309">
        <f>J167*G167</f>
        <v>125000</v>
      </c>
      <c r="M167" s="500" t="s">
        <v>505</v>
      </c>
      <c r="N167" s="500"/>
      <c r="O167" s="500"/>
      <c r="P167" s="500"/>
      <c r="Q167" s="500"/>
      <c r="R167" s="500"/>
      <c r="S167" s="500"/>
      <c r="T167" s="500"/>
      <c r="U167" s="500"/>
      <c r="V167" s="490"/>
      <c r="W167" s="491">
        <f>0.2/2.45</f>
        <v>8.1632653061224483E-2</v>
      </c>
    </row>
    <row r="168" spans="1:28" collapsed="1">
      <c r="A168" s="537" t="s">
        <v>506</v>
      </c>
      <c r="B168" s="538" t="s">
        <v>507</v>
      </c>
      <c r="C168" s="578"/>
      <c r="D168" s="538"/>
      <c r="E168" s="538"/>
      <c r="F168" s="538"/>
      <c r="G168" s="567"/>
      <c r="H168" s="568"/>
      <c r="I168" s="540"/>
      <c r="J168" s="569"/>
      <c r="K168" s="541"/>
      <c r="L168" s="542">
        <f>SUM(K165:K167)</f>
        <v>1257100</v>
      </c>
      <c r="M168" s="543"/>
      <c r="N168" s="543"/>
      <c r="O168" s="543"/>
      <c r="P168" s="543"/>
      <c r="Q168" s="543"/>
      <c r="R168" s="543"/>
      <c r="S168" s="543"/>
      <c r="T168" s="543"/>
      <c r="U168" s="543"/>
      <c r="V168" s="490"/>
    </row>
    <row r="169" spans="1:28" hidden="1" outlineLevel="1">
      <c r="A169" s="552" t="s">
        <v>508</v>
      </c>
      <c r="B169" s="553" t="s">
        <v>509</v>
      </c>
      <c r="C169" s="553" t="s">
        <v>70</v>
      </c>
      <c r="D169" s="553" t="s">
        <v>81</v>
      </c>
      <c r="E169" s="553" t="s">
        <v>82</v>
      </c>
      <c r="F169" s="553" t="s">
        <v>132</v>
      </c>
      <c r="G169" s="554">
        <f>N4+N5+N6</f>
        <v>363</v>
      </c>
      <c r="H169" s="555">
        <v>10350</v>
      </c>
      <c r="I169" s="556">
        <v>0</v>
      </c>
      <c r="J169" s="551">
        <f t="shared" ref="J169:J173" si="26">H169*(1+I169)</f>
        <v>10350</v>
      </c>
      <c r="K169" s="309">
        <f>J169*G169</f>
        <v>3757050</v>
      </c>
      <c r="M169" s="549" t="s">
        <v>510</v>
      </c>
      <c r="N169" s="549"/>
      <c r="O169" s="549" t="s">
        <v>511</v>
      </c>
      <c r="P169" s="549"/>
      <c r="Q169" s="549"/>
      <c r="R169" s="549" t="s">
        <v>512</v>
      </c>
      <c r="S169" s="549"/>
      <c r="T169" s="549"/>
      <c r="U169" s="549"/>
      <c r="V169" s="490"/>
    </row>
    <row r="170" spans="1:28" hidden="1" outlineLevel="1">
      <c r="A170" s="552" t="s">
        <v>513</v>
      </c>
      <c r="B170" s="553" t="s">
        <v>509</v>
      </c>
      <c r="C170" s="553" t="s">
        <v>70</v>
      </c>
      <c r="D170" s="553" t="s">
        <v>81</v>
      </c>
      <c r="E170" s="545" t="s">
        <v>87</v>
      </c>
      <c r="F170" s="553">
        <v>0</v>
      </c>
      <c r="G170" s="554">
        <f>SUM(N7:N8)</f>
        <v>0</v>
      </c>
      <c r="H170" s="555">
        <v>0</v>
      </c>
      <c r="I170" s="556">
        <v>0</v>
      </c>
      <c r="J170" s="555">
        <f t="shared" si="26"/>
        <v>0</v>
      </c>
      <c r="K170" s="555">
        <f>J170*G170</f>
        <v>0</v>
      </c>
      <c r="M170" s="500"/>
      <c r="N170" s="500"/>
      <c r="O170" s="500"/>
      <c r="P170" s="500"/>
      <c r="Q170" s="500"/>
      <c r="R170" s="500"/>
      <c r="S170" s="500"/>
      <c r="T170" s="500"/>
      <c r="U170" s="500"/>
      <c r="V170" s="490"/>
    </row>
    <row r="171" spans="1:28" hidden="1" outlineLevel="1">
      <c r="A171" s="552" t="s">
        <v>514</v>
      </c>
      <c r="B171" s="553" t="s">
        <v>515</v>
      </c>
      <c r="C171" s="553" t="s">
        <v>70</v>
      </c>
      <c r="D171" s="553" t="s">
        <v>93</v>
      </c>
      <c r="E171" s="553" t="s">
        <v>76</v>
      </c>
      <c r="F171" s="553" t="s">
        <v>83</v>
      </c>
      <c r="G171" s="554">
        <v>1</v>
      </c>
      <c r="H171" s="555">
        <v>2500</v>
      </c>
      <c r="I171" s="556">
        <v>0</v>
      </c>
      <c r="J171" s="555">
        <f t="shared" si="26"/>
        <v>2500</v>
      </c>
      <c r="K171" s="555">
        <f t="shared" ref="K171" si="27">J171*G171</f>
        <v>2500</v>
      </c>
      <c r="M171" s="500"/>
      <c r="N171" s="500"/>
      <c r="O171" s="500"/>
      <c r="P171" s="500"/>
      <c r="Q171" s="500"/>
      <c r="R171" s="500"/>
      <c r="S171" s="500"/>
      <c r="T171" s="500"/>
      <c r="U171" s="500"/>
      <c r="V171" s="490"/>
    </row>
    <row r="172" spans="1:28" hidden="1" outlineLevel="1">
      <c r="A172" s="552" t="s">
        <v>516</v>
      </c>
      <c r="B172" s="553" t="s">
        <v>517</v>
      </c>
      <c r="C172" s="553" t="s">
        <v>70</v>
      </c>
      <c r="D172" s="553" t="s">
        <v>103</v>
      </c>
      <c r="E172" s="553" t="s">
        <v>76</v>
      </c>
      <c r="F172" s="553" t="s">
        <v>83</v>
      </c>
      <c r="G172" s="554">
        <f>'Assumptions &amp; Takeoffs'!$B$16</f>
        <v>1</v>
      </c>
      <c r="H172" s="555">
        <v>25000</v>
      </c>
      <c r="I172" s="556">
        <v>0</v>
      </c>
      <c r="J172" s="555">
        <f t="shared" si="26"/>
        <v>25000</v>
      </c>
      <c r="K172" s="555">
        <f>J172*G172</f>
        <v>25000</v>
      </c>
      <c r="M172" s="500"/>
      <c r="N172" s="500"/>
      <c r="O172" s="500"/>
      <c r="P172" s="500"/>
      <c r="Q172" s="500"/>
      <c r="R172" s="500"/>
      <c r="S172" s="500"/>
      <c r="T172" s="500"/>
      <c r="U172" s="500"/>
      <c r="V172" s="490"/>
    </row>
    <row r="173" spans="1:28" hidden="1" outlineLevel="1">
      <c r="A173" s="552" t="s">
        <v>518</v>
      </c>
      <c r="B173" s="553" t="s">
        <v>519</v>
      </c>
      <c r="C173" s="553" t="s">
        <v>70</v>
      </c>
      <c r="D173" s="553" t="s">
        <v>110</v>
      </c>
      <c r="E173" s="553" t="s">
        <v>76</v>
      </c>
      <c r="F173" s="553" t="s">
        <v>83</v>
      </c>
      <c r="G173" s="554">
        <f>'Assumptions &amp; Takeoffs'!$B$16</f>
        <v>1</v>
      </c>
      <c r="H173" s="555">
        <v>6000</v>
      </c>
      <c r="I173" s="556">
        <v>0</v>
      </c>
      <c r="J173" s="551">
        <f t="shared" si="26"/>
        <v>6000</v>
      </c>
      <c r="K173" s="309">
        <f>J173*G173</f>
        <v>6000</v>
      </c>
      <c r="M173" s="500"/>
      <c r="N173" s="500"/>
      <c r="O173" s="500"/>
      <c r="P173" s="500"/>
      <c r="Q173" s="500"/>
      <c r="R173" s="500"/>
      <c r="S173" s="500"/>
      <c r="T173" s="500"/>
      <c r="U173" s="500"/>
      <c r="V173" s="490"/>
    </row>
    <row r="174" spans="1:28" collapsed="1">
      <c r="A174" s="537" t="s">
        <v>520</v>
      </c>
      <c r="B174" s="538" t="s">
        <v>521</v>
      </c>
      <c r="C174" s="578"/>
      <c r="D174" s="538"/>
      <c r="E174" s="538"/>
      <c r="F174" s="538"/>
      <c r="G174" s="567"/>
      <c r="H174" s="568"/>
      <c r="I174" s="540"/>
      <c r="J174" s="569"/>
      <c r="K174" s="541"/>
      <c r="L174" s="542">
        <f>SUM(K169:K173)</f>
        <v>3790550</v>
      </c>
      <c r="M174" s="597"/>
      <c r="N174" s="543"/>
      <c r="O174" s="543"/>
      <c r="P174" s="543"/>
      <c r="Q174" s="543"/>
      <c r="R174" s="543"/>
      <c r="S174" s="543"/>
      <c r="T174" s="543"/>
      <c r="U174" s="543"/>
      <c r="V174" s="490"/>
    </row>
    <row r="175" spans="1:28" hidden="1" outlineLevel="1">
      <c r="A175" s="552" t="s">
        <v>522</v>
      </c>
      <c r="B175" s="553" t="s">
        <v>523</v>
      </c>
      <c r="C175" s="553" t="s">
        <v>70</v>
      </c>
      <c r="D175" s="553" t="s">
        <v>81</v>
      </c>
      <c r="E175" s="553" t="s">
        <v>184</v>
      </c>
      <c r="F175" s="553" t="s">
        <v>344</v>
      </c>
      <c r="G175" s="554">
        <f>$N$9</f>
        <v>363</v>
      </c>
      <c r="H175" s="555">
        <f>1910000/194</f>
        <v>9845.3608247422671</v>
      </c>
      <c r="I175" s="556">
        <v>0</v>
      </c>
      <c r="J175" s="551">
        <f t="shared" ref="J175:J176" si="28">H175*(1+I175)</f>
        <v>9845.3608247422671</v>
      </c>
      <c r="K175" s="309">
        <f>J175*G175</f>
        <v>3573865.979381443</v>
      </c>
      <c r="M175" s="549" t="s">
        <v>524</v>
      </c>
      <c r="N175" s="598"/>
      <c r="O175" s="598"/>
      <c r="P175" s="598"/>
      <c r="Q175" s="598"/>
      <c r="R175" s="598"/>
      <c r="S175" s="598"/>
      <c r="T175" s="598"/>
      <c r="U175" s="598"/>
      <c r="V175" s="490"/>
    </row>
    <row r="176" spans="1:28" hidden="1" outlineLevel="1">
      <c r="A176" s="552" t="s">
        <v>525</v>
      </c>
      <c r="B176" s="553" t="s">
        <v>526</v>
      </c>
      <c r="C176" s="553" t="s">
        <v>70</v>
      </c>
      <c r="D176" s="553" t="s">
        <v>93</v>
      </c>
      <c r="E176" s="553" t="s">
        <v>76</v>
      </c>
      <c r="F176" s="553" t="s">
        <v>83</v>
      </c>
      <c r="G176" s="554">
        <v>1</v>
      </c>
      <c r="H176" s="555">
        <v>15000</v>
      </c>
      <c r="I176" s="556">
        <v>0</v>
      </c>
      <c r="J176" s="551">
        <f t="shared" si="28"/>
        <v>15000</v>
      </c>
      <c r="K176" s="309">
        <f>J176*G176</f>
        <v>15000</v>
      </c>
      <c r="M176" s="500"/>
      <c r="N176" s="500"/>
      <c r="O176" s="500"/>
      <c r="P176" s="500"/>
      <c r="Q176" s="500"/>
      <c r="R176" s="500"/>
      <c r="S176" s="500"/>
      <c r="T176" s="500"/>
      <c r="U176" s="500"/>
      <c r="V176" s="490"/>
    </row>
    <row r="177" spans="1:24" collapsed="1">
      <c r="A177" s="537" t="s">
        <v>527</v>
      </c>
      <c r="B177" s="538" t="s">
        <v>528</v>
      </c>
      <c r="C177" s="578"/>
      <c r="D177" s="538"/>
      <c r="E177" s="538"/>
      <c r="F177" s="538"/>
      <c r="G177" s="567"/>
      <c r="H177" s="568"/>
      <c r="I177" s="540"/>
      <c r="J177" s="569"/>
      <c r="K177" s="541"/>
      <c r="L177" s="542">
        <f>SUM(K175:K176)</f>
        <v>3588865.979381443</v>
      </c>
      <c r="M177" s="543"/>
      <c r="N177" s="543"/>
      <c r="O177" s="543"/>
      <c r="P177" s="543"/>
      <c r="Q177" s="543"/>
      <c r="R177" s="543"/>
      <c r="S177" s="543"/>
      <c r="T177" s="543"/>
      <c r="U177" s="543"/>
      <c r="V177" s="490"/>
    </row>
    <row r="178" spans="1:24" hidden="1" outlineLevel="1">
      <c r="A178" s="552" t="s">
        <v>107</v>
      </c>
      <c r="B178" s="553" t="s">
        <v>529</v>
      </c>
      <c r="C178" s="553" t="s">
        <v>70</v>
      </c>
      <c r="D178" s="553" t="s">
        <v>81</v>
      </c>
      <c r="E178" s="553" t="s">
        <v>82</v>
      </c>
      <c r="F178" s="553" t="s">
        <v>83</v>
      </c>
      <c r="G178" s="554">
        <v>1</v>
      </c>
      <c r="H178" s="565">
        <f>1087536+1608165+1504039</f>
        <v>4199740</v>
      </c>
      <c r="I178" s="556">
        <v>0</v>
      </c>
      <c r="J178" s="566">
        <f t="shared" ref="J178:J194" si="29">H178*(1+I178)</f>
        <v>4199740</v>
      </c>
      <c r="K178" s="309">
        <f t="shared" ref="K178:K194" si="30">J178*G178</f>
        <v>4199740</v>
      </c>
      <c r="M178" s="599" t="s">
        <v>530</v>
      </c>
      <c r="N178" s="549"/>
      <c r="O178" s="549"/>
      <c r="P178" s="549"/>
      <c r="Q178" s="549"/>
      <c r="R178" s="549"/>
      <c r="S178" s="549"/>
      <c r="T178" s="549"/>
      <c r="U178" s="549"/>
      <c r="V178" s="490"/>
    </row>
    <row r="179" spans="1:24" hidden="1" outlineLevel="1">
      <c r="A179" s="544" t="s">
        <v>531</v>
      </c>
      <c r="B179" s="545" t="s">
        <v>529</v>
      </c>
      <c r="C179" s="545" t="s">
        <v>70</v>
      </c>
      <c r="D179" s="545" t="s">
        <v>93</v>
      </c>
      <c r="E179" s="545" t="s">
        <v>76</v>
      </c>
      <c r="F179" s="545" t="s">
        <v>83</v>
      </c>
      <c r="G179" s="546">
        <v>1</v>
      </c>
      <c r="H179" s="547">
        <v>10000</v>
      </c>
      <c r="I179" s="548">
        <v>0</v>
      </c>
      <c r="J179" s="309">
        <f t="shared" si="29"/>
        <v>10000</v>
      </c>
      <c r="K179" s="555">
        <f t="shared" si="30"/>
        <v>10000</v>
      </c>
      <c r="M179" s="599"/>
      <c r="N179" s="549"/>
      <c r="O179" s="549"/>
      <c r="P179" s="549"/>
      <c r="Q179" s="549"/>
      <c r="R179" s="549"/>
      <c r="S179" s="549"/>
      <c r="T179" s="549"/>
      <c r="U179" s="549"/>
      <c r="V179" s="490"/>
    </row>
    <row r="180" spans="1:24" hidden="1" outlineLevel="1">
      <c r="A180" s="552" t="s">
        <v>252</v>
      </c>
      <c r="B180" s="553" t="s">
        <v>532</v>
      </c>
      <c r="C180" s="553" t="s">
        <v>70</v>
      </c>
      <c r="D180" s="553" t="s">
        <v>81</v>
      </c>
      <c r="E180" s="553" t="s">
        <v>76</v>
      </c>
      <c r="F180" s="553" t="s">
        <v>344</v>
      </c>
      <c r="G180" s="554">
        <f>$N$9</f>
        <v>363</v>
      </c>
      <c r="H180" s="555">
        <v>700</v>
      </c>
      <c r="I180" s="556">
        <v>0</v>
      </c>
      <c r="J180" s="555">
        <f t="shared" si="29"/>
        <v>700</v>
      </c>
      <c r="K180" s="555">
        <f t="shared" si="30"/>
        <v>254100</v>
      </c>
      <c r="M180" s="500"/>
      <c r="N180" s="500"/>
      <c r="O180" s="500"/>
      <c r="P180" s="500"/>
      <c r="Q180" s="500"/>
      <c r="R180" s="500"/>
      <c r="S180" s="500"/>
      <c r="T180" s="500"/>
      <c r="U180" s="500"/>
      <c r="V180" s="490"/>
    </row>
    <row r="181" spans="1:24" hidden="1" outlineLevel="1">
      <c r="A181" s="552" t="s">
        <v>533</v>
      </c>
      <c r="B181" s="553" t="s">
        <v>534</v>
      </c>
      <c r="C181" s="553" t="s">
        <v>70</v>
      </c>
      <c r="D181" s="553" t="s">
        <v>81</v>
      </c>
      <c r="E181" s="553" t="s">
        <v>156</v>
      </c>
      <c r="F181" s="553" t="s">
        <v>344</v>
      </c>
      <c r="G181" s="554">
        <f>$N$9</f>
        <v>363</v>
      </c>
      <c r="H181" s="555">
        <v>120</v>
      </c>
      <c r="I181" s="556">
        <v>0</v>
      </c>
      <c r="J181" s="555">
        <f t="shared" si="29"/>
        <v>120</v>
      </c>
      <c r="K181" s="555">
        <f t="shared" si="30"/>
        <v>43560</v>
      </c>
      <c r="M181" s="500" t="s">
        <v>535</v>
      </c>
      <c r="N181" s="500"/>
      <c r="O181" s="500"/>
      <c r="P181" s="500"/>
      <c r="Q181" s="500"/>
      <c r="R181" s="500"/>
      <c r="S181" s="500"/>
      <c r="T181" s="500"/>
      <c r="U181" s="500"/>
      <c r="V181" s="490"/>
    </row>
    <row r="182" spans="1:24" hidden="1" outlineLevel="1">
      <c r="A182" s="552" t="s">
        <v>536</v>
      </c>
      <c r="B182" s="553" t="s">
        <v>537</v>
      </c>
      <c r="C182" s="553" t="s">
        <v>70</v>
      </c>
      <c r="D182" s="553" t="s">
        <v>81</v>
      </c>
      <c r="E182" s="553" t="s">
        <v>156</v>
      </c>
      <c r="F182" s="553" t="s">
        <v>344</v>
      </c>
      <c r="G182" s="554">
        <f>$N$9</f>
        <v>363</v>
      </c>
      <c r="H182" s="555">
        <v>115</v>
      </c>
      <c r="I182" s="556">
        <v>0</v>
      </c>
      <c r="J182" s="555">
        <f t="shared" si="29"/>
        <v>115</v>
      </c>
      <c r="K182" s="555">
        <f t="shared" si="30"/>
        <v>41745</v>
      </c>
      <c r="M182" s="500" t="s">
        <v>538</v>
      </c>
      <c r="N182" s="500"/>
      <c r="O182" s="500"/>
      <c r="P182" s="500"/>
      <c r="Q182" s="500"/>
      <c r="R182" s="500"/>
      <c r="S182" s="500"/>
      <c r="T182" s="500"/>
      <c r="U182" s="500"/>
      <c r="V182" s="490"/>
    </row>
    <row r="183" spans="1:24" hidden="1" outlineLevel="1">
      <c r="A183" s="552" t="s">
        <v>539</v>
      </c>
      <c r="B183" s="553" t="s">
        <v>529</v>
      </c>
      <c r="C183" s="553" t="s">
        <v>70</v>
      </c>
      <c r="D183" s="553" t="s">
        <v>397</v>
      </c>
      <c r="E183" s="553" t="s">
        <v>156</v>
      </c>
      <c r="F183" s="553" t="s">
        <v>540</v>
      </c>
      <c r="G183" s="554">
        <f>S3</f>
        <v>286</v>
      </c>
      <c r="H183" s="555">
        <v>200</v>
      </c>
      <c r="I183" s="556">
        <v>0</v>
      </c>
      <c r="J183" s="555">
        <f t="shared" si="29"/>
        <v>200</v>
      </c>
      <c r="K183" s="555">
        <f t="shared" si="30"/>
        <v>57200</v>
      </c>
      <c r="M183" s="500" t="s">
        <v>538</v>
      </c>
      <c r="N183" s="500"/>
      <c r="O183" s="500"/>
      <c r="P183" s="500"/>
      <c r="Q183" s="500"/>
      <c r="R183" s="500"/>
      <c r="S183" s="500"/>
      <c r="T183" s="500"/>
      <c r="U183" s="500"/>
      <c r="V183" s="490"/>
    </row>
    <row r="184" spans="1:24" hidden="1" outlineLevel="1">
      <c r="A184" s="552" t="s">
        <v>541</v>
      </c>
      <c r="B184" s="553" t="s">
        <v>532</v>
      </c>
      <c r="C184" s="553" t="s">
        <v>70</v>
      </c>
      <c r="D184" s="553" t="s">
        <v>397</v>
      </c>
      <c r="E184" s="553" t="s">
        <v>76</v>
      </c>
      <c r="F184" s="553" t="s">
        <v>540</v>
      </c>
      <c r="G184" s="554">
        <f>'Assumptions &amp; Takeoffs'!$B$22</f>
        <v>286</v>
      </c>
      <c r="H184" s="555">
        <v>50</v>
      </c>
      <c r="I184" s="556">
        <v>0</v>
      </c>
      <c r="J184" s="555">
        <f t="shared" si="29"/>
        <v>50</v>
      </c>
      <c r="K184" s="555">
        <f t="shared" si="30"/>
        <v>14300</v>
      </c>
      <c r="M184" s="500"/>
      <c r="N184" s="500"/>
      <c r="O184" s="500"/>
      <c r="P184" s="500"/>
      <c r="Q184" s="500"/>
      <c r="R184" s="500"/>
      <c r="S184" s="500"/>
      <c r="T184" s="500"/>
      <c r="U184" s="500"/>
      <c r="V184" s="490"/>
    </row>
    <row r="185" spans="1:24" hidden="1" outlineLevel="1">
      <c r="A185" s="552" t="s">
        <v>542</v>
      </c>
      <c r="B185" s="553" t="s">
        <v>529</v>
      </c>
      <c r="C185" s="553" t="s">
        <v>70</v>
      </c>
      <c r="D185" s="553" t="s">
        <v>103</v>
      </c>
      <c r="E185" s="553" t="s">
        <v>76</v>
      </c>
      <c r="F185" s="553" t="s">
        <v>83</v>
      </c>
      <c r="G185" s="554">
        <v>1</v>
      </c>
      <c r="H185" s="555">
        <v>5000</v>
      </c>
      <c r="I185" s="556">
        <v>0</v>
      </c>
      <c r="J185" s="555">
        <f t="shared" si="29"/>
        <v>5000</v>
      </c>
      <c r="K185" s="555">
        <f t="shared" si="30"/>
        <v>5000</v>
      </c>
      <c r="M185" s="500"/>
      <c r="N185" s="500"/>
      <c r="O185" s="500"/>
      <c r="P185" s="500"/>
      <c r="Q185" s="500"/>
      <c r="R185" s="500"/>
      <c r="S185" s="500"/>
      <c r="T185" s="500"/>
      <c r="U185" s="500"/>
      <c r="V185" s="490"/>
    </row>
    <row r="186" spans="1:24" hidden="1" outlineLevel="1">
      <c r="A186" s="552" t="s">
        <v>543</v>
      </c>
      <c r="B186" s="553" t="s">
        <v>544</v>
      </c>
      <c r="C186" s="553" t="s">
        <v>70</v>
      </c>
      <c r="D186" s="553" t="s">
        <v>103</v>
      </c>
      <c r="E186" s="553" t="s">
        <v>76</v>
      </c>
      <c r="F186" s="553" t="s">
        <v>83</v>
      </c>
      <c r="G186" s="554">
        <v>1</v>
      </c>
      <c r="H186" s="565">
        <v>5000</v>
      </c>
      <c r="I186" s="556">
        <v>0</v>
      </c>
      <c r="J186" s="555">
        <f t="shared" si="29"/>
        <v>5000</v>
      </c>
      <c r="K186" s="555">
        <f t="shared" si="30"/>
        <v>5000</v>
      </c>
      <c r="M186" s="500"/>
      <c r="N186" s="500"/>
      <c r="O186" s="500"/>
      <c r="P186" s="500"/>
      <c r="Q186" s="500"/>
      <c r="R186" s="500"/>
      <c r="S186" s="500"/>
      <c r="T186" s="500"/>
      <c r="U186" s="500"/>
      <c r="V186" s="490"/>
    </row>
    <row r="187" spans="1:24" hidden="1" outlineLevel="1">
      <c r="A187" s="552" t="s">
        <v>545</v>
      </c>
      <c r="B187" s="553" t="s">
        <v>546</v>
      </c>
      <c r="C187" s="553" t="s">
        <v>70</v>
      </c>
      <c r="D187" s="553" t="s">
        <v>405</v>
      </c>
      <c r="E187" s="553" t="s">
        <v>131</v>
      </c>
      <c r="F187" s="553" t="s">
        <v>132</v>
      </c>
      <c r="G187" s="554">
        <v>4</v>
      </c>
      <c r="H187" s="555">
        <v>15000</v>
      </c>
      <c r="I187" s="556">
        <v>0</v>
      </c>
      <c r="J187" s="555">
        <f t="shared" si="29"/>
        <v>15000</v>
      </c>
      <c r="K187" s="555">
        <f t="shared" si="30"/>
        <v>60000</v>
      </c>
      <c r="M187" s="500" t="s">
        <v>547</v>
      </c>
      <c r="N187" s="500"/>
      <c r="O187" s="500"/>
      <c r="P187" s="500"/>
      <c r="Q187" s="500"/>
      <c r="R187" s="500"/>
      <c r="S187" s="500"/>
      <c r="T187" s="500"/>
      <c r="U187" s="500"/>
      <c r="V187" s="490"/>
      <c r="X187" s="600"/>
    </row>
    <row r="188" spans="1:24" hidden="1" outlineLevel="1">
      <c r="A188" s="552" t="s">
        <v>548</v>
      </c>
      <c r="B188" s="553" t="s">
        <v>549</v>
      </c>
      <c r="C188" s="553" t="s">
        <v>70</v>
      </c>
      <c r="D188" s="553" t="s">
        <v>75</v>
      </c>
      <c r="E188" s="553" t="s">
        <v>82</v>
      </c>
      <c r="F188" s="553" t="s">
        <v>83</v>
      </c>
      <c r="G188" s="601">
        <v>1</v>
      </c>
      <c r="H188" s="555">
        <v>260330</v>
      </c>
      <c r="I188" s="556">
        <v>0</v>
      </c>
      <c r="J188" s="555">
        <f t="shared" si="29"/>
        <v>260330</v>
      </c>
      <c r="K188" s="555">
        <f t="shared" si="30"/>
        <v>260330</v>
      </c>
      <c r="M188" s="500" t="s">
        <v>530</v>
      </c>
      <c r="N188" s="500"/>
      <c r="O188" s="500"/>
      <c r="P188" s="500"/>
      <c r="Q188" s="500"/>
      <c r="R188" s="500"/>
      <c r="S188" s="500"/>
      <c r="T188" s="500"/>
      <c r="U188" s="500"/>
      <c r="V188" s="490"/>
    </row>
    <row r="189" spans="1:24" hidden="1" outlineLevel="1">
      <c r="A189" s="552" t="s">
        <v>550</v>
      </c>
      <c r="B189" s="553" t="s">
        <v>551</v>
      </c>
      <c r="C189" s="553" t="s">
        <v>70</v>
      </c>
      <c r="D189" s="553" t="s">
        <v>75</v>
      </c>
      <c r="E189" s="553" t="s">
        <v>76</v>
      </c>
      <c r="F189" s="553" t="s">
        <v>552</v>
      </c>
      <c r="G189" s="601">
        <f>$B$9</f>
        <v>17.350000000000001</v>
      </c>
      <c r="H189" s="555">
        <v>1750</v>
      </c>
      <c r="I189" s="556">
        <v>0</v>
      </c>
      <c r="J189" s="555">
        <f t="shared" si="29"/>
        <v>1750</v>
      </c>
      <c r="K189" s="555">
        <f t="shared" si="30"/>
        <v>30362.500000000004</v>
      </c>
      <c r="M189" s="500"/>
      <c r="N189" s="500"/>
      <c r="O189" s="500"/>
      <c r="P189" s="500"/>
      <c r="Q189" s="500"/>
      <c r="R189" s="500"/>
      <c r="S189" s="500"/>
      <c r="T189" s="500"/>
      <c r="U189" s="500"/>
      <c r="V189" s="490"/>
    </row>
    <row r="190" spans="1:24" hidden="1" outlineLevel="1">
      <c r="A190" s="552" t="s">
        <v>553</v>
      </c>
      <c r="B190" s="553" t="s">
        <v>554</v>
      </c>
      <c r="C190" s="553" t="s">
        <v>70</v>
      </c>
      <c r="D190" s="553" t="s">
        <v>103</v>
      </c>
      <c r="E190" s="553" t="s">
        <v>76</v>
      </c>
      <c r="F190" s="553" t="s">
        <v>83</v>
      </c>
      <c r="G190" s="554">
        <f>'Assumptions &amp; Takeoffs'!$B$16</f>
        <v>1</v>
      </c>
      <c r="H190" s="555">
        <v>12500</v>
      </c>
      <c r="I190" s="556">
        <v>0</v>
      </c>
      <c r="J190" s="555">
        <f t="shared" si="29"/>
        <v>12500</v>
      </c>
      <c r="K190" s="555">
        <f t="shared" si="30"/>
        <v>12500</v>
      </c>
      <c r="M190" s="500"/>
      <c r="N190" s="500"/>
      <c r="O190" s="500"/>
      <c r="P190" s="500"/>
      <c r="Q190" s="500"/>
      <c r="R190" s="500"/>
      <c r="S190" s="500"/>
      <c r="T190" s="500"/>
      <c r="U190" s="500"/>
      <c r="V190" s="490"/>
    </row>
    <row r="191" spans="1:24" hidden="1" outlineLevel="1">
      <c r="A191" s="552" t="s">
        <v>555</v>
      </c>
      <c r="B191" s="553" t="s">
        <v>556</v>
      </c>
      <c r="C191" s="553" t="s">
        <v>70</v>
      </c>
      <c r="D191" s="553" t="s">
        <v>103</v>
      </c>
      <c r="E191" s="553" t="s">
        <v>76</v>
      </c>
      <c r="F191" s="553" t="s">
        <v>83</v>
      </c>
      <c r="G191" s="554">
        <f>'Assumptions &amp; Takeoffs'!$B$16</f>
        <v>1</v>
      </c>
      <c r="H191" s="555">
        <v>12500</v>
      </c>
      <c r="I191" s="556">
        <v>0</v>
      </c>
      <c r="J191" s="555">
        <f t="shared" si="29"/>
        <v>12500</v>
      </c>
      <c r="K191" s="555">
        <f t="shared" si="30"/>
        <v>12500</v>
      </c>
      <c r="M191" s="500"/>
      <c r="N191" s="500"/>
      <c r="O191" s="500"/>
      <c r="P191" s="500"/>
      <c r="Q191" s="500"/>
      <c r="R191" s="500"/>
      <c r="S191" s="500"/>
      <c r="T191" s="500"/>
      <c r="U191" s="500"/>
      <c r="V191" s="490"/>
    </row>
    <row r="192" spans="1:24" hidden="1" outlineLevel="1">
      <c r="A192" s="552" t="s">
        <v>557</v>
      </c>
      <c r="B192" s="553" t="s">
        <v>558</v>
      </c>
      <c r="C192" s="553" t="s">
        <v>70</v>
      </c>
      <c r="D192" s="553" t="s">
        <v>110</v>
      </c>
      <c r="E192" s="553" t="s">
        <v>76</v>
      </c>
      <c r="F192" s="553" t="s">
        <v>83</v>
      </c>
      <c r="G192" s="554">
        <f>'Assumptions &amp; Takeoffs'!$B$16</f>
        <v>1</v>
      </c>
      <c r="H192" s="555">
        <v>2500</v>
      </c>
      <c r="I192" s="556">
        <v>0</v>
      </c>
      <c r="J192" s="555">
        <f t="shared" si="29"/>
        <v>2500</v>
      </c>
      <c r="K192" s="555">
        <f t="shared" si="30"/>
        <v>2500</v>
      </c>
      <c r="M192" s="500"/>
      <c r="N192" s="500"/>
      <c r="O192" s="500"/>
      <c r="P192" s="500"/>
      <c r="Q192" s="500"/>
      <c r="R192" s="500"/>
      <c r="S192" s="500"/>
      <c r="T192" s="500"/>
      <c r="U192" s="500"/>
      <c r="V192" s="490"/>
    </row>
    <row r="193" spans="1:22" hidden="1" outlineLevel="1">
      <c r="A193" s="552" t="s">
        <v>559</v>
      </c>
      <c r="B193" s="553" t="s">
        <v>529</v>
      </c>
      <c r="C193" s="553" t="s">
        <v>70</v>
      </c>
      <c r="D193" s="553" t="s">
        <v>93</v>
      </c>
      <c r="E193" s="553" t="s">
        <v>76</v>
      </c>
      <c r="F193" s="553" t="s">
        <v>83</v>
      </c>
      <c r="G193" s="554">
        <v>1</v>
      </c>
      <c r="H193" s="555">
        <v>15000</v>
      </c>
      <c r="I193" s="556">
        <v>0</v>
      </c>
      <c r="J193" s="555">
        <f t="shared" si="29"/>
        <v>15000</v>
      </c>
      <c r="K193" s="555">
        <f t="shared" si="30"/>
        <v>15000</v>
      </c>
      <c r="M193" s="500"/>
      <c r="N193" s="500"/>
      <c r="O193" s="500"/>
      <c r="P193" s="500"/>
      <c r="Q193" s="500"/>
      <c r="R193" s="500"/>
      <c r="S193" s="500"/>
      <c r="T193" s="500"/>
      <c r="U193" s="500"/>
      <c r="V193" s="490"/>
    </row>
    <row r="194" spans="1:22" hidden="1" outlineLevel="1">
      <c r="A194" s="552" t="s">
        <v>560</v>
      </c>
      <c r="B194" s="553" t="s">
        <v>532</v>
      </c>
      <c r="C194" s="553" t="s">
        <v>70</v>
      </c>
      <c r="D194" s="553" t="s">
        <v>93</v>
      </c>
      <c r="E194" s="553" t="s">
        <v>76</v>
      </c>
      <c r="F194" s="553" t="s">
        <v>83</v>
      </c>
      <c r="G194" s="554">
        <v>1</v>
      </c>
      <c r="H194" s="555">
        <v>1500</v>
      </c>
      <c r="I194" s="556">
        <v>0</v>
      </c>
      <c r="J194" s="551">
        <f t="shared" si="29"/>
        <v>1500</v>
      </c>
      <c r="K194" s="309">
        <f t="shared" si="30"/>
        <v>1500</v>
      </c>
      <c r="M194" s="500"/>
      <c r="N194" s="500"/>
      <c r="O194" s="500"/>
      <c r="P194" s="500"/>
      <c r="Q194" s="500"/>
      <c r="R194" s="500"/>
      <c r="S194" s="500"/>
      <c r="T194" s="500"/>
      <c r="U194" s="500"/>
      <c r="V194" s="490"/>
    </row>
    <row r="195" spans="1:22" collapsed="1">
      <c r="A195" s="537" t="s">
        <v>561</v>
      </c>
      <c r="B195" s="538" t="s">
        <v>562</v>
      </c>
      <c r="C195" s="538"/>
      <c r="D195" s="538"/>
      <c r="E195" s="538"/>
      <c r="F195" s="538"/>
      <c r="G195" s="567"/>
      <c r="H195" s="568"/>
      <c r="I195" s="540"/>
      <c r="J195" s="569"/>
      <c r="K195" s="541"/>
      <c r="L195" s="542">
        <f>SUM(K178:K194)</f>
        <v>5025337.5</v>
      </c>
      <c r="M195" s="543"/>
      <c r="N195" s="543"/>
      <c r="O195" s="543"/>
      <c r="P195" s="543"/>
      <c r="Q195" s="543"/>
      <c r="R195" s="543"/>
      <c r="S195" s="543"/>
      <c r="T195" s="543"/>
      <c r="U195" s="543"/>
      <c r="V195" s="490"/>
    </row>
    <row r="196" spans="1:22" hidden="1" outlineLevel="1">
      <c r="A196" s="552" t="s">
        <v>563</v>
      </c>
      <c r="B196" s="553" t="s">
        <v>564</v>
      </c>
      <c r="C196" s="553" t="s">
        <v>144</v>
      </c>
      <c r="D196" s="553" t="s">
        <v>81</v>
      </c>
      <c r="E196" s="553" t="s">
        <v>76</v>
      </c>
      <c r="F196" s="553" t="s">
        <v>83</v>
      </c>
      <c r="G196" s="554">
        <f>$B$11</f>
        <v>3</v>
      </c>
      <c r="H196" s="555">
        <v>1000</v>
      </c>
      <c r="I196" s="556">
        <v>0</v>
      </c>
      <c r="J196" s="551">
        <f t="shared" ref="J196:J198" si="31">H196*(1+I196)</f>
        <v>1000</v>
      </c>
      <c r="K196" s="309">
        <f>J196*G196</f>
        <v>3000</v>
      </c>
      <c r="M196" s="549" t="s">
        <v>565</v>
      </c>
      <c r="N196" s="549"/>
      <c r="O196" s="549"/>
      <c r="P196" s="549"/>
      <c r="Q196" s="549"/>
      <c r="R196" s="549"/>
      <c r="S196" s="549"/>
      <c r="T196" s="549"/>
      <c r="U196" s="549"/>
      <c r="V196" s="490"/>
    </row>
    <row r="197" spans="1:22" hidden="1" outlineLevel="1">
      <c r="A197" s="552" t="s">
        <v>566</v>
      </c>
      <c r="B197" s="553" t="s">
        <v>567</v>
      </c>
      <c r="C197" s="553" t="s">
        <v>70</v>
      </c>
      <c r="D197" s="553" t="s">
        <v>81</v>
      </c>
      <c r="E197" s="553" t="s">
        <v>343</v>
      </c>
      <c r="F197" s="553" t="s">
        <v>185</v>
      </c>
      <c r="G197" s="554">
        <f>$B$8</f>
        <v>362571</v>
      </c>
      <c r="H197" s="565">
        <v>0.45</v>
      </c>
      <c r="I197" s="556">
        <v>0</v>
      </c>
      <c r="J197" s="565">
        <f t="shared" si="31"/>
        <v>0.45</v>
      </c>
      <c r="K197" s="555">
        <f>J197*G197</f>
        <v>163156.95000000001</v>
      </c>
      <c r="M197" s="500"/>
      <c r="N197" s="500"/>
      <c r="O197" s="500"/>
      <c r="P197" s="500"/>
      <c r="Q197" s="500"/>
      <c r="R197" s="500"/>
      <c r="S197" s="500"/>
      <c r="T197" s="500"/>
      <c r="U197" s="500"/>
      <c r="V197" s="490"/>
    </row>
    <row r="198" spans="1:22" hidden="1" outlineLevel="1">
      <c r="A198" s="552" t="s">
        <v>568</v>
      </c>
      <c r="B198" s="553" t="s">
        <v>569</v>
      </c>
      <c r="C198" s="553" t="s">
        <v>70</v>
      </c>
      <c r="D198" s="553" t="s">
        <v>103</v>
      </c>
      <c r="E198" s="553" t="s">
        <v>76</v>
      </c>
      <c r="F198" s="553" t="s">
        <v>83</v>
      </c>
      <c r="G198" s="554">
        <f>'Assumptions &amp; Takeoffs'!$B$16</f>
        <v>1</v>
      </c>
      <c r="H198" s="555">
        <v>800</v>
      </c>
      <c r="I198" s="556">
        <v>0</v>
      </c>
      <c r="J198" s="551">
        <f t="shared" si="31"/>
        <v>800</v>
      </c>
      <c r="K198" s="309">
        <f>J198*G198</f>
        <v>800</v>
      </c>
      <c r="M198" s="500" t="s">
        <v>570</v>
      </c>
      <c r="N198" s="500"/>
      <c r="O198" s="500"/>
      <c r="P198" s="500"/>
      <c r="Q198" s="500"/>
      <c r="R198" s="500"/>
      <c r="S198" s="500"/>
      <c r="T198" s="500"/>
      <c r="U198" s="500"/>
      <c r="V198" s="490"/>
    </row>
    <row r="199" spans="1:22" collapsed="1">
      <c r="A199" s="537" t="s">
        <v>571</v>
      </c>
      <c r="B199" s="538" t="s">
        <v>572</v>
      </c>
      <c r="C199" s="538"/>
      <c r="D199" s="538"/>
      <c r="E199" s="538"/>
      <c r="F199" s="538"/>
      <c r="G199" s="567"/>
      <c r="H199" s="568"/>
      <c r="I199" s="540"/>
      <c r="J199" s="569"/>
      <c r="K199" s="541"/>
      <c r="L199" s="542">
        <f>SUM(K196:K198)</f>
        <v>166956.95000000001</v>
      </c>
      <c r="M199" s="543"/>
      <c r="N199" s="543"/>
      <c r="O199" s="543"/>
      <c r="P199" s="543"/>
      <c r="Q199" s="543"/>
      <c r="R199" s="543"/>
      <c r="S199" s="543"/>
      <c r="T199" s="543"/>
      <c r="U199" s="543"/>
      <c r="V199" s="490"/>
    </row>
    <row r="200" spans="1:22" hidden="1" outlineLevel="1">
      <c r="A200" s="552" t="s">
        <v>573</v>
      </c>
      <c r="B200" s="553" t="s">
        <v>574</v>
      </c>
      <c r="C200" s="553" t="s">
        <v>70</v>
      </c>
      <c r="D200" s="553" t="s">
        <v>81</v>
      </c>
      <c r="E200" s="553" t="s">
        <v>184</v>
      </c>
      <c r="F200" s="553" t="s">
        <v>344</v>
      </c>
      <c r="G200" s="554">
        <f>$N$9</f>
        <v>363</v>
      </c>
      <c r="H200" s="555">
        <v>551.28865979381442</v>
      </c>
      <c r="I200" s="556">
        <v>0</v>
      </c>
      <c r="J200" s="551">
        <f t="shared" ref="J200:J203" si="32">H200*(1+I200)</f>
        <v>551.28865979381442</v>
      </c>
      <c r="K200" s="309">
        <f>J200*G200</f>
        <v>200117.78350515463</v>
      </c>
      <c r="M200" s="549"/>
      <c r="N200" s="549"/>
      <c r="O200" s="549"/>
      <c r="P200" s="549"/>
      <c r="Q200" s="549"/>
      <c r="R200" s="549"/>
      <c r="S200" s="549"/>
      <c r="T200" s="549"/>
      <c r="U200" s="549"/>
      <c r="V200" s="490"/>
    </row>
    <row r="201" spans="1:22" hidden="1" outlineLevel="1">
      <c r="A201" s="552" t="s">
        <v>575</v>
      </c>
      <c r="B201" s="553" t="s">
        <v>576</v>
      </c>
      <c r="C201" s="553" t="s">
        <v>70</v>
      </c>
      <c r="D201" s="553" t="s">
        <v>75</v>
      </c>
      <c r="E201" s="553" t="s">
        <v>329</v>
      </c>
      <c r="F201" s="553" t="s">
        <v>71</v>
      </c>
      <c r="G201" s="554">
        <f>$B$6</f>
        <v>24</v>
      </c>
      <c r="H201" s="555">
        <v>5642.8571428571431</v>
      </c>
      <c r="I201" s="556">
        <v>0</v>
      </c>
      <c r="J201" s="555">
        <f t="shared" si="32"/>
        <v>5642.8571428571431</v>
      </c>
      <c r="K201" s="555">
        <f>J201*G201</f>
        <v>135428.57142857142</v>
      </c>
      <c r="M201" s="500" t="s">
        <v>577</v>
      </c>
      <c r="N201" s="500"/>
      <c r="O201" s="500"/>
      <c r="P201" s="500"/>
      <c r="Q201" s="500"/>
      <c r="R201" s="500"/>
      <c r="S201" s="500"/>
      <c r="T201" s="500"/>
      <c r="U201" s="500"/>
      <c r="V201" s="490"/>
    </row>
    <row r="202" spans="1:22" hidden="1" outlineLevel="1">
      <c r="A202" s="552" t="s">
        <v>578</v>
      </c>
      <c r="B202" s="553" t="s">
        <v>579</v>
      </c>
      <c r="C202" s="553" t="s">
        <v>70</v>
      </c>
      <c r="D202" s="553" t="s">
        <v>81</v>
      </c>
      <c r="E202" s="553" t="s">
        <v>82</v>
      </c>
      <c r="F202" s="553" t="s">
        <v>83</v>
      </c>
      <c r="G202" s="554">
        <v>1</v>
      </c>
      <c r="H202" s="565">
        <v>472900</v>
      </c>
      <c r="I202" s="556">
        <v>0</v>
      </c>
      <c r="J202" s="565">
        <f t="shared" si="32"/>
        <v>472900</v>
      </c>
      <c r="K202" s="555">
        <f>J202*G202</f>
        <v>472900</v>
      </c>
      <c r="M202" s="500" t="s">
        <v>502</v>
      </c>
      <c r="N202" s="500"/>
      <c r="O202" s="500"/>
      <c r="P202" s="500"/>
      <c r="Q202" s="500"/>
      <c r="R202" s="500"/>
      <c r="S202" s="500"/>
      <c r="T202" s="500"/>
      <c r="U202" s="500"/>
      <c r="V202" s="490"/>
    </row>
    <row r="203" spans="1:22" hidden="1" outlineLevel="1">
      <c r="A203" s="552" t="s">
        <v>580</v>
      </c>
      <c r="B203" s="553" t="s">
        <v>581</v>
      </c>
      <c r="C203" s="553" t="s">
        <v>70</v>
      </c>
      <c r="D203" s="553" t="s">
        <v>93</v>
      </c>
      <c r="E203" s="553" t="s">
        <v>76</v>
      </c>
      <c r="F203" s="553" t="s">
        <v>83</v>
      </c>
      <c r="G203" s="554">
        <v>1</v>
      </c>
      <c r="H203" s="555">
        <v>10000</v>
      </c>
      <c r="I203" s="556">
        <v>0</v>
      </c>
      <c r="J203" s="555">
        <f t="shared" si="32"/>
        <v>10000</v>
      </c>
      <c r="K203" s="309">
        <f>J203*G203</f>
        <v>10000</v>
      </c>
      <c r="M203" s="500"/>
      <c r="N203" s="500"/>
      <c r="O203" s="500"/>
      <c r="P203" s="500"/>
      <c r="Q203" s="500"/>
      <c r="R203" s="500"/>
      <c r="S203" s="500"/>
      <c r="T203" s="500"/>
      <c r="U203" s="500"/>
      <c r="V203" s="490"/>
    </row>
    <row r="204" spans="1:22" collapsed="1">
      <c r="A204" s="537" t="s">
        <v>582</v>
      </c>
      <c r="B204" s="538" t="s">
        <v>583</v>
      </c>
      <c r="C204" s="538"/>
      <c r="D204" s="538"/>
      <c r="E204" s="538"/>
      <c r="F204" s="538"/>
      <c r="G204" s="567"/>
      <c r="H204" s="568"/>
      <c r="I204" s="540"/>
      <c r="J204" s="569"/>
      <c r="K204" s="541"/>
      <c r="L204" s="542">
        <f>SUM(K200:K203)</f>
        <v>818446.35493372602</v>
      </c>
      <c r="M204" s="543"/>
      <c r="N204" s="543"/>
      <c r="O204" s="543"/>
      <c r="P204" s="543"/>
      <c r="Q204" s="543"/>
      <c r="R204" s="543"/>
      <c r="S204" s="543"/>
      <c r="T204" s="543"/>
      <c r="U204" s="543"/>
      <c r="V204" s="490"/>
    </row>
    <row r="205" spans="1:22" hidden="1" outlineLevel="1">
      <c r="A205" s="552" t="s">
        <v>584</v>
      </c>
      <c r="B205" s="553" t="s">
        <v>585</v>
      </c>
      <c r="C205" s="553" t="s">
        <v>70</v>
      </c>
      <c r="D205" s="553" t="s">
        <v>75</v>
      </c>
      <c r="E205" s="553" t="s">
        <v>76</v>
      </c>
      <c r="F205" s="553" t="s">
        <v>552</v>
      </c>
      <c r="G205" s="554">
        <f>$B$9</f>
        <v>17.350000000000001</v>
      </c>
      <c r="H205" s="555">
        <v>6500</v>
      </c>
      <c r="I205" s="556">
        <v>0</v>
      </c>
      <c r="J205" s="551">
        <f t="shared" ref="J205:J213" si="33">H205*(1+I205)</f>
        <v>6500</v>
      </c>
      <c r="K205" s="309">
        <f>J205*G205</f>
        <v>112775.00000000001</v>
      </c>
      <c r="M205" s="549"/>
      <c r="N205" s="549"/>
      <c r="O205" s="549"/>
      <c r="P205" s="549"/>
      <c r="Q205" s="549"/>
      <c r="R205" s="549"/>
      <c r="S205" s="549"/>
      <c r="T205" s="549"/>
      <c r="U205" s="549"/>
      <c r="V205" s="490"/>
    </row>
    <row r="206" spans="1:22" hidden="1" outlineLevel="1">
      <c r="A206" s="552" t="s">
        <v>586</v>
      </c>
      <c r="B206" s="553" t="s">
        <v>587</v>
      </c>
      <c r="C206" s="553" t="s">
        <v>70</v>
      </c>
      <c r="D206" s="553" t="s">
        <v>75</v>
      </c>
      <c r="E206" s="553" t="s">
        <v>76</v>
      </c>
      <c r="F206" s="553" t="s">
        <v>552</v>
      </c>
      <c r="G206" s="601">
        <f>$B$9</f>
        <v>17.350000000000001</v>
      </c>
      <c r="H206" s="555">
        <v>3500</v>
      </c>
      <c r="I206" s="556">
        <v>0</v>
      </c>
      <c r="J206" s="555">
        <f t="shared" si="33"/>
        <v>3500</v>
      </c>
      <c r="K206" s="555">
        <f t="shared" ref="K206:K213" si="34">J206*G206</f>
        <v>60725.000000000007</v>
      </c>
      <c r="M206" s="500"/>
      <c r="N206" s="500"/>
      <c r="O206" s="500"/>
      <c r="P206" s="500"/>
      <c r="Q206" s="500"/>
      <c r="R206" s="500"/>
      <c r="S206" s="500"/>
      <c r="T206" s="500"/>
      <c r="U206" s="500"/>
      <c r="V206" s="490"/>
    </row>
    <row r="207" spans="1:22" hidden="1" outlineLevel="1">
      <c r="A207" s="552" t="s">
        <v>588</v>
      </c>
      <c r="B207" s="553" t="s">
        <v>589</v>
      </c>
      <c r="C207" s="553" t="s">
        <v>70</v>
      </c>
      <c r="D207" s="553" t="s">
        <v>75</v>
      </c>
      <c r="E207" s="553" t="s">
        <v>131</v>
      </c>
      <c r="F207" s="553" t="s">
        <v>83</v>
      </c>
      <c r="G207" s="554">
        <v>1</v>
      </c>
      <c r="H207" s="555">
        <v>100000</v>
      </c>
      <c r="I207" s="556">
        <v>0</v>
      </c>
      <c r="J207" s="555">
        <f t="shared" si="33"/>
        <v>100000</v>
      </c>
      <c r="K207" s="555">
        <f t="shared" si="34"/>
        <v>100000</v>
      </c>
      <c r="M207" s="500"/>
      <c r="N207" s="500"/>
      <c r="O207" s="500"/>
      <c r="P207" s="500"/>
      <c r="Q207" s="500"/>
      <c r="R207" s="500"/>
      <c r="S207" s="500"/>
      <c r="T207" s="500"/>
      <c r="U207" s="500"/>
      <c r="V207" s="490"/>
    </row>
    <row r="208" spans="1:22" hidden="1" outlineLevel="1">
      <c r="A208" s="552" t="s">
        <v>590</v>
      </c>
      <c r="B208" s="553" t="s">
        <v>591</v>
      </c>
      <c r="C208" s="553" t="s">
        <v>70</v>
      </c>
      <c r="D208" s="553" t="s">
        <v>75</v>
      </c>
      <c r="E208" s="553" t="s">
        <v>131</v>
      </c>
      <c r="F208" s="553" t="s">
        <v>83</v>
      </c>
      <c r="G208" s="554">
        <v>1</v>
      </c>
      <c r="H208" s="555">
        <v>50000</v>
      </c>
      <c r="I208" s="556">
        <v>0</v>
      </c>
      <c r="J208" s="555">
        <f t="shared" si="33"/>
        <v>50000</v>
      </c>
      <c r="K208" s="555">
        <f t="shared" si="34"/>
        <v>50000</v>
      </c>
      <c r="M208" s="500"/>
      <c r="N208" s="500"/>
      <c r="O208" s="500"/>
      <c r="P208" s="500"/>
      <c r="Q208" s="500"/>
      <c r="R208" s="500"/>
      <c r="S208" s="500"/>
      <c r="T208" s="500"/>
      <c r="U208" s="500"/>
      <c r="V208" s="490"/>
    </row>
    <row r="209" spans="1:22" hidden="1" outlineLevel="1">
      <c r="A209" s="552" t="s">
        <v>592</v>
      </c>
      <c r="B209" s="553" t="s">
        <v>593</v>
      </c>
      <c r="C209" s="553" t="s">
        <v>70</v>
      </c>
      <c r="D209" s="553" t="s">
        <v>75</v>
      </c>
      <c r="E209" s="553" t="s">
        <v>131</v>
      </c>
      <c r="F209" s="553" t="s">
        <v>83</v>
      </c>
      <c r="G209" s="554">
        <v>1</v>
      </c>
      <c r="H209" s="555">
        <v>835870</v>
      </c>
      <c r="I209" s="556">
        <v>0</v>
      </c>
      <c r="J209" s="555">
        <f t="shared" si="33"/>
        <v>835870</v>
      </c>
      <c r="K209" s="555">
        <f t="shared" si="34"/>
        <v>835870</v>
      </c>
      <c r="M209" s="500" t="s">
        <v>594</v>
      </c>
      <c r="N209" s="500"/>
      <c r="O209" s="500"/>
      <c r="P209" s="500"/>
      <c r="Q209" s="500"/>
      <c r="R209" s="500"/>
      <c r="S209" s="500"/>
      <c r="T209" s="500"/>
      <c r="U209" s="500"/>
      <c r="V209" s="490"/>
    </row>
    <row r="210" spans="1:22" hidden="1" outlineLevel="1">
      <c r="A210" s="552" t="s">
        <v>595</v>
      </c>
      <c r="B210" s="553" t="s">
        <v>596</v>
      </c>
      <c r="C210" s="553" t="s">
        <v>70</v>
      </c>
      <c r="D210" s="553" t="s">
        <v>75</v>
      </c>
      <c r="E210" s="553" t="s">
        <v>131</v>
      </c>
      <c r="F210" s="553" t="s">
        <v>83</v>
      </c>
      <c r="G210" s="554">
        <v>1</v>
      </c>
      <c r="H210" s="555">
        <v>997899</v>
      </c>
      <c r="I210" s="556">
        <v>0</v>
      </c>
      <c r="J210" s="555">
        <f t="shared" si="33"/>
        <v>997899</v>
      </c>
      <c r="K210" s="555">
        <f t="shared" si="34"/>
        <v>997899</v>
      </c>
      <c r="M210" s="500" t="s">
        <v>594</v>
      </c>
      <c r="N210" s="500"/>
      <c r="O210" s="500"/>
      <c r="P210" s="500"/>
      <c r="Q210" s="500"/>
      <c r="R210" s="500"/>
      <c r="S210" s="500"/>
      <c r="T210" s="500"/>
      <c r="U210" s="500"/>
      <c r="V210" s="490"/>
    </row>
    <row r="211" spans="1:22" hidden="1" outlineLevel="1">
      <c r="A211" s="552" t="s">
        <v>597</v>
      </c>
      <c r="B211" s="553" t="s">
        <v>598</v>
      </c>
      <c r="C211" s="553" t="s">
        <v>70</v>
      </c>
      <c r="D211" s="553" t="s">
        <v>75</v>
      </c>
      <c r="E211" s="553" t="s">
        <v>131</v>
      </c>
      <c r="F211" s="553" t="s">
        <v>83</v>
      </c>
      <c r="G211" s="554">
        <v>1</v>
      </c>
      <c r="H211" s="555">
        <v>100000</v>
      </c>
      <c r="I211" s="556">
        <v>0</v>
      </c>
      <c r="J211" s="555">
        <f t="shared" si="33"/>
        <v>100000</v>
      </c>
      <c r="K211" s="555">
        <f t="shared" si="34"/>
        <v>100000</v>
      </c>
      <c r="M211" s="500"/>
      <c r="N211" s="500"/>
      <c r="O211" s="500"/>
      <c r="P211" s="500"/>
      <c r="Q211" s="500"/>
      <c r="R211" s="500"/>
      <c r="S211" s="500"/>
      <c r="T211" s="500"/>
      <c r="U211" s="500"/>
      <c r="V211" s="490"/>
    </row>
    <row r="212" spans="1:22" hidden="1" outlineLevel="1">
      <c r="A212" s="552" t="s">
        <v>599</v>
      </c>
      <c r="B212" s="553" t="s">
        <v>600</v>
      </c>
      <c r="C212" s="553" t="s">
        <v>70</v>
      </c>
      <c r="D212" s="553" t="s">
        <v>75</v>
      </c>
      <c r="E212" s="553" t="s">
        <v>87</v>
      </c>
      <c r="F212" s="553"/>
      <c r="G212" s="554"/>
      <c r="H212" s="555"/>
      <c r="I212" s="556">
        <v>0</v>
      </c>
      <c r="J212" s="555">
        <f t="shared" si="33"/>
        <v>0</v>
      </c>
      <c r="K212" s="555">
        <f t="shared" si="34"/>
        <v>0</v>
      </c>
      <c r="M212" s="500"/>
      <c r="N212" s="500"/>
      <c r="O212" s="500"/>
      <c r="P212" s="500"/>
      <c r="Q212" s="500"/>
      <c r="R212" s="500"/>
      <c r="S212" s="500"/>
      <c r="T212" s="500"/>
      <c r="U212" s="500"/>
      <c r="V212" s="490"/>
    </row>
    <row r="213" spans="1:22" hidden="1" outlineLevel="1">
      <c r="A213" s="552" t="s">
        <v>601</v>
      </c>
      <c r="B213" s="553" t="s">
        <v>602</v>
      </c>
      <c r="C213" s="553" t="s">
        <v>70</v>
      </c>
      <c r="D213" s="553" t="s">
        <v>75</v>
      </c>
      <c r="E213" s="553" t="s">
        <v>76</v>
      </c>
      <c r="F213" s="553" t="s">
        <v>552</v>
      </c>
      <c r="G213" s="554">
        <f>$B$9</f>
        <v>17.350000000000001</v>
      </c>
      <c r="H213" s="555">
        <v>2500</v>
      </c>
      <c r="I213" s="556">
        <v>0</v>
      </c>
      <c r="J213" s="551">
        <f t="shared" si="33"/>
        <v>2500</v>
      </c>
      <c r="K213" s="309">
        <f t="shared" si="34"/>
        <v>43375</v>
      </c>
      <c r="M213" s="500"/>
      <c r="N213" s="500"/>
      <c r="O213" s="500"/>
      <c r="P213" s="500"/>
      <c r="Q213" s="500"/>
      <c r="R213" s="500"/>
      <c r="S213" s="500"/>
      <c r="T213" s="500"/>
      <c r="U213" s="500"/>
      <c r="V213" s="490"/>
    </row>
    <row r="214" spans="1:22" collapsed="1">
      <c r="A214" s="537" t="s">
        <v>603</v>
      </c>
      <c r="B214" s="538" t="s">
        <v>604</v>
      </c>
      <c r="C214" s="538"/>
      <c r="D214" s="538"/>
      <c r="E214" s="538"/>
      <c r="F214" s="538"/>
      <c r="G214" s="567"/>
      <c r="H214" s="568"/>
      <c r="I214" s="540"/>
      <c r="J214" s="569"/>
      <c r="K214" s="541"/>
      <c r="L214" s="542">
        <f>SUM(K205:K213)</f>
        <v>2300644</v>
      </c>
      <c r="M214" s="543"/>
      <c r="N214" s="543"/>
      <c r="O214" s="543"/>
      <c r="P214" s="543"/>
      <c r="Q214" s="543"/>
      <c r="R214" s="543"/>
      <c r="S214" s="543"/>
      <c r="T214" s="543"/>
      <c r="U214" s="543"/>
      <c r="V214" s="490"/>
    </row>
    <row r="215" spans="1:22" hidden="1" outlineLevel="1">
      <c r="A215" s="552" t="s">
        <v>605</v>
      </c>
      <c r="B215" s="553" t="s">
        <v>606</v>
      </c>
      <c r="C215" s="553" t="s">
        <v>90</v>
      </c>
      <c r="D215" s="553" t="s">
        <v>75</v>
      </c>
      <c r="E215" s="553" t="s">
        <v>76</v>
      </c>
      <c r="F215" s="553" t="s">
        <v>83</v>
      </c>
      <c r="G215" s="554">
        <v>1</v>
      </c>
      <c r="H215" s="555">
        <v>5000</v>
      </c>
      <c r="I215" s="556">
        <v>0</v>
      </c>
      <c r="J215" s="551">
        <f t="shared" ref="J215:J251" si="35">H215*(1+I215)</f>
        <v>5000</v>
      </c>
      <c r="K215" s="309">
        <f t="shared" ref="K215:K251" si="36">J215*G215</f>
        <v>5000</v>
      </c>
      <c r="M215" s="549"/>
      <c r="N215" s="549"/>
      <c r="O215" s="549"/>
      <c r="P215" s="549"/>
      <c r="Q215" s="549"/>
      <c r="R215" s="549"/>
      <c r="S215" s="549"/>
      <c r="T215" s="549"/>
      <c r="U215" s="549"/>
      <c r="V215" s="490"/>
    </row>
    <row r="216" spans="1:22" hidden="1" outlineLevel="1">
      <c r="A216" s="552" t="s">
        <v>607</v>
      </c>
      <c r="B216" s="553" t="s">
        <v>608</v>
      </c>
      <c r="C216" s="553" t="s">
        <v>70</v>
      </c>
      <c r="D216" s="553" t="s">
        <v>97</v>
      </c>
      <c r="E216" s="553" t="s">
        <v>76</v>
      </c>
      <c r="F216" s="553" t="s">
        <v>83</v>
      </c>
      <c r="G216" s="554">
        <v>2</v>
      </c>
      <c r="H216" s="555">
        <v>2500</v>
      </c>
      <c r="I216" s="556">
        <v>0</v>
      </c>
      <c r="J216" s="555">
        <f t="shared" si="35"/>
        <v>2500</v>
      </c>
      <c r="K216" s="555">
        <f t="shared" si="36"/>
        <v>5000</v>
      </c>
      <c r="M216" s="500"/>
      <c r="N216" s="500"/>
      <c r="O216" s="500"/>
      <c r="P216" s="500"/>
      <c r="Q216" s="500"/>
      <c r="R216" s="500"/>
      <c r="S216" s="500"/>
      <c r="T216" s="500"/>
      <c r="U216" s="500"/>
      <c r="V216" s="490"/>
    </row>
    <row r="217" spans="1:22" hidden="1" outlineLevel="1">
      <c r="A217" s="552" t="s">
        <v>609</v>
      </c>
      <c r="B217" s="553" t="s">
        <v>610</v>
      </c>
      <c r="C217" s="553" t="s">
        <v>70</v>
      </c>
      <c r="D217" s="553" t="s">
        <v>75</v>
      </c>
      <c r="E217" s="553" t="s">
        <v>76</v>
      </c>
      <c r="F217" s="553" t="s">
        <v>83</v>
      </c>
      <c r="G217" s="554">
        <v>1</v>
      </c>
      <c r="H217" s="555">
        <v>25000</v>
      </c>
      <c r="I217" s="556">
        <v>0</v>
      </c>
      <c r="J217" s="555">
        <f t="shared" si="35"/>
        <v>25000</v>
      </c>
      <c r="K217" s="555">
        <f t="shared" si="36"/>
        <v>25000</v>
      </c>
      <c r="M217" s="500" t="s">
        <v>611</v>
      </c>
      <c r="N217" s="500"/>
      <c r="O217" s="500"/>
      <c r="P217" s="500"/>
      <c r="Q217" s="500"/>
      <c r="R217" s="500"/>
      <c r="S217" s="500"/>
      <c r="T217" s="500"/>
      <c r="U217" s="500"/>
      <c r="V217" s="490"/>
    </row>
    <row r="218" spans="1:22" hidden="1" outlineLevel="1">
      <c r="A218" s="552" t="s">
        <v>612</v>
      </c>
      <c r="B218" s="553" t="s">
        <v>613</v>
      </c>
      <c r="C218" s="553" t="s">
        <v>70</v>
      </c>
      <c r="D218" s="553" t="s">
        <v>75</v>
      </c>
      <c r="E218" s="553" t="s">
        <v>82</v>
      </c>
      <c r="F218" s="553" t="s">
        <v>83</v>
      </c>
      <c r="G218" s="554">
        <v>1</v>
      </c>
      <c r="H218" s="555">
        <v>1017448</v>
      </c>
      <c r="I218" s="556">
        <v>0</v>
      </c>
      <c r="J218" s="555">
        <f t="shared" si="35"/>
        <v>1017448</v>
      </c>
      <c r="K218" s="555">
        <f t="shared" si="36"/>
        <v>1017448</v>
      </c>
      <c r="M218" s="500" t="s">
        <v>614</v>
      </c>
      <c r="N218" s="500"/>
      <c r="O218" s="500"/>
      <c r="P218" s="500"/>
      <c r="Q218" s="500"/>
      <c r="R218" s="500"/>
      <c r="S218" s="500"/>
      <c r="T218" s="500"/>
      <c r="U218" s="500"/>
      <c r="V218" s="490"/>
    </row>
    <row r="219" spans="1:22" hidden="1" outlineLevel="1">
      <c r="A219" s="552" t="s">
        <v>615</v>
      </c>
      <c r="B219" s="553" t="s">
        <v>616</v>
      </c>
      <c r="C219" s="553" t="s">
        <v>70</v>
      </c>
      <c r="D219" s="553" t="s">
        <v>75</v>
      </c>
      <c r="E219" s="553" t="s">
        <v>76</v>
      </c>
      <c r="F219" s="553" t="s">
        <v>185</v>
      </c>
      <c r="G219" s="554">
        <v>215053</v>
      </c>
      <c r="H219" s="565">
        <v>0.25</v>
      </c>
      <c r="I219" s="556">
        <v>0</v>
      </c>
      <c r="J219" s="565">
        <f t="shared" si="35"/>
        <v>0.25</v>
      </c>
      <c r="K219" s="555">
        <f t="shared" si="36"/>
        <v>53763.25</v>
      </c>
      <c r="M219" s="500"/>
      <c r="N219" s="500"/>
      <c r="O219" s="500"/>
      <c r="P219" s="500"/>
      <c r="Q219" s="500"/>
      <c r="R219" s="500"/>
      <c r="S219" s="500"/>
      <c r="T219" s="500"/>
      <c r="U219" s="500"/>
      <c r="V219" s="490"/>
    </row>
    <row r="220" spans="1:22" hidden="1" outlineLevel="1">
      <c r="A220" s="552" t="s">
        <v>617</v>
      </c>
      <c r="B220" s="553" t="s">
        <v>618</v>
      </c>
      <c r="C220" s="553" t="s">
        <v>70</v>
      </c>
      <c r="D220" s="553" t="s">
        <v>97</v>
      </c>
      <c r="E220" s="553" t="s">
        <v>329</v>
      </c>
      <c r="F220" s="553" t="s">
        <v>185</v>
      </c>
      <c r="G220" s="554">
        <v>3000</v>
      </c>
      <c r="H220" s="565">
        <v>8.5</v>
      </c>
      <c r="I220" s="556">
        <v>0</v>
      </c>
      <c r="J220" s="565">
        <f t="shared" si="35"/>
        <v>8.5</v>
      </c>
      <c r="K220" s="555">
        <f t="shared" si="36"/>
        <v>25500</v>
      </c>
      <c r="M220" s="500" t="s">
        <v>76</v>
      </c>
      <c r="N220" s="500"/>
      <c r="O220" s="500"/>
      <c r="P220" s="500"/>
      <c r="Q220" s="500"/>
      <c r="R220" s="500"/>
      <c r="S220" s="500"/>
      <c r="T220" s="500"/>
      <c r="U220" s="500"/>
      <c r="V220" s="490"/>
    </row>
    <row r="221" spans="1:22" hidden="1" outlineLevel="1">
      <c r="A221" s="552" t="s">
        <v>619</v>
      </c>
      <c r="B221" s="553" t="s">
        <v>620</v>
      </c>
      <c r="C221" s="553" t="s">
        <v>70</v>
      </c>
      <c r="D221" s="553" t="s">
        <v>103</v>
      </c>
      <c r="E221" s="553" t="s">
        <v>329</v>
      </c>
      <c r="F221" s="553" t="s">
        <v>185</v>
      </c>
      <c r="G221" s="554">
        <v>8023</v>
      </c>
      <c r="H221" s="565">
        <v>8.5</v>
      </c>
      <c r="I221" s="556">
        <v>0</v>
      </c>
      <c r="J221" s="565">
        <f t="shared" si="35"/>
        <v>8.5</v>
      </c>
      <c r="K221" s="555">
        <f t="shared" si="36"/>
        <v>68195.5</v>
      </c>
      <c r="M221" s="500" t="s">
        <v>621</v>
      </c>
      <c r="N221" s="500"/>
      <c r="O221" s="500"/>
      <c r="P221" s="500"/>
      <c r="Q221" s="500"/>
      <c r="R221" s="500"/>
      <c r="S221" s="500"/>
      <c r="T221" s="500"/>
      <c r="U221" s="500"/>
      <c r="V221" s="490"/>
    </row>
    <row r="222" spans="1:22" hidden="1" outlineLevel="1">
      <c r="A222" s="552" t="s">
        <v>622</v>
      </c>
      <c r="B222" s="553" t="s">
        <v>623</v>
      </c>
      <c r="C222" s="553" t="s">
        <v>70</v>
      </c>
      <c r="D222" s="553" t="s">
        <v>75</v>
      </c>
      <c r="E222" s="553" t="s">
        <v>82</v>
      </c>
      <c r="F222" s="553" t="s">
        <v>83</v>
      </c>
      <c r="G222" s="554">
        <v>1</v>
      </c>
      <c r="H222" s="555">
        <v>111739.5</v>
      </c>
      <c r="I222" s="556">
        <v>0</v>
      </c>
      <c r="J222" s="555">
        <f t="shared" si="35"/>
        <v>111739.5</v>
      </c>
      <c r="K222" s="555">
        <f t="shared" si="36"/>
        <v>111739.5</v>
      </c>
      <c r="M222" s="500" t="s">
        <v>99</v>
      </c>
      <c r="N222" s="500"/>
      <c r="O222" s="500"/>
      <c r="P222" s="500"/>
      <c r="Q222" s="500"/>
      <c r="R222" s="500"/>
      <c r="S222" s="500"/>
      <c r="T222" s="500"/>
      <c r="U222" s="500"/>
      <c r="V222" s="490"/>
    </row>
    <row r="223" spans="1:22" hidden="1" outlineLevel="1">
      <c r="A223" s="552" t="s">
        <v>624</v>
      </c>
      <c r="B223" s="553" t="s">
        <v>625</v>
      </c>
      <c r="C223" s="553" t="s">
        <v>70</v>
      </c>
      <c r="D223" s="553" t="s">
        <v>75</v>
      </c>
      <c r="E223" s="553" t="s">
        <v>82</v>
      </c>
      <c r="F223" s="553" t="s">
        <v>83</v>
      </c>
      <c r="G223" s="554">
        <v>1</v>
      </c>
      <c r="H223" s="555">
        <v>91538.5</v>
      </c>
      <c r="I223" s="556">
        <v>0</v>
      </c>
      <c r="J223" s="555">
        <f t="shared" si="35"/>
        <v>91538.5</v>
      </c>
      <c r="K223" s="555">
        <f t="shared" si="36"/>
        <v>91538.5</v>
      </c>
      <c r="M223" s="500" t="s">
        <v>99</v>
      </c>
      <c r="N223" s="500"/>
      <c r="O223" s="500"/>
      <c r="P223" s="500"/>
      <c r="Q223" s="500"/>
      <c r="R223" s="500"/>
      <c r="S223" s="500"/>
      <c r="T223" s="500"/>
      <c r="U223" s="500"/>
      <c r="V223" s="490"/>
    </row>
    <row r="224" spans="1:22" hidden="1" outlineLevel="1">
      <c r="A224" s="574" t="s">
        <v>626</v>
      </c>
      <c r="B224" s="553" t="s">
        <v>627</v>
      </c>
      <c r="C224" s="553" t="s">
        <v>70</v>
      </c>
      <c r="D224" s="553" t="s">
        <v>75</v>
      </c>
      <c r="E224" s="553" t="s">
        <v>82</v>
      </c>
      <c r="F224" s="553" t="s">
        <v>83</v>
      </c>
      <c r="G224" s="554">
        <v>1</v>
      </c>
      <c r="H224" s="555">
        <v>272612.25</v>
      </c>
      <c r="I224" s="556">
        <v>0</v>
      </c>
      <c r="J224" s="555">
        <f t="shared" si="35"/>
        <v>272612.25</v>
      </c>
      <c r="K224" s="555">
        <f t="shared" si="36"/>
        <v>272612.25</v>
      </c>
      <c r="M224" s="500" t="s">
        <v>99</v>
      </c>
      <c r="N224" s="500"/>
      <c r="O224" s="500"/>
      <c r="P224" s="500"/>
      <c r="Q224" s="500"/>
      <c r="R224" s="500"/>
      <c r="S224" s="500"/>
      <c r="T224" s="500"/>
      <c r="U224" s="500"/>
      <c r="V224" s="490"/>
    </row>
    <row r="225" spans="1:22" hidden="1" outlineLevel="1">
      <c r="A225" s="552" t="s">
        <v>628</v>
      </c>
      <c r="B225" s="553" t="s">
        <v>629</v>
      </c>
      <c r="C225" s="553" t="s">
        <v>70</v>
      </c>
      <c r="D225" s="553" t="s">
        <v>97</v>
      </c>
      <c r="E225" s="553" t="s">
        <v>87</v>
      </c>
      <c r="F225" s="553"/>
      <c r="G225" s="554"/>
      <c r="H225" s="565"/>
      <c r="I225" s="556">
        <v>0</v>
      </c>
      <c r="J225" s="555">
        <f t="shared" si="35"/>
        <v>0</v>
      </c>
      <c r="K225" s="555">
        <f t="shared" si="36"/>
        <v>0</v>
      </c>
      <c r="M225" s="500"/>
      <c r="N225" s="500"/>
      <c r="O225" s="500"/>
      <c r="P225" s="500"/>
      <c r="Q225" s="500"/>
      <c r="R225" s="500"/>
      <c r="S225" s="500"/>
      <c r="T225" s="500"/>
      <c r="U225" s="500"/>
      <c r="V225" s="490"/>
    </row>
    <row r="226" spans="1:22" hidden="1" outlineLevel="1">
      <c r="A226" s="552" t="s">
        <v>630</v>
      </c>
      <c r="B226" s="553" t="s">
        <v>631</v>
      </c>
      <c r="C226" s="553" t="s">
        <v>70</v>
      </c>
      <c r="D226" s="553" t="s">
        <v>103</v>
      </c>
      <c r="E226" s="553" t="s">
        <v>76</v>
      </c>
      <c r="F226" s="553" t="s">
        <v>83</v>
      </c>
      <c r="G226" s="554">
        <f>'Assumptions &amp; Takeoffs'!$B$16</f>
        <v>1</v>
      </c>
      <c r="H226" s="555">
        <v>10000</v>
      </c>
      <c r="I226" s="556">
        <v>0</v>
      </c>
      <c r="J226" s="555">
        <f t="shared" si="35"/>
        <v>10000</v>
      </c>
      <c r="K226" s="555">
        <f t="shared" si="36"/>
        <v>10000</v>
      </c>
      <c r="M226" s="500"/>
      <c r="N226" s="500"/>
      <c r="O226" s="500"/>
      <c r="P226" s="500"/>
      <c r="Q226" s="500"/>
      <c r="R226" s="500"/>
      <c r="S226" s="500"/>
      <c r="T226" s="500"/>
      <c r="U226" s="500"/>
      <c r="V226" s="490"/>
    </row>
    <row r="227" spans="1:22" hidden="1" outlineLevel="1">
      <c r="A227" s="552" t="s">
        <v>632</v>
      </c>
      <c r="B227" s="553" t="s">
        <v>633</v>
      </c>
      <c r="C227" s="553" t="s">
        <v>70</v>
      </c>
      <c r="D227" s="553" t="s">
        <v>75</v>
      </c>
      <c r="E227" s="553" t="s">
        <v>76</v>
      </c>
      <c r="F227" s="553" t="s">
        <v>552</v>
      </c>
      <c r="G227" s="601">
        <f>$B$9</f>
        <v>17.350000000000001</v>
      </c>
      <c r="H227" s="555">
        <v>3000</v>
      </c>
      <c r="I227" s="556">
        <v>0</v>
      </c>
      <c r="J227" s="555">
        <f t="shared" si="35"/>
        <v>3000</v>
      </c>
      <c r="K227" s="555">
        <f t="shared" si="36"/>
        <v>52050.000000000007</v>
      </c>
      <c r="M227" s="500"/>
      <c r="N227" s="500"/>
      <c r="O227" s="500"/>
      <c r="P227" s="500"/>
      <c r="Q227" s="500"/>
      <c r="R227" s="500"/>
      <c r="S227" s="500"/>
      <c r="T227" s="500"/>
      <c r="U227" s="500"/>
      <c r="V227" s="490"/>
    </row>
    <row r="228" spans="1:22" hidden="1" outlineLevel="1">
      <c r="A228" s="552" t="s">
        <v>634</v>
      </c>
      <c r="B228" s="553" t="s">
        <v>635</v>
      </c>
      <c r="C228" s="553" t="s">
        <v>70</v>
      </c>
      <c r="D228" s="553" t="s">
        <v>75</v>
      </c>
      <c r="E228" s="553" t="s">
        <v>82</v>
      </c>
      <c r="F228" s="553" t="s">
        <v>83</v>
      </c>
      <c r="G228" s="554">
        <v>1</v>
      </c>
      <c r="H228" s="555">
        <v>188811.6</v>
      </c>
      <c r="I228" s="556">
        <v>0</v>
      </c>
      <c r="J228" s="555">
        <f t="shared" si="35"/>
        <v>188811.6</v>
      </c>
      <c r="K228" s="555">
        <f t="shared" si="36"/>
        <v>188811.6</v>
      </c>
      <c r="M228" s="500" t="s">
        <v>251</v>
      </c>
      <c r="N228" s="500"/>
      <c r="O228" s="500"/>
      <c r="P228" s="500"/>
      <c r="Q228" s="500"/>
      <c r="R228" s="500"/>
      <c r="S228" s="500"/>
      <c r="T228" s="500"/>
      <c r="U228" s="500"/>
      <c r="V228" s="490"/>
    </row>
    <row r="229" spans="1:22" hidden="1" outlineLevel="1">
      <c r="A229" s="552" t="s">
        <v>636</v>
      </c>
      <c r="B229" s="553" t="s">
        <v>637</v>
      </c>
      <c r="C229" s="553" t="s">
        <v>70</v>
      </c>
      <c r="D229" s="553" t="s">
        <v>97</v>
      </c>
      <c r="E229" s="553" t="s">
        <v>82</v>
      </c>
      <c r="F229" s="553" t="s">
        <v>83</v>
      </c>
      <c r="G229" s="554">
        <v>1</v>
      </c>
      <c r="H229" s="555">
        <v>516903</v>
      </c>
      <c r="I229" s="556">
        <v>0</v>
      </c>
      <c r="J229" s="555">
        <f t="shared" si="35"/>
        <v>516903</v>
      </c>
      <c r="K229" s="555">
        <f t="shared" si="36"/>
        <v>516903</v>
      </c>
      <c r="M229" s="500" t="s">
        <v>251</v>
      </c>
      <c r="N229" s="500"/>
      <c r="O229" s="500"/>
      <c r="P229" s="500"/>
      <c r="Q229" s="500"/>
      <c r="R229" s="500"/>
      <c r="S229" s="500"/>
      <c r="T229" s="500"/>
      <c r="U229" s="500"/>
      <c r="V229" s="490"/>
    </row>
    <row r="230" spans="1:22" hidden="1" outlineLevel="1">
      <c r="A230" s="552" t="s">
        <v>638</v>
      </c>
      <c r="B230" s="553" t="s">
        <v>639</v>
      </c>
      <c r="C230" s="553" t="s">
        <v>144</v>
      </c>
      <c r="D230" s="553" t="s">
        <v>97</v>
      </c>
      <c r="E230" s="553" t="s">
        <v>76</v>
      </c>
      <c r="F230" s="553" t="s">
        <v>83</v>
      </c>
      <c r="G230" s="554">
        <v>1</v>
      </c>
      <c r="H230" s="555">
        <v>15000</v>
      </c>
      <c r="I230" s="556">
        <v>0</v>
      </c>
      <c r="J230" s="555">
        <f t="shared" si="35"/>
        <v>15000</v>
      </c>
      <c r="K230" s="555">
        <f t="shared" si="36"/>
        <v>15000</v>
      </c>
      <c r="M230" s="500"/>
      <c r="N230" s="500"/>
      <c r="O230" s="500"/>
      <c r="P230" s="500"/>
      <c r="Q230" s="500"/>
      <c r="R230" s="500"/>
      <c r="S230" s="500"/>
      <c r="T230" s="500"/>
      <c r="U230" s="500"/>
      <c r="V230" s="490"/>
    </row>
    <row r="231" spans="1:22" hidden="1" outlineLevel="1">
      <c r="A231" s="552" t="s">
        <v>640</v>
      </c>
      <c r="B231" s="553" t="s">
        <v>641</v>
      </c>
      <c r="C231" s="553" t="s">
        <v>70</v>
      </c>
      <c r="D231" s="553" t="s">
        <v>75</v>
      </c>
      <c r="E231" s="553" t="s">
        <v>82</v>
      </c>
      <c r="F231" s="553" t="s">
        <v>83</v>
      </c>
      <c r="G231" s="554">
        <v>1</v>
      </c>
      <c r="H231" s="555">
        <v>50256.35</v>
      </c>
      <c r="I231" s="556">
        <v>0</v>
      </c>
      <c r="J231" s="555">
        <f t="shared" si="35"/>
        <v>50256.35</v>
      </c>
      <c r="K231" s="555">
        <f t="shared" si="36"/>
        <v>50256.35</v>
      </c>
      <c r="M231" s="500" t="s">
        <v>251</v>
      </c>
      <c r="N231" s="500"/>
      <c r="O231" s="500"/>
      <c r="P231" s="500"/>
      <c r="Q231" s="500"/>
      <c r="R231" s="500"/>
      <c r="S231" s="500"/>
      <c r="T231" s="500"/>
      <c r="U231" s="500"/>
      <c r="V231" s="490"/>
    </row>
    <row r="232" spans="1:22" hidden="1" outlineLevel="1">
      <c r="A232" s="552" t="s">
        <v>642</v>
      </c>
      <c r="B232" s="553" t="s">
        <v>643</v>
      </c>
      <c r="C232" s="553" t="s">
        <v>70</v>
      </c>
      <c r="D232" s="553" t="s">
        <v>103</v>
      </c>
      <c r="E232" s="553" t="s">
        <v>82</v>
      </c>
      <c r="F232" s="553" t="s">
        <v>83</v>
      </c>
      <c r="G232" s="554">
        <v>1</v>
      </c>
      <c r="H232" s="555">
        <v>31577</v>
      </c>
      <c r="I232" s="556">
        <v>0</v>
      </c>
      <c r="J232" s="555">
        <f t="shared" si="35"/>
        <v>31577</v>
      </c>
      <c r="K232" s="555">
        <f t="shared" si="36"/>
        <v>31577</v>
      </c>
      <c r="M232" s="500" t="s">
        <v>251</v>
      </c>
      <c r="N232" s="500"/>
      <c r="O232" s="500"/>
      <c r="P232" s="500"/>
      <c r="Q232" s="500"/>
      <c r="R232" s="500"/>
      <c r="S232" s="500"/>
      <c r="T232" s="500"/>
      <c r="U232" s="500"/>
      <c r="V232" s="490"/>
    </row>
    <row r="233" spans="1:22" hidden="1" outlineLevel="1">
      <c r="A233" s="552" t="s">
        <v>644</v>
      </c>
      <c r="B233" s="553" t="s">
        <v>643</v>
      </c>
      <c r="C233" s="553" t="s">
        <v>70</v>
      </c>
      <c r="D233" s="553" t="s">
        <v>103</v>
      </c>
      <c r="E233" s="553" t="s">
        <v>82</v>
      </c>
      <c r="F233" s="553" t="s">
        <v>83</v>
      </c>
      <c r="G233" s="554">
        <v>1</v>
      </c>
      <c r="H233" s="555">
        <v>28505</v>
      </c>
      <c r="I233" s="556">
        <v>0</v>
      </c>
      <c r="J233" s="555">
        <f t="shared" si="35"/>
        <v>28505</v>
      </c>
      <c r="K233" s="555">
        <f t="shared" si="36"/>
        <v>28505</v>
      </c>
      <c r="M233" s="500" t="s">
        <v>251</v>
      </c>
      <c r="N233" s="500"/>
      <c r="O233" s="500"/>
      <c r="P233" s="500"/>
      <c r="Q233" s="500"/>
      <c r="R233" s="500"/>
      <c r="S233" s="500"/>
      <c r="T233" s="500"/>
      <c r="U233" s="500"/>
      <c r="V233" s="490"/>
    </row>
    <row r="234" spans="1:22" hidden="1" outlineLevel="1">
      <c r="A234" s="552" t="s">
        <v>645</v>
      </c>
      <c r="B234" s="553" t="s">
        <v>646</v>
      </c>
      <c r="C234" s="553" t="s">
        <v>70</v>
      </c>
      <c r="D234" s="553" t="s">
        <v>75</v>
      </c>
      <c r="E234" s="553" t="s">
        <v>82</v>
      </c>
      <c r="F234" s="553" t="s">
        <v>83</v>
      </c>
      <c r="G234" s="554">
        <v>1</v>
      </c>
      <c r="H234" s="555">
        <v>12867.5</v>
      </c>
      <c r="I234" s="556">
        <v>0</v>
      </c>
      <c r="J234" s="555">
        <f t="shared" si="35"/>
        <v>12867.5</v>
      </c>
      <c r="K234" s="555">
        <f t="shared" si="36"/>
        <v>12867.5</v>
      </c>
      <c r="M234" s="500" t="s">
        <v>647</v>
      </c>
      <c r="N234" s="500"/>
      <c r="O234" s="500"/>
      <c r="P234" s="500"/>
      <c r="Q234" s="500"/>
      <c r="R234" s="500"/>
      <c r="S234" s="500"/>
      <c r="T234" s="500"/>
      <c r="U234" s="500"/>
      <c r="V234" s="490"/>
    </row>
    <row r="235" spans="1:22" hidden="1" outlineLevel="1">
      <c r="A235" s="552" t="s">
        <v>648</v>
      </c>
      <c r="B235" s="553" t="s">
        <v>649</v>
      </c>
      <c r="C235" s="553" t="s">
        <v>70</v>
      </c>
      <c r="D235" s="553" t="s">
        <v>75</v>
      </c>
      <c r="E235" s="553" t="s">
        <v>87</v>
      </c>
      <c r="F235" s="553"/>
      <c r="G235" s="554"/>
      <c r="H235" s="555">
        <v>3555</v>
      </c>
      <c r="I235" s="556">
        <v>0</v>
      </c>
      <c r="J235" s="555">
        <f t="shared" si="35"/>
        <v>3555</v>
      </c>
      <c r="K235" s="555">
        <f t="shared" si="36"/>
        <v>0</v>
      </c>
      <c r="M235" s="500"/>
      <c r="N235" s="500"/>
      <c r="O235" s="500"/>
      <c r="P235" s="500"/>
      <c r="Q235" s="500"/>
      <c r="R235" s="500"/>
      <c r="S235" s="500"/>
      <c r="T235" s="500"/>
      <c r="U235" s="500"/>
      <c r="V235" s="490"/>
    </row>
    <row r="236" spans="1:22" hidden="1" outlineLevel="1">
      <c r="A236" s="552" t="s">
        <v>650</v>
      </c>
      <c r="B236" s="553" t="s">
        <v>651</v>
      </c>
      <c r="C236" s="553" t="s">
        <v>70</v>
      </c>
      <c r="D236" s="553" t="s">
        <v>75</v>
      </c>
      <c r="E236" s="553" t="s">
        <v>87</v>
      </c>
      <c r="F236" s="553"/>
      <c r="G236" s="554"/>
      <c r="H236" s="555">
        <v>44</v>
      </c>
      <c r="I236" s="556">
        <v>0</v>
      </c>
      <c r="J236" s="555">
        <f t="shared" si="35"/>
        <v>44</v>
      </c>
      <c r="K236" s="555">
        <f t="shared" si="36"/>
        <v>0</v>
      </c>
      <c r="M236" s="500"/>
      <c r="N236" s="500"/>
      <c r="O236" s="500"/>
      <c r="P236" s="500"/>
      <c r="Q236" s="500"/>
      <c r="R236" s="500"/>
      <c r="S236" s="500"/>
      <c r="T236" s="500"/>
      <c r="U236" s="500"/>
      <c r="V236" s="490"/>
    </row>
    <row r="237" spans="1:22" hidden="1" outlineLevel="1">
      <c r="A237" s="552" t="s">
        <v>652</v>
      </c>
      <c r="B237" s="553" t="s">
        <v>653</v>
      </c>
      <c r="C237" s="553" t="s">
        <v>70</v>
      </c>
      <c r="D237" s="553" t="s">
        <v>75</v>
      </c>
      <c r="E237" s="553" t="s">
        <v>131</v>
      </c>
      <c r="F237" s="553" t="s">
        <v>83</v>
      </c>
      <c r="G237" s="554">
        <v>0</v>
      </c>
      <c r="H237" s="555">
        <v>1950</v>
      </c>
      <c r="I237" s="556">
        <v>0</v>
      </c>
      <c r="J237" s="555">
        <f t="shared" si="35"/>
        <v>1950</v>
      </c>
      <c r="K237" s="555">
        <f t="shared" si="36"/>
        <v>0</v>
      </c>
      <c r="M237" s="500"/>
      <c r="N237" s="500"/>
      <c r="O237" s="500"/>
      <c r="P237" s="500"/>
      <c r="Q237" s="500"/>
      <c r="R237" s="500"/>
      <c r="S237" s="500"/>
      <c r="T237" s="500"/>
      <c r="U237" s="500"/>
      <c r="V237" s="490"/>
    </row>
    <row r="238" spans="1:22" hidden="1" outlineLevel="1">
      <c r="A238" s="552" t="s">
        <v>654</v>
      </c>
      <c r="B238" s="553" t="s">
        <v>655</v>
      </c>
      <c r="C238" s="553" t="s">
        <v>70</v>
      </c>
      <c r="D238" s="553" t="s">
        <v>75</v>
      </c>
      <c r="E238" s="553" t="s">
        <v>76</v>
      </c>
      <c r="F238" s="553" t="s">
        <v>83</v>
      </c>
      <c r="G238" s="601">
        <f t="shared" ref="G238" si="37">$B$9</f>
        <v>17.350000000000001</v>
      </c>
      <c r="H238" s="555">
        <v>5000</v>
      </c>
      <c r="I238" s="556">
        <v>0</v>
      </c>
      <c r="J238" s="555">
        <f t="shared" si="35"/>
        <v>5000</v>
      </c>
      <c r="K238" s="555">
        <f t="shared" si="36"/>
        <v>86750</v>
      </c>
      <c r="M238" s="500"/>
      <c r="N238" s="500"/>
      <c r="O238" s="500"/>
      <c r="P238" s="500"/>
      <c r="Q238" s="500"/>
      <c r="R238" s="500"/>
      <c r="S238" s="500"/>
      <c r="T238" s="500"/>
      <c r="U238" s="500"/>
      <c r="V238" s="490"/>
    </row>
    <row r="239" spans="1:22" hidden="1" outlineLevel="1">
      <c r="A239" s="552" t="s">
        <v>656</v>
      </c>
      <c r="B239" s="553" t="s">
        <v>657</v>
      </c>
      <c r="C239" s="553" t="s">
        <v>70</v>
      </c>
      <c r="D239" s="553" t="s">
        <v>75</v>
      </c>
      <c r="E239" s="553" t="s">
        <v>131</v>
      </c>
      <c r="F239" s="553" t="s">
        <v>83</v>
      </c>
      <c r="G239" s="554">
        <v>1</v>
      </c>
      <c r="H239" s="555">
        <v>301295.73</v>
      </c>
      <c r="I239" s="556">
        <v>0</v>
      </c>
      <c r="J239" s="555">
        <f t="shared" si="35"/>
        <v>301295.73</v>
      </c>
      <c r="K239" s="555">
        <f t="shared" si="36"/>
        <v>301295.73</v>
      </c>
      <c r="M239" s="500" t="s">
        <v>547</v>
      </c>
      <c r="N239" s="500"/>
      <c r="O239" s="500" t="s">
        <v>134</v>
      </c>
      <c r="P239" s="500"/>
      <c r="Q239" s="500"/>
      <c r="R239" s="500"/>
      <c r="S239" s="500"/>
      <c r="T239" s="500"/>
      <c r="U239" s="500"/>
      <c r="V239" s="490"/>
    </row>
    <row r="240" spans="1:22" hidden="1" outlineLevel="1">
      <c r="A240" s="552" t="s">
        <v>658</v>
      </c>
      <c r="B240" s="553" t="s">
        <v>659</v>
      </c>
      <c r="C240" s="553" t="s">
        <v>70</v>
      </c>
      <c r="D240" s="553" t="s">
        <v>75</v>
      </c>
      <c r="E240" s="553" t="s">
        <v>156</v>
      </c>
      <c r="F240" s="553" t="s">
        <v>83</v>
      </c>
      <c r="G240" s="554">
        <v>1</v>
      </c>
      <c r="H240" s="555">
        <v>31250</v>
      </c>
      <c r="I240" s="556">
        <v>0</v>
      </c>
      <c r="J240" s="555">
        <f t="shared" si="35"/>
        <v>31250</v>
      </c>
      <c r="K240" s="555">
        <f t="shared" si="36"/>
        <v>31250</v>
      </c>
      <c r="M240" s="500" t="s">
        <v>660</v>
      </c>
      <c r="N240" s="500"/>
      <c r="O240" s="500" t="s">
        <v>134</v>
      </c>
      <c r="P240" s="500"/>
      <c r="Q240" s="500"/>
      <c r="R240" s="500"/>
      <c r="S240" s="500"/>
      <c r="T240" s="500"/>
      <c r="U240" s="500"/>
      <c r="V240" s="490"/>
    </row>
    <row r="241" spans="1:22" hidden="1" outlineLevel="1">
      <c r="A241" s="552" t="s">
        <v>661</v>
      </c>
      <c r="B241" s="553" t="s">
        <v>662</v>
      </c>
      <c r="C241" s="553" t="s">
        <v>70</v>
      </c>
      <c r="D241" s="553" t="s">
        <v>75</v>
      </c>
      <c r="E241" s="553" t="s">
        <v>156</v>
      </c>
      <c r="F241" s="553" t="s">
        <v>83</v>
      </c>
      <c r="G241" s="554">
        <v>1</v>
      </c>
      <c r="H241" s="555">
        <v>539517.35</v>
      </c>
      <c r="I241" s="556">
        <v>0</v>
      </c>
      <c r="J241" s="555">
        <f t="shared" si="35"/>
        <v>539517.35</v>
      </c>
      <c r="K241" s="555">
        <f t="shared" si="36"/>
        <v>539517.35</v>
      </c>
      <c r="M241" s="500" t="s">
        <v>547</v>
      </c>
      <c r="N241" s="500"/>
      <c r="O241" s="500" t="s">
        <v>134</v>
      </c>
      <c r="P241" s="500"/>
      <c r="Q241" s="500"/>
      <c r="R241" s="500"/>
      <c r="S241" s="500"/>
      <c r="T241" s="500"/>
      <c r="U241" s="500"/>
      <c r="V241" s="490"/>
    </row>
    <row r="242" spans="1:22" hidden="1" outlineLevel="1">
      <c r="A242" s="552" t="s">
        <v>663</v>
      </c>
      <c r="B242" s="553" t="s">
        <v>664</v>
      </c>
      <c r="C242" s="553" t="s">
        <v>144</v>
      </c>
      <c r="D242" s="553" t="s">
        <v>103</v>
      </c>
      <c r="E242" s="553" t="s">
        <v>76</v>
      </c>
      <c r="F242" s="553" t="s">
        <v>83</v>
      </c>
      <c r="G242" s="554">
        <v>2</v>
      </c>
      <c r="H242" s="555">
        <v>7500</v>
      </c>
      <c r="I242" s="556">
        <v>0</v>
      </c>
      <c r="J242" s="555">
        <f t="shared" si="35"/>
        <v>7500</v>
      </c>
      <c r="K242" s="555">
        <f t="shared" si="36"/>
        <v>15000</v>
      </c>
      <c r="M242" s="500"/>
      <c r="N242" s="500"/>
      <c r="O242" s="500"/>
      <c r="P242" s="500"/>
      <c r="Q242" s="500"/>
      <c r="R242" s="500"/>
      <c r="S242" s="500"/>
      <c r="T242" s="500"/>
      <c r="U242" s="500"/>
      <c r="V242" s="490"/>
    </row>
    <row r="243" spans="1:22" hidden="1" outlineLevel="1">
      <c r="A243" s="552" t="s">
        <v>665</v>
      </c>
      <c r="B243" s="553" t="s">
        <v>666</v>
      </c>
      <c r="C243" s="553" t="s">
        <v>144</v>
      </c>
      <c r="D243" s="553" t="s">
        <v>81</v>
      </c>
      <c r="E243" s="553" t="s">
        <v>76</v>
      </c>
      <c r="F243" s="553" t="s">
        <v>83</v>
      </c>
      <c r="G243" s="554">
        <v>1</v>
      </c>
      <c r="H243" s="555">
        <v>7000</v>
      </c>
      <c r="I243" s="556">
        <v>0</v>
      </c>
      <c r="J243" s="555">
        <f t="shared" si="35"/>
        <v>7000</v>
      </c>
      <c r="K243" s="555">
        <f t="shared" si="36"/>
        <v>7000</v>
      </c>
      <c r="M243" s="500"/>
      <c r="N243" s="500"/>
      <c r="O243" s="500"/>
      <c r="P243" s="500"/>
      <c r="Q243" s="500"/>
      <c r="R243" s="500"/>
      <c r="S243" s="500"/>
      <c r="T243" s="500"/>
      <c r="U243" s="500"/>
      <c r="V243" s="490"/>
    </row>
    <row r="244" spans="1:22" hidden="1" outlineLevel="1">
      <c r="A244" s="552" t="s">
        <v>210</v>
      </c>
      <c r="B244" s="553" t="s">
        <v>667</v>
      </c>
      <c r="C244" s="553" t="s">
        <v>70</v>
      </c>
      <c r="D244" s="553" t="s">
        <v>75</v>
      </c>
      <c r="E244" s="553" t="s">
        <v>156</v>
      </c>
      <c r="F244" s="553" t="s">
        <v>185</v>
      </c>
      <c r="G244" s="546">
        <f>'Assumptions &amp; Takeoffs'!E13</f>
        <v>316370.92</v>
      </c>
      <c r="H244" s="570">
        <v>9</v>
      </c>
      <c r="I244" s="556">
        <v>0</v>
      </c>
      <c r="J244" s="565">
        <f t="shared" si="35"/>
        <v>9</v>
      </c>
      <c r="K244" s="555">
        <f t="shared" si="36"/>
        <v>2847338.28</v>
      </c>
      <c r="M244" s="500" t="s">
        <v>668</v>
      </c>
      <c r="N244" s="500"/>
      <c r="O244" s="500"/>
      <c r="P244" s="500"/>
      <c r="Q244" s="500"/>
      <c r="R244" s="500"/>
      <c r="S244" s="500"/>
      <c r="T244" s="500"/>
      <c r="U244" s="500"/>
      <c r="V244" s="490"/>
    </row>
    <row r="245" spans="1:22" hidden="1" outlineLevel="1">
      <c r="A245" s="552" t="s">
        <v>669</v>
      </c>
      <c r="B245" s="553" t="s">
        <v>667</v>
      </c>
      <c r="C245" s="553" t="s">
        <v>70</v>
      </c>
      <c r="D245" s="553" t="s">
        <v>75</v>
      </c>
      <c r="E245" s="553" t="s">
        <v>87</v>
      </c>
      <c r="F245" s="553"/>
      <c r="G245" s="554"/>
      <c r="H245" s="565"/>
      <c r="I245" s="556">
        <v>0</v>
      </c>
      <c r="J245" s="565">
        <f t="shared" si="35"/>
        <v>0</v>
      </c>
      <c r="K245" s="555">
        <f t="shared" si="36"/>
        <v>0</v>
      </c>
      <c r="M245" s="500"/>
      <c r="N245" s="500"/>
      <c r="O245" s="500"/>
      <c r="P245" s="500"/>
      <c r="Q245" s="500"/>
      <c r="R245" s="500"/>
      <c r="S245" s="500"/>
      <c r="T245" s="500"/>
      <c r="U245" s="500"/>
      <c r="V245" s="490"/>
    </row>
    <row r="246" spans="1:22" hidden="1" outlineLevel="1">
      <c r="A246" s="552" t="s">
        <v>670</v>
      </c>
      <c r="B246" s="553" t="s">
        <v>671</v>
      </c>
      <c r="C246" s="553" t="s">
        <v>70</v>
      </c>
      <c r="D246" s="553" t="s">
        <v>75</v>
      </c>
      <c r="E246" s="553" t="s">
        <v>87</v>
      </c>
      <c r="F246" s="553"/>
      <c r="G246" s="554"/>
      <c r="H246" s="555"/>
      <c r="I246" s="556">
        <v>0</v>
      </c>
      <c r="J246" s="555">
        <f t="shared" si="35"/>
        <v>0</v>
      </c>
      <c r="K246" s="555">
        <f t="shared" si="36"/>
        <v>0</v>
      </c>
      <c r="M246" s="500"/>
      <c r="N246" s="500"/>
      <c r="O246" s="500"/>
      <c r="P246" s="500"/>
      <c r="Q246" s="500"/>
      <c r="R246" s="500"/>
      <c r="S246" s="500"/>
      <c r="T246" s="500"/>
      <c r="U246" s="500"/>
      <c r="V246" s="490"/>
    </row>
    <row r="247" spans="1:22" hidden="1" outlineLevel="1">
      <c r="A247" s="552" t="s">
        <v>672</v>
      </c>
      <c r="B247" s="553" t="s">
        <v>610</v>
      </c>
      <c r="C247" s="553" t="s">
        <v>70</v>
      </c>
      <c r="D247" s="553" t="s">
        <v>405</v>
      </c>
      <c r="E247" s="553" t="s">
        <v>673</v>
      </c>
      <c r="F247" s="553" t="s">
        <v>83</v>
      </c>
      <c r="G247" s="554">
        <v>1</v>
      </c>
      <c r="H247" s="555">
        <v>5000</v>
      </c>
      <c r="I247" s="556">
        <v>0</v>
      </c>
      <c r="J247" s="555">
        <f t="shared" si="35"/>
        <v>5000</v>
      </c>
      <c r="K247" s="555">
        <f t="shared" si="36"/>
        <v>5000</v>
      </c>
      <c r="M247" s="500"/>
      <c r="N247" s="500"/>
      <c r="O247" s="500"/>
      <c r="P247" s="500"/>
      <c r="Q247" s="500"/>
      <c r="R247" s="500"/>
      <c r="S247" s="500"/>
      <c r="T247" s="500"/>
      <c r="U247" s="500"/>
      <c r="V247" s="490"/>
    </row>
    <row r="248" spans="1:22" hidden="1" outlineLevel="1">
      <c r="A248" s="552" t="s">
        <v>674</v>
      </c>
      <c r="B248" s="553" t="s">
        <v>613</v>
      </c>
      <c r="C248" s="553" t="s">
        <v>70</v>
      </c>
      <c r="D248" s="553" t="s">
        <v>405</v>
      </c>
      <c r="E248" s="553" t="s">
        <v>82</v>
      </c>
      <c r="F248" s="553" t="s">
        <v>83</v>
      </c>
      <c r="G248" s="554">
        <v>1</v>
      </c>
      <c r="H248" s="555">
        <v>385892</v>
      </c>
      <c r="I248" s="556">
        <v>0</v>
      </c>
      <c r="J248" s="555">
        <f t="shared" si="35"/>
        <v>385892</v>
      </c>
      <c r="K248" s="555">
        <f t="shared" si="36"/>
        <v>385892</v>
      </c>
      <c r="M248" s="500" t="s">
        <v>614</v>
      </c>
      <c r="N248" s="500"/>
      <c r="O248" s="500"/>
      <c r="P248" s="500"/>
      <c r="Q248" s="500"/>
      <c r="R248" s="500"/>
      <c r="S248" s="500"/>
      <c r="T248" s="500"/>
      <c r="U248" s="500"/>
      <c r="V248" s="490"/>
    </row>
    <row r="249" spans="1:22" hidden="1" outlineLevel="1">
      <c r="A249" s="552" t="s">
        <v>675</v>
      </c>
      <c r="B249" s="553" t="s">
        <v>623</v>
      </c>
      <c r="C249" s="553" t="s">
        <v>70</v>
      </c>
      <c r="D249" s="553" t="s">
        <v>405</v>
      </c>
      <c r="E249" s="553" t="s">
        <v>82</v>
      </c>
      <c r="F249" s="553" t="s">
        <v>83</v>
      </c>
      <c r="G249" s="554">
        <v>1</v>
      </c>
      <c r="H249" s="555">
        <v>27195</v>
      </c>
      <c r="I249" s="556">
        <v>0</v>
      </c>
      <c r="J249" s="555">
        <f t="shared" si="35"/>
        <v>27195</v>
      </c>
      <c r="K249" s="555">
        <f>J249*G249</f>
        <v>27195</v>
      </c>
      <c r="M249" s="500" t="s">
        <v>99</v>
      </c>
      <c r="N249" s="500"/>
      <c r="O249" s="500"/>
      <c r="P249" s="500"/>
      <c r="Q249" s="500"/>
      <c r="R249" s="500"/>
      <c r="S249" s="500"/>
      <c r="T249" s="500"/>
      <c r="U249" s="500"/>
      <c r="V249" s="490"/>
    </row>
    <row r="250" spans="1:22" hidden="1" outlineLevel="1">
      <c r="A250" s="552" t="s">
        <v>676</v>
      </c>
      <c r="B250" s="553" t="s">
        <v>627</v>
      </c>
      <c r="C250" s="553" t="s">
        <v>70</v>
      </c>
      <c r="D250" s="553" t="s">
        <v>405</v>
      </c>
      <c r="E250" s="553" t="s">
        <v>131</v>
      </c>
      <c r="F250" s="553" t="s">
        <v>83</v>
      </c>
      <c r="G250" s="554">
        <v>1</v>
      </c>
      <c r="H250" s="555"/>
      <c r="I250" s="556">
        <v>0</v>
      </c>
      <c r="J250" s="555">
        <f t="shared" si="35"/>
        <v>0</v>
      </c>
      <c r="K250" s="555">
        <f t="shared" si="36"/>
        <v>0</v>
      </c>
      <c r="M250" s="500"/>
      <c r="N250" s="500"/>
      <c r="O250" s="500"/>
      <c r="P250" s="500"/>
      <c r="Q250" s="500"/>
      <c r="R250" s="500"/>
      <c r="S250" s="500"/>
      <c r="T250" s="500"/>
      <c r="U250" s="500"/>
      <c r="V250" s="490"/>
    </row>
    <row r="251" spans="1:22" hidden="1" outlineLevel="1">
      <c r="A251" s="552" t="s">
        <v>677</v>
      </c>
      <c r="B251" s="553" t="s">
        <v>678</v>
      </c>
      <c r="C251" s="553" t="s">
        <v>70</v>
      </c>
      <c r="D251" s="553" t="s">
        <v>405</v>
      </c>
      <c r="E251" s="553" t="s">
        <v>131</v>
      </c>
      <c r="F251" s="553" t="s">
        <v>83</v>
      </c>
      <c r="G251" s="554">
        <v>1</v>
      </c>
      <c r="H251" s="555">
        <v>0</v>
      </c>
      <c r="I251" s="556">
        <v>0</v>
      </c>
      <c r="J251" s="551">
        <f t="shared" si="35"/>
        <v>0</v>
      </c>
      <c r="K251" s="309">
        <f t="shared" si="36"/>
        <v>0</v>
      </c>
      <c r="M251" s="500"/>
      <c r="N251" s="500"/>
      <c r="O251" s="500"/>
      <c r="P251" s="500"/>
      <c r="Q251" s="500"/>
      <c r="R251" s="500"/>
      <c r="S251" s="500"/>
      <c r="T251" s="500"/>
      <c r="U251" s="500"/>
      <c r="V251" s="490"/>
    </row>
    <row r="252" spans="1:22" collapsed="1">
      <c r="A252" s="537" t="s">
        <v>679</v>
      </c>
      <c r="B252" s="538" t="s">
        <v>680</v>
      </c>
      <c r="C252" s="538"/>
      <c r="D252" s="538"/>
      <c r="E252" s="538"/>
      <c r="F252" s="538"/>
      <c r="G252" s="567"/>
      <c r="H252" s="568"/>
      <c r="I252" s="540"/>
      <c r="J252" s="569"/>
      <c r="K252" s="541"/>
      <c r="L252" s="542">
        <f>SUM(K215:K251)</f>
        <v>6828005.8100000005</v>
      </c>
      <c r="M252" s="543"/>
      <c r="N252" s="543"/>
      <c r="O252" s="543"/>
      <c r="P252" s="543"/>
      <c r="Q252" s="543"/>
      <c r="R252" s="543"/>
      <c r="S252" s="543"/>
      <c r="T252" s="543"/>
      <c r="U252" s="543"/>
      <c r="V252" s="490"/>
    </row>
    <row r="253" spans="1:22" hidden="1" outlineLevel="1">
      <c r="A253" s="552" t="s">
        <v>238</v>
      </c>
      <c r="B253" s="553" t="s">
        <v>681</v>
      </c>
      <c r="C253" s="553" t="s">
        <v>144</v>
      </c>
      <c r="D253" s="553"/>
      <c r="E253" s="553" t="s">
        <v>76</v>
      </c>
      <c r="F253" s="553" t="s">
        <v>344</v>
      </c>
      <c r="G253" s="554">
        <f>$N$9</f>
        <v>363</v>
      </c>
      <c r="H253" s="555">
        <v>375</v>
      </c>
      <c r="I253" s="556">
        <v>0</v>
      </c>
      <c r="J253" s="551">
        <f t="shared" ref="J253:J268" si="38">H253*(1+I253)</f>
        <v>375</v>
      </c>
      <c r="K253" s="309">
        <f t="shared" ref="K253:K268" si="39">J253*G253</f>
        <v>136125</v>
      </c>
      <c r="M253" s="549"/>
      <c r="N253" s="549"/>
      <c r="O253" s="549"/>
      <c r="P253" s="549"/>
      <c r="Q253" s="549"/>
      <c r="R253" s="549"/>
      <c r="S253" s="549"/>
      <c r="T253" s="549"/>
      <c r="U253" s="549"/>
      <c r="V253" s="490"/>
    </row>
    <row r="254" spans="1:22" hidden="1" outlineLevel="1">
      <c r="A254" s="574" t="s">
        <v>682</v>
      </c>
      <c r="B254" s="553" t="s">
        <v>683</v>
      </c>
      <c r="C254" s="553" t="s">
        <v>144</v>
      </c>
      <c r="D254" s="553" t="s">
        <v>405</v>
      </c>
      <c r="E254" s="553" t="s">
        <v>76</v>
      </c>
      <c r="F254" s="553" t="s">
        <v>83</v>
      </c>
      <c r="G254" s="554">
        <v>1</v>
      </c>
      <c r="H254" s="555">
        <v>10000</v>
      </c>
      <c r="I254" s="556">
        <v>0</v>
      </c>
      <c r="J254" s="555">
        <f t="shared" si="38"/>
        <v>10000</v>
      </c>
      <c r="K254" s="555">
        <f t="shared" si="39"/>
        <v>10000</v>
      </c>
      <c r="M254" s="500"/>
      <c r="N254" s="500"/>
      <c r="O254" s="500"/>
      <c r="P254" s="500"/>
      <c r="Q254" s="500"/>
      <c r="R254" s="500"/>
      <c r="S254" s="500"/>
      <c r="T254" s="500"/>
      <c r="U254" s="500"/>
      <c r="V254" s="490"/>
    </row>
    <row r="255" spans="1:22" hidden="1" outlineLevel="1">
      <c r="A255" s="574" t="s">
        <v>684</v>
      </c>
      <c r="B255" s="553" t="s">
        <v>683</v>
      </c>
      <c r="C255" s="553" t="s">
        <v>70</v>
      </c>
      <c r="D255" s="553" t="s">
        <v>75</v>
      </c>
      <c r="E255" s="553" t="s">
        <v>131</v>
      </c>
      <c r="F255" s="553" t="s">
        <v>83</v>
      </c>
      <c r="G255" s="554">
        <v>1</v>
      </c>
      <c r="H255" s="555">
        <f>320266+649521</f>
        <v>969787</v>
      </c>
      <c r="I255" s="556">
        <v>0</v>
      </c>
      <c r="J255" s="555">
        <f t="shared" si="38"/>
        <v>969787</v>
      </c>
      <c r="K255" s="555">
        <f t="shared" si="39"/>
        <v>969787</v>
      </c>
      <c r="M255" s="500" t="s">
        <v>685</v>
      </c>
      <c r="N255" s="500"/>
      <c r="O255" s="500"/>
      <c r="P255" s="500"/>
      <c r="Q255" s="500"/>
      <c r="R255" s="500"/>
      <c r="S255" s="500"/>
      <c r="T255" s="500"/>
      <c r="U255" s="500"/>
      <c r="V255" s="490"/>
    </row>
    <row r="256" spans="1:22" hidden="1" outlineLevel="1">
      <c r="A256" s="574" t="s">
        <v>686</v>
      </c>
      <c r="B256" s="553" t="s">
        <v>687</v>
      </c>
      <c r="C256" s="553" t="s">
        <v>70</v>
      </c>
      <c r="D256" s="553" t="s">
        <v>75</v>
      </c>
      <c r="E256" s="553" t="s">
        <v>131</v>
      </c>
      <c r="F256" s="553" t="s">
        <v>83</v>
      </c>
      <c r="G256" s="554">
        <v>1</v>
      </c>
      <c r="H256" s="555">
        <v>285724</v>
      </c>
      <c r="I256" s="556">
        <v>0</v>
      </c>
      <c r="J256" s="555">
        <f t="shared" si="38"/>
        <v>285724</v>
      </c>
      <c r="K256" s="555">
        <f t="shared" si="39"/>
        <v>285724</v>
      </c>
      <c r="M256" s="500" t="s">
        <v>685</v>
      </c>
      <c r="N256" s="500"/>
      <c r="O256" s="500"/>
      <c r="P256" s="500"/>
      <c r="Q256" s="500"/>
      <c r="R256" s="500"/>
      <c r="S256" s="500"/>
      <c r="T256" s="500"/>
      <c r="U256" s="500"/>
      <c r="V256" s="490"/>
    </row>
    <row r="257" spans="1:22" hidden="1" outlineLevel="1">
      <c r="A257" s="574" t="s">
        <v>688</v>
      </c>
      <c r="B257" s="553" t="s">
        <v>689</v>
      </c>
      <c r="C257" s="553" t="s">
        <v>70</v>
      </c>
      <c r="D257" s="553" t="s">
        <v>75</v>
      </c>
      <c r="E257" s="553" t="s">
        <v>76</v>
      </c>
      <c r="F257" s="553" t="s">
        <v>83</v>
      </c>
      <c r="G257" s="554">
        <v>1</v>
      </c>
      <c r="H257" s="555">
        <v>19814</v>
      </c>
      <c r="I257" s="556">
        <v>0</v>
      </c>
      <c r="J257" s="555">
        <f t="shared" si="38"/>
        <v>19814</v>
      </c>
      <c r="K257" s="555">
        <f t="shared" si="39"/>
        <v>19814</v>
      </c>
      <c r="M257" s="500" t="s">
        <v>685</v>
      </c>
      <c r="N257" s="500"/>
      <c r="O257" s="500"/>
      <c r="P257" s="500"/>
      <c r="Q257" s="500"/>
      <c r="R257" s="500"/>
      <c r="S257" s="500"/>
      <c r="T257" s="500"/>
      <c r="U257" s="500"/>
      <c r="V257" s="490"/>
    </row>
    <row r="258" spans="1:22" hidden="1" outlineLevel="1">
      <c r="A258" s="574" t="s">
        <v>690</v>
      </c>
      <c r="B258" s="553" t="s">
        <v>691</v>
      </c>
      <c r="C258" s="553" t="s">
        <v>144</v>
      </c>
      <c r="D258" s="553"/>
      <c r="E258" s="553" t="s">
        <v>76</v>
      </c>
      <c r="F258" s="553" t="s">
        <v>83</v>
      </c>
      <c r="G258" s="554">
        <v>1</v>
      </c>
      <c r="H258" s="555">
        <v>5000</v>
      </c>
      <c r="I258" s="556">
        <v>0</v>
      </c>
      <c r="J258" s="555">
        <f t="shared" si="38"/>
        <v>5000</v>
      </c>
      <c r="K258" s="555">
        <f t="shared" si="39"/>
        <v>5000</v>
      </c>
      <c r="M258" s="500"/>
      <c r="N258" s="500"/>
      <c r="O258" s="500"/>
      <c r="P258" s="500"/>
      <c r="Q258" s="500"/>
      <c r="R258" s="500"/>
      <c r="S258" s="500"/>
      <c r="T258" s="500"/>
      <c r="U258" s="500"/>
      <c r="V258" s="490"/>
    </row>
    <row r="259" spans="1:22" hidden="1" outlineLevel="1">
      <c r="A259" s="574" t="s">
        <v>692</v>
      </c>
      <c r="B259" s="553" t="s">
        <v>693</v>
      </c>
      <c r="C259" s="553" t="s">
        <v>70</v>
      </c>
      <c r="D259" s="553" t="s">
        <v>405</v>
      </c>
      <c r="E259" s="553" t="s">
        <v>131</v>
      </c>
      <c r="F259" s="553" t="s">
        <v>83</v>
      </c>
      <c r="G259" s="554">
        <v>1</v>
      </c>
      <c r="H259" s="555">
        <v>0</v>
      </c>
      <c r="I259" s="556">
        <v>0.15</v>
      </c>
      <c r="J259" s="555">
        <f t="shared" si="38"/>
        <v>0</v>
      </c>
      <c r="K259" s="555">
        <f t="shared" si="39"/>
        <v>0</v>
      </c>
      <c r="M259" s="500"/>
      <c r="N259" s="500"/>
      <c r="O259" s="500"/>
      <c r="P259" s="500"/>
      <c r="Q259" s="500"/>
      <c r="R259" s="500"/>
      <c r="S259" s="500"/>
      <c r="T259" s="500"/>
      <c r="U259" s="500"/>
      <c r="V259" s="490"/>
    </row>
    <row r="260" spans="1:22" hidden="1" outlineLevel="1">
      <c r="A260" s="552" t="s">
        <v>694</v>
      </c>
      <c r="B260" s="553" t="s">
        <v>695</v>
      </c>
      <c r="C260" s="553" t="s">
        <v>70</v>
      </c>
      <c r="D260" s="553"/>
      <c r="E260" s="553" t="s">
        <v>131</v>
      </c>
      <c r="F260" s="553" t="s">
        <v>83</v>
      </c>
      <c r="G260" s="554">
        <v>1</v>
      </c>
      <c r="H260" s="555">
        <v>411575</v>
      </c>
      <c r="I260" s="556">
        <v>0</v>
      </c>
      <c r="J260" s="555">
        <f t="shared" si="38"/>
        <v>411575</v>
      </c>
      <c r="K260" s="555">
        <f t="shared" si="39"/>
        <v>411575</v>
      </c>
      <c r="M260" s="500" t="s">
        <v>547</v>
      </c>
      <c r="N260" s="500"/>
      <c r="O260" s="500"/>
      <c r="P260" s="500"/>
      <c r="Q260" s="500"/>
      <c r="R260" s="500"/>
      <c r="S260" s="500"/>
      <c r="T260" s="500"/>
      <c r="U260" s="500"/>
      <c r="V260" s="490"/>
    </row>
    <row r="261" spans="1:22" hidden="1" outlineLevel="1">
      <c r="A261" s="552" t="s">
        <v>696</v>
      </c>
      <c r="B261" s="553" t="s">
        <v>697</v>
      </c>
      <c r="C261" s="553" t="s">
        <v>144</v>
      </c>
      <c r="D261" s="553"/>
      <c r="E261" s="553" t="s">
        <v>76</v>
      </c>
      <c r="F261" s="553" t="s">
        <v>83</v>
      </c>
      <c r="G261" s="554">
        <v>1</v>
      </c>
      <c r="H261" s="555">
        <v>25000</v>
      </c>
      <c r="I261" s="556">
        <v>0</v>
      </c>
      <c r="J261" s="555">
        <f t="shared" si="38"/>
        <v>25000</v>
      </c>
      <c r="K261" s="555">
        <f t="shared" si="39"/>
        <v>25000</v>
      </c>
      <c r="M261" s="500"/>
      <c r="N261" s="500"/>
      <c r="O261" s="500"/>
      <c r="P261" s="500"/>
      <c r="Q261" s="500"/>
      <c r="R261" s="500"/>
      <c r="S261" s="500"/>
      <c r="T261" s="500"/>
      <c r="U261" s="500"/>
      <c r="V261" s="490"/>
    </row>
    <row r="262" spans="1:22" hidden="1" outlineLevel="1">
      <c r="A262" s="552" t="s">
        <v>698</v>
      </c>
      <c r="B262" s="553" t="s">
        <v>699</v>
      </c>
      <c r="C262" s="553" t="s">
        <v>70</v>
      </c>
      <c r="D262" s="553"/>
      <c r="E262" s="553" t="s">
        <v>76</v>
      </c>
      <c r="F262" s="553" t="s">
        <v>83</v>
      </c>
      <c r="G262" s="554">
        <v>1</v>
      </c>
      <c r="H262" s="555">
        <v>15600</v>
      </c>
      <c r="I262" s="556">
        <v>0</v>
      </c>
      <c r="J262" s="555">
        <f t="shared" si="38"/>
        <v>15600</v>
      </c>
      <c r="K262" s="555">
        <f t="shared" si="39"/>
        <v>15600</v>
      </c>
      <c r="M262" s="500"/>
      <c r="N262" s="500"/>
      <c r="O262" s="500"/>
      <c r="P262" s="500"/>
      <c r="Q262" s="500"/>
      <c r="R262" s="500"/>
      <c r="S262" s="500"/>
      <c r="T262" s="500"/>
      <c r="U262" s="500"/>
      <c r="V262" s="490"/>
    </row>
    <row r="263" spans="1:22" hidden="1" outlineLevel="1">
      <c r="A263" s="552" t="s">
        <v>700</v>
      </c>
      <c r="B263" s="553" t="s">
        <v>701</v>
      </c>
      <c r="C263" s="553" t="s">
        <v>70</v>
      </c>
      <c r="D263" s="553"/>
      <c r="E263" s="553" t="s">
        <v>87</v>
      </c>
      <c r="F263" s="553"/>
      <c r="G263" s="554"/>
      <c r="H263" s="555"/>
      <c r="I263" s="556">
        <v>0</v>
      </c>
      <c r="J263" s="555">
        <f t="shared" si="38"/>
        <v>0</v>
      </c>
      <c r="K263" s="555">
        <f t="shared" si="39"/>
        <v>0</v>
      </c>
      <c r="M263" s="500"/>
      <c r="N263" s="500"/>
      <c r="O263" s="500"/>
      <c r="P263" s="500"/>
      <c r="Q263" s="500"/>
      <c r="R263" s="500"/>
      <c r="S263" s="500"/>
      <c r="T263" s="500"/>
      <c r="U263" s="500"/>
      <c r="V263" s="490"/>
    </row>
    <row r="264" spans="1:22" hidden="1" outlineLevel="1">
      <c r="A264" s="552" t="s">
        <v>702</v>
      </c>
      <c r="B264" s="553" t="s">
        <v>703</v>
      </c>
      <c r="C264" s="553" t="s">
        <v>70</v>
      </c>
      <c r="D264" s="553"/>
      <c r="E264" s="553" t="s">
        <v>87</v>
      </c>
      <c r="F264" s="553"/>
      <c r="G264" s="554"/>
      <c r="H264" s="555"/>
      <c r="I264" s="556">
        <v>0</v>
      </c>
      <c r="J264" s="555">
        <f t="shared" si="38"/>
        <v>0</v>
      </c>
      <c r="K264" s="555">
        <f t="shared" si="39"/>
        <v>0</v>
      </c>
      <c r="M264" s="500"/>
      <c r="N264" s="500"/>
      <c r="O264" s="500"/>
      <c r="P264" s="500"/>
      <c r="Q264" s="500"/>
      <c r="R264" s="500"/>
      <c r="S264" s="500"/>
      <c r="T264" s="500"/>
      <c r="U264" s="500"/>
      <c r="V264" s="490"/>
    </row>
    <row r="265" spans="1:22" hidden="1" outlineLevel="1">
      <c r="A265" s="552" t="s">
        <v>704</v>
      </c>
      <c r="B265" s="553" t="s">
        <v>683</v>
      </c>
      <c r="C265" s="553" t="s">
        <v>70</v>
      </c>
      <c r="D265" s="553" t="s">
        <v>405</v>
      </c>
      <c r="E265" s="553" t="s">
        <v>131</v>
      </c>
      <c r="F265" s="553" t="s">
        <v>83</v>
      </c>
      <c r="G265" s="554">
        <v>1</v>
      </c>
      <c r="H265" s="555">
        <f>104253+298495</f>
        <v>402748</v>
      </c>
      <c r="I265" s="556">
        <v>0</v>
      </c>
      <c r="J265" s="555">
        <f t="shared" si="38"/>
        <v>402748</v>
      </c>
      <c r="K265" s="555">
        <f t="shared" si="39"/>
        <v>402748</v>
      </c>
      <c r="M265" s="500" t="s">
        <v>685</v>
      </c>
      <c r="N265" s="500"/>
      <c r="O265" s="500"/>
      <c r="P265" s="500"/>
      <c r="Q265" s="500"/>
      <c r="R265" s="500"/>
      <c r="S265" s="500"/>
      <c r="T265" s="500"/>
      <c r="U265" s="500"/>
      <c r="V265" s="490"/>
    </row>
    <row r="266" spans="1:22" hidden="1" outlineLevel="1">
      <c r="A266" s="552" t="s">
        <v>705</v>
      </c>
      <c r="B266" s="553" t="s">
        <v>687</v>
      </c>
      <c r="C266" s="553" t="s">
        <v>70</v>
      </c>
      <c r="D266" s="553" t="s">
        <v>405</v>
      </c>
      <c r="E266" s="553" t="s">
        <v>82</v>
      </c>
      <c r="F266" s="553" t="s">
        <v>83</v>
      </c>
      <c r="G266" s="554">
        <v>1</v>
      </c>
      <c r="H266" s="555">
        <v>51375</v>
      </c>
      <c r="I266" s="556">
        <v>0</v>
      </c>
      <c r="J266" s="555">
        <f t="shared" si="38"/>
        <v>51375</v>
      </c>
      <c r="K266" s="555">
        <f t="shared" si="39"/>
        <v>51375</v>
      </c>
      <c r="M266" s="500" t="s">
        <v>685</v>
      </c>
      <c r="N266" s="500"/>
      <c r="O266" s="500"/>
      <c r="P266" s="500"/>
      <c r="Q266" s="500"/>
      <c r="R266" s="500"/>
      <c r="S266" s="500"/>
      <c r="T266" s="500"/>
      <c r="U266" s="500"/>
      <c r="V266" s="490"/>
    </row>
    <row r="267" spans="1:22" hidden="1" outlineLevel="1">
      <c r="A267" s="552" t="s">
        <v>706</v>
      </c>
      <c r="B267" s="553" t="s">
        <v>689</v>
      </c>
      <c r="C267" s="553" t="s">
        <v>70</v>
      </c>
      <c r="D267" s="553" t="s">
        <v>405</v>
      </c>
      <c r="E267" s="553" t="s">
        <v>76</v>
      </c>
      <c r="F267" s="553" t="s">
        <v>83</v>
      </c>
      <c r="G267" s="554">
        <v>1</v>
      </c>
      <c r="H267" s="555">
        <v>25000</v>
      </c>
      <c r="I267" s="556">
        <v>0</v>
      </c>
      <c r="J267" s="555">
        <f t="shared" si="38"/>
        <v>25000</v>
      </c>
      <c r="K267" s="555">
        <f t="shared" si="39"/>
        <v>25000</v>
      </c>
      <c r="M267" s="500"/>
      <c r="N267" s="500"/>
      <c r="O267" s="500"/>
      <c r="P267" s="500"/>
      <c r="Q267" s="500"/>
      <c r="R267" s="500"/>
      <c r="S267" s="500"/>
      <c r="T267" s="500"/>
      <c r="U267" s="500"/>
      <c r="V267" s="490"/>
    </row>
    <row r="268" spans="1:22" hidden="1" outlineLevel="1">
      <c r="A268" s="552" t="s">
        <v>707</v>
      </c>
      <c r="B268" s="553" t="s">
        <v>695</v>
      </c>
      <c r="C268" s="553" t="s">
        <v>70</v>
      </c>
      <c r="D268" s="553" t="s">
        <v>405</v>
      </c>
      <c r="E268" s="553" t="s">
        <v>131</v>
      </c>
      <c r="F268" s="553" t="s">
        <v>83</v>
      </c>
      <c r="G268" s="554">
        <v>1</v>
      </c>
      <c r="H268" s="555">
        <v>61000</v>
      </c>
      <c r="I268" s="556">
        <v>0</v>
      </c>
      <c r="J268" s="551">
        <f t="shared" si="38"/>
        <v>61000</v>
      </c>
      <c r="K268" s="309">
        <f t="shared" si="39"/>
        <v>61000</v>
      </c>
      <c r="M268" s="500"/>
      <c r="N268" s="500"/>
      <c r="O268" s="500"/>
      <c r="P268" s="500"/>
      <c r="Q268" s="500"/>
      <c r="R268" s="500"/>
      <c r="S268" s="500"/>
      <c r="T268" s="500"/>
      <c r="U268" s="500"/>
      <c r="V268" s="490"/>
    </row>
    <row r="269" spans="1:22" collapsed="1">
      <c r="A269" s="537" t="s">
        <v>708</v>
      </c>
      <c r="B269" s="538" t="s">
        <v>709</v>
      </c>
      <c r="C269" s="538"/>
      <c r="D269" s="538"/>
      <c r="E269" s="538"/>
      <c r="F269" s="538"/>
      <c r="G269" s="567"/>
      <c r="H269" s="568"/>
      <c r="I269" s="540"/>
      <c r="J269" s="569"/>
      <c r="K269" s="541"/>
      <c r="L269" s="542">
        <f>SUM(K253:K268)</f>
        <v>2418748</v>
      </c>
      <c r="M269" s="543"/>
      <c r="N269" s="543"/>
      <c r="O269" s="543"/>
      <c r="P269" s="543"/>
      <c r="Q269" s="543"/>
      <c r="R269" s="543"/>
      <c r="S269" s="543"/>
      <c r="T269" s="543"/>
      <c r="U269" s="543"/>
      <c r="V269" s="490"/>
    </row>
    <row r="270" spans="1:22" hidden="1" outlineLevel="1">
      <c r="A270" s="552" t="s">
        <v>710</v>
      </c>
      <c r="B270" s="553"/>
      <c r="C270" s="553"/>
      <c r="D270" s="553" t="s">
        <v>75</v>
      </c>
      <c r="E270" s="553" t="s">
        <v>76</v>
      </c>
      <c r="F270" s="553" t="s">
        <v>83</v>
      </c>
      <c r="G270" s="554">
        <v>2</v>
      </c>
      <c r="H270" s="555">
        <v>594250</v>
      </c>
      <c r="I270" s="556">
        <v>0</v>
      </c>
      <c r="J270" s="551">
        <f t="shared" ref="J270:J271" si="40">H270*(1+I270)</f>
        <v>594250</v>
      </c>
      <c r="K270" s="309">
        <f t="shared" ref="K270:K271" si="41">J270*G270</f>
        <v>1188500</v>
      </c>
      <c r="M270" s="549" t="s">
        <v>711</v>
      </c>
      <c r="N270" s="549"/>
      <c r="O270" s="549"/>
      <c r="P270" s="549"/>
      <c r="Q270" s="549"/>
      <c r="R270" s="549"/>
      <c r="S270" s="549"/>
      <c r="T270" s="549"/>
      <c r="U270" s="549"/>
      <c r="V270" s="490"/>
    </row>
    <row r="271" spans="1:22" hidden="1" outlineLevel="1">
      <c r="A271" s="552" t="s">
        <v>712</v>
      </c>
      <c r="B271" s="553"/>
      <c r="C271" s="553"/>
      <c r="D271" s="553" t="s">
        <v>75</v>
      </c>
      <c r="E271" s="553" t="s">
        <v>76</v>
      </c>
      <c r="F271" s="553" t="s">
        <v>83</v>
      </c>
      <c r="G271" s="554">
        <v>1</v>
      </c>
      <c r="H271" s="555">
        <v>300000</v>
      </c>
      <c r="I271" s="556">
        <v>0</v>
      </c>
      <c r="J271" s="551">
        <f t="shared" si="40"/>
        <v>300000</v>
      </c>
      <c r="K271" s="309">
        <f t="shared" si="41"/>
        <v>300000</v>
      </c>
      <c r="M271" s="500" t="s">
        <v>713</v>
      </c>
      <c r="N271" s="500"/>
      <c r="O271" s="500"/>
      <c r="P271" s="500"/>
      <c r="Q271" s="500"/>
      <c r="R271" s="500"/>
      <c r="S271" s="500"/>
      <c r="T271" s="500"/>
      <c r="U271" s="500"/>
      <c r="V271" s="490"/>
    </row>
    <row r="272" spans="1:22" collapsed="1">
      <c r="A272" s="537" t="s">
        <v>714</v>
      </c>
      <c r="B272" s="538" t="s">
        <v>709</v>
      </c>
      <c r="C272" s="538"/>
      <c r="D272" s="538"/>
      <c r="E272" s="538"/>
      <c r="F272" s="538"/>
      <c r="G272" s="567"/>
      <c r="H272" s="568"/>
      <c r="I272" s="540"/>
      <c r="J272" s="569"/>
      <c r="K272" s="541"/>
      <c r="L272" s="542">
        <f>SUM(K270:K271)</f>
        <v>1488500</v>
      </c>
      <c r="M272" s="543"/>
      <c r="N272" s="543"/>
      <c r="O272" s="543"/>
      <c r="P272" s="543"/>
      <c r="Q272" s="543"/>
      <c r="R272" s="543"/>
      <c r="S272" s="543"/>
      <c r="T272" s="543"/>
      <c r="U272" s="543"/>
      <c r="V272" s="490"/>
    </row>
    <row r="273" spans="1:22" hidden="1" outlineLevel="1">
      <c r="A273" s="552" t="s">
        <v>715</v>
      </c>
      <c r="B273" s="553" t="s">
        <v>716</v>
      </c>
      <c r="C273" s="553" t="s">
        <v>144</v>
      </c>
      <c r="D273" s="553" t="s">
        <v>405</v>
      </c>
      <c r="E273" s="553" t="s">
        <v>76</v>
      </c>
      <c r="F273" s="553" t="s">
        <v>83</v>
      </c>
      <c r="G273" s="554">
        <v>1</v>
      </c>
      <c r="H273" s="555">
        <v>7500</v>
      </c>
      <c r="I273" s="556">
        <v>0</v>
      </c>
      <c r="J273" s="551">
        <f t="shared" ref="J273" si="42">H273*(1+I273)</f>
        <v>7500</v>
      </c>
      <c r="K273" s="309">
        <f>J273*G273</f>
        <v>7500</v>
      </c>
      <c r="M273" s="549"/>
      <c r="N273" s="549"/>
      <c r="O273" s="549"/>
      <c r="P273" s="549"/>
      <c r="Q273" s="549"/>
      <c r="R273" s="549"/>
      <c r="S273" s="549"/>
      <c r="T273" s="549"/>
      <c r="U273" s="549"/>
      <c r="V273" s="490"/>
    </row>
    <row r="274" spans="1:22" collapsed="1">
      <c r="A274" s="537" t="s">
        <v>717</v>
      </c>
      <c r="B274" s="538" t="s">
        <v>718</v>
      </c>
      <c r="C274" s="538"/>
      <c r="D274" s="538"/>
      <c r="E274" s="538"/>
      <c r="F274" s="538"/>
      <c r="G274" s="567"/>
      <c r="H274" s="568"/>
      <c r="I274" s="540"/>
      <c r="J274" s="569"/>
      <c r="K274" s="541"/>
      <c r="L274" s="542">
        <f>SUM(K273)</f>
        <v>7500</v>
      </c>
      <c r="M274" s="543"/>
      <c r="N274" s="543"/>
      <c r="O274" s="543"/>
      <c r="P274" s="543"/>
      <c r="Q274" s="543"/>
      <c r="R274" s="543"/>
      <c r="S274" s="543"/>
      <c r="T274" s="543"/>
      <c r="U274" s="543"/>
      <c r="V274" s="490"/>
    </row>
    <row r="275" spans="1:22" hidden="1" outlineLevel="1">
      <c r="A275" s="544" t="s">
        <v>719</v>
      </c>
      <c r="B275" s="545" t="s">
        <v>720</v>
      </c>
      <c r="C275" s="545" t="s">
        <v>70</v>
      </c>
      <c r="D275" s="545"/>
      <c r="E275" s="545" t="s">
        <v>76</v>
      </c>
      <c r="F275" s="545" t="s">
        <v>83</v>
      </c>
      <c r="G275" s="546">
        <v>1</v>
      </c>
      <c r="H275" s="547">
        <v>977434</v>
      </c>
      <c r="I275" s="548">
        <v>0</v>
      </c>
      <c r="J275" s="309">
        <f t="shared" ref="J275:J277" si="43">H275*(1+I275)</f>
        <v>977434</v>
      </c>
      <c r="K275" s="309">
        <f>J275*G275</f>
        <v>977434</v>
      </c>
      <c r="M275" s="549" t="s">
        <v>721</v>
      </c>
      <c r="N275" s="549"/>
      <c r="O275" s="549"/>
      <c r="P275" s="549"/>
      <c r="Q275" s="549"/>
      <c r="R275" s="549"/>
      <c r="S275" s="549"/>
      <c r="T275" s="549"/>
      <c r="U275" s="549"/>
      <c r="V275" s="490"/>
    </row>
    <row r="276" spans="1:22" hidden="1" outlineLevel="1">
      <c r="A276" s="552" t="s">
        <v>722</v>
      </c>
      <c r="B276" s="553" t="s">
        <v>723</v>
      </c>
      <c r="C276" s="553" t="s">
        <v>144</v>
      </c>
      <c r="D276" s="553"/>
      <c r="E276" s="553" t="s">
        <v>76</v>
      </c>
      <c r="F276" s="553" t="s">
        <v>83</v>
      </c>
      <c r="G276" s="554">
        <v>1</v>
      </c>
      <c r="H276" s="555">
        <v>50000</v>
      </c>
      <c r="I276" s="556">
        <v>0</v>
      </c>
      <c r="J276" s="555">
        <f t="shared" si="43"/>
        <v>50000</v>
      </c>
      <c r="K276" s="555">
        <f>J276*G276</f>
        <v>50000</v>
      </c>
      <c r="M276" s="500" t="s">
        <v>721</v>
      </c>
      <c r="N276" s="500"/>
      <c r="O276" s="500"/>
      <c r="P276" s="500"/>
      <c r="Q276" s="500"/>
      <c r="R276" s="500"/>
      <c r="S276" s="500"/>
      <c r="T276" s="500"/>
      <c r="U276" s="500"/>
      <c r="V276" s="490"/>
    </row>
    <row r="277" spans="1:22" hidden="1" outlineLevel="1">
      <c r="A277" s="552" t="s">
        <v>724</v>
      </c>
      <c r="B277" s="553" t="s">
        <v>725</v>
      </c>
      <c r="C277" s="553" t="s">
        <v>144</v>
      </c>
      <c r="D277" s="553"/>
      <c r="E277" s="553" t="s">
        <v>76</v>
      </c>
      <c r="F277" s="553" t="s">
        <v>83</v>
      </c>
      <c r="G277" s="554">
        <v>1</v>
      </c>
      <c r="H277" s="555">
        <v>50000</v>
      </c>
      <c r="I277" s="556">
        <v>0</v>
      </c>
      <c r="J277" s="551">
        <f t="shared" si="43"/>
        <v>50000</v>
      </c>
      <c r="K277" s="309">
        <f>J277*G277</f>
        <v>50000</v>
      </c>
      <c r="M277" s="500" t="s">
        <v>721</v>
      </c>
      <c r="N277" s="500"/>
      <c r="O277" s="500"/>
      <c r="P277" s="500"/>
      <c r="Q277" s="500"/>
      <c r="R277" s="500"/>
      <c r="S277" s="500"/>
      <c r="T277" s="500"/>
      <c r="U277" s="500"/>
      <c r="V277" s="490"/>
    </row>
    <row r="278" spans="1:22" collapsed="1">
      <c r="A278" s="537" t="s">
        <v>726</v>
      </c>
      <c r="B278" s="538" t="s">
        <v>727</v>
      </c>
      <c r="C278" s="538"/>
      <c r="D278" s="538"/>
      <c r="E278" s="538"/>
      <c r="F278" s="538"/>
      <c r="G278" s="567"/>
      <c r="H278" s="568"/>
      <c r="I278" s="540"/>
      <c r="J278" s="569"/>
      <c r="K278" s="541"/>
      <c r="L278" s="542">
        <f>SUM(K275:K277)</f>
        <v>1077434</v>
      </c>
      <c r="M278" s="543"/>
      <c r="N278" s="543"/>
      <c r="O278" s="543"/>
      <c r="P278" s="543"/>
      <c r="Q278" s="543"/>
      <c r="R278" s="543"/>
      <c r="S278" s="543"/>
      <c r="T278" s="543"/>
      <c r="U278" s="543"/>
      <c r="V278" s="490"/>
    </row>
    <row r="279" spans="1:22" hidden="1" outlineLevel="1">
      <c r="A279" s="552" t="s">
        <v>728</v>
      </c>
      <c r="B279" s="553" t="s">
        <v>729</v>
      </c>
      <c r="C279" s="553" t="s">
        <v>70</v>
      </c>
      <c r="D279" s="553"/>
      <c r="E279" s="545" t="s">
        <v>329</v>
      </c>
      <c r="F279" s="553" t="s">
        <v>83</v>
      </c>
      <c r="G279" s="601">
        <f>$B$9</f>
        <v>17.350000000000001</v>
      </c>
      <c r="H279" s="555">
        <v>9000</v>
      </c>
      <c r="I279" s="556">
        <v>0</v>
      </c>
      <c r="J279" s="551">
        <f t="shared" ref="J279:J287" si="44">H279*(1+I279)</f>
        <v>9000</v>
      </c>
      <c r="K279" s="309">
        <f t="shared" ref="K279:K287" si="45">J279*G279</f>
        <v>156150</v>
      </c>
      <c r="M279" s="549" t="s">
        <v>730</v>
      </c>
      <c r="N279" s="549"/>
      <c r="O279" s="549"/>
      <c r="P279" s="549"/>
      <c r="Q279" s="549"/>
      <c r="R279" s="549"/>
      <c r="S279" s="549"/>
      <c r="T279" s="549"/>
      <c r="U279" s="549"/>
      <c r="V279" s="490"/>
    </row>
    <row r="280" spans="1:22" hidden="1" outlineLevel="1">
      <c r="A280" s="552" t="s">
        <v>731</v>
      </c>
      <c r="B280" s="553" t="s">
        <v>732</v>
      </c>
      <c r="C280" s="553" t="s">
        <v>70</v>
      </c>
      <c r="D280" s="553"/>
      <c r="E280" s="553" t="s">
        <v>76</v>
      </c>
      <c r="F280" s="553" t="s">
        <v>83</v>
      </c>
      <c r="G280" s="601">
        <v>1</v>
      </c>
      <c r="H280" s="555">
        <v>10000</v>
      </c>
      <c r="I280" s="556">
        <v>0</v>
      </c>
      <c r="J280" s="555">
        <f t="shared" si="44"/>
        <v>10000</v>
      </c>
      <c r="K280" s="555">
        <f t="shared" si="45"/>
        <v>10000</v>
      </c>
      <c r="M280" s="500" t="s">
        <v>730</v>
      </c>
      <c r="N280" s="500"/>
      <c r="O280" s="500"/>
      <c r="P280" s="500"/>
      <c r="Q280" s="500"/>
      <c r="R280" s="500"/>
      <c r="S280" s="500"/>
      <c r="T280" s="500"/>
      <c r="U280" s="500"/>
      <c r="V280" s="490"/>
    </row>
    <row r="281" spans="1:22" hidden="1" outlineLevel="1">
      <c r="A281" s="552" t="s">
        <v>733</v>
      </c>
      <c r="B281" s="553" t="s">
        <v>734</v>
      </c>
      <c r="C281" s="553" t="s">
        <v>70</v>
      </c>
      <c r="D281" s="553"/>
      <c r="E281" s="553" t="s">
        <v>76</v>
      </c>
      <c r="F281" s="553" t="s">
        <v>83</v>
      </c>
      <c r="G281" s="601">
        <v>1</v>
      </c>
      <c r="H281" s="555">
        <v>5000</v>
      </c>
      <c r="I281" s="556">
        <v>0</v>
      </c>
      <c r="J281" s="555">
        <f t="shared" si="44"/>
        <v>5000</v>
      </c>
      <c r="K281" s="555">
        <f t="shared" si="45"/>
        <v>5000</v>
      </c>
      <c r="M281" s="500" t="s">
        <v>730</v>
      </c>
      <c r="N281" s="500"/>
      <c r="O281" s="500"/>
      <c r="P281" s="500"/>
      <c r="Q281" s="500"/>
      <c r="R281" s="500"/>
      <c r="S281" s="500"/>
      <c r="T281" s="500"/>
      <c r="U281" s="500"/>
      <c r="V281" s="490"/>
    </row>
    <row r="282" spans="1:22" hidden="1" outlineLevel="1">
      <c r="A282" s="552" t="s">
        <v>735</v>
      </c>
      <c r="B282" s="553" t="s">
        <v>736</v>
      </c>
      <c r="C282" s="553" t="s">
        <v>70</v>
      </c>
      <c r="D282" s="553"/>
      <c r="E282" s="553" t="s">
        <v>76</v>
      </c>
      <c r="F282" s="553" t="s">
        <v>737</v>
      </c>
      <c r="G282" s="601">
        <v>3</v>
      </c>
      <c r="H282" s="555">
        <v>15000</v>
      </c>
      <c r="I282" s="556">
        <v>0</v>
      </c>
      <c r="J282" s="555">
        <f t="shared" si="44"/>
        <v>15000</v>
      </c>
      <c r="K282" s="555">
        <f t="shared" si="45"/>
        <v>45000</v>
      </c>
      <c r="M282" s="500" t="s">
        <v>730</v>
      </c>
      <c r="N282" s="500"/>
      <c r="O282" s="500"/>
      <c r="P282" s="500"/>
      <c r="Q282" s="500"/>
      <c r="R282" s="500"/>
      <c r="S282" s="500"/>
      <c r="T282" s="500"/>
      <c r="U282" s="500"/>
      <c r="V282" s="490"/>
    </row>
    <row r="283" spans="1:22" hidden="1" outlineLevel="1">
      <c r="A283" s="552" t="s">
        <v>738</v>
      </c>
      <c r="B283" s="553" t="s">
        <v>739</v>
      </c>
      <c r="C283" s="553" t="s">
        <v>70</v>
      </c>
      <c r="D283" s="553"/>
      <c r="E283" s="553" t="s">
        <v>329</v>
      </c>
      <c r="F283" s="553" t="s">
        <v>83</v>
      </c>
      <c r="G283" s="601">
        <f t="shared" ref="G283:G287" si="46">$B$9</f>
        <v>17.350000000000001</v>
      </c>
      <c r="H283" s="555">
        <v>5000</v>
      </c>
      <c r="I283" s="556">
        <v>0</v>
      </c>
      <c r="J283" s="555">
        <f t="shared" si="44"/>
        <v>5000</v>
      </c>
      <c r="K283" s="555">
        <f t="shared" si="45"/>
        <v>86750</v>
      </c>
      <c r="M283" s="500" t="s">
        <v>730</v>
      </c>
      <c r="N283" s="500"/>
      <c r="O283" s="500"/>
      <c r="P283" s="500"/>
      <c r="Q283" s="500"/>
      <c r="R283" s="500"/>
      <c r="S283" s="500"/>
      <c r="T283" s="500"/>
      <c r="U283" s="500"/>
      <c r="V283" s="490"/>
    </row>
    <row r="284" spans="1:22" hidden="1" outlineLevel="1">
      <c r="A284" s="552" t="s">
        <v>740</v>
      </c>
      <c r="B284" s="553" t="s">
        <v>741</v>
      </c>
      <c r="C284" s="553" t="s">
        <v>70</v>
      </c>
      <c r="D284" s="553"/>
      <c r="E284" s="553" t="s">
        <v>329</v>
      </c>
      <c r="F284" s="553" t="s">
        <v>83</v>
      </c>
      <c r="G284" s="601">
        <f t="shared" si="46"/>
        <v>17.350000000000001</v>
      </c>
      <c r="H284" s="555">
        <v>5000</v>
      </c>
      <c r="I284" s="556">
        <v>0</v>
      </c>
      <c r="J284" s="555">
        <f t="shared" si="44"/>
        <v>5000</v>
      </c>
      <c r="K284" s="555">
        <f t="shared" si="45"/>
        <v>86750</v>
      </c>
      <c r="M284" s="500" t="s">
        <v>730</v>
      </c>
      <c r="N284" s="500"/>
      <c r="O284" s="500"/>
      <c r="P284" s="500"/>
      <c r="Q284" s="500"/>
      <c r="R284" s="500"/>
      <c r="S284" s="500"/>
      <c r="T284" s="500"/>
      <c r="U284" s="500"/>
      <c r="V284" s="490"/>
    </row>
    <row r="285" spans="1:22" hidden="1" outlineLevel="1">
      <c r="A285" s="552" t="s">
        <v>742</v>
      </c>
      <c r="B285" s="553" t="s">
        <v>743</v>
      </c>
      <c r="C285" s="553" t="s">
        <v>70</v>
      </c>
      <c r="D285" s="553"/>
      <c r="E285" s="553" t="s">
        <v>76</v>
      </c>
      <c r="F285" s="553" t="s">
        <v>83</v>
      </c>
      <c r="G285" s="601">
        <f t="shared" si="46"/>
        <v>17.350000000000001</v>
      </c>
      <c r="H285" s="555">
        <v>2500</v>
      </c>
      <c r="I285" s="556">
        <v>0</v>
      </c>
      <c r="J285" s="555">
        <f t="shared" si="44"/>
        <v>2500</v>
      </c>
      <c r="K285" s="555">
        <f t="shared" si="45"/>
        <v>43375</v>
      </c>
      <c r="M285" s="500" t="s">
        <v>730</v>
      </c>
      <c r="N285" s="500"/>
      <c r="O285" s="500"/>
      <c r="P285" s="500"/>
      <c r="Q285" s="500"/>
      <c r="R285" s="500"/>
      <c r="S285" s="500"/>
      <c r="T285" s="500"/>
      <c r="U285" s="500"/>
      <c r="V285" s="490"/>
    </row>
    <row r="286" spans="1:22" hidden="1" outlineLevel="1">
      <c r="A286" s="552" t="s">
        <v>744</v>
      </c>
      <c r="B286" s="553" t="s">
        <v>745</v>
      </c>
      <c r="C286" s="553" t="s">
        <v>70</v>
      </c>
      <c r="D286" s="553"/>
      <c r="E286" s="553" t="s">
        <v>76</v>
      </c>
      <c r="F286" s="553" t="s">
        <v>83</v>
      </c>
      <c r="G286" s="601">
        <f t="shared" si="46"/>
        <v>17.350000000000001</v>
      </c>
      <c r="H286" s="555">
        <v>1500</v>
      </c>
      <c r="I286" s="556">
        <v>0</v>
      </c>
      <c r="J286" s="555">
        <f t="shared" si="44"/>
        <v>1500</v>
      </c>
      <c r="K286" s="555">
        <f t="shared" si="45"/>
        <v>26025.000000000004</v>
      </c>
      <c r="M286" s="500" t="s">
        <v>730</v>
      </c>
      <c r="N286" s="500"/>
      <c r="O286" s="500"/>
      <c r="P286" s="500"/>
      <c r="Q286" s="500"/>
      <c r="R286" s="500"/>
      <c r="S286" s="500"/>
      <c r="T286" s="500"/>
      <c r="U286" s="500"/>
      <c r="V286" s="490"/>
    </row>
    <row r="287" spans="1:22" hidden="1" outlineLevel="1">
      <c r="A287" s="552" t="s">
        <v>746</v>
      </c>
      <c r="B287" s="553" t="s">
        <v>747</v>
      </c>
      <c r="C287" s="553" t="s">
        <v>70</v>
      </c>
      <c r="D287" s="553"/>
      <c r="E287" s="553" t="s">
        <v>329</v>
      </c>
      <c r="F287" s="553" t="s">
        <v>83</v>
      </c>
      <c r="G287" s="601">
        <f t="shared" si="46"/>
        <v>17.350000000000001</v>
      </c>
      <c r="H287" s="555">
        <v>2500</v>
      </c>
      <c r="I287" s="556">
        <v>0</v>
      </c>
      <c r="J287" s="551">
        <f t="shared" si="44"/>
        <v>2500</v>
      </c>
      <c r="K287" s="309">
        <f t="shared" si="45"/>
        <v>43375</v>
      </c>
      <c r="M287" s="500" t="s">
        <v>730</v>
      </c>
      <c r="N287" s="500"/>
      <c r="O287" s="500"/>
      <c r="P287" s="500"/>
      <c r="Q287" s="500"/>
      <c r="R287" s="500"/>
      <c r="S287" s="500"/>
      <c r="T287" s="500"/>
      <c r="U287" s="500"/>
      <c r="V287" s="490"/>
    </row>
    <row r="288" spans="1:22" collapsed="1">
      <c r="A288" s="537" t="s">
        <v>748</v>
      </c>
      <c r="B288" s="538" t="s">
        <v>749</v>
      </c>
      <c r="C288" s="538"/>
      <c r="D288" s="538"/>
      <c r="E288" s="538"/>
      <c r="F288" s="538"/>
      <c r="G288" s="567"/>
      <c r="H288" s="568"/>
      <c r="I288" s="540"/>
      <c r="J288" s="569"/>
      <c r="K288" s="541"/>
      <c r="L288" s="542">
        <f>SUM(K279:K287)</f>
        <v>502425</v>
      </c>
      <c r="M288" s="543"/>
      <c r="N288" s="543"/>
      <c r="O288" s="543"/>
      <c r="P288" s="543"/>
      <c r="Q288" s="543"/>
      <c r="R288" s="543"/>
      <c r="S288" s="543"/>
      <c r="T288" s="543"/>
      <c r="U288" s="543"/>
      <c r="V288" s="490"/>
    </row>
    <row r="289" spans="1:24" hidden="1" outlineLevel="1">
      <c r="A289" s="552" t="s">
        <v>750</v>
      </c>
      <c r="B289" s="553"/>
      <c r="C289" s="553"/>
      <c r="D289" s="553"/>
      <c r="E289" s="553"/>
      <c r="F289" s="553"/>
      <c r="G289" s="556">
        <v>0</v>
      </c>
      <c r="H289" s="565"/>
      <c r="I289" s="556"/>
      <c r="J289" s="566"/>
      <c r="K289" s="309">
        <f>G289*SUM(K16:K287)</f>
        <v>0</v>
      </c>
      <c r="M289" s="549"/>
      <c r="N289" s="549"/>
      <c r="O289" s="549"/>
      <c r="P289" s="549"/>
      <c r="Q289" s="549"/>
      <c r="R289" s="549"/>
      <c r="S289" s="549"/>
      <c r="T289" s="549"/>
      <c r="U289" s="549"/>
      <c r="V289" s="490"/>
    </row>
    <row r="290" spans="1:24" hidden="1" outlineLevel="1">
      <c r="A290" s="552" t="s">
        <v>751</v>
      </c>
      <c r="B290" s="553"/>
      <c r="C290" s="553"/>
      <c r="D290" s="553"/>
      <c r="E290" s="553"/>
      <c r="F290" s="553"/>
      <c r="G290" s="556">
        <v>0.02</v>
      </c>
      <c r="H290" s="565"/>
      <c r="I290" s="556"/>
      <c r="J290" s="566"/>
      <c r="K290" s="309">
        <f>G290*SUM(K16:K288,K292:K306)</f>
        <v>1113111.0294454566</v>
      </c>
      <c r="M290" s="500"/>
      <c r="N290" s="500"/>
      <c r="O290" s="500"/>
      <c r="P290" s="500"/>
      <c r="Q290" s="500"/>
      <c r="R290" s="500"/>
      <c r="S290" s="500"/>
      <c r="T290" s="500"/>
      <c r="U290" s="500"/>
      <c r="V290" s="490"/>
    </row>
    <row r="291" spans="1:24" collapsed="1">
      <c r="A291" s="537" t="s">
        <v>752</v>
      </c>
      <c r="B291" s="538" t="s">
        <v>751</v>
      </c>
      <c r="C291" s="538"/>
      <c r="D291" s="538"/>
      <c r="E291" s="538"/>
      <c r="F291" s="538"/>
      <c r="G291" s="567"/>
      <c r="H291" s="568"/>
      <c r="I291" s="540"/>
      <c r="J291" s="569"/>
      <c r="K291" s="541"/>
      <c r="L291" s="542">
        <f>SUM(K289:K290)</f>
        <v>1113111.0294454566</v>
      </c>
      <c r="M291" s="543"/>
      <c r="N291" s="543"/>
      <c r="O291" s="543"/>
      <c r="P291" s="543"/>
      <c r="Q291" s="543"/>
      <c r="R291" s="543"/>
      <c r="S291" s="543"/>
      <c r="T291" s="543"/>
      <c r="U291" s="543"/>
      <c r="V291" s="490"/>
    </row>
    <row r="292" spans="1:24" hidden="1" outlineLevel="1">
      <c r="A292" s="552" t="s">
        <v>753</v>
      </c>
      <c r="B292" s="553" t="s">
        <v>754</v>
      </c>
      <c r="C292" s="553" t="s">
        <v>70</v>
      </c>
      <c r="D292" s="553"/>
      <c r="E292" s="553" t="s">
        <v>76</v>
      </c>
      <c r="F292" s="553" t="s">
        <v>83</v>
      </c>
      <c r="G292" s="554">
        <v>2</v>
      </c>
      <c r="H292" s="555">
        <v>10000</v>
      </c>
      <c r="I292" s="556">
        <v>0</v>
      </c>
      <c r="J292" s="551">
        <f t="shared" ref="J292:J305" si="47">H292*(1+I292)</f>
        <v>10000</v>
      </c>
      <c r="K292" s="309">
        <f t="shared" ref="K292:K305" si="48">J292*G292</f>
        <v>20000</v>
      </c>
      <c r="M292" s="549"/>
      <c r="N292" s="549"/>
      <c r="O292" s="549"/>
      <c r="P292" s="549"/>
      <c r="Q292" s="549"/>
      <c r="R292" s="549"/>
      <c r="S292" s="549"/>
      <c r="T292" s="549"/>
      <c r="U292" s="549"/>
      <c r="V292" s="490"/>
    </row>
    <row r="293" spans="1:24" hidden="1" outlineLevel="1">
      <c r="A293" s="552" t="s">
        <v>755</v>
      </c>
      <c r="B293" s="553" t="s">
        <v>756</v>
      </c>
      <c r="C293" s="553" t="s">
        <v>70</v>
      </c>
      <c r="D293" s="553"/>
      <c r="E293" s="553" t="s">
        <v>87</v>
      </c>
      <c r="F293" s="553"/>
      <c r="G293" s="554"/>
      <c r="H293" s="555"/>
      <c r="I293" s="556">
        <v>0</v>
      </c>
      <c r="J293" s="555">
        <f t="shared" si="47"/>
        <v>0</v>
      </c>
      <c r="K293" s="555">
        <f t="shared" si="48"/>
        <v>0</v>
      </c>
      <c r="M293" s="500"/>
      <c r="N293" s="500"/>
      <c r="O293" s="500"/>
      <c r="P293" s="500"/>
      <c r="Q293" s="500"/>
      <c r="R293" s="500"/>
      <c r="S293" s="500"/>
      <c r="T293" s="500"/>
      <c r="U293" s="500"/>
      <c r="V293" s="490"/>
    </row>
    <row r="294" spans="1:24" hidden="1" outlineLevel="1">
      <c r="A294" s="552" t="s">
        <v>757</v>
      </c>
      <c r="B294" s="553" t="s">
        <v>758</v>
      </c>
      <c r="C294" s="553" t="s">
        <v>70</v>
      </c>
      <c r="D294" s="553"/>
      <c r="E294" s="553" t="s">
        <v>87</v>
      </c>
      <c r="F294" s="553" t="s">
        <v>83</v>
      </c>
      <c r="G294" s="554">
        <v>0</v>
      </c>
      <c r="H294" s="555">
        <v>21000</v>
      </c>
      <c r="I294" s="556">
        <v>0</v>
      </c>
      <c r="J294" s="555">
        <f t="shared" si="47"/>
        <v>21000</v>
      </c>
      <c r="K294" s="555">
        <f t="shared" si="48"/>
        <v>0</v>
      </c>
      <c r="M294" s="500"/>
      <c r="N294" s="500"/>
      <c r="O294" s="500"/>
      <c r="P294" s="500"/>
      <c r="Q294" s="500"/>
      <c r="R294" s="500"/>
      <c r="S294" s="500"/>
      <c r="T294" s="500"/>
      <c r="U294" s="500"/>
      <c r="V294" s="490"/>
    </row>
    <row r="295" spans="1:24" hidden="1" outlineLevel="1">
      <c r="A295" s="552" t="s">
        <v>759</v>
      </c>
      <c r="B295" s="553" t="s">
        <v>760</v>
      </c>
      <c r="C295" s="553" t="s">
        <v>70</v>
      </c>
      <c r="D295" s="553"/>
      <c r="E295" s="553" t="s">
        <v>76</v>
      </c>
      <c r="F295" s="553" t="s">
        <v>83</v>
      </c>
      <c r="G295" s="554">
        <v>1</v>
      </c>
      <c r="H295" s="555">
        <v>20000</v>
      </c>
      <c r="I295" s="556">
        <v>0</v>
      </c>
      <c r="J295" s="555">
        <f t="shared" si="47"/>
        <v>20000</v>
      </c>
      <c r="K295" s="555">
        <f t="shared" si="48"/>
        <v>20000</v>
      </c>
      <c r="M295" s="500"/>
      <c r="N295" s="500"/>
      <c r="O295" s="500"/>
      <c r="P295" s="500"/>
      <c r="Q295" s="500"/>
      <c r="R295" s="500"/>
      <c r="S295" s="500"/>
      <c r="T295" s="500"/>
      <c r="U295" s="500"/>
      <c r="V295" s="490"/>
    </row>
    <row r="296" spans="1:24" hidden="1" outlineLevel="1">
      <c r="A296" s="602" t="s">
        <v>761</v>
      </c>
      <c r="B296" s="553" t="s">
        <v>762</v>
      </c>
      <c r="C296" s="553" t="s">
        <v>70</v>
      </c>
      <c r="D296" s="553"/>
      <c r="E296" s="553" t="s">
        <v>486</v>
      </c>
      <c r="F296" s="553" t="s">
        <v>185</v>
      </c>
      <c r="G296" s="554">
        <f>'Assumptions &amp; Takeoffs'!B17</f>
        <v>1901.9</v>
      </c>
      <c r="H296" s="603">
        <f>47.98</f>
        <v>47.98</v>
      </c>
      <c r="I296" s="556">
        <v>0</v>
      </c>
      <c r="J296" s="555">
        <f t="shared" si="47"/>
        <v>47.98</v>
      </c>
      <c r="K296" s="555">
        <f t="shared" si="48"/>
        <v>91253.161999999997</v>
      </c>
      <c r="M296" s="500"/>
      <c r="N296" s="500"/>
      <c r="O296" s="500"/>
      <c r="P296" s="500"/>
      <c r="Q296" s="500"/>
      <c r="R296" s="500"/>
      <c r="S296" s="500"/>
      <c r="T296" s="500"/>
      <c r="U296" s="500"/>
      <c r="V296" s="490"/>
    </row>
    <row r="297" spans="1:24" hidden="1" outlineLevel="1">
      <c r="A297" s="602" t="s">
        <v>763</v>
      </c>
      <c r="B297" s="553" t="s">
        <v>764</v>
      </c>
      <c r="C297" s="553" t="s">
        <v>70</v>
      </c>
      <c r="D297" s="553"/>
      <c r="E297" s="553" t="s">
        <v>87</v>
      </c>
      <c r="F297" s="553"/>
      <c r="G297" s="554"/>
      <c r="H297" s="555"/>
      <c r="I297" s="556">
        <v>0</v>
      </c>
      <c r="J297" s="555">
        <f t="shared" si="47"/>
        <v>0</v>
      </c>
      <c r="K297" s="555">
        <f t="shared" si="48"/>
        <v>0</v>
      </c>
      <c r="M297" s="500"/>
      <c r="N297" s="500"/>
      <c r="O297" s="500"/>
      <c r="P297" s="500"/>
      <c r="Q297" s="500"/>
      <c r="R297" s="500"/>
      <c r="S297" s="500"/>
      <c r="T297" s="500"/>
      <c r="U297" s="500"/>
      <c r="V297" s="490"/>
      <c r="X297" s="491">
        <f>62000000*0.06</f>
        <v>3720000</v>
      </c>
    </row>
    <row r="298" spans="1:24" hidden="1" outlineLevel="1">
      <c r="A298" s="602" t="s">
        <v>765</v>
      </c>
      <c r="B298" s="553" t="s">
        <v>766</v>
      </c>
      <c r="C298" s="553" t="s">
        <v>70</v>
      </c>
      <c r="D298" s="553"/>
      <c r="E298" s="553" t="s">
        <v>76</v>
      </c>
      <c r="F298" s="553" t="s">
        <v>83</v>
      </c>
      <c r="G298" s="554">
        <v>1</v>
      </c>
      <c r="H298" s="555">
        <v>15000</v>
      </c>
      <c r="I298" s="556">
        <v>0</v>
      </c>
      <c r="J298" s="555">
        <f t="shared" si="47"/>
        <v>15000</v>
      </c>
      <c r="K298" s="555">
        <f t="shared" si="48"/>
        <v>15000</v>
      </c>
      <c r="M298" s="500"/>
      <c r="N298" s="500"/>
      <c r="O298" s="500"/>
      <c r="P298" s="500"/>
      <c r="Q298" s="500"/>
      <c r="R298" s="500"/>
      <c r="S298" s="500"/>
      <c r="T298" s="500"/>
      <c r="U298" s="500"/>
      <c r="V298" s="490"/>
    </row>
    <row r="299" spans="1:24" hidden="1" outlineLevel="1">
      <c r="A299" s="602" t="s">
        <v>767</v>
      </c>
      <c r="B299" s="553" t="s">
        <v>768</v>
      </c>
      <c r="C299" s="553" t="s">
        <v>70</v>
      </c>
      <c r="D299" s="553"/>
      <c r="E299" s="553" t="s">
        <v>769</v>
      </c>
      <c r="F299" s="553" t="s">
        <v>83</v>
      </c>
      <c r="G299" s="554">
        <v>1</v>
      </c>
      <c r="H299" s="555">
        <v>5000</v>
      </c>
      <c r="I299" s="556">
        <v>0</v>
      </c>
      <c r="J299" s="555">
        <f t="shared" si="47"/>
        <v>5000</v>
      </c>
      <c r="K299" s="555">
        <f t="shared" si="48"/>
        <v>5000</v>
      </c>
      <c r="M299" s="500"/>
      <c r="N299" s="500"/>
      <c r="O299" s="500"/>
      <c r="P299" s="500"/>
      <c r="Q299" s="500"/>
      <c r="R299" s="500"/>
      <c r="S299" s="500"/>
      <c r="T299" s="500"/>
      <c r="U299" s="500"/>
      <c r="V299" s="490"/>
    </row>
    <row r="300" spans="1:24" hidden="1" outlineLevel="1">
      <c r="A300" s="602" t="s">
        <v>770</v>
      </c>
      <c r="B300" s="553" t="s">
        <v>771</v>
      </c>
      <c r="C300" s="553" t="s">
        <v>70</v>
      </c>
      <c r="D300" s="553"/>
      <c r="E300" s="553" t="s">
        <v>87</v>
      </c>
      <c r="F300" s="553"/>
      <c r="G300" s="554"/>
      <c r="H300" s="555"/>
      <c r="I300" s="556">
        <v>0</v>
      </c>
      <c r="J300" s="555">
        <f t="shared" si="47"/>
        <v>0</v>
      </c>
      <c r="K300" s="555">
        <f t="shared" si="48"/>
        <v>0</v>
      </c>
      <c r="M300" s="500"/>
      <c r="N300" s="500"/>
      <c r="O300" s="500"/>
      <c r="P300" s="500"/>
      <c r="Q300" s="500"/>
      <c r="R300" s="500"/>
      <c r="S300" s="500"/>
      <c r="T300" s="500"/>
      <c r="U300" s="500"/>
      <c r="V300" s="490"/>
    </row>
    <row r="301" spans="1:24" hidden="1" outlineLevel="1">
      <c r="A301" s="552" t="s">
        <v>772</v>
      </c>
      <c r="B301" s="553" t="s">
        <v>773</v>
      </c>
      <c r="C301" s="553" t="s">
        <v>70</v>
      </c>
      <c r="D301" s="553"/>
      <c r="E301" s="553" t="s">
        <v>76</v>
      </c>
      <c r="F301" s="553" t="s">
        <v>83</v>
      </c>
      <c r="G301" s="554">
        <v>1</v>
      </c>
      <c r="H301" s="555">
        <v>700000</v>
      </c>
      <c r="I301" s="556">
        <v>0</v>
      </c>
      <c r="J301" s="555">
        <f t="shared" si="47"/>
        <v>700000</v>
      </c>
      <c r="K301" s="555">
        <f t="shared" si="48"/>
        <v>700000</v>
      </c>
      <c r="M301" s="500" t="s">
        <v>774</v>
      </c>
      <c r="N301" s="500"/>
      <c r="O301" s="500"/>
      <c r="P301" s="500"/>
      <c r="Q301" s="500"/>
      <c r="R301" s="500"/>
      <c r="S301" s="500"/>
      <c r="T301" s="500"/>
      <c r="U301" s="500"/>
      <c r="V301" s="490"/>
    </row>
    <row r="302" spans="1:24" hidden="1" outlineLevel="1">
      <c r="A302" s="552" t="s">
        <v>222</v>
      </c>
      <c r="B302" s="553" t="s">
        <v>775</v>
      </c>
      <c r="C302" s="553" t="s">
        <v>70</v>
      </c>
      <c r="D302" s="553"/>
      <c r="E302" s="553" t="s">
        <v>673</v>
      </c>
      <c r="F302" s="553" t="s">
        <v>83</v>
      </c>
      <c r="G302" s="554">
        <v>3</v>
      </c>
      <c r="H302" s="555">
        <v>100000</v>
      </c>
      <c r="I302" s="556">
        <v>0</v>
      </c>
      <c r="J302" s="555">
        <f t="shared" si="47"/>
        <v>100000</v>
      </c>
      <c r="K302" s="555">
        <f t="shared" si="48"/>
        <v>300000</v>
      </c>
      <c r="M302" s="500" t="s">
        <v>774</v>
      </c>
      <c r="N302" s="500"/>
      <c r="O302" s="500"/>
      <c r="P302" s="500"/>
      <c r="Q302" s="500"/>
      <c r="R302" s="500"/>
      <c r="S302" s="500"/>
      <c r="T302" s="500"/>
      <c r="U302" s="500"/>
      <c r="V302" s="490"/>
    </row>
    <row r="303" spans="1:24" hidden="1" outlineLevel="1">
      <c r="A303" s="602" t="s">
        <v>776</v>
      </c>
      <c r="B303" s="553" t="s">
        <v>564</v>
      </c>
      <c r="C303" s="553" t="s">
        <v>70</v>
      </c>
      <c r="D303" s="553"/>
      <c r="E303" s="553" t="s">
        <v>76</v>
      </c>
      <c r="F303" s="553" t="s">
        <v>83</v>
      </c>
      <c r="G303" s="554">
        <v>1</v>
      </c>
      <c r="H303" s="555">
        <v>25000</v>
      </c>
      <c r="I303" s="556">
        <v>0</v>
      </c>
      <c r="J303" s="555">
        <f t="shared" si="47"/>
        <v>25000</v>
      </c>
      <c r="K303" s="555">
        <f t="shared" si="48"/>
        <v>25000</v>
      </c>
      <c r="M303" s="500"/>
      <c r="N303" s="500"/>
      <c r="O303" s="500"/>
      <c r="P303" s="500"/>
      <c r="Q303" s="500"/>
      <c r="R303" s="500"/>
      <c r="S303" s="500"/>
      <c r="T303" s="500"/>
      <c r="U303" s="500"/>
      <c r="V303" s="490"/>
    </row>
    <row r="304" spans="1:24" hidden="1" outlineLevel="1">
      <c r="A304" s="602" t="s">
        <v>777</v>
      </c>
      <c r="B304" s="553" t="s">
        <v>778</v>
      </c>
      <c r="C304" s="553" t="s">
        <v>70</v>
      </c>
      <c r="D304" s="553"/>
      <c r="E304" s="553" t="s">
        <v>76</v>
      </c>
      <c r="F304" s="553" t="s">
        <v>83</v>
      </c>
      <c r="G304" s="554">
        <v>1</v>
      </c>
      <c r="H304" s="555">
        <v>2500</v>
      </c>
      <c r="I304" s="556">
        <v>0</v>
      </c>
      <c r="J304" s="555">
        <f t="shared" si="47"/>
        <v>2500</v>
      </c>
      <c r="K304" s="555">
        <f t="shared" si="48"/>
        <v>2500</v>
      </c>
      <c r="M304" s="500"/>
      <c r="N304" s="500"/>
      <c r="O304" s="500"/>
      <c r="P304" s="500"/>
      <c r="Q304" s="500"/>
      <c r="R304" s="500"/>
      <c r="S304" s="500"/>
      <c r="T304" s="500"/>
      <c r="U304" s="500"/>
      <c r="V304" s="490"/>
    </row>
    <row r="305" spans="1:22" hidden="1" outlineLevel="1">
      <c r="A305" s="552" t="s">
        <v>779</v>
      </c>
      <c r="B305" s="553" t="s">
        <v>780</v>
      </c>
      <c r="C305" s="553" t="s">
        <v>70</v>
      </c>
      <c r="D305" s="553"/>
      <c r="E305" s="553" t="s">
        <v>76</v>
      </c>
      <c r="F305" s="553" t="s">
        <v>83</v>
      </c>
      <c r="G305" s="554">
        <v>2</v>
      </c>
      <c r="H305" s="555">
        <v>1500</v>
      </c>
      <c r="I305" s="556">
        <v>0</v>
      </c>
      <c r="J305" s="551">
        <f t="shared" si="47"/>
        <v>1500</v>
      </c>
      <c r="K305" s="309">
        <f t="shared" si="48"/>
        <v>3000</v>
      </c>
      <c r="M305" s="500"/>
      <c r="N305" s="500"/>
      <c r="O305" s="500"/>
      <c r="P305" s="500"/>
      <c r="Q305" s="500"/>
      <c r="R305" s="500"/>
      <c r="S305" s="500"/>
      <c r="T305" s="500"/>
      <c r="U305" s="500"/>
      <c r="V305" s="490"/>
    </row>
    <row r="306" spans="1:22" collapsed="1">
      <c r="A306" s="537" t="s">
        <v>781</v>
      </c>
      <c r="B306" s="538" t="s">
        <v>782</v>
      </c>
      <c r="C306" s="538"/>
      <c r="D306" s="538"/>
      <c r="E306" s="538"/>
      <c r="F306" s="538"/>
      <c r="G306" s="567"/>
      <c r="H306" s="568"/>
      <c r="I306" s="540"/>
      <c r="J306" s="569"/>
      <c r="K306" s="541"/>
      <c r="L306" s="542">
        <f>SUM(K292:K305)</f>
        <v>1181753.162</v>
      </c>
      <c r="M306" s="543"/>
      <c r="N306" s="543"/>
      <c r="O306" s="543"/>
      <c r="P306" s="543"/>
      <c r="Q306" s="543"/>
      <c r="R306" s="543"/>
      <c r="S306" s="543"/>
      <c r="T306" s="543"/>
      <c r="U306" s="543"/>
      <c r="V306" s="490"/>
    </row>
    <row r="307" spans="1:22" hidden="1" outlineLevel="1">
      <c r="A307" s="552" t="s">
        <v>783</v>
      </c>
      <c r="B307" s="553" t="s">
        <v>784</v>
      </c>
      <c r="C307" s="553"/>
      <c r="D307" s="553"/>
      <c r="E307" s="553"/>
      <c r="F307" s="553"/>
      <c r="G307" s="556">
        <v>0.05</v>
      </c>
      <c r="H307" s="565"/>
      <c r="I307" s="556"/>
      <c r="J307" s="566"/>
      <c r="K307" s="309">
        <f>(SUM(K16:K305)-K290)*G307</f>
        <v>2782777.5736136418</v>
      </c>
      <c r="M307" s="549"/>
      <c r="N307" s="549"/>
      <c r="O307" s="549"/>
      <c r="P307" s="549"/>
      <c r="Q307" s="549"/>
      <c r="R307" s="549"/>
      <c r="S307" s="549"/>
      <c r="T307" s="549"/>
      <c r="U307" s="549"/>
      <c r="V307" s="490"/>
    </row>
    <row r="308" spans="1:22" collapsed="1">
      <c r="A308" s="537" t="s">
        <v>783</v>
      </c>
      <c r="B308" s="538" t="s">
        <v>785</v>
      </c>
      <c r="C308" s="538"/>
      <c r="D308" s="538"/>
      <c r="E308" s="538"/>
      <c r="F308" s="538"/>
      <c r="G308" s="567"/>
      <c r="H308" s="568"/>
      <c r="I308" s="540"/>
      <c r="J308" s="568"/>
      <c r="K308" s="539"/>
      <c r="L308" s="542">
        <f>K307</f>
        <v>2782777.5736136418</v>
      </c>
      <c r="M308" s="543"/>
      <c r="N308" s="543"/>
      <c r="O308" s="543"/>
      <c r="P308" s="543"/>
      <c r="Q308" s="543"/>
      <c r="R308" s="543"/>
      <c r="S308" s="543"/>
      <c r="T308" s="543"/>
      <c r="U308" s="543"/>
      <c r="V308" s="490"/>
    </row>
    <row r="309" spans="1:22" hidden="1" outlineLevel="1">
      <c r="A309" s="544" t="s">
        <v>786</v>
      </c>
      <c r="B309" s="545" t="s">
        <v>787</v>
      </c>
      <c r="C309" s="545" t="s">
        <v>788</v>
      </c>
      <c r="D309" s="545"/>
      <c r="E309" s="545"/>
      <c r="F309" s="545"/>
      <c r="G309" s="604">
        <v>1.7000000000000001E-2</v>
      </c>
      <c r="H309" s="550"/>
      <c r="I309" s="548"/>
      <c r="J309" s="572"/>
      <c r="K309" s="309">
        <f>G309*SUM(K16:K287,K292:K305)</f>
        <v>946144.37502863817</v>
      </c>
      <c r="M309" s="549"/>
      <c r="N309" s="549"/>
      <c r="O309" s="549"/>
      <c r="P309" s="549"/>
      <c r="Q309" s="549"/>
      <c r="R309" s="549"/>
      <c r="S309" s="549"/>
      <c r="T309" s="549"/>
      <c r="U309" s="549"/>
      <c r="V309" s="490"/>
    </row>
    <row r="310" spans="1:22" collapsed="1">
      <c r="A310" s="537" t="s">
        <v>786</v>
      </c>
      <c r="B310" s="538" t="s">
        <v>789</v>
      </c>
      <c r="C310" s="538"/>
      <c r="D310" s="538"/>
      <c r="E310" s="538"/>
      <c r="F310" s="538"/>
      <c r="G310" s="567"/>
      <c r="H310" s="568"/>
      <c r="I310" s="540"/>
      <c r="J310" s="569"/>
      <c r="K310" s="541"/>
      <c r="L310" s="542">
        <f>SUM(K309)</f>
        <v>946144.37502863817</v>
      </c>
      <c r="M310" s="543"/>
      <c r="N310" s="543"/>
      <c r="O310" s="543"/>
      <c r="P310" s="543"/>
      <c r="Q310" s="543"/>
      <c r="R310" s="543"/>
      <c r="S310" s="543"/>
      <c r="T310" s="543"/>
      <c r="U310" s="543"/>
      <c r="V310" s="490"/>
    </row>
    <row r="311" spans="1:22" hidden="1" outlineLevel="1">
      <c r="A311" s="552" t="s">
        <v>790</v>
      </c>
      <c r="B311" s="553" t="s">
        <v>791</v>
      </c>
      <c r="C311" s="553"/>
      <c r="D311" s="553"/>
      <c r="E311" s="553"/>
      <c r="F311" s="553" t="s">
        <v>792</v>
      </c>
      <c r="G311" s="605">
        <v>5</v>
      </c>
      <c r="H311" s="565"/>
      <c r="I311" s="556"/>
      <c r="J311" s="566"/>
      <c r="K311" s="309">
        <f>(SUM(K16:K288,K292:K306)+6500000)/1000*G311</f>
        <v>310777.75736136414</v>
      </c>
      <c r="M311" s="549"/>
      <c r="N311" s="549"/>
      <c r="O311" s="549"/>
      <c r="P311" s="549"/>
      <c r="Q311" s="549"/>
      <c r="R311" s="549"/>
      <c r="S311" s="549"/>
      <c r="T311" s="549"/>
      <c r="U311" s="549"/>
      <c r="V311" s="490"/>
    </row>
    <row r="312" spans="1:22" hidden="1" outlineLevel="1">
      <c r="A312" s="602" t="s">
        <v>793</v>
      </c>
      <c r="B312" s="553" t="s">
        <v>791</v>
      </c>
      <c r="C312" s="553"/>
      <c r="D312" s="553"/>
      <c r="E312" s="553"/>
      <c r="F312" s="553" t="s">
        <v>794</v>
      </c>
      <c r="G312" s="556">
        <v>0.05</v>
      </c>
      <c r="H312" s="565"/>
      <c r="I312" s="556"/>
      <c r="J312" s="565"/>
      <c r="K312" s="555">
        <f>K311*G312</f>
        <v>15538.887868068208</v>
      </c>
      <c r="M312" s="500"/>
      <c r="N312" s="500"/>
      <c r="O312" s="500"/>
      <c r="P312" s="500"/>
      <c r="Q312" s="500"/>
      <c r="R312" s="500"/>
      <c r="S312" s="500"/>
      <c r="T312" s="500"/>
      <c r="U312" s="500"/>
      <c r="V312" s="490"/>
    </row>
    <row r="313" spans="1:22" hidden="1" outlineLevel="1">
      <c r="A313" s="552" t="s">
        <v>795</v>
      </c>
      <c r="B313" s="553" t="s">
        <v>791</v>
      </c>
      <c r="C313" s="553"/>
      <c r="D313" s="553"/>
      <c r="E313" s="553"/>
      <c r="F313" s="553" t="s">
        <v>796</v>
      </c>
      <c r="G313" s="554">
        <v>0.95</v>
      </c>
      <c r="H313" s="565"/>
      <c r="I313" s="556"/>
      <c r="J313" s="566"/>
      <c r="K313" s="309">
        <f>K311*G313</f>
        <v>295238.8694932959</v>
      </c>
      <c r="M313" s="500"/>
      <c r="N313" s="500"/>
      <c r="O313" s="500"/>
      <c r="P313" s="500"/>
      <c r="Q313" s="500"/>
      <c r="R313" s="500"/>
      <c r="S313" s="500"/>
      <c r="T313" s="500"/>
      <c r="U313" s="500"/>
      <c r="V313" s="490"/>
    </row>
    <row r="314" spans="1:22" collapsed="1">
      <c r="A314" s="537" t="s">
        <v>797</v>
      </c>
      <c r="B314" s="538" t="s">
        <v>789</v>
      </c>
      <c r="C314" s="538"/>
      <c r="D314" s="538"/>
      <c r="E314" s="538"/>
      <c r="F314" s="538"/>
      <c r="G314" s="567"/>
      <c r="H314" s="568"/>
      <c r="I314" s="540"/>
      <c r="J314" s="569"/>
      <c r="K314" s="541"/>
      <c r="L314" s="542">
        <f>SUM(K311:K313)</f>
        <v>621555.51472272817</v>
      </c>
      <c r="M314" s="543"/>
      <c r="N314" s="543"/>
      <c r="O314" s="543"/>
      <c r="P314" s="543"/>
      <c r="Q314" s="543"/>
      <c r="R314" s="543"/>
      <c r="S314" s="543"/>
      <c r="T314" s="543"/>
      <c r="U314" s="543"/>
      <c r="V314" s="490"/>
    </row>
    <row r="315" spans="1:22" hidden="1" outlineLevel="1">
      <c r="A315" s="552" t="s">
        <v>798</v>
      </c>
      <c r="B315" s="553" t="s">
        <v>799</v>
      </c>
      <c r="C315" s="553"/>
      <c r="D315" s="553"/>
      <c r="E315" s="553"/>
      <c r="F315" s="553"/>
      <c r="G315" s="606">
        <v>0.02</v>
      </c>
      <c r="H315" s="565"/>
      <c r="I315" s="556"/>
      <c r="J315" s="566"/>
      <c r="K315" s="309">
        <v>1112938.6699982199</v>
      </c>
      <c r="M315" s="549"/>
      <c r="N315" s="549"/>
      <c r="O315" s="549"/>
      <c r="P315" s="549"/>
      <c r="Q315" s="549"/>
      <c r="R315" s="549"/>
      <c r="S315" s="549"/>
      <c r="T315" s="549"/>
      <c r="U315" s="549"/>
      <c r="V315" s="490"/>
    </row>
    <row r="316" spans="1:22" hidden="1" outlineLevel="1">
      <c r="A316" s="552" t="s">
        <v>800</v>
      </c>
      <c r="B316" s="553" t="s">
        <v>799</v>
      </c>
      <c r="C316" s="553"/>
      <c r="D316" s="553"/>
      <c r="E316" s="553"/>
      <c r="F316" s="553"/>
      <c r="G316" s="606">
        <v>0.06</v>
      </c>
      <c r="H316" s="565"/>
      <c r="I316" s="556"/>
      <c r="J316" s="566"/>
      <c r="K316" s="309">
        <v>3338816.0099946638</v>
      </c>
      <c r="M316" s="500"/>
      <c r="N316" s="500"/>
      <c r="O316" s="500"/>
      <c r="P316" s="500"/>
      <c r="Q316" s="500"/>
      <c r="R316" s="500"/>
      <c r="S316" s="500"/>
      <c r="T316" s="500"/>
      <c r="U316" s="500"/>
      <c r="V316" s="490"/>
    </row>
    <row r="317" spans="1:22" collapsed="1">
      <c r="A317" s="537" t="s">
        <v>801</v>
      </c>
      <c r="B317" s="538" t="s">
        <v>799</v>
      </c>
      <c r="C317" s="538"/>
      <c r="D317" s="538"/>
      <c r="E317" s="538"/>
      <c r="F317" s="538"/>
      <c r="G317" s="567"/>
      <c r="H317" s="568"/>
      <c r="I317" s="540"/>
      <c r="J317" s="569"/>
      <c r="K317" s="541"/>
      <c r="L317" s="542">
        <f>SUM(K315:K316)</f>
        <v>4451754.6799928835</v>
      </c>
      <c r="M317" s="543"/>
      <c r="N317" s="543"/>
      <c r="O317" s="543"/>
      <c r="P317" s="543"/>
      <c r="Q317" s="543"/>
      <c r="R317" s="543"/>
      <c r="S317" s="543"/>
      <c r="T317" s="543"/>
      <c r="U317" s="543"/>
      <c r="V317" s="490"/>
    </row>
    <row r="318" spans="1:22">
      <c r="A318" s="524"/>
      <c r="G318" s="607"/>
      <c r="H318" s="600"/>
      <c r="I318" s="608"/>
      <c r="J318" s="600"/>
      <c r="K318" s="576"/>
      <c r="L318" s="609"/>
      <c r="V318" s="490"/>
    </row>
    <row r="319" spans="1:22" ht="15.75" thickBot="1">
      <c r="A319" s="610" t="s">
        <v>802</v>
      </c>
      <c r="B319" s="611"/>
      <c r="C319" s="611"/>
      <c r="D319" s="611"/>
      <c r="E319" s="611"/>
      <c r="F319" s="611"/>
      <c r="G319" s="611"/>
      <c r="H319" s="612"/>
      <c r="I319" s="613"/>
      <c r="J319" s="614"/>
      <c r="K319" s="614"/>
      <c r="L319" s="615">
        <f>SUM(L14:L318)</f>
        <v>68910227.733412534</v>
      </c>
      <c r="M319" s="616"/>
      <c r="N319" s="616"/>
      <c r="O319" s="616"/>
      <c r="P319" s="616"/>
      <c r="Q319" s="616"/>
      <c r="R319" s="616"/>
      <c r="S319" s="616"/>
      <c r="T319" s="616"/>
      <c r="U319" s="616"/>
      <c r="V319" s="490"/>
    </row>
    <row r="320" spans="1:22" ht="15.75" thickBot="1">
      <c r="G320" s="490"/>
      <c r="H320" s="490"/>
      <c r="I320" s="617"/>
      <c r="L320" s="618">
        <f>SUM(K14:K319)-L319</f>
        <v>0</v>
      </c>
      <c r="M320" s="618"/>
    </row>
    <row r="321" spans="1:43">
      <c r="A321" s="619" t="s">
        <v>72</v>
      </c>
      <c r="B321" s="505" t="s">
        <v>69</v>
      </c>
      <c r="C321" s="505"/>
      <c r="D321" s="505"/>
      <c r="E321" s="620">
        <f t="shared" ref="E321:E356" si="49">_xlfn.XLOOKUP(A321,$A$14:$A$319,$L$14:$L$319)</f>
        <v>3339333.08833637</v>
      </c>
      <c r="L321" s="618"/>
      <c r="N321" s="621" t="s">
        <v>803</v>
      </c>
      <c r="O321" s="503"/>
    </row>
    <row r="322" spans="1:43">
      <c r="A322" s="622" t="s">
        <v>77</v>
      </c>
      <c r="B322" s="497" t="s">
        <v>78</v>
      </c>
      <c r="C322" s="497"/>
      <c r="D322" s="497"/>
      <c r="E322" s="623">
        <f t="shared" si="49"/>
        <v>16000</v>
      </c>
      <c r="N322" s="624">
        <f>SUM(K292:K305,K16:K287)</f>
        <v>55655551.472272828</v>
      </c>
      <c r="O322" s="508"/>
    </row>
    <row r="323" spans="1:43">
      <c r="A323" s="622" t="s">
        <v>121</v>
      </c>
      <c r="B323" s="497" t="s">
        <v>122</v>
      </c>
      <c r="C323" s="497"/>
      <c r="D323" s="497"/>
      <c r="E323" s="623">
        <f t="shared" si="49"/>
        <v>2584839</v>
      </c>
      <c r="N323" s="624">
        <f>N322*0.06</f>
        <v>3339333.0883363695</v>
      </c>
      <c r="O323" s="625">
        <f>N322*0.05</f>
        <v>2782777.5736136418</v>
      </c>
    </row>
    <row r="324" spans="1:43" ht="15.75" thickBot="1">
      <c r="A324" s="622" t="s">
        <v>804</v>
      </c>
      <c r="B324" s="497" t="s">
        <v>805</v>
      </c>
      <c r="C324" s="497"/>
      <c r="D324" s="497"/>
      <c r="E324" s="623" t="e">
        <f>_xlfn.XLOOKUP(A324,$A$14:$A$319,$L$14:$L$319)</f>
        <v>#N/A</v>
      </c>
      <c r="N324" s="626">
        <f>N323/B6</f>
        <v>139138.87868068207</v>
      </c>
      <c r="O324" s="627"/>
    </row>
    <row r="325" spans="1:43">
      <c r="A325" s="622" t="s">
        <v>146</v>
      </c>
      <c r="B325" s="497" t="s">
        <v>147</v>
      </c>
      <c r="C325" s="497"/>
      <c r="D325" s="497"/>
      <c r="E325" s="623">
        <f t="shared" si="49"/>
        <v>128000</v>
      </c>
    </row>
    <row r="326" spans="1:43" s="490" customFormat="1">
      <c r="A326" s="622" t="s">
        <v>175</v>
      </c>
      <c r="B326" s="497" t="s">
        <v>176</v>
      </c>
      <c r="C326" s="497"/>
      <c r="D326" s="497"/>
      <c r="E326" s="623">
        <f t="shared" si="49"/>
        <v>420022.5</v>
      </c>
      <c r="G326" s="491"/>
      <c r="H326" s="491"/>
      <c r="I326" s="491"/>
      <c r="J326" s="491"/>
      <c r="K326" s="491"/>
      <c r="L326" s="491"/>
      <c r="M326" s="491"/>
      <c r="N326" s="491"/>
      <c r="O326" s="491"/>
      <c r="P326" s="491"/>
      <c r="Q326" s="491"/>
      <c r="R326" s="491"/>
      <c r="S326" s="491"/>
      <c r="T326" s="491"/>
      <c r="U326" s="491"/>
      <c r="V326" s="491"/>
      <c r="W326" s="491"/>
      <c r="X326" s="491"/>
      <c r="Y326" s="491"/>
      <c r="Z326" s="491"/>
      <c r="AA326" s="491"/>
      <c r="AB326" s="491"/>
      <c r="AC326" s="491"/>
      <c r="AD326" s="491"/>
      <c r="AE326" s="491"/>
      <c r="AF326" s="491"/>
      <c r="AG326" s="491"/>
      <c r="AH326" s="491"/>
      <c r="AI326" s="491"/>
      <c r="AJ326" s="491"/>
      <c r="AK326" s="491"/>
      <c r="AL326" s="491"/>
      <c r="AM326" s="491"/>
      <c r="AN326" s="491"/>
      <c r="AO326" s="491"/>
      <c r="AP326" s="491"/>
      <c r="AQ326" s="491"/>
    </row>
    <row r="327" spans="1:43" s="490" customFormat="1">
      <c r="A327" s="622" t="s">
        <v>220</v>
      </c>
      <c r="B327" s="497" t="s">
        <v>221</v>
      </c>
      <c r="C327" s="497"/>
      <c r="D327" s="497"/>
      <c r="E327" s="623">
        <f t="shared" si="49"/>
        <v>8149008.4910203582</v>
      </c>
      <c r="G327" s="491"/>
      <c r="H327" s="491"/>
      <c r="I327" s="491"/>
      <c r="J327" s="491"/>
      <c r="K327" s="491"/>
      <c r="L327" s="491"/>
      <c r="M327" s="491"/>
      <c r="N327" s="628"/>
      <c r="O327" s="491"/>
      <c r="P327" s="491"/>
      <c r="Q327" s="491"/>
      <c r="R327" s="491"/>
      <c r="S327" s="491"/>
      <c r="T327" s="491"/>
      <c r="U327" s="491"/>
      <c r="V327" s="491"/>
      <c r="W327" s="491"/>
      <c r="X327" s="491"/>
      <c r="Y327" s="491"/>
      <c r="Z327" s="491"/>
      <c r="AA327" s="491"/>
      <c r="AB327" s="491"/>
      <c r="AC327" s="491"/>
      <c r="AD327" s="491"/>
      <c r="AE327" s="491"/>
      <c r="AF327" s="491"/>
      <c r="AG327" s="491"/>
      <c r="AH327" s="491"/>
      <c r="AI327" s="491"/>
      <c r="AJ327" s="491"/>
      <c r="AK327" s="491"/>
      <c r="AL327" s="491"/>
      <c r="AM327" s="491"/>
      <c r="AN327" s="491"/>
      <c r="AO327" s="491"/>
      <c r="AP327" s="491"/>
      <c r="AQ327" s="491"/>
    </row>
    <row r="328" spans="1:43" s="490" customFormat="1">
      <c r="A328" s="622" t="s">
        <v>267</v>
      </c>
      <c r="B328" s="497" t="s">
        <v>268</v>
      </c>
      <c r="C328" s="497"/>
      <c r="D328" s="497"/>
      <c r="E328" s="623">
        <f t="shared" si="49"/>
        <v>2021174.23</v>
      </c>
      <c r="G328" s="491"/>
      <c r="H328" s="491"/>
      <c r="I328" s="491"/>
      <c r="J328" s="491"/>
      <c r="K328" s="491"/>
      <c r="L328" s="491"/>
      <c r="M328" s="491"/>
      <c r="N328" s="491"/>
      <c r="O328" s="491"/>
      <c r="P328" s="491"/>
      <c r="Q328" s="491"/>
      <c r="R328" s="491"/>
      <c r="S328" s="491"/>
      <c r="T328" s="491"/>
      <c r="U328" s="491"/>
      <c r="V328" s="491"/>
      <c r="W328" s="491"/>
      <c r="X328" s="491"/>
      <c r="Y328" s="491"/>
      <c r="Z328" s="491"/>
      <c r="AA328" s="491"/>
      <c r="AB328" s="491"/>
      <c r="AC328" s="491"/>
      <c r="AD328" s="491"/>
      <c r="AE328" s="491"/>
      <c r="AF328" s="491"/>
      <c r="AG328" s="491"/>
      <c r="AH328" s="491"/>
      <c r="AI328" s="491"/>
      <c r="AJ328" s="491"/>
      <c r="AK328" s="491"/>
      <c r="AL328" s="491"/>
      <c r="AM328" s="491"/>
      <c r="AN328" s="491"/>
      <c r="AO328" s="491"/>
      <c r="AP328" s="491"/>
      <c r="AQ328" s="491"/>
    </row>
    <row r="329" spans="1:43" s="490" customFormat="1">
      <c r="A329" s="622" t="s">
        <v>297</v>
      </c>
      <c r="B329" s="497" t="s">
        <v>298</v>
      </c>
      <c r="C329" s="497"/>
      <c r="D329" s="497"/>
      <c r="E329" s="623">
        <f t="shared" si="49"/>
        <v>642899.0692307693</v>
      </c>
      <c r="G329" s="491"/>
      <c r="H329" s="491"/>
      <c r="I329" s="491"/>
      <c r="J329" s="491"/>
      <c r="K329" s="491"/>
      <c r="L329" s="491"/>
      <c r="M329" s="491"/>
      <c r="N329" s="628"/>
      <c r="O329" s="491"/>
      <c r="P329" s="491"/>
      <c r="Q329" s="491"/>
      <c r="R329" s="491"/>
      <c r="S329" s="491"/>
      <c r="T329" s="491"/>
      <c r="U329" s="491"/>
      <c r="V329" s="491"/>
      <c r="W329" s="491"/>
      <c r="X329" s="491"/>
      <c r="Y329" s="491"/>
      <c r="Z329" s="491"/>
      <c r="AA329" s="491"/>
      <c r="AB329" s="491"/>
      <c r="AC329" s="491"/>
      <c r="AD329" s="491"/>
      <c r="AE329" s="491"/>
      <c r="AF329" s="491"/>
      <c r="AG329" s="491"/>
      <c r="AH329" s="491"/>
      <c r="AI329" s="491"/>
      <c r="AJ329" s="491"/>
      <c r="AK329" s="491"/>
      <c r="AL329" s="491"/>
      <c r="AM329" s="491"/>
      <c r="AN329" s="491"/>
      <c r="AO329" s="491"/>
      <c r="AP329" s="491"/>
      <c r="AQ329" s="491"/>
    </row>
    <row r="330" spans="1:43" s="490" customFormat="1">
      <c r="A330" s="622" t="s">
        <v>391</v>
      </c>
      <c r="B330" s="497" t="s">
        <v>392</v>
      </c>
      <c r="C330" s="497"/>
      <c r="D330" s="497"/>
      <c r="E330" s="623">
        <f t="shared" si="49"/>
        <v>5743722.358980895</v>
      </c>
      <c r="G330" s="491"/>
      <c r="H330" s="491"/>
      <c r="I330" s="491"/>
      <c r="J330" s="491"/>
      <c r="K330" s="491"/>
      <c r="L330" s="491"/>
      <c r="M330" s="491"/>
      <c r="N330" s="491"/>
      <c r="O330" s="491"/>
      <c r="P330" s="491"/>
      <c r="Q330" s="491"/>
      <c r="R330" s="491"/>
      <c r="S330" s="491"/>
      <c r="T330" s="491"/>
      <c r="U330" s="491"/>
      <c r="V330" s="491"/>
      <c r="W330" s="491"/>
      <c r="X330" s="491"/>
      <c r="Y330" s="491"/>
      <c r="Z330" s="491"/>
      <c r="AA330" s="491"/>
      <c r="AB330" s="491"/>
      <c r="AC330" s="491"/>
      <c r="AD330" s="491"/>
      <c r="AE330" s="491"/>
      <c r="AF330" s="491"/>
      <c r="AG330" s="491"/>
      <c r="AH330" s="491"/>
      <c r="AI330" s="491"/>
      <c r="AJ330" s="491"/>
      <c r="AK330" s="491"/>
      <c r="AL330" s="491"/>
      <c r="AM330" s="491"/>
      <c r="AN330" s="491"/>
      <c r="AO330" s="491"/>
      <c r="AP330" s="491"/>
      <c r="AQ330" s="491"/>
    </row>
    <row r="331" spans="1:43" s="490" customFormat="1">
      <c r="A331" s="622" t="s">
        <v>431</v>
      </c>
      <c r="B331" s="497" t="s">
        <v>432</v>
      </c>
      <c r="C331" s="497"/>
      <c r="D331" s="497"/>
      <c r="E331" s="623">
        <f t="shared" si="49"/>
        <v>525785</v>
      </c>
      <c r="G331" s="491"/>
      <c r="H331" s="491"/>
      <c r="I331" s="491"/>
      <c r="J331" s="491"/>
      <c r="K331" s="491"/>
      <c r="L331" s="491"/>
      <c r="M331" s="491"/>
      <c r="N331" s="491"/>
      <c r="O331" s="491"/>
      <c r="P331" s="491"/>
      <c r="Q331" s="491"/>
      <c r="R331" s="491"/>
      <c r="S331" s="491"/>
      <c r="T331" s="491"/>
      <c r="U331" s="491"/>
      <c r="V331" s="491"/>
      <c r="W331" s="491"/>
      <c r="X331" s="491"/>
      <c r="Y331" s="491"/>
      <c r="Z331" s="491"/>
      <c r="AA331" s="491"/>
      <c r="AB331" s="491"/>
      <c r="AC331" s="491"/>
      <c r="AD331" s="491"/>
      <c r="AE331" s="491"/>
      <c r="AF331" s="491"/>
      <c r="AG331" s="491"/>
      <c r="AH331" s="491"/>
      <c r="AI331" s="491"/>
      <c r="AJ331" s="491"/>
      <c r="AK331" s="491"/>
      <c r="AL331" s="491"/>
      <c r="AM331" s="491"/>
      <c r="AN331" s="491"/>
      <c r="AO331" s="491"/>
      <c r="AP331" s="491"/>
      <c r="AQ331" s="491"/>
    </row>
    <row r="332" spans="1:43" s="490" customFormat="1">
      <c r="A332" s="629" t="s">
        <v>440</v>
      </c>
      <c r="B332" s="515" t="s">
        <v>441</v>
      </c>
      <c r="C332" s="515"/>
      <c r="D332" s="515"/>
      <c r="E332" s="630">
        <f t="shared" si="49"/>
        <v>1367897.8158665223</v>
      </c>
      <c r="G332" s="491"/>
      <c r="H332" s="491"/>
      <c r="I332" s="491"/>
      <c r="J332" s="491"/>
      <c r="K332" s="491"/>
      <c r="L332" s="491"/>
      <c r="M332" s="491"/>
      <c r="N332" s="491"/>
      <c r="O332" s="491"/>
      <c r="P332" s="491"/>
      <c r="Q332" s="491"/>
      <c r="R332" s="491"/>
      <c r="S332" s="491"/>
      <c r="T332" s="491"/>
      <c r="U332" s="491"/>
      <c r="V332" s="491"/>
      <c r="W332" s="491"/>
      <c r="X332" s="491"/>
      <c r="Y332" s="491"/>
      <c r="Z332" s="491"/>
      <c r="AA332" s="491"/>
      <c r="AB332" s="491"/>
      <c r="AC332" s="491"/>
      <c r="AD332" s="491"/>
      <c r="AE332" s="491"/>
      <c r="AF332" s="491"/>
      <c r="AG332" s="491"/>
      <c r="AH332" s="491"/>
      <c r="AI332" s="491"/>
      <c r="AJ332" s="491"/>
      <c r="AK332" s="491"/>
      <c r="AL332" s="491"/>
      <c r="AM332" s="491"/>
      <c r="AN332" s="491"/>
      <c r="AO332" s="491"/>
      <c r="AP332" s="491"/>
      <c r="AQ332" s="491"/>
    </row>
    <row r="333" spans="1:43" s="490" customFormat="1">
      <c r="A333" s="619" t="s">
        <v>476</v>
      </c>
      <c r="B333" s="505" t="s">
        <v>477</v>
      </c>
      <c r="C333" s="505"/>
      <c r="D333" s="505"/>
      <c r="E333" s="620">
        <f t="shared" si="49"/>
        <v>1944227.9175257732</v>
      </c>
      <c r="G333" s="491"/>
      <c r="H333" s="491"/>
      <c r="I333" s="491"/>
      <c r="J333" s="491"/>
      <c r="K333" s="491"/>
      <c r="L333" s="491"/>
      <c r="M333" s="491"/>
      <c r="N333" s="491"/>
      <c r="O333" s="491"/>
      <c r="P333" s="491"/>
      <c r="Q333" s="491"/>
      <c r="R333" s="491"/>
      <c r="S333" s="491"/>
      <c r="T333" s="491"/>
      <c r="U333" s="491"/>
      <c r="V333" s="491"/>
      <c r="W333" s="491"/>
      <c r="X333" s="491"/>
      <c r="Y333" s="491"/>
      <c r="Z333" s="491"/>
      <c r="AA333" s="491"/>
      <c r="AB333" s="491"/>
      <c r="AC333" s="491"/>
      <c r="AD333" s="491"/>
      <c r="AE333" s="491"/>
      <c r="AF333" s="491"/>
      <c r="AG333" s="491"/>
      <c r="AH333" s="491"/>
      <c r="AI333" s="491"/>
      <c r="AJ333" s="491"/>
      <c r="AK333" s="491"/>
      <c r="AL333" s="491"/>
      <c r="AM333" s="491"/>
      <c r="AN333" s="491"/>
      <c r="AO333" s="491"/>
      <c r="AP333" s="491"/>
      <c r="AQ333" s="491"/>
    </row>
    <row r="334" spans="1:43" s="490" customFormat="1">
      <c r="A334" s="622" t="s">
        <v>487</v>
      </c>
      <c r="B334" s="497" t="s">
        <v>488</v>
      </c>
      <c r="C334" s="497"/>
      <c r="D334" s="497"/>
      <c r="E334" s="623">
        <f t="shared" si="49"/>
        <v>953493.33333333337</v>
      </c>
      <c r="G334" s="491"/>
      <c r="H334" s="491"/>
      <c r="I334" s="491"/>
      <c r="J334" s="491"/>
      <c r="K334" s="491"/>
      <c r="L334" s="491"/>
      <c r="M334" s="491"/>
      <c r="N334" s="491"/>
      <c r="O334" s="491"/>
      <c r="P334" s="491"/>
      <c r="Q334" s="491"/>
      <c r="R334" s="491"/>
      <c r="S334" s="491"/>
      <c r="T334" s="491"/>
      <c r="U334" s="491"/>
      <c r="V334" s="491"/>
      <c r="W334" s="491"/>
      <c r="X334" s="491"/>
      <c r="Y334" s="491"/>
      <c r="Z334" s="491"/>
      <c r="AA334" s="491"/>
      <c r="AB334" s="491"/>
      <c r="AC334" s="491"/>
      <c r="AD334" s="491"/>
      <c r="AE334" s="491"/>
      <c r="AF334" s="491"/>
      <c r="AG334" s="491"/>
      <c r="AH334" s="491"/>
      <c r="AI334" s="491"/>
      <c r="AJ334" s="491"/>
      <c r="AK334" s="491"/>
      <c r="AL334" s="491"/>
      <c r="AM334" s="491"/>
      <c r="AN334" s="491"/>
      <c r="AO334" s="491"/>
      <c r="AP334" s="491"/>
      <c r="AQ334" s="491"/>
    </row>
    <row r="335" spans="1:43" s="490" customFormat="1">
      <c r="A335" s="622" t="s">
        <v>489</v>
      </c>
      <c r="B335" s="497" t="s">
        <v>490</v>
      </c>
      <c r="C335" s="497"/>
      <c r="D335" s="497"/>
      <c r="E335" s="623">
        <f t="shared" si="49"/>
        <v>0</v>
      </c>
      <c r="G335" s="491"/>
      <c r="H335" s="491"/>
      <c r="I335" s="491"/>
      <c r="J335" s="491"/>
      <c r="K335" s="491"/>
      <c r="L335" s="491"/>
      <c r="M335" s="491"/>
      <c r="N335" s="491"/>
      <c r="O335" s="491"/>
      <c r="P335" s="491"/>
      <c r="Q335" s="491"/>
      <c r="R335" s="491"/>
      <c r="S335" s="491"/>
      <c r="T335" s="491"/>
      <c r="U335" s="491"/>
      <c r="V335" s="491"/>
      <c r="W335" s="491"/>
      <c r="X335" s="491"/>
      <c r="Y335" s="491"/>
      <c r="Z335" s="491"/>
      <c r="AA335" s="491"/>
      <c r="AB335" s="491"/>
      <c r="AC335" s="491"/>
      <c r="AD335" s="491"/>
      <c r="AE335" s="491"/>
      <c r="AF335" s="491"/>
      <c r="AG335" s="491"/>
      <c r="AH335" s="491"/>
      <c r="AI335" s="491"/>
      <c r="AJ335" s="491"/>
      <c r="AK335" s="491"/>
      <c r="AL335" s="491"/>
      <c r="AM335" s="491"/>
      <c r="AN335" s="491"/>
      <c r="AO335" s="491"/>
      <c r="AP335" s="491"/>
      <c r="AQ335" s="491"/>
    </row>
    <row r="336" spans="1:43" s="490" customFormat="1">
      <c r="A336" s="622" t="s">
        <v>496</v>
      </c>
      <c r="B336" s="497" t="s">
        <v>497</v>
      </c>
      <c r="C336" s="497"/>
      <c r="D336" s="497"/>
      <c r="E336" s="623">
        <f t="shared" si="49"/>
        <v>706215</v>
      </c>
      <c r="G336" s="491"/>
      <c r="H336" s="491"/>
      <c r="I336" s="491"/>
      <c r="J336" s="491"/>
      <c r="K336" s="491"/>
      <c r="L336" s="491"/>
      <c r="M336" s="491"/>
      <c r="N336" s="491"/>
      <c r="O336" s="491"/>
      <c r="P336" s="491"/>
      <c r="Q336" s="491"/>
      <c r="R336" s="491"/>
      <c r="S336" s="491"/>
      <c r="T336" s="491"/>
      <c r="U336" s="491"/>
      <c r="V336" s="491"/>
      <c r="W336" s="491"/>
      <c r="X336" s="491"/>
      <c r="Y336" s="491"/>
      <c r="Z336" s="491"/>
      <c r="AA336" s="491"/>
      <c r="AB336" s="491"/>
      <c r="AC336" s="491"/>
      <c r="AD336" s="491"/>
      <c r="AE336" s="491"/>
      <c r="AF336" s="491"/>
      <c r="AG336" s="491"/>
      <c r="AH336" s="491"/>
      <c r="AI336" s="491"/>
      <c r="AJ336" s="491"/>
      <c r="AK336" s="491"/>
      <c r="AL336" s="491"/>
      <c r="AM336" s="491"/>
      <c r="AN336" s="491"/>
      <c r="AO336" s="491"/>
      <c r="AP336" s="491"/>
      <c r="AQ336" s="491"/>
    </row>
    <row r="337" spans="1:43" s="490" customFormat="1">
      <c r="A337" s="622" t="s">
        <v>506</v>
      </c>
      <c r="B337" s="497" t="s">
        <v>507</v>
      </c>
      <c r="C337" s="497"/>
      <c r="D337" s="497"/>
      <c r="E337" s="623">
        <f t="shared" si="49"/>
        <v>1257100</v>
      </c>
      <c r="G337" s="491"/>
      <c r="H337" s="491"/>
      <c r="I337" s="491"/>
      <c r="J337" s="491"/>
      <c r="K337" s="491"/>
      <c r="L337" s="491"/>
      <c r="M337" s="491"/>
      <c r="N337" s="491"/>
      <c r="O337" s="491"/>
      <c r="P337" s="491"/>
      <c r="Q337" s="491"/>
      <c r="R337" s="491"/>
      <c r="S337" s="491"/>
      <c r="T337" s="491"/>
      <c r="U337" s="491"/>
      <c r="V337" s="491"/>
      <c r="W337" s="491"/>
      <c r="X337" s="491"/>
      <c r="Y337" s="491"/>
      <c r="Z337" s="491"/>
      <c r="AA337" s="491"/>
      <c r="AB337" s="491"/>
      <c r="AC337" s="491"/>
      <c r="AD337" s="491"/>
      <c r="AE337" s="491"/>
      <c r="AF337" s="491"/>
      <c r="AG337" s="491"/>
      <c r="AH337" s="491"/>
      <c r="AI337" s="491"/>
      <c r="AJ337" s="491"/>
      <c r="AK337" s="491"/>
      <c r="AL337" s="491"/>
      <c r="AM337" s="491"/>
      <c r="AN337" s="491"/>
      <c r="AO337" s="491"/>
      <c r="AP337" s="491"/>
      <c r="AQ337" s="491"/>
    </row>
    <row r="338" spans="1:43" s="490" customFormat="1">
      <c r="A338" s="622" t="s">
        <v>520</v>
      </c>
      <c r="B338" s="497" t="s">
        <v>521</v>
      </c>
      <c r="C338" s="497"/>
      <c r="D338" s="497"/>
      <c r="E338" s="623">
        <f t="shared" si="49"/>
        <v>3790550</v>
      </c>
      <c r="G338" s="491"/>
      <c r="H338" s="491"/>
      <c r="I338" s="491"/>
      <c r="J338" s="491"/>
      <c r="K338" s="491"/>
      <c r="L338" s="491"/>
      <c r="M338" s="491"/>
      <c r="N338" s="491"/>
      <c r="O338" s="491"/>
      <c r="P338" s="491"/>
      <c r="Q338" s="491"/>
      <c r="R338" s="491"/>
      <c r="S338" s="491"/>
      <c r="T338" s="491"/>
      <c r="U338" s="491"/>
      <c r="V338" s="491"/>
      <c r="W338" s="491"/>
      <c r="X338" s="491"/>
      <c r="Y338" s="491"/>
      <c r="Z338" s="491"/>
      <c r="AA338" s="491"/>
      <c r="AB338" s="491"/>
      <c r="AC338" s="491"/>
      <c r="AD338" s="491"/>
      <c r="AE338" s="491"/>
      <c r="AF338" s="491"/>
      <c r="AG338" s="491"/>
      <c r="AH338" s="491"/>
      <c r="AI338" s="491"/>
      <c r="AJ338" s="491"/>
      <c r="AK338" s="491"/>
      <c r="AL338" s="491"/>
      <c r="AM338" s="491"/>
      <c r="AN338" s="491"/>
      <c r="AO338" s="491"/>
      <c r="AP338" s="491"/>
      <c r="AQ338" s="491"/>
    </row>
    <row r="339" spans="1:43" s="490" customFormat="1">
      <c r="A339" s="622" t="s">
        <v>527</v>
      </c>
      <c r="B339" s="497" t="s">
        <v>528</v>
      </c>
      <c r="C339" s="497"/>
      <c r="D339" s="497"/>
      <c r="E339" s="623">
        <f t="shared" si="49"/>
        <v>3588865.979381443</v>
      </c>
      <c r="G339" s="491"/>
      <c r="H339" s="491"/>
      <c r="I339" s="491"/>
      <c r="J339" s="491"/>
      <c r="K339" s="491"/>
      <c r="L339" s="491"/>
      <c r="M339" s="491"/>
      <c r="N339" s="491"/>
      <c r="O339" s="491"/>
      <c r="P339" s="491"/>
      <c r="Q339" s="491"/>
      <c r="R339" s="491"/>
      <c r="S339" s="491"/>
      <c r="T339" s="491"/>
      <c r="U339" s="491"/>
      <c r="V339" s="491"/>
      <c r="W339" s="491"/>
      <c r="X339" s="491"/>
      <c r="Y339" s="491"/>
      <c r="Z339" s="491"/>
      <c r="AA339" s="491"/>
      <c r="AB339" s="491"/>
      <c r="AC339" s="491"/>
      <c r="AD339" s="491"/>
      <c r="AE339" s="491"/>
      <c r="AF339" s="491"/>
      <c r="AG339" s="491"/>
      <c r="AH339" s="491"/>
      <c r="AI339" s="491"/>
      <c r="AJ339" s="491"/>
      <c r="AK339" s="491"/>
      <c r="AL339" s="491"/>
      <c r="AM339" s="491"/>
      <c r="AN339" s="491"/>
      <c r="AO339" s="491"/>
      <c r="AP339" s="491"/>
      <c r="AQ339" s="491"/>
    </row>
    <row r="340" spans="1:43" s="490" customFormat="1">
      <c r="A340" s="622" t="s">
        <v>561</v>
      </c>
      <c r="B340" s="497" t="s">
        <v>562</v>
      </c>
      <c r="C340" s="497"/>
      <c r="D340" s="497"/>
      <c r="E340" s="623">
        <f t="shared" si="49"/>
        <v>5025337.5</v>
      </c>
      <c r="G340" s="491"/>
      <c r="H340" s="491"/>
      <c r="I340" s="491"/>
      <c r="J340" s="491"/>
      <c r="K340" s="491"/>
      <c r="L340" s="491"/>
      <c r="M340" s="491"/>
      <c r="N340" s="491"/>
      <c r="O340" s="491"/>
      <c r="P340" s="491"/>
      <c r="Q340" s="491"/>
      <c r="R340" s="491"/>
      <c r="S340" s="491"/>
      <c r="T340" s="491"/>
      <c r="U340" s="491"/>
      <c r="V340" s="491"/>
      <c r="W340" s="491"/>
      <c r="X340" s="491"/>
      <c r="Y340" s="491"/>
      <c r="Z340" s="491"/>
      <c r="AA340" s="491"/>
      <c r="AB340" s="491"/>
      <c r="AC340" s="491"/>
      <c r="AD340" s="491"/>
      <c r="AE340" s="491"/>
      <c r="AF340" s="491"/>
      <c r="AG340" s="491"/>
      <c r="AH340" s="491"/>
      <c r="AI340" s="491"/>
      <c r="AJ340" s="491"/>
      <c r="AK340" s="491"/>
      <c r="AL340" s="491"/>
      <c r="AM340" s="491"/>
      <c r="AN340" s="491"/>
      <c r="AO340" s="491"/>
      <c r="AP340" s="491"/>
      <c r="AQ340" s="491"/>
    </row>
    <row r="341" spans="1:43" s="490" customFormat="1">
      <c r="A341" s="622" t="s">
        <v>571</v>
      </c>
      <c r="B341" s="497" t="s">
        <v>572</v>
      </c>
      <c r="C341" s="497"/>
      <c r="D341" s="497"/>
      <c r="E341" s="623">
        <f t="shared" si="49"/>
        <v>166956.95000000001</v>
      </c>
      <c r="G341" s="491"/>
      <c r="H341" s="491"/>
      <c r="I341" s="491"/>
      <c r="J341" s="491"/>
      <c r="K341" s="491"/>
      <c r="L341" s="491"/>
      <c r="M341" s="491"/>
      <c r="N341" s="491"/>
      <c r="O341" s="491"/>
      <c r="P341" s="491"/>
      <c r="Q341" s="491"/>
      <c r="R341" s="491"/>
      <c r="S341" s="491"/>
      <c r="T341" s="491"/>
      <c r="U341" s="491"/>
      <c r="V341" s="491"/>
      <c r="W341" s="491"/>
      <c r="X341" s="491"/>
      <c r="Y341" s="491"/>
      <c r="Z341" s="491"/>
      <c r="AA341" s="491"/>
      <c r="AB341" s="491"/>
      <c r="AC341" s="491"/>
      <c r="AD341" s="491"/>
      <c r="AE341" s="491"/>
      <c r="AF341" s="491"/>
      <c r="AG341" s="491"/>
      <c r="AH341" s="491"/>
      <c r="AI341" s="491"/>
      <c r="AJ341" s="491"/>
      <c r="AK341" s="491"/>
      <c r="AL341" s="491"/>
      <c r="AM341" s="491"/>
      <c r="AN341" s="491"/>
      <c r="AO341" s="491"/>
      <c r="AP341" s="491"/>
      <c r="AQ341" s="491"/>
    </row>
    <row r="342" spans="1:43" s="490" customFormat="1">
      <c r="A342" s="622" t="s">
        <v>582</v>
      </c>
      <c r="B342" s="497" t="s">
        <v>583</v>
      </c>
      <c r="C342" s="497"/>
      <c r="D342" s="497"/>
      <c r="E342" s="623">
        <f t="shared" si="49"/>
        <v>818446.35493372602</v>
      </c>
      <c r="G342" s="491"/>
      <c r="H342" s="491"/>
      <c r="I342" s="491"/>
      <c r="J342" s="491"/>
      <c r="K342" s="491"/>
      <c r="L342" s="491"/>
      <c r="M342" s="491"/>
      <c r="N342" s="491"/>
      <c r="O342" s="491"/>
      <c r="P342" s="491"/>
      <c r="Q342" s="491"/>
      <c r="R342" s="491"/>
      <c r="S342" s="491"/>
      <c r="T342" s="491"/>
      <c r="U342" s="491"/>
      <c r="V342" s="491"/>
      <c r="W342" s="491"/>
      <c r="X342" s="491"/>
      <c r="Y342" s="491"/>
      <c r="Z342" s="491"/>
      <c r="AA342" s="491"/>
      <c r="AB342" s="491"/>
      <c r="AC342" s="491"/>
      <c r="AD342" s="491"/>
      <c r="AE342" s="491"/>
      <c r="AF342" s="491"/>
      <c r="AG342" s="491"/>
      <c r="AH342" s="491"/>
      <c r="AI342" s="491"/>
      <c r="AJ342" s="491"/>
      <c r="AK342" s="491"/>
      <c r="AL342" s="491"/>
      <c r="AM342" s="491"/>
      <c r="AN342" s="491"/>
      <c r="AO342" s="491"/>
      <c r="AP342" s="491"/>
      <c r="AQ342" s="491"/>
    </row>
    <row r="343" spans="1:43" s="490" customFormat="1">
      <c r="A343" s="622" t="s">
        <v>603</v>
      </c>
      <c r="B343" s="497" t="s">
        <v>604</v>
      </c>
      <c r="C343" s="497"/>
      <c r="D343" s="497"/>
      <c r="E343" s="623">
        <f t="shared" si="49"/>
        <v>2300644</v>
      </c>
      <c r="G343" s="491"/>
      <c r="H343" s="491"/>
      <c r="I343" s="491"/>
      <c r="J343" s="491"/>
      <c r="K343" s="491"/>
      <c r="L343" s="491"/>
      <c r="M343" s="491"/>
      <c r="N343" s="491"/>
      <c r="O343" s="491"/>
      <c r="P343" s="491"/>
      <c r="Q343" s="491"/>
      <c r="R343" s="491"/>
      <c r="S343" s="491"/>
      <c r="T343" s="491"/>
      <c r="U343" s="491"/>
      <c r="V343" s="491"/>
      <c r="W343" s="491"/>
      <c r="X343" s="491"/>
      <c r="Y343" s="491"/>
      <c r="Z343" s="491"/>
      <c r="AA343" s="491"/>
      <c r="AB343" s="491"/>
      <c r="AC343" s="491"/>
      <c r="AD343" s="491"/>
      <c r="AE343" s="491"/>
      <c r="AF343" s="491"/>
      <c r="AG343" s="491"/>
      <c r="AH343" s="491"/>
      <c r="AI343" s="491"/>
      <c r="AJ343" s="491"/>
      <c r="AK343" s="491"/>
      <c r="AL343" s="491"/>
      <c r="AM343" s="491"/>
      <c r="AN343" s="491"/>
      <c r="AO343" s="491"/>
      <c r="AP343" s="491"/>
      <c r="AQ343" s="491"/>
    </row>
    <row r="344" spans="1:43" s="490" customFormat="1">
      <c r="A344" s="629" t="s">
        <v>679</v>
      </c>
      <c r="B344" s="515" t="s">
        <v>680</v>
      </c>
      <c r="C344" s="515"/>
      <c r="D344" s="515"/>
      <c r="E344" s="630">
        <f t="shared" si="49"/>
        <v>6828005.8100000005</v>
      </c>
      <c r="G344" s="491"/>
      <c r="H344" s="491"/>
      <c r="I344" s="491"/>
      <c r="J344" s="491"/>
      <c r="K344" s="491"/>
      <c r="L344" s="491"/>
      <c r="M344" s="491"/>
      <c r="N344" s="491"/>
      <c r="O344" s="491"/>
      <c r="P344" s="491"/>
      <c r="Q344" s="491"/>
      <c r="R344" s="491"/>
      <c r="S344" s="491"/>
      <c r="T344" s="491"/>
      <c r="U344" s="491"/>
      <c r="V344" s="491"/>
      <c r="W344" s="491"/>
      <c r="X344" s="491"/>
      <c r="Y344" s="491"/>
      <c r="Z344" s="491"/>
      <c r="AA344" s="491"/>
      <c r="AB344" s="491"/>
      <c r="AC344" s="491"/>
      <c r="AD344" s="491"/>
      <c r="AE344" s="491"/>
      <c r="AF344" s="491"/>
      <c r="AG344" s="491"/>
      <c r="AH344" s="491"/>
      <c r="AI344" s="491"/>
      <c r="AJ344" s="491"/>
      <c r="AK344" s="491"/>
      <c r="AL344" s="491"/>
      <c r="AM344" s="491"/>
      <c r="AN344" s="491"/>
      <c r="AO344" s="491"/>
      <c r="AP344" s="491"/>
      <c r="AQ344" s="491"/>
    </row>
    <row r="345" spans="1:43" s="490" customFormat="1">
      <c r="A345" s="619" t="s">
        <v>708</v>
      </c>
      <c r="B345" s="505" t="s">
        <v>709</v>
      </c>
      <c r="C345" s="505"/>
      <c r="D345" s="505"/>
      <c r="E345" s="620">
        <f t="shared" si="49"/>
        <v>2418748</v>
      </c>
      <c r="G345" s="491"/>
      <c r="H345" s="491"/>
      <c r="I345" s="491"/>
      <c r="J345" s="491"/>
      <c r="K345" s="491"/>
      <c r="L345" s="491"/>
      <c r="M345" s="491"/>
      <c r="N345" s="491"/>
      <c r="O345" s="491"/>
      <c r="P345" s="491"/>
      <c r="Q345" s="491"/>
      <c r="R345" s="491"/>
      <c r="S345" s="491"/>
      <c r="T345" s="491"/>
      <c r="U345" s="491"/>
      <c r="V345" s="491"/>
      <c r="W345" s="491"/>
      <c r="X345" s="491"/>
      <c r="Y345" s="491"/>
      <c r="Z345" s="491"/>
      <c r="AA345" s="491"/>
      <c r="AB345" s="491"/>
      <c r="AC345" s="491"/>
      <c r="AD345" s="491"/>
      <c r="AE345" s="491"/>
      <c r="AF345" s="491"/>
      <c r="AG345" s="491"/>
      <c r="AH345" s="491"/>
      <c r="AI345" s="491"/>
      <c r="AJ345" s="491"/>
      <c r="AK345" s="491"/>
      <c r="AL345" s="491"/>
      <c r="AM345" s="491"/>
      <c r="AN345" s="491"/>
      <c r="AO345" s="491"/>
      <c r="AP345" s="491"/>
      <c r="AQ345" s="491"/>
    </row>
    <row r="346" spans="1:43" s="490" customFormat="1">
      <c r="A346" s="622" t="s">
        <v>717</v>
      </c>
      <c r="B346" s="497" t="s">
        <v>718</v>
      </c>
      <c r="C346" s="497"/>
      <c r="D346" s="497"/>
      <c r="E346" s="623">
        <f t="shared" si="49"/>
        <v>7500</v>
      </c>
      <c r="G346" s="491"/>
      <c r="H346" s="491"/>
      <c r="I346" s="491"/>
      <c r="J346" s="491"/>
      <c r="K346" s="491"/>
      <c r="L346" s="491"/>
      <c r="M346" s="491"/>
      <c r="N346" s="491"/>
      <c r="O346" s="491"/>
      <c r="P346" s="491"/>
      <c r="Q346" s="491"/>
      <c r="R346" s="491"/>
      <c r="S346" s="491"/>
      <c r="T346" s="491"/>
      <c r="U346" s="491"/>
      <c r="V346" s="491"/>
      <c r="W346" s="491"/>
      <c r="X346" s="491"/>
      <c r="Y346" s="491"/>
      <c r="Z346" s="491"/>
      <c r="AA346" s="491"/>
      <c r="AB346" s="491"/>
      <c r="AC346" s="491"/>
      <c r="AD346" s="491"/>
      <c r="AE346" s="491"/>
      <c r="AF346" s="491"/>
      <c r="AG346" s="491"/>
      <c r="AH346" s="491"/>
      <c r="AI346" s="491"/>
      <c r="AJ346" s="491"/>
      <c r="AK346" s="491"/>
      <c r="AL346" s="491"/>
      <c r="AM346" s="491"/>
      <c r="AN346" s="491"/>
      <c r="AO346" s="491"/>
      <c r="AP346" s="491"/>
      <c r="AQ346" s="491"/>
    </row>
    <row r="347" spans="1:43" s="490" customFormat="1">
      <c r="A347" s="622" t="s">
        <v>726</v>
      </c>
      <c r="B347" s="497" t="s">
        <v>727</v>
      </c>
      <c r="C347" s="497"/>
      <c r="D347" s="497"/>
      <c r="E347" s="623">
        <f t="shared" si="49"/>
        <v>1077434</v>
      </c>
      <c r="G347" s="491"/>
      <c r="H347" s="491"/>
      <c r="I347" s="491"/>
      <c r="J347" s="491"/>
      <c r="K347" s="491"/>
      <c r="L347" s="491"/>
      <c r="M347" s="491"/>
      <c r="N347" s="491"/>
      <c r="O347" s="491"/>
      <c r="P347" s="491"/>
      <c r="Q347" s="491"/>
      <c r="R347" s="491"/>
      <c r="S347" s="491"/>
      <c r="T347" s="491"/>
      <c r="U347" s="491"/>
      <c r="V347" s="491"/>
      <c r="W347" s="491"/>
      <c r="X347" s="491"/>
      <c r="Y347" s="491"/>
      <c r="Z347" s="491"/>
      <c r="AA347" s="491"/>
      <c r="AB347" s="491"/>
      <c r="AC347" s="491"/>
      <c r="AD347" s="491"/>
      <c r="AE347" s="491"/>
      <c r="AF347" s="491"/>
      <c r="AG347" s="491"/>
      <c r="AH347" s="491"/>
      <c r="AI347" s="491"/>
      <c r="AJ347" s="491"/>
      <c r="AK347" s="491"/>
      <c r="AL347" s="491"/>
      <c r="AM347" s="491"/>
      <c r="AN347" s="491"/>
      <c r="AO347" s="491"/>
      <c r="AP347" s="491"/>
      <c r="AQ347" s="491"/>
    </row>
    <row r="348" spans="1:43" s="490" customFormat="1">
      <c r="A348" s="622" t="s">
        <v>748</v>
      </c>
      <c r="B348" s="497" t="s">
        <v>749</v>
      </c>
      <c r="C348" s="497"/>
      <c r="D348" s="497"/>
      <c r="E348" s="623">
        <f t="shared" si="49"/>
        <v>502425</v>
      </c>
      <c r="G348" s="491"/>
      <c r="H348" s="491"/>
      <c r="I348" s="491"/>
      <c r="J348" s="491"/>
      <c r="K348" s="491"/>
      <c r="L348" s="491"/>
      <c r="M348" s="491"/>
      <c r="N348" s="491"/>
      <c r="O348" s="491"/>
      <c r="P348" s="491"/>
      <c r="Q348" s="491"/>
      <c r="R348" s="491"/>
      <c r="S348" s="491"/>
      <c r="T348" s="491"/>
      <c r="U348" s="491"/>
      <c r="V348" s="491"/>
      <c r="W348" s="491"/>
      <c r="X348" s="491"/>
      <c r="Y348" s="491"/>
      <c r="Z348" s="491"/>
      <c r="AA348" s="491"/>
      <c r="AB348" s="491"/>
      <c r="AC348" s="491"/>
      <c r="AD348" s="491"/>
      <c r="AE348" s="491"/>
      <c r="AF348" s="491"/>
      <c r="AG348" s="491"/>
      <c r="AH348" s="491"/>
      <c r="AI348" s="491"/>
      <c r="AJ348" s="491"/>
      <c r="AK348" s="491"/>
      <c r="AL348" s="491"/>
      <c r="AM348" s="491"/>
      <c r="AN348" s="491"/>
      <c r="AO348" s="491"/>
      <c r="AP348" s="491"/>
      <c r="AQ348" s="491"/>
    </row>
    <row r="349" spans="1:43" s="490" customFormat="1">
      <c r="A349" s="622" t="s">
        <v>806</v>
      </c>
      <c r="B349" s="497"/>
      <c r="C349" s="497"/>
      <c r="D349" s="497"/>
      <c r="E349" s="623" t="e">
        <f t="shared" si="49"/>
        <v>#N/A</v>
      </c>
      <c r="G349" s="491"/>
      <c r="H349" s="491"/>
      <c r="I349" s="491"/>
      <c r="J349" s="491"/>
      <c r="K349" s="491"/>
      <c r="L349" s="491"/>
      <c r="M349" s="491"/>
      <c r="N349" s="491"/>
      <c r="O349" s="491"/>
      <c r="P349" s="491"/>
      <c r="Q349" s="491"/>
      <c r="R349" s="491"/>
      <c r="S349" s="491"/>
      <c r="T349" s="491"/>
      <c r="U349" s="491"/>
      <c r="V349" s="491"/>
      <c r="W349" s="491"/>
      <c r="X349" s="491"/>
      <c r="Y349" s="491"/>
      <c r="Z349" s="491"/>
      <c r="AA349" s="491"/>
      <c r="AB349" s="491"/>
      <c r="AC349" s="491"/>
      <c r="AD349" s="491"/>
      <c r="AE349" s="491"/>
      <c r="AF349" s="491"/>
      <c r="AG349" s="491"/>
      <c r="AH349" s="491"/>
      <c r="AI349" s="491"/>
      <c r="AJ349" s="491"/>
      <c r="AK349" s="491"/>
      <c r="AL349" s="491"/>
      <c r="AM349" s="491"/>
      <c r="AN349" s="491"/>
      <c r="AO349" s="491"/>
      <c r="AP349" s="491"/>
      <c r="AQ349" s="491"/>
    </row>
    <row r="350" spans="1:43" s="490" customFormat="1">
      <c r="A350" s="622" t="s">
        <v>751</v>
      </c>
      <c r="B350" s="497"/>
      <c r="C350" s="497"/>
      <c r="D350" s="497"/>
      <c r="E350" s="623">
        <f t="shared" si="49"/>
        <v>0</v>
      </c>
      <c r="G350" s="491"/>
      <c r="H350" s="491"/>
      <c r="I350" s="491"/>
      <c r="J350" s="491"/>
      <c r="K350" s="491"/>
      <c r="L350" s="491"/>
      <c r="M350" s="491"/>
      <c r="N350" s="491"/>
      <c r="O350" s="491"/>
      <c r="P350" s="491"/>
      <c r="Q350" s="491"/>
      <c r="R350" s="491"/>
      <c r="S350" s="491"/>
      <c r="T350" s="491"/>
      <c r="U350" s="491"/>
      <c r="V350" s="491"/>
      <c r="W350" s="491"/>
      <c r="X350" s="491"/>
      <c r="Y350" s="491"/>
      <c r="Z350" s="491"/>
      <c r="AA350" s="491"/>
      <c r="AB350" s="491"/>
      <c r="AC350" s="491"/>
      <c r="AD350" s="491"/>
      <c r="AE350" s="491"/>
      <c r="AF350" s="491"/>
      <c r="AG350" s="491"/>
      <c r="AH350" s="491"/>
      <c r="AI350" s="491"/>
      <c r="AJ350" s="491"/>
      <c r="AK350" s="491"/>
      <c r="AL350" s="491"/>
      <c r="AM350" s="491"/>
      <c r="AN350" s="491"/>
      <c r="AO350" s="491"/>
      <c r="AP350" s="491"/>
      <c r="AQ350" s="491"/>
    </row>
    <row r="351" spans="1:43" s="490" customFormat="1">
      <c r="A351" s="622" t="s">
        <v>781</v>
      </c>
      <c r="B351" s="497"/>
      <c r="C351" s="497"/>
      <c r="D351" s="497"/>
      <c r="E351" s="623">
        <f t="shared" si="49"/>
        <v>1181753.162</v>
      </c>
      <c r="G351" s="491"/>
      <c r="H351" s="491"/>
      <c r="I351" s="491"/>
      <c r="J351" s="491"/>
      <c r="K351" s="491"/>
      <c r="L351" s="491"/>
      <c r="M351" s="491"/>
      <c r="N351" s="491"/>
      <c r="O351" s="491"/>
      <c r="P351" s="491"/>
      <c r="Q351" s="491"/>
      <c r="R351" s="491"/>
      <c r="S351" s="491"/>
      <c r="T351" s="491"/>
      <c r="U351" s="491"/>
      <c r="V351" s="491"/>
      <c r="W351" s="491"/>
      <c r="X351" s="491"/>
      <c r="Y351" s="491"/>
      <c r="Z351" s="491"/>
      <c r="AA351" s="491"/>
      <c r="AB351" s="491"/>
      <c r="AC351" s="491"/>
      <c r="AD351" s="491"/>
      <c r="AE351" s="491"/>
      <c r="AF351" s="491"/>
      <c r="AG351" s="491"/>
      <c r="AH351" s="491"/>
      <c r="AI351" s="491"/>
      <c r="AJ351" s="491"/>
      <c r="AK351" s="491"/>
      <c r="AL351" s="491"/>
      <c r="AM351" s="491"/>
      <c r="AN351" s="491"/>
      <c r="AO351" s="491"/>
      <c r="AP351" s="491"/>
      <c r="AQ351" s="491"/>
    </row>
    <row r="352" spans="1:43" s="490" customFormat="1">
      <c r="A352" s="622" t="s">
        <v>783</v>
      </c>
      <c r="B352" s="497" t="s">
        <v>785</v>
      </c>
      <c r="C352" s="497"/>
      <c r="D352" s="497"/>
      <c r="E352" s="623">
        <f t="shared" si="49"/>
        <v>0</v>
      </c>
      <c r="G352" s="491"/>
      <c r="H352" s="491"/>
      <c r="I352" s="491"/>
      <c r="J352" s="491"/>
      <c r="K352" s="491"/>
      <c r="L352" s="491"/>
      <c r="M352" s="491"/>
      <c r="N352" s="491"/>
      <c r="O352" s="491"/>
      <c r="P352" s="491"/>
      <c r="Q352" s="491"/>
      <c r="R352" s="491"/>
      <c r="S352" s="491"/>
      <c r="T352" s="491"/>
      <c r="U352" s="491"/>
      <c r="V352" s="491"/>
      <c r="W352" s="491"/>
      <c r="X352" s="491"/>
      <c r="Y352" s="491"/>
      <c r="Z352" s="491"/>
      <c r="AA352" s="491"/>
      <c r="AB352" s="491"/>
      <c r="AC352" s="491"/>
      <c r="AD352" s="491"/>
      <c r="AE352" s="491"/>
      <c r="AF352" s="491"/>
      <c r="AG352" s="491"/>
      <c r="AH352" s="491"/>
      <c r="AI352" s="491"/>
      <c r="AJ352" s="491"/>
      <c r="AK352" s="491"/>
      <c r="AL352" s="491"/>
      <c r="AM352" s="491"/>
      <c r="AN352" s="491"/>
      <c r="AO352" s="491"/>
      <c r="AP352" s="491"/>
      <c r="AQ352" s="491"/>
    </row>
    <row r="353" spans="1:43" s="490" customFormat="1">
      <c r="A353" s="622" t="s">
        <v>786</v>
      </c>
      <c r="B353" s="497" t="s">
        <v>789</v>
      </c>
      <c r="C353" s="497"/>
      <c r="D353" s="497"/>
      <c r="E353" s="623">
        <f t="shared" si="49"/>
        <v>0</v>
      </c>
      <c r="G353" s="491"/>
      <c r="H353" s="491"/>
      <c r="I353" s="491"/>
      <c r="J353" s="491"/>
      <c r="K353" s="491"/>
      <c r="L353" s="491"/>
      <c r="M353" s="491"/>
      <c r="N353" s="491"/>
      <c r="O353" s="491"/>
      <c r="P353" s="491"/>
      <c r="Q353" s="491"/>
      <c r="R353" s="491"/>
      <c r="S353" s="491"/>
      <c r="T353" s="491"/>
      <c r="U353" s="491"/>
      <c r="V353" s="491"/>
      <c r="W353" s="491"/>
      <c r="X353" s="491"/>
      <c r="Y353" s="491"/>
      <c r="Z353" s="491"/>
      <c r="AA353" s="491"/>
      <c r="AB353" s="491"/>
      <c r="AC353" s="491"/>
      <c r="AD353" s="491"/>
      <c r="AE353" s="491"/>
      <c r="AF353" s="491"/>
      <c r="AG353" s="491"/>
      <c r="AH353" s="491"/>
      <c r="AI353" s="491"/>
      <c r="AJ353" s="491"/>
      <c r="AK353" s="491"/>
      <c r="AL353" s="491"/>
      <c r="AM353" s="491"/>
      <c r="AN353" s="491"/>
      <c r="AO353" s="491"/>
      <c r="AP353" s="491"/>
      <c r="AQ353" s="491"/>
    </row>
    <row r="354" spans="1:43" s="490" customFormat="1">
      <c r="A354" s="622" t="s">
        <v>797</v>
      </c>
      <c r="B354" s="497" t="s">
        <v>789</v>
      </c>
      <c r="C354" s="497"/>
      <c r="D354" s="497"/>
      <c r="E354" s="623">
        <f t="shared" si="49"/>
        <v>621555.51472272817</v>
      </c>
      <c r="G354" s="491"/>
      <c r="H354" s="491"/>
      <c r="I354" s="491"/>
      <c r="J354" s="491"/>
      <c r="K354" s="491"/>
      <c r="L354" s="491"/>
      <c r="M354" s="491"/>
      <c r="N354" s="491"/>
      <c r="O354" s="491"/>
      <c r="P354" s="491"/>
      <c r="Q354" s="491"/>
      <c r="R354" s="491"/>
      <c r="S354" s="491"/>
      <c r="T354" s="491"/>
      <c r="U354" s="491"/>
      <c r="V354" s="491"/>
      <c r="W354" s="491"/>
      <c r="X354" s="491"/>
      <c r="Y354" s="491"/>
      <c r="Z354" s="491"/>
      <c r="AA354" s="491"/>
      <c r="AB354" s="491"/>
      <c r="AC354" s="491"/>
      <c r="AD354" s="491"/>
      <c r="AE354" s="491"/>
      <c r="AF354" s="491"/>
      <c r="AG354" s="491"/>
      <c r="AH354" s="491"/>
      <c r="AI354" s="491"/>
      <c r="AJ354" s="491"/>
      <c r="AK354" s="491"/>
      <c r="AL354" s="491"/>
      <c r="AM354" s="491"/>
      <c r="AN354" s="491"/>
      <c r="AO354" s="491"/>
      <c r="AP354" s="491"/>
      <c r="AQ354" s="491"/>
    </row>
    <row r="355" spans="1:43" s="490" customFormat="1">
      <c r="A355" s="622" t="s">
        <v>800</v>
      </c>
      <c r="B355" s="497" t="s">
        <v>799</v>
      </c>
      <c r="C355" s="497"/>
      <c r="D355" s="497"/>
      <c r="E355" s="623">
        <f t="shared" si="49"/>
        <v>0</v>
      </c>
      <c r="G355" s="491"/>
      <c r="H355" s="491"/>
      <c r="I355" s="491"/>
      <c r="J355" s="491"/>
      <c r="K355" s="491"/>
      <c r="L355" s="491"/>
      <c r="M355" s="491"/>
      <c r="N355" s="491"/>
      <c r="O355" s="491"/>
      <c r="P355" s="491"/>
      <c r="Q355" s="491"/>
      <c r="R355" s="491"/>
      <c r="S355" s="491"/>
      <c r="T355" s="491"/>
      <c r="U355" s="491"/>
      <c r="V355" s="491"/>
      <c r="W355" s="491"/>
      <c r="X355" s="491"/>
      <c r="Y355" s="491"/>
      <c r="Z355" s="491"/>
      <c r="AA355" s="491"/>
      <c r="AB355" s="491"/>
      <c r="AC355" s="491"/>
      <c r="AD355" s="491"/>
      <c r="AE355" s="491"/>
      <c r="AF355" s="491"/>
      <c r="AG355" s="491"/>
      <c r="AH355" s="491"/>
      <c r="AI355" s="491"/>
      <c r="AJ355" s="491"/>
      <c r="AK355" s="491"/>
      <c r="AL355" s="491"/>
      <c r="AM355" s="491"/>
      <c r="AN355" s="491"/>
      <c r="AO355" s="491"/>
      <c r="AP355" s="491"/>
      <c r="AQ355" s="491"/>
    </row>
    <row r="356" spans="1:43" s="490" customFormat="1">
      <c r="A356" s="631" t="s">
        <v>802</v>
      </c>
      <c r="B356" s="515"/>
      <c r="C356" s="515"/>
      <c r="D356" s="515"/>
      <c r="E356" s="630">
        <f t="shared" si="49"/>
        <v>68910227.733412534</v>
      </c>
      <c r="G356" s="491"/>
      <c r="H356" s="491"/>
      <c r="I356" s="491"/>
      <c r="J356" s="491"/>
      <c r="K356" s="491"/>
      <c r="L356" s="491"/>
      <c r="M356" s="491"/>
      <c r="N356" s="491"/>
      <c r="O356" s="491"/>
      <c r="P356" s="491"/>
      <c r="Q356" s="491"/>
      <c r="R356" s="491"/>
      <c r="S356" s="491"/>
      <c r="T356" s="491"/>
      <c r="U356" s="491"/>
      <c r="V356" s="491"/>
      <c r="W356" s="491"/>
      <c r="X356" s="491"/>
      <c r="Y356" s="491"/>
      <c r="Z356" s="491"/>
      <c r="AA356" s="491"/>
      <c r="AB356" s="491"/>
      <c r="AC356" s="491"/>
      <c r="AD356" s="491"/>
      <c r="AE356" s="491"/>
      <c r="AF356" s="491"/>
      <c r="AG356" s="491"/>
      <c r="AH356" s="491"/>
      <c r="AI356" s="491"/>
      <c r="AJ356" s="491"/>
      <c r="AK356" s="491"/>
      <c r="AL356" s="491"/>
      <c r="AM356" s="491"/>
      <c r="AN356" s="491"/>
      <c r="AO356" s="491"/>
      <c r="AP356" s="491"/>
      <c r="AQ356" s="491"/>
    </row>
    <row r="357" spans="1:43" s="490" customFormat="1">
      <c r="A357" s="491"/>
      <c r="B357" s="491"/>
      <c r="C357" s="491"/>
      <c r="D357" s="491"/>
      <c r="E357" s="576" t="e">
        <f>SUM(E321:E332,E333:E344,E345:E355)-E356</f>
        <v>#N/A</v>
      </c>
      <c r="G357" s="491"/>
      <c r="H357" s="491"/>
      <c r="I357" s="491"/>
      <c r="J357" s="491"/>
      <c r="K357" s="491"/>
      <c r="L357" s="491"/>
      <c r="M357" s="491"/>
      <c r="N357" s="491"/>
      <c r="O357" s="491"/>
      <c r="P357" s="491"/>
      <c r="Q357" s="491"/>
      <c r="R357" s="491"/>
      <c r="S357" s="491"/>
      <c r="T357" s="491"/>
      <c r="U357" s="491"/>
      <c r="V357" s="491"/>
      <c r="W357" s="491"/>
      <c r="X357" s="491"/>
      <c r="Y357" s="491"/>
      <c r="Z357" s="491"/>
      <c r="AA357" s="491"/>
      <c r="AB357" s="491"/>
      <c r="AC357" s="491"/>
      <c r="AD357" s="491"/>
      <c r="AE357" s="491"/>
      <c r="AF357" s="491"/>
      <c r="AG357" s="491"/>
      <c r="AH357" s="491"/>
      <c r="AI357" s="491"/>
      <c r="AJ357" s="491"/>
      <c r="AK357" s="491"/>
      <c r="AL357" s="491"/>
      <c r="AM357" s="491"/>
      <c r="AN357" s="491"/>
      <c r="AO357" s="491"/>
      <c r="AP357" s="491"/>
      <c r="AQ357" s="491"/>
    </row>
    <row r="361" spans="1:43">
      <c r="F361" s="632" t="s">
        <v>56</v>
      </c>
    </row>
    <row r="362" spans="1:43">
      <c r="A362"/>
      <c r="B362" s="408"/>
      <c r="C362" s="408"/>
      <c r="D362" s="408"/>
      <c r="E362" s="408"/>
      <c r="F362" s="632" t="s">
        <v>66</v>
      </c>
    </row>
    <row r="363" spans="1:43">
      <c r="A363" t="s">
        <v>807</v>
      </c>
      <c r="B363" s="408" t="s">
        <v>69</v>
      </c>
      <c r="C363" s="408"/>
      <c r="D363" s="408"/>
      <c r="E363" s="408"/>
      <c r="F363" s="481">
        <f t="shared" ref="F363:F393" si="50">SUMIF($B$14:$B$319,B363,$L$14:$L$319)</f>
        <v>3339333.08833637</v>
      </c>
    </row>
    <row r="364" spans="1:43">
      <c r="A364" t="s">
        <v>808</v>
      </c>
      <c r="B364" s="408" t="s">
        <v>78</v>
      </c>
      <c r="C364" s="408"/>
      <c r="D364" s="408"/>
      <c r="E364" s="408"/>
      <c r="F364" s="481">
        <f t="shared" si="50"/>
        <v>16000</v>
      </c>
    </row>
    <row r="365" spans="1:43">
      <c r="A365" t="s">
        <v>809</v>
      </c>
      <c r="B365" s="408" t="s">
        <v>122</v>
      </c>
      <c r="C365" s="408"/>
      <c r="D365" s="408"/>
      <c r="E365" s="408"/>
      <c r="F365" s="481">
        <f t="shared" si="50"/>
        <v>2584839</v>
      </c>
    </row>
    <row r="366" spans="1:43">
      <c r="A366" t="s">
        <v>810</v>
      </c>
      <c r="B366" s="408" t="s">
        <v>147</v>
      </c>
      <c r="C366" s="408"/>
      <c r="D366" s="408"/>
      <c r="E366" s="408"/>
      <c r="F366" s="481">
        <f t="shared" si="50"/>
        <v>128000</v>
      </c>
    </row>
    <row r="367" spans="1:43">
      <c r="A367" t="s">
        <v>811</v>
      </c>
      <c r="B367" s="408" t="s">
        <v>176</v>
      </c>
      <c r="C367" s="408"/>
      <c r="D367" s="408"/>
      <c r="E367" s="408"/>
      <c r="F367" s="481">
        <f t="shared" si="50"/>
        <v>420022.5</v>
      </c>
    </row>
    <row r="368" spans="1:43">
      <c r="A368" t="s">
        <v>812</v>
      </c>
      <c r="B368" s="408" t="s">
        <v>221</v>
      </c>
      <c r="C368" s="408"/>
      <c r="D368" s="408"/>
      <c r="E368" s="408"/>
      <c r="F368" s="481">
        <f t="shared" si="50"/>
        <v>8149008.4910203582</v>
      </c>
    </row>
    <row r="369" spans="1:6">
      <c r="A369" t="s">
        <v>813</v>
      </c>
      <c r="B369" s="408" t="s">
        <v>268</v>
      </c>
      <c r="C369" s="408"/>
      <c r="D369" s="408"/>
      <c r="E369" s="408"/>
      <c r="F369" s="481">
        <f t="shared" si="50"/>
        <v>2021174.23</v>
      </c>
    </row>
    <row r="370" spans="1:6">
      <c r="A370" t="s">
        <v>814</v>
      </c>
      <c r="B370" s="408" t="s">
        <v>298</v>
      </c>
      <c r="C370" s="408"/>
      <c r="D370" s="408"/>
      <c r="E370" s="408"/>
      <c r="F370" s="481">
        <f t="shared" si="50"/>
        <v>642899.0692307693</v>
      </c>
    </row>
    <row r="371" spans="1:6">
      <c r="A371" t="s">
        <v>815</v>
      </c>
      <c r="B371" s="408" t="s">
        <v>392</v>
      </c>
      <c r="C371" s="408"/>
      <c r="D371" s="408"/>
      <c r="E371" s="408"/>
      <c r="F371" s="481">
        <f t="shared" si="50"/>
        <v>5743722.358980895</v>
      </c>
    </row>
    <row r="372" spans="1:6">
      <c r="A372" t="s">
        <v>816</v>
      </c>
      <c r="B372" s="408" t="s">
        <v>432</v>
      </c>
      <c r="C372" s="408"/>
      <c r="D372" s="408"/>
      <c r="E372" s="408"/>
      <c r="F372" s="481">
        <f t="shared" si="50"/>
        <v>525785</v>
      </c>
    </row>
    <row r="373" spans="1:6">
      <c r="A373" t="s">
        <v>817</v>
      </c>
      <c r="B373" s="408" t="s">
        <v>441</v>
      </c>
      <c r="C373" s="408"/>
      <c r="D373" s="408"/>
      <c r="E373" s="408"/>
      <c r="F373" s="481">
        <f t="shared" si="50"/>
        <v>1367897.8158665223</v>
      </c>
    </row>
    <row r="374" spans="1:6">
      <c r="A374" t="s">
        <v>818</v>
      </c>
      <c r="B374" s="408" t="s">
        <v>477</v>
      </c>
      <c r="C374" s="408"/>
      <c r="D374" s="408"/>
      <c r="E374" s="408"/>
      <c r="F374" s="481">
        <f t="shared" si="50"/>
        <v>1944227.9175257732</v>
      </c>
    </row>
    <row r="375" spans="1:6">
      <c r="A375" t="s">
        <v>819</v>
      </c>
      <c r="B375" s="408" t="s">
        <v>488</v>
      </c>
      <c r="C375" s="408"/>
      <c r="D375" s="408"/>
      <c r="E375" s="408"/>
      <c r="F375" s="481">
        <f t="shared" si="50"/>
        <v>953493.33333333337</v>
      </c>
    </row>
    <row r="376" spans="1:6">
      <c r="A376" t="s">
        <v>820</v>
      </c>
      <c r="B376" s="408" t="s">
        <v>497</v>
      </c>
      <c r="C376" s="408"/>
      <c r="D376" s="408"/>
      <c r="E376" s="408"/>
      <c r="F376" s="481">
        <f t="shared" si="50"/>
        <v>706215</v>
      </c>
    </row>
    <row r="377" spans="1:6">
      <c r="A377" t="s">
        <v>821</v>
      </c>
      <c r="B377" s="408" t="s">
        <v>507</v>
      </c>
      <c r="C377" s="408"/>
      <c r="D377" s="408"/>
      <c r="E377" s="408"/>
      <c r="F377" s="481">
        <f t="shared" si="50"/>
        <v>1257100</v>
      </c>
    </row>
    <row r="378" spans="1:6">
      <c r="A378" t="s">
        <v>822</v>
      </c>
      <c r="B378" s="408" t="s">
        <v>521</v>
      </c>
      <c r="C378" s="408"/>
      <c r="D378" s="408"/>
      <c r="E378" s="408"/>
      <c r="F378" s="481">
        <f t="shared" si="50"/>
        <v>3790550</v>
      </c>
    </row>
    <row r="379" spans="1:6">
      <c r="A379" t="s">
        <v>823</v>
      </c>
      <c r="B379" s="408" t="s">
        <v>528</v>
      </c>
      <c r="C379" s="408"/>
      <c r="D379" s="408"/>
      <c r="E379" s="408"/>
      <c r="F379" s="481">
        <f t="shared" si="50"/>
        <v>3588865.979381443</v>
      </c>
    </row>
    <row r="380" spans="1:6">
      <c r="A380" t="s">
        <v>824</v>
      </c>
      <c r="B380" s="408" t="s">
        <v>562</v>
      </c>
      <c r="C380" s="408"/>
      <c r="D380" s="408"/>
      <c r="E380" s="408"/>
      <c r="F380" s="481">
        <f t="shared" si="50"/>
        <v>5025337.5</v>
      </c>
    </row>
    <row r="381" spans="1:6">
      <c r="A381" t="s">
        <v>825</v>
      </c>
      <c r="B381" s="408" t="s">
        <v>572</v>
      </c>
      <c r="C381" s="408"/>
      <c r="D381" s="408"/>
      <c r="E381" s="408"/>
      <c r="F381" s="481">
        <f t="shared" si="50"/>
        <v>166956.95000000001</v>
      </c>
    </row>
    <row r="382" spans="1:6">
      <c r="A382" t="s">
        <v>826</v>
      </c>
      <c r="B382" s="408" t="s">
        <v>583</v>
      </c>
      <c r="C382" s="408"/>
      <c r="D382" s="408"/>
      <c r="E382" s="408"/>
      <c r="F382" s="481">
        <f t="shared" si="50"/>
        <v>818446.35493372602</v>
      </c>
    </row>
    <row r="383" spans="1:6">
      <c r="A383" t="s">
        <v>827</v>
      </c>
      <c r="B383" s="408" t="s">
        <v>604</v>
      </c>
      <c r="C383" s="408"/>
      <c r="D383" s="408"/>
      <c r="E383" s="408"/>
      <c r="F383" s="481">
        <f t="shared" si="50"/>
        <v>2300644</v>
      </c>
    </row>
    <row r="384" spans="1:6">
      <c r="A384" t="s">
        <v>828</v>
      </c>
      <c r="B384" s="408" t="s">
        <v>680</v>
      </c>
      <c r="C384" s="408"/>
      <c r="D384" s="408"/>
      <c r="E384" s="408"/>
      <c r="F384" s="481">
        <f t="shared" si="50"/>
        <v>6828005.8100000005</v>
      </c>
    </row>
    <row r="385" spans="1:7">
      <c r="A385" t="s">
        <v>829</v>
      </c>
      <c r="B385" s="408" t="s">
        <v>709</v>
      </c>
      <c r="C385" s="408"/>
      <c r="D385" s="408"/>
      <c r="E385" s="408"/>
      <c r="F385" s="481">
        <f t="shared" si="50"/>
        <v>3907248</v>
      </c>
    </row>
    <row r="386" spans="1:7">
      <c r="A386" t="s">
        <v>830</v>
      </c>
      <c r="B386" s="408" t="s">
        <v>718</v>
      </c>
      <c r="C386" s="408"/>
      <c r="D386" s="408"/>
      <c r="E386" s="408"/>
      <c r="F386" s="481">
        <f t="shared" si="50"/>
        <v>7500</v>
      </c>
    </row>
    <row r="387" spans="1:7">
      <c r="A387" t="s">
        <v>831</v>
      </c>
      <c r="B387" s="408" t="s">
        <v>727</v>
      </c>
      <c r="C387" s="408"/>
      <c r="D387" s="408"/>
      <c r="E387" s="408"/>
      <c r="F387" s="481">
        <f t="shared" si="50"/>
        <v>1077434</v>
      </c>
    </row>
    <row r="388" spans="1:7">
      <c r="A388" t="s">
        <v>832</v>
      </c>
      <c r="B388" s="408" t="s">
        <v>749</v>
      </c>
      <c r="C388" s="408"/>
      <c r="D388" s="408"/>
      <c r="E388" s="408"/>
      <c r="F388" s="481">
        <f t="shared" si="50"/>
        <v>502425</v>
      </c>
    </row>
    <row r="389" spans="1:7">
      <c r="A389" t="s">
        <v>751</v>
      </c>
      <c r="B389" s="408" t="s">
        <v>751</v>
      </c>
      <c r="C389" s="408"/>
      <c r="D389" s="408"/>
      <c r="E389" s="408"/>
      <c r="F389" s="481">
        <f t="shared" si="50"/>
        <v>1113111.0294454566</v>
      </c>
    </row>
    <row r="390" spans="1:7">
      <c r="A390" t="s">
        <v>782</v>
      </c>
      <c r="B390" s="408" t="s">
        <v>782</v>
      </c>
      <c r="C390" s="408"/>
      <c r="D390" s="408"/>
      <c r="E390" s="408"/>
      <c r="F390" s="481">
        <f t="shared" si="50"/>
        <v>1181753.162</v>
      </c>
    </row>
    <row r="391" spans="1:7">
      <c r="A391" t="s">
        <v>833</v>
      </c>
      <c r="B391" s="408" t="s">
        <v>789</v>
      </c>
      <c r="C391" s="408"/>
      <c r="D391" s="408"/>
      <c r="E391" s="408"/>
      <c r="F391" s="481">
        <f t="shared" si="50"/>
        <v>1567699.8897513663</v>
      </c>
    </row>
    <row r="392" spans="1:7">
      <c r="A392" t="s">
        <v>834</v>
      </c>
      <c r="B392" s="408" t="s">
        <v>785</v>
      </c>
      <c r="C392" s="408"/>
      <c r="D392" s="408"/>
      <c r="E392" s="408"/>
      <c r="F392" s="481">
        <f t="shared" si="50"/>
        <v>2782777.5736136418</v>
      </c>
    </row>
    <row r="393" spans="1:7">
      <c r="A393" t="s">
        <v>835</v>
      </c>
      <c r="B393" s="408" t="s">
        <v>799</v>
      </c>
      <c r="C393" s="408"/>
      <c r="D393" s="408"/>
      <c r="E393" s="408"/>
      <c r="F393" s="481">
        <f t="shared" si="50"/>
        <v>4451754.6799928835</v>
      </c>
    </row>
    <row r="394" spans="1:7">
      <c r="A394" t="s">
        <v>66</v>
      </c>
      <c r="B394" s="408"/>
      <c r="C394" s="408"/>
      <c r="D394" s="408"/>
      <c r="E394" s="408"/>
      <c r="F394" s="633">
        <f>SUM(F363:F393)</f>
        <v>68910227.733412534</v>
      </c>
    </row>
    <row r="395" spans="1:7">
      <c r="A395" s="634" t="s">
        <v>836</v>
      </c>
      <c r="B395" s="342"/>
      <c r="C395" s="342"/>
      <c r="D395" s="342"/>
      <c r="E395" s="342"/>
      <c r="F395" s="635">
        <f>$L$319-F394</f>
        <v>0</v>
      </c>
    </row>
    <row r="397" spans="1:7">
      <c r="A397" s="484" t="s">
        <v>837</v>
      </c>
      <c r="B397" s="408"/>
      <c r="C397" s="408"/>
      <c r="D397" s="408"/>
      <c r="E397" s="408"/>
      <c r="F397" s="408"/>
      <c r="G397"/>
    </row>
    <row r="398" spans="1:7">
      <c r="A398" s="484" t="s">
        <v>838</v>
      </c>
      <c r="B398" s="408"/>
      <c r="C398" s="408"/>
      <c r="D398" s="408"/>
      <c r="E398" s="408"/>
      <c r="F398" s="408"/>
      <c r="G398"/>
    </row>
    <row r="399" spans="1:7">
      <c r="A399" t="s">
        <v>202</v>
      </c>
      <c r="B399" s="408" t="s">
        <v>350</v>
      </c>
      <c r="C399" s="408"/>
      <c r="D399" s="408"/>
      <c r="E399" s="408"/>
      <c r="F399" s="481">
        <f t="shared" ref="F399:F409" si="51">SUMIF($B$14:$B$319,B399,$K$14:$K$319)</f>
        <v>513238.18869518046</v>
      </c>
      <c r="G399" s="408" t="s">
        <v>392</v>
      </c>
    </row>
    <row r="400" spans="1:7">
      <c r="A400" t="s">
        <v>353</v>
      </c>
      <c r="B400" s="408" t="s">
        <v>354</v>
      </c>
      <c r="C400" s="408"/>
      <c r="D400" s="408"/>
      <c r="E400" s="408"/>
      <c r="F400" s="481">
        <f t="shared" si="51"/>
        <v>0</v>
      </c>
      <c r="G400" s="408" t="s">
        <v>392</v>
      </c>
    </row>
    <row r="401" spans="1:7">
      <c r="A401" t="s">
        <v>355</v>
      </c>
      <c r="B401" s="408" t="s">
        <v>356</v>
      </c>
      <c r="C401" s="408"/>
      <c r="D401" s="408"/>
      <c r="E401" s="408"/>
      <c r="F401" s="481">
        <f t="shared" si="51"/>
        <v>0</v>
      </c>
      <c r="G401" s="408" t="s">
        <v>392</v>
      </c>
    </row>
    <row r="402" spans="1:7">
      <c r="A402" t="s">
        <v>357</v>
      </c>
      <c r="B402" s="408" t="s">
        <v>358</v>
      </c>
      <c r="C402" s="408"/>
      <c r="D402" s="408"/>
      <c r="E402" s="408"/>
      <c r="F402" s="481">
        <f t="shared" si="51"/>
        <v>271928.25</v>
      </c>
      <c r="G402" s="408" t="s">
        <v>392</v>
      </c>
    </row>
    <row r="403" spans="1:7">
      <c r="A403" t="s">
        <v>360</v>
      </c>
      <c r="B403" s="408" t="s">
        <v>361</v>
      </c>
      <c r="C403" s="408"/>
      <c r="D403" s="408"/>
      <c r="E403" s="408"/>
      <c r="F403" s="481">
        <f t="shared" si="51"/>
        <v>4500</v>
      </c>
      <c r="G403" s="408" t="s">
        <v>392</v>
      </c>
    </row>
    <row r="404" spans="1:7">
      <c r="A404" t="s">
        <v>362</v>
      </c>
      <c r="B404" s="408" t="s">
        <v>363</v>
      </c>
      <c r="C404" s="408"/>
      <c r="D404" s="408"/>
      <c r="E404" s="408"/>
      <c r="F404" s="481">
        <f t="shared" si="51"/>
        <v>0</v>
      </c>
      <c r="G404" s="408" t="s">
        <v>392</v>
      </c>
    </row>
    <row r="405" spans="1:7">
      <c r="A405" t="s">
        <v>364</v>
      </c>
      <c r="B405" s="408" t="s">
        <v>365</v>
      </c>
      <c r="C405" s="408"/>
      <c r="D405" s="408"/>
      <c r="E405" s="408"/>
      <c r="F405" s="481">
        <f t="shared" si="51"/>
        <v>0</v>
      </c>
      <c r="G405" s="408" t="s">
        <v>392</v>
      </c>
    </row>
    <row r="406" spans="1:7">
      <c r="A406" t="s">
        <v>839</v>
      </c>
      <c r="B406" s="408" t="s">
        <v>367</v>
      </c>
      <c r="C406" s="408"/>
      <c r="D406" s="408"/>
      <c r="E406" s="408"/>
      <c r="F406" s="481">
        <f t="shared" si="51"/>
        <v>37163.125999999997</v>
      </c>
      <c r="G406" s="408" t="s">
        <v>392</v>
      </c>
    </row>
    <row r="407" spans="1:7">
      <c r="A407" t="s">
        <v>840</v>
      </c>
      <c r="B407" s="408" t="s">
        <v>370</v>
      </c>
      <c r="C407" s="408"/>
      <c r="D407" s="408"/>
      <c r="E407" s="408"/>
      <c r="F407" s="481">
        <f t="shared" si="51"/>
        <v>35114.714285714283</v>
      </c>
      <c r="G407" s="408" t="s">
        <v>392</v>
      </c>
    </row>
    <row r="408" spans="1:7">
      <c r="A408" t="s">
        <v>433</v>
      </c>
      <c r="B408" s="408" t="s">
        <v>434</v>
      </c>
      <c r="C408" s="408"/>
      <c r="D408" s="408"/>
      <c r="E408" s="408"/>
      <c r="F408" s="481">
        <f t="shared" si="51"/>
        <v>1367897.8158665223</v>
      </c>
      <c r="G408" s="408" t="s">
        <v>441</v>
      </c>
    </row>
    <row r="409" spans="1:7" ht="17.25">
      <c r="A409" t="s">
        <v>213</v>
      </c>
      <c r="B409" s="408" t="s">
        <v>449</v>
      </c>
      <c r="C409" s="408"/>
      <c r="D409" s="408"/>
      <c r="E409" s="408"/>
      <c r="F409" s="636">
        <f t="shared" si="51"/>
        <v>160809</v>
      </c>
      <c r="G409" s="408" t="s">
        <v>477</v>
      </c>
    </row>
    <row r="410" spans="1:7">
      <c r="A410" t="s">
        <v>841</v>
      </c>
      <c r="B410" s="408"/>
      <c r="C410" s="408"/>
      <c r="D410" s="408"/>
      <c r="E410" s="408"/>
      <c r="F410" s="633">
        <f>SUM(F399:F409)</f>
        <v>2390651.094847417</v>
      </c>
      <c r="G410"/>
    </row>
    <row r="411" spans="1:7">
      <c r="A411"/>
      <c r="B411" s="408"/>
      <c r="C411" s="408"/>
      <c r="D411" s="408"/>
      <c r="E411" s="408"/>
      <c r="F411" s="408"/>
      <c r="G411"/>
    </row>
    <row r="412" spans="1:7">
      <c r="A412"/>
      <c r="B412" s="408"/>
      <c r="C412" s="408"/>
      <c r="D412" s="408"/>
      <c r="E412" s="408"/>
      <c r="F412"/>
      <c r="G412"/>
    </row>
    <row r="413" spans="1:7">
      <c r="A413" s="484" t="s">
        <v>842</v>
      </c>
      <c r="B413" s="408"/>
      <c r="C413" s="408"/>
      <c r="D413" s="408"/>
      <c r="E413" s="408"/>
      <c r="F413" s="408"/>
      <c r="G413"/>
    </row>
    <row r="414" spans="1:7">
      <c r="A414" s="634" t="s">
        <v>843</v>
      </c>
      <c r="B414" s="408"/>
      <c r="C414" s="408"/>
      <c r="D414" s="408"/>
      <c r="E414" s="408"/>
      <c r="F414" s="408"/>
      <c r="G414"/>
    </row>
    <row r="415" spans="1:7">
      <c r="A415" t="s">
        <v>844</v>
      </c>
      <c r="B415" s="408">
        <v>2</v>
      </c>
      <c r="C415" s="408"/>
      <c r="D415" s="408"/>
      <c r="E415" s="408"/>
      <c r="F415" s="481">
        <f t="shared" ref="F415:F420" si="52">SUMIF($B$14:$B$319,B415,$L$14:$L$319)</f>
        <v>16000</v>
      </c>
      <c r="G415"/>
    </row>
    <row r="416" spans="1:7">
      <c r="A416" t="s">
        <v>845</v>
      </c>
      <c r="B416" s="408">
        <v>31</v>
      </c>
      <c r="C416" s="408"/>
      <c r="D416" s="408"/>
      <c r="E416" s="408"/>
      <c r="F416" s="481">
        <f t="shared" si="52"/>
        <v>2300644</v>
      </c>
      <c r="G416"/>
    </row>
    <row r="417" spans="1:7">
      <c r="A417" t="s">
        <v>846</v>
      </c>
      <c r="B417" s="408">
        <v>32</v>
      </c>
      <c r="C417" s="408"/>
      <c r="D417" s="408"/>
      <c r="E417" s="408"/>
      <c r="F417" s="481">
        <f t="shared" si="52"/>
        <v>6828005.8100000005</v>
      </c>
      <c r="G417"/>
    </row>
    <row r="418" spans="1:7">
      <c r="A418" t="s">
        <v>847</v>
      </c>
      <c r="B418" s="408">
        <v>33</v>
      </c>
      <c r="C418" s="408"/>
      <c r="D418" s="408"/>
      <c r="E418" s="408"/>
      <c r="F418" s="481">
        <f t="shared" si="52"/>
        <v>3907248</v>
      </c>
      <c r="G418"/>
    </row>
    <row r="419" spans="1:7">
      <c r="A419" t="s">
        <v>848</v>
      </c>
      <c r="B419" s="408">
        <v>34</v>
      </c>
      <c r="C419" s="408"/>
      <c r="D419" s="408"/>
      <c r="E419" s="408"/>
      <c r="F419" s="481">
        <f t="shared" si="52"/>
        <v>7500</v>
      </c>
      <c r="G419"/>
    </row>
    <row r="420" spans="1:7">
      <c r="A420" t="s">
        <v>849</v>
      </c>
      <c r="B420" s="408">
        <v>48</v>
      </c>
      <c r="C420" s="408"/>
      <c r="D420" s="408"/>
      <c r="E420" s="408"/>
      <c r="F420" s="481">
        <f t="shared" si="52"/>
        <v>1077434</v>
      </c>
      <c r="G420"/>
    </row>
    <row r="421" spans="1:7">
      <c r="A421"/>
      <c r="B421" s="408"/>
      <c r="C421" s="408"/>
      <c r="D421" s="408"/>
      <c r="E421" s="408"/>
      <c r="F421" s="481"/>
      <c r="G421"/>
    </row>
    <row r="422" spans="1:7">
      <c r="A422" s="634" t="s">
        <v>850</v>
      </c>
      <c r="B422" s="408"/>
      <c r="C422" s="408"/>
      <c r="D422" s="408"/>
      <c r="E422" s="408"/>
      <c r="F422" s="481"/>
      <c r="G422"/>
    </row>
    <row r="423" spans="1:7">
      <c r="A423" t="s">
        <v>482</v>
      </c>
      <c r="B423" s="408" t="s">
        <v>483</v>
      </c>
      <c r="C423" s="408"/>
      <c r="D423" s="408"/>
      <c r="E423" s="408"/>
      <c r="F423" s="481">
        <f t="shared" ref="F423:F430" si="53">SUMIF($B$14:$B$319,B423,$K$14:$K$319)</f>
        <v>655512</v>
      </c>
      <c r="G423"/>
    </row>
    <row r="424" spans="1:7">
      <c r="A424" t="s">
        <v>308</v>
      </c>
      <c r="B424" s="408" t="s">
        <v>851</v>
      </c>
      <c r="C424" s="408"/>
      <c r="D424" s="408"/>
      <c r="E424" s="408"/>
      <c r="F424" s="481">
        <f t="shared" si="53"/>
        <v>0</v>
      </c>
      <c r="G424"/>
    </row>
    <row r="425" spans="1:7">
      <c r="A425" t="s">
        <v>852</v>
      </c>
      <c r="B425" s="408"/>
      <c r="C425" s="408"/>
      <c r="D425" s="408"/>
      <c r="E425" s="408"/>
      <c r="F425" s="481">
        <f t="shared" si="53"/>
        <v>0</v>
      </c>
      <c r="G425"/>
    </row>
    <row r="426" spans="1:7">
      <c r="A426" t="s">
        <v>853</v>
      </c>
      <c r="B426" s="408"/>
      <c r="C426" s="408"/>
      <c r="D426" s="408"/>
      <c r="E426" s="408"/>
      <c r="F426" s="481">
        <f t="shared" si="53"/>
        <v>0</v>
      </c>
      <c r="G426"/>
    </row>
    <row r="427" spans="1:7">
      <c r="A427" t="s">
        <v>479</v>
      </c>
      <c r="B427" s="408" t="s">
        <v>480</v>
      </c>
      <c r="C427" s="408"/>
      <c r="D427" s="408"/>
      <c r="E427" s="408"/>
      <c r="F427" s="481">
        <f t="shared" si="53"/>
        <v>290932.33333333337</v>
      </c>
      <c r="G427"/>
    </row>
    <row r="428" spans="1:7">
      <c r="A428" t="s">
        <v>403</v>
      </c>
      <c r="B428" s="408" t="s">
        <v>854</v>
      </c>
      <c r="C428" s="408"/>
      <c r="D428" s="408"/>
      <c r="E428" s="408"/>
      <c r="F428" s="481">
        <f t="shared" si="53"/>
        <v>0</v>
      </c>
      <c r="G428"/>
    </row>
    <row r="429" spans="1:7">
      <c r="A429" t="s">
        <v>545</v>
      </c>
      <c r="B429" s="408" t="s">
        <v>855</v>
      </c>
      <c r="C429" s="408"/>
      <c r="D429" s="408"/>
      <c r="E429" s="408"/>
      <c r="F429" s="481">
        <f t="shared" si="53"/>
        <v>0</v>
      </c>
      <c r="G429"/>
    </row>
    <row r="430" spans="1:7">
      <c r="A430" t="s">
        <v>92</v>
      </c>
      <c r="B430" s="408" t="s">
        <v>80</v>
      </c>
      <c r="C430" s="408"/>
      <c r="D430" s="408"/>
      <c r="E430"/>
      <c r="F430" s="481">
        <f t="shared" si="53"/>
        <v>2201768</v>
      </c>
      <c r="G430"/>
    </row>
    <row r="431" spans="1:7">
      <c r="A431" s="484" t="s">
        <v>856</v>
      </c>
      <c r="B431" s="632"/>
      <c r="C431" s="632"/>
      <c r="D431" s="632"/>
      <c r="E431" s="484"/>
      <c r="F431" s="637">
        <f>SUM(F415:F430)</f>
        <v>17285044.143333334</v>
      </c>
      <c r="G431"/>
    </row>
    <row r="432" spans="1:7">
      <c r="A432"/>
      <c r="B432" s="408"/>
      <c r="C432" s="408"/>
      <c r="D432" s="408"/>
      <c r="E432"/>
      <c r="F432"/>
      <c r="G432"/>
    </row>
    <row r="433" spans="1:7">
      <c r="A433"/>
      <c r="B433"/>
      <c r="C433"/>
      <c r="D433"/>
      <c r="E433"/>
      <c r="F433"/>
      <c r="G433"/>
    </row>
    <row r="434" spans="1:7">
      <c r="A434" t="s">
        <v>672</v>
      </c>
      <c r="B434" s="408" t="s">
        <v>857</v>
      </c>
      <c r="C434" s="408"/>
      <c r="D434" s="408"/>
      <c r="E434" s="638" t="s">
        <v>858</v>
      </c>
      <c r="F434" s="408"/>
      <c r="G434"/>
    </row>
    <row r="435" spans="1:7">
      <c r="A435" t="s">
        <v>674</v>
      </c>
      <c r="B435" s="408" t="s">
        <v>859</v>
      </c>
      <c r="C435" s="408"/>
      <c r="D435" s="408"/>
      <c r="E435" s="638" t="s">
        <v>858</v>
      </c>
      <c r="F435" s="408"/>
      <c r="G435"/>
    </row>
    <row r="436" spans="1:7">
      <c r="A436" t="s">
        <v>675</v>
      </c>
      <c r="B436" s="408" t="s">
        <v>860</v>
      </c>
      <c r="C436" s="408"/>
      <c r="D436" s="408"/>
      <c r="E436" s="638" t="s">
        <v>858</v>
      </c>
      <c r="F436" s="408"/>
      <c r="G436"/>
    </row>
    <row r="437" spans="1:7">
      <c r="A437" t="s">
        <v>676</v>
      </c>
      <c r="B437" s="408" t="s">
        <v>861</v>
      </c>
      <c r="C437" s="408"/>
      <c r="D437" s="408"/>
      <c r="E437" s="638" t="s">
        <v>858</v>
      </c>
      <c r="F437" s="408"/>
      <c r="G437"/>
    </row>
    <row r="438" spans="1:7">
      <c r="A438" t="s">
        <v>688</v>
      </c>
      <c r="B438" s="408" t="s">
        <v>862</v>
      </c>
      <c r="C438" s="408"/>
      <c r="D438" s="408"/>
      <c r="E438" s="638" t="s">
        <v>863</v>
      </c>
      <c r="F438" s="408"/>
      <c r="G438"/>
    </row>
    <row r="439" spans="1:7">
      <c r="A439" t="s">
        <v>704</v>
      </c>
      <c r="B439" s="408" t="s">
        <v>864</v>
      </c>
      <c r="C439" s="408"/>
      <c r="D439" s="408"/>
      <c r="E439" s="638" t="s">
        <v>863</v>
      </c>
      <c r="F439" s="408"/>
      <c r="G439"/>
    </row>
    <row r="440" spans="1:7">
      <c r="A440" t="s">
        <v>705</v>
      </c>
      <c r="B440" s="408" t="s">
        <v>865</v>
      </c>
      <c r="C440" s="408"/>
      <c r="D440" s="408"/>
      <c r="E440" s="638" t="s">
        <v>863</v>
      </c>
      <c r="F440" s="408"/>
      <c r="G440"/>
    </row>
    <row r="441" spans="1:7">
      <c r="A441" t="s">
        <v>707</v>
      </c>
      <c r="B441" s="408" t="s">
        <v>866</v>
      </c>
      <c r="C441" s="408"/>
      <c r="D441" s="408"/>
      <c r="E441" s="638" t="s">
        <v>863</v>
      </c>
      <c r="F441"/>
      <c r="G441"/>
    </row>
    <row r="442" spans="1:7">
      <c r="A442" t="s">
        <v>715</v>
      </c>
      <c r="B442" s="408" t="s">
        <v>867</v>
      </c>
      <c r="C442" s="408"/>
      <c r="D442" s="408"/>
      <c r="E442" s="638" t="s">
        <v>868</v>
      </c>
      <c r="F442"/>
      <c r="G442"/>
    </row>
    <row r="443" spans="1:7">
      <c r="A443" t="s">
        <v>92</v>
      </c>
      <c r="B443" s="408" t="s">
        <v>80</v>
      </c>
      <c r="C443" s="408"/>
      <c r="D443" s="408"/>
      <c r="E443" s="408"/>
      <c r="F443"/>
      <c r="G443"/>
    </row>
    <row r="444" spans="1:7">
      <c r="A444"/>
      <c r="B444" s="408"/>
      <c r="C444" s="408"/>
      <c r="D444" s="408"/>
      <c r="E444" s="408"/>
      <c r="F444"/>
      <c r="G444"/>
    </row>
    <row r="445" spans="1:7">
      <c r="A445" s="484" t="s">
        <v>869</v>
      </c>
      <c r="B445" s="408"/>
      <c r="C445" s="408"/>
      <c r="D445" s="408"/>
      <c r="E445" s="408"/>
      <c r="F445"/>
      <c r="G445"/>
    </row>
    <row r="446" spans="1:7">
      <c r="A446" s="484" t="s">
        <v>870</v>
      </c>
      <c r="B446" s="408"/>
      <c r="C446" s="408"/>
      <c r="D446" s="408"/>
      <c r="E446" s="408"/>
      <c r="F446"/>
      <c r="G446"/>
    </row>
    <row r="447" spans="1:7">
      <c r="A447" t="s">
        <v>403</v>
      </c>
      <c r="B447" s="408" t="s">
        <v>854</v>
      </c>
      <c r="C447" s="408"/>
      <c r="D447" s="408"/>
      <c r="E447" s="408"/>
      <c r="F447" s="481">
        <f t="shared" ref="F447:F457" si="54">SUMIF($B$14:$B$319,B447,$K$14:$K$319)</f>
        <v>0</v>
      </c>
      <c r="G447"/>
    </row>
    <row r="448" spans="1:7">
      <c r="A448" t="s">
        <v>545</v>
      </c>
      <c r="B448" s="408" t="s">
        <v>855</v>
      </c>
      <c r="C448" s="408"/>
      <c r="D448" s="408"/>
      <c r="E448" s="408"/>
      <c r="F448" s="481">
        <f t="shared" si="54"/>
        <v>0</v>
      </c>
      <c r="G448"/>
    </row>
    <row r="449" spans="1:7">
      <c r="A449" t="s">
        <v>672</v>
      </c>
      <c r="B449" s="408" t="s">
        <v>857</v>
      </c>
      <c r="C449" s="408"/>
      <c r="D449" s="408"/>
      <c r="E449" s="408"/>
      <c r="F449" s="481">
        <f t="shared" si="54"/>
        <v>0</v>
      </c>
      <c r="G449"/>
    </row>
    <row r="450" spans="1:7">
      <c r="A450" t="s">
        <v>674</v>
      </c>
      <c r="B450" s="408" t="s">
        <v>859</v>
      </c>
      <c r="C450" s="408"/>
      <c r="D450" s="408"/>
      <c r="E450" s="408"/>
      <c r="F450" s="481">
        <f t="shared" si="54"/>
        <v>0</v>
      </c>
      <c r="G450"/>
    </row>
    <row r="451" spans="1:7">
      <c r="A451" t="s">
        <v>675</v>
      </c>
      <c r="B451" s="408" t="s">
        <v>860</v>
      </c>
      <c r="C451" s="408"/>
      <c r="D451" s="408"/>
      <c r="E451" s="408"/>
      <c r="F451" s="481">
        <f t="shared" si="54"/>
        <v>0</v>
      </c>
      <c r="G451"/>
    </row>
    <row r="452" spans="1:7">
      <c r="A452" t="s">
        <v>676</v>
      </c>
      <c r="B452" s="408" t="s">
        <v>861</v>
      </c>
      <c r="C452" s="408"/>
      <c r="D452" s="408"/>
      <c r="E452" s="408"/>
      <c r="F452" s="481">
        <f t="shared" si="54"/>
        <v>0</v>
      </c>
      <c r="G452"/>
    </row>
    <row r="453" spans="1:7">
      <c r="A453" t="s">
        <v>704</v>
      </c>
      <c r="B453" s="408" t="s">
        <v>864</v>
      </c>
      <c r="C453" s="408"/>
      <c r="D453" s="408"/>
      <c r="E453" s="408"/>
      <c r="F453" s="481">
        <f t="shared" si="54"/>
        <v>0</v>
      </c>
      <c r="G453"/>
    </row>
    <row r="454" spans="1:7">
      <c r="A454" t="s">
        <v>705</v>
      </c>
      <c r="B454" s="408" t="s">
        <v>865</v>
      </c>
      <c r="C454" s="408"/>
      <c r="D454" s="408"/>
      <c r="E454" s="408"/>
      <c r="F454" s="481">
        <f t="shared" si="54"/>
        <v>0</v>
      </c>
      <c r="G454"/>
    </row>
    <row r="455" spans="1:7">
      <c r="A455" t="s">
        <v>688</v>
      </c>
      <c r="B455" s="408" t="s">
        <v>862</v>
      </c>
      <c r="C455" s="408"/>
      <c r="D455" s="408"/>
      <c r="E455" s="408"/>
      <c r="F455" s="481">
        <f t="shared" si="54"/>
        <v>0</v>
      </c>
      <c r="G455"/>
    </row>
    <row r="456" spans="1:7">
      <c r="A456" t="s">
        <v>707</v>
      </c>
      <c r="B456" s="408" t="s">
        <v>866</v>
      </c>
      <c r="C456" s="408"/>
      <c r="D456" s="408"/>
      <c r="E456" s="408"/>
      <c r="F456" s="481">
        <f t="shared" si="54"/>
        <v>0</v>
      </c>
      <c r="G456"/>
    </row>
    <row r="457" spans="1:7">
      <c r="A457" t="s">
        <v>715</v>
      </c>
      <c r="B457" s="408" t="s">
        <v>867</v>
      </c>
      <c r="C457" s="408"/>
      <c r="D457" s="408"/>
      <c r="E457" s="408"/>
      <c r="F457" s="481">
        <f t="shared" si="54"/>
        <v>0</v>
      </c>
      <c r="G457"/>
    </row>
    <row r="458" spans="1:7">
      <c r="A458"/>
      <c r="B458" s="408"/>
      <c r="C458" s="408"/>
      <c r="D458" s="408"/>
      <c r="E458" s="408"/>
      <c r="F458"/>
      <c r="G458"/>
    </row>
    <row r="459" spans="1:7">
      <c r="A459" s="484" t="s">
        <v>871</v>
      </c>
      <c r="B459" s="408"/>
      <c r="C459" s="408"/>
      <c r="D459" s="408"/>
      <c r="E459" s="408"/>
      <c r="F459"/>
      <c r="G459"/>
    </row>
    <row r="460" spans="1:7">
      <c r="A460" s="634" t="s">
        <v>843</v>
      </c>
      <c r="B460" s="408"/>
      <c r="C460" s="408"/>
      <c r="D460" s="408"/>
      <c r="E460" s="408"/>
      <c r="F460"/>
      <c r="G460"/>
    </row>
    <row r="461" spans="1:7">
      <c r="A461" t="s">
        <v>804</v>
      </c>
      <c r="B461" s="408" t="s">
        <v>805</v>
      </c>
      <c r="C461" s="408"/>
      <c r="D461" s="408"/>
      <c r="E461" s="408"/>
      <c r="F461" s="481">
        <f>SUMIF($B$14:$B$319,B461,$K$14:$K$319)</f>
        <v>0</v>
      </c>
      <c r="G461"/>
    </row>
    <row r="462" spans="1:7">
      <c r="A462"/>
      <c r="B462" s="408"/>
      <c r="C462" s="408"/>
      <c r="D462" s="408"/>
      <c r="E462" s="408"/>
      <c r="F462"/>
      <c r="G462"/>
    </row>
    <row r="463" spans="1:7">
      <c r="A463" s="634" t="s">
        <v>850</v>
      </c>
      <c r="B463" s="408"/>
      <c r="C463" s="408"/>
      <c r="D463" s="408"/>
      <c r="E463" s="408"/>
      <c r="F463"/>
      <c r="G463"/>
    </row>
    <row r="464" spans="1:7">
      <c r="A464" t="s">
        <v>92</v>
      </c>
      <c r="B464" s="408" t="s">
        <v>80</v>
      </c>
      <c r="C464" s="408"/>
      <c r="D464" s="408"/>
      <c r="E464" s="408"/>
      <c r="F464" s="481">
        <f t="shared" ref="F464:F513" si="55">SUMIF($B$14:$B$319,B464,$K$14:$K$319)</f>
        <v>2201768</v>
      </c>
      <c r="G464"/>
    </row>
    <row r="465" spans="1:7">
      <c r="A465" t="s">
        <v>101</v>
      </c>
      <c r="B465" s="408" t="s">
        <v>102</v>
      </c>
      <c r="C465" s="408"/>
      <c r="D465" s="408"/>
      <c r="E465" s="408"/>
      <c r="F465" s="481">
        <f t="shared" si="55"/>
        <v>23959</v>
      </c>
      <c r="G465"/>
    </row>
    <row r="466" spans="1:7">
      <c r="A466" t="s">
        <v>105</v>
      </c>
      <c r="B466" s="408" t="s">
        <v>106</v>
      </c>
      <c r="C466" s="408"/>
      <c r="D466" s="408"/>
      <c r="E466" s="408"/>
      <c r="F466" s="481">
        <f t="shared" si="55"/>
        <v>6500</v>
      </c>
      <c r="G466"/>
    </row>
    <row r="467" spans="1:7">
      <c r="A467" t="s">
        <v>108</v>
      </c>
      <c r="B467" s="408" t="s">
        <v>109</v>
      </c>
      <c r="C467" s="408"/>
      <c r="D467" s="408"/>
      <c r="E467" s="408"/>
      <c r="F467" s="481">
        <f t="shared" si="55"/>
        <v>4290</v>
      </c>
      <c r="G467"/>
    </row>
    <row r="468" spans="1:7">
      <c r="A468" t="s">
        <v>117</v>
      </c>
      <c r="B468" s="408" t="s">
        <v>118</v>
      </c>
      <c r="C468" s="408"/>
      <c r="D468" s="408"/>
      <c r="E468" s="408"/>
      <c r="F468" s="481">
        <f t="shared" si="55"/>
        <v>32600</v>
      </c>
      <c r="G468"/>
    </row>
    <row r="469" spans="1:7">
      <c r="A469" t="s">
        <v>139</v>
      </c>
      <c r="B469" s="408" t="s">
        <v>140</v>
      </c>
      <c r="C469" s="408"/>
      <c r="D469" s="408"/>
      <c r="E469" s="408"/>
      <c r="F469" s="481">
        <f t="shared" si="55"/>
        <v>15000</v>
      </c>
      <c r="G469"/>
    </row>
    <row r="470" spans="1:7">
      <c r="A470" t="s">
        <v>872</v>
      </c>
      <c r="B470" s="408" t="s">
        <v>143</v>
      </c>
      <c r="C470" s="408"/>
      <c r="D470" s="408"/>
      <c r="E470" s="408"/>
      <c r="F470" s="481">
        <f t="shared" si="55"/>
        <v>15000</v>
      </c>
      <c r="G470"/>
    </row>
    <row r="471" spans="1:7">
      <c r="A471" t="s">
        <v>161</v>
      </c>
      <c r="B471" s="408" t="s">
        <v>162</v>
      </c>
      <c r="C471" s="408"/>
      <c r="D471" s="408"/>
      <c r="E471" s="408"/>
      <c r="F471" s="481">
        <f t="shared" si="55"/>
        <v>0</v>
      </c>
      <c r="G471"/>
    </row>
    <row r="472" spans="1:7">
      <c r="A472" t="s">
        <v>164</v>
      </c>
      <c r="B472" s="408" t="s">
        <v>165</v>
      </c>
      <c r="C472" s="408"/>
      <c r="D472" s="408"/>
      <c r="E472" s="408"/>
      <c r="F472" s="481">
        <f t="shared" si="55"/>
        <v>3900</v>
      </c>
      <c r="G472"/>
    </row>
    <row r="473" spans="1:7">
      <c r="A473" t="s">
        <v>189</v>
      </c>
      <c r="B473" s="408" t="s">
        <v>190</v>
      </c>
      <c r="C473" s="408"/>
      <c r="D473" s="408"/>
      <c r="E473" s="408"/>
      <c r="F473" s="481">
        <f t="shared" si="55"/>
        <v>0</v>
      </c>
      <c r="G473"/>
    </row>
    <row r="474" spans="1:7">
      <c r="A474" t="s">
        <v>192</v>
      </c>
      <c r="B474" s="408" t="s">
        <v>193</v>
      </c>
      <c r="C474" s="408"/>
      <c r="D474" s="408"/>
      <c r="E474" s="408"/>
      <c r="F474" s="481">
        <f t="shared" si="55"/>
        <v>10000</v>
      </c>
      <c r="G474"/>
    </row>
    <row r="475" spans="1:7">
      <c r="A475" t="s">
        <v>195</v>
      </c>
      <c r="B475" s="408" t="s">
        <v>196</v>
      </c>
      <c r="C475" s="408"/>
      <c r="D475" s="408"/>
      <c r="E475" s="408"/>
      <c r="F475" s="481">
        <f t="shared" si="55"/>
        <v>0</v>
      </c>
      <c r="G475"/>
    </row>
    <row r="476" spans="1:7">
      <c r="A476" t="s">
        <v>198</v>
      </c>
      <c r="B476" s="408" t="s">
        <v>199</v>
      </c>
      <c r="C476" s="408"/>
      <c r="D476" s="408"/>
      <c r="E476" s="408"/>
      <c r="F476" s="481">
        <f t="shared" si="55"/>
        <v>0</v>
      </c>
      <c r="G476"/>
    </row>
    <row r="477" spans="1:7">
      <c r="A477" t="s">
        <v>214</v>
      </c>
      <c r="B477" s="408" t="s">
        <v>215</v>
      </c>
      <c r="C477" s="408"/>
      <c r="D477" s="408"/>
      <c r="E477" s="408"/>
      <c r="F477" s="481">
        <f t="shared" si="55"/>
        <v>5000</v>
      </c>
      <c r="G477"/>
    </row>
    <row r="478" spans="1:7">
      <c r="A478" t="s">
        <v>239</v>
      </c>
      <c r="B478" s="408" t="s">
        <v>240</v>
      </c>
      <c r="C478" s="408"/>
      <c r="D478" s="408"/>
      <c r="E478" s="408"/>
      <c r="F478" s="481">
        <f t="shared" si="55"/>
        <v>23185</v>
      </c>
      <c r="G478"/>
    </row>
    <row r="479" spans="1:7">
      <c r="A479" t="s">
        <v>244</v>
      </c>
      <c r="B479" s="408" t="s">
        <v>240</v>
      </c>
      <c r="C479" s="408"/>
      <c r="D479" s="408"/>
      <c r="E479" s="408"/>
      <c r="F479" s="481">
        <f t="shared" si="55"/>
        <v>23185</v>
      </c>
      <c r="G479"/>
    </row>
    <row r="480" spans="1:7">
      <c r="A480" t="s">
        <v>282</v>
      </c>
      <c r="B480" s="408" t="s">
        <v>283</v>
      </c>
      <c r="C480" s="408"/>
      <c r="D480" s="408"/>
      <c r="E480" s="408"/>
      <c r="F480" s="481">
        <f t="shared" si="55"/>
        <v>0</v>
      </c>
      <c r="G480"/>
    </row>
    <row r="481" spans="1:7">
      <c r="A481" t="s">
        <v>284</v>
      </c>
      <c r="B481" s="408" t="s">
        <v>285</v>
      </c>
      <c r="C481" s="408"/>
      <c r="D481" s="408"/>
      <c r="E481" s="408"/>
      <c r="F481" s="481">
        <f t="shared" si="55"/>
        <v>0</v>
      </c>
      <c r="G481"/>
    </row>
    <row r="482" spans="1:7">
      <c r="A482" t="s">
        <v>319</v>
      </c>
      <c r="B482" s="408" t="s">
        <v>316</v>
      </c>
      <c r="C482" s="408"/>
      <c r="D482" s="408"/>
      <c r="E482" s="408"/>
      <c r="F482" s="481">
        <f t="shared" si="55"/>
        <v>897250</v>
      </c>
      <c r="G482"/>
    </row>
    <row r="483" spans="1:7">
      <c r="A483" t="s">
        <v>325</v>
      </c>
      <c r="B483" s="408" t="s">
        <v>316</v>
      </c>
      <c r="C483" s="408"/>
      <c r="D483" s="408"/>
      <c r="E483" s="408"/>
      <c r="F483" s="481">
        <f t="shared" si="55"/>
        <v>897250</v>
      </c>
      <c r="G483"/>
    </row>
    <row r="484" spans="1:7">
      <c r="A484" t="s">
        <v>873</v>
      </c>
      <c r="B484" s="408" t="s">
        <v>316</v>
      </c>
      <c r="C484" s="408"/>
      <c r="D484" s="408"/>
      <c r="E484" s="408"/>
      <c r="F484" s="481">
        <f t="shared" si="55"/>
        <v>897250</v>
      </c>
      <c r="G484"/>
    </row>
    <row r="485" spans="1:7">
      <c r="A485" t="s">
        <v>395</v>
      </c>
      <c r="B485" s="408" t="s">
        <v>396</v>
      </c>
      <c r="C485" s="408"/>
      <c r="D485" s="408"/>
      <c r="E485" s="408"/>
      <c r="F485" s="481">
        <f t="shared" si="55"/>
        <v>76956</v>
      </c>
      <c r="G485"/>
    </row>
    <row r="486" spans="1:7">
      <c r="A486" t="s">
        <v>414</v>
      </c>
      <c r="B486" s="408" t="s">
        <v>415</v>
      </c>
      <c r="C486" s="408"/>
      <c r="D486" s="408"/>
      <c r="E486" s="408"/>
      <c r="F486" s="481">
        <f t="shared" si="55"/>
        <v>0</v>
      </c>
      <c r="G486"/>
    </row>
    <row r="487" spans="1:7">
      <c r="A487" t="s">
        <v>416</v>
      </c>
      <c r="B487" s="408" t="s">
        <v>417</v>
      </c>
      <c r="C487" s="408"/>
      <c r="D487" s="408"/>
      <c r="E487" s="408"/>
      <c r="F487" s="481">
        <f t="shared" si="55"/>
        <v>13440</v>
      </c>
      <c r="G487"/>
    </row>
    <row r="488" spans="1:7">
      <c r="A488" t="s">
        <v>474</v>
      </c>
      <c r="B488" s="408" t="s">
        <v>475</v>
      </c>
      <c r="C488" s="408"/>
      <c r="D488" s="408"/>
      <c r="E488" s="408"/>
      <c r="F488" s="481">
        <f t="shared" si="55"/>
        <v>24000</v>
      </c>
      <c r="G488"/>
    </row>
    <row r="489" spans="1:7">
      <c r="A489" t="s">
        <v>479</v>
      </c>
      <c r="B489" s="408" t="s">
        <v>480</v>
      </c>
      <c r="C489" s="408"/>
      <c r="D489" s="408"/>
      <c r="E489" s="408"/>
      <c r="F489" s="481">
        <f t="shared" si="55"/>
        <v>290932.33333333337</v>
      </c>
      <c r="G489"/>
    </row>
    <row r="490" spans="1:7">
      <c r="A490" t="s">
        <v>482</v>
      </c>
      <c r="B490" s="408" t="s">
        <v>483</v>
      </c>
      <c r="C490" s="408"/>
      <c r="D490" s="408"/>
      <c r="E490" s="408"/>
      <c r="F490" s="481">
        <f t="shared" si="55"/>
        <v>655512</v>
      </c>
      <c r="G490"/>
    </row>
    <row r="491" spans="1:7">
      <c r="A491" t="s">
        <v>484</v>
      </c>
      <c r="B491" s="408" t="s">
        <v>485</v>
      </c>
      <c r="C491" s="408"/>
      <c r="D491" s="408"/>
      <c r="E491" s="408"/>
      <c r="F491" s="481">
        <f t="shared" si="55"/>
        <v>7049</v>
      </c>
      <c r="G491"/>
    </row>
    <row r="492" spans="1:7">
      <c r="A492" t="s">
        <v>494</v>
      </c>
      <c r="B492" s="408" t="s">
        <v>495</v>
      </c>
      <c r="C492" s="408"/>
      <c r="D492" s="408"/>
      <c r="E492" s="408"/>
      <c r="F492" s="481">
        <f t="shared" si="55"/>
        <v>13000</v>
      </c>
      <c r="G492"/>
    </row>
    <row r="493" spans="1:7">
      <c r="A493" t="s">
        <v>516</v>
      </c>
      <c r="B493" s="408" t="s">
        <v>517</v>
      </c>
      <c r="C493" s="408"/>
      <c r="D493" s="408"/>
      <c r="E493" s="408"/>
      <c r="F493" s="481">
        <f t="shared" si="55"/>
        <v>25000</v>
      </c>
      <c r="G493"/>
    </row>
    <row r="494" spans="1:7">
      <c r="A494" t="s">
        <v>518</v>
      </c>
      <c r="B494" s="408" t="s">
        <v>519</v>
      </c>
      <c r="C494" s="408"/>
      <c r="D494" s="408"/>
      <c r="E494" s="408"/>
      <c r="F494" s="481">
        <f t="shared" si="55"/>
        <v>6000</v>
      </c>
      <c r="G494"/>
    </row>
    <row r="495" spans="1:7">
      <c r="A495" t="s">
        <v>539</v>
      </c>
      <c r="B495" s="408" t="s">
        <v>529</v>
      </c>
      <c r="C495" s="408"/>
      <c r="D495" s="408"/>
      <c r="E495" s="408"/>
      <c r="F495" s="481">
        <f t="shared" si="55"/>
        <v>4286940</v>
      </c>
      <c r="G495"/>
    </row>
    <row r="496" spans="1:7">
      <c r="A496" t="s">
        <v>541</v>
      </c>
      <c r="B496" s="408" t="s">
        <v>532</v>
      </c>
      <c r="C496" s="408"/>
      <c r="D496" s="408"/>
      <c r="E496" s="408"/>
      <c r="F496" s="481">
        <f t="shared" si="55"/>
        <v>269900</v>
      </c>
      <c r="G496"/>
    </row>
    <row r="497" spans="1:7">
      <c r="A497" t="s">
        <v>542</v>
      </c>
      <c r="B497" s="408" t="s">
        <v>529</v>
      </c>
      <c r="C497" s="408"/>
      <c r="D497" s="408"/>
      <c r="E497" s="408"/>
      <c r="F497" s="481">
        <f t="shared" si="55"/>
        <v>4286940</v>
      </c>
      <c r="G497"/>
    </row>
    <row r="498" spans="1:7">
      <c r="A498" t="s">
        <v>543</v>
      </c>
      <c r="B498" s="408" t="s">
        <v>544</v>
      </c>
      <c r="C498" s="408"/>
      <c r="D498" s="408"/>
      <c r="E498" s="408"/>
      <c r="F498" s="481">
        <f t="shared" si="55"/>
        <v>5000</v>
      </c>
      <c r="G498"/>
    </row>
    <row r="499" spans="1:7">
      <c r="A499" t="s">
        <v>553</v>
      </c>
      <c r="B499" s="408" t="s">
        <v>554</v>
      </c>
      <c r="C499" s="408"/>
      <c r="D499" s="408"/>
      <c r="E499" s="408"/>
      <c r="F499" s="481">
        <f t="shared" si="55"/>
        <v>12500</v>
      </c>
      <c r="G499"/>
    </row>
    <row r="500" spans="1:7">
      <c r="A500" t="s">
        <v>555</v>
      </c>
      <c r="B500" s="408" t="s">
        <v>556</v>
      </c>
      <c r="C500" s="408"/>
      <c r="D500" s="408"/>
      <c r="E500" s="408"/>
      <c r="F500" s="481">
        <f t="shared" si="55"/>
        <v>12500</v>
      </c>
      <c r="G500"/>
    </row>
    <row r="501" spans="1:7">
      <c r="A501" t="s">
        <v>557</v>
      </c>
      <c r="B501" s="408" t="s">
        <v>558</v>
      </c>
      <c r="C501" s="408"/>
      <c r="D501" s="408"/>
      <c r="E501" s="408"/>
      <c r="F501" s="481">
        <f t="shared" si="55"/>
        <v>2500</v>
      </c>
      <c r="G501"/>
    </row>
    <row r="502" spans="1:7">
      <c r="A502" t="s">
        <v>559</v>
      </c>
      <c r="B502" s="408" t="s">
        <v>529</v>
      </c>
      <c r="C502" s="408"/>
      <c r="D502" s="408"/>
      <c r="E502" s="408"/>
      <c r="F502" s="481">
        <f t="shared" si="55"/>
        <v>4286940</v>
      </c>
      <c r="G502"/>
    </row>
    <row r="503" spans="1:7">
      <c r="A503" t="s">
        <v>560</v>
      </c>
      <c r="B503" s="408" t="s">
        <v>532</v>
      </c>
      <c r="C503" s="408"/>
      <c r="D503" s="408"/>
      <c r="E503" s="408"/>
      <c r="F503" s="481">
        <f t="shared" si="55"/>
        <v>269900</v>
      </c>
      <c r="G503"/>
    </row>
    <row r="504" spans="1:7">
      <c r="A504" t="s">
        <v>619</v>
      </c>
      <c r="B504" s="408" t="s">
        <v>620</v>
      </c>
      <c r="C504" s="408"/>
      <c r="D504" s="408"/>
      <c r="E504" s="408"/>
      <c r="F504" s="481">
        <f t="shared" si="55"/>
        <v>68195.5</v>
      </c>
      <c r="G504"/>
    </row>
    <row r="505" spans="1:7">
      <c r="A505" t="s">
        <v>630</v>
      </c>
      <c r="B505" s="408" t="s">
        <v>631</v>
      </c>
      <c r="C505" s="408"/>
      <c r="D505" s="408"/>
      <c r="E505" s="408"/>
      <c r="F505" s="481">
        <f t="shared" si="55"/>
        <v>10000</v>
      </c>
      <c r="G505"/>
    </row>
    <row r="506" spans="1:7">
      <c r="A506" t="s">
        <v>642</v>
      </c>
      <c r="B506" s="408" t="s">
        <v>643</v>
      </c>
      <c r="C506" s="408"/>
      <c r="D506" s="408"/>
      <c r="E506" s="408"/>
      <c r="F506" s="481">
        <f t="shared" si="55"/>
        <v>60082</v>
      </c>
      <c r="G506"/>
    </row>
    <row r="507" spans="1:7">
      <c r="A507" t="s">
        <v>663</v>
      </c>
      <c r="B507" s="408" t="s">
        <v>664</v>
      </c>
      <c r="C507" s="408"/>
      <c r="D507" s="408"/>
      <c r="E507" s="408"/>
      <c r="F507" s="481">
        <f t="shared" si="55"/>
        <v>15000</v>
      </c>
      <c r="G507"/>
    </row>
    <row r="508" spans="1:7">
      <c r="A508" t="s">
        <v>757</v>
      </c>
      <c r="B508" s="408" t="s">
        <v>758</v>
      </c>
      <c r="C508" s="408"/>
      <c r="D508" s="408"/>
      <c r="E508" s="408"/>
      <c r="F508" s="481">
        <f t="shared" si="55"/>
        <v>0</v>
      </c>
      <c r="G508"/>
    </row>
    <row r="509" spans="1:7">
      <c r="A509" t="s">
        <v>759</v>
      </c>
      <c r="B509" s="408" t="s">
        <v>760</v>
      </c>
      <c r="C509" s="408"/>
      <c r="D509" s="408"/>
      <c r="E509" s="408"/>
      <c r="F509" s="481">
        <f t="shared" si="55"/>
        <v>20000</v>
      </c>
      <c r="G509"/>
    </row>
    <row r="510" spans="1:7">
      <c r="A510" t="s">
        <v>761</v>
      </c>
      <c r="B510" s="408" t="s">
        <v>762</v>
      </c>
      <c r="C510" s="408"/>
      <c r="D510" s="408"/>
      <c r="E510" s="408"/>
      <c r="F510" s="481">
        <f t="shared" si="55"/>
        <v>91253.161999999997</v>
      </c>
      <c r="G510"/>
    </row>
    <row r="511" spans="1:7">
      <c r="A511" t="s">
        <v>763</v>
      </c>
      <c r="B511" s="408" t="s">
        <v>764</v>
      </c>
      <c r="C511" s="408"/>
      <c r="D511" s="408"/>
      <c r="E511" s="408"/>
      <c r="F511" s="481">
        <f t="shared" si="55"/>
        <v>0</v>
      </c>
      <c r="G511"/>
    </row>
    <row r="512" spans="1:7">
      <c r="A512" t="s">
        <v>776</v>
      </c>
      <c r="B512" s="408" t="s">
        <v>564</v>
      </c>
      <c r="C512" s="408"/>
      <c r="D512" s="408"/>
      <c r="E512" s="408"/>
      <c r="F512" s="481">
        <f t="shared" si="55"/>
        <v>28000</v>
      </c>
      <c r="G512"/>
    </row>
    <row r="513" spans="1:7">
      <c r="A513" t="s">
        <v>777</v>
      </c>
      <c r="B513" s="408" t="s">
        <v>778</v>
      </c>
      <c r="C513" s="408"/>
      <c r="D513" s="408"/>
      <c r="E513" s="408"/>
      <c r="F513" s="481">
        <f t="shared" si="55"/>
        <v>2500</v>
      </c>
      <c r="G513"/>
    </row>
  </sheetData>
  <autoFilter ref="B13:K317" xr:uid="{C8A95798-AF23-4C19-883A-C25D023AB1DF}"/>
  <mergeCells count="7">
    <mergeCell ref="M162:U162"/>
    <mergeCell ref="M115:U115"/>
    <mergeCell ref="M116:U116"/>
    <mergeCell ref="M117:U117"/>
    <mergeCell ref="M149:U149"/>
    <mergeCell ref="M151:U151"/>
    <mergeCell ref="M156:U156"/>
  </mergeCells>
  <conditionalFormatting sqref="A14:K14 M14:U14 A15:U15 A16:K16 M16:U16 A17:U17 A18:K27 M18:U27 A28:U28 A29:K33 M29:U33 A34:U34 A35:K42 M35:U42 A43:U43 A44:K56 M44:U56 A57:U57 A58:K70 M58:U70 A71:U71 A72:K85 M72:U85 A86:U86 A87:K124 M87:U124 A125:U125 A126:K141 M126:U141 A142:U142 A143:K145 M143:U145 A146:U146 A147:K154 M147:U154 A155:U155 A156:K158 M156:U158 A159:U159 A160:K160 M160:U160 A161:U161 A162:K163 M162:U163 A164:U164 A165:K167 M165:U167 A168:U168 A169:K173 M169:U173 A174:U174 A175:K176 M175:U176 A177:U177 A178:K194 M178:U194 A195:U195 A196:K198 M196:U198 A199:U199 A200:K203 M200:U203 A204:U204 A205:K213 M205:U213 A214:U214 A215:K251 M215:U251 A252:U252 A253:K268 M253:U268 A269:U269 A270:K271 M270:U271 A272:U272 A273:K273 M273:U273 A274:U274 A275:K277 M275:U277 A278:U278 A279:K287 M279:U287 A288:U288 A289:K290 M289:U290 A291:U291 A292:K305 M292:U305 A306:U306 A307:K307 M307:U307 A308:U308 A309:K309 M309:U309 A310:U310 A311:K313 M311:U313 A314:U314 A315:K316 M315:U316 A317:U319">
    <cfRule type="expression" dxfId="243" priority="5">
      <formula>MOD(ROW(),2)</formula>
    </cfRule>
  </conditionalFormatting>
  <conditionalFormatting sqref="E357">
    <cfRule type="cellIs" dxfId="242" priority="2" operator="lessThan">
      <formula>0</formula>
    </cfRule>
    <cfRule type="cellIs" dxfId="241" priority="3" operator="greaterThan">
      <formula>0</formula>
    </cfRule>
  </conditionalFormatting>
  <conditionalFormatting sqref="L320:M320">
    <cfRule type="cellIs" dxfId="240" priority="1" operator="lessThan">
      <formula>0</formula>
    </cfRule>
    <cfRule type="cellIs" dxfId="239" priority="4" operator="greaterThan">
      <formula>0</formula>
    </cfRule>
  </conditionalFormatting>
  <dataValidations count="2">
    <dataValidation type="list" allowBlank="1" showInputMessage="1" showErrorMessage="1" sqref="B4" xr:uid="{4873BA37-CB85-491D-8F85-90F028DB11FA}">
      <formula1>"Urban, Market, Senior, Afforable"</formula1>
    </dataValidation>
    <dataValidation type="list" allowBlank="1" showInputMessage="1" showErrorMessage="1" sqref="B3" xr:uid="{E4A926B7-1079-4B05-83BD-EDA413AD8643}">
      <formula1>"Level 1, Level 2, Level 3"</formula1>
    </dataValidation>
  </dataValidations>
  <printOptions horizontalCentered="1"/>
  <pageMargins left="0.25" right="0.25" top="0.7" bottom="0.5" header="0.35" footer="0.05"/>
  <pageSetup paperSize="3" scale="55" fitToHeight="0" orientation="landscape" r:id="rId1"/>
  <headerFooter>
    <oddHeader>&amp;R&amp;G</oddHeader>
  </headerFooter>
  <rowBreaks count="4" manualBreakCount="4">
    <brk id="57" max="20" man="1"/>
    <brk id="125" max="20" man="1"/>
    <brk id="195" max="20" man="1"/>
    <brk id="252" max="20"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96B46-82A5-4D54-B666-ACED7EE24E11}">
  <sheetPr>
    <tabColor theme="6" tint="0.59999389629810485"/>
    <pageSetUpPr fitToPage="1"/>
  </sheetPr>
  <dimension ref="A1:AO506"/>
  <sheetViews>
    <sheetView showGridLines="0" view="pageBreakPreview" zoomScale="85" zoomScaleNormal="100" zoomScaleSheetLayoutView="85" workbookViewId="0">
      <pane xSplit="1" ySplit="10" topLeftCell="B236" activePane="bottomRight" state="frozen"/>
      <selection pane="bottomRight" activeCell="A248" sqref="A248"/>
      <selection pane="bottomLeft" activeCell="A20" sqref="A20"/>
      <selection pane="topRight" activeCell="B1" sqref="B1"/>
    </sheetView>
  </sheetViews>
  <sheetFormatPr defaultColWidth="9.140625" defaultRowHeight="15" outlineLevelRow="1"/>
  <cols>
    <col min="1" max="1" width="42.5703125" style="3" bestFit="1" customWidth="1"/>
    <col min="2" max="2" width="17.42578125" style="3" customWidth="1"/>
    <col min="3" max="3" width="15.85546875" style="3" bestFit="1" customWidth="1"/>
    <col min="4" max="4" width="6.28515625" style="3" customWidth="1"/>
    <col min="5" max="5" width="17.42578125" style="3" customWidth="1"/>
    <col min="6" max="6" width="15.85546875" style="3" bestFit="1" customWidth="1"/>
    <col min="7" max="7" width="0.85546875" style="3" customWidth="1"/>
    <col min="8" max="8" width="17.42578125" style="3" customWidth="1"/>
    <col min="9" max="9" width="15.85546875" style="3" bestFit="1" customWidth="1"/>
    <col min="10" max="10" width="1.42578125" style="3" customWidth="1"/>
    <col min="11" max="11" width="11.5703125" style="3" customWidth="1"/>
    <col min="12" max="12" width="23.42578125" style="3" customWidth="1"/>
    <col min="13" max="13" width="13.85546875" style="3" customWidth="1"/>
    <col min="14" max="14" width="8.85546875" style="3" customWidth="1"/>
    <col min="15" max="15" width="11" style="3" customWidth="1"/>
    <col min="16" max="16" width="9.28515625" style="3" customWidth="1"/>
    <col min="17" max="17" width="15.85546875" style="3" bestFit="1" customWidth="1"/>
    <col min="18" max="18" width="7.7109375" style="3" bestFit="1" customWidth="1"/>
    <col min="19" max="19" width="10.28515625" style="3" customWidth="1"/>
    <col min="20" max="20" width="9.140625" style="3"/>
    <col min="21" max="21" width="14.28515625" style="3" bestFit="1" customWidth="1"/>
    <col min="22" max="22" width="14.85546875" style="3" bestFit="1" customWidth="1"/>
    <col min="23" max="23" width="12.5703125" style="3" bestFit="1" customWidth="1"/>
    <col min="24" max="32" width="9.140625" style="3"/>
    <col min="33" max="33" width="10.5703125" style="3" bestFit="1" customWidth="1"/>
    <col min="34" max="34" width="9.140625" style="3" customWidth="1"/>
    <col min="35" max="39" width="9.140625" style="3"/>
    <col min="40" max="40" width="12.85546875" style="3" customWidth="1"/>
    <col min="41" max="16384" width="9.140625" style="3"/>
  </cols>
  <sheetData>
    <row r="1" spans="1:41">
      <c r="B1" s="663" t="s">
        <v>874</v>
      </c>
      <c r="C1" s="664"/>
      <c r="E1" s="663" t="s">
        <v>15</v>
      </c>
      <c r="F1" s="664"/>
      <c r="H1" s="663" t="s">
        <v>875</v>
      </c>
      <c r="I1" s="664"/>
    </row>
    <row r="3" spans="1:41">
      <c r="A3" s="382" t="s">
        <v>436</v>
      </c>
      <c r="B3" s="182"/>
      <c r="C3" s="436">
        <f>'LEVEL 1.2 BUDGET'!N9</f>
        <v>363</v>
      </c>
      <c r="D3" s="182"/>
      <c r="E3" s="182"/>
      <c r="F3" s="436">
        <f>'LEVEL 1.2 BUDGET'!N9</f>
        <v>363</v>
      </c>
      <c r="G3" s="437"/>
      <c r="H3" s="182"/>
      <c r="I3" s="436">
        <f>C3-F3</f>
        <v>0</v>
      </c>
      <c r="J3" s="419"/>
    </row>
    <row r="4" spans="1:41">
      <c r="A4" s="382" t="s">
        <v>876</v>
      </c>
      <c r="B4" s="182"/>
      <c r="C4" s="436">
        <f>'LEVEL 1.2 BUDGET'!B8</f>
        <v>362571</v>
      </c>
      <c r="D4" s="182"/>
      <c r="E4" s="182"/>
      <c r="F4" s="436">
        <f>'LEVEL 1.2 BUDGET'!B8</f>
        <v>362571</v>
      </c>
      <c r="G4" s="182"/>
      <c r="H4" s="182"/>
      <c r="I4" s="436">
        <f>F4-C4</f>
        <v>0</v>
      </c>
      <c r="J4" s="419"/>
    </row>
    <row r="5" spans="1:41">
      <c r="G5" s="419"/>
      <c r="J5" s="419"/>
      <c r="L5" s="235"/>
    </row>
    <row r="6" spans="1:41">
      <c r="A6" s="382" t="s">
        <v>11</v>
      </c>
      <c r="C6" s="383">
        <f>C312</f>
        <v>68033845.685757682</v>
      </c>
      <c r="F6" s="383">
        <f>F312</f>
        <v>68938904.733412534</v>
      </c>
      <c r="G6" s="420"/>
      <c r="I6" s="383">
        <f>C6-F6</f>
        <v>-905059.04765485227</v>
      </c>
      <c r="J6" s="420"/>
      <c r="L6" s="235"/>
      <c r="W6" s="19" t="s">
        <v>26</v>
      </c>
      <c r="X6" s="20">
        <v>0</v>
      </c>
      <c r="Y6" s="21">
        <f>X6/$X$10</f>
        <v>0</v>
      </c>
      <c r="AC6" s="27" t="s">
        <v>46</v>
      </c>
      <c r="AD6" s="3">
        <f>21*2+14*8+8*12+7*8</f>
        <v>306</v>
      </c>
      <c r="AH6" s="28"/>
      <c r="AJ6" s="27" t="s">
        <v>46</v>
      </c>
      <c r="AK6" s="3">
        <v>19965</v>
      </c>
      <c r="AO6" s="28"/>
    </row>
    <row r="7" spans="1:41">
      <c r="A7" s="382" t="s">
        <v>25</v>
      </c>
      <c r="C7" s="383">
        <f>C6/X10</f>
        <v>187421.06249520023</v>
      </c>
      <c r="F7" s="383">
        <f>F6/X10</f>
        <v>189914.33810857448</v>
      </c>
      <c r="I7" s="383">
        <f>C7-F7</f>
        <v>-2493.2756133742514</v>
      </c>
      <c r="L7" s="235"/>
      <c r="R7" s="47"/>
      <c r="W7" s="25" t="s">
        <v>30</v>
      </c>
      <c r="X7" s="18">
        <f>'Assumptions &amp; Takeoffs'!B4+'Assumptions &amp; Takeoffs'!B5</f>
        <v>218</v>
      </c>
      <c r="Y7" s="26">
        <f>X7/$X$10</f>
        <v>0.60055096418732778</v>
      </c>
      <c r="AC7" s="27" t="s">
        <v>50</v>
      </c>
      <c r="AD7" s="3">
        <f>21*4+8*6</f>
        <v>132</v>
      </c>
      <c r="AE7" s="3">
        <f>SUM(AD6:AD7)</f>
        <v>438</v>
      </c>
      <c r="AH7" s="28"/>
      <c r="AJ7" s="27" t="s">
        <v>50</v>
      </c>
      <c r="AK7" s="3">
        <f>5870+6250+6290+5915</f>
        <v>24325</v>
      </c>
      <c r="AL7" s="3">
        <f>SUM(AK6:AK7)</f>
        <v>44290</v>
      </c>
      <c r="AO7" s="28"/>
    </row>
    <row r="8" spans="1:41">
      <c r="A8" s="382" t="s">
        <v>34</v>
      </c>
      <c r="C8" s="383">
        <f>C6/X23</f>
        <v>187.64282219415696</v>
      </c>
      <c r="F8" s="383">
        <f>F6/X23</f>
        <v>190.13904789244737</v>
      </c>
      <c r="I8" s="383">
        <f>C8-F8</f>
        <v>-2.4962256982904023</v>
      </c>
      <c r="R8" s="47"/>
      <c r="W8" s="25" t="s">
        <v>35</v>
      </c>
      <c r="X8" s="18">
        <f>'Assumptions &amp; Takeoffs'!B6+'Assumptions &amp; Takeoffs'!B7</f>
        <v>145</v>
      </c>
      <c r="Y8" s="26">
        <f>X8/$X$10</f>
        <v>0.39944903581267216</v>
      </c>
      <c r="AC8" s="27"/>
      <c r="AH8" s="28"/>
      <c r="AJ8" s="27"/>
      <c r="AO8" s="28"/>
    </row>
    <row r="9" spans="1:41">
      <c r="R9" s="47"/>
      <c r="W9" s="25" t="s">
        <v>39</v>
      </c>
      <c r="X9" s="18">
        <v>0</v>
      </c>
      <c r="Y9" s="26">
        <f>X9/$X$10</f>
        <v>0</v>
      </c>
      <c r="AC9" s="27" t="s">
        <v>53</v>
      </c>
      <c r="AG9" s="3" t="s">
        <v>54</v>
      </c>
      <c r="AH9" s="28">
        <f>14*8</f>
        <v>112</v>
      </c>
      <c r="AJ9" s="27" t="s">
        <v>53</v>
      </c>
      <c r="AN9" s="3" t="s">
        <v>54</v>
      </c>
      <c r="AO9" s="28">
        <f>5782+5760+8825+9150</f>
        <v>29517</v>
      </c>
    </row>
    <row r="10" spans="1:41" ht="30.75" customHeight="1" thickBot="1">
      <c r="A10" s="77" t="s">
        <v>55</v>
      </c>
      <c r="B10" s="78" t="s">
        <v>65</v>
      </c>
      <c r="C10" s="77" t="s">
        <v>66</v>
      </c>
      <c r="E10" s="78" t="s">
        <v>65</v>
      </c>
      <c r="F10" s="77" t="s">
        <v>66</v>
      </c>
      <c r="G10" s="2"/>
      <c r="H10" s="78" t="s">
        <v>875</v>
      </c>
      <c r="I10" s="77" t="s">
        <v>877</v>
      </c>
      <c r="J10" s="2"/>
      <c r="K10" s="80" t="s">
        <v>67</v>
      </c>
      <c r="L10" s="81"/>
      <c r="M10" s="81"/>
      <c r="N10" s="81"/>
      <c r="O10" s="81"/>
      <c r="P10" s="81"/>
      <c r="Q10" s="81"/>
      <c r="R10" s="81"/>
      <c r="S10" s="81"/>
      <c r="W10" s="40" t="s">
        <v>48</v>
      </c>
      <c r="X10" s="41">
        <f>SUM(X6:X9)</f>
        <v>363</v>
      </c>
      <c r="Y10" s="42">
        <f>X10/$X$10</f>
        <v>1</v>
      </c>
    </row>
    <row r="11" spans="1:41" ht="14.25" customHeight="1" outlineLevel="1">
      <c r="A11" s="349" t="s">
        <v>68</v>
      </c>
      <c r="B11" s="353">
        <f>VLOOKUP($A11,'LEVEL 2.1'!$A$13:$K$317,11,FALSE)</f>
        <v>3292398.3062626515</v>
      </c>
      <c r="C11" s="430"/>
      <c r="E11" s="353">
        <f>VLOOKUP($A11,'LEVEL 3'!$A$13:$K$317,11,FALSE)</f>
        <v>3339333.08833637</v>
      </c>
      <c r="F11" s="430"/>
      <c r="G11" s="2"/>
      <c r="H11" s="353">
        <f>B11-E11</f>
        <v>-46934.782073718496</v>
      </c>
      <c r="I11" s="431">
        <f>H11/B11</f>
        <v>-1.4255499398247554E-2</v>
      </c>
      <c r="J11" s="2"/>
      <c r="K11" s="46"/>
      <c r="L11" s="46"/>
      <c r="M11" s="46"/>
      <c r="N11" s="46"/>
      <c r="O11" s="46"/>
      <c r="P11" s="46"/>
      <c r="Q11" s="46"/>
      <c r="R11" s="46"/>
      <c r="S11" s="46"/>
    </row>
    <row r="12" spans="1:41">
      <c r="A12" s="347" t="s">
        <v>72</v>
      </c>
      <c r="B12" s="110"/>
      <c r="C12" s="130">
        <f>B11</f>
        <v>3292398.3062626515</v>
      </c>
      <c r="E12" s="110"/>
      <c r="F12" s="130">
        <f>E11</f>
        <v>3339333.08833637</v>
      </c>
      <c r="G12" s="2"/>
      <c r="H12" s="427">
        <f>C12-F12</f>
        <v>-46934.782073718496</v>
      </c>
      <c r="I12" s="422">
        <f>H12/C12</f>
        <v>-1.4255499398247554E-2</v>
      </c>
      <c r="J12" s="2"/>
      <c r="K12" s="373"/>
      <c r="L12" s="373"/>
      <c r="M12" s="373"/>
      <c r="N12" s="373"/>
      <c r="O12" s="373"/>
      <c r="P12" s="373"/>
      <c r="Q12" s="373"/>
      <c r="R12" s="373"/>
      <c r="S12" s="373"/>
    </row>
    <row r="13" spans="1:41" hidden="1" outlineLevel="1">
      <c r="A13" s="111" t="s">
        <v>73</v>
      </c>
      <c r="B13" s="117">
        <f>VLOOKUP($A13,'LEVEL 2.1'!$A$13:$K$317,11,FALSE)</f>
        <v>16000</v>
      </c>
      <c r="C13" s="428"/>
      <c r="E13" s="117">
        <f>VLOOKUP($A13,'LEVEL 3'!$A$13:$K$317,11,FALSE)</f>
        <v>16000</v>
      </c>
      <c r="F13" s="428"/>
      <c r="G13" s="2"/>
      <c r="H13" s="443">
        <f>B13-E13</f>
        <v>0</v>
      </c>
      <c r="I13" s="429">
        <f>H13/B13</f>
        <v>0</v>
      </c>
      <c r="J13" s="2"/>
      <c r="K13" s="88"/>
      <c r="L13" s="88"/>
      <c r="M13" s="88"/>
      <c r="N13" s="88"/>
      <c r="O13" s="88"/>
      <c r="P13" s="88"/>
      <c r="Q13" s="88"/>
      <c r="R13" s="88"/>
      <c r="S13" s="88"/>
    </row>
    <row r="14" spans="1:41" collapsed="1">
      <c r="A14" s="347" t="s">
        <v>77</v>
      </c>
      <c r="B14" s="110"/>
      <c r="C14" s="130">
        <f>B13</f>
        <v>16000</v>
      </c>
      <c r="E14" s="110"/>
      <c r="F14" s="130">
        <f>E13</f>
        <v>16000</v>
      </c>
      <c r="G14" s="2"/>
      <c r="H14" s="427">
        <f>C14-F14</f>
        <v>0</v>
      </c>
      <c r="I14" s="422">
        <f>H14/C14</f>
        <v>0</v>
      </c>
      <c r="J14" s="2"/>
      <c r="K14" s="373"/>
      <c r="L14" s="373"/>
      <c r="M14" s="373"/>
      <c r="N14" s="373"/>
      <c r="O14" s="373"/>
      <c r="P14" s="373"/>
      <c r="Q14" s="373"/>
      <c r="R14" s="373"/>
      <c r="S14" s="373"/>
    </row>
    <row r="15" spans="1:41" ht="15.75" outlineLevel="1" thickBot="1">
      <c r="A15" s="111" t="s">
        <v>79</v>
      </c>
      <c r="B15" s="117">
        <f>VLOOKUP($A15,'LEVEL 2.1'!$A$13:$K$317,11,FALSE)</f>
        <v>2125443.3199999998</v>
      </c>
      <c r="E15" s="117">
        <f>VLOOKUP($A15,'LEVEL 3'!$A$13:$K$317,11,FALSE)</f>
        <v>2185768</v>
      </c>
      <c r="G15" s="2"/>
      <c r="H15" s="117">
        <f t="shared" ref="H15:H23" si="0">B15-E15</f>
        <v>-60324.680000000168</v>
      </c>
      <c r="I15" s="423">
        <f>H15/B15</f>
        <v>-2.838216358552444E-2</v>
      </c>
      <c r="J15" s="2"/>
      <c r="K15" s="88" t="s">
        <v>878</v>
      </c>
      <c r="L15" s="88"/>
      <c r="M15" s="88"/>
      <c r="N15" s="88"/>
      <c r="O15" s="88"/>
      <c r="P15" s="88"/>
      <c r="Q15" s="88"/>
      <c r="R15" s="88"/>
      <c r="S15" s="88"/>
      <c r="T15" s="2"/>
    </row>
    <row r="16" spans="1:41" ht="15.75" outlineLevel="1" thickBot="1">
      <c r="A16" s="118" t="s">
        <v>89</v>
      </c>
      <c r="B16" s="117">
        <f>VLOOKUP($A16,'LEVEL 2.1'!$A$13:$K$317,11,FALSE)</f>
        <v>7500</v>
      </c>
      <c r="E16" s="117">
        <f>VLOOKUP($A16,'LEVEL 3'!$A$13:$K$317,11,FALSE)</f>
        <v>7500</v>
      </c>
      <c r="G16" s="2"/>
      <c r="H16" s="117">
        <f t="shared" si="0"/>
        <v>0</v>
      </c>
      <c r="I16" s="423">
        <f>H16/B16</f>
        <v>0</v>
      </c>
      <c r="J16" s="2"/>
      <c r="K16" s="88"/>
      <c r="L16" s="46"/>
      <c r="M16" s="46"/>
      <c r="N16" s="46"/>
      <c r="O16" s="46"/>
      <c r="P16" s="46"/>
      <c r="Q16" s="46"/>
      <c r="R16" s="46"/>
      <c r="S16" s="46"/>
      <c r="T16" s="2"/>
      <c r="W16" s="1" t="s">
        <v>8</v>
      </c>
      <c r="X16" s="1"/>
    </row>
    <row r="17" spans="1:24" outlineLevel="1">
      <c r="A17" s="118" t="s">
        <v>92</v>
      </c>
      <c r="B17" s="117">
        <f>VLOOKUP($A17,'LEVEL 2.1'!$A$13:$K$317,11,FALSE)</f>
        <v>8500</v>
      </c>
      <c r="E17" s="117">
        <f>VLOOKUP($A17,'LEVEL 3'!$A$13:$K$317,11,FALSE)</f>
        <v>8500</v>
      </c>
      <c r="G17" s="2"/>
      <c r="H17" s="117">
        <f t="shared" si="0"/>
        <v>0</v>
      </c>
      <c r="I17" s="423">
        <f>H17/B17</f>
        <v>0</v>
      </c>
      <c r="J17" s="2"/>
      <c r="K17" s="46"/>
      <c r="L17" s="46"/>
      <c r="M17" s="46"/>
      <c r="N17" s="46"/>
      <c r="O17" s="46"/>
      <c r="P17" s="46"/>
      <c r="Q17" s="46"/>
      <c r="R17" s="46"/>
      <c r="S17" s="46"/>
      <c r="T17" s="2"/>
      <c r="W17" s="7" t="s">
        <v>9</v>
      </c>
      <c r="X17" s="8" t="s">
        <v>879</v>
      </c>
    </row>
    <row r="18" spans="1:24" outlineLevel="1">
      <c r="A18" s="118" t="s">
        <v>95</v>
      </c>
      <c r="B18" s="117">
        <f>VLOOKUP($A18,'LEVEL 2.1'!$A$13:$K$317,11,FALSE)</f>
        <v>70000</v>
      </c>
      <c r="E18" s="117">
        <f>VLOOKUP($A18,'LEVEL 3'!$A$13:$K$317,11,FALSE)</f>
        <v>41412</v>
      </c>
      <c r="G18" s="2"/>
      <c r="H18" s="117">
        <f t="shared" si="0"/>
        <v>28588</v>
      </c>
      <c r="I18" s="423">
        <f>H18/B18</f>
        <v>0.40839999999999999</v>
      </c>
      <c r="J18" s="2"/>
      <c r="K18" s="88" t="s">
        <v>878</v>
      </c>
      <c r="L18" s="46"/>
      <c r="M18" s="46"/>
      <c r="N18" s="46"/>
      <c r="O18" s="46"/>
      <c r="P18" s="46"/>
      <c r="Q18" s="46"/>
      <c r="R18" s="46"/>
      <c r="S18" s="46"/>
      <c r="T18" s="2"/>
      <c r="W18" s="17" t="s">
        <v>14</v>
      </c>
      <c r="X18" s="18" t="s">
        <v>880</v>
      </c>
    </row>
    <row r="19" spans="1:24" outlineLevel="1">
      <c r="A19" s="118" t="s">
        <v>101</v>
      </c>
      <c r="B19" s="117">
        <f>VLOOKUP($A19,'LEVEL 2.1'!$A$13:$K$317,11,FALSE)</f>
        <v>23959</v>
      </c>
      <c r="E19" s="117">
        <f>VLOOKUP($A19,'LEVEL 3'!$A$13:$K$317,11,FALSE)</f>
        <v>23959</v>
      </c>
      <c r="G19" s="2"/>
      <c r="H19" s="117">
        <f t="shared" si="0"/>
        <v>0</v>
      </c>
      <c r="I19" s="423">
        <f>H19/B19</f>
        <v>0</v>
      </c>
      <c r="J19" s="2"/>
      <c r="K19" s="46"/>
      <c r="L19" s="46"/>
      <c r="M19" s="46"/>
      <c r="N19" s="46"/>
      <c r="O19" s="46"/>
      <c r="P19" s="46"/>
      <c r="Q19" s="46"/>
      <c r="R19" s="46"/>
      <c r="S19" s="46"/>
      <c r="T19" s="2"/>
      <c r="W19" s="17" t="s">
        <v>23</v>
      </c>
      <c r="X19" s="18" t="s">
        <v>24</v>
      </c>
    </row>
    <row r="20" spans="1:24" outlineLevel="1">
      <c r="A20" s="118" t="s">
        <v>105</v>
      </c>
      <c r="B20" s="117">
        <f>VLOOKUP($A20,'LEVEL 2.1'!$A$13:$K$317,11,FALSE)</f>
        <v>6500</v>
      </c>
      <c r="E20" s="117">
        <f>VLOOKUP($A20,'LEVEL 3'!$A$13:$K$317,11,FALSE)</f>
        <v>6500</v>
      </c>
      <c r="G20" s="2"/>
      <c r="H20" s="117">
        <f t="shared" si="0"/>
        <v>0</v>
      </c>
      <c r="I20" s="423">
        <v>0</v>
      </c>
      <c r="J20" s="2"/>
      <c r="K20" s="46"/>
      <c r="L20" s="46"/>
      <c r="M20" s="46"/>
      <c r="N20" s="46"/>
      <c r="O20" s="46"/>
      <c r="P20" s="46"/>
      <c r="Q20" s="46"/>
      <c r="R20" s="46"/>
      <c r="S20" s="46"/>
      <c r="T20" s="2"/>
      <c r="W20" s="17"/>
      <c r="X20" s="18"/>
    </row>
    <row r="21" spans="1:24" outlineLevel="1">
      <c r="A21" s="118" t="s">
        <v>108</v>
      </c>
      <c r="B21" s="117">
        <f>VLOOKUP($A21,'LEVEL 2.1'!$A$13:$K$317,11,FALSE)</f>
        <v>6500</v>
      </c>
      <c r="E21" s="117">
        <f>VLOOKUP($A21,'LEVEL 3'!$A$13:$K$317,11,FALSE)</f>
        <v>4290</v>
      </c>
      <c r="G21" s="2"/>
      <c r="H21" s="117">
        <f t="shared" si="0"/>
        <v>2210</v>
      </c>
      <c r="I21" s="425">
        <f>IF(B21=0,"n/a",H21/B21)</f>
        <v>0.34</v>
      </c>
      <c r="J21" s="2"/>
      <c r="K21" s="88" t="s">
        <v>878</v>
      </c>
      <c r="L21" s="46"/>
      <c r="M21" s="46"/>
      <c r="N21" s="46"/>
      <c r="O21" s="46"/>
      <c r="P21" s="46"/>
      <c r="Q21" s="46"/>
      <c r="R21" s="46"/>
      <c r="S21" s="46"/>
      <c r="T21" s="2"/>
      <c r="W21" s="17" t="s">
        <v>33</v>
      </c>
      <c r="X21" s="15">
        <v>30</v>
      </c>
    </row>
    <row r="22" spans="1:24" outlineLevel="1">
      <c r="A22" s="354" t="s">
        <v>112</v>
      </c>
      <c r="B22" s="117">
        <f>VLOOKUP($A22,'LEVEL 2.1'!$A$13:$K$317,11,FALSE)</f>
        <v>481539.8</v>
      </c>
      <c r="E22" s="117">
        <f>VLOOKUP($A22,'LEVEL 3'!$A$13:$K$317,11,FALSE)</f>
        <v>274310</v>
      </c>
      <c r="G22" s="2"/>
      <c r="H22" s="117">
        <f t="shared" si="0"/>
        <v>207229.8</v>
      </c>
      <c r="I22" s="423">
        <f>H22/B22</f>
        <v>0.43034822874453987</v>
      </c>
      <c r="J22" s="2"/>
      <c r="K22" s="46" t="s">
        <v>878</v>
      </c>
      <c r="L22" s="46"/>
      <c r="M22" s="46"/>
      <c r="N22" s="46"/>
      <c r="O22" s="46"/>
      <c r="P22" s="46"/>
      <c r="Q22" s="46"/>
      <c r="R22" s="46"/>
      <c r="S22" s="46"/>
      <c r="T22" s="2"/>
      <c r="W22" s="17" t="s">
        <v>38</v>
      </c>
      <c r="X22" s="18">
        <v>2</v>
      </c>
    </row>
    <row r="23" spans="1:24" outlineLevel="1">
      <c r="A23" s="118" t="s">
        <v>117</v>
      </c>
      <c r="B23" s="117">
        <f>VLOOKUP($A23,'LEVEL 2.1'!$A$13:$K$317,11,FALSE)</f>
        <v>45894.05149051491</v>
      </c>
      <c r="C23" s="428"/>
      <c r="E23" s="117">
        <f>VLOOKUP($A23,'LEVEL 3'!$A$13:$K$317,11,FALSE)</f>
        <v>32600</v>
      </c>
      <c r="F23" s="428"/>
      <c r="G23" s="2"/>
      <c r="H23" s="117">
        <f t="shared" si="0"/>
        <v>13294.05149051491</v>
      </c>
      <c r="I23" s="429">
        <f>H23/B23</f>
        <v>0.28966829161427249</v>
      </c>
      <c r="J23" s="2"/>
      <c r="K23" s="88" t="s">
        <v>878</v>
      </c>
      <c r="L23" s="46"/>
      <c r="M23" s="46"/>
      <c r="N23" s="46"/>
      <c r="O23" s="46"/>
      <c r="P23" s="46"/>
      <c r="Q23" s="46"/>
      <c r="R23" s="46"/>
      <c r="S23" s="46"/>
      <c r="T23" s="2"/>
      <c r="W23" s="17" t="s">
        <v>42</v>
      </c>
      <c r="X23" s="15">
        <f>98509+136604+127458</f>
        <v>362571</v>
      </c>
    </row>
    <row r="24" spans="1:24">
      <c r="A24" s="347" t="s">
        <v>121</v>
      </c>
      <c r="B24" s="110"/>
      <c r="C24" s="130">
        <f>SUM(B15:B23)</f>
        <v>2775836.1714905147</v>
      </c>
      <c r="E24" s="110"/>
      <c r="F24" s="130">
        <f>SUM(E15:E23)</f>
        <v>2584839</v>
      </c>
      <c r="G24" s="2"/>
      <c r="H24" s="427">
        <f>C24-F24</f>
        <v>190997.17149051465</v>
      </c>
      <c r="I24" s="422">
        <f>H24/C24</f>
        <v>6.8807076387349148E-2</v>
      </c>
      <c r="J24" s="2"/>
      <c r="K24" s="373"/>
      <c r="L24" s="373"/>
      <c r="M24" s="373"/>
      <c r="N24" s="373"/>
      <c r="O24" s="373"/>
      <c r="P24" s="373"/>
      <c r="Q24" s="373"/>
      <c r="R24" s="373"/>
      <c r="S24" s="373"/>
      <c r="T24" s="2"/>
      <c r="W24" s="17" t="s">
        <v>47</v>
      </c>
      <c r="X24" s="44">
        <v>17.350000000000001</v>
      </c>
    </row>
    <row r="25" spans="1:24" hidden="1" outlineLevel="1">
      <c r="A25" s="111" t="s">
        <v>124</v>
      </c>
      <c r="B25" s="117">
        <f>VLOOKUP($A25,'LEVEL 2.1'!$A$13:$K$317,11,FALSE)</f>
        <v>0</v>
      </c>
      <c r="E25" s="117">
        <f>VLOOKUP($A25,'LEVEL 3'!$A$13:$K$317,11,FALSE)</f>
        <v>0</v>
      </c>
      <c r="G25" s="2"/>
      <c r="H25" s="117">
        <f>B25-E25</f>
        <v>0</v>
      </c>
      <c r="I25" s="425" t="str">
        <f>IF(B25=0,"n/a",H25/B25)</f>
        <v>n/a</v>
      </c>
      <c r="J25" s="2"/>
      <c r="K25" s="88"/>
      <c r="L25" s="88"/>
      <c r="M25" s="88"/>
      <c r="N25" s="88"/>
      <c r="O25" s="88"/>
      <c r="P25" s="88"/>
      <c r="Q25" s="88"/>
      <c r="R25" s="88"/>
      <c r="S25" s="88"/>
      <c r="T25" s="2"/>
      <c r="W25" s="17" t="s">
        <v>51</v>
      </c>
      <c r="X25" s="15">
        <f>X24*43560</f>
        <v>755766.00000000012</v>
      </c>
    </row>
    <row r="26" spans="1:24" ht="15.75" hidden="1" outlineLevel="1" thickBot="1">
      <c r="A26" s="118" t="s">
        <v>129</v>
      </c>
      <c r="B26" s="117">
        <f>VLOOKUP($A26,'LEVEL 2.1'!$A$13:$K$317,11,FALSE)</f>
        <v>98000</v>
      </c>
      <c r="E26" s="117">
        <f>VLOOKUP($A26,'LEVEL 3'!$A$13:$K$317,11,FALSE)</f>
        <v>98000</v>
      </c>
      <c r="G26" s="2"/>
      <c r="H26" s="117">
        <f>B26-E26</f>
        <v>0</v>
      </c>
      <c r="I26" s="425">
        <f>H26/B26</f>
        <v>0</v>
      </c>
      <c r="J26" s="2"/>
      <c r="K26" s="46"/>
      <c r="L26" s="46"/>
      <c r="M26" s="46"/>
      <c r="N26" s="46"/>
      <c r="O26" s="46"/>
      <c r="P26" s="46"/>
      <c r="Q26" s="46"/>
      <c r="R26" s="46"/>
      <c r="S26" s="46"/>
      <c r="T26" s="2"/>
      <c r="W26" s="63" t="s">
        <v>52</v>
      </c>
      <c r="X26" s="75">
        <v>3</v>
      </c>
    </row>
    <row r="27" spans="1:24" hidden="1" outlineLevel="1">
      <c r="A27" s="118" t="s">
        <v>139</v>
      </c>
      <c r="B27" s="117">
        <f>VLOOKUP($A27,'LEVEL 2.1'!$A$13:$K$317,11,FALSE)</f>
        <v>15000</v>
      </c>
      <c r="E27" s="117">
        <f>VLOOKUP($A27,'LEVEL 3'!$A$13:$K$317,11,FALSE)</f>
        <v>15000</v>
      </c>
      <c r="G27" s="2"/>
      <c r="H27" s="117">
        <f>B27-E27</f>
        <v>0</v>
      </c>
      <c r="I27" s="425">
        <f>IF(B27=0,"n/a",H27/B27)</f>
        <v>0</v>
      </c>
      <c r="J27" s="2"/>
      <c r="K27" s="46"/>
      <c r="L27" s="46"/>
      <c r="M27" s="46"/>
      <c r="N27" s="46"/>
      <c r="O27" s="46"/>
      <c r="P27" s="46"/>
      <c r="Q27" s="46"/>
      <c r="R27" s="46"/>
      <c r="S27" s="46"/>
      <c r="T27" s="2"/>
    </row>
    <row r="28" spans="1:24" hidden="1" outlineLevel="1">
      <c r="A28" s="118" t="s">
        <v>142</v>
      </c>
      <c r="B28" s="117">
        <f>VLOOKUP($A28,'LEVEL 2.1'!$A$13:$K$317,11,FALSE)</f>
        <v>15000</v>
      </c>
      <c r="C28" s="432"/>
      <c r="E28" s="117">
        <f>VLOOKUP($A28,'LEVEL 3'!$A$13:$K$317,11,FALSE)</f>
        <v>15000</v>
      </c>
      <c r="F28" s="432"/>
      <c r="G28" s="2"/>
      <c r="H28" s="442">
        <f>B28-E28</f>
        <v>0</v>
      </c>
      <c r="I28" s="425">
        <f>IF(B28=0,"n/a",H28/B28)</f>
        <v>0</v>
      </c>
      <c r="J28" s="2"/>
      <c r="K28" s="46"/>
      <c r="L28" s="46"/>
      <c r="M28" s="46"/>
      <c r="N28" s="46"/>
      <c r="O28" s="46"/>
      <c r="P28" s="46"/>
      <c r="Q28" s="46"/>
      <c r="R28" s="46"/>
      <c r="S28" s="46"/>
      <c r="T28" s="2"/>
    </row>
    <row r="29" spans="1:24" collapsed="1">
      <c r="A29" s="347" t="s">
        <v>146</v>
      </c>
      <c r="B29" s="110"/>
      <c r="C29" s="130">
        <f>SUM(B25:B28)</f>
        <v>128000</v>
      </c>
      <c r="E29" s="110"/>
      <c r="F29" s="130">
        <f>SUM(E25:E28)</f>
        <v>128000</v>
      </c>
      <c r="G29" s="2"/>
      <c r="H29" s="427">
        <f>C29-F29</f>
        <v>0</v>
      </c>
      <c r="I29" s="422">
        <f>H29/C29</f>
        <v>0</v>
      </c>
      <c r="J29" s="2"/>
      <c r="K29" s="373"/>
      <c r="L29" s="373"/>
      <c r="M29" s="373"/>
      <c r="N29" s="373"/>
      <c r="O29" s="373"/>
      <c r="P29" s="373"/>
      <c r="Q29" s="373"/>
      <c r="R29" s="373"/>
      <c r="S29" s="373"/>
      <c r="T29" s="2"/>
    </row>
    <row r="30" spans="1:24" outlineLevel="1">
      <c r="A30" s="111" t="s">
        <v>128</v>
      </c>
      <c r="B30" s="117">
        <f>VLOOKUP($A30,'LEVEL 2.1'!$A$13:$K$317,11,FALSE)</f>
        <v>150000</v>
      </c>
      <c r="E30" s="117">
        <f>VLOOKUP($A30,'LEVEL 3'!$A$13:$K$317,11,FALSE)</f>
        <v>109485</v>
      </c>
      <c r="G30" s="2"/>
      <c r="H30" s="117">
        <f t="shared" ref="H30:H35" si="1">B30-E30</f>
        <v>40515</v>
      </c>
      <c r="I30" s="425">
        <f>IF(B30=0,"n/a",H30/B30)</f>
        <v>0.27010000000000001</v>
      </c>
      <c r="J30" s="2"/>
      <c r="K30" s="88" t="s">
        <v>878</v>
      </c>
      <c r="L30" s="88"/>
      <c r="M30" s="88"/>
      <c r="N30" s="88"/>
      <c r="O30" s="88"/>
      <c r="P30" s="88"/>
      <c r="Q30" s="88"/>
      <c r="R30" s="88"/>
      <c r="S30" s="88"/>
      <c r="T30" s="2"/>
    </row>
    <row r="31" spans="1:24" outlineLevel="1">
      <c r="A31" s="118" t="s">
        <v>151</v>
      </c>
      <c r="B31" s="117">
        <f>VLOOKUP($A31,'LEVEL 2.1'!$A$13:$K$317,11,FALSE)</f>
        <v>25500</v>
      </c>
      <c r="E31" s="117">
        <f>VLOOKUP($A31,'LEVEL 3'!$A$13:$K$317,11,FALSE)</f>
        <v>9600</v>
      </c>
      <c r="G31" s="2"/>
      <c r="H31" s="117">
        <f t="shared" si="1"/>
        <v>15900</v>
      </c>
      <c r="I31" s="423">
        <f>H31/B31</f>
        <v>0.62352941176470589</v>
      </c>
      <c r="J31" s="2"/>
      <c r="K31" s="88" t="s">
        <v>878</v>
      </c>
      <c r="L31" s="46"/>
      <c r="M31" s="46"/>
      <c r="N31" s="46"/>
      <c r="O31" s="46"/>
      <c r="P31" s="46"/>
      <c r="Q31" s="46"/>
      <c r="R31" s="46"/>
      <c r="S31" s="46"/>
      <c r="T31" s="2"/>
    </row>
    <row r="32" spans="1:24" outlineLevel="1">
      <c r="A32" s="118" t="s">
        <v>154</v>
      </c>
      <c r="B32" s="117">
        <f>VLOOKUP($A32,'LEVEL 2.1'!$A$13:$K$317,11,FALSE)</f>
        <v>57000</v>
      </c>
      <c r="E32" s="117">
        <f>VLOOKUP($A32,'LEVEL 3'!$A$13:$K$317,11,FALSE)</f>
        <v>57000</v>
      </c>
      <c r="G32" s="2"/>
      <c r="H32" s="117">
        <f t="shared" si="1"/>
        <v>0</v>
      </c>
      <c r="I32" s="423">
        <f>H32/B32</f>
        <v>0</v>
      </c>
      <c r="J32" s="2"/>
      <c r="K32" s="46"/>
      <c r="L32" s="46"/>
      <c r="M32" s="46"/>
      <c r="N32" s="46"/>
      <c r="O32" s="46"/>
      <c r="P32" s="46"/>
      <c r="Q32" s="46"/>
      <c r="R32" s="46"/>
      <c r="S32" s="46"/>
      <c r="T32" s="2"/>
    </row>
    <row r="33" spans="1:23" outlineLevel="1">
      <c r="A33" s="118" t="s">
        <v>164</v>
      </c>
      <c r="B33" s="117">
        <f>VLOOKUP($A33,'LEVEL 2.1'!$A$13:$K$317,11,FALSE)</f>
        <v>1950</v>
      </c>
      <c r="E33" s="117">
        <f>VLOOKUP($A33,'LEVEL 3'!$A$13:$K$317,11,FALSE)</f>
        <v>3900</v>
      </c>
      <c r="G33" s="2"/>
      <c r="H33" s="117">
        <f t="shared" si="1"/>
        <v>-1950</v>
      </c>
      <c r="I33" s="423">
        <f>H33/B33</f>
        <v>-1</v>
      </c>
      <c r="J33" s="2"/>
      <c r="K33" s="88" t="s">
        <v>881</v>
      </c>
      <c r="L33" s="46"/>
      <c r="M33" s="46"/>
      <c r="N33" s="46"/>
      <c r="O33" s="46"/>
      <c r="P33" s="46"/>
      <c r="Q33" s="46"/>
      <c r="R33" s="46"/>
      <c r="S33" s="46"/>
      <c r="T33" s="2"/>
    </row>
    <row r="34" spans="1:23" outlineLevel="1">
      <c r="A34" s="118" t="s">
        <v>167</v>
      </c>
      <c r="B34" s="117">
        <f>VLOOKUP($A34,'LEVEL 2.1'!$A$13:$K$317,11,FALSE)</f>
        <v>240037.5</v>
      </c>
      <c r="E34" s="117">
        <f>VLOOKUP($A34,'LEVEL 3'!$A$13:$K$317,11,FALSE)</f>
        <v>240037.5</v>
      </c>
      <c r="G34" s="2"/>
      <c r="H34" s="117">
        <f t="shared" si="1"/>
        <v>0</v>
      </c>
      <c r="I34" s="423">
        <f>H34/B34</f>
        <v>0</v>
      </c>
      <c r="J34" s="2"/>
      <c r="K34" s="46"/>
      <c r="L34" s="46"/>
      <c r="M34" s="46"/>
      <c r="N34" s="46"/>
      <c r="O34" s="46"/>
      <c r="P34" s="46"/>
      <c r="Q34" s="46"/>
      <c r="R34" s="46"/>
      <c r="S34" s="46"/>
      <c r="T34" s="2"/>
    </row>
    <row r="35" spans="1:23" outlineLevel="1">
      <c r="A35" s="118" t="s">
        <v>171</v>
      </c>
      <c r="B35" s="117">
        <f>VLOOKUP($A35,'LEVEL 2.1'!$A$13:$K$317,11,FALSE)</f>
        <v>0</v>
      </c>
      <c r="C35" s="433"/>
      <c r="E35" s="117">
        <f>VLOOKUP($A35,'LEVEL 3'!$A$13:$K$317,11,FALSE)</f>
        <v>0</v>
      </c>
      <c r="F35" s="433"/>
      <c r="G35" s="2"/>
      <c r="H35" s="442">
        <f t="shared" si="1"/>
        <v>0</v>
      </c>
      <c r="I35" s="425" t="str">
        <f>IF(B35=0,"n/a",H35/B35)</f>
        <v>n/a</v>
      </c>
      <c r="J35" s="2"/>
      <c r="K35" s="46"/>
      <c r="L35" s="46"/>
      <c r="M35" s="46"/>
      <c r="N35" s="46"/>
      <c r="O35" s="46"/>
      <c r="P35" s="46"/>
      <c r="Q35" s="46"/>
      <c r="R35" s="46"/>
      <c r="S35" s="46"/>
      <c r="T35" s="2"/>
    </row>
    <row r="36" spans="1:23">
      <c r="A36" s="347" t="s">
        <v>175</v>
      </c>
      <c r="B36" s="110"/>
      <c r="C36" s="130">
        <f>SUM(B30:B35)</f>
        <v>474487.5</v>
      </c>
      <c r="E36" s="110"/>
      <c r="F36" s="130">
        <f>SUM(E30:E35)</f>
        <v>420022.5</v>
      </c>
      <c r="G36" s="2"/>
      <c r="H36" s="427">
        <f>C36-F36</f>
        <v>54465</v>
      </c>
      <c r="I36" s="422">
        <f>H36/C36</f>
        <v>0.114787007033905</v>
      </c>
      <c r="J36" s="2"/>
      <c r="K36" s="373"/>
      <c r="L36" s="373"/>
      <c r="M36" s="373"/>
      <c r="N36" s="373"/>
      <c r="O36" s="373"/>
      <c r="P36" s="373"/>
      <c r="Q36" s="373"/>
      <c r="R36" s="373"/>
      <c r="S36" s="373"/>
      <c r="T36" s="2"/>
      <c r="U36" s="229"/>
      <c r="V36" s="438"/>
      <c r="W36" s="441"/>
    </row>
    <row r="37" spans="1:23" outlineLevel="1">
      <c r="A37" s="118" t="s">
        <v>178</v>
      </c>
      <c r="B37" s="117">
        <f>VLOOKUP($A37,'LEVEL 2.1'!$A$13:$K$317,11,FALSE)</f>
        <v>6772826.2800000003</v>
      </c>
      <c r="E37" s="117">
        <f>VLOOKUP($A37,'LEVEL 3'!$A$13:$K$317,11,FALSE)</f>
        <v>6634921</v>
      </c>
      <c r="G37" s="2"/>
      <c r="H37" s="117">
        <f t="shared" ref="H37:H49" si="2">B37-E37</f>
        <v>137905.28000000026</v>
      </c>
      <c r="I37" s="423">
        <f>H37/B37</f>
        <v>2.0361555766937559E-2</v>
      </c>
      <c r="J37" s="2"/>
      <c r="K37" s="88" t="s">
        <v>878</v>
      </c>
      <c r="L37" s="46"/>
      <c r="M37" s="46"/>
      <c r="N37" s="46"/>
      <c r="O37" s="46"/>
      <c r="P37" s="46"/>
      <c r="Q37" s="46"/>
      <c r="R37" s="46"/>
      <c r="S37" s="46"/>
      <c r="T37" s="2"/>
      <c r="U37" s="229"/>
    </row>
    <row r="38" spans="1:23" outlineLevel="1">
      <c r="A38" s="118" t="s">
        <v>183</v>
      </c>
      <c r="B38" s="117">
        <f>VLOOKUP($A38,'LEVEL 2.1'!$A$13:$K$317,11,FALSE)</f>
        <v>11208</v>
      </c>
      <c r="E38" s="117">
        <f>VLOOKUP($A38,'LEVEL 3'!$A$13:$K$317,11,FALSE)</f>
        <v>11208</v>
      </c>
      <c r="G38" s="2"/>
      <c r="H38" s="117">
        <f t="shared" si="2"/>
        <v>0</v>
      </c>
      <c r="I38" s="425">
        <f>IF(B38=0,"n/a",H38/B38)</f>
        <v>0</v>
      </c>
      <c r="J38" s="2"/>
      <c r="K38" s="46"/>
      <c r="L38" s="46"/>
      <c r="M38" s="46"/>
      <c r="N38" s="46"/>
      <c r="O38" s="46"/>
      <c r="P38" s="46"/>
      <c r="Q38" s="46"/>
      <c r="R38" s="46"/>
      <c r="S38" s="46"/>
      <c r="T38" s="2"/>
    </row>
    <row r="39" spans="1:23" outlineLevel="1">
      <c r="A39" s="118" t="s">
        <v>187</v>
      </c>
      <c r="B39" s="117">
        <f>VLOOKUP($A39,'LEVEL 2.1'!$A$13:$K$317,11,FALSE)</f>
        <v>0</v>
      </c>
      <c r="E39" s="117">
        <f>VLOOKUP($A39,'LEVEL 3'!$A$13:$K$317,11,FALSE)</f>
        <v>0</v>
      </c>
      <c r="G39" s="2"/>
      <c r="H39" s="117">
        <f t="shared" si="2"/>
        <v>0</v>
      </c>
      <c r="I39" s="425" t="str">
        <f>IF(B39=0,"n/a",H39/B39)</f>
        <v>n/a</v>
      </c>
      <c r="J39" s="2"/>
      <c r="K39" s="46"/>
      <c r="L39" s="46"/>
      <c r="M39" s="46"/>
      <c r="N39" s="46"/>
      <c r="O39" s="46"/>
      <c r="P39" s="46"/>
      <c r="Q39" s="46"/>
      <c r="R39" s="46"/>
      <c r="S39" s="46"/>
      <c r="T39" s="2"/>
    </row>
    <row r="40" spans="1:23" outlineLevel="1">
      <c r="A40" s="118" t="s">
        <v>189</v>
      </c>
      <c r="B40" s="117">
        <f>VLOOKUP($A40,'LEVEL 2.1'!$A$13:$K$317,11,FALSE)</f>
        <v>0</v>
      </c>
      <c r="E40" s="117">
        <f>VLOOKUP($A40,'LEVEL 3'!$A$13:$K$317,11,FALSE)</f>
        <v>0</v>
      </c>
      <c r="G40" s="2"/>
      <c r="H40" s="117">
        <f t="shared" si="2"/>
        <v>0</v>
      </c>
      <c r="I40" s="425" t="str">
        <f>IF(B40=0,"n/a",H40/B40)</f>
        <v>n/a</v>
      </c>
      <c r="J40" s="2"/>
      <c r="K40" s="46"/>
      <c r="L40" s="46"/>
      <c r="M40" s="46"/>
      <c r="N40" s="46"/>
      <c r="O40" s="46"/>
      <c r="P40" s="46"/>
      <c r="Q40" s="46"/>
      <c r="R40" s="46"/>
      <c r="S40" s="46"/>
      <c r="T40" s="2"/>
    </row>
    <row r="41" spans="1:23" outlineLevel="1">
      <c r="A41" s="118" t="s">
        <v>192</v>
      </c>
      <c r="B41" s="117">
        <f>VLOOKUP($A41,'LEVEL 2.1'!$A$13:$K$317,11,FALSE)</f>
        <v>10000</v>
      </c>
      <c r="E41" s="117">
        <f>VLOOKUP($A41,'LEVEL 3'!$A$13:$K$317,11,FALSE)</f>
        <v>10000</v>
      </c>
      <c r="G41" s="2"/>
      <c r="H41" s="117">
        <f t="shared" si="2"/>
        <v>0</v>
      </c>
      <c r="I41" s="423">
        <f>H41/B41</f>
        <v>0</v>
      </c>
      <c r="J41" s="2"/>
      <c r="K41" s="46"/>
      <c r="L41" s="46"/>
      <c r="M41" s="46"/>
      <c r="N41" s="46"/>
      <c r="O41" s="46"/>
      <c r="P41" s="46"/>
      <c r="Q41" s="46"/>
      <c r="R41" s="46"/>
      <c r="S41" s="46"/>
      <c r="T41" s="2"/>
    </row>
    <row r="42" spans="1:23" outlineLevel="1">
      <c r="A42" s="118" t="s">
        <v>195</v>
      </c>
      <c r="B42" s="117">
        <f>VLOOKUP($A42,'LEVEL 2.1'!$A$13:$K$317,11,FALSE)</f>
        <v>0</v>
      </c>
      <c r="E42" s="117">
        <f>VLOOKUP($A42,'LEVEL 3'!$A$13:$K$317,11,FALSE)</f>
        <v>0</v>
      </c>
      <c r="G42" s="2"/>
      <c r="H42" s="117">
        <f t="shared" si="2"/>
        <v>0</v>
      </c>
      <c r="I42" s="425" t="str">
        <f>IF(B42=0,"n/a",H42/B42)</f>
        <v>n/a</v>
      </c>
      <c r="J42" s="2"/>
      <c r="K42" s="46"/>
      <c r="L42" s="46"/>
      <c r="M42" s="46"/>
      <c r="N42" s="46"/>
      <c r="O42" s="46"/>
      <c r="P42" s="46"/>
      <c r="Q42" s="46"/>
      <c r="R42" s="46"/>
      <c r="S42" s="46"/>
      <c r="T42" s="2"/>
    </row>
    <row r="43" spans="1:23" outlineLevel="1">
      <c r="A43" s="118" t="s">
        <v>198</v>
      </c>
      <c r="B43" s="117">
        <f>VLOOKUP($A43,'LEVEL 2.1'!$A$13:$K$317,11,FALSE)</f>
        <v>0</v>
      </c>
      <c r="E43" s="117">
        <f>VLOOKUP($A43,'LEVEL 3'!$A$13:$K$317,11,FALSE)</f>
        <v>0</v>
      </c>
      <c r="G43" s="2"/>
      <c r="H43" s="117">
        <f t="shared" si="2"/>
        <v>0</v>
      </c>
      <c r="I43" s="425" t="str">
        <f>IF(B43=0,"n/a",H43/B43)</f>
        <v>n/a</v>
      </c>
      <c r="J43" s="2"/>
      <c r="K43" s="46"/>
      <c r="L43" s="46"/>
      <c r="M43" s="46"/>
      <c r="N43" s="46"/>
      <c r="O43" s="46"/>
      <c r="P43" s="46"/>
      <c r="Q43" s="46"/>
      <c r="R43" s="46"/>
      <c r="S43" s="46"/>
      <c r="T43" s="2"/>
    </row>
    <row r="44" spans="1:23" outlineLevel="1">
      <c r="A44" s="118" t="s">
        <v>201</v>
      </c>
      <c r="B44" s="117">
        <f>VLOOKUP($A44,'LEVEL 2.1'!$A$13:$K$317,11,FALSE)</f>
        <v>0</v>
      </c>
      <c r="E44" s="117">
        <f>VLOOKUP($A44,'LEVEL 3'!$A$13:$K$317,11,FALSE)</f>
        <v>0</v>
      </c>
      <c r="G44" s="2"/>
      <c r="H44" s="117">
        <f t="shared" si="2"/>
        <v>0</v>
      </c>
      <c r="I44" s="425" t="str">
        <f>IF(B44=0,"n/a",H44/B44)</f>
        <v>n/a</v>
      </c>
      <c r="J44" s="2"/>
      <c r="K44" s="46"/>
      <c r="L44" s="46"/>
      <c r="M44" s="46"/>
      <c r="N44" s="46"/>
      <c r="O44" s="46"/>
      <c r="P44" s="46"/>
      <c r="Q44" s="46"/>
      <c r="R44" s="46"/>
      <c r="S44" s="46"/>
      <c r="T44" s="2"/>
    </row>
    <row r="45" spans="1:23" outlineLevel="1">
      <c r="A45" s="137" t="s">
        <v>203</v>
      </c>
      <c r="B45" s="117">
        <f>VLOOKUP($A45,'LEVEL 2.1'!$A$13:$K$317,11,FALSE)</f>
        <v>1053143.355</v>
      </c>
      <c r="E45" s="117">
        <f>VLOOKUP($A45,'LEVEL 3'!$A$13:$K$317,11,FALSE)</f>
        <v>1053143.355</v>
      </c>
      <c r="G45" s="2"/>
      <c r="H45" s="117">
        <f t="shared" si="2"/>
        <v>0</v>
      </c>
      <c r="I45" s="423">
        <f>H45/B45</f>
        <v>0</v>
      </c>
      <c r="J45" s="2"/>
      <c r="K45" s="46"/>
      <c r="L45" s="46"/>
      <c r="M45" s="46"/>
      <c r="N45" s="46"/>
      <c r="O45" s="46"/>
      <c r="P45" s="46"/>
      <c r="Q45" s="46"/>
      <c r="R45" s="46"/>
      <c r="S45" s="46"/>
      <c r="T45" s="2"/>
    </row>
    <row r="46" spans="1:23" outlineLevel="1">
      <c r="A46" s="118" t="s">
        <v>208</v>
      </c>
      <c r="B46" s="117">
        <f>VLOOKUP($A46,'LEVEL 2.1'!$A$13:$K$317,11,FALSE)</f>
        <v>430736.13602035778</v>
      </c>
      <c r="E46" s="117">
        <f>VLOOKUP($A46,'LEVEL 3'!$A$13:$K$317,11,FALSE)</f>
        <v>430736.13602035778</v>
      </c>
      <c r="G46" s="2"/>
      <c r="H46" s="117">
        <f t="shared" si="2"/>
        <v>0</v>
      </c>
      <c r="I46" s="423">
        <f>H46/B46</f>
        <v>0</v>
      </c>
      <c r="J46" s="2"/>
      <c r="K46" s="46"/>
      <c r="L46" s="46"/>
      <c r="M46" s="46"/>
      <c r="N46" s="46"/>
      <c r="O46" s="46"/>
      <c r="P46" s="46"/>
      <c r="Q46" s="46"/>
      <c r="R46" s="46"/>
      <c r="S46" s="46"/>
      <c r="T46" s="2"/>
      <c r="V46" s="229">
        <v>920930.34</v>
      </c>
    </row>
    <row r="47" spans="1:23" outlineLevel="1">
      <c r="A47" s="118" t="s">
        <v>211</v>
      </c>
      <c r="B47" s="117">
        <f>VLOOKUP($A47,'LEVEL 2.1'!$A$13:$K$317,11,FALSE)</f>
        <v>4000</v>
      </c>
      <c r="E47" s="117">
        <f>VLOOKUP($A47,'LEVEL 3'!$A$13:$K$317,11,FALSE)</f>
        <v>4000</v>
      </c>
      <c r="G47" s="2"/>
      <c r="H47" s="117">
        <f t="shared" si="2"/>
        <v>0</v>
      </c>
      <c r="I47" s="425">
        <f>IF(B47=0,"n/a",H47/B47)</f>
        <v>0</v>
      </c>
      <c r="J47" s="2"/>
      <c r="K47" s="46"/>
      <c r="L47" s="46"/>
      <c r="M47" s="46"/>
      <c r="N47" s="46"/>
      <c r="O47" s="46"/>
      <c r="P47" s="46"/>
      <c r="Q47" s="46"/>
      <c r="R47" s="46"/>
      <c r="S47" s="46"/>
      <c r="T47" s="2"/>
      <c r="V47" s="182">
        <f>E51</f>
        <v>571320</v>
      </c>
    </row>
    <row r="48" spans="1:23" outlineLevel="1">
      <c r="A48" s="118" t="s">
        <v>214</v>
      </c>
      <c r="B48" s="117">
        <f>VLOOKUP($A48,'LEVEL 2.1'!$A$13:$K$317,11,FALSE)</f>
        <v>5000</v>
      </c>
      <c r="E48" s="117">
        <f>VLOOKUP($A48,'LEVEL 3'!$A$13:$K$317,11,FALSE)</f>
        <v>5000</v>
      </c>
      <c r="G48" s="2"/>
      <c r="H48" s="117">
        <f t="shared" si="2"/>
        <v>0</v>
      </c>
      <c r="I48" s="423">
        <f>H48/B48</f>
        <v>0</v>
      </c>
      <c r="J48" s="2"/>
      <c r="K48" s="46"/>
      <c r="L48" s="46"/>
      <c r="M48" s="46"/>
      <c r="N48" s="46"/>
      <c r="O48" s="46"/>
      <c r="P48" s="46"/>
      <c r="Q48" s="46"/>
      <c r="R48" s="46"/>
      <c r="S48" s="46"/>
      <c r="T48" s="2"/>
      <c r="V48" s="230">
        <f>V47-V46</f>
        <v>-349610.33999999997</v>
      </c>
    </row>
    <row r="49" spans="1:22" outlineLevel="1">
      <c r="A49" s="118" t="s">
        <v>217</v>
      </c>
      <c r="B49" s="117">
        <f>VLOOKUP($A49,'LEVEL 2.1'!$A$13:$K$317,11,FALSE)</f>
        <v>0</v>
      </c>
      <c r="C49" s="360"/>
      <c r="E49" s="117">
        <f>VLOOKUP($A49,'LEVEL 3'!$A$13:$K$317,11,FALSE)</f>
        <v>0</v>
      </c>
      <c r="F49" s="360"/>
      <c r="G49" s="2"/>
      <c r="H49" s="95">
        <f t="shared" si="2"/>
        <v>0</v>
      </c>
      <c r="I49" s="425" t="str">
        <f>IF(B49=0,"n/a",H49/B49)</f>
        <v>n/a</v>
      </c>
      <c r="J49" s="2"/>
      <c r="K49" s="46"/>
      <c r="L49" s="46"/>
      <c r="M49" s="46"/>
      <c r="N49" s="46"/>
      <c r="O49" s="46"/>
      <c r="P49" s="46"/>
      <c r="Q49" s="46"/>
      <c r="R49" s="46"/>
      <c r="S49" s="46"/>
      <c r="T49" s="2"/>
    </row>
    <row r="50" spans="1:22">
      <c r="A50" s="347" t="s">
        <v>220</v>
      </c>
      <c r="B50" s="110"/>
      <c r="C50" s="445">
        <f>SUM(B37:B49)</f>
        <v>8286913.7710203575</v>
      </c>
      <c r="E50" s="110"/>
      <c r="F50" s="445">
        <f>SUM(E37:E49)</f>
        <v>8149008.4910203582</v>
      </c>
      <c r="G50" s="2"/>
      <c r="H50" s="448">
        <f>C50-F50</f>
        <v>137905.27999999933</v>
      </c>
      <c r="I50" s="446">
        <f>H50/C50</f>
        <v>1.6641331599498377E-2</v>
      </c>
      <c r="J50" s="2"/>
      <c r="K50" s="373"/>
      <c r="L50" s="373"/>
      <c r="M50" s="373"/>
      <c r="N50" s="373"/>
      <c r="O50" s="373"/>
      <c r="P50" s="373"/>
      <c r="Q50" s="373"/>
      <c r="R50" s="373"/>
      <c r="S50" s="373"/>
      <c r="T50" s="2"/>
      <c r="V50" s="3">
        <v>2.33</v>
      </c>
    </row>
    <row r="51" spans="1:22" outlineLevel="1">
      <c r="A51" s="111" t="s">
        <v>223</v>
      </c>
      <c r="B51" s="117">
        <f>VLOOKUP($A51,'LEVEL 2.1'!$A$13:$K$317,11,FALSE)</f>
        <v>906427.5</v>
      </c>
      <c r="E51" s="117">
        <f>VLOOKUP($A51,'LEVEL 3'!$A$13:$K$317,11,FALSE)</f>
        <v>571320</v>
      </c>
      <c r="G51" s="2"/>
      <c r="H51" s="117">
        <f t="shared" ref="H51:H63" si="3">B51-E51</f>
        <v>335107.5</v>
      </c>
      <c r="I51" s="423">
        <f>H51/B51</f>
        <v>0.36970138262574781</v>
      </c>
      <c r="J51" s="2"/>
      <c r="K51" s="88" t="s">
        <v>878</v>
      </c>
      <c r="L51" s="88"/>
      <c r="M51" s="88"/>
      <c r="N51" s="88"/>
      <c r="O51" s="88"/>
      <c r="P51" s="88"/>
      <c r="Q51" s="88"/>
      <c r="R51" s="88"/>
      <c r="S51" s="88"/>
      <c r="T51" s="2"/>
      <c r="V51" s="3">
        <v>2.59</v>
      </c>
    </row>
    <row r="52" spans="1:22" outlineLevel="1">
      <c r="A52" s="111" t="s">
        <v>229</v>
      </c>
      <c r="B52" s="117">
        <f>VLOOKUP($A52,'LEVEL 2.1'!$A$13:$K$317,11,FALSE)</f>
        <v>2000</v>
      </c>
      <c r="E52" s="117">
        <f>VLOOKUP($A52,'LEVEL 3'!$A$13:$K$317,11,FALSE)</f>
        <v>750</v>
      </c>
      <c r="G52" s="2"/>
      <c r="H52" s="117">
        <f t="shared" si="3"/>
        <v>1250</v>
      </c>
      <c r="I52" s="425">
        <f>IF(B52=0,"n/a",H52/B52)</f>
        <v>0.625</v>
      </c>
      <c r="J52" s="2"/>
      <c r="K52" s="88" t="s">
        <v>878</v>
      </c>
      <c r="L52" s="88"/>
      <c r="M52" s="88"/>
      <c r="N52" s="88"/>
      <c r="O52" s="88"/>
      <c r="P52" s="88"/>
      <c r="Q52" s="88"/>
      <c r="R52" s="88"/>
      <c r="S52" s="88"/>
      <c r="T52" s="2"/>
      <c r="V52" s="3">
        <v>2.7</v>
      </c>
    </row>
    <row r="53" spans="1:22" outlineLevel="1">
      <c r="A53" s="118" t="s">
        <v>153</v>
      </c>
      <c r="B53" s="138">
        <f>VLOOKUP($A53,'LEVEL 2.1'!$A$13:$K$317,11,FALSE)</f>
        <v>1277484.2799999998</v>
      </c>
      <c r="E53" s="138">
        <f>VLOOKUP($A53,'LEVEL 3'!$A$13:$K$317,11,FALSE)</f>
        <v>1088690</v>
      </c>
      <c r="G53" s="2"/>
      <c r="H53" s="138">
        <f t="shared" si="3"/>
        <v>188794.2799999998</v>
      </c>
      <c r="I53" s="423">
        <f>H53/B53</f>
        <v>0.14778599075990181</v>
      </c>
      <c r="J53" s="2"/>
      <c r="K53" s="88" t="s">
        <v>878</v>
      </c>
      <c r="L53" s="46"/>
      <c r="M53" s="46"/>
      <c r="N53" s="46"/>
      <c r="O53" s="46"/>
      <c r="P53" s="46"/>
      <c r="Q53" s="46"/>
      <c r="R53" s="46"/>
      <c r="S53" s="46"/>
      <c r="T53" s="2"/>
    </row>
    <row r="54" spans="1:22" outlineLevel="1">
      <c r="A54" s="118" t="s">
        <v>236</v>
      </c>
      <c r="B54" s="138">
        <f>VLOOKUP($A54,'LEVEL 2.1'!$A$13:$K$317,11,FALSE)</f>
        <v>10000</v>
      </c>
      <c r="E54" s="138">
        <f>VLOOKUP($A54,'LEVEL 3'!$A$13:$K$317,11,FALSE)</f>
        <v>8295</v>
      </c>
      <c r="G54" s="2"/>
      <c r="H54" s="138">
        <f t="shared" si="3"/>
        <v>1705</v>
      </c>
      <c r="I54" s="425">
        <f>IF(B54=0,"n/a",H54/B54)</f>
        <v>0.17050000000000001</v>
      </c>
      <c r="J54" s="2"/>
      <c r="K54" s="88" t="s">
        <v>878</v>
      </c>
      <c r="L54" s="46"/>
      <c r="M54" s="46"/>
      <c r="N54" s="46"/>
      <c r="O54" s="46"/>
      <c r="P54" s="46"/>
      <c r="Q54" s="46"/>
      <c r="R54" s="46"/>
      <c r="S54" s="46"/>
      <c r="T54" s="2"/>
    </row>
    <row r="55" spans="1:22" outlineLevel="1">
      <c r="A55" s="118" t="s">
        <v>239</v>
      </c>
      <c r="B55" s="138">
        <f>VLOOKUP($A55,'LEVEL 2.1'!$A$13:$K$317,11,FALSE)</f>
        <v>0</v>
      </c>
      <c r="E55" s="138">
        <f>VLOOKUP($A55,'LEVEL 3'!$A$13:$K$317,11,FALSE)</f>
        <v>15685</v>
      </c>
      <c r="G55" s="2"/>
      <c r="H55" s="138">
        <f t="shared" si="3"/>
        <v>-15685</v>
      </c>
      <c r="I55" s="425" t="str">
        <f>IF(B55=0,"n/a",H55/B55)</f>
        <v>n/a</v>
      </c>
      <c r="J55" s="2"/>
      <c r="K55" s="88" t="s">
        <v>878</v>
      </c>
      <c r="L55" s="46"/>
      <c r="M55" s="46"/>
      <c r="N55" s="46"/>
      <c r="O55" s="46"/>
      <c r="P55" s="46"/>
      <c r="Q55" s="46"/>
      <c r="R55" s="46"/>
      <c r="S55" s="46"/>
      <c r="T55" s="2"/>
    </row>
    <row r="56" spans="1:22" outlineLevel="1">
      <c r="A56" s="118" t="s">
        <v>244</v>
      </c>
      <c r="B56" s="138">
        <f>VLOOKUP($A56,'LEVEL 2.1'!$A$13:$K$317,11,FALSE)</f>
        <v>7500</v>
      </c>
      <c r="E56" s="138">
        <f>VLOOKUP($A56,'LEVEL 3'!$A$13:$K$317,11,FALSE)</f>
        <v>7500</v>
      </c>
      <c r="G56" s="2"/>
      <c r="H56" s="138">
        <f t="shared" si="3"/>
        <v>0</v>
      </c>
      <c r="I56" s="423">
        <f>H56/B56</f>
        <v>0</v>
      </c>
      <c r="J56" s="2"/>
      <c r="K56" s="46"/>
      <c r="L56" s="46"/>
      <c r="M56" s="46"/>
      <c r="N56" s="46"/>
      <c r="O56" s="46"/>
      <c r="P56" s="46"/>
      <c r="Q56" s="46"/>
      <c r="R56" s="46"/>
      <c r="S56" s="46"/>
      <c r="T56" s="2"/>
    </row>
    <row r="57" spans="1:22" outlineLevel="1">
      <c r="A57" s="118" t="s">
        <v>246</v>
      </c>
      <c r="B57" s="138">
        <f>VLOOKUP($A57,'LEVEL 2.1'!$A$13:$K$317,11,FALSE)</f>
        <v>7500</v>
      </c>
      <c r="E57" s="138">
        <f>VLOOKUP($A57,'LEVEL 3'!$A$13:$K$317,11,FALSE)</f>
        <v>7500</v>
      </c>
      <c r="G57" s="2"/>
      <c r="H57" s="138">
        <f t="shared" si="3"/>
        <v>0</v>
      </c>
      <c r="I57" s="425">
        <f>IF(B57=0,"n/a",H57/B57)</f>
        <v>0</v>
      </c>
      <c r="J57" s="2"/>
      <c r="K57" s="46"/>
      <c r="L57" s="46"/>
      <c r="M57" s="46"/>
      <c r="N57" s="46"/>
      <c r="O57" s="46"/>
      <c r="P57" s="46"/>
      <c r="Q57" s="46"/>
      <c r="R57" s="46"/>
      <c r="S57" s="46"/>
      <c r="T57" s="2"/>
    </row>
    <row r="58" spans="1:22" outlineLevel="1">
      <c r="A58" s="118" t="s">
        <v>249</v>
      </c>
      <c r="B58" s="138">
        <f>VLOOKUP($A58,'LEVEL 2.1'!$A$13:$K$317,11,FALSE)</f>
        <v>84000</v>
      </c>
      <c r="E58" s="138">
        <f>VLOOKUP($A58,'LEVEL 3'!$A$13:$K$317,11,FALSE)</f>
        <v>250000</v>
      </c>
      <c r="G58" s="2"/>
      <c r="H58" s="138">
        <f t="shared" si="3"/>
        <v>-166000</v>
      </c>
      <c r="I58" s="423">
        <f>H58/B58</f>
        <v>-1.9761904761904763</v>
      </c>
      <c r="J58" s="2"/>
      <c r="K58" s="88" t="s">
        <v>878</v>
      </c>
      <c r="L58" s="46"/>
      <c r="M58" s="46"/>
      <c r="N58" s="46"/>
      <c r="O58" s="46"/>
      <c r="P58" s="46"/>
      <c r="Q58" s="46"/>
      <c r="R58" s="46"/>
      <c r="S58" s="46"/>
      <c r="T58" s="2"/>
    </row>
    <row r="59" spans="1:22" outlineLevel="1">
      <c r="A59" s="118" t="s">
        <v>253</v>
      </c>
      <c r="B59" s="138">
        <f>VLOOKUP($A59,'LEVEL 2.1'!$A$13:$K$317,11,FALSE)</f>
        <v>29005.68</v>
      </c>
      <c r="E59" s="138">
        <f>VLOOKUP($A59,'LEVEL 3'!$A$13:$K$317,11,FALSE)</f>
        <v>29005.68</v>
      </c>
      <c r="G59" s="2"/>
      <c r="H59" s="138">
        <f t="shared" si="3"/>
        <v>0</v>
      </c>
      <c r="I59" s="423">
        <f>H59/B59</f>
        <v>0</v>
      </c>
      <c r="J59" s="2"/>
      <c r="K59" s="46"/>
      <c r="L59" s="46"/>
      <c r="M59" s="46"/>
      <c r="N59" s="46"/>
      <c r="O59" s="46"/>
      <c r="P59" s="46"/>
      <c r="Q59" s="46"/>
      <c r="R59" s="46"/>
      <c r="S59" s="46"/>
      <c r="T59" s="2"/>
    </row>
    <row r="60" spans="1:22" outlineLevel="1">
      <c r="A60" s="118" t="s">
        <v>256</v>
      </c>
      <c r="B60" s="138">
        <f>VLOOKUP($A60,'LEVEL 2.1'!$A$13:$K$317,11,FALSE)</f>
        <v>18128.55</v>
      </c>
      <c r="E60" s="138">
        <f>VLOOKUP($A60,'LEVEL 3'!$A$13:$K$317,11,FALSE)</f>
        <v>18128.55</v>
      </c>
      <c r="G60" s="2"/>
      <c r="H60" s="138">
        <f t="shared" si="3"/>
        <v>0</v>
      </c>
      <c r="I60" s="423">
        <f>H60/B60</f>
        <v>0</v>
      </c>
      <c r="J60" s="2"/>
      <c r="K60" s="46"/>
      <c r="L60" s="46"/>
      <c r="M60" s="46"/>
      <c r="N60" s="46"/>
      <c r="O60" s="46"/>
      <c r="P60" s="46"/>
      <c r="Q60" s="46"/>
      <c r="R60" s="46"/>
      <c r="S60" s="46"/>
      <c r="T60" s="2"/>
    </row>
    <row r="61" spans="1:22" outlineLevel="1">
      <c r="A61" s="118" t="s">
        <v>259</v>
      </c>
      <c r="B61" s="138">
        <f>VLOOKUP($A61,'LEVEL 2.1'!$A$13:$K$317,11,FALSE)</f>
        <v>9300</v>
      </c>
      <c r="E61" s="138">
        <f>VLOOKUP($A61,'LEVEL 3'!$A$13:$K$317,11,FALSE)</f>
        <v>9300</v>
      </c>
      <c r="G61" s="2"/>
      <c r="H61" s="138">
        <f t="shared" si="3"/>
        <v>0</v>
      </c>
      <c r="I61" s="423">
        <f>H61/B61</f>
        <v>0</v>
      </c>
      <c r="J61" s="2"/>
      <c r="K61" s="46"/>
      <c r="L61" s="46"/>
      <c r="M61" s="46"/>
      <c r="N61" s="46"/>
      <c r="O61" s="46"/>
      <c r="P61" s="46"/>
      <c r="Q61" s="46"/>
      <c r="R61" s="46"/>
      <c r="S61" s="46"/>
      <c r="T61" s="2"/>
    </row>
    <row r="62" spans="1:22" outlineLevel="1">
      <c r="A62" s="118" t="s">
        <v>263</v>
      </c>
      <c r="B62" s="138">
        <f>VLOOKUP($A62,'LEVEL 2.1'!$A$13:$K$317,11,FALSE)</f>
        <v>15000</v>
      </c>
      <c r="E62" s="138">
        <f>VLOOKUP($A62,'LEVEL 3'!$A$13:$K$317,11,FALSE)</f>
        <v>15000</v>
      </c>
      <c r="G62" s="2"/>
      <c r="H62" s="138">
        <f t="shared" si="3"/>
        <v>0</v>
      </c>
      <c r="I62" s="423">
        <f>H62/B62</f>
        <v>0</v>
      </c>
      <c r="J62" s="2"/>
      <c r="K62" s="46"/>
      <c r="L62" s="46"/>
      <c r="M62" s="46"/>
      <c r="N62" s="46"/>
      <c r="O62" s="46"/>
      <c r="P62" s="46"/>
      <c r="Q62" s="46"/>
      <c r="R62" s="46"/>
      <c r="S62" s="46"/>
      <c r="T62" s="2"/>
    </row>
    <row r="63" spans="1:22" outlineLevel="1">
      <c r="A63" s="118" t="s">
        <v>265</v>
      </c>
      <c r="B63" s="117">
        <f>VLOOKUP($A63,'LEVEL 2.1'!$A$13:$K$317,11,FALSE)</f>
        <v>0</v>
      </c>
      <c r="C63" s="360"/>
      <c r="E63" s="117">
        <f>VLOOKUP($A63,'LEVEL 3'!$A$13:$K$317,11,FALSE)</f>
        <v>0</v>
      </c>
      <c r="F63" s="360"/>
      <c r="G63" s="2"/>
      <c r="H63" s="117">
        <f t="shared" si="3"/>
        <v>0</v>
      </c>
      <c r="I63" s="425" t="str">
        <f>IF(B63=0,"n/a",H63/B63)</f>
        <v>n/a</v>
      </c>
      <c r="J63" s="2"/>
      <c r="K63" s="46"/>
      <c r="L63" s="46"/>
      <c r="M63" s="46"/>
      <c r="N63" s="46"/>
      <c r="O63" s="46"/>
      <c r="P63" s="46"/>
      <c r="Q63" s="46"/>
      <c r="R63" s="46"/>
      <c r="S63" s="46"/>
      <c r="T63" s="2"/>
    </row>
    <row r="64" spans="1:22">
      <c r="A64" s="347" t="s">
        <v>267</v>
      </c>
      <c r="B64" s="110"/>
      <c r="C64" s="130">
        <f>SUM(B51:B63)</f>
        <v>2366346.0099999998</v>
      </c>
      <c r="E64" s="110"/>
      <c r="F64" s="130">
        <f>SUM(E51:E63)</f>
        <v>2021174.23</v>
      </c>
      <c r="G64" s="2"/>
      <c r="H64" s="427">
        <f>C64-F64</f>
        <v>345171.7799999998</v>
      </c>
      <c r="I64" s="422">
        <f>H64/C64</f>
        <v>0.14586699432007402</v>
      </c>
      <c r="J64" s="2"/>
      <c r="K64" s="373"/>
      <c r="L64" s="373"/>
      <c r="M64" s="373"/>
      <c r="N64" s="373"/>
      <c r="O64" s="373"/>
      <c r="P64" s="373"/>
      <c r="Q64" s="373"/>
      <c r="R64" s="373"/>
      <c r="S64" s="373"/>
      <c r="T64" s="2"/>
    </row>
    <row r="65" spans="1:20" outlineLevel="1">
      <c r="A65" s="118" t="s">
        <v>269</v>
      </c>
      <c r="B65" s="138">
        <f>VLOOKUP($A65,'LEVEL 2.1'!$A$13:$K$317,11,FALSE)</f>
        <v>24000</v>
      </c>
      <c r="E65" s="138">
        <f>VLOOKUP($A65,'LEVEL 3'!$A$13:$K$317,11,FALSE)</f>
        <v>24000</v>
      </c>
      <c r="G65" s="2"/>
      <c r="H65" s="138">
        <f t="shared" ref="H65:H78" si="4">B65-E65</f>
        <v>0</v>
      </c>
      <c r="I65" s="425">
        <f>IF(B65=0,"n/a",H65/B65)</f>
        <v>0</v>
      </c>
      <c r="J65" s="2"/>
      <c r="K65" s="46"/>
      <c r="L65" s="46"/>
      <c r="M65" s="46"/>
      <c r="N65" s="46"/>
      <c r="O65" s="46"/>
      <c r="P65" s="46"/>
      <c r="Q65" s="46"/>
      <c r="R65" s="46"/>
      <c r="S65" s="46"/>
      <c r="T65" s="2"/>
    </row>
    <row r="66" spans="1:20" outlineLevel="1">
      <c r="A66" s="118" t="s">
        <v>271</v>
      </c>
      <c r="B66" s="138">
        <f>VLOOKUP($A66,'LEVEL 2.1'!$A$13:$K$317,11,FALSE)</f>
        <v>0</v>
      </c>
      <c r="E66" s="138">
        <f>VLOOKUP($A66,'LEVEL 3'!$A$13:$K$317,11,FALSE)</f>
        <v>0</v>
      </c>
      <c r="G66" s="2"/>
      <c r="H66" s="138">
        <f t="shared" si="4"/>
        <v>0</v>
      </c>
      <c r="I66" s="425" t="str">
        <f>IF(B66=0,"n/a",H66/B66)</f>
        <v>n/a</v>
      </c>
      <c r="J66" s="2"/>
      <c r="K66" s="46"/>
      <c r="L66" s="46"/>
      <c r="M66" s="46"/>
      <c r="N66" s="46"/>
      <c r="O66" s="46"/>
      <c r="P66" s="46"/>
      <c r="Q66" s="46"/>
      <c r="R66" s="46"/>
      <c r="S66" s="46"/>
      <c r="T66" s="2"/>
    </row>
    <row r="67" spans="1:20" outlineLevel="1">
      <c r="A67" s="118" t="s">
        <v>274</v>
      </c>
      <c r="B67" s="138">
        <f>VLOOKUP($A67,'LEVEL 2.1'!$A$13:$K$317,11,FALSE)</f>
        <v>0</v>
      </c>
      <c r="E67" s="138">
        <f>VLOOKUP($A67,'LEVEL 3'!$A$13:$K$317,11,FALSE)</f>
        <v>0</v>
      </c>
      <c r="G67" s="2"/>
      <c r="H67" s="138">
        <f t="shared" si="4"/>
        <v>0</v>
      </c>
      <c r="I67" s="425" t="str">
        <f>IF(B67=0,"n/a",H67/B67)</f>
        <v>n/a</v>
      </c>
      <c r="J67" s="2"/>
      <c r="K67" s="46"/>
      <c r="L67" s="46"/>
      <c r="M67" s="46"/>
      <c r="N67" s="46"/>
      <c r="O67" s="46"/>
      <c r="P67" s="46"/>
      <c r="Q67" s="46"/>
      <c r="R67" s="46"/>
      <c r="S67" s="46"/>
      <c r="T67" s="2"/>
    </row>
    <row r="68" spans="1:20" outlineLevel="1">
      <c r="A68" s="118" t="s">
        <v>275</v>
      </c>
      <c r="B68" s="138">
        <f>VLOOKUP($A68,'LEVEL 2.1'!$A$13:$K$317,11,FALSE)</f>
        <v>0</v>
      </c>
      <c r="E68" s="138">
        <f>VLOOKUP($A68,'LEVEL 3'!$A$13:$K$317,11,FALSE)</f>
        <v>0</v>
      </c>
      <c r="G68" s="2"/>
      <c r="H68" s="138">
        <f t="shared" si="4"/>
        <v>0</v>
      </c>
      <c r="I68" s="425" t="str">
        <f>IF(B68=0,"n/a",H68/B68)</f>
        <v>n/a</v>
      </c>
      <c r="J68" s="2"/>
      <c r="K68" s="46"/>
      <c r="L68" s="46"/>
      <c r="M68" s="46"/>
      <c r="N68" s="46"/>
      <c r="O68" s="46"/>
      <c r="P68" s="46"/>
      <c r="Q68" s="46"/>
      <c r="R68" s="46"/>
      <c r="S68" s="46"/>
      <c r="T68" s="2"/>
    </row>
    <row r="69" spans="1:20" outlineLevel="1">
      <c r="A69" s="118" t="s">
        <v>277</v>
      </c>
      <c r="B69" s="138">
        <f>VLOOKUP($A69,'LEVEL 2.1'!$A$13:$K$317,11,FALSE)</f>
        <v>526350</v>
      </c>
      <c r="E69" s="138">
        <f>VLOOKUP($A69,'LEVEL 3'!$A$13:$K$317,11,FALSE)</f>
        <v>526349.0692307693</v>
      </c>
      <c r="G69" s="2"/>
      <c r="H69" s="138">
        <f t="shared" si="4"/>
        <v>0.93076923070475459</v>
      </c>
      <c r="I69" s="423">
        <f>H69/B69</f>
        <v>1.768346595810306E-6</v>
      </c>
      <c r="J69" s="2"/>
      <c r="K69" s="46"/>
      <c r="L69" s="46"/>
      <c r="M69" s="46"/>
      <c r="N69" s="46"/>
      <c r="O69" s="46"/>
      <c r="P69" s="46"/>
      <c r="Q69" s="46"/>
      <c r="R69" s="46"/>
      <c r="S69" s="46"/>
      <c r="T69" s="2"/>
    </row>
    <row r="70" spans="1:20" outlineLevel="1">
      <c r="A70" s="118" t="s">
        <v>281</v>
      </c>
      <c r="B70" s="138">
        <f>VLOOKUP($A70,'LEVEL 2.1'!$A$13:$K$317,11,FALSE)</f>
        <v>27225</v>
      </c>
      <c r="E70" s="138">
        <f>VLOOKUP($A70,'LEVEL 3'!$A$13:$K$317,11,FALSE)</f>
        <v>27225</v>
      </c>
      <c r="G70" s="2"/>
      <c r="H70" s="138">
        <f t="shared" si="4"/>
        <v>0</v>
      </c>
      <c r="I70" s="423">
        <f>H70/B70</f>
        <v>0</v>
      </c>
      <c r="J70" s="2"/>
      <c r="K70" s="46"/>
      <c r="L70" s="46"/>
      <c r="M70" s="46"/>
      <c r="N70" s="46"/>
      <c r="O70" s="46"/>
      <c r="P70" s="46"/>
      <c r="Q70" s="46"/>
      <c r="R70" s="46"/>
      <c r="S70" s="46"/>
      <c r="T70" s="2"/>
    </row>
    <row r="71" spans="1:20" outlineLevel="1">
      <c r="A71" s="118" t="s">
        <v>282</v>
      </c>
      <c r="B71" s="138">
        <f>VLOOKUP($A71,'LEVEL 2.1'!$A$13:$K$317,11,FALSE)</f>
        <v>0</v>
      </c>
      <c r="E71" s="138">
        <f>VLOOKUP($A71,'LEVEL 3'!$A$13:$K$317,11,FALSE)</f>
        <v>0</v>
      </c>
      <c r="G71" s="2"/>
      <c r="H71" s="138">
        <f t="shared" si="4"/>
        <v>0</v>
      </c>
      <c r="I71" s="425" t="str">
        <f t="shared" ref="I71:I76" si="5">IF(B71=0,"n/a",H71/B71)</f>
        <v>n/a</v>
      </c>
      <c r="J71" s="2"/>
      <c r="K71" s="46"/>
      <c r="L71" s="46"/>
      <c r="M71" s="46"/>
      <c r="N71" s="46"/>
      <c r="O71" s="46"/>
      <c r="P71" s="46"/>
      <c r="Q71" s="46"/>
      <c r="R71" s="46"/>
      <c r="S71" s="46"/>
      <c r="T71" s="2"/>
    </row>
    <row r="72" spans="1:20" outlineLevel="1">
      <c r="A72" s="118" t="s">
        <v>284</v>
      </c>
      <c r="B72" s="138">
        <f>VLOOKUP($A72,'LEVEL 2.1'!$A$13:$K$317,11,FALSE)</f>
        <v>0</v>
      </c>
      <c r="E72" s="138">
        <f>VLOOKUP($A72,'LEVEL 3'!$A$13:$K$317,11,FALSE)</f>
        <v>0</v>
      </c>
      <c r="G72" s="2"/>
      <c r="H72" s="138">
        <f t="shared" si="4"/>
        <v>0</v>
      </c>
      <c r="I72" s="425" t="str">
        <f t="shared" si="5"/>
        <v>n/a</v>
      </c>
      <c r="J72" s="2"/>
      <c r="K72" s="46"/>
      <c r="L72" s="46"/>
      <c r="M72" s="46"/>
      <c r="N72" s="46"/>
      <c r="O72" s="46"/>
      <c r="P72" s="46"/>
      <c r="Q72" s="46"/>
      <c r="R72" s="46"/>
      <c r="S72" s="46"/>
      <c r="T72" s="2"/>
    </row>
    <row r="73" spans="1:20" outlineLevel="1">
      <c r="A73" s="118" t="s">
        <v>286</v>
      </c>
      <c r="B73" s="138">
        <f>VLOOKUP($A73,'LEVEL 2.1'!$A$13:$K$317,11,FALSE)</f>
        <v>0</v>
      </c>
      <c r="E73" s="138">
        <f>VLOOKUP($A73,'LEVEL 3'!$A$13:$K$317,11,FALSE)</f>
        <v>0</v>
      </c>
      <c r="G73" s="2"/>
      <c r="H73" s="138">
        <f t="shared" si="4"/>
        <v>0</v>
      </c>
      <c r="I73" s="425" t="str">
        <f t="shared" si="5"/>
        <v>n/a</v>
      </c>
      <c r="J73" s="2"/>
      <c r="K73" s="46"/>
      <c r="L73" s="46"/>
      <c r="M73" s="46"/>
      <c r="N73" s="46"/>
      <c r="O73" s="46"/>
      <c r="P73" s="46"/>
      <c r="Q73" s="46"/>
      <c r="R73" s="46"/>
      <c r="S73" s="46"/>
      <c r="T73" s="2"/>
    </row>
    <row r="74" spans="1:20" outlineLevel="1">
      <c r="A74" s="118" t="s">
        <v>288</v>
      </c>
      <c r="B74" s="138">
        <f>VLOOKUP($A74,'LEVEL 2.1'!$A$13:$K$317,11,FALSE)</f>
        <v>0</v>
      </c>
      <c r="E74" s="138">
        <f>VLOOKUP($A74,'LEVEL 3'!$A$13:$K$317,11,FALSE)</f>
        <v>0</v>
      </c>
      <c r="G74" s="2"/>
      <c r="H74" s="138">
        <f t="shared" si="4"/>
        <v>0</v>
      </c>
      <c r="I74" s="425" t="str">
        <f t="shared" si="5"/>
        <v>n/a</v>
      </c>
      <c r="J74" s="2"/>
      <c r="K74" s="46"/>
      <c r="L74" s="46"/>
      <c r="M74" s="46"/>
      <c r="N74" s="46"/>
      <c r="O74" s="46"/>
      <c r="P74" s="46"/>
      <c r="Q74" s="46"/>
      <c r="R74" s="46"/>
      <c r="S74" s="46"/>
      <c r="T74" s="2"/>
    </row>
    <row r="75" spans="1:20" outlineLevel="1">
      <c r="A75" s="118" t="s">
        <v>290</v>
      </c>
      <c r="B75" s="138">
        <f>VLOOKUP($A75,'LEVEL 2.1'!$A$13:$K$317,11,FALSE)</f>
        <v>0</v>
      </c>
      <c r="E75" s="138">
        <f>VLOOKUP($A75,'LEVEL 3'!$A$13:$K$317,11,FALSE)</f>
        <v>0</v>
      </c>
      <c r="G75" s="2"/>
      <c r="H75" s="138">
        <f t="shared" si="4"/>
        <v>0</v>
      </c>
      <c r="I75" s="425" t="str">
        <f t="shared" si="5"/>
        <v>n/a</v>
      </c>
      <c r="J75" s="2"/>
      <c r="K75" s="46"/>
      <c r="L75" s="46"/>
      <c r="M75" s="46"/>
      <c r="N75" s="46"/>
      <c r="O75" s="46"/>
      <c r="P75" s="46"/>
      <c r="Q75" s="46"/>
      <c r="R75" s="46"/>
      <c r="S75" s="46"/>
      <c r="T75" s="2"/>
    </row>
    <row r="76" spans="1:20" outlineLevel="1">
      <c r="A76" s="118" t="s">
        <v>292</v>
      </c>
      <c r="B76" s="138">
        <f>VLOOKUP($A76,'LEVEL 2.1'!$A$13:$K$317,11,FALSE)</f>
        <v>0</v>
      </c>
      <c r="E76" s="138">
        <f>VLOOKUP($A76,'LEVEL 3'!$A$13:$K$317,11,FALSE)</f>
        <v>0</v>
      </c>
      <c r="G76" s="2"/>
      <c r="H76" s="138">
        <f t="shared" si="4"/>
        <v>0</v>
      </c>
      <c r="I76" s="425" t="str">
        <f t="shared" si="5"/>
        <v>n/a</v>
      </c>
      <c r="J76" s="2"/>
      <c r="K76" s="46"/>
      <c r="L76" s="46"/>
      <c r="M76" s="46"/>
      <c r="N76" s="46"/>
      <c r="O76" s="46"/>
      <c r="P76" s="46"/>
      <c r="Q76" s="46"/>
      <c r="R76" s="46"/>
      <c r="S76" s="46"/>
      <c r="T76" s="2"/>
    </row>
    <row r="77" spans="1:20" outlineLevel="1">
      <c r="A77" s="118" t="s">
        <v>293</v>
      </c>
      <c r="B77" s="138">
        <f>VLOOKUP($A77,'LEVEL 2.1'!$A$13:$K$317,11,FALSE)</f>
        <v>63525</v>
      </c>
      <c r="E77" s="138">
        <f>VLOOKUP($A77,'LEVEL 3'!$A$13:$K$317,11,FALSE)</f>
        <v>63525</v>
      </c>
      <c r="G77" s="2"/>
      <c r="H77" s="138">
        <f t="shared" si="4"/>
        <v>0</v>
      </c>
      <c r="I77" s="423">
        <f>H77/B77</f>
        <v>0</v>
      </c>
      <c r="J77" s="2"/>
      <c r="K77" s="46"/>
      <c r="L77" s="46"/>
      <c r="M77" s="46"/>
      <c r="N77" s="46"/>
      <c r="O77" s="46"/>
      <c r="P77" s="46"/>
      <c r="Q77" s="46"/>
      <c r="R77" s="46"/>
      <c r="S77" s="46"/>
      <c r="T77" s="2"/>
    </row>
    <row r="78" spans="1:20" outlineLevel="1">
      <c r="A78" s="118" t="s">
        <v>296</v>
      </c>
      <c r="B78" s="117">
        <f>VLOOKUP($A78,'LEVEL 2.1'!$A$13:$K$317,11,FALSE)</f>
        <v>1800</v>
      </c>
      <c r="C78" s="182"/>
      <c r="E78" s="117">
        <f>VLOOKUP($A78,'LEVEL 3'!$A$13:$K$317,11,FALSE)</f>
        <v>1800</v>
      </c>
      <c r="F78" s="182"/>
      <c r="G78" s="2"/>
      <c r="H78" s="117">
        <f t="shared" si="4"/>
        <v>0</v>
      </c>
      <c r="I78" s="423">
        <f>H78/B78</f>
        <v>0</v>
      </c>
      <c r="J78" s="2"/>
      <c r="K78" s="46"/>
      <c r="L78" s="46"/>
      <c r="M78" s="46"/>
      <c r="N78" s="46"/>
      <c r="O78" s="46"/>
      <c r="P78" s="46"/>
      <c r="Q78" s="46"/>
      <c r="R78" s="46"/>
      <c r="S78" s="46"/>
      <c r="T78" s="2"/>
    </row>
    <row r="79" spans="1:20">
      <c r="A79" s="347" t="s">
        <v>297</v>
      </c>
      <c r="B79" s="110"/>
      <c r="C79" s="130">
        <f>SUM(B65:B78)</f>
        <v>642900</v>
      </c>
      <c r="E79" s="110"/>
      <c r="F79" s="130">
        <f>SUM(E65:E78)</f>
        <v>642899.0692307693</v>
      </c>
      <c r="G79" s="2"/>
      <c r="H79" s="427">
        <f>C79-F79</f>
        <v>0.93076923070475459</v>
      </c>
      <c r="I79" s="422">
        <f>H79/C79</f>
        <v>1.4477667299809529E-6</v>
      </c>
      <c r="J79" s="2"/>
      <c r="K79" s="373"/>
      <c r="L79" s="373"/>
      <c r="M79" s="373"/>
      <c r="N79" s="373"/>
      <c r="O79" s="373"/>
      <c r="P79" s="373"/>
      <c r="Q79" s="373"/>
      <c r="R79" s="373"/>
      <c r="S79" s="373"/>
      <c r="T79" s="2"/>
    </row>
    <row r="80" spans="1:20" outlineLevel="1">
      <c r="A80" s="111" t="s">
        <v>299</v>
      </c>
      <c r="B80" s="117">
        <f>VLOOKUP($A80,'LEVEL 2.1'!$A$13:$K$317,11,FALSE)</f>
        <v>0</v>
      </c>
      <c r="E80" s="117">
        <f>VLOOKUP($A80,'LEVEL 3'!$A$13:$K$317,11,FALSE)</f>
        <v>0</v>
      </c>
      <c r="G80" s="2"/>
      <c r="H80" s="117">
        <f t="shared" ref="H80:H117" si="6">B80-E80</f>
        <v>0</v>
      </c>
      <c r="I80" s="425" t="s">
        <v>882</v>
      </c>
      <c r="J80" s="2"/>
      <c r="K80" s="88"/>
      <c r="L80" s="88"/>
      <c r="M80" s="88"/>
      <c r="N80" s="88"/>
      <c r="O80" s="88"/>
      <c r="P80" s="88"/>
      <c r="Q80" s="88"/>
      <c r="R80" s="88"/>
      <c r="S80" s="88"/>
      <c r="T80" s="2"/>
    </row>
    <row r="81" spans="1:22" outlineLevel="1">
      <c r="A81" s="118" t="s">
        <v>301</v>
      </c>
      <c r="B81" s="138">
        <f>VLOOKUP($A81,'LEVEL 2.1'!$A$13:$K$317,11,FALSE)</f>
        <v>10000</v>
      </c>
      <c r="E81" s="138">
        <f>VLOOKUP($A81,'LEVEL 3'!$A$13:$K$317,11,FALSE)</f>
        <v>10000</v>
      </c>
      <c r="G81" s="2"/>
      <c r="H81" s="138">
        <f t="shared" si="6"/>
        <v>0</v>
      </c>
      <c r="I81" s="423">
        <f t="shared" ref="I81:I87" si="7">H81/B81</f>
        <v>0</v>
      </c>
      <c r="J81" s="2"/>
      <c r="K81" s="46"/>
      <c r="L81" s="46"/>
      <c r="M81" s="46"/>
      <c r="N81" s="46"/>
      <c r="O81" s="46"/>
      <c r="P81" s="46"/>
      <c r="Q81" s="46"/>
      <c r="R81" s="46"/>
      <c r="S81" s="46"/>
      <c r="T81" s="2"/>
    </row>
    <row r="82" spans="1:22" outlineLevel="1">
      <c r="A82" s="118" t="s">
        <v>303</v>
      </c>
      <c r="B82" s="138">
        <f>VLOOKUP($A82,'LEVEL 2.1'!$A$13:$K$317,11,FALSE)</f>
        <v>308185.34999999998</v>
      </c>
      <c r="E82" s="138">
        <f>VLOOKUP($A82,'LEVEL 3'!$A$13:$K$317,11,FALSE)</f>
        <v>308185.34999999998</v>
      </c>
      <c r="G82" s="2"/>
      <c r="H82" s="138">
        <f t="shared" si="6"/>
        <v>0</v>
      </c>
      <c r="I82" s="423">
        <f t="shared" si="7"/>
        <v>0</v>
      </c>
      <c r="J82" s="2"/>
      <c r="K82" s="46"/>
      <c r="L82" s="46"/>
      <c r="M82" s="46"/>
      <c r="N82" s="46"/>
      <c r="O82" s="46"/>
      <c r="P82" s="46"/>
      <c r="Q82" s="46"/>
      <c r="R82" s="46"/>
      <c r="S82" s="46"/>
      <c r="T82" s="2"/>
    </row>
    <row r="83" spans="1:22" outlineLevel="1">
      <c r="A83" s="118" t="s">
        <v>306</v>
      </c>
      <c r="B83" s="138">
        <f>VLOOKUP($A83,'LEVEL 2.1'!$A$13:$K$317,11,FALSE)</f>
        <v>75000</v>
      </c>
      <c r="E83" s="138">
        <f>VLOOKUP($A83,'LEVEL 3'!$A$13:$K$317,11,FALSE)</f>
        <v>75000</v>
      </c>
      <c r="G83" s="2"/>
      <c r="H83" s="138">
        <f t="shared" si="6"/>
        <v>0</v>
      </c>
      <c r="I83" s="423">
        <f t="shared" si="7"/>
        <v>0</v>
      </c>
      <c r="J83" s="2"/>
      <c r="K83" s="46"/>
      <c r="L83" s="46"/>
      <c r="M83" s="46"/>
      <c r="N83" s="46"/>
      <c r="O83" s="46"/>
      <c r="P83" s="46"/>
      <c r="Q83" s="46"/>
      <c r="R83" s="46"/>
      <c r="S83" s="46"/>
      <c r="T83" s="2"/>
    </row>
    <row r="84" spans="1:22" outlineLevel="1">
      <c r="A84" s="118" t="s">
        <v>308</v>
      </c>
      <c r="B84" s="138">
        <f>VLOOKUP($A84,'LEVEL 2.1'!$A$13:$K$317,11,FALSE)</f>
        <v>28677</v>
      </c>
      <c r="E84" s="138">
        <f>VLOOKUP($A84,'LEVEL 3'!$A$13:$K$317,11,FALSE)</f>
        <v>28677</v>
      </c>
      <c r="G84" s="2"/>
      <c r="H84" s="138">
        <f t="shared" si="6"/>
        <v>0</v>
      </c>
      <c r="I84" s="423">
        <f t="shared" si="7"/>
        <v>0</v>
      </c>
      <c r="J84" s="2"/>
      <c r="K84" s="46"/>
      <c r="L84" s="46"/>
      <c r="M84" s="46"/>
      <c r="N84" s="46"/>
      <c r="O84" s="46"/>
      <c r="P84" s="46"/>
      <c r="Q84" s="46"/>
      <c r="R84" s="46"/>
      <c r="S84" s="46"/>
      <c r="T84" s="2"/>
    </row>
    <row r="85" spans="1:22" outlineLevel="1">
      <c r="A85" s="118" t="s">
        <v>312</v>
      </c>
      <c r="B85" s="138">
        <f>VLOOKUP($A85,'LEVEL 2.1'!$A$13:$K$317,11,FALSE)</f>
        <v>10000</v>
      </c>
      <c r="E85" s="138">
        <f>VLOOKUP($A85,'LEVEL 3'!$A$13:$K$317,11,FALSE)</f>
        <v>10000</v>
      </c>
      <c r="G85" s="2"/>
      <c r="H85" s="138">
        <f t="shared" si="6"/>
        <v>0</v>
      </c>
      <c r="I85" s="423">
        <f t="shared" si="7"/>
        <v>0</v>
      </c>
      <c r="J85" s="2"/>
      <c r="K85" s="46"/>
      <c r="L85" s="46"/>
      <c r="M85" s="46"/>
      <c r="N85" s="46"/>
      <c r="O85" s="46"/>
      <c r="P85" s="46"/>
      <c r="Q85" s="46"/>
      <c r="R85" s="46"/>
      <c r="S85" s="46"/>
      <c r="T85" s="2"/>
    </row>
    <row r="86" spans="1:22" outlineLevel="1">
      <c r="A86" s="118" t="s">
        <v>315</v>
      </c>
      <c r="B86" s="138">
        <f>VLOOKUP($A86,'LEVEL 2.1'!$A$13:$K$317,11,FALSE)</f>
        <v>950639.29645654478</v>
      </c>
      <c r="E86" s="138">
        <f>VLOOKUP($A86,'LEVEL 3'!$A$13:$K$317,11,FALSE)</f>
        <v>897250</v>
      </c>
      <c r="G86" s="2"/>
      <c r="H86" s="138">
        <f t="shared" si="6"/>
        <v>53389.296456544776</v>
      </c>
      <c r="I86" s="423">
        <f t="shared" si="7"/>
        <v>5.6161465926719438E-2</v>
      </c>
      <c r="J86" s="2"/>
      <c r="K86" s="88" t="s">
        <v>878</v>
      </c>
      <c r="L86" s="46"/>
      <c r="M86" s="46"/>
      <c r="N86" s="46"/>
      <c r="O86" s="46"/>
      <c r="P86" s="46"/>
      <c r="Q86" s="46"/>
      <c r="R86" s="46"/>
      <c r="S86" s="46"/>
      <c r="T86" s="2"/>
    </row>
    <row r="87" spans="1:22" outlineLevel="1">
      <c r="A87" s="118" t="s">
        <v>319</v>
      </c>
      <c r="B87" s="138">
        <f>VLOOKUP($A87,'LEVEL 2.1'!$A$13:$K$317,11,FALSE)</f>
        <v>6000</v>
      </c>
      <c r="E87" s="138">
        <f>VLOOKUP($A87,'LEVEL 3'!$A$13:$K$317,11,FALSE)</f>
        <v>6000</v>
      </c>
      <c r="G87" s="2"/>
      <c r="H87" s="138">
        <f t="shared" si="6"/>
        <v>0</v>
      </c>
      <c r="I87" s="423">
        <f t="shared" si="7"/>
        <v>0</v>
      </c>
      <c r="J87" s="2"/>
      <c r="K87" s="46"/>
      <c r="L87" s="46"/>
      <c r="M87" s="46"/>
      <c r="N87" s="46"/>
      <c r="O87" s="46"/>
      <c r="P87" s="46"/>
      <c r="Q87" s="46"/>
      <c r="R87" s="46"/>
      <c r="S87" s="46"/>
      <c r="T87" s="2"/>
    </row>
    <row r="88" spans="1:22" outlineLevel="1">
      <c r="A88" s="118" t="s">
        <v>321</v>
      </c>
      <c r="B88" s="138">
        <f>VLOOKUP($A88,'LEVEL 2.1'!$A$13:$K$317,11,FALSE)</f>
        <v>0</v>
      </c>
      <c r="E88" s="138">
        <f>VLOOKUP($A88,'LEVEL 3'!$A$13:$K$317,11,FALSE)</f>
        <v>0</v>
      </c>
      <c r="G88" s="2"/>
      <c r="H88" s="138">
        <f t="shared" si="6"/>
        <v>0</v>
      </c>
      <c r="I88" s="425" t="str">
        <f>IF(B88=0,"n/a",H88/B88)</f>
        <v>n/a</v>
      </c>
      <c r="J88" s="2"/>
      <c r="K88" s="46"/>
      <c r="L88" s="46"/>
      <c r="M88" s="46"/>
      <c r="N88" s="46"/>
      <c r="O88" s="46"/>
      <c r="P88" s="46"/>
      <c r="Q88" s="46"/>
      <c r="R88" s="46"/>
      <c r="S88" s="46"/>
      <c r="T88" s="2"/>
    </row>
    <row r="89" spans="1:22" outlineLevel="1">
      <c r="A89" s="118" t="s">
        <v>323</v>
      </c>
      <c r="B89" s="138">
        <f>VLOOKUP($A89,'LEVEL 2.1'!$A$13:$K$317,11,FALSE)</f>
        <v>2000</v>
      </c>
      <c r="E89" s="138">
        <f>VLOOKUP($A89,'LEVEL 3'!$A$13:$K$317,11,FALSE)</f>
        <v>2000</v>
      </c>
      <c r="G89" s="2"/>
      <c r="H89" s="138">
        <f t="shared" si="6"/>
        <v>0</v>
      </c>
      <c r="I89" s="423">
        <f>H89/B89</f>
        <v>0</v>
      </c>
      <c r="J89" s="2"/>
      <c r="K89" s="46"/>
      <c r="L89" s="46"/>
      <c r="M89" s="46"/>
      <c r="N89" s="46"/>
      <c r="O89" s="46"/>
      <c r="P89" s="46"/>
      <c r="Q89" s="46"/>
      <c r="R89" s="46"/>
      <c r="S89" s="46"/>
      <c r="T89" s="2"/>
      <c r="V89" s="229"/>
    </row>
    <row r="90" spans="1:22" outlineLevel="1">
      <c r="A90" s="118" t="s">
        <v>325</v>
      </c>
      <c r="B90" s="138">
        <f>VLOOKUP($A90,'LEVEL 2.1'!$A$13:$K$317,11,FALSE)</f>
        <v>0</v>
      </c>
      <c r="E90" s="138">
        <f>VLOOKUP($A90,'LEVEL 3'!$A$13:$K$317,11,FALSE)</f>
        <v>0</v>
      </c>
      <c r="G90" s="2"/>
      <c r="H90" s="138">
        <f t="shared" si="6"/>
        <v>0</v>
      </c>
      <c r="I90" s="425" t="str">
        <f>IF(B90=0,"n/a",H90/B90)</f>
        <v>n/a</v>
      </c>
      <c r="J90" s="2"/>
      <c r="K90" s="46"/>
      <c r="L90" s="46"/>
      <c r="M90" s="46"/>
      <c r="N90" s="46"/>
      <c r="O90" s="46"/>
      <c r="P90" s="46"/>
      <c r="Q90" s="46"/>
      <c r="R90" s="46"/>
      <c r="S90" s="46"/>
      <c r="T90" s="2"/>
      <c r="V90" s="229"/>
    </row>
    <row r="91" spans="1:22" outlineLevel="1">
      <c r="A91" s="118" t="s">
        <v>327</v>
      </c>
      <c r="B91" s="138">
        <f>VLOOKUP($A91,'LEVEL 2.1'!$A$13:$K$317,11,FALSE)</f>
        <v>5000</v>
      </c>
      <c r="E91" s="138">
        <f>VLOOKUP($A91,'LEVEL 3'!$A$13:$K$317,11,FALSE)</f>
        <v>5000</v>
      </c>
      <c r="G91" s="2"/>
      <c r="H91" s="138">
        <f t="shared" si="6"/>
        <v>0</v>
      </c>
      <c r="I91" s="425">
        <f>IF(B91=0,"n/a",H91/B91)</f>
        <v>0</v>
      </c>
      <c r="J91" s="2"/>
      <c r="K91" s="46"/>
      <c r="L91" s="46"/>
      <c r="M91" s="46"/>
      <c r="N91" s="46"/>
      <c r="O91" s="46"/>
      <c r="P91" s="46"/>
      <c r="Q91" s="46"/>
      <c r="R91" s="46"/>
      <c r="S91" s="46"/>
      <c r="T91" s="2"/>
      <c r="V91" s="229">
        <v>2875188.03</v>
      </c>
    </row>
    <row r="92" spans="1:22" outlineLevel="1">
      <c r="A92" s="118" t="s">
        <v>330</v>
      </c>
      <c r="B92" s="138">
        <f>VLOOKUP($A92,'LEVEL 2.1'!$A$13:$K$317,11,FALSE)</f>
        <v>1500</v>
      </c>
      <c r="E92" s="138">
        <f>VLOOKUP($A92,'LEVEL 3'!$A$13:$K$317,11,FALSE)</f>
        <v>1500</v>
      </c>
      <c r="G92" s="2"/>
      <c r="H92" s="138">
        <f t="shared" si="6"/>
        <v>0</v>
      </c>
      <c r="I92" s="423">
        <f>H92/B92</f>
        <v>0</v>
      </c>
      <c r="J92" s="2"/>
      <c r="K92" s="46"/>
      <c r="L92" s="46"/>
      <c r="M92" s="46"/>
      <c r="N92" s="46"/>
      <c r="O92" s="46"/>
      <c r="P92" s="46"/>
      <c r="Q92" s="46"/>
      <c r="R92" s="46"/>
      <c r="S92" s="46"/>
      <c r="T92" s="2"/>
      <c r="V92" s="229">
        <f>E93</f>
        <v>2629350</v>
      </c>
    </row>
    <row r="93" spans="1:22" outlineLevel="1">
      <c r="A93" s="118" t="s">
        <v>332</v>
      </c>
      <c r="B93" s="138">
        <f>VLOOKUP($A93,'LEVEL 2.1'!$A$13:$K$317,11,FALSE)</f>
        <v>2773668.15</v>
      </c>
      <c r="E93" s="138">
        <f>VLOOKUP($A93,'LEVEL 3'!$A$13:$K$317,11,FALSE)</f>
        <v>2629350</v>
      </c>
      <c r="G93" s="2"/>
      <c r="H93" s="138">
        <f t="shared" si="6"/>
        <v>144318.14999999991</v>
      </c>
      <c r="I93" s="423">
        <f>H93/B93</f>
        <v>5.2031512854196313E-2</v>
      </c>
      <c r="J93" s="2"/>
      <c r="K93" s="88" t="s">
        <v>878</v>
      </c>
      <c r="L93" s="46"/>
      <c r="M93" s="46"/>
      <c r="N93" s="46"/>
      <c r="O93" s="46"/>
      <c r="P93" s="46"/>
      <c r="Q93" s="46"/>
      <c r="R93" s="46"/>
      <c r="S93" s="46"/>
      <c r="T93" s="2"/>
      <c r="V93" s="229">
        <f>V92-V91</f>
        <v>-245838.0299999998</v>
      </c>
    </row>
    <row r="94" spans="1:22" outlineLevel="1">
      <c r="A94" s="118" t="s">
        <v>335</v>
      </c>
      <c r="B94" s="138">
        <f>VLOOKUP($A94,'LEVEL 2.1'!$A$13:$K$317,11,FALSE)</f>
        <v>30855</v>
      </c>
      <c r="E94" s="138">
        <f>VLOOKUP($A94,'LEVEL 3'!$A$13:$K$317,11,FALSE)</f>
        <v>30855</v>
      </c>
      <c r="G94" s="2"/>
      <c r="H94" s="138">
        <f t="shared" si="6"/>
        <v>0</v>
      </c>
      <c r="I94" s="423">
        <f>H94/B94</f>
        <v>0</v>
      </c>
      <c r="J94" s="2"/>
      <c r="K94" s="46"/>
      <c r="L94" s="46"/>
      <c r="M94" s="46"/>
      <c r="N94" s="46"/>
      <c r="O94" s="46"/>
      <c r="P94" s="46"/>
      <c r="Q94" s="46"/>
      <c r="R94" s="46"/>
      <c r="S94" s="46"/>
      <c r="T94" s="2"/>
      <c r="V94" s="229"/>
    </row>
    <row r="95" spans="1:22" outlineLevel="1">
      <c r="A95" s="118" t="s">
        <v>337</v>
      </c>
      <c r="B95" s="138">
        <f>VLOOKUP($A95,'LEVEL 2.1'!$A$13:$K$317,11,FALSE)</f>
        <v>1000</v>
      </c>
      <c r="E95" s="138">
        <f>VLOOKUP($A95,'LEVEL 3'!$A$13:$K$317,11,FALSE)</f>
        <v>1000</v>
      </c>
      <c r="G95" s="2"/>
      <c r="H95" s="138">
        <f t="shared" si="6"/>
        <v>0</v>
      </c>
      <c r="I95" s="425">
        <f>IF(B95=0,"n/a",H95/B95)</f>
        <v>0</v>
      </c>
      <c r="J95" s="2"/>
      <c r="K95" s="46"/>
      <c r="L95" s="46"/>
      <c r="M95" s="46"/>
      <c r="N95" s="46"/>
      <c r="O95" s="46"/>
      <c r="P95" s="46"/>
      <c r="Q95" s="46"/>
      <c r="R95" s="46"/>
      <c r="S95" s="46"/>
      <c r="T95" s="2"/>
      <c r="V95" s="229"/>
    </row>
    <row r="96" spans="1:22" outlineLevel="1">
      <c r="A96" s="118" t="s">
        <v>339</v>
      </c>
      <c r="B96" s="138">
        <f>VLOOKUP($A96,'LEVEL 2.1'!$A$13:$K$317,11,FALSE)</f>
        <v>0</v>
      </c>
      <c r="E96" s="138">
        <f>VLOOKUP($A96,'LEVEL 3'!$A$13:$K$317,11,FALSE)</f>
        <v>0</v>
      </c>
      <c r="G96" s="2"/>
      <c r="H96" s="138">
        <f t="shared" si="6"/>
        <v>0</v>
      </c>
      <c r="I96" s="425" t="str">
        <f>IF(B96=0,"n/a",H96/B96)</f>
        <v>n/a</v>
      </c>
      <c r="J96" s="2"/>
      <c r="K96" s="46"/>
      <c r="L96" s="46"/>
      <c r="M96" s="46"/>
      <c r="N96" s="46"/>
      <c r="O96" s="46"/>
      <c r="P96" s="46"/>
      <c r="Q96" s="46"/>
      <c r="R96" s="46"/>
      <c r="S96" s="46"/>
      <c r="T96" s="2"/>
      <c r="V96" s="229"/>
    </row>
    <row r="97" spans="1:22" outlineLevel="1">
      <c r="A97" s="118" t="s">
        <v>341</v>
      </c>
      <c r="B97" s="138">
        <f>VLOOKUP($A97,'LEVEL 2.1'!$A$13:$K$317,11,FALSE)</f>
        <v>170141.72999999998</v>
      </c>
      <c r="E97" s="138">
        <f>VLOOKUP($A97,'LEVEL 3'!$A$13:$K$317,11,FALSE)</f>
        <v>170141.72999999998</v>
      </c>
      <c r="G97" s="2"/>
      <c r="H97" s="138">
        <f t="shared" si="6"/>
        <v>0</v>
      </c>
      <c r="I97" s="423">
        <f>H97/B97</f>
        <v>0</v>
      </c>
      <c r="J97" s="2"/>
      <c r="K97" s="46"/>
      <c r="L97" s="46"/>
      <c r="M97" s="46"/>
      <c r="N97" s="46"/>
      <c r="O97" s="46"/>
      <c r="P97" s="46"/>
      <c r="Q97" s="46"/>
      <c r="R97" s="46"/>
      <c r="S97" s="46"/>
      <c r="T97" s="2"/>
      <c r="V97" s="229"/>
    </row>
    <row r="98" spans="1:22" outlineLevel="1">
      <c r="A98" s="118" t="s">
        <v>346</v>
      </c>
      <c r="B98" s="138">
        <f>VLOOKUP($A98,'LEVEL 2.1'!$A$13:$K$317,11,FALSE)</f>
        <v>0</v>
      </c>
      <c r="E98" s="138">
        <f>VLOOKUP($A98,'LEVEL 3'!$A$13:$K$317,11,FALSE)</f>
        <v>0</v>
      </c>
      <c r="G98" s="2"/>
      <c r="H98" s="138">
        <f t="shared" si="6"/>
        <v>0</v>
      </c>
      <c r="I98" s="425" t="str">
        <f>IF(B98=0,"n/a",H98/B98)</f>
        <v>n/a</v>
      </c>
      <c r="J98" s="2"/>
      <c r="K98" s="46"/>
      <c r="L98" s="46"/>
      <c r="M98" s="46"/>
      <c r="N98" s="46"/>
      <c r="O98" s="46"/>
      <c r="P98" s="46"/>
      <c r="Q98" s="46"/>
      <c r="R98" s="46"/>
      <c r="S98" s="46"/>
      <c r="T98" s="2"/>
      <c r="V98" s="229"/>
    </row>
    <row r="99" spans="1:22" outlineLevel="1">
      <c r="A99" s="118" t="s">
        <v>348</v>
      </c>
      <c r="B99" s="138">
        <f>VLOOKUP($A99,'LEVEL 2.1'!$A$13:$K$317,11,FALSE)</f>
        <v>0</v>
      </c>
      <c r="E99" s="138">
        <f>VLOOKUP($A99,'LEVEL 3'!$A$13:$K$317,11,FALSE)</f>
        <v>0</v>
      </c>
      <c r="G99" s="2"/>
      <c r="H99" s="138">
        <f t="shared" si="6"/>
        <v>0</v>
      </c>
      <c r="I99" s="425" t="str">
        <f>IF(B99=0,"n/a",H99/B99)</f>
        <v>n/a</v>
      </c>
      <c r="J99" s="2"/>
      <c r="K99" s="46"/>
      <c r="L99" s="46"/>
      <c r="M99" s="46"/>
      <c r="N99" s="46"/>
      <c r="O99" s="46"/>
      <c r="P99" s="46"/>
      <c r="Q99" s="46"/>
      <c r="R99" s="46"/>
      <c r="S99" s="46"/>
      <c r="T99" s="2"/>
      <c r="V99" s="229"/>
    </row>
    <row r="100" spans="1:22" outlineLevel="1">
      <c r="A100" s="118" t="s">
        <v>202</v>
      </c>
      <c r="B100" s="138">
        <f>VLOOKUP($A100,'LEVEL 2.1'!$A$13:$K$317,11,FALSE)</f>
        <v>513238.18869518046</v>
      </c>
      <c r="E100" s="138">
        <f>VLOOKUP($A100,'LEVEL 3'!$A$13:$K$317,11,FALSE)</f>
        <v>513238.18869518046</v>
      </c>
      <c r="G100" s="2"/>
      <c r="H100" s="138">
        <f t="shared" si="6"/>
        <v>0</v>
      </c>
      <c r="I100" s="423">
        <f t="shared" ref="I100:I112" si="8">H100/B100</f>
        <v>0</v>
      </c>
      <c r="J100" s="2"/>
      <c r="K100" s="46"/>
      <c r="L100" s="46"/>
      <c r="M100" s="46"/>
      <c r="N100" s="46"/>
      <c r="O100" s="46"/>
      <c r="P100" s="46"/>
      <c r="Q100" s="46"/>
      <c r="R100" s="46"/>
      <c r="S100" s="46"/>
      <c r="T100" s="2"/>
    </row>
    <row r="101" spans="1:22" outlineLevel="1">
      <c r="A101" s="118" t="s">
        <v>353</v>
      </c>
      <c r="B101" s="138">
        <f>VLOOKUP($A101,'LEVEL 2.1'!$A$13:$K$317,11,FALSE)</f>
        <v>0</v>
      </c>
      <c r="E101" s="138">
        <f>VLOOKUP($A101,'LEVEL 3'!$A$13:$K$317,11,FALSE)</f>
        <v>0</v>
      </c>
      <c r="G101" s="2"/>
      <c r="H101" s="138">
        <f t="shared" si="6"/>
        <v>0</v>
      </c>
      <c r="I101" s="423">
        <v>0</v>
      </c>
      <c r="J101" s="2"/>
      <c r="K101" s="46"/>
      <c r="L101" s="46"/>
      <c r="M101" s="46"/>
      <c r="N101" s="46"/>
      <c r="O101" s="46"/>
      <c r="P101" s="46"/>
      <c r="Q101" s="46"/>
      <c r="R101" s="46"/>
      <c r="S101" s="46"/>
      <c r="T101" s="2"/>
    </row>
    <row r="102" spans="1:22" outlineLevel="1">
      <c r="A102" s="118" t="s">
        <v>355</v>
      </c>
      <c r="B102" s="138">
        <f>VLOOKUP($A102,'LEVEL 2.1'!$A$13:$K$317,11,FALSE)</f>
        <v>0</v>
      </c>
      <c r="E102" s="138">
        <f>VLOOKUP($A102,'LEVEL 3'!$A$13:$K$317,11,FALSE)</f>
        <v>0</v>
      </c>
      <c r="G102" s="2"/>
      <c r="H102" s="138">
        <f t="shared" si="6"/>
        <v>0</v>
      </c>
      <c r="I102" s="423">
        <v>0</v>
      </c>
      <c r="J102" s="2"/>
      <c r="K102" s="46"/>
      <c r="L102" s="46"/>
      <c r="M102" s="46"/>
      <c r="N102" s="46"/>
      <c r="O102" s="46"/>
      <c r="P102" s="46"/>
      <c r="Q102" s="46"/>
      <c r="R102" s="46"/>
      <c r="S102" s="46"/>
      <c r="T102" s="2"/>
    </row>
    <row r="103" spans="1:22" outlineLevel="1">
      <c r="A103" s="118" t="s">
        <v>357</v>
      </c>
      <c r="B103" s="138">
        <f>VLOOKUP($A103,'LEVEL 2.1'!$A$13:$K$317,11,FALSE)</f>
        <v>271928.25</v>
      </c>
      <c r="E103" s="138">
        <f>VLOOKUP($A103,'LEVEL 3'!$A$13:$K$317,11,FALSE)</f>
        <v>271928.25</v>
      </c>
      <c r="G103" s="2"/>
      <c r="H103" s="138">
        <f t="shared" si="6"/>
        <v>0</v>
      </c>
      <c r="I103" s="423">
        <f t="shared" si="8"/>
        <v>0</v>
      </c>
      <c r="J103" s="2"/>
      <c r="K103" s="46"/>
      <c r="L103" s="46"/>
      <c r="M103" s="46"/>
      <c r="N103" s="46"/>
      <c r="O103" s="46"/>
      <c r="P103" s="46"/>
      <c r="Q103" s="46"/>
      <c r="R103" s="46"/>
      <c r="S103" s="46"/>
      <c r="T103" s="2"/>
    </row>
    <row r="104" spans="1:22" outlineLevel="1">
      <c r="A104" s="118" t="s">
        <v>360</v>
      </c>
      <c r="B104" s="138">
        <f>VLOOKUP($A104,'LEVEL 2.1'!$A$13:$K$317,11,FALSE)</f>
        <v>4500</v>
      </c>
      <c r="E104" s="138">
        <f>VLOOKUP($A104,'LEVEL 3'!$A$13:$K$317,11,FALSE)</f>
        <v>4500</v>
      </c>
      <c r="G104" s="2"/>
      <c r="H104" s="138">
        <f t="shared" si="6"/>
        <v>0</v>
      </c>
      <c r="I104" s="423">
        <f t="shared" si="8"/>
        <v>0</v>
      </c>
      <c r="J104" s="2"/>
      <c r="K104" s="46"/>
      <c r="L104" s="46"/>
      <c r="M104" s="46"/>
      <c r="N104" s="46"/>
      <c r="O104" s="46"/>
      <c r="P104" s="46"/>
      <c r="Q104" s="46"/>
      <c r="R104" s="46"/>
      <c r="S104" s="46"/>
      <c r="T104" s="2"/>
    </row>
    <row r="105" spans="1:22" outlineLevel="1">
      <c r="A105" s="118" t="s">
        <v>362</v>
      </c>
      <c r="B105" s="138">
        <f>VLOOKUP($A105,'LEVEL 2.1'!$A$13:$K$317,11,FALSE)</f>
        <v>0</v>
      </c>
      <c r="E105" s="138">
        <f>VLOOKUP($A105,'LEVEL 3'!$A$13:$K$317,11,FALSE)</f>
        <v>0</v>
      </c>
      <c r="G105" s="2"/>
      <c r="H105" s="138">
        <f t="shared" si="6"/>
        <v>0</v>
      </c>
      <c r="I105" s="423">
        <v>0</v>
      </c>
      <c r="J105" s="2"/>
      <c r="K105" s="46"/>
      <c r="L105" s="46"/>
      <c r="M105" s="46"/>
      <c r="N105" s="46"/>
      <c r="O105" s="46"/>
      <c r="P105" s="46"/>
      <c r="Q105" s="46"/>
      <c r="R105" s="46"/>
      <c r="S105" s="46"/>
      <c r="T105" s="2"/>
    </row>
    <row r="106" spans="1:22" outlineLevel="1">
      <c r="A106" s="118" t="s">
        <v>364</v>
      </c>
      <c r="B106" s="138">
        <f>VLOOKUP($A106,'LEVEL 2.1'!$A$13:$K$317,11,FALSE)</f>
        <v>0</v>
      </c>
      <c r="E106" s="138">
        <f>VLOOKUP($A106,'LEVEL 3'!$A$13:$K$317,11,FALSE)</f>
        <v>0</v>
      </c>
      <c r="G106" s="2"/>
      <c r="H106" s="138">
        <f t="shared" si="6"/>
        <v>0</v>
      </c>
      <c r="I106" s="423">
        <v>0</v>
      </c>
      <c r="J106" s="2"/>
      <c r="K106" s="46"/>
      <c r="L106" s="46"/>
      <c r="M106" s="46"/>
      <c r="N106" s="46"/>
      <c r="O106" s="46"/>
      <c r="P106" s="46"/>
      <c r="Q106" s="46"/>
      <c r="R106" s="46"/>
      <c r="S106" s="46"/>
      <c r="T106" s="2"/>
    </row>
    <row r="107" spans="1:22" outlineLevel="1">
      <c r="A107" s="118" t="s">
        <v>366</v>
      </c>
      <c r="B107" s="138">
        <f>VLOOKUP($A107,'LEVEL 2.1'!$A$13:$K$317,11,FALSE)</f>
        <v>37163.125999999997</v>
      </c>
      <c r="E107" s="138">
        <f>VLOOKUP($A107,'LEVEL 3'!$A$13:$K$317,11,FALSE)</f>
        <v>37163.125999999997</v>
      </c>
      <c r="G107" s="2"/>
      <c r="H107" s="138">
        <f t="shared" si="6"/>
        <v>0</v>
      </c>
      <c r="I107" s="423">
        <v>0</v>
      </c>
      <c r="J107" s="2"/>
      <c r="K107" s="46"/>
      <c r="L107" s="46"/>
      <c r="M107" s="46"/>
      <c r="N107" s="46"/>
      <c r="O107" s="46"/>
      <c r="P107" s="46"/>
      <c r="Q107" s="46"/>
      <c r="R107" s="46"/>
      <c r="S107" s="46"/>
      <c r="T107" s="2"/>
    </row>
    <row r="108" spans="1:22" outlineLevel="1">
      <c r="A108" s="118" t="s">
        <v>369</v>
      </c>
      <c r="B108" s="138">
        <f>VLOOKUP($A108,'LEVEL 2.1'!$A$13:$K$317,11,FALSE)</f>
        <v>35114.714285714283</v>
      </c>
      <c r="E108" s="138">
        <f>VLOOKUP($A108,'LEVEL 3'!$A$13:$K$317,11,FALSE)</f>
        <v>35114.714285714283</v>
      </c>
      <c r="G108" s="2"/>
      <c r="H108" s="138">
        <f t="shared" si="6"/>
        <v>0</v>
      </c>
      <c r="I108" s="423">
        <f t="shared" si="8"/>
        <v>0</v>
      </c>
      <c r="J108" s="2"/>
      <c r="K108" s="46"/>
      <c r="L108" s="46"/>
      <c r="M108" s="46"/>
      <c r="N108" s="46"/>
      <c r="O108" s="46"/>
      <c r="P108" s="46"/>
      <c r="Q108" s="46"/>
      <c r="R108" s="46"/>
      <c r="S108" s="46"/>
      <c r="T108" s="2"/>
    </row>
    <row r="109" spans="1:22" outlineLevel="1">
      <c r="A109" s="118" t="s">
        <v>372</v>
      </c>
      <c r="B109" s="138">
        <f>VLOOKUP($A109,'LEVEL 2.1'!$A$13:$K$317,11,FALSE)</f>
        <v>0</v>
      </c>
      <c r="E109" s="138">
        <f>VLOOKUP($A109,'LEVEL 3'!$A$13:$K$317,11,FALSE)</f>
        <v>0</v>
      </c>
      <c r="G109" s="2"/>
      <c r="H109" s="138">
        <f t="shared" si="6"/>
        <v>0</v>
      </c>
      <c r="I109" s="425" t="str">
        <f>IF(B109=0,"n/a",H109/B109)</f>
        <v>n/a</v>
      </c>
      <c r="J109" s="2"/>
      <c r="K109" s="46"/>
      <c r="L109" s="46"/>
      <c r="M109" s="46"/>
      <c r="N109" s="46"/>
      <c r="O109" s="46"/>
      <c r="P109" s="46"/>
      <c r="Q109" s="46"/>
      <c r="R109" s="46"/>
      <c r="S109" s="46"/>
      <c r="T109" s="2"/>
    </row>
    <row r="110" spans="1:22" outlineLevel="1">
      <c r="A110" s="118" t="s">
        <v>375</v>
      </c>
      <c r="B110" s="138">
        <f>VLOOKUP($A110,'LEVEL 2.1'!$A$13:$K$317,11,FALSE)</f>
        <v>0</v>
      </c>
      <c r="E110" s="138">
        <f>VLOOKUP($A110,'LEVEL 3'!$A$13:$K$317,11,FALSE)</f>
        <v>0</v>
      </c>
      <c r="G110" s="2"/>
      <c r="H110" s="138">
        <f t="shared" si="6"/>
        <v>0</v>
      </c>
      <c r="I110" s="425" t="str">
        <f>IF(B110=0,"n/a",H110/B110)</f>
        <v>n/a</v>
      </c>
      <c r="J110" s="2"/>
      <c r="K110" s="46"/>
      <c r="L110" s="46"/>
      <c r="M110" s="46"/>
      <c r="N110" s="46"/>
      <c r="O110" s="46"/>
      <c r="P110" s="46"/>
      <c r="Q110" s="46"/>
      <c r="R110" s="46"/>
      <c r="S110" s="46"/>
      <c r="T110" s="2"/>
    </row>
    <row r="111" spans="1:22" outlineLevel="1">
      <c r="A111" s="118" t="s">
        <v>378</v>
      </c>
      <c r="B111" s="138">
        <f>VLOOKUP($A111,'LEVEL 2.1'!$A$13:$K$317,11,FALSE)</f>
        <v>10000</v>
      </c>
      <c r="E111" s="138">
        <f>VLOOKUP($A111,'LEVEL 3'!$A$13:$K$317,11,FALSE)</f>
        <v>10000</v>
      </c>
      <c r="G111" s="2"/>
      <c r="H111" s="138">
        <f t="shared" si="6"/>
        <v>0</v>
      </c>
      <c r="I111" s="423">
        <f t="shared" si="8"/>
        <v>0</v>
      </c>
      <c r="J111" s="2"/>
      <c r="K111" s="46"/>
      <c r="L111" s="46"/>
      <c r="M111" s="46"/>
      <c r="N111" s="46"/>
      <c r="O111" s="46"/>
      <c r="P111" s="46"/>
      <c r="Q111" s="46"/>
      <c r="R111" s="46"/>
      <c r="S111" s="46"/>
      <c r="T111" s="2"/>
    </row>
    <row r="112" spans="1:22" outlineLevel="1">
      <c r="A112" s="118" t="s">
        <v>380</v>
      </c>
      <c r="B112" s="138">
        <f>VLOOKUP($A112,'LEVEL 2.1'!$A$13:$K$317,11,FALSE)</f>
        <v>717890.58</v>
      </c>
      <c r="E112" s="138">
        <f>VLOOKUP($A112,'LEVEL 3'!$A$13:$K$317,11,FALSE)</f>
        <v>695819</v>
      </c>
      <c r="G112" s="2"/>
      <c r="H112" s="138">
        <f t="shared" si="6"/>
        <v>22071.579999999958</v>
      </c>
      <c r="I112" s="423">
        <f t="shared" si="8"/>
        <v>3.0745047525209148E-2</v>
      </c>
      <c r="J112" s="2"/>
      <c r="K112" s="88" t="s">
        <v>878</v>
      </c>
      <c r="L112" s="46"/>
      <c r="M112" s="46"/>
      <c r="N112" s="46"/>
      <c r="O112" s="46"/>
      <c r="P112" s="46"/>
      <c r="Q112" s="46"/>
      <c r="R112" s="46"/>
      <c r="S112" s="46"/>
      <c r="T112" s="2"/>
    </row>
    <row r="113" spans="1:20" outlineLevel="1">
      <c r="A113" s="118" t="s">
        <v>382</v>
      </c>
      <c r="B113" s="138">
        <f>VLOOKUP($A113,'LEVEL 2.1'!$A$13:$K$317,11,FALSE)</f>
        <v>1000</v>
      </c>
      <c r="E113" s="138">
        <f>VLOOKUP($A113,'LEVEL 3'!$A$13:$K$317,11,FALSE)</f>
        <v>1000</v>
      </c>
      <c r="G113" s="2"/>
      <c r="H113" s="138">
        <f t="shared" si="6"/>
        <v>0</v>
      </c>
      <c r="I113" s="425">
        <f>IF(B113=0,"n/a",H113/B113)</f>
        <v>0</v>
      </c>
      <c r="J113" s="2"/>
      <c r="K113" s="46"/>
      <c r="L113" s="46"/>
      <c r="M113" s="46"/>
      <c r="N113" s="46"/>
      <c r="O113" s="46"/>
      <c r="P113" s="46"/>
      <c r="Q113" s="46"/>
      <c r="R113" s="46"/>
      <c r="S113" s="46"/>
      <c r="T113" s="2"/>
    </row>
    <row r="114" spans="1:20" outlineLevel="1">
      <c r="A114" s="118" t="s">
        <v>384</v>
      </c>
      <c r="B114" s="138">
        <f>VLOOKUP($A114,'LEVEL 2.1'!$A$13:$K$317,11,FALSE)</f>
        <v>0</v>
      </c>
      <c r="E114" s="138">
        <f>VLOOKUP($A114,'LEVEL 3'!$A$13:$K$317,11,FALSE)</f>
        <v>0</v>
      </c>
      <c r="G114" s="2"/>
      <c r="H114" s="138">
        <f t="shared" si="6"/>
        <v>0</v>
      </c>
      <c r="I114" s="425" t="str">
        <f>IF(B114=0,"n/a",H114/B114)</f>
        <v>n/a</v>
      </c>
      <c r="J114" s="2"/>
      <c r="K114" s="46"/>
      <c r="L114" s="46"/>
      <c r="M114" s="46"/>
      <c r="N114" s="46"/>
      <c r="O114" s="46"/>
      <c r="P114" s="46"/>
      <c r="Q114" s="46"/>
      <c r="R114" s="46"/>
      <c r="S114" s="46"/>
      <c r="T114" s="2"/>
    </row>
    <row r="115" spans="1:20" outlineLevel="1">
      <c r="A115" s="118" t="s">
        <v>386</v>
      </c>
      <c r="B115" s="138">
        <f>VLOOKUP($A115,'LEVEL 2.1'!$A$13:$K$317,11,FALSE)</f>
        <v>0</v>
      </c>
      <c r="E115" s="138">
        <f>VLOOKUP($A115,'LEVEL 3'!$A$13:$K$317,11,FALSE)</f>
        <v>0</v>
      </c>
      <c r="G115" s="2"/>
      <c r="H115" s="138">
        <f t="shared" si="6"/>
        <v>0</v>
      </c>
      <c r="I115" s="425" t="str">
        <f>IF(B115=0,"n/a",H115/B115)</f>
        <v>n/a</v>
      </c>
      <c r="J115" s="2"/>
      <c r="K115" s="46"/>
      <c r="L115" s="46"/>
      <c r="M115" s="46"/>
      <c r="N115" s="46"/>
      <c r="O115" s="46"/>
      <c r="P115" s="46"/>
      <c r="Q115" s="46"/>
      <c r="R115" s="46"/>
      <c r="S115" s="46"/>
      <c r="T115" s="2"/>
    </row>
    <row r="116" spans="1:20" outlineLevel="1">
      <c r="A116" s="118" t="s">
        <v>388</v>
      </c>
      <c r="B116" s="138">
        <f>VLOOKUP($A116,'LEVEL 2.1'!$A$13:$K$317,11,FALSE)</f>
        <v>0</v>
      </c>
      <c r="E116" s="138">
        <f>VLOOKUP($A116,'LEVEL 3'!$A$13:$K$317,11,FALSE)</f>
        <v>0</v>
      </c>
      <c r="G116" s="2"/>
      <c r="H116" s="138">
        <f t="shared" si="6"/>
        <v>0</v>
      </c>
      <c r="I116" s="425" t="str">
        <f>IF(B116=0,"n/a",H116/B116)</f>
        <v>n/a</v>
      </c>
      <c r="J116" s="2"/>
      <c r="K116" s="46"/>
      <c r="L116" s="46"/>
      <c r="M116" s="46"/>
      <c r="N116" s="46"/>
      <c r="O116" s="46"/>
      <c r="P116" s="46"/>
      <c r="Q116" s="46"/>
      <c r="R116" s="46"/>
      <c r="S116" s="46"/>
      <c r="T116" s="2"/>
    </row>
    <row r="117" spans="1:20" outlineLevel="1">
      <c r="A117" s="118" t="s">
        <v>389</v>
      </c>
      <c r="B117" s="117">
        <f>VLOOKUP($A117,'LEVEL 2.1'!$A$13:$K$317,11,FALSE)</f>
        <v>0</v>
      </c>
      <c r="C117" s="428"/>
      <c r="E117" s="117">
        <f>VLOOKUP($A117,'LEVEL 3'!$A$13:$K$317,11,FALSE)</f>
        <v>0</v>
      </c>
      <c r="F117" s="428"/>
      <c r="G117" s="2"/>
      <c r="H117" s="117">
        <f t="shared" si="6"/>
        <v>0</v>
      </c>
      <c r="I117" s="434" t="str">
        <f>IF(B117=0,"n/a",H117/B117)</f>
        <v>n/a</v>
      </c>
      <c r="J117" s="2"/>
      <c r="K117" s="46"/>
      <c r="L117" s="46"/>
      <c r="M117" s="46"/>
      <c r="N117" s="46"/>
      <c r="O117" s="46"/>
      <c r="P117" s="46"/>
      <c r="Q117" s="46"/>
      <c r="R117" s="46"/>
      <c r="S117" s="46"/>
      <c r="T117" s="2"/>
    </row>
    <row r="118" spans="1:20">
      <c r="A118" s="347" t="s">
        <v>391</v>
      </c>
      <c r="B118" s="110"/>
      <c r="C118" s="130">
        <f>SUM(B80:B117)</f>
        <v>5963501.3854374392</v>
      </c>
      <c r="E118" s="110"/>
      <c r="F118" s="130">
        <f>SUM(E80:E117)</f>
        <v>5743722.358980895</v>
      </c>
      <c r="G118" s="2"/>
      <c r="H118" s="427">
        <f>C118-F118</f>
        <v>219779.02645654418</v>
      </c>
      <c r="I118" s="422">
        <f>H118/C118</f>
        <v>3.6854024548939178E-2</v>
      </c>
      <c r="J118" s="2"/>
      <c r="K118" s="373"/>
      <c r="L118" s="373"/>
      <c r="M118" s="373"/>
      <c r="N118" s="373"/>
      <c r="O118" s="373"/>
      <c r="P118" s="373"/>
      <c r="Q118" s="373"/>
      <c r="R118" s="373"/>
      <c r="S118" s="373"/>
      <c r="T118" s="2"/>
    </row>
    <row r="119" spans="1:20" hidden="1" outlineLevel="1">
      <c r="A119" s="111" t="s">
        <v>393</v>
      </c>
      <c r="B119" s="117">
        <f>VLOOKUP($A119,'LEVEL 2.1'!$A$13:$K$317,11,FALSE)</f>
        <v>0</v>
      </c>
      <c r="E119" s="117">
        <f>VLOOKUP($A119,'LEVEL 3'!$A$13:$K$317,11,FALSE)</f>
        <v>0</v>
      </c>
      <c r="G119" s="2"/>
      <c r="H119" s="117">
        <f t="shared" ref="H119:H134" si="9">B119-E119</f>
        <v>0</v>
      </c>
      <c r="I119" s="425" t="str">
        <f>IF(B119=0,"n/a",H119/B119)</f>
        <v>n/a</v>
      </c>
      <c r="J119" s="2"/>
      <c r="K119" s="88"/>
      <c r="L119" s="88"/>
      <c r="M119" s="88"/>
      <c r="N119" s="88"/>
      <c r="O119" s="88"/>
      <c r="P119" s="88"/>
      <c r="Q119" s="88"/>
      <c r="R119" s="88"/>
      <c r="S119" s="88"/>
      <c r="T119" s="2"/>
    </row>
    <row r="120" spans="1:20" hidden="1" outlineLevel="1">
      <c r="A120" s="118" t="s">
        <v>395</v>
      </c>
      <c r="B120" s="138">
        <f>VLOOKUP($A120,'LEVEL 2.1'!$A$13:$K$317,11,FALSE)</f>
        <v>76956</v>
      </c>
      <c r="E120" s="138">
        <f>VLOOKUP($A120,'LEVEL 3'!$A$13:$K$317,11,FALSE)</f>
        <v>76956</v>
      </c>
      <c r="G120" s="2"/>
      <c r="H120" s="138">
        <f t="shared" si="9"/>
        <v>0</v>
      </c>
      <c r="I120" s="423">
        <f>H120/B120</f>
        <v>0</v>
      </c>
      <c r="J120" s="2"/>
      <c r="K120" s="46"/>
      <c r="L120" s="46"/>
      <c r="M120" s="46"/>
      <c r="N120" s="46"/>
      <c r="O120" s="46"/>
      <c r="P120" s="46"/>
      <c r="Q120" s="46"/>
      <c r="R120" s="46"/>
      <c r="S120" s="46"/>
      <c r="T120" s="2"/>
    </row>
    <row r="121" spans="1:20" hidden="1" outlineLevel="1">
      <c r="A121" s="118" t="s">
        <v>399</v>
      </c>
      <c r="B121" s="138">
        <f>VLOOKUP($A121,'LEVEL 2.1'!$A$13:$K$317,11,FALSE)</f>
        <v>7500</v>
      </c>
      <c r="E121" s="138">
        <f>VLOOKUP($A121,'LEVEL 3'!$A$13:$K$317,11,FALSE)</f>
        <v>7500</v>
      </c>
      <c r="G121" s="2"/>
      <c r="H121" s="138">
        <f t="shared" si="9"/>
        <v>0</v>
      </c>
      <c r="I121" s="423">
        <f>H121/B121</f>
        <v>0</v>
      </c>
      <c r="J121" s="2"/>
      <c r="K121" s="46"/>
      <c r="L121" s="46"/>
      <c r="M121" s="46"/>
      <c r="N121" s="46"/>
      <c r="O121" s="46"/>
      <c r="P121" s="46"/>
      <c r="Q121" s="46"/>
      <c r="R121" s="46"/>
      <c r="S121" s="46"/>
      <c r="T121" s="2"/>
    </row>
    <row r="122" spans="1:20" hidden="1" outlineLevel="1">
      <c r="A122" s="118" t="s">
        <v>401</v>
      </c>
      <c r="B122" s="138">
        <f>VLOOKUP($A122,'LEVEL 2.1'!$A$13:$K$317,11,FALSE)</f>
        <v>6500</v>
      </c>
      <c r="E122" s="138">
        <f>VLOOKUP($A122,'LEVEL 3'!$A$13:$K$317,11,FALSE)</f>
        <v>6500</v>
      </c>
      <c r="G122" s="2"/>
      <c r="H122" s="138">
        <f t="shared" si="9"/>
        <v>0</v>
      </c>
      <c r="I122" s="423">
        <f>H122/B122</f>
        <v>0</v>
      </c>
      <c r="J122" s="2"/>
      <c r="K122" s="46"/>
      <c r="L122" s="46"/>
      <c r="M122" s="46"/>
      <c r="N122" s="46"/>
      <c r="O122" s="46"/>
      <c r="P122" s="46"/>
      <c r="Q122" s="46"/>
      <c r="R122" s="46"/>
      <c r="S122" s="46"/>
      <c r="T122" s="2"/>
    </row>
    <row r="123" spans="1:20" hidden="1" outlineLevel="1">
      <c r="A123" s="118" t="s">
        <v>403</v>
      </c>
      <c r="B123" s="138">
        <f>VLOOKUP($A123,'LEVEL 2.1'!$A$13:$K$317,11,FALSE)</f>
        <v>7500</v>
      </c>
      <c r="E123" s="138">
        <f>VLOOKUP($A123,'LEVEL 3'!$A$13:$K$317,11,FALSE)</f>
        <v>7500</v>
      </c>
      <c r="G123" s="2"/>
      <c r="H123" s="138">
        <f t="shared" si="9"/>
        <v>0</v>
      </c>
      <c r="I123" s="423">
        <f>H123/B123</f>
        <v>0</v>
      </c>
      <c r="J123" s="2"/>
      <c r="K123" s="46"/>
      <c r="L123" s="46"/>
      <c r="M123" s="46"/>
      <c r="N123" s="46"/>
      <c r="O123" s="46"/>
      <c r="P123" s="46"/>
      <c r="Q123" s="46"/>
      <c r="R123" s="46"/>
      <c r="S123" s="46"/>
      <c r="T123" s="2"/>
    </row>
    <row r="124" spans="1:20" hidden="1" outlineLevel="1">
      <c r="A124" s="118" t="s">
        <v>406</v>
      </c>
      <c r="B124" s="138">
        <f>VLOOKUP($A124,'LEVEL 2.1'!$A$13:$K$317,11,FALSE)</f>
        <v>14883</v>
      </c>
      <c r="E124" s="138">
        <f>VLOOKUP($A124,'LEVEL 3'!$A$13:$K$317,11,FALSE)</f>
        <v>14883</v>
      </c>
      <c r="G124" s="2"/>
      <c r="H124" s="138">
        <f t="shared" si="9"/>
        <v>0</v>
      </c>
      <c r="I124" s="423">
        <f>H124/B124</f>
        <v>0</v>
      </c>
      <c r="J124" s="2"/>
      <c r="K124" s="46"/>
      <c r="L124" s="46"/>
      <c r="M124" s="46"/>
      <c r="N124" s="46"/>
      <c r="O124" s="46"/>
      <c r="P124" s="46"/>
      <c r="Q124" s="46"/>
      <c r="R124" s="46"/>
      <c r="S124" s="46"/>
      <c r="T124" s="2"/>
    </row>
    <row r="125" spans="1:20" hidden="1" outlineLevel="1">
      <c r="A125" s="118" t="s">
        <v>410</v>
      </c>
      <c r="B125" s="138">
        <f>VLOOKUP($A125,'LEVEL 2.1'!$A$13:$K$317,11,FALSE)</f>
        <v>0</v>
      </c>
      <c r="E125" s="138">
        <f>VLOOKUP($A125,'LEVEL 3'!$A$13:$K$317,11,FALSE)</f>
        <v>0</v>
      </c>
      <c r="G125" s="2"/>
      <c r="H125" s="138">
        <f t="shared" si="9"/>
        <v>0</v>
      </c>
      <c r="I125" s="425" t="str">
        <f>IF(B125=0,"n/a",H125/B125)</f>
        <v>n/a</v>
      </c>
      <c r="J125" s="2"/>
      <c r="K125" s="46"/>
      <c r="L125" s="46"/>
      <c r="M125" s="46"/>
      <c r="N125" s="46"/>
      <c r="O125" s="46"/>
      <c r="P125" s="46"/>
      <c r="Q125" s="46"/>
      <c r="R125" s="46"/>
      <c r="S125" s="46"/>
      <c r="T125" s="2"/>
    </row>
    <row r="126" spans="1:20" hidden="1" outlineLevel="1">
      <c r="A126" s="118" t="s">
        <v>412</v>
      </c>
      <c r="B126" s="138">
        <f>VLOOKUP($A126,'LEVEL 2.1'!$A$13:$K$317,11,FALSE)</f>
        <v>0</v>
      </c>
      <c r="E126" s="138">
        <f>VLOOKUP($A126,'LEVEL 3'!$A$13:$K$317,11,FALSE)</f>
        <v>0</v>
      </c>
      <c r="G126" s="2"/>
      <c r="H126" s="138">
        <f t="shared" si="9"/>
        <v>0</v>
      </c>
      <c r="I126" s="425" t="str">
        <f>IF(B126=0,"n/a",H126/B126)</f>
        <v>n/a</v>
      </c>
      <c r="J126" s="2"/>
      <c r="K126" s="46"/>
      <c r="L126" s="46"/>
      <c r="M126" s="46"/>
      <c r="N126" s="46"/>
      <c r="O126" s="46"/>
      <c r="P126" s="46"/>
      <c r="Q126" s="46"/>
      <c r="R126" s="46"/>
      <c r="S126" s="46"/>
      <c r="T126" s="2"/>
    </row>
    <row r="127" spans="1:20" hidden="1" outlineLevel="1">
      <c r="A127" s="118" t="s">
        <v>414</v>
      </c>
      <c r="B127" s="138">
        <f>VLOOKUP($A127,'LEVEL 2.1'!$A$13:$K$317,11,FALSE)</f>
        <v>0</v>
      </c>
      <c r="E127" s="138">
        <f>VLOOKUP($A127,'LEVEL 3'!$A$13:$K$317,11,FALSE)</f>
        <v>0</v>
      </c>
      <c r="G127" s="2"/>
      <c r="H127" s="138">
        <f t="shared" si="9"/>
        <v>0</v>
      </c>
      <c r="I127" s="425" t="str">
        <f>IF(B127=0,"n/a",H127/B127)</f>
        <v>n/a</v>
      </c>
      <c r="J127" s="2"/>
      <c r="K127" s="46"/>
      <c r="L127" s="46"/>
      <c r="M127" s="46"/>
      <c r="N127" s="46"/>
      <c r="O127" s="46"/>
      <c r="P127" s="46"/>
      <c r="Q127" s="46"/>
      <c r="R127" s="46"/>
      <c r="S127" s="46"/>
      <c r="T127" s="2"/>
    </row>
    <row r="128" spans="1:20" hidden="1" outlineLevel="1">
      <c r="A128" s="118" t="s">
        <v>416</v>
      </c>
      <c r="B128" s="138">
        <f>VLOOKUP($A128,'LEVEL 2.1'!$A$13:$K$317,11,FALSE)</f>
        <v>13440</v>
      </c>
      <c r="E128" s="138">
        <f>VLOOKUP($A128,'LEVEL 3'!$A$13:$K$317,11,FALSE)</f>
        <v>13440</v>
      </c>
      <c r="G128" s="2"/>
      <c r="H128" s="138">
        <f t="shared" si="9"/>
        <v>0</v>
      </c>
      <c r="I128" s="423">
        <f t="shared" ref="I128:I134" si="10">H128/B128</f>
        <v>0</v>
      </c>
      <c r="J128" s="2"/>
      <c r="K128" s="46"/>
      <c r="L128" s="46"/>
      <c r="M128" s="46"/>
      <c r="N128" s="46"/>
      <c r="O128" s="46"/>
      <c r="P128" s="46"/>
      <c r="Q128" s="46"/>
      <c r="R128" s="46"/>
      <c r="S128" s="46"/>
      <c r="T128" s="2"/>
    </row>
    <row r="129" spans="1:20" hidden="1" outlineLevel="1">
      <c r="A129" s="118" t="s">
        <v>419</v>
      </c>
      <c r="B129" s="138">
        <f>VLOOKUP($A129,'LEVEL 2.1'!$A$13:$K$317,11,FALSE)</f>
        <v>5000</v>
      </c>
      <c r="E129" s="138">
        <f>VLOOKUP($A129,'LEVEL 3'!$A$13:$K$317,11,FALSE)</f>
        <v>5000</v>
      </c>
      <c r="G129" s="2"/>
      <c r="H129" s="138">
        <f t="shared" si="9"/>
        <v>0</v>
      </c>
      <c r="I129" s="423">
        <f t="shared" si="10"/>
        <v>0</v>
      </c>
      <c r="J129" s="2"/>
      <c r="K129" s="46"/>
      <c r="L129" s="46"/>
      <c r="M129" s="46"/>
      <c r="N129" s="46"/>
      <c r="O129" s="46"/>
      <c r="P129" s="46"/>
      <c r="Q129" s="46"/>
      <c r="R129" s="46"/>
      <c r="S129" s="46"/>
      <c r="T129" s="2"/>
    </row>
    <row r="130" spans="1:20" hidden="1" outlineLevel="1">
      <c r="A130" s="118" t="s">
        <v>421</v>
      </c>
      <c r="B130" s="138">
        <f>VLOOKUP($A130,'LEVEL 2.1'!$A$13:$K$317,11,FALSE)</f>
        <v>30000</v>
      </c>
      <c r="E130" s="138">
        <f>VLOOKUP($A130,'LEVEL 3'!$A$13:$K$317,11,FALSE)</f>
        <v>30000</v>
      </c>
      <c r="G130" s="2"/>
      <c r="H130" s="138">
        <f t="shared" si="9"/>
        <v>0</v>
      </c>
      <c r="I130" s="423">
        <f t="shared" si="10"/>
        <v>0</v>
      </c>
      <c r="J130" s="2"/>
      <c r="K130" s="46"/>
      <c r="L130" s="46"/>
      <c r="M130" s="46"/>
      <c r="N130" s="46"/>
      <c r="O130" s="46"/>
      <c r="P130" s="46"/>
      <c r="Q130" s="46"/>
      <c r="R130" s="46"/>
      <c r="S130" s="46"/>
      <c r="T130" s="2"/>
    </row>
    <row r="131" spans="1:20" hidden="1" outlineLevel="1">
      <c r="A131" s="118" t="s">
        <v>424</v>
      </c>
      <c r="B131" s="138">
        <f>VLOOKUP($A131,'LEVEL 2.1'!$A$13:$K$317,11,FALSE)</f>
        <v>83490</v>
      </c>
      <c r="E131" s="138">
        <f>VLOOKUP($A131,'LEVEL 3'!$A$13:$K$317,11,FALSE)</f>
        <v>83490</v>
      </c>
      <c r="G131" s="2"/>
      <c r="H131" s="138">
        <f t="shared" si="9"/>
        <v>0</v>
      </c>
      <c r="I131" s="423">
        <f t="shared" si="10"/>
        <v>0</v>
      </c>
      <c r="J131" s="2"/>
      <c r="K131" s="46"/>
      <c r="L131" s="46"/>
      <c r="M131" s="46"/>
      <c r="N131" s="46"/>
      <c r="O131" s="46"/>
      <c r="P131" s="46"/>
      <c r="Q131" s="46"/>
      <c r="R131" s="46"/>
      <c r="S131" s="46"/>
      <c r="T131" s="2"/>
    </row>
    <row r="132" spans="1:20" hidden="1" outlineLevel="1">
      <c r="A132" s="118" t="s">
        <v>426</v>
      </c>
      <c r="B132" s="138">
        <f>VLOOKUP($A132,'LEVEL 2.1'!$A$13:$K$317,11,FALSE)</f>
        <v>120516</v>
      </c>
      <c r="E132" s="138">
        <f>VLOOKUP($A132,'LEVEL 3'!$A$13:$K$317,11,FALSE)</f>
        <v>120516</v>
      </c>
      <c r="G132" s="2"/>
      <c r="H132" s="138">
        <f t="shared" si="9"/>
        <v>0</v>
      </c>
      <c r="I132" s="423">
        <f t="shared" si="10"/>
        <v>0</v>
      </c>
      <c r="J132" s="2"/>
      <c r="K132" s="46"/>
      <c r="L132" s="46"/>
      <c r="M132" s="46"/>
      <c r="N132" s="46"/>
      <c r="O132" s="46"/>
      <c r="P132" s="46"/>
      <c r="Q132" s="46"/>
      <c r="R132" s="46"/>
      <c r="S132" s="46"/>
      <c r="T132" s="2"/>
    </row>
    <row r="133" spans="1:20" hidden="1" outlineLevel="1">
      <c r="A133" s="118" t="s">
        <v>428</v>
      </c>
      <c r="B133" s="138">
        <f>VLOOKUP($A133,'LEVEL 2.1'!$A$13:$K$317,11,FALSE)</f>
        <v>75000</v>
      </c>
      <c r="E133" s="138">
        <f>VLOOKUP($A133,'LEVEL 3'!$A$13:$K$317,11,FALSE)</f>
        <v>75000</v>
      </c>
      <c r="G133" s="2"/>
      <c r="H133" s="138">
        <f t="shared" si="9"/>
        <v>0</v>
      </c>
      <c r="I133" s="423">
        <f t="shared" si="10"/>
        <v>0</v>
      </c>
      <c r="J133" s="2"/>
      <c r="K133" s="46"/>
      <c r="L133" s="46"/>
      <c r="M133" s="46"/>
      <c r="N133" s="46"/>
      <c r="O133" s="46"/>
      <c r="P133" s="46"/>
      <c r="Q133" s="46"/>
      <c r="R133" s="46"/>
      <c r="S133" s="46"/>
      <c r="T133" s="2"/>
    </row>
    <row r="134" spans="1:20" hidden="1" outlineLevel="1">
      <c r="A134" s="118" t="s">
        <v>430</v>
      </c>
      <c r="B134" s="117">
        <f>VLOOKUP($A134,'LEVEL 2.1'!$A$13:$K$317,11,FALSE)</f>
        <v>85000</v>
      </c>
      <c r="E134" s="117">
        <f>VLOOKUP($A134,'LEVEL 3'!$A$13:$K$317,11,FALSE)</f>
        <v>85000</v>
      </c>
      <c r="G134" s="2"/>
      <c r="H134" s="95">
        <f t="shared" si="9"/>
        <v>0</v>
      </c>
      <c r="I134" s="423">
        <f t="shared" si="10"/>
        <v>0</v>
      </c>
      <c r="J134" s="2"/>
      <c r="K134" s="46"/>
      <c r="L134" s="46"/>
      <c r="M134" s="46"/>
      <c r="N134" s="46"/>
      <c r="O134" s="46"/>
      <c r="P134" s="46"/>
      <c r="Q134" s="46"/>
      <c r="R134" s="46"/>
      <c r="S134" s="46"/>
      <c r="T134" s="2"/>
    </row>
    <row r="135" spans="1:20" collapsed="1">
      <c r="A135" s="347" t="s">
        <v>431</v>
      </c>
      <c r="B135" s="110"/>
      <c r="C135" s="445">
        <f>SUM(B119:B134)</f>
        <v>525785</v>
      </c>
      <c r="E135" s="110"/>
      <c r="F135" s="445">
        <f>SUM(E119:E134)</f>
        <v>525785</v>
      </c>
      <c r="G135" s="2"/>
      <c r="H135" s="448">
        <f>C135-F135</f>
        <v>0</v>
      </c>
      <c r="I135" s="446">
        <f>H135/C135</f>
        <v>0</v>
      </c>
      <c r="J135" s="2"/>
      <c r="K135" s="373"/>
      <c r="L135" s="373"/>
      <c r="M135" s="373"/>
      <c r="N135" s="373"/>
      <c r="O135" s="373"/>
      <c r="P135" s="373"/>
      <c r="Q135" s="373"/>
      <c r="R135" s="373"/>
      <c r="S135" s="373"/>
      <c r="T135" s="2"/>
    </row>
    <row r="136" spans="1:20" hidden="1" outlineLevel="1">
      <c r="A136" s="118" t="s">
        <v>433</v>
      </c>
      <c r="B136" s="117">
        <f>VLOOKUP($A136,'LEVEL 2.1'!$A$13:$K$317,11,FALSE)</f>
        <v>1208132.8053402065</v>
      </c>
      <c r="C136" s="182"/>
      <c r="E136" s="117">
        <f>VLOOKUP($A136,'LEVEL 3'!$A$13:$K$317,11,FALSE)</f>
        <v>1208132.8053402065</v>
      </c>
      <c r="F136" s="182"/>
      <c r="G136" s="2"/>
      <c r="H136" s="117">
        <f>B136-E136</f>
        <v>0</v>
      </c>
      <c r="I136" s="423">
        <f>H136/B136</f>
        <v>0</v>
      </c>
      <c r="J136" s="2"/>
      <c r="K136" s="88"/>
      <c r="L136" s="88"/>
      <c r="M136" s="88"/>
      <c r="N136" s="88"/>
      <c r="O136" s="88"/>
      <c r="P136" s="88"/>
      <c r="Q136" s="88"/>
      <c r="R136" s="88"/>
      <c r="S136" s="88"/>
      <c r="T136" s="2"/>
    </row>
    <row r="137" spans="1:20" hidden="1" outlineLevel="1">
      <c r="A137" s="118" t="s">
        <v>435</v>
      </c>
      <c r="B137" s="138">
        <f>VLOOKUP($A137,'LEVEL 2.1'!$A$13:$K$317,11,FALSE)</f>
        <v>124765.0105263158</v>
      </c>
      <c r="C137" s="182"/>
      <c r="E137" s="138">
        <f>VLOOKUP($A137,'LEVEL 3'!$A$13:$K$317,11,FALSE)</f>
        <v>124765.0105263158</v>
      </c>
      <c r="F137" s="182"/>
      <c r="G137" s="2"/>
      <c r="H137" s="138">
        <f>B137-E137</f>
        <v>0</v>
      </c>
      <c r="I137" s="425">
        <f>IF(B137=0,"n/a",H137/B137)</f>
        <v>0</v>
      </c>
      <c r="J137" s="2"/>
      <c r="K137" s="438"/>
      <c r="T137" s="2"/>
    </row>
    <row r="138" spans="1:20" hidden="1" outlineLevel="1">
      <c r="A138" s="118" t="s">
        <v>438</v>
      </c>
      <c r="B138" s="117">
        <f>VLOOKUP($A138,'LEVEL 2.1'!$A$13:$K$317,11,FALSE)</f>
        <v>35000</v>
      </c>
      <c r="C138" s="360"/>
      <c r="E138" s="117">
        <f>VLOOKUP($A138,'LEVEL 3'!$A$13:$K$317,11,FALSE)</f>
        <v>35000</v>
      </c>
      <c r="F138" s="360"/>
      <c r="G138" s="2"/>
      <c r="H138" s="117">
        <f>B138-E138</f>
        <v>0</v>
      </c>
      <c r="I138" s="425">
        <f>IF(B138=0,"n/a",H138/B138)</f>
        <v>0</v>
      </c>
      <c r="J138" s="2"/>
      <c r="T138" s="2"/>
    </row>
    <row r="139" spans="1:20" collapsed="1">
      <c r="A139" s="347" t="s">
        <v>440</v>
      </c>
      <c r="B139" s="110"/>
      <c r="C139" s="130">
        <f>SUM(B136:B138)</f>
        <v>1367897.8158665223</v>
      </c>
      <c r="E139" s="110"/>
      <c r="F139" s="130">
        <f>SUM(E136:E138)</f>
        <v>1367897.8158665223</v>
      </c>
      <c r="G139" s="2"/>
      <c r="H139" s="427">
        <f>C139-F139</f>
        <v>0</v>
      </c>
      <c r="I139" s="422">
        <f>H139/C139</f>
        <v>0</v>
      </c>
      <c r="J139" s="2"/>
      <c r="K139" s="373"/>
      <c r="L139" s="373"/>
      <c r="M139" s="373"/>
      <c r="N139" s="373"/>
      <c r="O139" s="373"/>
      <c r="P139" s="373"/>
      <c r="Q139" s="373"/>
      <c r="R139" s="373"/>
      <c r="S139" s="373"/>
      <c r="T139" s="2"/>
    </row>
    <row r="140" spans="1:20" hidden="1" outlineLevel="1">
      <c r="A140" s="111" t="s">
        <v>308</v>
      </c>
      <c r="B140" s="117">
        <f>VLOOKUP($A140,'LEVEL 2.1'!$A$13:$K$317,11,FALSE)</f>
        <v>28677</v>
      </c>
      <c r="E140" s="117">
        <f>VLOOKUP($A140,'LEVEL 3'!$A$13:$K$317,11,FALSE)</f>
        <v>28677</v>
      </c>
      <c r="G140" s="2"/>
      <c r="H140" s="117">
        <f t="shared" ref="H140:H147" si="11">B140-E140</f>
        <v>0</v>
      </c>
      <c r="I140" s="423">
        <v>0</v>
      </c>
      <c r="J140" s="2"/>
      <c r="K140" s="88"/>
      <c r="L140" s="88"/>
      <c r="M140" s="88"/>
      <c r="N140" s="88"/>
      <c r="O140" s="88"/>
      <c r="P140" s="88"/>
      <c r="Q140" s="88"/>
      <c r="R140" s="88"/>
      <c r="S140" s="88"/>
      <c r="T140" s="2"/>
    </row>
    <row r="141" spans="1:20" hidden="1" outlineLevel="1">
      <c r="A141" s="118" t="s">
        <v>213</v>
      </c>
      <c r="B141" s="138">
        <f>VLOOKUP($A141,'LEVEL 2.1'!$A$13:$K$317,11,FALSE)</f>
        <v>160809</v>
      </c>
      <c r="E141" s="138">
        <f>VLOOKUP($A141,'LEVEL 3'!$A$13:$K$317,11,FALSE)</f>
        <v>160809</v>
      </c>
      <c r="G141" s="2"/>
      <c r="H141" s="138">
        <f t="shared" si="11"/>
        <v>0</v>
      </c>
      <c r="I141" s="423">
        <f t="shared" ref="I141:I145" si="12">H141/B141</f>
        <v>0</v>
      </c>
      <c r="J141" s="2"/>
      <c r="K141" s="46"/>
      <c r="L141" s="46"/>
      <c r="M141" s="46"/>
      <c r="N141" s="46"/>
      <c r="O141" s="46"/>
      <c r="P141" s="46"/>
      <c r="Q141" s="46"/>
      <c r="R141" s="46"/>
      <c r="S141" s="46"/>
      <c r="T141" s="2"/>
    </row>
    <row r="142" spans="1:20" hidden="1" outlineLevel="1">
      <c r="A142" s="118" t="s">
        <v>453</v>
      </c>
      <c r="B142" s="138">
        <f>VLOOKUP($A142,'LEVEL 2.1'!$A$13:$K$317,11,FALSE)</f>
        <v>941174.00000000012</v>
      </c>
      <c r="C142" s="182"/>
      <c r="E142" s="138">
        <f>VLOOKUP($A142,'LEVEL 3'!$A$13:$K$317,11,FALSE)</f>
        <v>941174.00000000012</v>
      </c>
      <c r="F142" s="182"/>
      <c r="G142" s="2"/>
      <c r="H142" s="138">
        <f t="shared" si="11"/>
        <v>0</v>
      </c>
      <c r="I142" s="423">
        <f t="shared" si="12"/>
        <v>0</v>
      </c>
      <c r="J142" s="2"/>
      <c r="K142" s="46"/>
      <c r="L142" s="46"/>
      <c r="M142" s="46"/>
      <c r="N142" s="46"/>
      <c r="O142" s="46"/>
      <c r="P142" s="46"/>
      <c r="Q142" s="46"/>
      <c r="R142" s="46"/>
      <c r="S142" s="46"/>
      <c r="T142" s="2"/>
    </row>
    <row r="143" spans="1:20" hidden="1" outlineLevel="1">
      <c r="A143" s="118" t="s">
        <v>460</v>
      </c>
      <c r="B143" s="138">
        <f>VLOOKUP($A143,'LEVEL 2.1'!$A$13:$K$317,11,FALSE)</f>
        <v>75000</v>
      </c>
      <c r="C143" s="182"/>
      <c r="E143" s="138">
        <f>VLOOKUP($A143,'LEVEL 3'!$A$13:$K$317,11,FALSE)</f>
        <v>75000</v>
      </c>
      <c r="F143" s="182"/>
      <c r="G143" s="2"/>
      <c r="H143" s="138">
        <f t="shared" si="11"/>
        <v>0</v>
      </c>
      <c r="I143" s="423">
        <f t="shared" si="12"/>
        <v>0</v>
      </c>
      <c r="J143" s="2"/>
      <c r="K143" s="46"/>
      <c r="L143" s="46"/>
      <c r="M143" s="46"/>
      <c r="N143" s="46"/>
      <c r="O143" s="46"/>
      <c r="P143" s="46"/>
      <c r="Q143" s="46"/>
      <c r="R143" s="46"/>
      <c r="S143" s="46"/>
      <c r="T143" s="2"/>
    </row>
    <row r="144" spans="1:20" hidden="1" outlineLevel="1">
      <c r="A144" s="118" t="s">
        <v>464</v>
      </c>
      <c r="B144" s="138">
        <f>VLOOKUP($A144,'LEVEL 2.1'!$A$13:$K$317,11,FALSE)</f>
        <v>678244.91752577317</v>
      </c>
      <c r="C144" s="182"/>
      <c r="E144" s="138">
        <f>VLOOKUP($A144,'LEVEL 3'!$A$13:$K$317,11,FALSE)</f>
        <v>678244.91752577317</v>
      </c>
      <c r="F144" s="182"/>
      <c r="G144" s="2"/>
      <c r="H144" s="138">
        <f t="shared" si="11"/>
        <v>0</v>
      </c>
      <c r="I144" s="423">
        <f t="shared" si="12"/>
        <v>0</v>
      </c>
      <c r="J144" s="2"/>
      <c r="K144" s="46"/>
      <c r="L144" s="46"/>
      <c r="M144" s="46"/>
      <c r="N144" s="46"/>
      <c r="O144" s="46"/>
      <c r="P144" s="46"/>
      <c r="Q144" s="46"/>
      <c r="R144" s="46"/>
      <c r="S144" s="46"/>
      <c r="T144" s="2"/>
    </row>
    <row r="145" spans="1:20" hidden="1" outlineLevel="1">
      <c r="A145" s="118" t="s">
        <v>470</v>
      </c>
      <c r="B145" s="138">
        <f>VLOOKUP($A145,'LEVEL 2.1'!$A$13:$K$317,11,FALSE)</f>
        <v>65000</v>
      </c>
      <c r="E145" s="138">
        <f>VLOOKUP($A145,'LEVEL 3'!$A$13:$K$317,11,FALSE)</f>
        <v>65000</v>
      </c>
      <c r="G145" s="2"/>
      <c r="H145" s="138">
        <f t="shared" si="11"/>
        <v>0</v>
      </c>
      <c r="I145" s="423">
        <f t="shared" si="12"/>
        <v>0</v>
      </c>
      <c r="J145" s="2"/>
      <c r="K145" s="46"/>
      <c r="L145" s="46"/>
      <c r="M145" s="46"/>
      <c r="N145" s="46"/>
      <c r="O145" s="46"/>
      <c r="P145" s="46"/>
      <c r="Q145" s="46"/>
      <c r="R145" s="46"/>
      <c r="S145" s="46"/>
      <c r="T145" s="2"/>
    </row>
    <row r="146" spans="1:20" hidden="1" outlineLevel="1">
      <c r="A146" s="118" t="s">
        <v>472</v>
      </c>
      <c r="B146" s="138">
        <f>VLOOKUP($A146,'LEVEL 2.1'!$A$13:$K$317,11,FALSE)</f>
        <v>0</v>
      </c>
      <c r="E146" s="138">
        <f>VLOOKUP($A146,'LEVEL 3'!$A$13:$K$317,11,FALSE)</f>
        <v>0</v>
      </c>
      <c r="G146" s="2"/>
      <c r="H146" s="138">
        <f t="shared" si="11"/>
        <v>0</v>
      </c>
      <c r="I146" s="425" t="str">
        <f>IF(B146=0,"n/a",H146/B146)</f>
        <v>n/a</v>
      </c>
      <c r="J146" s="2"/>
      <c r="K146" s="46"/>
      <c r="L146" s="46"/>
      <c r="M146" s="46"/>
      <c r="N146" s="46"/>
      <c r="O146" s="46"/>
      <c r="P146" s="46"/>
      <c r="Q146" s="46"/>
      <c r="R146" s="46"/>
      <c r="S146" s="46"/>
      <c r="T146" s="2"/>
    </row>
    <row r="147" spans="1:20" hidden="1" outlineLevel="1">
      <c r="A147" s="118" t="s">
        <v>474</v>
      </c>
      <c r="B147" s="117">
        <f>VLOOKUP($A147,'LEVEL 2.1'!$A$13:$K$317,11,FALSE)</f>
        <v>24000</v>
      </c>
      <c r="C147" s="182"/>
      <c r="E147" s="117">
        <f>VLOOKUP($A147,'LEVEL 3'!$A$13:$K$317,11,FALSE)</f>
        <v>24000</v>
      </c>
      <c r="F147" s="182"/>
      <c r="G147" s="2"/>
      <c r="H147" s="95">
        <f t="shared" si="11"/>
        <v>0</v>
      </c>
      <c r="I147" s="423">
        <f>H147/B147</f>
        <v>0</v>
      </c>
      <c r="J147" s="2"/>
      <c r="K147" s="46"/>
      <c r="L147" s="46"/>
      <c r="M147" s="46"/>
      <c r="N147" s="46"/>
      <c r="O147" s="46"/>
      <c r="P147" s="46"/>
      <c r="Q147" s="46"/>
      <c r="R147" s="46"/>
      <c r="S147" s="46"/>
      <c r="T147" s="2"/>
    </row>
    <row r="148" spans="1:20" collapsed="1">
      <c r="A148" s="347" t="s">
        <v>476</v>
      </c>
      <c r="B148" s="110"/>
      <c r="C148" s="445">
        <f>SUM(B140:B147)</f>
        <v>1972904.9175257732</v>
      </c>
      <c r="E148" s="110"/>
      <c r="F148" s="445">
        <f>SUM(E140:E147)</f>
        <v>1972904.9175257732</v>
      </c>
      <c r="G148" s="2"/>
      <c r="H148" s="448">
        <f>C148-F148</f>
        <v>0</v>
      </c>
      <c r="I148" s="446">
        <f>H148/C148</f>
        <v>0</v>
      </c>
      <c r="J148" s="2"/>
      <c r="K148" s="373"/>
      <c r="L148" s="373"/>
      <c r="M148" s="373"/>
      <c r="N148" s="373"/>
      <c r="O148" s="373"/>
      <c r="P148" s="373"/>
      <c r="Q148" s="373"/>
      <c r="R148" s="373"/>
      <c r="S148" s="373"/>
      <c r="T148" s="2"/>
    </row>
    <row r="149" spans="1:20" outlineLevel="1">
      <c r="A149" s="118" t="s">
        <v>479</v>
      </c>
      <c r="B149" s="117">
        <f>VLOOKUP($A149,'LEVEL 2.1'!$A$13:$K$317,11,FALSE)</f>
        <v>290932.33333333337</v>
      </c>
      <c r="C149" s="360"/>
      <c r="E149" s="117">
        <f>VLOOKUP($A149,'LEVEL 3'!$A$13:$K$317,11,FALSE)</f>
        <v>290932.33333333337</v>
      </c>
      <c r="F149" s="360"/>
      <c r="G149" s="2"/>
      <c r="H149" s="117">
        <f>B149-E149</f>
        <v>0</v>
      </c>
      <c r="I149" s="424">
        <f>H149/B149</f>
        <v>0</v>
      </c>
      <c r="J149" s="2"/>
      <c r="K149" s="88"/>
      <c r="L149" s="88"/>
      <c r="M149" s="88"/>
      <c r="N149" s="88"/>
      <c r="O149" s="88"/>
      <c r="P149" s="88"/>
      <c r="Q149" s="88"/>
      <c r="R149" s="88"/>
      <c r="S149" s="88"/>
      <c r="T149" s="2"/>
    </row>
    <row r="150" spans="1:20" outlineLevel="1">
      <c r="A150" s="118" t="s">
        <v>482</v>
      </c>
      <c r="B150" s="138">
        <f>VLOOKUP($A150,'LEVEL 2.1'!$A$13:$K$317,11,FALSE)</f>
        <v>655512</v>
      </c>
      <c r="E150" s="138">
        <f>VLOOKUP($A150,'LEVEL 3'!$A$13:$K$317,11,FALSE)</f>
        <v>655512</v>
      </c>
      <c r="G150" s="2"/>
      <c r="H150" s="138">
        <f>B150-E150</f>
        <v>0</v>
      </c>
      <c r="I150" s="423">
        <f>H150/B150</f>
        <v>0</v>
      </c>
      <c r="J150" s="2"/>
      <c r="K150" s="46"/>
      <c r="L150" s="46"/>
      <c r="M150" s="46"/>
      <c r="N150" s="46"/>
      <c r="O150" s="46"/>
      <c r="P150" s="46"/>
      <c r="Q150" s="46"/>
      <c r="R150" s="46"/>
      <c r="S150" s="46"/>
      <c r="T150" s="2"/>
    </row>
    <row r="151" spans="1:20" outlineLevel="1">
      <c r="A151" s="118" t="s">
        <v>484</v>
      </c>
      <c r="B151" s="117">
        <f>VLOOKUP($A151,'LEVEL 2.1'!$A$13:$K$317,11,FALSE)</f>
        <v>7049</v>
      </c>
      <c r="C151" s="182"/>
      <c r="E151" s="117">
        <f>VLOOKUP($A151,'LEVEL 3'!$A$13:$K$317,11,FALSE)</f>
        <v>7049</v>
      </c>
      <c r="F151" s="182"/>
      <c r="G151" s="2"/>
      <c r="H151" s="95">
        <f>B151-E151</f>
        <v>0</v>
      </c>
      <c r="I151" s="423">
        <f>H151/B151</f>
        <v>0</v>
      </c>
      <c r="J151" s="2"/>
      <c r="K151" s="46"/>
      <c r="L151" s="46"/>
      <c r="M151" s="46"/>
      <c r="N151" s="46"/>
      <c r="O151" s="46"/>
      <c r="P151" s="46"/>
      <c r="Q151" s="46"/>
      <c r="R151" s="46"/>
      <c r="S151" s="46"/>
      <c r="T151" s="2"/>
    </row>
    <row r="152" spans="1:20">
      <c r="A152" s="347" t="s">
        <v>487</v>
      </c>
      <c r="B152" s="110"/>
      <c r="C152" s="445">
        <f>SUM(B149:B151)</f>
        <v>953493.33333333337</v>
      </c>
      <c r="E152" s="110"/>
      <c r="F152" s="445">
        <f>SUM(E149:E151)</f>
        <v>953493.33333333337</v>
      </c>
      <c r="G152" s="2"/>
      <c r="H152" s="448">
        <f>C152-F152</f>
        <v>0</v>
      </c>
      <c r="I152" s="446">
        <f>H152/C152</f>
        <v>0</v>
      </c>
      <c r="J152" s="2"/>
      <c r="K152" s="373"/>
      <c r="L152" s="373"/>
      <c r="M152" s="373"/>
      <c r="N152" s="373"/>
      <c r="O152" s="373"/>
      <c r="P152" s="373"/>
      <c r="Q152" s="373"/>
      <c r="R152" s="373"/>
      <c r="S152" s="373"/>
      <c r="T152" s="2"/>
    </row>
    <row r="153" spans="1:20" outlineLevel="1">
      <c r="A153" s="118" t="s">
        <v>489</v>
      </c>
      <c r="B153" s="117">
        <f>VLOOKUP($A153,'LEVEL 2.1'!$A$13:$K$317,11,FALSE)</f>
        <v>0</v>
      </c>
      <c r="C153" s="360"/>
      <c r="E153" s="117">
        <f>VLOOKUP($A153,'LEVEL 3'!$A$13:$K$317,11,FALSE)</f>
        <v>0</v>
      </c>
      <c r="F153" s="360"/>
      <c r="G153" s="2"/>
      <c r="H153" s="95">
        <f>B153-E153</f>
        <v>0</v>
      </c>
      <c r="I153" s="425" t="str">
        <f>IF(B153=0,"n/a",H153/B153)</f>
        <v>n/a</v>
      </c>
      <c r="J153" s="2"/>
      <c r="K153" s="88"/>
      <c r="L153" s="88"/>
      <c r="M153" s="88"/>
      <c r="N153" s="88"/>
      <c r="O153" s="88"/>
      <c r="P153" s="88"/>
      <c r="Q153" s="88"/>
      <c r="R153" s="88"/>
      <c r="S153" s="88"/>
      <c r="T153" s="2"/>
    </row>
    <row r="154" spans="1:20">
      <c r="A154" s="347" t="s">
        <v>489</v>
      </c>
      <c r="B154" s="348"/>
      <c r="C154" s="445">
        <f>SUM(B153)</f>
        <v>0</v>
      </c>
      <c r="E154" s="348"/>
      <c r="F154" s="445">
        <f>SUM(E153)</f>
        <v>0</v>
      </c>
      <c r="G154" s="2"/>
      <c r="H154" s="449">
        <f>C154-F154</f>
        <v>0</v>
      </c>
      <c r="I154" s="447">
        <v>0</v>
      </c>
      <c r="J154" s="2"/>
      <c r="K154" s="373"/>
      <c r="L154" s="373"/>
      <c r="M154" s="373"/>
      <c r="N154" s="373"/>
      <c r="O154" s="373"/>
      <c r="P154" s="373"/>
      <c r="Q154" s="373"/>
      <c r="R154" s="373"/>
      <c r="S154" s="373"/>
      <c r="T154" s="2"/>
    </row>
    <row r="155" spans="1:20" outlineLevel="1">
      <c r="A155" s="111" t="s">
        <v>491</v>
      </c>
      <c r="B155" s="117">
        <f>VLOOKUP($A155,'LEVEL 2.1'!$A$13:$K$317,11,FALSE)</f>
        <v>483797</v>
      </c>
      <c r="E155" s="117">
        <f>VLOOKUP($A155,'LEVEL 3'!$A$13:$K$317,11,FALSE)</f>
        <v>693215</v>
      </c>
      <c r="G155" s="2"/>
      <c r="H155" s="117">
        <f>B155-E155</f>
        <v>-209418</v>
      </c>
      <c r="I155" s="423">
        <f>H155/B155</f>
        <v>-0.43286337038055217</v>
      </c>
      <c r="J155" s="2"/>
      <c r="K155" s="88" t="s">
        <v>878</v>
      </c>
      <c r="L155" s="88"/>
      <c r="M155" s="88"/>
      <c r="N155" s="88"/>
      <c r="O155" s="88"/>
      <c r="P155" s="88"/>
      <c r="Q155" s="88"/>
      <c r="R155" s="88"/>
      <c r="S155" s="88"/>
      <c r="T155" s="2"/>
    </row>
    <row r="156" spans="1:20" outlineLevel="1">
      <c r="A156" s="118" t="s">
        <v>494</v>
      </c>
      <c r="B156" s="117">
        <f>VLOOKUP($A156,'LEVEL 2.1'!$A$13:$K$317,11,FALSE)</f>
        <v>13000</v>
      </c>
      <c r="C156" s="360"/>
      <c r="E156" s="117">
        <f>VLOOKUP($A156,'LEVEL 3'!$A$13:$K$317,11,FALSE)</f>
        <v>13000</v>
      </c>
      <c r="F156" s="360"/>
      <c r="G156" s="2"/>
      <c r="H156" s="95">
        <f>B156-E156</f>
        <v>0</v>
      </c>
      <c r="I156" s="423">
        <f>H156/B156</f>
        <v>0</v>
      </c>
      <c r="J156" s="2"/>
      <c r="K156" s="46"/>
      <c r="L156" s="46"/>
      <c r="M156" s="46"/>
      <c r="N156" s="46"/>
      <c r="O156" s="46"/>
      <c r="P156" s="46"/>
      <c r="Q156" s="46"/>
      <c r="R156" s="46"/>
      <c r="S156" s="46"/>
      <c r="T156" s="2"/>
    </row>
    <row r="157" spans="1:20">
      <c r="A157" s="347" t="s">
        <v>496</v>
      </c>
      <c r="B157" s="110"/>
      <c r="C157" s="445">
        <f>SUM(B155:B156)</f>
        <v>496797</v>
      </c>
      <c r="E157" s="110"/>
      <c r="F157" s="445">
        <f>SUM(E155:E156)</f>
        <v>706215</v>
      </c>
      <c r="G157" s="2"/>
      <c r="H157" s="448">
        <f>C157-F157</f>
        <v>-209418</v>
      </c>
      <c r="I157" s="446">
        <f>H157/C157</f>
        <v>-0.42153636193455274</v>
      </c>
      <c r="J157" s="2"/>
      <c r="K157" s="373"/>
      <c r="L157" s="373"/>
      <c r="M157" s="373"/>
      <c r="N157" s="373"/>
      <c r="O157" s="373"/>
      <c r="P157" s="373"/>
      <c r="Q157" s="373"/>
      <c r="R157" s="373"/>
      <c r="S157" s="373"/>
      <c r="T157" s="2"/>
    </row>
    <row r="158" spans="1:20" outlineLevel="1">
      <c r="A158" s="118" t="s">
        <v>498</v>
      </c>
      <c r="B158" s="117">
        <f>VLOOKUP($A158,'LEVEL 2.1'!$A$13:$K$317,11,FALSE)</f>
        <v>25000</v>
      </c>
      <c r="C158" s="360"/>
      <c r="E158" s="117">
        <f>VLOOKUP($A158,'LEVEL 3'!$A$13:$K$317,11,FALSE)</f>
        <v>51000</v>
      </c>
      <c r="F158" s="360"/>
      <c r="G158" s="2"/>
      <c r="H158" s="117">
        <f>B158-E158</f>
        <v>-26000</v>
      </c>
      <c r="I158" s="423">
        <f>H158/B158</f>
        <v>-1.04</v>
      </c>
      <c r="J158" s="2"/>
      <c r="K158" s="88" t="s">
        <v>878</v>
      </c>
      <c r="L158" s="88"/>
      <c r="M158" s="88"/>
      <c r="N158" s="88"/>
      <c r="O158" s="88"/>
      <c r="P158" s="88"/>
      <c r="Q158" s="88"/>
      <c r="R158" s="88"/>
      <c r="S158" s="88"/>
      <c r="T158" s="2"/>
    </row>
    <row r="159" spans="1:20" outlineLevel="1">
      <c r="A159" s="118" t="s">
        <v>500</v>
      </c>
      <c r="B159" s="138">
        <f>VLOOKUP($A159,'LEVEL 2.1'!$A$13:$K$317,11,FALSE)</f>
        <v>960813.15</v>
      </c>
      <c r="E159" s="138">
        <f>VLOOKUP($A159,'LEVEL 3'!$A$13:$K$317,11,FALSE)</f>
        <v>1081100</v>
      </c>
      <c r="G159" s="2"/>
      <c r="H159" s="138">
        <f>B159-E159</f>
        <v>-120286.84999999998</v>
      </c>
      <c r="I159" s="423">
        <f>H159/B159</f>
        <v>-0.12519275990342135</v>
      </c>
      <c r="J159" s="2"/>
      <c r="K159" s="88" t="s">
        <v>878</v>
      </c>
      <c r="L159" s="46"/>
      <c r="M159" s="46"/>
      <c r="N159" s="46"/>
      <c r="O159" s="46"/>
      <c r="P159" s="46"/>
      <c r="Q159" s="46"/>
      <c r="R159" s="46"/>
      <c r="S159" s="46"/>
      <c r="T159" s="2"/>
    </row>
    <row r="160" spans="1:20" outlineLevel="1">
      <c r="A160" s="118" t="s">
        <v>503</v>
      </c>
      <c r="B160" s="117">
        <f>VLOOKUP($A160,'LEVEL 2.1'!$A$13:$K$317,11,FALSE)</f>
        <v>125000</v>
      </c>
      <c r="C160" s="360"/>
      <c r="E160" s="117">
        <f>VLOOKUP($A160,'LEVEL 3'!$A$13:$K$317,11,FALSE)</f>
        <v>125000</v>
      </c>
      <c r="F160" s="360"/>
      <c r="G160" s="2"/>
      <c r="H160" s="95">
        <f>B160-E160</f>
        <v>0</v>
      </c>
      <c r="I160" s="424">
        <f>H160/B160</f>
        <v>0</v>
      </c>
      <c r="J160" s="2"/>
      <c r="K160" s="46"/>
      <c r="L160" s="46"/>
      <c r="M160" s="46"/>
      <c r="N160" s="46"/>
      <c r="O160" s="46"/>
      <c r="P160" s="46"/>
      <c r="Q160" s="46"/>
      <c r="R160" s="46"/>
      <c r="S160" s="46"/>
      <c r="T160" s="2"/>
    </row>
    <row r="161" spans="1:20">
      <c r="A161" s="347" t="s">
        <v>506</v>
      </c>
      <c r="B161" s="110"/>
      <c r="C161" s="445">
        <f>SUM(B158:B160)</f>
        <v>1110813.1499999999</v>
      </c>
      <c r="E161" s="110"/>
      <c r="F161" s="445">
        <f>SUM(E158:E160)</f>
        <v>1257100</v>
      </c>
      <c r="G161" s="2"/>
      <c r="H161" s="448">
        <f>C161-F161</f>
        <v>-146286.85000000009</v>
      </c>
      <c r="I161" s="446">
        <f>H161/C161</f>
        <v>-0.13169348058222041</v>
      </c>
      <c r="J161" s="2"/>
      <c r="K161" s="373"/>
      <c r="L161" s="373"/>
      <c r="M161" s="373"/>
      <c r="N161" s="373"/>
      <c r="O161" s="373"/>
      <c r="P161" s="373"/>
      <c r="Q161" s="373"/>
      <c r="R161" s="373"/>
      <c r="S161" s="373"/>
      <c r="T161" s="2"/>
    </row>
    <row r="162" spans="1:20" outlineLevel="1">
      <c r="A162" s="118" t="s">
        <v>508</v>
      </c>
      <c r="B162" s="117">
        <f>VLOOKUP($A162,'LEVEL 2.1'!$A$13:$K$317,11,FALSE)</f>
        <v>3655047</v>
      </c>
      <c r="C162" s="360"/>
      <c r="E162" s="117">
        <f>VLOOKUP($A162,'LEVEL 3'!$A$13:$K$317,11,FALSE)</f>
        <v>3757050</v>
      </c>
      <c r="F162" s="360"/>
      <c r="G162" s="2"/>
      <c r="H162" s="117">
        <f>B162-E162</f>
        <v>-102003</v>
      </c>
      <c r="I162" s="424">
        <f>H162/B162</f>
        <v>-2.7907438673155229E-2</v>
      </c>
      <c r="J162" s="2"/>
      <c r="K162" s="88" t="s">
        <v>878</v>
      </c>
      <c r="L162" s="88"/>
      <c r="M162" s="88"/>
      <c r="N162" s="88"/>
      <c r="O162" s="88"/>
      <c r="P162" s="88"/>
      <c r="Q162" s="88"/>
      <c r="R162" s="88"/>
      <c r="S162" s="88"/>
      <c r="T162" s="2"/>
    </row>
    <row r="163" spans="1:20" outlineLevel="1">
      <c r="A163" s="118" t="s">
        <v>513</v>
      </c>
      <c r="B163" s="138">
        <f>VLOOKUP($A163,'LEVEL 2.1'!$A$13:$K$317,11,FALSE)</f>
        <v>0</v>
      </c>
      <c r="E163" s="138">
        <f>VLOOKUP($A163,'LEVEL 3'!$A$13:$K$317,11,FALSE)</f>
        <v>0</v>
      </c>
      <c r="G163" s="2"/>
      <c r="H163" s="138">
        <f>B163-E163</f>
        <v>0</v>
      </c>
      <c r="I163" s="425" t="str">
        <f>IF(B163=0,"n/a",H163/B163)</f>
        <v>n/a</v>
      </c>
      <c r="J163" s="2"/>
      <c r="K163" s="46"/>
      <c r="L163" s="46"/>
      <c r="M163" s="46"/>
      <c r="N163" s="46"/>
      <c r="O163" s="46"/>
      <c r="P163" s="46"/>
      <c r="Q163" s="46"/>
      <c r="R163" s="46"/>
      <c r="S163" s="46"/>
      <c r="T163" s="2"/>
    </row>
    <row r="164" spans="1:20" outlineLevel="1">
      <c r="A164" s="118" t="s">
        <v>514</v>
      </c>
      <c r="B164" s="138">
        <f>VLOOKUP($A164,'LEVEL 2.1'!$A$13:$K$317,11,FALSE)</f>
        <v>2500</v>
      </c>
      <c r="E164" s="138">
        <f>VLOOKUP($A164,'LEVEL 3'!$A$13:$K$317,11,FALSE)</f>
        <v>2500</v>
      </c>
      <c r="G164" s="2"/>
      <c r="H164" s="138">
        <f>B164-E164</f>
        <v>0</v>
      </c>
      <c r="I164" s="425">
        <f>IF(B164=0,"n/a",H164/B164)</f>
        <v>0</v>
      </c>
      <c r="J164" s="2"/>
      <c r="K164" s="46"/>
      <c r="L164" s="46"/>
      <c r="M164" s="46"/>
      <c r="N164" s="46"/>
      <c r="O164" s="46"/>
      <c r="P164" s="46"/>
      <c r="Q164" s="46"/>
      <c r="R164" s="46"/>
      <c r="S164" s="46"/>
      <c r="T164" s="2"/>
    </row>
    <row r="165" spans="1:20" outlineLevel="1">
      <c r="A165" s="118" t="s">
        <v>516</v>
      </c>
      <c r="B165" s="138">
        <f>VLOOKUP($A165,'LEVEL 2.1'!$A$13:$K$317,11,FALSE)</f>
        <v>25000</v>
      </c>
      <c r="E165" s="138">
        <f>VLOOKUP($A165,'LEVEL 3'!$A$13:$K$317,11,FALSE)</f>
        <v>25000</v>
      </c>
      <c r="G165" s="2"/>
      <c r="H165" s="138">
        <f>B165-E165</f>
        <v>0</v>
      </c>
      <c r="I165" s="423">
        <f>H165/B165</f>
        <v>0</v>
      </c>
      <c r="J165" s="2"/>
      <c r="K165" s="46"/>
      <c r="L165" s="46"/>
      <c r="M165" s="46"/>
      <c r="N165" s="46"/>
      <c r="O165" s="46"/>
      <c r="P165" s="46"/>
      <c r="Q165" s="46"/>
      <c r="R165" s="46"/>
      <c r="S165" s="46"/>
      <c r="T165" s="2"/>
    </row>
    <row r="166" spans="1:20" outlineLevel="1">
      <c r="A166" s="118" t="s">
        <v>518</v>
      </c>
      <c r="B166" s="117">
        <f>VLOOKUP($A166,'LEVEL 2.1'!$A$13:$K$317,11,FALSE)</f>
        <v>6000</v>
      </c>
      <c r="C166" s="360"/>
      <c r="E166" s="117">
        <f>VLOOKUP($A166,'LEVEL 3'!$A$13:$K$317,11,FALSE)</f>
        <v>6000</v>
      </c>
      <c r="F166" s="360"/>
      <c r="G166" s="2"/>
      <c r="H166" s="95">
        <f>B166-E166</f>
        <v>0</v>
      </c>
      <c r="I166" s="423">
        <f>H166/B166</f>
        <v>0</v>
      </c>
      <c r="J166" s="2"/>
      <c r="K166" s="46"/>
      <c r="L166" s="46"/>
      <c r="M166" s="46"/>
      <c r="N166" s="46"/>
      <c r="O166" s="46"/>
      <c r="P166" s="46"/>
      <c r="Q166" s="46"/>
      <c r="R166" s="46"/>
      <c r="S166" s="46"/>
      <c r="T166" s="2"/>
    </row>
    <row r="167" spans="1:20">
      <c r="A167" s="347" t="s">
        <v>520</v>
      </c>
      <c r="B167" s="110"/>
      <c r="C167" s="445">
        <f>SUM(B162:B166)</f>
        <v>3688547</v>
      </c>
      <c r="E167" s="110"/>
      <c r="F167" s="445">
        <f>SUM(E162:E166)</f>
        <v>3790550</v>
      </c>
      <c r="G167" s="2"/>
      <c r="H167" s="448">
        <f>C167-F167</f>
        <v>-102003</v>
      </c>
      <c r="I167" s="446">
        <f>H167/C167</f>
        <v>-2.7653978653383027E-2</v>
      </c>
      <c r="J167" s="2"/>
      <c r="K167" s="374"/>
      <c r="L167" s="373"/>
      <c r="M167" s="373"/>
      <c r="N167" s="373"/>
      <c r="O167" s="373"/>
      <c r="P167" s="373"/>
      <c r="Q167" s="373"/>
      <c r="R167" s="373"/>
      <c r="S167" s="373"/>
      <c r="T167" s="2"/>
    </row>
    <row r="168" spans="1:20" hidden="1" outlineLevel="1">
      <c r="A168" s="118" t="s">
        <v>522</v>
      </c>
      <c r="B168" s="117">
        <f>VLOOKUP($A168,'LEVEL 2.1'!$A$13:$K$317,11,FALSE)</f>
        <v>3573865.979381443</v>
      </c>
      <c r="C168" s="360"/>
      <c r="E168" s="117">
        <f>VLOOKUP($A168,'LEVEL 3'!$A$13:$K$317,11,FALSE)</f>
        <v>3573865.979381443</v>
      </c>
      <c r="F168" s="360"/>
      <c r="G168" s="2"/>
      <c r="H168" s="117">
        <f>B168-E168</f>
        <v>0</v>
      </c>
      <c r="I168" s="424">
        <f>H168/B168</f>
        <v>0</v>
      </c>
      <c r="J168" s="2"/>
      <c r="K168" s="88"/>
      <c r="L168" s="88"/>
      <c r="M168" s="88"/>
      <c r="N168" s="88"/>
      <c r="O168" s="88"/>
      <c r="P168" s="88"/>
      <c r="Q168" s="88"/>
      <c r="R168" s="88"/>
      <c r="S168" s="88"/>
      <c r="T168" s="2"/>
    </row>
    <row r="169" spans="1:20" hidden="1" outlineLevel="1">
      <c r="A169" s="118" t="s">
        <v>525</v>
      </c>
      <c r="B169" s="117">
        <f>VLOOKUP($A169,'LEVEL 2.1'!$A$13:$K$317,11,FALSE)</f>
        <v>15000</v>
      </c>
      <c r="C169" s="182"/>
      <c r="E169" s="117">
        <f>VLOOKUP($A169,'LEVEL 3'!$A$13:$K$317,11,FALSE)</f>
        <v>15000</v>
      </c>
      <c r="F169" s="182"/>
      <c r="G169" s="2"/>
      <c r="H169" s="95">
        <f>B169-E169</f>
        <v>0</v>
      </c>
      <c r="I169" s="425">
        <f>IF(B169=0,"n/a",H169/B169)</f>
        <v>0</v>
      </c>
      <c r="J169" s="2"/>
      <c r="K169" s="46"/>
      <c r="L169" s="46"/>
      <c r="M169" s="46"/>
      <c r="N169" s="46"/>
      <c r="O169" s="46"/>
      <c r="P169" s="46"/>
      <c r="Q169" s="46"/>
      <c r="R169" s="46"/>
      <c r="S169" s="46"/>
      <c r="T169" s="2"/>
    </row>
    <row r="170" spans="1:20" collapsed="1">
      <c r="A170" s="347" t="s">
        <v>527</v>
      </c>
      <c r="B170" s="110"/>
      <c r="C170" s="445">
        <f>SUM(B168:B169)</f>
        <v>3588865.979381443</v>
      </c>
      <c r="E170" s="110"/>
      <c r="F170" s="445">
        <f>SUM(E168:E169)</f>
        <v>3588865.979381443</v>
      </c>
      <c r="G170" s="2"/>
      <c r="H170" s="448">
        <f>C170-F170</f>
        <v>0</v>
      </c>
      <c r="I170" s="446">
        <f>H170/C170</f>
        <v>0</v>
      </c>
      <c r="J170" s="2"/>
      <c r="K170" s="373"/>
      <c r="L170" s="373"/>
      <c r="M170" s="373"/>
      <c r="N170" s="373"/>
      <c r="O170" s="373"/>
      <c r="P170" s="373"/>
      <c r="Q170" s="373"/>
      <c r="R170" s="373"/>
      <c r="S170" s="373"/>
      <c r="T170" s="2"/>
    </row>
    <row r="171" spans="1:20" outlineLevel="1">
      <c r="A171" s="118" t="s">
        <v>107</v>
      </c>
      <c r="B171" s="117">
        <f>VLOOKUP($A171,'LEVEL 2.1'!$A$13:$K$317,11,FALSE)</f>
        <v>3846878.3099999996</v>
      </c>
      <c r="C171" s="182"/>
      <c r="E171" s="117">
        <f>VLOOKUP($A171,'LEVEL 3'!$A$13:$K$317,11,FALSE)</f>
        <v>4199740</v>
      </c>
      <c r="F171" s="182"/>
      <c r="G171" s="2"/>
      <c r="H171" s="117">
        <f t="shared" ref="H171:H187" si="13">B171-E171</f>
        <v>-352861.69000000041</v>
      </c>
      <c r="I171" s="423">
        <f t="shared" ref="I171:I177" si="14">H171/B171</f>
        <v>-9.1726761692131731E-2</v>
      </c>
      <c r="J171" s="2"/>
      <c r="K171" s="88" t="s">
        <v>878</v>
      </c>
      <c r="L171" s="88"/>
      <c r="M171" s="88"/>
      <c r="N171" s="88"/>
      <c r="O171" s="88"/>
      <c r="P171" s="88"/>
      <c r="Q171" s="88"/>
      <c r="R171" s="88"/>
      <c r="S171" s="88"/>
      <c r="T171" s="2"/>
    </row>
    <row r="172" spans="1:20" outlineLevel="1">
      <c r="A172" s="118" t="s">
        <v>531</v>
      </c>
      <c r="B172" s="117">
        <f>VLOOKUP($A172,'LEVEL 2.1'!$A$13:$K$317,11,FALSE)</f>
        <v>10000</v>
      </c>
      <c r="C172" s="182"/>
      <c r="E172" s="117">
        <f>VLOOKUP($A172,'LEVEL 3'!$A$13:$K$317,11,FALSE)</f>
        <v>10000</v>
      </c>
      <c r="F172" s="182"/>
      <c r="G172" s="2"/>
      <c r="H172" s="117"/>
      <c r="I172" s="423"/>
      <c r="J172" s="2"/>
      <c r="K172" s="375"/>
      <c r="L172" s="88"/>
      <c r="M172" s="88"/>
      <c r="N172" s="88"/>
      <c r="O172" s="88"/>
      <c r="P172" s="88"/>
      <c r="Q172" s="88"/>
      <c r="R172" s="88"/>
      <c r="S172" s="88"/>
      <c r="T172" s="2"/>
    </row>
    <row r="173" spans="1:20" outlineLevel="1">
      <c r="A173" s="118" t="s">
        <v>252</v>
      </c>
      <c r="B173" s="138">
        <f>VLOOKUP($A173,'LEVEL 2.1'!$A$13:$K$317,11,FALSE)</f>
        <v>254100</v>
      </c>
      <c r="E173" s="138">
        <f>VLOOKUP($A173,'LEVEL 3'!$A$13:$K$317,11,FALSE)</f>
        <v>254100</v>
      </c>
      <c r="G173" s="2"/>
      <c r="H173" s="138">
        <f t="shared" si="13"/>
        <v>0</v>
      </c>
      <c r="I173" s="423">
        <f t="shared" si="14"/>
        <v>0</v>
      </c>
      <c r="J173" s="2"/>
      <c r="K173" s="46"/>
      <c r="L173" s="46"/>
      <c r="M173" s="46"/>
      <c r="N173" s="46"/>
      <c r="O173" s="46"/>
      <c r="P173" s="46"/>
      <c r="Q173" s="46"/>
      <c r="R173" s="46"/>
      <c r="S173" s="46"/>
      <c r="T173" s="2"/>
    </row>
    <row r="174" spans="1:20" outlineLevel="1">
      <c r="A174" s="118" t="s">
        <v>533</v>
      </c>
      <c r="B174" s="138">
        <f>VLOOKUP($A174,'LEVEL 2.1'!$A$13:$K$317,11,FALSE)</f>
        <v>43560</v>
      </c>
      <c r="E174" s="138">
        <f>VLOOKUP($A174,'LEVEL 3'!$A$13:$K$317,11,FALSE)</f>
        <v>43560</v>
      </c>
      <c r="G174" s="2"/>
      <c r="H174" s="138">
        <f t="shared" si="13"/>
        <v>0</v>
      </c>
      <c r="I174" s="423">
        <f t="shared" si="14"/>
        <v>0</v>
      </c>
      <c r="J174" s="2"/>
      <c r="K174" s="46"/>
      <c r="L174" s="46"/>
      <c r="M174" s="46"/>
      <c r="N174" s="46"/>
      <c r="O174" s="46"/>
      <c r="P174" s="46"/>
      <c r="Q174" s="46"/>
      <c r="R174" s="46"/>
      <c r="S174" s="46"/>
      <c r="T174" s="2"/>
    </row>
    <row r="175" spans="1:20" outlineLevel="1">
      <c r="A175" s="118" t="s">
        <v>536</v>
      </c>
      <c r="B175" s="138">
        <f>VLOOKUP($A175,'LEVEL 2.1'!$A$13:$K$317,11,FALSE)</f>
        <v>41745</v>
      </c>
      <c r="E175" s="138">
        <f>VLOOKUP($A175,'LEVEL 3'!$A$13:$K$317,11,FALSE)</f>
        <v>41745</v>
      </c>
      <c r="G175" s="2"/>
      <c r="H175" s="138">
        <f t="shared" si="13"/>
        <v>0</v>
      </c>
      <c r="I175" s="423">
        <f t="shared" si="14"/>
        <v>0</v>
      </c>
      <c r="J175" s="2"/>
      <c r="K175" s="46"/>
      <c r="L175" s="46"/>
      <c r="M175" s="46"/>
      <c r="N175" s="46"/>
      <c r="O175" s="46"/>
      <c r="P175" s="46"/>
      <c r="Q175" s="46"/>
      <c r="R175" s="46"/>
      <c r="S175" s="46"/>
      <c r="T175" s="2"/>
    </row>
    <row r="176" spans="1:20" outlineLevel="1">
      <c r="A176" s="118" t="s">
        <v>539</v>
      </c>
      <c r="B176" s="138">
        <f>VLOOKUP($A176,'LEVEL 2.1'!$A$13:$K$317,11,FALSE)</f>
        <v>57200</v>
      </c>
      <c r="E176" s="138">
        <f>VLOOKUP($A176,'LEVEL 3'!$A$13:$K$317,11,FALSE)</f>
        <v>57200</v>
      </c>
      <c r="G176" s="2"/>
      <c r="H176" s="138">
        <f t="shared" si="13"/>
        <v>0</v>
      </c>
      <c r="I176" s="423">
        <f t="shared" si="14"/>
        <v>0</v>
      </c>
      <c r="J176" s="2"/>
      <c r="K176" s="46"/>
      <c r="L176" s="46"/>
      <c r="M176" s="46"/>
      <c r="N176" s="46"/>
      <c r="O176" s="46"/>
      <c r="P176" s="46"/>
      <c r="Q176" s="46"/>
      <c r="R176" s="46"/>
      <c r="S176" s="46"/>
      <c r="T176" s="2"/>
    </row>
    <row r="177" spans="1:20" outlineLevel="1">
      <c r="A177" s="118" t="s">
        <v>541</v>
      </c>
      <c r="B177" s="138">
        <f>VLOOKUP($A177,'LEVEL 2.1'!$A$13:$K$317,11,FALSE)</f>
        <v>14300</v>
      </c>
      <c r="E177" s="138">
        <f>VLOOKUP($A177,'LEVEL 3'!$A$13:$K$317,11,FALSE)</f>
        <v>14300</v>
      </c>
      <c r="G177" s="2"/>
      <c r="H177" s="138">
        <f t="shared" si="13"/>
        <v>0</v>
      </c>
      <c r="I177" s="423">
        <f t="shared" si="14"/>
        <v>0</v>
      </c>
      <c r="J177" s="2"/>
      <c r="K177" s="46"/>
      <c r="L177" s="46"/>
      <c r="M177" s="46"/>
      <c r="N177" s="46"/>
      <c r="O177" s="46"/>
      <c r="P177" s="46"/>
      <c r="Q177" s="46"/>
      <c r="R177" s="46"/>
      <c r="S177" s="46"/>
      <c r="T177" s="2"/>
    </row>
    <row r="178" spans="1:20" outlineLevel="1">
      <c r="A178" s="118" t="s">
        <v>542</v>
      </c>
      <c r="B178" s="138">
        <f>VLOOKUP($A178,'LEVEL 2.1'!$A$13:$K$317,11,FALSE)</f>
        <v>5000</v>
      </c>
      <c r="E178" s="138">
        <f>VLOOKUP($A178,'LEVEL 3'!$A$13:$K$317,11,FALSE)</f>
        <v>5000</v>
      </c>
      <c r="G178" s="2"/>
      <c r="H178" s="138">
        <f t="shared" si="13"/>
        <v>0</v>
      </c>
      <c r="I178" s="425">
        <f>IF(B178=0,"n/a",H178/B178)</f>
        <v>0</v>
      </c>
      <c r="J178" s="2"/>
      <c r="K178" s="46"/>
      <c r="L178" s="46"/>
      <c r="M178" s="46"/>
      <c r="N178" s="46"/>
      <c r="O178" s="46"/>
      <c r="P178" s="46"/>
      <c r="Q178" s="46"/>
      <c r="R178" s="46"/>
      <c r="S178" s="46"/>
      <c r="T178" s="2"/>
    </row>
    <row r="179" spans="1:20" outlineLevel="1">
      <c r="A179" s="118" t="s">
        <v>543</v>
      </c>
      <c r="B179" s="138">
        <f>VLOOKUP($A179,'LEVEL 2.1'!$A$13:$K$317,11,FALSE)</f>
        <v>5000</v>
      </c>
      <c r="E179" s="138">
        <f>VLOOKUP($A179,'LEVEL 3'!$A$13:$K$317,11,FALSE)</f>
        <v>5000</v>
      </c>
      <c r="G179" s="2"/>
      <c r="H179" s="138">
        <f t="shared" si="13"/>
        <v>0</v>
      </c>
      <c r="I179" s="425">
        <f>IF(B179=0,"n/a",H179/B179)</f>
        <v>0</v>
      </c>
      <c r="J179" s="2"/>
      <c r="K179" s="46"/>
      <c r="L179" s="46"/>
      <c r="M179" s="46"/>
      <c r="N179" s="46"/>
      <c r="O179" s="46"/>
      <c r="P179" s="46"/>
      <c r="Q179" s="46"/>
      <c r="R179" s="46"/>
      <c r="S179" s="46"/>
      <c r="T179" s="2"/>
    </row>
    <row r="180" spans="1:20" outlineLevel="1">
      <c r="A180" s="118" t="s">
        <v>545</v>
      </c>
      <c r="B180" s="138">
        <f>VLOOKUP($A180,'LEVEL 2.1'!$A$13:$K$317,11,FALSE)</f>
        <v>60000</v>
      </c>
      <c r="E180" s="138">
        <f>VLOOKUP($A180,'LEVEL 3'!$A$13:$K$317,11,FALSE)</f>
        <v>60000</v>
      </c>
      <c r="G180" s="2"/>
      <c r="H180" s="138">
        <f t="shared" si="13"/>
        <v>0</v>
      </c>
      <c r="I180" s="423">
        <f t="shared" ref="I180:I187" si="15">H180/B180</f>
        <v>0</v>
      </c>
      <c r="J180" s="2"/>
      <c r="K180" s="46"/>
      <c r="L180" s="46"/>
      <c r="M180" s="46"/>
      <c r="N180" s="46"/>
      <c r="O180" s="46"/>
      <c r="P180" s="46"/>
      <c r="Q180" s="46"/>
      <c r="R180" s="46"/>
      <c r="S180" s="46"/>
      <c r="T180" s="2"/>
    </row>
    <row r="181" spans="1:20" outlineLevel="1">
      <c r="A181" s="118" t="s">
        <v>548</v>
      </c>
      <c r="B181" s="138">
        <f>VLOOKUP($A181,'LEVEL 2.1'!$A$13:$K$317,11,FALSE)</f>
        <v>43375</v>
      </c>
      <c r="E181" s="138">
        <f>VLOOKUP($A181,'LEVEL 3'!$A$13:$K$317,11,FALSE)</f>
        <v>260330</v>
      </c>
      <c r="G181" s="2"/>
      <c r="H181" s="138">
        <f t="shared" si="13"/>
        <v>-216955</v>
      </c>
      <c r="I181" s="423">
        <f t="shared" si="15"/>
        <v>-5.0018443804034582</v>
      </c>
      <c r="J181" s="2"/>
      <c r="K181" s="88" t="s">
        <v>878</v>
      </c>
      <c r="L181" s="46"/>
      <c r="M181" s="46"/>
      <c r="N181" s="46"/>
      <c r="O181" s="46"/>
      <c r="P181" s="46"/>
      <c r="Q181" s="46"/>
      <c r="R181" s="46"/>
      <c r="S181" s="46"/>
      <c r="T181" s="2"/>
    </row>
    <row r="182" spans="1:20" outlineLevel="1">
      <c r="A182" s="118" t="s">
        <v>550</v>
      </c>
      <c r="B182" s="138">
        <f>VLOOKUP($A182,'LEVEL 2.1'!$A$13:$K$317,11,FALSE)</f>
        <v>30362.500000000004</v>
      </c>
      <c r="E182" s="138">
        <f>VLOOKUP($A182,'LEVEL 3'!$A$13:$K$317,11,FALSE)</f>
        <v>30362.500000000004</v>
      </c>
      <c r="G182" s="2"/>
      <c r="H182" s="138">
        <f t="shared" si="13"/>
        <v>0</v>
      </c>
      <c r="I182" s="423">
        <f t="shared" si="15"/>
        <v>0</v>
      </c>
      <c r="J182" s="2"/>
      <c r="K182" s="46"/>
      <c r="L182" s="46"/>
      <c r="M182" s="46"/>
      <c r="N182" s="46"/>
      <c r="O182" s="46"/>
      <c r="P182" s="46"/>
      <c r="Q182" s="46"/>
      <c r="R182" s="46"/>
      <c r="S182" s="46"/>
      <c r="T182" s="2"/>
    </row>
    <row r="183" spans="1:20" outlineLevel="1">
      <c r="A183" s="118" t="s">
        <v>553</v>
      </c>
      <c r="B183" s="138">
        <f>VLOOKUP($A183,'LEVEL 2.1'!$A$13:$K$317,11,FALSE)</f>
        <v>12500</v>
      </c>
      <c r="E183" s="138">
        <f>VLOOKUP($A183,'LEVEL 3'!$A$13:$K$317,11,FALSE)</f>
        <v>12500</v>
      </c>
      <c r="G183" s="2"/>
      <c r="H183" s="138">
        <f t="shared" si="13"/>
        <v>0</v>
      </c>
      <c r="I183" s="423">
        <f t="shared" si="15"/>
        <v>0</v>
      </c>
      <c r="J183" s="2"/>
      <c r="K183" s="150"/>
      <c r="L183" s="46"/>
      <c r="M183" s="46"/>
      <c r="N183" s="46"/>
      <c r="O183" s="46"/>
      <c r="P183" s="46"/>
      <c r="Q183" s="46"/>
      <c r="R183" s="46"/>
      <c r="S183" s="46"/>
      <c r="T183" s="2"/>
    </row>
    <row r="184" spans="1:20" outlineLevel="1">
      <c r="A184" s="118" t="s">
        <v>555</v>
      </c>
      <c r="B184" s="138">
        <f>VLOOKUP($A184,'LEVEL 2.1'!$A$13:$K$317,11,FALSE)</f>
        <v>12500</v>
      </c>
      <c r="E184" s="138">
        <f>VLOOKUP($A184,'LEVEL 3'!$A$13:$K$317,11,FALSE)</f>
        <v>12500</v>
      </c>
      <c r="G184" s="2"/>
      <c r="H184" s="138">
        <f t="shared" si="13"/>
        <v>0</v>
      </c>
      <c r="I184" s="423">
        <f t="shared" si="15"/>
        <v>0</v>
      </c>
      <c r="J184" s="2"/>
      <c r="K184" s="46"/>
      <c r="L184" s="46"/>
      <c r="M184" s="46"/>
      <c r="N184" s="46"/>
      <c r="O184" s="46"/>
      <c r="P184" s="46"/>
      <c r="Q184" s="46"/>
      <c r="R184" s="46"/>
      <c r="S184" s="46"/>
      <c r="T184" s="2"/>
    </row>
    <row r="185" spans="1:20" outlineLevel="1">
      <c r="A185" s="118" t="s">
        <v>557</v>
      </c>
      <c r="B185" s="138">
        <f>VLOOKUP($A185,'LEVEL 2.1'!$A$13:$K$317,11,FALSE)</f>
        <v>2500</v>
      </c>
      <c r="E185" s="138">
        <f>VLOOKUP($A185,'LEVEL 3'!$A$13:$K$317,11,FALSE)</f>
        <v>2500</v>
      </c>
      <c r="G185" s="2"/>
      <c r="H185" s="138">
        <f t="shared" si="13"/>
        <v>0</v>
      </c>
      <c r="I185" s="423">
        <f t="shared" si="15"/>
        <v>0</v>
      </c>
      <c r="J185" s="2"/>
      <c r="K185" s="46"/>
      <c r="L185" s="46"/>
      <c r="M185" s="46"/>
      <c r="N185" s="46"/>
      <c r="O185" s="46"/>
      <c r="P185" s="46"/>
      <c r="Q185" s="46"/>
      <c r="R185" s="46"/>
      <c r="S185" s="46"/>
      <c r="T185" s="2"/>
    </row>
    <row r="186" spans="1:20" outlineLevel="1">
      <c r="A186" s="118" t="s">
        <v>559</v>
      </c>
      <c r="B186" s="138">
        <f>VLOOKUP($A186,'LEVEL 2.1'!$A$13:$K$317,11,FALSE)</f>
        <v>15000</v>
      </c>
      <c r="E186" s="138">
        <f>VLOOKUP($A186,'LEVEL 3'!$A$13:$K$317,11,FALSE)</f>
        <v>15000</v>
      </c>
      <c r="G186" s="2"/>
      <c r="H186" s="138">
        <f t="shared" si="13"/>
        <v>0</v>
      </c>
      <c r="I186" s="423">
        <f t="shared" si="15"/>
        <v>0</v>
      </c>
      <c r="J186" s="2"/>
      <c r="K186" s="150"/>
      <c r="L186" s="46"/>
      <c r="M186" s="46"/>
      <c r="N186" s="46"/>
      <c r="O186" s="46"/>
      <c r="P186" s="46"/>
      <c r="Q186" s="46"/>
      <c r="R186" s="46"/>
      <c r="S186" s="46"/>
      <c r="T186" s="2"/>
    </row>
    <row r="187" spans="1:20" outlineLevel="1">
      <c r="A187" s="118" t="s">
        <v>560</v>
      </c>
      <c r="B187" s="117">
        <f>VLOOKUP($A187,'LEVEL 2.1'!$A$13:$K$317,11,FALSE)</f>
        <v>1500</v>
      </c>
      <c r="E187" s="117">
        <f>VLOOKUP($A187,'LEVEL 3'!$A$13:$K$317,11,FALSE)</f>
        <v>1500</v>
      </c>
      <c r="G187" s="2"/>
      <c r="H187" s="95">
        <f t="shared" si="13"/>
        <v>0</v>
      </c>
      <c r="I187" s="423">
        <f t="shared" si="15"/>
        <v>0</v>
      </c>
      <c r="J187" s="2"/>
      <c r="K187" s="46"/>
      <c r="L187" s="46"/>
      <c r="M187" s="46"/>
      <c r="N187" s="46"/>
      <c r="O187" s="46"/>
      <c r="P187" s="46"/>
      <c r="Q187" s="46"/>
      <c r="R187" s="46"/>
      <c r="S187" s="46"/>
      <c r="T187" s="2"/>
    </row>
    <row r="188" spans="1:20">
      <c r="A188" s="347" t="s">
        <v>561</v>
      </c>
      <c r="B188" s="110"/>
      <c r="C188" s="445">
        <f>SUM(B171:B187)</f>
        <v>4455520.8099999996</v>
      </c>
      <c r="E188" s="110"/>
      <c r="F188" s="445">
        <f>SUM(E171:E187)</f>
        <v>5025337.5</v>
      </c>
      <c r="G188" s="2"/>
      <c r="H188" s="448">
        <f>C188-F188</f>
        <v>-569816.69000000041</v>
      </c>
      <c r="I188" s="446">
        <f>H188/C188</f>
        <v>-0.12789002998731375</v>
      </c>
      <c r="J188" s="2"/>
      <c r="K188" s="373"/>
      <c r="L188" s="373"/>
      <c r="M188" s="373"/>
      <c r="N188" s="373"/>
      <c r="O188" s="373"/>
      <c r="P188" s="373"/>
      <c r="Q188" s="373"/>
      <c r="R188" s="373"/>
      <c r="S188" s="373"/>
      <c r="T188" s="2"/>
    </row>
    <row r="189" spans="1:20" outlineLevel="1">
      <c r="A189" s="118" t="s">
        <v>563</v>
      </c>
      <c r="B189" s="117">
        <f>VLOOKUP($A189,'LEVEL 2.1'!$A$13:$K$317,11,FALSE)</f>
        <v>3000</v>
      </c>
      <c r="C189" s="360"/>
      <c r="E189" s="117">
        <f>VLOOKUP($A189,'LEVEL 3'!$A$13:$K$317,11,FALSE)</f>
        <v>3000</v>
      </c>
      <c r="F189" s="360"/>
      <c r="G189" s="2"/>
      <c r="H189" s="117">
        <f>B189-E189</f>
        <v>0</v>
      </c>
      <c r="I189" s="424">
        <f>H189/B189</f>
        <v>0</v>
      </c>
      <c r="J189" s="2"/>
      <c r="K189" s="88"/>
      <c r="L189" s="88"/>
      <c r="M189" s="88"/>
      <c r="N189" s="88"/>
      <c r="O189" s="88"/>
      <c r="P189" s="88"/>
      <c r="Q189" s="88"/>
      <c r="R189" s="88"/>
      <c r="S189" s="88"/>
      <c r="T189" s="2"/>
    </row>
    <row r="190" spans="1:20" outlineLevel="1">
      <c r="A190" s="118" t="s">
        <v>566</v>
      </c>
      <c r="B190" s="138">
        <f>VLOOKUP($A190,'LEVEL 2.1'!$A$13:$K$317,11,FALSE)</f>
        <v>163156.95000000001</v>
      </c>
      <c r="E190" s="138">
        <f>VLOOKUP($A190,'LEVEL 3'!$A$13:$K$317,11,FALSE)</f>
        <v>163156.95000000001</v>
      </c>
      <c r="G190" s="2"/>
      <c r="H190" s="138">
        <f>B190-E190</f>
        <v>0</v>
      </c>
      <c r="I190" s="423">
        <f>H190/B190</f>
        <v>0</v>
      </c>
      <c r="J190" s="2"/>
      <c r="K190" s="46"/>
      <c r="L190" s="46"/>
      <c r="M190" s="46"/>
      <c r="N190" s="46"/>
      <c r="O190" s="46"/>
      <c r="P190" s="46"/>
      <c r="Q190" s="46"/>
      <c r="R190" s="46"/>
      <c r="S190" s="46"/>
      <c r="T190" s="2"/>
    </row>
    <row r="191" spans="1:20" outlineLevel="1">
      <c r="A191" s="118" t="s">
        <v>568</v>
      </c>
      <c r="B191" s="117">
        <f>VLOOKUP($A191,'LEVEL 2.1'!$A$13:$K$317,11,FALSE)</f>
        <v>800</v>
      </c>
      <c r="C191" s="360"/>
      <c r="E191" s="117">
        <f>VLOOKUP($A191,'LEVEL 3'!$A$13:$K$317,11,FALSE)</f>
        <v>800</v>
      </c>
      <c r="F191" s="360"/>
      <c r="G191" s="2"/>
      <c r="H191" s="95">
        <f>B191-E191</f>
        <v>0</v>
      </c>
      <c r="I191" s="423">
        <f>H191/B191</f>
        <v>0</v>
      </c>
      <c r="J191" s="2"/>
      <c r="K191" s="46"/>
      <c r="L191" s="46"/>
      <c r="M191" s="46"/>
      <c r="N191" s="46"/>
      <c r="O191" s="46"/>
      <c r="P191" s="46"/>
      <c r="Q191" s="46"/>
      <c r="R191" s="46"/>
      <c r="S191" s="46"/>
      <c r="T191" s="2"/>
    </row>
    <row r="192" spans="1:20">
      <c r="A192" s="347" t="s">
        <v>571</v>
      </c>
      <c r="B192" s="110"/>
      <c r="C192" s="445">
        <f>SUM(B189:B191)</f>
        <v>166956.95000000001</v>
      </c>
      <c r="E192" s="110"/>
      <c r="F192" s="445">
        <f>SUM(E189:E191)</f>
        <v>166956.95000000001</v>
      </c>
      <c r="G192" s="2"/>
      <c r="H192" s="448">
        <f>C192-F192</f>
        <v>0</v>
      </c>
      <c r="I192" s="446">
        <f>H192/C192</f>
        <v>0</v>
      </c>
      <c r="J192" s="2"/>
      <c r="K192" s="373"/>
      <c r="L192" s="373"/>
      <c r="M192" s="373"/>
      <c r="N192" s="373"/>
      <c r="O192" s="373"/>
      <c r="P192" s="373"/>
      <c r="Q192" s="373"/>
      <c r="R192" s="373"/>
      <c r="S192" s="373"/>
      <c r="T192" s="2"/>
    </row>
    <row r="193" spans="1:20" outlineLevel="1">
      <c r="A193" s="118" t="s">
        <v>573</v>
      </c>
      <c r="B193" s="117">
        <f>VLOOKUP($A193,'LEVEL 2.1'!$A$13:$K$317,11,FALSE)</f>
        <v>200117.78350515463</v>
      </c>
      <c r="C193" s="360"/>
      <c r="E193" s="117">
        <f>VLOOKUP($A193,'LEVEL 3'!$A$13:$K$317,11,FALSE)</f>
        <v>200117.78350515463</v>
      </c>
      <c r="F193" s="360"/>
      <c r="G193" s="2"/>
      <c r="H193" s="117">
        <f>B193-E193</f>
        <v>0</v>
      </c>
      <c r="I193" s="423">
        <f>H193/B193</f>
        <v>0</v>
      </c>
      <c r="J193" s="2"/>
      <c r="K193" s="88"/>
      <c r="L193" s="88"/>
      <c r="M193" s="88"/>
      <c r="N193" s="88"/>
      <c r="O193" s="88"/>
      <c r="P193" s="88"/>
      <c r="Q193" s="88"/>
      <c r="R193" s="88"/>
      <c r="S193" s="88"/>
      <c r="T193" s="2"/>
    </row>
    <row r="194" spans="1:20" outlineLevel="1">
      <c r="A194" s="118" t="s">
        <v>575</v>
      </c>
      <c r="B194" s="138">
        <f>VLOOKUP($A194,'LEVEL 2.1'!$A$13:$K$317,11,FALSE)</f>
        <v>135428.57142857142</v>
      </c>
      <c r="E194" s="138">
        <f>VLOOKUP($A194,'LEVEL 3'!$A$13:$K$317,11,FALSE)</f>
        <v>135428.57142857142</v>
      </c>
      <c r="G194" s="2"/>
      <c r="H194" s="138">
        <f>B194-E194</f>
        <v>0</v>
      </c>
      <c r="I194" s="423">
        <f>H194/B194</f>
        <v>0</v>
      </c>
      <c r="J194" s="2"/>
      <c r="K194" s="46"/>
      <c r="L194" s="46"/>
      <c r="M194" s="46"/>
      <c r="N194" s="46"/>
      <c r="O194" s="46"/>
      <c r="P194" s="46"/>
      <c r="Q194" s="46"/>
      <c r="R194" s="46"/>
      <c r="S194" s="46"/>
      <c r="T194" s="2"/>
    </row>
    <row r="195" spans="1:20" outlineLevel="1">
      <c r="A195" s="118" t="s">
        <v>578</v>
      </c>
      <c r="B195" s="138">
        <f>VLOOKUP($A195,'LEVEL 2.1'!$A$13:$K$317,11,FALSE)</f>
        <v>701583.54</v>
      </c>
      <c r="E195" s="138">
        <f>VLOOKUP($A195,'LEVEL 3'!$A$13:$K$317,11,FALSE)</f>
        <v>472900</v>
      </c>
      <c r="G195" s="2"/>
      <c r="H195" s="138">
        <f>B195-E195</f>
        <v>228683.54000000004</v>
      </c>
      <c r="I195" s="423">
        <f>H195/B195</f>
        <v>0.325953399647888</v>
      </c>
      <c r="J195" s="2"/>
      <c r="K195" s="88" t="s">
        <v>878</v>
      </c>
      <c r="L195" s="46"/>
      <c r="M195" s="46"/>
      <c r="N195" s="46"/>
      <c r="O195" s="46"/>
      <c r="P195" s="46"/>
      <c r="Q195" s="46"/>
      <c r="R195" s="46"/>
      <c r="S195" s="46"/>
      <c r="T195" s="2"/>
    </row>
    <row r="196" spans="1:20" outlineLevel="1">
      <c r="A196" s="118" t="s">
        <v>580</v>
      </c>
      <c r="B196" s="117">
        <f>VLOOKUP($A196,'LEVEL 2.1'!$A$13:$K$317,11,FALSE)</f>
        <v>10000</v>
      </c>
      <c r="E196" s="117">
        <f>VLOOKUP($A196,'LEVEL 3'!$A$13:$K$317,11,FALSE)</f>
        <v>10000</v>
      </c>
      <c r="G196" s="2"/>
      <c r="H196" s="117">
        <f>B196-E196</f>
        <v>0</v>
      </c>
      <c r="I196" s="425">
        <f>IF(B196=0,"n/a",H196/B196)</f>
        <v>0</v>
      </c>
      <c r="J196" s="2"/>
      <c r="K196" s="46"/>
      <c r="L196" s="46"/>
      <c r="M196" s="46"/>
      <c r="N196" s="46"/>
      <c r="O196" s="46"/>
      <c r="P196" s="46"/>
      <c r="Q196" s="46"/>
      <c r="R196" s="46"/>
      <c r="S196" s="46"/>
      <c r="T196" s="2"/>
    </row>
    <row r="197" spans="1:20">
      <c r="A197" s="347" t="s">
        <v>582</v>
      </c>
      <c r="B197" s="110"/>
      <c r="C197" s="445">
        <f>SUM(B193:B196)</f>
        <v>1047129.8949337261</v>
      </c>
      <c r="E197" s="110"/>
      <c r="F197" s="445">
        <f>SUM(E193:E196)</f>
        <v>818446.35493372602</v>
      </c>
      <c r="G197" s="2"/>
      <c r="H197" s="448">
        <f>C197-F197</f>
        <v>228683.54000000004</v>
      </c>
      <c r="I197" s="446">
        <f>H197/C197</f>
        <v>0.21839080433710056</v>
      </c>
      <c r="J197" s="2"/>
      <c r="K197" s="373"/>
      <c r="L197" s="373"/>
      <c r="M197" s="373"/>
      <c r="N197" s="373"/>
      <c r="O197" s="373"/>
      <c r="P197" s="373"/>
      <c r="Q197" s="373"/>
      <c r="R197" s="373"/>
      <c r="S197" s="373"/>
      <c r="T197" s="2"/>
    </row>
    <row r="198" spans="1:20" outlineLevel="1">
      <c r="A198" s="118" t="s">
        <v>584</v>
      </c>
      <c r="B198" s="117">
        <f>VLOOKUP($A198,'LEVEL 2.1'!$A$13:$K$317,11,FALSE)</f>
        <v>112775.00000000001</v>
      </c>
      <c r="C198" s="360"/>
      <c r="E198" s="117">
        <f>VLOOKUP($A198,'LEVEL 3'!$A$13:$K$317,11,FALSE)</f>
        <v>112775.00000000001</v>
      </c>
      <c r="F198" s="360"/>
      <c r="G198" s="2"/>
      <c r="H198" s="117">
        <f t="shared" ref="H198:H206" si="16">B198-E198</f>
        <v>0</v>
      </c>
      <c r="I198" s="424">
        <f>H198/B198</f>
        <v>0</v>
      </c>
      <c r="J198" s="2"/>
      <c r="K198" s="88"/>
      <c r="L198" s="88"/>
      <c r="M198" s="88"/>
      <c r="N198" s="88"/>
      <c r="O198" s="88"/>
      <c r="P198" s="88"/>
      <c r="Q198" s="88"/>
      <c r="R198" s="88"/>
      <c r="S198" s="88"/>
      <c r="T198" s="2"/>
    </row>
    <row r="199" spans="1:20" outlineLevel="1">
      <c r="A199" s="118" t="s">
        <v>586</v>
      </c>
      <c r="B199" s="138">
        <f>VLOOKUP($A199,'LEVEL 2.1'!$A$13:$K$317,11,FALSE)</f>
        <v>60725.000000000007</v>
      </c>
      <c r="E199" s="138">
        <f>VLOOKUP($A199,'LEVEL 3'!$A$13:$K$317,11,FALSE)</f>
        <v>60725.000000000007</v>
      </c>
      <c r="G199" s="2"/>
      <c r="H199" s="138">
        <f t="shared" si="16"/>
        <v>0</v>
      </c>
      <c r="I199" s="423">
        <f>H199/B199</f>
        <v>0</v>
      </c>
      <c r="J199" s="2"/>
      <c r="K199" s="46"/>
      <c r="L199" s="46"/>
      <c r="M199" s="46"/>
      <c r="N199" s="46"/>
      <c r="O199" s="46"/>
      <c r="P199" s="46"/>
      <c r="Q199" s="46"/>
      <c r="R199" s="46"/>
      <c r="S199" s="46"/>
      <c r="T199" s="2"/>
    </row>
    <row r="200" spans="1:20" outlineLevel="1">
      <c r="A200" s="118" t="s">
        <v>588</v>
      </c>
      <c r="B200" s="138">
        <f>VLOOKUP($A200,'LEVEL 2.1'!$A$13:$K$317,11,FALSE)</f>
        <v>100000</v>
      </c>
      <c r="E200" s="138">
        <f>VLOOKUP($A200,'LEVEL 3'!$A$13:$K$317,11,FALSE)</f>
        <v>100000</v>
      </c>
      <c r="G200" s="2"/>
      <c r="H200" s="138">
        <f t="shared" si="16"/>
        <v>0</v>
      </c>
      <c r="I200" s="425">
        <f>IF(B200=0,"n/a",H200/B200)</f>
        <v>0</v>
      </c>
      <c r="J200" s="2"/>
      <c r="K200" s="46"/>
      <c r="L200" s="46"/>
      <c r="M200" s="46"/>
      <c r="N200" s="46"/>
      <c r="O200" s="46"/>
      <c r="P200" s="46"/>
      <c r="Q200" s="46"/>
      <c r="R200" s="46"/>
      <c r="S200" s="46"/>
      <c r="T200" s="2"/>
    </row>
    <row r="201" spans="1:20" outlineLevel="1">
      <c r="A201" s="118" t="s">
        <v>590</v>
      </c>
      <c r="B201" s="138">
        <f>VLOOKUP($A201,'LEVEL 2.1'!$A$13:$K$317,11,FALSE)</f>
        <v>50000</v>
      </c>
      <c r="E201" s="138">
        <f>VLOOKUP($A201,'LEVEL 3'!$A$13:$K$317,11,FALSE)</f>
        <v>50000</v>
      </c>
      <c r="G201" s="2"/>
      <c r="H201" s="138">
        <f t="shared" si="16"/>
        <v>0</v>
      </c>
      <c r="I201" s="423">
        <f>H201/B201</f>
        <v>0</v>
      </c>
      <c r="J201" s="2"/>
      <c r="K201" s="46"/>
      <c r="L201" s="46"/>
      <c r="M201" s="46"/>
      <c r="N201" s="46"/>
      <c r="O201" s="46"/>
      <c r="P201" s="46"/>
      <c r="Q201" s="46"/>
      <c r="R201" s="46"/>
      <c r="S201" s="46"/>
      <c r="T201" s="2"/>
    </row>
    <row r="202" spans="1:20" outlineLevel="1">
      <c r="A202" s="118" t="s">
        <v>592</v>
      </c>
      <c r="B202" s="138">
        <f>VLOOKUP($A202,'LEVEL 2.1'!$A$13:$K$317,11,FALSE)</f>
        <v>1257581.3633884296</v>
      </c>
      <c r="E202" s="138">
        <f>VLOOKUP($A202,'LEVEL 3'!$A$13:$K$317,11,FALSE)</f>
        <v>835870</v>
      </c>
      <c r="G202" s="2"/>
      <c r="H202" s="138">
        <f t="shared" si="16"/>
        <v>421711.36338842963</v>
      </c>
      <c r="I202" s="423">
        <f>H202/B202</f>
        <v>0.33533525198892078</v>
      </c>
      <c r="J202" s="2"/>
      <c r="K202" s="88" t="s">
        <v>878</v>
      </c>
      <c r="L202" s="46"/>
      <c r="M202" s="46"/>
      <c r="N202" s="46"/>
      <c r="O202" s="46"/>
      <c r="P202" s="46"/>
      <c r="Q202" s="46"/>
      <c r="R202" s="46"/>
      <c r="S202" s="46"/>
      <c r="T202" s="2"/>
    </row>
    <row r="203" spans="1:20" outlineLevel="1">
      <c r="A203" s="118" t="s">
        <v>595</v>
      </c>
      <c r="B203" s="138">
        <f>VLOOKUP($A203,'LEVEL 2.1'!$A$13:$K$317,11,FALSE)</f>
        <v>52966.135000000002</v>
      </c>
      <c r="E203" s="138">
        <f>VLOOKUP($A203,'LEVEL 3'!$A$13:$K$317,11,FALSE)</f>
        <v>997899</v>
      </c>
      <c r="G203" s="2"/>
      <c r="H203" s="138">
        <f t="shared" si="16"/>
        <v>-944932.86499999999</v>
      </c>
      <c r="I203" s="423">
        <f>H203/B203</f>
        <v>-17.840321273205983</v>
      </c>
      <c r="J203" s="2"/>
      <c r="K203" s="88" t="s">
        <v>878</v>
      </c>
      <c r="L203" s="46"/>
      <c r="M203" s="46"/>
      <c r="N203" s="46"/>
      <c r="O203" s="46"/>
      <c r="P203" s="46"/>
      <c r="Q203" s="46"/>
      <c r="R203" s="46"/>
      <c r="S203" s="46"/>
      <c r="T203" s="2"/>
    </row>
    <row r="204" spans="1:20" outlineLevel="1">
      <c r="A204" s="118" t="s">
        <v>597</v>
      </c>
      <c r="B204" s="138">
        <f>VLOOKUP($A204,'LEVEL 2.1'!$A$13:$K$317,11,FALSE)</f>
        <v>100000</v>
      </c>
      <c r="E204" s="138">
        <f>VLOOKUP($A204,'LEVEL 3'!$A$13:$K$317,11,FALSE)</f>
        <v>100000</v>
      </c>
      <c r="G204" s="2"/>
      <c r="H204" s="138">
        <f t="shared" si="16"/>
        <v>0</v>
      </c>
      <c r="I204" s="423">
        <f>H204/B204</f>
        <v>0</v>
      </c>
      <c r="J204" s="2"/>
      <c r="K204" s="46"/>
      <c r="L204" s="46"/>
      <c r="M204" s="46"/>
      <c r="N204" s="46"/>
      <c r="O204" s="46"/>
      <c r="P204" s="46"/>
      <c r="Q204" s="46"/>
      <c r="R204" s="46"/>
      <c r="S204" s="46"/>
      <c r="T204" s="2"/>
    </row>
    <row r="205" spans="1:20" outlineLevel="1">
      <c r="A205" s="118" t="s">
        <v>599</v>
      </c>
      <c r="B205" s="138">
        <f>VLOOKUP($A205,'LEVEL 2.1'!$A$13:$K$317,11,FALSE)</f>
        <v>0</v>
      </c>
      <c r="E205" s="138">
        <f>VLOOKUP($A205,'LEVEL 3'!$A$13:$K$317,11,FALSE)</f>
        <v>0</v>
      </c>
      <c r="G205" s="2"/>
      <c r="H205" s="138">
        <f t="shared" si="16"/>
        <v>0</v>
      </c>
      <c r="I205" s="425" t="str">
        <f>IF(B205=0,"n/a",H205/B205)</f>
        <v>n/a</v>
      </c>
      <c r="J205" s="2"/>
      <c r="K205" s="46"/>
      <c r="L205" s="46"/>
      <c r="M205" s="46"/>
      <c r="N205" s="46"/>
      <c r="O205" s="46"/>
      <c r="P205" s="46"/>
      <c r="Q205" s="46"/>
      <c r="R205" s="46"/>
      <c r="S205" s="46"/>
      <c r="T205" s="2"/>
    </row>
    <row r="206" spans="1:20" outlineLevel="1">
      <c r="A206" s="118" t="s">
        <v>601</v>
      </c>
      <c r="B206" s="138">
        <f>VLOOKUP($A206,'LEVEL 2.1'!$A$13:$K$317,11,FALSE)</f>
        <v>43375</v>
      </c>
      <c r="E206" s="138">
        <f>VLOOKUP($A206,'LEVEL 3'!$A$13:$K$317,11,FALSE)</f>
        <v>43375</v>
      </c>
      <c r="G206" s="2"/>
      <c r="H206" s="117">
        <f t="shared" si="16"/>
        <v>0</v>
      </c>
      <c r="I206" s="423">
        <f>H206/B206</f>
        <v>0</v>
      </c>
      <c r="J206" s="2"/>
      <c r="K206" s="46"/>
      <c r="L206" s="46"/>
      <c r="M206" s="46"/>
      <c r="N206" s="46"/>
      <c r="O206" s="46"/>
      <c r="P206" s="46"/>
      <c r="Q206" s="46"/>
      <c r="R206" s="46"/>
      <c r="S206" s="46"/>
      <c r="T206" s="2"/>
    </row>
    <row r="207" spans="1:20">
      <c r="A207" s="347" t="s">
        <v>603</v>
      </c>
      <c r="B207" s="110"/>
      <c r="C207" s="445">
        <f>SUM(B198:B206)</f>
        <v>1777422.4983884296</v>
      </c>
      <c r="E207" s="110"/>
      <c r="F207" s="445">
        <f>SUM(E198:E206)</f>
        <v>2300644</v>
      </c>
      <c r="G207" s="2"/>
      <c r="H207" s="448">
        <f>C207-F207</f>
        <v>-523221.50161157036</v>
      </c>
      <c r="I207" s="446">
        <f>H207/C207</f>
        <v>-0.29437092311252377</v>
      </c>
      <c r="J207" s="2"/>
      <c r="K207" s="373"/>
      <c r="L207" s="373"/>
      <c r="M207" s="373"/>
      <c r="N207" s="373"/>
      <c r="O207" s="373"/>
      <c r="P207" s="373"/>
      <c r="Q207" s="373"/>
      <c r="R207" s="373"/>
      <c r="S207" s="373"/>
      <c r="T207" s="2"/>
    </row>
    <row r="208" spans="1:20" outlineLevel="1">
      <c r="A208" s="118" t="s">
        <v>605</v>
      </c>
      <c r="B208" s="117">
        <f>VLOOKUP($A208,'LEVEL 2.1'!$A$13:$K$317,11,FALSE)</f>
        <v>5000</v>
      </c>
      <c r="C208" s="182"/>
      <c r="E208" s="117">
        <f>VLOOKUP($A208,'LEVEL 3'!$A$13:$K$317,11,FALSE)</f>
        <v>5000</v>
      </c>
      <c r="F208" s="182"/>
      <c r="G208" s="2"/>
      <c r="H208" s="117">
        <f t="shared" ref="H208:H244" si="17">B208-E208</f>
        <v>0</v>
      </c>
      <c r="I208" s="423">
        <f>H208/B208</f>
        <v>0</v>
      </c>
      <c r="J208" s="2"/>
      <c r="K208" s="88"/>
      <c r="L208" s="88"/>
      <c r="M208" s="88"/>
      <c r="N208" s="88"/>
      <c r="O208" s="88"/>
      <c r="P208" s="88"/>
      <c r="Q208" s="88"/>
      <c r="R208" s="88"/>
      <c r="S208" s="88"/>
      <c r="T208" s="2"/>
    </row>
    <row r="209" spans="1:20" outlineLevel="1">
      <c r="A209" s="118" t="s">
        <v>607</v>
      </c>
      <c r="B209" s="117">
        <f>VLOOKUP($A209,'LEVEL 2.1'!$A$13:$K$317,11,FALSE)</f>
        <v>5000</v>
      </c>
      <c r="E209" s="117">
        <f>VLOOKUP($A209,'LEVEL 3'!$A$13:$K$317,11,FALSE)</f>
        <v>5000</v>
      </c>
      <c r="G209" s="2"/>
      <c r="H209" s="138">
        <f t="shared" si="17"/>
        <v>0</v>
      </c>
      <c r="I209" s="423">
        <f>H209/B209</f>
        <v>0</v>
      </c>
      <c r="J209" s="2"/>
      <c r="K209" s="46"/>
      <c r="L209" s="46"/>
      <c r="M209" s="46"/>
      <c r="N209" s="46"/>
      <c r="O209" s="46"/>
      <c r="P209" s="46"/>
      <c r="Q209" s="46"/>
      <c r="R209" s="46"/>
      <c r="S209" s="46"/>
      <c r="T209" s="2"/>
    </row>
    <row r="210" spans="1:20" outlineLevel="1">
      <c r="A210" s="118" t="s">
        <v>609</v>
      </c>
      <c r="B210" s="117">
        <f>VLOOKUP($A210,'LEVEL 2.1'!$A$13:$K$317,11,FALSE)</f>
        <v>25000</v>
      </c>
      <c r="E210" s="117">
        <f>VLOOKUP($A210,'LEVEL 3'!$A$13:$K$317,11,FALSE)</f>
        <v>25000</v>
      </c>
      <c r="G210" s="2"/>
      <c r="H210" s="138">
        <f t="shared" si="17"/>
        <v>0</v>
      </c>
      <c r="I210" s="423">
        <f>H210/B210</f>
        <v>0</v>
      </c>
      <c r="J210" s="2"/>
      <c r="K210" s="46"/>
      <c r="L210" s="46"/>
      <c r="M210" s="46"/>
      <c r="N210" s="46"/>
      <c r="O210" s="46"/>
      <c r="P210" s="46"/>
      <c r="Q210" s="46"/>
      <c r="R210" s="46"/>
      <c r="S210" s="46"/>
      <c r="T210" s="2"/>
    </row>
    <row r="211" spans="1:20" outlineLevel="1">
      <c r="A211" s="118" t="s">
        <v>612</v>
      </c>
      <c r="B211" s="117">
        <f>VLOOKUP($A211,'LEVEL 2.1'!$A$13:$K$317,11,FALSE)</f>
        <v>601630.92999999993</v>
      </c>
      <c r="C211" s="182"/>
      <c r="E211" s="117">
        <f>VLOOKUP($A211,'LEVEL 3'!$A$13:$K$317,11,FALSE)</f>
        <v>1017448</v>
      </c>
      <c r="F211" s="182"/>
      <c r="G211" s="2"/>
      <c r="H211" s="138">
        <f t="shared" si="17"/>
        <v>-415817.07000000007</v>
      </c>
      <c r="I211" s="423">
        <f>H211/B211</f>
        <v>-0.69114975521620892</v>
      </c>
      <c r="J211" s="2"/>
      <c r="K211" s="88" t="s">
        <v>878</v>
      </c>
      <c r="L211" s="46"/>
      <c r="M211" s="46"/>
      <c r="N211" s="46"/>
      <c r="O211" s="46"/>
      <c r="P211" s="46"/>
      <c r="Q211" s="46"/>
      <c r="R211" s="46"/>
      <c r="S211" s="46"/>
      <c r="T211" s="2"/>
    </row>
    <row r="212" spans="1:20" outlineLevel="1">
      <c r="A212" s="118" t="s">
        <v>615</v>
      </c>
      <c r="B212" s="117">
        <f>VLOOKUP($A212,'LEVEL 2.1'!$A$13:$K$317,11,FALSE)</f>
        <v>53763.25</v>
      </c>
      <c r="E212" s="117">
        <f>VLOOKUP($A212,'LEVEL 3'!$A$13:$K$317,11,FALSE)</f>
        <v>53763.25</v>
      </c>
      <c r="G212" s="2"/>
      <c r="H212" s="138">
        <f t="shared" si="17"/>
        <v>0</v>
      </c>
      <c r="I212" s="423">
        <f>H212/B212</f>
        <v>0</v>
      </c>
      <c r="J212" s="2"/>
      <c r="K212" s="46"/>
      <c r="L212" s="46"/>
      <c r="M212" s="46"/>
      <c r="N212" s="46"/>
      <c r="O212" s="46"/>
      <c r="P212" s="46"/>
      <c r="Q212" s="46"/>
      <c r="R212" s="46"/>
      <c r="S212" s="46"/>
      <c r="T212" s="2"/>
    </row>
    <row r="213" spans="1:20" outlineLevel="1">
      <c r="A213" s="118" t="s">
        <v>617</v>
      </c>
      <c r="B213" s="117">
        <f>VLOOKUP($A213,'LEVEL 2.1'!$A$13:$K$317,11,FALSE)</f>
        <v>25500</v>
      </c>
      <c r="E213" s="117">
        <f>VLOOKUP($A213,'LEVEL 3'!$A$13:$K$317,11,FALSE)</f>
        <v>25500</v>
      </c>
      <c r="G213" s="2"/>
      <c r="H213" s="138">
        <f t="shared" si="17"/>
        <v>0</v>
      </c>
      <c r="I213" s="425">
        <f>IF(B213=0,"n/a",H213/B213)</f>
        <v>0</v>
      </c>
      <c r="J213" s="2"/>
      <c r="K213" s="46"/>
      <c r="L213" s="46"/>
      <c r="M213" s="46"/>
      <c r="N213" s="46"/>
      <c r="O213" s="46"/>
      <c r="P213" s="46"/>
      <c r="Q213" s="46"/>
      <c r="R213" s="46"/>
      <c r="S213" s="46"/>
      <c r="T213" s="2"/>
    </row>
    <row r="214" spans="1:20" outlineLevel="1">
      <c r="A214" s="118" t="s">
        <v>619</v>
      </c>
      <c r="B214" s="117">
        <f>VLOOKUP($A214,'LEVEL 2.1'!$A$13:$K$317,11,FALSE)</f>
        <v>68195.5</v>
      </c>
      <c r="E214" s="117">
        <f>VLOOKUP($A214,'LEVEL 3'!$A$13:$K$317,11,FALSE)</f>
        <v>68195.5</v>
      </c>
      <c r="G214" s="2"/>
      <c r="H214" s="138">
        <f t="shared" si="17"/>
        <v>0</v>
      </c>
      <c r="I214" s="423">
        <f>H214/B214</f>
        <v>0</v>
      </c>
      <c r="J214" s="2"/>
      <c r="K214" s="46"/>
      <c r="L214" s="46"/>
      <c r="M214" s="46"/>
      <c r="N214" s="46"/>
      <c r="O214" s="46"/>
      <c r="P214" s="46"/>
      <c r="Q214" s="46"/>
      <c r="R214" s="46"/>
      <c r="S214" s="46"/>
      <c r="T214" s="2"/>
    </row>
    <row r="215" spans="1:20" outlineLevel="1">
      <c r="A215" s="118" t="s">
        <v>622</v>
      </c>
      <c r="B215" s="117">
        <f>VLOOKUP($A215,'LEVEL 2.1'!$A$13:$K$317,11,FALSE)</f>
        <v>114991.74</v>
      </c>
      <c r="E215" s="117">
        <f>VLOOKUP($A215,'LEVEL 3'!$A$13:$K$317,11,FALSE)</f>
        <v>111739.5</v>
      </c>
      <c r="G215" s="2"/>
      <c r="H215" s="138">
        <f t="shared" si="17"/>
        <v>3252.2400000000052</v>
      </c>
      <c r="I215" s="423">
        <f>H215/B215</f>
        <v>2.8282379238717539E-2</v>
      </c>
      <c r="J215" s="2"/>
      <c r="K215" s="88" t="s">
        <v>878</v>
      </c>
      <c r="L215" s="46"/>
      <c r="M215" s="46"/>
      <c r="N215" s="46"/>
      <c r="O215" s="46"/>
      <c r="P215" s="46"/>
      <c r="Q215" s="46"/>
      <c r="R215" s="46"/>
      <c r="S215" s="46"/>
      <c r="T215" s="2"/>
    </row>
    <row r="216" spans="1:20" outlineLevel="1">
      <c r="A216" s="118" t="s">
        <v>624</v>
      </c>
      <c r="B216" s="117">
        <f>VLOOKUP($A216,'LEVEL 2.1'!$A$13:$K$317,11,FALSE)</f>
        <v>134729.4</v>
      </c>
      <c r="E216" s="117">
        <f>VLOOKUP($A216,'LEVEL 3'!$A$13:$K$317,11,FALSE)</f>
        <v>91538.5</v>
      </c>
      <c r="G216" s="2"/>
      <c r="H216" s="138">
        <f t="shared" si="17"/>
        <v>43190.899999999994</v>
      </c>
      <c r="I216" s="423">
        <f>H216/B216</f>
        <v>0.32057516770652877</v>
      </c>
      <c r="J216" s="2"/>
      <c r="K216" s="88" t="s">
        <v>878</v>
      </c>
      <c r="L216" s="46"/>
      <c r="M216" s="46"/>
      <c r="N216" s="46"/>
      <c r="O216" s="46"/>
      <c r="P216" s="46"/>
      <c r="Q216" s="46"/>
      <c r="R216" s="46"/>
      <c r="S216" s="46"/>
      <c r="T216" s="2"/>
    </row>
    <row r="217" spans="1:20" outlineLevel="1">
      <c r="A217" s="137" t="s">
        <v>626</v>
      </c>
      <c r="B217" s="117">
        <f>VLOOKUP($A217,'LEVEL 2.1'!$A$13:$K$317,11,FALSE)</f>
        <v>338206.88750000001</v>
      </c>
      <c r="E217" s="117">
        <f>VLOOKUP($A217,'LEVEL 3'!$A$13:$K$317,11,FALSE)</f>
        <v>272612.25</v>
      </c>
      <c r="G217" s="2"/>
      <c r="H217" s="138">
        <f t="shared" si="17"/>
        <v>65594.637500000012</v>
      </c>
      <c r="I217" s="423">
        <f>H217/B217</f>
        <v>0.19394826044162097</v>
      </c>
      <c r="J217" s="2"/>
      <c r="K217" s="88" t="s">
        <v>878</v>
      </c>
      <c r="L217" s="46"/>
      <c r="M217" s="46"/>
      <c r="N217" s="46"/>
      <c r="O217" s="46"/>
      <c r="P217" s="46"/>
      <c r="Q217" s="46"/>
      <c r="R217" s="46"/>
      <c r="S217" s="46"/>
      <c r="T217" s="2"/>
    </row>
    <row r="218" spans="1:20" outlineLevel="1">
      <c r="A218" s="118" t="s">
        <v>628</v>
      </c>
      <c r="B218" s="117">
        <f>VLOOKUP($A218,'LEVEL 2.1'!$A$13:$K$317,11,FALSE)</f>
        <v>0</v>
      </c>
      <c r="E218" s="117">
        <f>VLOOKUP($A218,'LEVEL 3'!$A$13:$K$317,11,FALSE)</f>
        <v>0</v>
      </c>
      <c r="G218" s="2"/>
      <c r="H218" s="138">
        <f t="shared" si="17"/>
        <v>0</v>
      </c>
      <c r="I218" s="425" t="str">
        <f>IF(B218=0,"n/a",H218/B218)</f>
        <v>n/a</v>
      </c>
      <c r="J218" s="2"/>
      <c r="K218" s="46"/>
      <c r="L218" s="46"/>
      <c r="M218" s="46"/>
      <c r="N218" s="46"/>
      <c r="O218" s="46"/>
      <c r="P218" s="46"/>
      <c r="Q218" s="46"/>
      <c r="R218" s="46"/>
      <c r="S218" s="46"/>
      <c r="T218" s="2"/>
    </row>
    <row r="219" spans="1:20" outlineLevel="1">
      <c r="A219" s="118" t="s">
        <v>630</v>
      </c>
      <c r="B219" s="117">
        <f>VLOOKUP($A219,'LEVEL 2.1'!$A$13:$K$317,11,FALSE)</f>
        <v>10000</v>
      </c>
      <c r="E219" s="117">
        <f>VLOOKUP($A219,'LEVEL 3'!$A$13:$K$317,11,FALSE)</f>
        <v>10000</v>
      </c>
      <c r="G219" s="2"/>
      <c r="H219" s="138">
        <f t="shared" si="17"/>
        <v>0</v>
      </c>
      <c r="I219" s="423">
        <f t="shared" ref="I219:I226" si="18">H219/B219</f>
        <v>0</v>
      </c>
      <c r="J219" s="2"/>
      <c r="K219" s="46"/>
      <c r="L219" s="46"/>
      <c r="M219" s="46"/>
      <c r="N219" s="46"/>
      <c r="O219" s="46"/>
      <c r="P219" s="46"/>
      <c r="Q219" s="46"/>
      <c r="R219" s="46"/>
      <c r="S219" s="46"/>
      <c r="T219" s="2"/>
    </row>
    <row r="220" spans="1:20" outlineLevel="1">
      <c r="A220" s="118" t="s">
        <v>632</v>
      </c>
      <c r="B220" s="117">
        <f>VLOOKUP($A220,'LEVEL 2.1'!$A$13:$K$317,11,FALSE)</f>
        <v>52050.000000000007</v>
      </c>
      <c r="E220" s="117">
        <f>VLOOKUP($A220,'LEVEL 3'!$A$13:$K$317,11,FALSE)</f>
        <v>52050.000000000007</v>
      </c>
      <c r="G220" s="2"/>
      <c r="H220" s="138">
        <f t="shared" si="17"/>
        <v>0</v>
      </c>
      <c r="I220" s="423">
        <f t="shared" si="18"/>
        <v>0</v>
      </c>
      <c r="J220" s="2"/>
      <c r="K220" s="46"/>
      <c r="L220" s="46"/>
      <c r="M220" s="46"/>
      <c r="N220" s="46"/>
      <c r="O220" s="46"/>
      <c r="P220" s="46"/>
      <c r="Q220" s="46"/>
      <c r="R220" s="46"/>
      <c r="S220" s="46"/>
      <c r="T220" s="2"/>
    </row>
    <row r="221" spans="1:20" outlineLevel="1">
      <c r="A221" s="118" t="s">
        <v>634</v>
      </c>
      <c r="B221" s="117">
        <f>VLOOKUP($A221,'LEVEL 2.1'!$A$13:$K$317,11,FALSE)</f>
        <v>164035.4</v>
      </c>
      <c r="E221" s="117">
        <f>VLOOKUP($A221,'LEVEL 3'!$A$13:$K$317,11,FALSE)</f>
        <v>188811.6</v>
      </c>
      <c r="G221" s="2"/>
      <c r="H221" s="138">
        <f t="shared" si="17"/>
        <v>-24776.200000000012</v>
      </c>
      <c r="I221" s="423">
        <f t="shared" si="18"/>
        <v>-0.15104178732151727</v>
      </c>
      <c r="J221" s="2"/>
      <c r="K221" s="88" t="s">
        <v>878</v>
      </c>
      <c r="L221" s="46"/>
      <c r="M221" s="46"/>
      <c r="N221" s="46"/>
      <c r="O221" s="46"/>
      <c r="P221" s="46"/>
      <c r="Q221" s="46"/>
      <c r="R221" s="46"/>
      <c r="S221" s="46"/>
      <c r="T221" s="2"/>
    </row>
    <row r="222" spans="1:20" outlineLevel="1">
      <c r="A222" s="118" t="s">
        <v>636</v>
      </c>
      <c r="B222" s="117">
        <f>VLOOKUP($A222,'LEVEL 2.1'!$A$13:$K$317,11,FALSE)</f>
        <v>34790</v>
      </c>
      <c r="E222" s="117">
        <f>VLOOKUP($A222,'LEVEL 3'!$A$13:$K$317,11,FALSE)</f>
        <v>516903</v>
      </c>
      <c r="G222" s="2"/>
      <c r="H222" s="138">
        <f t="shared" si="17"/>
        <v>-482113</v>
      </c>
      <c r="I222" s="423">
        <f t="shared" si="18"/>
        <v>-13.857803966657086</v>
      </c>
      <c r="J222" s="2"/>
      <c r="K222" s="88" t="s">
        <v>878</v>
      </c>
      <c r="L222" s="46"/>
      <c r="M222" s="46"/>
      <c r="N222" s="46"/>
      <c r="O222" s="46"/>
      <c r="P222" s="46"/>
      <c r="Q222" s="46"/>
      <c r="R222" s="46"/>
      <c r="S222" s="46"/>
      <c r="T222" s="2"/>
    </row>
    <row r="223" spans="1:20" outlineLevel="1">
      <c r="A223" s="118" t="s">
        <v>638</v>
      </c>
      <c r="B223" s="117">
        <f>VLOOKUP($A223,'LEVEL 2.1'!$A$13:$K$317,11,FALSE)</f>
        <v>15000</v>
      </c>
      <c r="E223" s="117">
        <f>VLOOKUP($A223,'LEVEL 3'!$A$13:$K$317,11,FALSE)</f>
        <v>15000</v>
      </c>
      <c r="G223" s="2"/>
      <c r="H223" s="138">
        <f t="shared" si="17"/>
        <v>0</v>
      </c>
      <c r="I223" s="423">
        <f t="shared" si="18"/>
        <v>0</v>
      </c>
      <c r="J223" s="2"/>
      <c r="K223" s="46"/>
      <c r="L223" s="46"/>
      <c r="M223" s="46"/>
      <c r="N223" s="46"/>
      <c r="O223" s="46"/>
      <c r="P223" s="46"/>
      <c r="Q223" s="46"/>
      <c r="R223" s="46"/>
      <c r="S223" s="46"/>
      <c r="T223" s="2"/>
    </row>
    <row r="224" spans="1:20" outlineLevel="1">
      <c r="A224" s="118" t="s">
        <v>640</v>
      </c>
      <c r="B224" s="117">
        <f>VLOOKUP($A224,'LEVEL 2.1'!$A$13:$K$317,11,FALSE)</f>
        <v>16500</v>
      </c>
      <c r="E224" s="117">
        <f>VLOOKUP($A224,'LEVEL 3'!$A$13:$K$317,11,FALSE)</f>
        <v>50256.35</v>
      </c>
      <c r="G224" s="2"/>
      <c r="H224" s="138">
        <f t="shared" si="17"/>
        <v>-33756.35</v>
      </c>
      <c r="I224" s="423">
        <f t="shared" si="18"/>
        <v>-2.045839393939394</v>
      </c>
      <c r="J224" s="2"/>
      <c r="K224" s="88" t="s">
        <v>878</v>
      </c>
      <c r="L224" s="46"/>
      <c r="M224" s="46"/>
      <c r="N224" s="46"/>
      <c r="O224" s="46"/>
      <c r="P224" s="46"/>
      <c r="Q224" s="46"/>
      <c r="R224" s="46"/>
      <c r="S224" s="46"/>
      <c r="T224" s="2"/>
    </row>
    <row r="225" spans="1:20" outlineLevel="1">
      <c r="A225" s="118" t="s">
        <v>642</v>
      </c>
      <c r="B225" s="117">
        <f>VLOOKUP($A225,'LEVEL 2.1'!$A$13:$K$317,11,FALSE)</f>
        <v>21000</v>
      </c>
      <c r="E225" s="117">
        <f>VLOOKUP($A225,'LEVEL 3'!$A$13:$K$317,11,FALSE)</f>
        <v>31577</v>
      </c>
      <c r="G225" s="2"/>
      <c r="H225" s="138">
        <f t="shared" si="17"/>
        <v>-10577</v>
      </c>
      <c r="I225" s="423">
        <f t="shared" si="18"/>
        <v>-0.50366666666666671</v>
      </c>
      <c r="J225" s="2"/>
      <c r="K225" s="88" t="s">
        <v>878</v>
      </c>
      <c r="L225" s="46"/>
      <c r="M225" s="46"/>
      <c r="N225" s="46"/>
      <c r="O225" s="46"/>
      <c r="P225" s="46"/>
      <c r="Q225" s="46"/>
      <c r="R225" s="46"/>
      <c r="S225" s="46"/>
      <c r="T225" s="2"/>
    </row>
    <row r="226" spans="1:20" outlineLevel="1">
      <c r="A226" s="118" t="s">
        <v>644</v>
      </c>
      <c r="B226" s="117">
        <f>VLOOKUP($A226,'LEVEL 2.1'!$A$13:$K$317,11,FALSE)</f>
        <v>3900</v>
      </c>
      <c r="E226" s="117">
        <f>VLOOKUP($A226,'LEVEL 3'!$A$13:$K$317,11,FALSE)</f>
        <v>28505</v>
      </c>
      <c r="G226" s="2"/>
      <c r="H226" s="138">
        <f t="shared" si="17"/>
        <v>-24605</v>
      </c>
      <c r="I226" s="423">
        <f t="shared" si="18"/>
        <v>-6.3089743589743588</v>
      </c>
      <c r="J226" s="2"/>
      <c r="K226" s="88" t="s">
        <v>878</v>
      </c>
      <c r="L226" s="46"/>
      <c r="M226" s="46"/>
      <c r="N226" s="46"/>
      <c r="O226" s="46"/>
      <c r="P226" s="46"/>
      <c r="Q226" s="46"/>
      <c r="R226" s="46"/>
      <c r="S226" s="46"/>
      <c r="T226" s="2"/>
    </row>
    <row r="227" spans="1:20" outlineLevel="1">
      <c r="A227" s="118" t="s">
        <v>645</v>
      </c>
      <c r="B227" s="117">
        <f>VLOOKUP($A227,'LEVEL 2.1'!$A$13:$K$317,11,FALSE)</f>
        <v>6000</v>
      </c>
      <c r="E227" s="117">
        <f>VLOOKUP($A227,'LEVEL 3'!$A$13:$K$317,11,FALSE)</f>
        <v>12867.5</v>
      </c>
      <c r="G227" s="2"/>
      <c r="H227" s="138">
        <f t="shared" si="17"/>
        <v>-6867.5</v>
      </c>
      <c r="I227" s="425">
        <f>IF(B227=0,"n/a",H227/B227)</f>
        <v>-1.1445833333333333</v>
      </c>
      <c r="J227" s="2"/>
      <c r="K227" s="88" t="s">
        <v>878</v>
      </c>
      <c r="L227" s="46"/>
      <c r="M227" s="46"/>
      <c r="N227" s="46"/>
      <c r="O227" s="46"/>
      <c r="P227" s="46"/>
      <c r="Q227" s="46"/>
      <c r="R227" s="46"/>
      <c r="S227" s="46"/>
      <c r="T227" s="2"/>
    </row>
    <row r="228" spans="1:20" outlineLevel="1">
      <c r="A228" s="118" t="s">
        <v>648</v>
      </c>
      <c r="B228" s="117">
        <f>VLOOKUP($A228,'LEVEL 2.1'!$A$13:$K$317,11,FALSE)</f>
        <v>0</v>
      </c>
      <c r="E228" s="117">
        <f>VLOOKUP($A228,'LEVEL 3'!$A$13:$K$317,11,FALSE)</f>
        <v>0</v>
      </c>
      <c r="G228" s="2"/>
      <c r="H228" s="138">
        <f t="shared" si="17"/>
        <v>0</v>
      </c>
      <c r="I228" s="425" t="str">
        <f>IF(B228=0,"n/a",H228/B228)</f>
        <v>n/a</v>
      </c>
      <c r="J228" s="2"/>
      <c r="K228" s="46"/>
      <c r="L228" s="46"/>
      <c r="M228" s="46"/>
      <c r="N228" s="46"/>
      <c r="O228" s="46"/>
      <c r="P228" s="46"/>
      <c r="Q228" s="46"/>
      <c r="R228" s="46"/>
      <c r="S228" s="46"/>
      <c r="T228" s="2"/>
    </row>
    <row r="229" spans="1:20" outlineLevel="1">
      <c r="A229" s="118" t="s">
        <v>650</v>
      </c>
      <c r="B229" s="117">
        <f>VLOOKUP($A229,'LEVEL 2.1'!$A$13:$K$317,11,FALSE)</f>
        <v>0</v>
      </c>
      <c r="E229" s="117">
        <f>VLOOKUP($A229,'LEVEL 3'!$A$13:$K$317,11,FALSE)</f>
        <v>0</v>
      </c>
      <c r="G229" s="2"/>
      <c r="H229" s="138">
        <f t="shared" si="17"/>
        <v>0</v>
      </c>
      <c r="I229" s="425" t="str">
        <f>IF(B229=0,"n/a",H229/B229)</f>
        <v>n/a</v>
      </c>
      <c r="J229" s="2"/>
      <c r="K229" s="46"/>
      <c r="L229" s="46"/>
      <c r="M229" s="46"/>
      <c r="N229" s="46"/>
      <c r="O229" s="46"/>
      <c r="P229" s="46"/>
      <c r="Q229" s="46"/>
      <c r="R229" s="46"/>
      <c r="S229" s="46"/>
      <c r="T229" s="2"/>
    </row>
    <row r="230" spans="1:20" outlineLevel="1">
      <c r="A230" s="118" t="s">
        <v>652</v>
      </c>
      <c r="B230" s="117">
        <f>VLOOKUP($A230,'LEVEL 2.1'!$A$13:$K$317,11,FALSE)</f>
        <v>0</v>
      </c>
      <c r="E230" s="117">
        <f>VLOOKUP($A230,'LEVEL 3'!$A$13:$K$317,11,FALSE)</f>
        <v>0</v>
      </c>
      <c r="G230" s="2"/>
      <c r="H230" s="138">
        <f t="shared" si="17"/>
        <v>0</v>
      </c>
      <c r="I230" s="425" t="str">
        <f>IF(B230=0,"n/a",H230/B230)</f>
        <v>n/a</v>
      </c>
      <c r="J230" s="2"/>
      <c r="K230" s="46"/>
      <c r="L230" s="46"/>
      <c r="M230" s="46"/>
      <c r="N230" s="46"/>
      <c r="O230" s="46"/>
      <c r="P230" s="46"/>
      <c r="Q230" s="46"/>
      <c r="R230" s="46"/>
      <c r="S230" s="46"/>
      <c r="T230" s="2"/>
    </row>
    <row r="231" spans="1:20" outlineLevel="1">
      <c r="A231" s="118" t="s">
        <v>654</v>
      </c>
      <c r="B231" s="117">
        <f>VLOOKUP($A231,'LEVEL 2.1'!$A$13:$K$317,11,FALSE)</f>
        <v>86750</v>
      </c>
      <c r="E231" s="117">
        <f>VLOOKUP($A231,'LEVEL 3'!$A$13:$K$317,11,FALSE)</f>
        <v>86750</v>
      </c>
      <c r="G231" s="2"/>
      <c r="H231" s="138">
        <f t="shared" si="17"/>
        <v>0</v>
      </c>
      <c r="I231" s="423">
        <f>H231/B231</f>
        <v>0</v>
      </c>
      <c r="J231" s="2"/>
      <c r="K231" s="46"/>
      <c r="L231" s="46"/>
      <c r="M231" s="46"/>
      <c r="N231" s="46"/>
      <c r="O231" s="46"/>
      <c r="P231" s="46"/>
      <c r="Q231" s="46"/>
      <c r="R231" s="46"/>
      <c r="S231" s="46"/>
      <c r="T231" s="2"/>
    </row>
    <row r="232" spans="1:20" outlineLevel="1">
      <c r="A232" s="118" t="s">
        <v>656</v>
      </c>
      <c r="B232" s="117">
        <f>VLOOKUP($A232,'LEVEL 2.1'!$A$13:$K$317,11,FALSE)</f>
        <v>493481.67499999999</v>
      </c>
      <c r="E232" s="117">
        <f>VLOOKUP($A232,'LEVEL 3'!$A$13:$K$317,11,FALSE)</f>
        <v>301295.73</v>
      </c>
      <c r="G232" s="2"/>
      <c r="H232" s="138">
        <f t="shared" si="17"/>
        <v>192185.94500000001</v>
      </c>
      <c r="I232" s="423">
        <f>H232/B232</f>
        <v>0.38944900030988994</v>
      </c>
      <c r="J232" s="2"/>
      <c r="K232" s="88" t="s">
        <v>878</v>
      </c>
      <c r="L232" s="46"/>
      <c r="M232" s="46"/>
      <c r="N232" s="46"/>
      <c r="O232" s="46"/>
      <c r="P232" s="46"/>
      <c r="Q232" s="46"/>
      <c r="R232" s="46"/>
      <c r="S232" s="46"/>
      <c r="T232" s="2"/>
    </row>
    <row r="233" spans="1:20" outlineLevel="1">
      <c r="A233" s="118" t="s">
        <v>658</v>
      </c>
      <c r="B233" s="117">
        <f>VLOOKUP($A233,'LEVEL 2.1'!$A$13:$K$317,11,FALSE)</f>
        <v>31250</v>
      </c>
      <c r="E233" s="117">
        <f>VLOOKUP($A233,'LEVEL 3'!$A$13:$K$317,11,FALSE)</f>
        <v>31250</v>
      </c>
      <c r="G233" s="2"/>
      <c r="H233" s="138">
        <f t="shared" si="17"/>
        <v>0</v>
      </c>
      <c r="I233" s="425">
        <f>IF(B233=0,"n/a",H233/B233)</f>
        <v>0</v>
      </c>
      <c r="J233" s="2"/>
      <c r="K233" s="46"/>
      <c r="L233" s="46"/>
      <c r="M233" s="46"/>
      <c r="N233" s="46"/>
      <c r="O233" s="46"/>
      <c r="P233" s="46"/>
      <c r="Q233" s="46"/>
      <c r="R233" s="46"/>
      <c r="S233" s="46"/>
      <c r="T233" s="2"/>
    </row>
    <row r="234" spans="1:20" outlineLevel="1">
      <c r="A234" s="118" t="s">
        <v>661</v>
      </c>
      <c r="B234" s="117">
        <f>VLOOKUP($A234,'LEVEL 2.1'!$A$13:$K$317,11,FALSE)</f>
        <v>303105.8</v>
      </c>
      <c r="E234" s="117">
        <f>VLOOKUP($A234,'LEVEL 3'!$A$13:$K$317,11,FALSE)</f>
        <v>539517.35</v>
      </c>
      <c r="G234" s="2"/>
      <c r="H234" s="138">
        <f t="shared" si="17"/>
        <v>-236411.55</v>
      </c>
      <c r="I234" s="423">
        <f>H234/B234</f>
        <v>-0.77996379482015854</v>
      </c>
      <c r="J234" s="2"/>
      <c r="K234" s="88" t="s">
        <v>878</v>
      </c>
      <c r="L234" s="46"/>
      <c r="M234" s="46"/>
      <c r="N234" s="46"/>
      <c r="O234" s="46"/>
      <c r="P234" s="46"/>
      <c r="Q234" s="46"/>
      <c r="R234" s="46"/>
      <c r="S234" s="46"/>
      <c r="T234" s="2"/>
    </row>
    <row r="235" spans="1:20" outlineLevel="1">
      <c r="A235" s="118" t="s">
        <v>663</v>
      </c>
      <c r="B235" s="117">
        <f>VLOOKUP($A235,'LEVEL 2.1'!$A$13:$K$317,11,FALSE)</f>
        <v>15000</v>
      </c>
      <c r="E235" s="117">
        <f>VLOOKUP($A235,'LEVEL 3'!$A$13:$K$317,11,FALSE)</f>
        <v>15000</v>
      </c>
      <c r="G235" s="2"/>
      <c r="H235" s="138">
        <f t="shared" si="17"/>
        <v>0</v>
      </c>
      <c r="I235" s="423">
        <f>H235/B235</f>
        <v>0</v>
      </c>
      <c r="J235" s="2"/>
      <c r="K235" s="46"/>
      <c r="L235" s="46"/>
      <c r="M235" s="46"/>
      <c r="N235" s="46"/>
      <c r="O235" s="46"/>
      <c r="P235" s="46"/>
      <c r="Q235" s="46"/>
      <c r="R235" s="46"/>
      <c r="S235" s="46"/>
      <c r="T235" s="2"/>
    </row>
    <row r="236" spans="1:20" outlineLevel="1">
      <c r="A236" s="118" t="s">
        <v>665</v>
      </c>
      <c r="B236" s="117">
        <f>VLOOKUP($A236,'LEVEL 2.1'!$A$13:$K$317,11,FALSE)</f>
        <v>7000</v>
      </c>
      <c r="E236" s="117">
        <f>VLOOKUP($A236,'LEVEL 3'!$A$13:$K$317,11,FALSE)</f>
        <v>7000</v>
      </c>
      <c r="G236" s="2"/>
      <c r="H236" s="138">
        <f t="shared" si="17"/>
        <v>0</v>
      </c>
      <c r="I236" s="423">
        <f>H236/B236</f>
        <v>0</v>
      </c>
      <c r="J236" s="2"/>
      <c r="K236" s="46"/>
      <c r="L236" s="46"/>
      <c r="M236" s="46"/>
      <c r="N236" s="46"/>
      <c r="O236" s="46"/>
      <c r="P236" s="46"/>
      <c r="Q236" s="46"/>
      <c r="R236" s="46"/>
      <c r="S236" s="46"/>
      <c r="T236" s="2"/>
    </row>
    <row r="237" spans="1:20" outlineLevel="1">
      <c r="A237" s="118" t="s">
        <v>210</v>
      </c>
      <c r="B237" s="117">
        <f>VLOOKUP($A237,'LEVEL 2.1'!$A$13:$K$317,11,FALSE)</f>
        <v>2847338.28</v>
      </c>
      <c r="C237" s="182"/>
      <c r="E237" s="117">
        <f>VLOOKUP($A237,'LEVEL 3'!$A$13:$K$317,11,FALSE)</f>
        <v>2847338.28</v>
      </c>
      <c r="F237" s="182"/>
      <c r="G237" s="2"/>
      <c r="H237" s="138">
        <f t="shared" si="17"/>
        <v>0</v>
      </c>
      <c r="I237" s="423">
        <f>H237/B237</f>
        <v>0</v>
      </c>
      <c r="J237" s="2"/>
      <c r="K237" s="46"/>
      <c r="L237" s="46"/>
      <c r="M237" s="46"/>
      <c r="N237" s="46"/>
      <c r="O237" s="46"/>
      <c r="P237" s="46"/>
      <c r="Q237" s="46"/>
      <c r="R237" s="46"/>
      <c r="S237" s="46"/>
      <c r="T237" s="2"/>
    </row>
    <row r="238" spans="1:20" outlineLevel="1">
      <c r="A238" s="118" t="s">
        <v>669</v>
      </c>
      <c r="B238" s="117">
        <f>VLOOKUP($A238,'LEVEL 2.1'!$A$13:$K$317,11,FALSE)</f>
        <v>0</v>
      </c>
      <c r="E238" s="117">
        <f>VLOOKUP($A238,'LEVEL 3'!$A$13:$K$317,11,FALSE)</f>
        <v>0</v>
      </c>
      <c r="G238" s="2"/>
      <c r="H238" s="138">
        <f t="shared" si="17"/>
        <v>0</v>
      </c>
      <c r="I238" s="425" t="str">
        <f>IF(B238=0,"n/a",H238/B238)</f>
        <v>n/a</v>
      </c>
      <c r="J238" s="2"/>
      <c r="K238" s="46"/>
      <c r="L238" s="46"/>
      <c r="M238" s="46"/>
      <c r="N238" s="46"/>
      <c r="O238" s="46"/>
      <c r="P238" s="46"/>
      <c r="Q238" s="46"/>
      <c r="R238" s="46"/>
      <c r="S238" s="46"/>
      <c r="T238" s="2"/>
    </row>
    <row r="239" spans="1:20" outlineLevel="1">
      <c r="A239" s="118" t="s">
        <v>670</v>
      </c>
      <c r="B239" s="117">
        <f>VLOOKUP($A239,'LEVEL 2.1'!$A$13:$K$317,11,FALSE)</f>
        <v>0</v>
      </c>
      <c r="E239" s="117">
        <f>VLOOKUP($A239,'LEVEL 3'!$A$13:$K$317,11,FALSE)</f>
        <v>0</v>
      </c>
      <c r="G239" s="2"/>
      <c r="H239" s="138">
        <f t="shared" si="17"/>
        <v>0</v>
      </c>
      <c r="I239" s="425" t="str">
        <f>IF(B239=0,"n/a",H239/B239)</f>
        <v>n/a</v>
      </c>
      <c r="J239" s="2"/>
      <c r="K239" s="46"/>
      <c r="L239" s="46"/>
      <c r="M239" s="46"/>
      <c r="N239" s="46"/>
      <c r="O239" s="46"/>
      <c r="P239" s="46"/>
      <c r="Q239" s="46"/>
      <c r="R239" s="46"/>
      <c r="S239" s="46"/>
      <c r="T239" s="2"/>
    </row>
    <row r="240" spans="1:20" outlineLevel="1">
      <c r="A240" s="118" t="s">
        <v>672</v>
      </c>
      <c r="B240" s="117">
        <f>VLOOKUP($A240,'LEVEL 2.1'!$A$13:$K$317,11,FALSE)</f>
        <v>5000</v>
      </c>
      <c r="E240" s="117">
        <f>VLOOKUP($A240,'LEVEL 3'!$A$13:$K$317,11,FALSE)</f>
        <v>5000</v>
      </c>
      <c r="G240" s="2"/>
      <c r="H240" s="138">
        <f t="shared" si="17"/>
        <v>0</v>
      </c>
      <c r="I240" s="423">
        <f>H240/B240</f>
        <v>0</v>
      </c>
      <c r="J240" s="2"/>
      <c r="K240" s="46"/>
      <c r="L240" s="46"/>
      <c r="M240" s="46"/>
      <c r="N240" s="46"/>
      <c r="O240" s="46"/>
      <c r="P240" s="46"/>
      <c r="Q240" s="46"/>
      <c r="R240" s="46"/>
      <c r="S240" s="46"/>
      <c r="T240" s="2"/>
    </row>
    <row r="241" spans="1:23" outlineLevel="1">
      <c r="A241" s="118" t="s">
        <v>674</v>
      </c>
      <c r="B241" s="117">
        <f>VLOOKUP($A241,'LEVEL 2.1'!$A$13:$K$317,11,FALSE)</f>
        <v>341251.0625</v>
      </c>
      <c r="E241" s="117">
        <f>VLOOKUP($A241,'LEVEL 3'!$A$13:$K$317,11,FALSE)</f>
        <v>385892</v>
      </c>
      <c r="G241" s="2"/>
      <c r="H241" s="138">
        <f t="shared" si="17"/>
        <v>-44640.9375</v>
      </c>
      <c r="I241" s="423">
        <f>H241/B241</f>
        <v>-0.1308155267648434</v>
      </c>
      <c r="J241" s="2"/>
      <c r="K241" s="88" t="s">
        <v>878</v>
      </c>
      <c r="L241" s="46"/>
      <c r="M241" s="46"/>
      <c r="N241" s="46"/>
      <c r="O241" s="46"/>
      <c r="P241" s="46"/>
      <c r="Q241" s="46"/>
      <c r="R241" s="46"/>
      <c r="S241" s="46"/>
      <c r="T241" s="2"/>
    </row>
    <row r="242" spans="1:23" outlineLevel="1">
      <c r="A242" s="118" t="s">
        <v>675</v>
      </c>
      <c r="B242" s="117">
        <f>VLOOKUP($A242,'LEVEL 2.1'!$A$13:$K$317,11,FALSE)</f>
        <v>45316</v>
      </c>
      <c r="E242" s="117">
        <f>VLOOKUP($A242,'LEVEL 3'!$A$13:$K$317,11,FALSE)</f>
        <v>27195</v>
      </c>
      <c r="G242" s="2"/>
      <c r="H242" s="138">
        <f t="shared" si="17"/>
        <v>18121</v>
      </c>
      <c r="I242" s="423">
        <f>H242/B242</f>
        <v>0.39988083679053754</v>
      </c>
      <c r="J242" s="2"/>
      <c r="K242" s="88" t="s">
        <v>878</v>
      </c>
      <c r="L242" s="46"/>
      <c r="M242" s="46"/>
      <c r="N242" s="46"/>
      <c r="O242" s="46"/>
      <c r="P242" s="46"/>
      <c r="Q242" s="46"/>
      <c r="R242" s="46"/>
      <c r="S242" s="46"/>
      <c r="T242" s="2"/>
    </row>
    <row r="243" spans="1:23" outlineLevel="1">
      <c r="A243" s="118" t="s">
        <v>676</v>
      </c>
      <c r="B243" s="117">
        <f>VLOOKUP($A243,'LEVEL 2.1'!$A$13:$K$317,11,FALSE)</f>
        <v>25863</v>
      </c>
      <c r="E243" s="117">
        <f>VLOOKUP($A243,'LEVEL 3'!$A$13:$K$317,11,FALSE)</f>
        <v>0</v>
      </c>
      <c r="G243" s="2"/>
      <c r="H243" s="138">
        <f t="shared" si="17"/>
        <v>25863</v>
      </c>
      <c r="I243" s="423">
        <f>H243/B243</f>
        <v>1</v>
      </c>
      <c r="J243" s="2"/>
      <c r="K243" s="88" t="s">
        <v>878</v>
      </c>
      <c r="L243" s="46"/>
      <c r="M243" s="46"/>
      <c r="N243" s="46"/>
      <c r="O243" s="46"/>
      <c r="P243" s="46"/>
      <c r="Q243" s="46"/>
      <c r="R243" s="46"/>
      <c r="S243" s="46"/>
      <c r="T243" s="2"/>
    </row>
    <row r="244" spans="1:23" s="155" customFormat="1" outlineLevel="1">
      <c r="A244" s="118" t="s">
        <v>677</v>
      </c>
      <c r="B244" s="117">
        <f>VLOOKUP($A244,'LEVEL 2.1'!$A$13:$K$317,11,FALSE)</f>
        <v>0</v>
      </c>
      <c r="C244" s="3"/>
      <c r="D244" s="3"/>
      <c r="E244" s="117">
        <f>VLOOKUP($A244,'LEVEL 3'!$A$13:$K$317,11,FALSE)</f>
        <v>0</v>
      </c>
      <c r="F244" s="3"/>
      <c r="G244" s="2"/>
      <c r="H244" s="117">
        <f t="shared" si="17"/>
        <v>0</v>
      </c>
      <c r="I244" s="425" t="str">
        <f>IF(B244=0,"n/a",H244/B244)</f>
        <v>n/a</v>
      </c>
      <c r="J244" s="2"/>
      <c r="K244" s="46"/>
      <c r="L244" s="46"/>
      <c r="M244" s="150"/>
      <c r="N244" s="150"/>
      <c r="O244" s="150"/>
      <c r="P244" s="150"/>
      <c r="Q244" s="150"/>
      <c r="R244" s="150"/>
      <c r="S244" s="150"/>
      <c r="T244" s="154"/>
    </row>
    <row r="245" spans="1:23">
      <c r="A245" s="347" t="s">
        <v>679</v>
      </c>
      <c r="B245" s="110"/>
      <c r="C245" s="445">
        <f>SUM(B208:B244)</f>
        <v>5896648.9249999989</v>
      </c>
      <c r="E245" s="110"/>
      <c r="F245" s="445">
        <f>SUM(E208:E244)</f>
        <v>6828005.8100000005</v>
      </c>
      <c r="G245" s="2"/>
      <c r="H245" s="448">
        <f>C245-F245</f>
        <v>-931356.88500000164</v>
      </c>
      <c r="I245" s="446">
        <f>H245/C245</f>
        <v>-0.1579468095940614</v>
      </c>
      <c r="J245" s="2"/>
      <c r="K245" s="373"/>
      <c r="L245" s="373"/>
      <c r="M245" s="373"/>
      <c r="N245" s="373"/>
      <c r="O245" s="373"/>
      <c r="P245" s="373"/>
      <c r="Q245" s="373"/>
      <c r="R245" s="373"/>
      <c r="S245" s="373"/>
      <c r="T245" s="2"/>
    </row>
    <row r="246" spans="1:23" outlineLevel="1">
      <c r="A246" s="118" t="s">
        <v>238</v>
      </c>
      <c r="B246" s="117">
        <f>VLOOKUP($A246,'LEVEL 2.1'!$A$13:$K$317,11,FALSE)</f>
        <v>136125</v>
      </c>
      <c r="C246" s="182"/>
      <c r="E246" s="117">
        <f>VLOOKUP($A246,'LEVEL 3'!$A$13:$K$317,11,FALSE)</f>
        <v>136125</v>
      </c>
      <c r="F246" s="182"/>
      <c r="G246" s="2"/>
      <c r="H246" s="117">
        <f t="shared" ref="H246:H261" si="19">B246-E246</f>
        <v>0</v>
      </c>
      <c r="I246" s="423">
        <f>H246/B246</f>
        <v>0</v>
      </c>
      <c r="J246" s="2"/>
      <c r="K246" s="88"/>
      <c r="L246" s="88"/>
      <c r="M246" s="88"/>
      <c r="N246" s="88"/>
      <c r="O246" s="88"/>
      <c r="P246" s="88"/>
      <c r="Q246" s="88"/>
      <c r="R246" s="88"/>
      <c r="S246" s="88"/>
      <c r="T246" s="2"/>
      <c r="U246" s="3">
        <v>136125</v>
      </c>
      <c r="V246" s="182">
        <f>B246-U246</f>
        <v>0</v>
      </c>
    </row>
    <row r="247" spans="1:23" outlineLevel="1">
      <c r="A247" s="137" t="s">
        <v>682</v>
      </c>
      <c r="B247" s="117">
        <f>VLOOKUP($A247,'LEVEL 2.1'!$A$13:$K$317,11,FALSE)</f>
        <v>10000</v>
      </c>
      <c r="C247" s="182"/>
      <c r="E247" s="117">
        <f>VLOOKUP($A247,'LEVEL 3'!$A$13:$K$317,11,FALSE)</f>
        <v>10000</v>
      </c>
      <c r="F247" s="182"/>
      <c r="G247" s="2"/>
      <c r="H247" s="138">
        <f t="shared" si="19"/>
        <v>0</v>
      </c>
      <c r="I247" s="425">
        <f>IF(B247=0,"n/a",H247/B247)</f>
        <v>0</v>
      </c>
      <c r="J247" s="2"/>
      <c r="K247" s="46"/>
      <c r="L247" s="46"/>
      <c r="M247" s="46"/>
      <c r="N247" s="46"/>
      <c r="O247" s="46"/>
      <c r="P247" s="46"/>
      <c r="Q247" s="46"/>
      <c r="R247" s="46"/>
      <c r="S247" s="46"/>
      <c r="T247" s="2"/>
      <c r="U247" s="3">
        <v>10000</v>
      </c>
      <c r="V247" s="182">
        <f t="shared" ref="V247:V261" si="20">B247-U247</f>
        <v>0</v>
      </c>
    </row>
    <row r="248" spans="1:23" outlineLevel="1">
      <c r="A248" s="137" t="s">
        <v>684</v>
      </c>
      <c r="B248" s="117">
        <f>VLOOKUP($A248,'LEVEL 2.1'!$A$13:$K$317,11,FALSE)</f>
        <v>1292500.98</v>
      </c>
      <c r="C248" s="182"/>
      <c r="E248" s="117">
        <f>VLOOKUP($A248,'LEVEL 3'!$A$13:$K$317,11,FALSE)</f>
        <v>969787</v>
      </c>
      <c r="F248" s="182"/>
      <c r="G248" s="2"/>
      <c r="H248" s="138">
        <f t="shared" si="19"/>
        <v>322713.98</v>
      </c>
      <c r="I248" s="423">
        <f>H248/B248</f>
        <v>0.24968180681766292</v>
      </c>
      <c r="J248" s="2"/>
      <c r="K248" s="88" t="s">
        <v>878</v>
      </c>
      <c r="L248" s="46"/>
      <c r="M248" s="46"/>
      <c r="N248" s="46"/>
      <c r="O248" s="46"/>
      <c r="P248" s="46"/>
      <c r="Q248" s="46"/>
      <c r="R248" s="46"/>
      <c r="S248" s="46"/>
      <c r="T248" s="2"/>
      <c r="U248" s="3">
        <v>1306636</v>
      </c>
      <c r="V248" s="182">
        <f t="shared" si="20"/>
        <v>-14135.020000000019</v>
      </c>
    </row>
    <row r="249" spans="1:23" outlineLevel="1">
      <c r="A249" s="137" t="s">
        <v>686</v>
      </c>
      <c r="B249" s="117">
        <f>VLOOKUP($A249,'LEVEL 2.1'!$A$13:$K$317,11,FALSE)</f>
        <v>516087</v>
      </c>
      <c r="C249" s="182"/>
      <c r="E249" s="117">
        <f>VLOOKUP($A249,'LEVEL 3'!$A$13:$K$317,11,FALSE)</f>
        <v>285724</v>
      </c>
      <c r="F249" s="182"/>
      <c r="G249" s="2"/>
      <c r="H249" s="138">
        <f t="shared" si="19"/>
        <v>230363</v>
      </c>
      <c r="I249" s="423">
        <f>H249/B249</f>
        <v>0.44636466332226932</v>
      </c>
      <c r="J249" s="2"/>
      <c r="K249" s="88" t="s">
        <v>878</v>
      </c>
      <c r="L249" s="46"/>
      <c r="M249" s="46"/>
      <c r="N249" s="46"/>
      <c r="O249" s="46"/>
      <c r="P249" s="46"/>
      <c r="Q249" s="46"/>
      <c r="R249" s="46"/>
      <c r="S249" s="46"/>
      <c r="T249" s="2"/>
      <c r="U249" s="3">
        <v>823398</v>
      </c>
      <c r="V249" s="182">
        <f t="shared" si="20"/>
        <v>-307311</v>
      </c>
      <c r="W249" s="69"/>
    </row>
    <row r="250" spans="1:23" outlineLevel="1">
      <c r="A250" s="137" t="s">
        <v>688</v>
      </c>
      <c r="B250" s="117">
        <f>VLOOKUP($A250,'LEVEL 2.1'!$A$13:$K$317,11,FALSE)</f>
        <v>25000</v>
      </c>
      <c r="C250" s="182"/>
      <c r="E250" s="117">
        <f>VLOOKUP($A250,'LEVEL 3'!$A$13:$K$317,11,FALSE)</f>
        <v>19814</v>
      </c>
      <c r="F250" s="182"/>
      <c r="G250" s="2"/>
      <c r="H250" s="138">
        <f t="shared" si="19"/>
        <v>5186</v>
      </c>
      <c r="I250" s="425">
        <f>IF(B250=0,"n/a",H250/B250)</f>
        <v>0.20744000000000001</v>
      </c>
      <c r="J250" s="2"/>
      <c r="K250" s="88" t="s">
        <v>878</v>
      </c>
      <c r="L250" s="46"/>
      <c r="M250" s="46"/>
      <c r="N250" s="46"/>
      <c r="O250" s="46"/>
      <c r="P250" s="46"/>
      <c r="Q250" s="46"/>
      <c r="R250" s="46"/>
      <c r="S250" s="46"/>
      <c r="T250" s="2"/>
      <c r="U250" s="3">
        <v>50000</v>
      </c>
      <c r="V250" s="182">
        <f t="shared" si="20"/>
        <v>-25000</v>
      </c>
    </row>
    <row r="251" spans="1:23" outlineLevel="1">
      <c r="A251" s="137" t="s">
        <v>690</v>
      </c>
      <c r="B251" s="117">
        <f>VLOOKUP($A251,'LEVEL 2.1'!$A$13:$K$317,11,FALSE)</f>
        <v>5000</v>
      </c>
      <c r="C251" s="182"/>
      <c r="E251" s="117">
        <f>VLOOKUP($A251,'LEVEL 3'!$A$13:$K$317,11,FALSE)</f>
        <v>5000</v>
      </c>
      <c r="F251" s="182"/>
      <c r="G251" s="2"/>
      <c r="H251" s="138">
        <f t="shared" si="19"/>
        <v>0</v>
      </c>
      <c r="I251" s="423">
        <f>H251/B251</f>
        <v>0</v>
      </c>
      <c r="J251" s="2"/>
      <c r="K251" s="46"/>
      <c r="L251" s="46"/>
      <c r="M251" s="46"/>
      <c r="N251" s="46"/>
      <c r="O251" s="46"/>
      <c r="P251" s="46"/>
      <c r="Q251" s="46"/>
      <c r="R251" s="46"/>
      <c r="S251" s="46"/>
      <c r="T251" s="2"/>
      <c r="U251" s="3">
        <v>5000</v>
      </c>
      <c r="V251" s="182">
        <f t="shared" si="20"/>
        <v>0</v>
      </c>
    </row>
    <row r="252" spans="1:23" s="155" customFormat="1" outlineLevel="1">
      <c r="A252" s="137" t="s">
        <v>692</v>
      </c>
      <c r="B252" s="117">
        <f>VLOOKUP($A252,'LEVEL 2.1'!$A$13:$K$317,11,FALSE)</f>
        <v>0</v>
      </c>
      <c r="C252" s="182"/>
      <c r="D252" s="3"/>
      <c r="E252" s="117">
        <f>VLOOKUP($A252,'LEVEL 3'!$A$13:$K$317,11,FALSE)</f>
        <v>0</v>
      </c>
      <c r="F252" s="182"/>
      <c r="G252" s="2"/>
      <c r="H252" s="138">
        <f t="shared" si="19"/>
        <v>0</v>
      </c>
      <c r="I252" s="425" t="str">
        <f>IF(B252=0,"n/a",H252/B252)</f>
        <v>n/a</v>
      </c>
      <c r="J252" s="2"/>
      <c r="K252" s="46"/>
      <c r="L252" s="150"/>
      <c r="M252" s="150"/>
      <c r="N252" s="150"/>
      <c r="O252" s="150"/>
      <c r="P252" s="150"/>
      <c r="Q252" s="150"/>
      <c r="R252" s="150"/>
      <c r="S252" s="150"/>
      <c r="T252" s="154"/>
      <c r="U252" s="155">
        <v>0</v>
      </c>
      <c r="V252" s="182">
        <f t="shared" si="20"/>
        <v>0</v>
      </c>
    </row>
    <row r="253" spans="1:23" outlineLevel="1">
      <c r="A253" s="118" t="s">
        <v>694</v>
      </c>
      <c r="B253" s="117">
        <f>VLOOKUP($A253,'LEVEL 2.1'!$A$13:$K$317,11,FALSE)</f>
        <v>350575.2</v>
      </c>
      <c r="C253" s="182"/>
      <c r="E253" s="117">
        <f>VLOOKUP($A253,'LEVEL 3'!$A$13:$K$317,11,FALSE)</f>
        <v>411575</v>
      </c>
      <c r="F253" s="182"/>
      <c r="G253" s="2"/>
      <c r="H253" s="138">
        <f t="shared" si="19"/>
        <v>-60999.799999999988</v>
      </c>
      <c r="I253" s="423">
        <f>H253/B253</f>
        <v>-0.17399918762080144</v>
      </c>
      <c r="J253" s="2"/>
      <c r="K253" s="88" t="s">
        <v>878</v>
      </c>
      <c r="L253" s="46"/>
      <c r="M253" s="46"/>
      <c r="N253" s="46"/>
      <c r="O253" s="46"/>
      <c r="P253" s="46"/>
      <c r="Q253" s="46"/>
      <c r="R253" s="46"/>
      <c r="S253" s="46"/>
      <c r="T253" s="2"/>
      <c r="U253" s="3">
        <v>452076</v>
      </c>
      <c r="V253" s="182">
        <f t="shared" si="20"/>
        <v>-101500.79999999999</v>
      </c>
    </row>
    <row r="254" spans="1:23" outlineLevel="1">
      <c r="A254" s="118" t="s">
        <v>696</v>
      </c>
      <c r="B254" s="117">
        <f>VLOOKUP($A254,'LEVEL 2.1'!$A$13:$K$317,11,FALSE)</f>
        <v>25000</v>
      </c>
      <c r="E254" s="117">
        <f>VLOOKUP($A254,'LEVEL 3'!$A$13:$K$317,11,FALSE)</f>
        <v>25000</v>
      </c>
      <c r="G254" s="2"/>
      <c r="H254" s="138">
        <f t="shared" si="19"/>
        <v>0</v>
      </c>
      <c r="I254" s="425">
        <f>IF(B254=0,"n/a",H254/B254)</f>
        <v>0</v>
      </c>
      <c r="J254" s="2"/>
      <c r="K254" s="46"/>
      <c r="L254" s="46"/>
      <c r="M254" s="46"/>
      <c r="N254" s="46"/>
      <c r="O254" s="46"/>
      <c r="P254" s="46"/>
      <c r="Q254" s="46"/>
      <c r="R254" s="46"/>
      <c r="S254" s="46"/>
      <c r="T254" s="2"/>
      <c r="U254" s="3">
        <v>0</v>
      </c>
      <c r="V254" s="182">
        <f t="shared" si="20"/>
        <v>25000</v>
      </c>
    </row>
    <row r="255" spans="1:23" outlineLevel="1">
      <c r="A255" s="118" t="s">
        <v>698</v>
      </c>
      <c r="B255" s="117">
        <f>VLOOKUP($A255,'LEVEL 2.1'!$A$13:$K$317,11,FALSE)</f>
        <v>15600</v>
      </c>
      <c r="E255" s="117">
        <f>VLOOKUP($A255,'LEVEL 3'!$A$13:$K$317,11,FALSE)</f>
        <v>15600</v>
      </c>
      <c r="G255" s="2"/>
      <c r="H255" s="138">
        <f t="shared" si="19"/>
        <v>0</v>
      </c>
      <c r="I255" s="425">
        <f>IF(B255=0,"n/a",H255/B255)</f>
        <v>0</v>
      </c>
      <c r="J255" s="2"/>
      <c r="K255" s="46"/>
      <c r="L255" s="46"/>
      <c r="M255" s="46"/>
      <c r="N255" s="46"/>
      <c r="O255" s="46"/>
      <c r="P255" s="46"/>
      <c r="Q255" s="46"/>
      <c r="R255" s="46"/>
      <c r="S255" s="46"/>
      <c r="T255" s="2"/>
      <c r="U255" s="3">
        <v>15600</v>
      </c>
      <c r="V255" s="182">
        <f t="shared" si="20"/>
        <v>0</v>
      </c>
    </row>
    <row r="256" spans="1:23" outlineLevel="1">
      <c r="A256" s="118" t="s">
        <v>700</v>
      </c>
      <c r="B256" s="117">
        <f>VLOOKUP($A256,'LEVEL 2.1'!$A$13:$K$317,11,FALSE)</f>
        <v>0</v>
      </c>
      <c r="E256" s="117">
        <f>VLOOKUP($A256,'LEVEL 3'!$A$13:$K$317,11,FALSE)</f>
        <v>0</v>
      </c>
      <c r="G256" s="2"/>
      <c r="H256" s="138">
        <f t="shared" si="19"/>
        <v>0</v>
      </c>
      <c r="I256" s="425" t="str">
        <f>IF(B256=0,"n/a",H256/B256)</f>
        <v>n/a</v>
      </c>
      <c r="J256" s="2"/>
      <c r="K256" s="46"/>
      <c r="L256" s="46"/>
      <c r="M256" s="46"/>
      <c r="N256" s="46"/>
      <c r="O256" s="46"/>
      <c r="P256" s="46"/>
      <c r="Q256" s="46"/>
      <c r="R256" s="46"/>
      <c r="S256" s="46"/>
      <c r="T256" s="2"/>
      <c r="U256" s="3">
        <v>0</v>
      </c>
      <c r="V256" s="182">
        <f t="shared" si="20"/>
        <v>0</v>
      </c>
    </row>
    <row r="257" spans="1:22" outlineLevel="1">
      <c r="A257" s="118" t="s">
        <v>702</v>
      </c>
      <c r="B257" s="117">
        <f>VLOOKUP($A257,'LEVEL 2.1'!$A$13:$K$317,11,FALSE)</f>
        <v>0</v>
      </c>
      <c r="E257" s="117">
        <f>VLOOKUP($A257,'LEVEL 3'!$A$13:$K$317,11,FALSE)</f>
        <v>0</v>
      </c>
      <c r="G257" s="2"/>
      <c r="H257" s="138">
        <f t="shared" si="19"/>
        <v>0</v>
      </c>
      <c r="I257" s="425" t="str">
        <f>IF(B257=0,"n/a",H257/B257)</f>
        <v>n/a</v>
      </c>
      <c r="J257" s="2"/>
      <c r="K257" s="46"/>
      <c r="L257" s="46"/>
      <c r="M257" s="46"/>
      <c r="N257" s="46"/>
      <c r="O257" s="46"/>
      <c r="P257" s="46"/>
      <c r="Q257" s="46"/>
      <c r="R257" s="46"/>
      <c r="S257" s="46"/>
      <c r="T257" s="2"/>
      <c r="U257" s="3">
        <v>0</v>
      </c>
      <c r="V257" s="182">
        <f t="shared" si="20"/>
        <v>0</v>
      </c>
    </row>
    <row r="258" spans="1:22" outlineLevel="1">
      <c r="A258" s="118" t="s">
        <v>704</v>
      </c>
      <c r="B258" s="117">
        <f>VLOOKUP($A258,'LEVEL 2.1'!$A$13:$K$317,11,FALSE)</f>
        <v>387993.65</v>
      </c>
      <c r="C258" s="182"/>
      <c r="E258" s="117">
        <f>VLOOKUP($A258,'LEVEL 3'!$A$13:$K$317,11,FALSE)</f>
        <v>402748</v>
      </c>
      <c r="F258" s="182"/>
      <c r="G258" s="2"/>
      <c r="H258" s="138">
        <f t="shared" si="19"/>
        <v>-14754.349999999977</v>
      </c>
      <c r="I258" s="423">
        <f>H258/B258</f>
        <v>-3.8027297611700539E-2</v>
      </c>
      <c r="J258" s="2"/>
      <c r="K258" s="88" t="s">
        <v>878</v>
      </c>
      <c r="L258" s="46"/>
      <c r="M258" s="46"/>
      <c r="N258" s="46"/>
      <c r="O258" s="46"/>
      <c r="P258" s="46"/>
      <c r="Q258" s="46"/>
      <c r="R258" s="46"/>
      <c r="S258" s="46"/>
      <c r="T258" s="2"/>
      <c r="U258" s="3">
        <v>345550</v>
      </c>
      <c r="V258" s="182">
        <f t="shared" si="20"/>
        <v>42443.650000000023</v>
      </c>
    </row>
    <row r="259" spans="1:22" outlineLevel="1">
      <c r="A259" s="118" t="s">
        <v>705</v>
      </c>
      <c r="B259" s="117">
        <f>VLOOKUP($A259,'LEVEL 2.1'!$A$13:$K$317,11,FALSE)</f>
        <v>91720</v>
      </c>
      <c r="C259" s="182"/>
      <c r="E259" s="117">
        <f>VLOOKUP($A259,'LEVEL 3'!$A$13:$K$317,11,FALSE)</f>
        <v>51375</v>
      </c>
      <c r="F259" s="182"/>
      <c r="G259" s="2"/>
      <c r="H259" s="138">
        <f t="shared" si="19"/>
        <v>40345</v>
      </c>
      <c r="I259" s="423">
        <f>H259/B259</f>
        <v>0.43987134757959007</v>
      </c>
      <c r="J259" s="2"/>
      <c r="K259" s="88" t="s">
        <v>878</v>
      </c>
      <c r="L259" s="46"/>
      <c r="M259" s="46"/>
      <c r="N259" s="46"/>
      <c r="O259" s="46"/>
      <c r="P259" s="46"/>
      <c r="Q259" s="46"/>
      <c r="R259" s="46"/>
      <c r="S259" s="46"/>
      <c r="T259" s="2"/>
      <c r="U259" s="3">
        <v>75000</v>
      </c>
      <c r="V259" s="182">
        <f t="shared" si="20"/>
        <v>16720</v>
      </c>
    </row>
    <row r="260" spans="1:22" outlineLevel="1">
      <c r="A260" s="118" t="s">
        <v>706</v>
      </c>
      <c r="B260" s="117">
        <f>VLOOKUP($A260,'LEVEL 2.1'!$A$13:$K$317,11,FALSE)</f>
        <v>25000</v>
      </c>
      <c r="C260" s="182"/>
      <c r="E260" s="117">
        <f>VLOOKUP($A260,'LEVEL 3'!$A$13:$K$317,11,FALSE)</f>
        <v>25000</v>
      </c>
      <c r="F260" s="182"/>
      <c r="G260" s="2"/>
      <c r="H260" s="138">
        <f t="shared" si="19"/>
        <v>0</v>
      </c>
      <c r="I260" s="425">
        <f>IF(B260=0,"n/a",H260/B260)</f>
        <v>0</v>
      </c>
      <c r="J260" s="2"/>
      <c r="K260" s="46"/>
      <c r="L260" s="46"/>
      <c r="M260" s="46"/>
      <c r="N260" s="46"/>
      <c r="O260" s="46"/>
      <c r="P260" s="46"/>
      <c r="Q260" s="46"/>
      <c r="R260" s="46"/>
      <c r="S260" s="46"/>
      <c r="T260" s="2"/>
      <c r="U260" s="3">
        <v>25000</v>
      </c>
      <c r="V260" s="182">
        <f t="shared" si="20"/>
        <v>0</v>
      </c>
    </row>
    <row r="261" spans="1:22" outlineLevel="1">
      <c r="A261" s="118" t="s">
        <v>707</v>
      </c>
      <c r="B261" s="117">
        <f>VLOOKUP($A261,'LEVEL 2.1'!$A$13:$K$317,11,FALSE)</f>
        <v>61000</v>
      </c>
      <c r="C261" s="182"/>
      <c r="E261" s="117">
        <f>VLOOKUP($A261,'LEVEL 3'!$A$13:$K$317,11,FALSE)</f>
        <v>61000</v>
      </c>
      <c r="F261" s="182"/>
      <c r="G261" s="2"/>
      <c r="H261" s="117">
        <f t="shared" si="19"/>
        <v>0</v>
      </c>
      <c r="I261" s="424">
        <f>H261/B261</f>
        <v>0</v>
      </c>
      <c r="J261" s="2"/>
      <c r="K261" s="46"/>
      <c r="L261" s="46"/>
      <c r="M261" s="46"/>
      <c r="N261" s="46"/>
      <c r="O261" s="46"/>
      <c r="P261" s="46"/>
      <c r="Q261" s="46"/>
      <c r="R261" s="46"/>
      <c r="S261" s="46"/>
      <c r="T261" s="2"/>
      <c r="U261" s="3">
        <v>61000</v>
      </c>
      <c r="V261" s="182">
        <f t="shared" si="20"/>
        <v>0</v>
      </c>
    </row>
    <row r="262" spans="1:22">
      <c r="A262" s="347" t="s">
        <v>708</v>
      </c>
      <c r="B262" s="110"/>
      <c r="C262" s="445">
        <f>SUM(B246:B261)</f>
        <v>2941601.83</v>
      </c>
      <c r="E262" s="110"/>
      <c r="F262" s="445">
        <f>SUM(E246:E261)</f>
        <v>2418748</v>
      </c>
      <c r="G262" s="2"/>
      <c r="H262" s="448">
        <f>C262-F262</f>
        <v>522853.83000000007</v>
      </c>
      <c r="I262" s="446">
        <f>H262/C262</f>
        <v>0.17774459638543263</v>
      </c>
      <c r="J262" s="2"/>
      <c r="K262" s="373"/>
      <c r="L262" s="373"/>
      <c r="M262" s="373"/>
      <c r="N262" s="373"/>
      <c r="O262" s="373"/>
      <c r="P262" s="373"/>
      <c r="Q262" s="373"/>
      <c r="R262" s="373"/>
      <c r="S262" s="373"/>
      <c r="T262" s="2"/>
    </row>
    <row r="263" spans="1:22" hidden="1" outlineLevel="1">
      <c r="A263" s="118" t="s">
        <v>710</v>
      </c>
      <c r="B263" s="117">
        <f>VLOOKUP($A263,'LEVEL 2.1'!$A$13:$K$317,11,FALSE)</f>
        <v>1188500</v>
      </c>
      <c r="C263" s="360"/>
      <c r="E263" s="117">
        <f>VLOOKUP($A263,'LEVEL 3'!$A$13:$K$317,11,FALSE)</f>
        <v>1188500</v>
      </c>
      <c r="F263" s="360"/>
      <c r="G263" s="2"/>
      <c r="H263" s="117">
        <f>B263-E263</f>
        <v>0</v>
      </c>
      <c r="I263" s="424">
        <f>H263/B263</f>
        <v>0</v>
      </c>
      <c r="J263" s="2"/>
      <c r="K263" s="88"/>
      <c r="L263" s="88"/>
      <c r="M263" s="88"/>
      <c r="N263" s="88"/>
      <c r="O263" s="88"/>
      <c r="P263" s="88"/>
      <c r="Q263" s="88"/>
      <c r="R263" s="88"/>
      <c r="S263" s="88"/>
      <c r="T263" s="2"/>
    </row>
    <row r="264" spans="1:22" hidden="1" outlineLevel="1">
      <c r="A264" s="118" t="s">
        <v>712</v>
      </c>
      <c r="B264" s="117">
        <f>VLOOKUP($A264,'LEVEL 2.1'!$A$13:$K$317,11,FALSE)</f>
        <v>300000</v>
      </c>
      <c r="C264" s="182"/>
      <c r="E264" s="117">
        <f>VLOOKUP($A264,'LEVEL 3'!$A$13:$K$317,11,FALSE)</f>
        <v>300000</v>
      </c>
      <c r="F264" s="182"/>
      <c r="G264" s="2"/>
      <c r="H264" s="117">
        <f>B264-E264</f>
        <v>0</v>
      </c>
      <c r="I264" s="425">
        <f>IF(B264=0,"n/a",H264/B264)</f>
        <v>0</v>
      </c>
      <c r="J264" s="2"/>
      <c r="K264" s="46"/>
      <c r="L264" s="46"/>
      <c r="M264" s="46"/>
      <c r="N264" s="46"/>
      <c r="O264" s="46"/>
      <c r="P264" s="46"/>
      <c r="Q264" s="46"/>
      <c r="R264" s="46"/>
      <c r="S264" s="46"/>
      <c r="T264" s="2"/>
    </row>
    <row r="265" spans="1:22" collapsed="1">
      <c r="A265" s="347" t="s">
        <v>714</v>
      </c>
      <c r="B265" s="110"/>
      <c r="C265" s="445">
        <f>SUM(B263:B264)</f>
        <v>1488500</v>
      </c>
      <c r="E265" s="110"/>
      <c r="F265" s="445">
        <f>SUM(E263:E264)</f>
        <v>1488500</v>
      </c>
      <c r="G265" s="2"/>
      <c r="H265" s="448">
        <f>C265-F265</f>
        <v>0</v>
      </c>
      <c r="I265" s="446">
        <f>H265/C265</f>
        <v>0</v>
      </c>
      <c r="J265" s="2"/>
      <c r="K265" s="373"/>
      <c r="L265" s="373"/>
      <c r="M265" s="373"/>
      <c r="N265" s="373"/>
      <c r="O265" s="373"/>
      <c r="P265" s="373"/>
      <c r="Q265" s="373"/>
      <c r="R265" s="373"/>
      <c r="S265" s="373"/>
      <c r="T265" s="2"/>
    </row>
    <row r="266" spans="1:22" hidden="1" outlineLevel="1">
      <c r="A266" s="118" t="s">
        <v>715</v>
      </c>
      <c r="B266" s="117">
        <f>VLOOKUP($A266,'LEVEL 2.1'!$A$13:$K$317,11,FALSE)</f>
        <v>7500</v>
      </c>
      <c r="E266" s="117">
        <f>VLOOKUP($A266,'LEVEL 3'!$A$13:$K$317,11,FALSE)</f>
        <v>7500</v>
      </c>
      <c r="G266" s="2"/>
      <c r="H266" s="117">
        <f>B266-E266</f>
        <v>0</v>
      </c>
      <c r="I266" s="423">
        <f>H266/B266</f>
        <v>0</v>
      </c>
      <c r="J266" s="2"/>
      <c r="K266" s="88"/>
      <c r="L266" s="88"/>
      <c r="M266" s="88"/>
      <c r="N266" s="88"/>
      <c r="O266" s="88"/>
      <c r="P266" s="88"/>
      <c r="Q266" s="88"/>
      <c r="R266" s="88"/>
      <c r="S266" s="88"/>
      <c r="T266" s="2"/>
    </row>
    <row r="267" spans="1:22" collapsed="1">
      <c r="A267" s="347" t="s">
        <v>717</v>
      </c>
      <c r="B267" s="110"/>
      <c r="C267" s="445">
        <f>SUM(B266)</f>
        <v>7500</v>
      </c>
      <c r="E267" s="110"/>
      <c r="F267" s="445">
        <f>SUM(E266)</f>
        <v>7500</v>
      </c>
      <c r="G267" s="2"/>
      <c r="H267" s="448">
        <f>C267-F267</f>
        <v>0</v>
      </c>
      <c r="I267" s="446">
        <f>H267/C267</f>
        <v>0</v>
      </c>
      <c r="J267" s="2"/>
      <c r="K267" s="373"/>
      <c r="L267" s="373"/>
      <c r="M267" s="373"/>
      <c r="N267" s="373"/>
      <c r="O267" s="373"/>
      <c r="P267" s="373"/>
      <c r="Q267" s="373"/>
      <c r="R267" s="373"/>
      <c r="S267" s="373"/>
      <c r="T267" s="2"/>
    </row>
    <row r="268" spans="1:22" hidden="1" outlineLevel="1">
      <c r="A268" s="111" t="s">
        <v>719</v>
      </c>
      <c r="B268" s="117">
        <f>VLOOKUP($A268,'LEVEL 2.1'!$A$13:$K$317,11,FALSE)</f>
        <v>977434</v>
      </c>
      <c r="E268" s="117">
        <f>VLOOKUP($A268,'LEVEL 3'!$A$13:$K$317,11,FALSE)</f>
        <v>977434</v>
      </c>
      <c r="G268" s="2"/>
      <c r="H268" s="117">
        <f>B268-E268</f>
        <v>0</v>
      </c>
      <c r="I268" s="423">
        <f>H268/B268</f>
        <v>0</v>
      </c>
      <c r="J268" s="2"/>
      <c r="K268" s="88"/>
      <c r="L268" s="88"/>
      <c r="M268" s="88"/>
      <c r="N268" s="88"/>
      <c r="O268" s="88"/>
      <c r="P268" s="88"/>
      <c r="Q268" s="88"/>
      <c r="R268" s="88"/>
      <c r="S268" s="88"/>
      <c r="T268" s="2"/>
    </row>
    <row r="269" spans="1:22" hidden="1" outlineLevel="1">
      <c r="A269" s="118" t="s">
        <v>722</v>
      </c>
      <c r="B269" s="117">
        <f>VLOOKUP($A269,'LEVEL 2.1'!$A$13:$K$317,11,FALSE)</f>
        <v>50000</v>
      </c>
      <c r="C269" s="182"/>
      <c r="E269" s="117">
        <f>VLOOKUP($A269,'LEVEL 3'!$A$13:$K$317,11,FALSE)</f>
        <v>50000</v>
      </c>
      <c r="F269" s="182"/>
      <c r="G269" s="2"/>
      <c r="H269" s="138">
        <f>B269-E269</f>
        <v>0</v>
      </c>
      <c r="I269" s="423">
        <f>H269/B269</f>
        <v>0</v>
      </c>
      <c r="J269" s="2"/>
      <c r="K269" s="46"/>
      <c r="L269" s="46"/>
      <c r="M269" s="46"/>
      <c r="N269" s="46"/>
      <c r="O269" s="46"/>
      <c r="P269" s="46"/>
      <c r="Q269" s="46"/>
      <c r="R269" s="46"/>
      <c r="S269" s="46"/>
      <c r="T269" s="2"/>
    </row>
    <row r="270" spans="1:22" hidden="1" outlineLevel="1">
      <c r="A270" s="118" t="s">
        <v>724</v>
      </c>
      <c r="B270" s="117">
        <f>VLOOKUP($A270,'LEVEL 2.1'!$A$13:$K$317,11,FALSE)</f>
        <v>50000</v>
      </c>
      <c r="C270" s="182"/>
      <c r="E270" s="117">
        <f>VLOOKUP($A270,'LEVEL 3'!$A$13:$K$317,11,FALSE)</f>
        <v>50000</v>
      </c>
      <c r="F270" s="182"/>
      <c r="G270" s="2"/>
      <c r="H270" s="117">
        <f>B270-E270</f>
        <v>0</v>
      </c>
      <c r="I270" s="425">
        <f>IF(B270=0,"n/a",H270/B270)</f>
        <v>0</v>
      </c>
      <c r="J270" s="2"/>
      <c r="K270" s="46"/>
      <c r="L270" s="46"/>
      <c r="M270" s="46"/>
      <c r="N270" s="46"/>
      <c r="O270" s="46"/>
      <c r="P270" s="46"/>
      <c r="Q270" s="46"/>
      <c r="R270" s="46"/>
      <c r="S270" s="46"/>
      <c r="T270" s="2"/>
    </row>
    <row r="271" spans="1:22" collapsed="1">
      <c r="A271" s="347" t="s">
        <v>726</v>
      </c>
      <c r="B271" s="110"/>
      <c r="C271" s="445">
        <f>SUM(B268:B270)</f>
        <v>1077434</v>
      </c>
      <c r="E271" s="110"/>
      <c r="F271" s="445">
        <f>SUM(E268:E270)</f>
        <v>1077434</v>
      </c>
      <c r="G271" s="2"/>
      <c r="H271" s="448">
        <f>C271-F271</f>
        <v>0</v>
      </c>
      <c r="I271" s="446">
        <f>H271/C271</f>
        <v>0</v>
      </c>
      <c r="J271" s="2"/>
      <c r="K271" s="373"/>
      <c r="L271" s="373"/>
      <c r="M271" s="373"/>
      <c r="N271" s="373"/>
      <c r="O271" s="373"/>
      <c r="P271" s="373"/>
      <c r="Q271" s="373"/>
      <c r="R271" s="373"/>
      <c r="S271" s="373"/>
      <c r="T271" s="2"/>
    </row>
    <row r="272" spans="1:22" hidden="1" outlineLevel="1">
      <c r="A272" s="118" t="s">
        <v>728</v>
      </c>
      <c r="B272" s="117">
        <f>VLOOKUP($A272,'LEVEL 2.1'!$A$13:$K$317,11,FALSE)</f>
        <v>156150</v>
      </c>
      <c r="C272" s="360"/>
      <c r="E272" s="117">
        <f>VLOOKUP($A272,'LEVEL 3'!$A$13:$K$317,11,FALSE)</f>
        <v>156150</v>
      </c>
      <c r="F272" s="360"/>
      <c r="G272" s="2"/>
      <c r="H272" s="117">
        <f t="shared" ref="H272:H280" si="21">B272-E272</f>
        <v>0</v>
      </c>
      <c r="I272" s="424">
        <f t="shared" ref="I272:I280" si="22">H272/B272</f>
        <v>0</v>
      </c>
      <c r="J272" s="2"/>
      <c r="K272" s="88"/>
      <c r="L272" s="88"/>
      <c r="M272" s="88"/>
      <c r="N272" s="88"/>
      <c r="O272" s="88"/>
      <c r="P272" s="88"/>
      <c r="Q272" s="88"/>
      <c r="R272" s="88"/>
      <c r="S272" s="88"/>
      <c r="T272" s="2"/>
    </row>
    <row r="273" spans="1:20" hidden="1" outlineLevel="1">
      <c r="A273" s="118" t="s">
        <v>731</v>
      </c>
      <c r="B273" s="117">
        <f>VLOOKUP($A273,'LEVEL 2.1'!$A$13:$K$317,11,FALSE)</f>
        <v>10000</v>
      </c>
      <c r="E273" s="117">
        <f>VLOOKUP($A273,'LEVEL 3'!$A$13:$K$317,11,FALSE)</f>
        <v>10000</v>
      </c>
      <c r="G273" s="2"/>
      <c r="H273" s="138">
        <f t="shared" si="21"/>
        <v>0</v>
      </c>
      <c r="I273" s="423">
        <f t="shared" si="22"/>
        <v>0</v>
      </c>
      <c r="J273" s="2"/>
      <c r="K273" s="46"/>
      <c r="L273" s="46"/>
      <c r="M273" s="46"/>
      <c r="N273" s="46"/>
      <c r="O273" s="46"/>
      <c r="P273" s="46"/>
      <c r="Q273" s="46"/>
      <c r="R273" s="46"/>
      <c r="S273" s="46"/>
      <c r="T273" s="2"/>
    </row>
    <row r="274" spans="1:20" hidden="1" outlineLevel="1">
      <c r="A274" s="118" t="s">
        <v>733</v>
      </c>
      <c r="B274" s="117">
        <f>VLOOKUP($A274,'LEVEL 2.1'!$A$13:$K$317,11,FALSE)</f>
        <v>5000</v>
      </c>
      <c r="E274" s="117">
        <f>VLOOKUP($A274,'LEVEL 3'!$A$13:$K$317,11,FALSE)</f>
        <v>5000</v>
      </c>
      <c r="G274" s="2"/>
      <c r="H274" s="138">
        <f t="shared" si="21"/>
        <v>0</v>
      </c>
      <c r="I274" s="423">
        <f t="shared" si="22"/>
        <v>0</v>
      </c>
      <c r="J274" s="2"/>
      <c r="K274" s="46"/>
      <c r="L274" s="46"/>
      <c r="M274" s="46"/>
      <c r="N274" s="46"/>
      <c r="O274" s="46"/>
      <c r="P274" s="46"/>
      <c r="Q274" s="46"/>
      <c r="R274" s="46"/>
      <c r="S274" s="46"/>
      <c r="T274" s="2"/>
    </row>
    <row r="275" spans="1:20" hidden="1" outlineLevel="1">
      <c r="A275" s="118" t="s">
        <v>735</v>
      </c>
      <c r="B275" s="117">
        <f>VLOOKUP($A275,'LEVEL 2.1'!$A$13:$K$317,11,FALSE)</f>
        <v>45000</v>
      </c>
      <c r="E275" s="117">
        <f>VLOOKUP($A275,'LEVEL 3'!$A$13:$K$317,11,FALSE)</f>
        <v>45000</v>
      </c>
      <c r="G275" s="2"/>
      <c r="H275" s="138">
        <f t="shared" si="21"/>
        <v>0</v>
      </c>
      <c r="I275" s="423">
        <f t="shared" si="22"/>
        <v>0</v>
      </c>
      <c r="J275" s="2"/>
      <c r="K275" s="46"/>
      <c r="L275" s="46"/>
      <c r="M275" s="46"/>
      <c r="N275" s="46"/>
      <c r="O275" s="46"/>
      <c r="P275" s="46"/>
      <c r="Q275" s="46"/>
      <c r="R275" s="46"/>
      <c r="S275" s="46"/>
      <c r="T275" s="2"/>
    </row>
    <row r="276" spans="1:20" hidden="1" outlineLevel="1">
      <c r="A276" s="118" t="s">
        <v>738</v>
      </c>
      <c r="B276" s="117">
        <f>VLOOKUP($A276,'LEVEL 2.1'!$A$13:$K$317,11,FALSE)</f>
        <v>86750</v>
      </c>
      <c r="E276" s="117">
        <f>VLOOKUP($A276,'LEVEL 3'!$A$13:$K$317,11,FALSE)</f>
        <v>86750</v>
      </c>
      <c r="G276" s="2"/>
      <c r="H276" s="138">
        <f t="shared" si="21"/>
        <v>0</v>
      </c>
      <c r="I276" s="423">
        <f t="shared" si="22"/>
        <v>0</v>
      </c>
      <c r="J276" s="2"/>
      <c r="K276" s="46"/>
      <c r="L276" s="46"/>
      <c r="M276" s="46"/>
      <c r="N276" s="46"/>
      <c r="O276" s="46"/>
      <c r="P276" s="46"/>
      <c r="Q276" s="46"/>
      <c r="R276" s="46"/>
      <c r="S276" s="46"/>
      <c r="T276" s="2"/>
    </row>
    <row r="277" spans="1:20" hidden="1" outlineLevel="1">
      <c r="A277" s="118" t="s">
        <v>740</v>
      </c>
      <c r="B277" s="117">
        <f>VLOOKUP($A277,'LEVEL 2.1'!$A$13:$K$317,11,FALSE)</f>
        <v>86750</v>
      </c>
      <c r="E277" s="117">
        <f>VLOOKUP($A277,'LEVEL 3'!$A$13:$K$317,11,FALSE)</f>
        <v>86750</v>
      </c>
      <c r="G277" s="2"/>
      <c r="H277" s="138">
        <f t="shared" si="21"/>
        <v>0</v>
      </c>
      <c r="I277" s="423">
        <f t="shared" si="22"/>
        <v>0</v>
      </c>
      <c r="J277" s="2"/>
      <c r="K277" s="46"/>
      <c r="L277" s="46"/>
      <c r="M277" s="46"/>
      <c r="N277" s="46"/>
      <c r="O277" s="46"/>
      <c r="P277" s="46"/>
      <c r="Q277" s="46"/>
      <c r="R277" s="46"/>
      <c r="S277" s="46"/>
      <c r="T277" s="2"/>
    </row>
    <row r="278" spans="1:20" hidden="1" outlineLevel="1">
      <c r="A278" s="118" t="s">
        <v>742</v>
      </c>
      <c r="B278" s="117">
        <f>VLOOKUP($A278,'LEVEL 2.1'!$A$13:$K$317,11,FALSE)</f>
        <v>43375</v>
      </c>
      <c r="E278" s="117">
        <f>VLOOKUP($A278,'LEVEL 3'!$A$13:$K$317,11,FALSE)</f>
        <v>43375</v>
      </c>
      <c r="G278" s="2"/>
      <c r="H278" s="138">
        <f t="shared" si="21"/>
        <v>0</v>
      </c>
      <c r="I278" s="423">
        <f t="shared" si="22"/>
        <v>0</v>
      </c>
      <c r="J278" s="2"/>
      <c r="K278" s="46"/>
      <c r="L278" s="46"/>
      <c r="M278" s="46"/>
      <c r="N278" s="46"/>
      <c r="O278" s="46"/>
      <c r="P278" s="46"/>
      <c r="Q278" s="46"/>
      <c r="R278" s="46"/>
      <c r="S278" s="46"/>
      <c r="T278" s="2"/>
    </row>
    <row r="279" spans="1:20" hidden="1" outlineLevel="1">
      <c r="A279" s="118" t="s">
        <v>744</v>
      </c>
      <c r="B279" s="117">
        <f>VLOOKUP($A279,'LEVEL 2.1'!$A$13:$K$317,11,FALSE)</f>
        <v>26025.000000000004</v>
      </c>
      <c r="E279" s="117">
        <f>VLOOKUP($A279,'LEVEL 3'!$A$13:$K$317,11,FALSE)</f>
        <v>26025.000000000004</v>
      </c>
      <c r="G279" s="2"/>
      <c r="H279" s="138">
        <f t="shared" si="21"/>
        <v>0</v>
      </c>
      <c r="I279" s="423">
        <f t="shared" si="22"/>
        <v>0</v>
      </c>
      <c r="J279" s="2"/>
      <c r="K279" s="46"/>
      <c r="L279" s="46"/>
      <c r="M279" s="46"/>
      <c r="N279" s="46"/>
      <c r="O279" s="46"/>
      <c r="P279" s="46"/>
      <c r="Q279" s="46"/>
      <c r="R279" s="46"/>
      <c r="S279" s="46"/>
      <c r="T279" s="2"/>
    </row>
    <row r="280" spans="1:20" hidden="1" outlineLevel="1">
      <c r="A280" s="118" t="s">
        <v>746</v>
      </c>
      <c r="B280" s="117">
        <f>VLOOKUP($A280,'LEVEL 2.1'!$A$13:$K$317,11,FALSE)</f>
        <v>43375</v>
      </c>
      <c r="C280" s="182"/>
      <c r="E280" s="117">
        <f>VLOOKUP($A280,'LEVEL 3'!$A$13:$K$317,11,FALSE)</f>
        <v>43375</v>
      </c>
      <c r="F280" s="182"/>
      <c r="G280" s="2"/>
      <c r="H280" s="117">
        <f t="shared" si="21"/>
        <v>0</v>
      </c>
      <c r="I280" s="423">
        <f t="shared" si="22"/>
        <v>0</v>
      </c>
      <c r="J280" s="2"/>
      <c r="K280" s="46"/>
      <c r="L280" s="46"/>
      <c r="M280" s="46"/>
      <c r="N280" s="46"/>
      <c r="O280" s="46"/>
      <c r="P280" s="46"/>
      <c r="Q280" s="46"/>
      <c r="R280" s="46"/>
      <c r="S280" s="46"/>
      <c r="T280" s="2"/>
    </row>
    <row r="281" spans="1:20" collapsed="1">
      <c r="A281" s="347" t="s">
        <v>748</v>
      </c>
      <c r="B281" s="110"/>
      <c r="C281" s="445">
        <f>SUM(B272:B280)</f>
        <v>502425</v>
      </c>
      <c r="E281" s="110"/>
      <c r="F281" s="445">
        <f>SUM(E272:E280)</f>
        <v>502425</v>
      </c>
      <c r="G281" s="2"/>
      <c r="H281" s="448">
        <f>C281-F281</f>
        <v>0</v>
      </c>
      <c r="I281" s="446">
        <f>H281/C281</f>
        <v>0</v>
      </c>
      <c r="J281" s="2"/>
      <c r="K281" s="373"/>
      <c r="L281" s="373"/>
      <c r="M281" s="373"/>
      <c r="N281" s="373"/>
      <c r="O281" s="373"/>
      <c r="P281" s="373"/>
      <c r="Q281" s="373"/>
      <c r="R281" s="373"/>
      <c r="S281" s="373"/>
      <c r="T281" s="2"/>
    </row>
    <row r="282" spans="1:20" hidden="1" outlineLevel="1">
      <c r="A282" s="118" t="s">
        <v>750</v>
      </c>
      <c r="B282" s="117">
        <f>VLOOKUP($A282,'LEVEL 2.1'!$A$13:$K$317,11,FALSE)</f>
        <v>0</v>
      </c>
      <c r="C282" s="360"/>
      <c r="E282" s="117">
        <f>VLOOKUP($A282,'LEVEL 3'!$A$13:$K$317,11,FALSE)</f>
        <v>0</v>
      </c>
      <c r="F282" s="360"/>
      <c r="G282" s="2"/>
      <c r="H282" s="117">
        <f>B282-E282</f>
        <v>0</v>
      </c>
      <c r="I282" s="425" t="str">
        <f>IF(B282=0,"n/a",H282/B282)</f>
        <v>n/a</v>
      </c>
      <c r="J282" s="2"/>
      <c r="K282" s="88"/>
      <c r="L282" s="88"/>
      <c r="M282" s="88"/>
      <c r="N282" s="88"/>
      <c r="O282" s="88"/>
      <c r="P282" s="88"/>
      <c r="Q282" s="88"/>
      <c r="R282" s="88"/>
      <c r="S282" s="88"/>
      <c r="T282" s="2"/>
    </row>
    <row r="283" spans="1:20" hidden="1" outlineLevel="1">
      <c r="A283" s="118" t="s">
        <v>751</v>
      </c>
      <c r="B283" s="117">
        <f>VLOOKUP($A283,'LEVEL 2.1'!$A$13:$K$317,11,FALSE)</f>
        <v>1097466.1020875506</v>
      </c>
      <c r="C283" s="360"/>
      <c r="E283" s="117">
        <f>VLOOKUP($A283,'LEVEL 3'!$A$13:$K$317,11,FALSE)</f>
        <v>1113111.0294454566</v>
      </c>
      <c r="F283" s="360"/>
      <c r="G283" s="2"/>
      <c r="H283" s="117">
        <f>B283-E283</f>
        <v>-15644.92735790601</v>
      </c>
      <c r="I283" s="424">
        <f>H283/B283</f>
        <v>-1.4255499398247412E-2</v>
      </c>
      <c r="J283" s="2"/>
      <c r="K283" s="46"/>
      <c r="L283" s="46"/>
      <c r="M283" s="46"/>
      <c r="N283" s="46"/>
      <c r="O283" s="46"/>
      <c r="P283" s="46"/>
      <c r="Q283" s="46"/>
      <c r="R283" s="46"/>
      <c r="S283" s="46"/>
      <c r="T283" s="2"/>
    </row>
    <row r="284" spans="1:20" collapsed="1">
      <c r="A284" s="347" t="s">
        <v>752</v>
      </c>
      <c r="B284" s="110"/>
      <c r="C284" s="445">
        <f>SUM(B282:B283)</f>
        <v>1097466.1020875506</v>
      </c>
      <c r="E284" s="110"/>
      <c r="F284" s="445">
        <f>SUM(E282:E283)</f>
        <v>1113111.0294454566</v>
      </c>
      <c r="G284" s="2"/>
      <c r="H284" s="448">
        <f>C284-F284</f>
        <v>-15644.92735790601</v>
      </c>
      <c r="I284" s="446">
        <f>H284/C284</f>
        <v>-1.4255499398247412E-2</v>
      </c>
      <c r="J284" s="2"/>
      <c r="K284" s="373"/>
      <c r="L284" s="373"/>
      <c r="M284" s="373"/>
      <c r="N284" s="373"/>
      <c r="O284" s="373"/>
      <c r="P284" s="373"/>
      <c r="Q284" s="373"/>
      <c r="R284" s="373"/>
      <c r="S284" s="373"/>
      <c r="T284" s="2"/>
    </row>
    <row r="285" spans="1:20" hidden="1" outlineLevel="1">
      <c r="A285" s="118" t="s">
        <v>753</v>
      </c>
      <c r="B285" s="117">
        <f>VLOOKUP($A285,'LEVEL 2.1'!$A$13:$K$317,11,FALSE)</f>
        <v>20000</v>
      </c>
      <c r="C285" s="182"/>
      <c r="E285" s="117">
        <f>VLOOKUP($A285,'LEVEL 3'!$A$13:$K$317,11,FALSE)</f>
        <v>20000</v>
      </c>
      <c r="F285" s="182"/>
      <c r="G285" s="2"/>
      <c r="H285" s="117">
        <f t="shared" ref="H285:H298" si="23">B285-E285</f>
        <v>0</v>
      </c>
      <c r="I285" s="424">
        <f>H285/B285</f>
        <v>0</v>
      </c>
      <c r="J285" s="2"/>
      <c r="K285" s="88"/>
      <c r="L285" s="88"/>
      <c r="M285" s="88"/>
      <c r="N285" s="88"/>
      <c r="O285" s="88"/>
      <c r="P285" s="88"/>
      <c r="Q285" s="88"/>
      <c r="R285" s="88"/>
      <c r="S285" s="88"/>
      <c r="T285" s="2"/>
    </row>
    <row r="286" spans="1:20" hidden="1" outlineLevel="1">
      <c r="A286" s="118" t="s">
        <v>755</v>
      </c>
      <c r="B286" s="117">
        <f>VLOOKUP($A286,'LEVEL 2.1'!$A$13:$K$317,11,FALSE)</f>
        <v>0</v>
      </c>
      <c r="C286" s="182"/>
      <c r="E286" s="117">
        <f>VLOOKUP($A286,'LEVEL 3'!$A$13:$K$317,11,FALSE)</f>
        <v>0</v>
      </c>
      <c r="F286" s="182"/>
      <c r="G286" s="2"/>
      <c r="H286" s="138">
        <f t="shared" si="23"/>
        <v>0</v>
      </c>
      <c r="I286" s="425" t="str">
        <f>IF(B286=0,"n/a",H286/B286)</f>
        <v>n/a</v>
      </c>
      <c r="J286" s="2"/>
      <c r="K286" s="46"/>
      <c r="L286" s="46"/>
      <c r="M286" s="46"/>
      <c r="N286" s="46"/>
      <c r="O286" s="46"/>
      <c r="P286" s="46"/>
      <c r="Q286" s="46"/>
      <c r="R286" s="46"/>
      <c r="S286" s="46"/>
      <c r="T286" s="2"/>
    </row>
    <row r="287" spans="1:20" hidden="1" outlineLevel="1">
      <c r="A287" s="118" t="s">
        <v>757</v>
      </c>
      <c r="B287" s="117">
        <f>VLOOKUP($A287,'LEVEL 2.1'!$A$13:$K$317,11,FALSE)</f>
        <v>0</v>
      </c>
      <c r="C287" s="182"/>
      <c r="E287" s="117">
        <f>VLOOKUP($A287,'LEVEL 3'!$A$13:$K$317,11,FALSE)</f>
        <v>0</v>
      </c>
      <c r="F287" s="182"/>
      <c r="G287" s="2"/>
      <c r="H287" s="138">
        <f t="shared" si="23"/>
        <v>0</v>
      </c>
      <c r="I287" s="423">
        <v>0</v>
      </c>
      <c r="J287" s="2"/>
      <c r="K287" s="46"/>
      <c r="L287" s="46"/>
      <c r="M287" s="46"/>
      <c r="N287" s="46"/>
      <c r="O287" s="46"/>
      <c r="P287" s="46"/>
      <c r="Q287" s="46"/>
      <c r="R287" s="46"/>
      <c r="S287" s="46"/>
      <c r="T287" s="2"/>
    </row>
    <row r="288" spans="1:20" hidden="1" outlineLevel="1">
      <c r="A288" s="118" t="s">
        <v>759</v>
      </c>
      <c r="B288" s="117">
        <f>VLOOKUP($A288,'LEVEL 2.1'!$A$13:$K$317,11,FALSE)</f>
        <v>20000</v>
      </c>
      <c r="C288" s="182"/>
      <c r="E288" s="117">
        <f>VLOOKUP($A288,'LEVEL 3'!$A$13:$K$317,11,FALSE)</f>
        <v>20000</v>
      </c>
      <c r="F288" s="182"/>
      <c r="G288" s="2"/>
      <c r="H288" s="138">
        <f t="shared" si="23"/>
        <v>0</v>
      </c>
      <c r="I288" s="423">
        <f>H288/B288</f>
        <v>0</v>
      </c>
      <c r="J288" s="2"/>
      <c r="K288" s="46"/>
      <c r="L288" s="46"/>
      <c r="M288" s="46"/>
      <c r="N288" s="46"/>
      <c r="O288" s="46"/>
      <c r="P288" s="46"/>
      <c r="Q288" s="46"/>
      <c r="R288" s="46"/>
      <c r="S288" s="46"/>
      <c r="T288" s="2"/>
    </row>
    <row r="289" spans="1:22" hidden="1" outlineLevel="1">
      <c r="A289" s="158" t="s">
        <v>761</v>
      </c>
      <c r="B289" s="117">
        <f>VLOOKUP($A289,'LEVEL 2.1'!$A$13:$K$317,11,FALSE)</f>
        <v>91253.161999999997</v>
      </c>
      <c r="C289" s="182"/>
      <c r="E289" s="117">
        <f>VLOOKUP($A289,'LEVEL 3'!$A$13:$K$317,11,FALSE)</f>
        <v>91253.161999999997</v>
      </c>
      <c r="F289" s="182"/>
      <c r="G289" s="2"/>
      <c r="H289" s="138">
        <f t="shared" si="23"/>
        <v>0</v>
      </c>
      <c r="I289" s="423">
        <f>H289/B289</f>
        <v>0</v>
      </c>
      <c r="J289" s="2"/>
      <c r="K289" s="46"/>
      <c r="L289" s="46"/>
      <c r="M289" s="46"/>
      <c r="N289" s="46"/>
      <c r="O289" s="46"/>
      <c r="P289" s="46"/>
      <c r="Q289" s="46"/>
      <c r="R289" s="46"/>
      <c r="S289" s="46"/>
      <c r="T289" s="2"/>
    </row>
    <row r="290" spans="1:22" hidden="1" outlineLevel="1">
      <c r="A290" s="158" t="s">
        <v>763</v>
      </c>
      <c r="B290" s="117">
        <f>VLOOKUP($A290,'LEVEL 2.1'!$A$13:$K$317,11,FALSE)</f>
        <v>0</v>
      </c>
      <c r="C290" s="182"/>
      <c r="E290" s="117">
        <f>VLOOKUP($A290,'LEVEL 3'!$A$13:$K$317,11,FALSE)</f>
        <v>0</v>
      </c>
      <c r="F290" s="182"/>
      <c r="G290" s="2"/>
      <c r="H290" s="138">
        <f t="shared" si="23"/>
        <v>0</v>
      </c>
      <c r="I290" s="425" t="str">
        <f>IF(B290=0,"n/a",H290/B290)</f>
        <v>n/a</v>
      </c>
      <c r="J290" s="2"/>
      <c r="K290" s="46"/>
      <c r="L290" s="46"/>
      <c r="M290" s="46"/>
      <c r="N290" s="46"/>
      <c r="O290" s="46"/>
      <c r="P290" s="46"/>
      <c r="Q290" s="46"/>
      <c r="R290" s="46"/>
      <c r="S290" s="46"/>
      <c r="T290" s="2"/>
      <c r="V290" s="3">
        <f>62000000*0.06</f>
        <v>3720000</v>
      </c>
    </row>
    <row r="291" spans="1:22" hidden="1" outlineLevel="1">
      <c r="A291" s="158" t="s">
        <v>765</v>
      </c>
      <c r="B291" s="117">
        <f>VLOOKUP($A291,'LEVEL 2.1'!$A$13:$K$317,11,FALSE)</f>
        <v>15000</v>
      </c>
      <c r="C291" s="182"/>
      <c r="E291" s="117">
        <f>VLOOKUP($A291,'LEVEL 3'!$A$13:$K$317,11,FALSE)</f>
        <v>15000</v>
      </c>
      <c r="F291" s="182"/>
      <c r="G291" s="2"/>
      <c r="H291" s="138">
        <f t="shared" si="23"/>
        <v>0</v>
      </c>
      <c r="I291" s="423">
        <f>H291/B291</f>
        <v>0</v>
      </c>
      <c r="J291" s="2"/>
      <c r="K291" s="46"/>
      <c r="L291" s="46"/>
      <c r="M291" s="46"/>
      <c r="N291" s="46"/>
      <c r="O291" s="46"/>
      <c r="P291" s="46"/>
      <c r="Q291" s="46"/>
      <c r="R291" s="46"/>
      <c r="S291" s="46"/>
      <c r="T291" s="2"/>
    </row>
    <row r="292" spans="1:22" hidden="1" outlineLevel="1">
      <c r="A292" s="158" t="s">
        <v>767</v>
      </c>
      <c r="B292" s="117">
        <f>VLOOKUP($A292,'LEVEL 2.1'!$A$13:$K$317,11,FALSE)</f>
        <v>5000</v>
      </c>
      <c r="C292" s="182"/>
      <c r="E292" s="117">
        <f>VLOOKUP($A292,'LEVEL 3'!$A$13:$K$317,11,FALSE)</f>
        <v>5000</v>
      </c>
      <c r="F292" s="182"/>
      <c r="G292" s="2"/>
      <c r="H292" s="138">
        <f t="shared" si="23"/>
        <v>0</v>
      </c>
      <c r="I292" s="423">
        <f>H292/B292</f>
        <v>0</v>
      </c>
      <c r="J292" s="2"/>
      <c r="K292" s="46"/>
      <c r="L292" s="46"/>
      <c r="M292" s="46"/>
      <c r="N292" s="46"/>
      <c r="O292" s="46"/>
      <c r="P292" s="46"/>
      <c r="Q292" s="46"/>
      <c r="R292" s="46"/>
      <c r="S292" s="46"/>
      <c r="T292" s="2"/>
    </row>
    <row r="293" spans="1:22" hidden="1" outlineLevel="1">
      <c r="A293" s="158" t="s">
        <v>770</v>
      </c>
      <c r="B293" s="117">
        <f>VLOOKUP($A293,'LEVEL 2.1'!$A$13:$K$317,11,FALSE)</f>
        <v>0</v>
      </c>
      <c r="C293" s="182"/>
      <c r="E293" s="117">
        <f>VLOOKUP($A293,'LEVEL 3'!$A$13:$K$317,11,FALSE)</f>
        <v>0</v>
      </c>
      <c r="F293" s="182"/>
      <c r="G293" s="2"/>
      <c r="H293" s="138">
        <f t="shared" si="23"/>
        <v>0</v>
      </c>
      <c r="I293" s="425" t="str">
        <f>IF(B293=0,"n/a",H293/B293)</f>
        <v>n/a</v>
      </c>
      <c r="J293" s="2"/>
      <c r="K293" s="46"/>
      <c r="L293" s="46"/>
      <c r="M293" s="46"/>
      <c r="N293" s="46"/>
      <c r="O293" s="46"/>
      <c r="P293" s="46"/>
      <c r="Q293" s="46"/>
      <c r="R293" s="46"/>
      <c r="S293" s="46"/>
      <c r="T293" s="2"/>
    </row>
    <row r="294" spans="1:22" hidden="1" outlineLevel="1">
      <c r="A294" s="118" t="s">
        <v>772</v>
      </c>
      <c r="B294" s="117">
        <f>VLOOKUP($A294,'LEVEL 2.1'!$A$13:$K$317,11,FALSE)</f>
        <v>700000</v>
      </c>
      <c r="C294" s="182"/>
      <c r="E294" s="117">
        <f>VLOOKUP($A294,'LEVEL 3'!$A$13:$K$317,11,FALSE)</f>
        <v>700000</v>
      </c>
      <c r="F294" s="182"/>
      <c r="G294" s="2"/>
      <c r="H294" s="138">
        <f t="shared" si="23"/>
        <v>0</v>
      </c>
      <c r="I294" s="423">
        <f>H294/B294</f>
        <v>0</v>
      </c>
      <c r="J294" s="2"/>
      <c r="K294" s="46"/>
      <c r="L294" s="46"/>
      <c r="M294" s="46"/>
      <c r="N294" s="46"/>
      <c r="O294" s="46"/>
      <c r="P294" s="46"/>
      <c r="Q294" s="46"/>
      <c r="R294" s="46"/>
      <c r="S294" s="46"/>
      <c r="T294" s="2"/>
    </row>
    <row r="295" spans="1:22" hidden="1" outlineLevel="1">
      <c r="A295" s="118" t="s">
        <v>222</v>
      </c>
      <c r="B295" s="117">
        <f>VLOOKUP($A295,'LEVEL 2.1'!$A$13:$K$317,11,FALSE)</f>
        <v>300000</v>
      </c>
      <c r="C295" s="182"/>
      <c r="E295" s="117">
        <f>VLOOKUP($A295,'LEVEL 3'!$A$13:$K$317,11,FALSE)</f>
        <v>300000</v>
      </c>
      <c r="F295" s="182"/>
      <c r="G295" s="2"/>
      <c r="H295" s="138">
        <f t="shared" si="23"/>
        <v>0</v>
      </c>
      <c r="I295" s="423">
        <f>H295/B295</f>
        <v>0</v>
      </c>
      <c r="J295" s="2"/>
      <c r="K295" s="46"/>
      <c r="L295" s="46"/>
      <c r="M295" s="46"/>
      <c r="N295" s="46"/>
      <c r="O295" s="46"/>
      <c r="P295" s="46"/>
      <c r="Q295" s="46"/>
      <c r="R295" s="46"/>
      <c r="S295" s="46"/>
      <c r="T295" s="2"/>
    </row>
    <row r="296" spans="1:22" hidden="1" outlineLevel="1">
      <c r="A296" s="158" t="s">
        <v>776</v>
      </c>
      <c r="B296" s="117">
        <f>VLOOKUP($A296,'LEVEL 2.1'!$A$13:$K$317,11,FALSE)</f>
        <v>25000</v>
      </c>
      <c r="C296" s="182"/>
      <c r="E296" s="117">
        <f>VLOOKUP($A296,'LEVEL 3'!$A$13:$K$317,11,FALSE)</f>
        <v>25000</v>
      </c>
      <c r="F296" s="182"/>
      <c r="G296" s="2"/>
      <c r="H296" s="138">
        <f t="shared" si="23"/>
        <v>0</v>
      </c>
      <c r="I296" s="423">
        <f>H296/B296</f>
        <v>0</v>
      </c>
      <c r="J296" s="2"/>
      <c r="K296" s="46"/>
      <c r="L296" s="46"/>
      <c r="M296" s="46"/>
      <c r="N296" s="46"/>
      <c r="O296" s="46"/>
      <c r="P296" s="46"/>
      <c r="Q296" s="46"/>
      <c r="R296" s="46"/>
      <c r="S296" s="46"/>
      <c r="T296" s="2"/>
    </row>
    <row r="297" spans="1:22" hidden="1" outlineLevel="1">
      <c r="A297" s="158" t="s">
        <v>777</v>
      </c>
      <c r="B297" s="117">
        <f>VLOOKUP($A297,'LEVEL 2.1'!$A$13:$K$317,11,FALSE)</f>
        <v>2500</v>
      </c>
      <c r="C297" s="182"/>
      <c r="E297" s="117">
        <f>VLOOKUP($A297,'LEVEL 3'!$A$13:$K$317,11,FALSE)</f>
        <v>2500</v>
      </c>
      <c r="F297" s="182"/>
      <c r="G297" s="2"/>
      <c r="H297" s="138">
        <f t="shared" si="23"/>
        <v>0</v>
      </c>
      <c r="I297" s="423">
        <f>H297/B297</f>
        <v>0</v>
      </c>
      <c r="J297" s="2"/>
      <c r="K297" s="46"/>
      <c r="L297" s="46"/>
      <c r="M297" s="46"/>
      <c r="N297" s="46"/>
      <c r="O297" s="46"/>
      <c r="P297" s="46"/>
      <c r="Q297" s="46"/>
      <c r="R297" s="46"/>
      <c r="S297" s="46"/>
      <c r="T297" s="2"/>
    </row>
    <row r="298" spans="1:22" hidden="1" outlineLevel="1">
      <c r="A298" s="118" t="s">
        <v>779</v>
      </c>
      <c r="B298" s="117">
        <f>VLOOKUP($A298,'LEVEL 2.1'!$A$13:$K$317,11,FALSE)</f>
        <v>3000</v>
      </c>
      <c r="C298" s="182"/>
      <c r="E298" s="117">
        <f>VLOOKUP($A298,'LEVEL 3'!$A$13:$K$317,11,FALSE)</f>
        <v>3000</v>
      </c>
      <c r="F298" s="182"/>
      <c r="G298" s="2"/>
      <c r="H298" s="117">
        <f t="shared" si="23"/>
        <v>0</v>
      </c>
      <c r="I298" s="423">
        <f>H298/B298</f>
        <v>0</v>
      </c>
      <c r="J298" s="2"/>
      <c r="K298" s="46"/>
      <c r="L298" s="46"/>
      <c r="M298" s="46"/>
      <c r="N298" s="46"/>
      <c r="O298" s="46"/>
      <c r="P298" s="46"/>
      <c r="Q298" s="46"/>
      <c r="R298" s="46"/>
      <c r="S298" s="46"/>
      <c r="T298" s="2"/>
    </row>
    <row r="299" spans="1:22" collapsed="1">
      <c r="A299" s="347" t="s">
        <v>781</v>
      </c>
      <c r="B299" s="110"/>
      <c r="C299" s="445">
        <f>SUM(B285:B298)</f>
        <v>1181753.162</v>
      </c>
      <c r="E299" s="110"/>
      <c r="F299" s="445">
        <f>SUM(E285:E298)</f>
        <v>1181753.162</v>
      </c>
      <c r="G299" s="2"/>
      <c r="H299" s="448">
        <f>C299-F299</f>
        <v>0</v>
      </c>
      <c r="I299" s="446">
        <f>H299/C299</f>
        <v>0</v>
      </c>
      <c r="J299" s="2"/>
      <c r="K299" s="373"/>
      <c r="L299" s="373"/>
      <c r="M299" s="373"/>
      <c r="N299" s="373"/>
      <c r="O299" s="373"/>
      <c r="P299" s="373"/>
      <c r="Q299" s="373"/>
      <c r="R299" s="373"/>
      <c r="S299" s="373"/>
      <c r="T299" s="2"/>
    </row>
    <row r="300" spans="1:22" hidden="1" outlineLevel="1">
      <c r="A300" s="118" t="s">
        <v>783</v>
      </c>
      <c r="B300" s="117">
        <f>VLOOKUP($A300,'LEVEL 2.1'!$A$13:$K$317,11,FALSE)</f>
        <v>2743665.2552188765</v>
      </c>
      <c r="C300" s="182"/>
      <c r="E300" s="117">
        <f>VLOOKUP($A300,'LEVEL 3'!$A$13:$K$317,11,FALSE)</f>
        <v>2782777.5736136418</v>
      </c>
      <c r="F300" s="182"/>
      <c r="G300" s="2"/>
      <c r="H300" s="117">
        <f>B300-E300</f>
        <v>-39112.318394765258</v>
      </c>
      <c r="I300" s="423">
        <f>H300/B300</f>
        <v>-1.4255499398247497E-2</v>
      </c>
      <c r="J300" s="2"/>
      <c r="K300" s="88"/>
      <c r="L300" s="88"/>
      <c r="M300" s="88"/>
      <c r="N300" s="88"/>
      <c r="O300" s="88"/>
      <c r="P300" s="88"/>
      <c r="Q300" s="88"/>
      <c r="R300" s="88"/>
      <c r="S300" s="88"/>
      <c r="T300" s="2"/>
    </row>
    <row r="301" spans="1:22" collapsed="1">
      <c r="A301" s="347" t="s">
        <v>783</v>
      </c>
      <c r="B301" s="110">
        <f>VLOOKUP($A301,'LEVEL 2.1'!$A$13:$K$317,11,FALSE)</f>
        <v>2743665.2552188765</v>
      </c>
      <c r="C301" s="445">
        <f>B300</f>
        <v>2743665.2552188765</v>
      </c>
      <c r="E301" s="110"/>
      <c r="F301" s="445">
        <f>E300</f>
        <v>2782777.5736136418</v>
      </c>
      <c r="G301" s="2"/>
      <c r="H301" s="448">
        <f>C301-F301</f>
        <v>-39112.318394765258</v>
      </c>
      <c r="I301" s="446">
        <f>H301/C301</f>
        <v>-1.4255499398247497E-2</v>
      </c>
      <c r="J301" s="2"/>
      <c r="K301" s="373"/>
      <c r="L301" s="373"/>
      <c r="M301" s="373"/>
      <c r="N301" s="373"/>
      <c r="O301" s="373"/>
      <c r="P301" s="373"/>
      <c r="Q301" s="373"/>
      <c r="R301" s="373"/>
      <c r="S301" s="373"/>
      <c r="T301" s="2"/>
    </row>
    <row r="302" spans="1:22" hidden="1" outlineLevel="1">
      <c r="A302" s="111" t="s">
        <v>786</v>
      </c>
      <c r="B302" s="117">
        <f>VLOOKUP($A302,'LEVEL 2.1'!$A$13:$K$317,11,FALSE)</f>
        <v>932846.18677441811</v>
      </c>
      <c r="C302" s="360"/>
      <c r="E302" s="117">
        <f>VLOOKUP($A302,'LEVEL 3'!$A$13:$K$317,11,FALSE)</f>
        <v>946144.37502863817</v>
      </c>
      <c r="F302" s="360"/>
      <c r="G302" s="2"/>
      <c r="H302" s="117">
        <f>B302-E302</f>
        <v>-13298.188254220062</v>
      </c>
      <c r="I302" s="424">
        <f>H302/B302</f>
        <v>-1.425549939824736E-2</v>
      </c>
      <c r="J302" s="2"/>
      <c r="K302" s="88"/>
      <c r="L302" s="88"/>
      <c r="M302" s="88"/>
      <c r="N302" s="88"/>
      <c r="O302" s="88"/>
      <c r="P302" s="88"/>
      <c r="Q302" s="88"/>
      <c r="R302" s="88"/>
      <c r="S302" s="88"/>
      <c r="T302" s="2"/>
    </row>
    <row r="303" spans="1:22" collapsed="1">
      <c r="A303" s="347" t="s">
        <v>786</v>
      </c>
      <c r="B303" s="110">
        <f>VLOOKUP($A303,'LEVEL 2.1'!$A$13:$K$317,11,FALSE)</f>
        <v>932846.18677441811</v>
      </c>
      <c r="C303" s="445">
        <f>SUM(B302)</f>
        <v>932846.18677441811</v>
      </c>
      <c r="E303" s="110"/>
      <c r="F303" s="445">
        <f>SUM(E302)</f>
        <v>946144.37502863817</v>
      </c>
      <c r="G303" s="2"/>
      <c r="H303" s="448">
        <f>C303-F303</f>
        <v>-13298.188254220062</v>
      </c>
      <c r="I303" s="446">
        <f>H303/C303</f>
        <v>-1.425549939824736E-2</v>
      </c>
      <c r="J303" s="2"/>
      <c r="K303" s="373"/>
      <c r="L303" s="373"/>
      <c r="M303" s="373"/>
      <c r="N303" s="373"/>
      <c r="O303" s="373"/>
      <c r="P303" s="373"/>
      <c r="Q303" s="373"/>
      <c r="R303" s="373"/>
      <c r="S303" s="373"/>
      <c r="T303" s="2"/>
    </row>
    <row r="304" spans="1:22" hidden="1" outlineLevel="1">
      <c r="A304" s="118" t="s">
        <v>790</v>
      </c>
      <c r="B304" s="117">
        <f>VLOOKUP($A304,'LEVEL 2.1'!$A$13:$K$317,11,FALSE)</f>
        <v>306866.5255218877</v>
      </c>
      <c r="C304" s="182"/>
      <c r="E304" s="117">
        <f>VLOOKUP($A304,'LEVEL 3'!$A$13:$K$317,11,FALSE)</f>
        <v>310777.75736136414</v>
      </c>
      <c r="F304" s="182"/>
      <c r="G304" s="2"/>
      <c r="H304" s="117">
        <f>B304-E304</f>
        <v>-3911.2318394764443</v>
      </c>
      <c r="I304" s="423">
        <f>H304/B304</f>
        <v>-1.2745710314360991E-2</v>
      </c>
      <c r="J304" s="2"/>
      <c r="K304" s="88"/>
      <c r="L304" s="88"/>
      <c r="M304" s="88"/>
      <c r="N304" s="88"/>
      <c r="O304" s="88"/>
      <c r="P304" s="88"/>
      <c r="Q304" s="88"/>
      <c r="R304" s="88"/>
      <c r="S304" s="88"/>
      <c r="T304" s="2"/>
    </row>
    <row r="305" spans="1:41" hidden="1" outlineLevel="1">
      <c r="A305" s="158" t="s">
        <v>793</v>
      </c>
      <c r="B305" s="138">
        <f>VLOOKUP($A305,'LEVEL 2.1'!$A$13:$K$317,11,FALSE)</f>
        <v>15343.326276094385</v>
      </c>
      <c r="C305" s="182"/>
      <c r="E305" s="138">
        <f>VLOOKUP($A305,'LEVEL 3'!$A$13:$K$317,11,FALSE)</f>
        <v>15538.887868068208</v>
      </c>
      <c r="F305" s="182"/>
      <c r="G305" s="2"/>
      <c r="H305" s="138">
        <f>B305-E305</f>
        <v>-195.56159197382294</v>
      </c>
      <c r="I305" s="423">
        <f>H305/B305</f>
        <v>-1.2745710314361038E-2</v>
      </c>
      <c r="J305" s="2"/>
      <c r="K305" s="46"/>
      <c r="L305" s="46"/>
      <c r="M305" s="46"/>
      <c r="N305" s="46"/>
      <c r="O305" s="46"/>
      <c r="P305" s="46"/>
      <c r="Q305" s="46"/>
      <c r="R305" s="46"/>
      <c r="S305" s="46"/>
      <c r="T305" s="2"/>
    </row>
    <row r="306" spans="1:41" hidden="1" outlineLevel="1">
      <c r="A306" s="118" t="s">
        <v>795</v>
      </c>
      <c r="B306" s="117">
        <f>VLOOKUP($A306,'LEVEL 2.1'!$A$13:$K$317,11,FALSE)</f>
        <v>291523.19924579328</v>
      </c>
      <c r="C306" s="182"/>
      <c r="E306" s="117">
        <f>VLOOKUP($A306,'LEVEL 3'!$A$13:$K$317,11,FALSE)</f>
        <v>295238.8694932959</v>
      </c>
      <c r="F306" s="182"/>
      <c r="G306" s="2"/>
      <c r="H306" s="117">
        <f>B306-E306</f>
        <v>-3715.670247502625</v>
      </c>
      <c r="I306" s="423">
        <f>H306/B306</f>
        <v>-1.2745710314361003E-2</v>
      </c>
      <c r="J306" s="2"/>
      <c r="K306" s="46"/>
      <c r="L306" s="46"/>
      <c r="M306" s="46"/>
      <c r="N306" s="46"/>
      <c r="O306" s="46"/>
      <c r="P306" s="46"/>
      <c r="Q306" s="46"/>
      <c r="R306" s="46"/>
      <c r="S306" s="46"/>
      <c r="T306" s="2"/>
    </row>
    <row r="307" spans="1:41" collapsed="1">
      <c r="A307" s="347" t="s">
        <v>797</v>
      </c>
      <c r="B307" s="110"/>
      <c r="C307" s="445">
        <f>SUM(B304:B306)</f>
        <v>613733.0510437754</v>
      </c>
      <c r="E307" s="110"/>
      <c r="F307" s="445">
        <f>SUM(E304:E306)</f>
        <v>621555.51472272817</v>
      </c>
      <c r="G307" s="2"/>
      <c r="H307" s="448">
        <f>C307-F307</f>
        <v>-7822.4636789527722</v>
      </c>
      <c r="I307" s="446">
        <f>H307/C307</f>
        <v>-1.2745710314360802E-2</v>
      </c>
      <c r="J307" s="2"/>
      <c r="K307" s="373"/>
      <c r="L307" s="373"/>
      <c r="M307" s="373"/>
      <c r="N307" s="373"/>
      <c r="O307" s="373"/>
      <c r="P307" s="373"/>
      <c r="Q307" s="373"/>
      <c r="R307" s="373"/>
      <c r="S307" s="373"/>
      <c r="T307" s="2"/>
    </row>
    <row r="308" spans="1:41" hidden="1" outlineLevel="1">
      <c r="A308" s="118" t="s">
        <v>798</v>
      </c>
      <c r="B308" s="117">
        <f>VLOOKUP($A308,'LEVEL 2.1'!$A$13:$K$317,11,FALSE)</f>
        <v>1112938.6699982199</v>
      </c>
      <c r="C308" s="182"/>
      <c r="E308" s="117">
        <f>VLOOKUP($A308,'LEVEL 3'!$A$13:$K$317,11,FALSE)</f>
        <v>1112938.6699982199</v>
      </c>
      <c r="F308" s="182"/>
      <c r="G308" s="2"/>
      <c r="H308" s="117">
        <f>B308-E308</f>
        <v>0</v>
      </c>
      <c r="I308" s="423">
        <f>H308/B308</f>
        <v>0</v>
      </c>
      <c r="J308" s="2"/>
      <c r="K308" s="88"/>
      <c r="L308" s="88"/>
      <c r="M308" s="88"/>
      <c r="N308" s="88"/>
      <c r="O308" s="88"/>
      <c r="P308" s="88"/>
      <c r="Q308" s="88"/>
      <c r="R308" s="88"/>
      <c r="S308" s="88"/>
      <c r="T308" s="2"/>
    </row>
    <row r="309" spans="1:41" hidden="1" outlineLevel="1">
      <c r="A309" s="118" t="s">
        <v>800</v>
      </c>
      <c r="B309" s="117">
        <f>VLOOKUP($A309,'LEVEL 2.1'!$A$13:$K$317,11,FALSE)</f>
        <v>3338816.0099946638</v>
      </c>
      <c r="C309" s="182"/>
      <c r="E309" s="117">
        <f>VLOOKUP($A309,'LEVEL 3'!$A$13:$K$317,11,FALSE)</f>
        <v>3338816.0099946638</v>
      </c>
      <c r="F309" s="182"/>
      <c r="G309" s="2"/>
      <c r="H309" s="117">
        <f>B309-E309</f>
        <v>0</v>
      </c>
      <c r="I309" s="423">
        <f>H309/B309</f>
        <v>0</v>
      </c>
      <c r="J309" s="2"/>
      <c r="K309" s="46"/>
      <c r="L309" s="46"/>
      <c r="M309" s="46"/>
      <c r="N309" s="46"/>
      <c r="O309" s="46"/>
      <c r="P309" s="46"/>
      <c r="Q309" s="46"/>
      <c r="R309" s="46"/>
      <c r="S309" s="46"/>
      <c r="T309" s="2"/>
    </row>
    <row r="310" spans="1:41" collapsed="1">
      <c r="A310" s="347" t="s">
        <v>800</v>
      </c>
      <c r="B310" s="110"/>
      <c r="C310" s="445">
        <f>SUM(B308:B309)</f>
        <v>4451754.6799928835</v>
      </c>
      <c r="E310" s="110"/>
      <c r="F310" s="445">
        <f>SUM(E308:E309)</f>
        <v>4451754.6799928835</v>
      </c>
      <c r="G310" s="2"/>
      <c r="H310" s="448">
        <f>C310-F310</f>
        <v>0</v>
      </c>
      <c r="I310" s="446">
        <f>H310/C310</f>
        <v>0</v>
      </c>
      <c r="J310" s="2"/>
      <c r="K310" s="373"/>
      <c r="L310" s="373"/>
      <c r="M310" s="373"/>
      <c r="N310" s="373"/>
      <c r="O310" s="373"/>
      <c r="P310" s="373"/>
      <c r="Q310" s="373"/>
      <c r="R310" s="373"/>
      <c r="S310" s="373"/>
      <c r="T310" s="2"/>
    </row>
    <row r="311" spans="1:41">
      <c r="A311" s="47"/>
      <c r="B311" s="182"/>
      <c r="C311" s="360"/>
      <c r="E311" s="182"/>
      <c r="F311" s="360"/>
      <c r="G311" s="2"/>
      <c r="H311" s="182"/>
      <c r="I311" s="424"/>
      <c r="J311" s="2"/>
      <c r="T311" s="2"/>
    </row>
    <row r="312" spans="1:41" ht="15.75" thickBot="1">
      <c r="A312" s="361" t="s">
        <v>802</v>
      </c>
      <c r="B312" s="365"/>
      <c r="C312" s="366">
        <f>SUM(C12:C310)</f>
        <v>68033845.685757682</v>
      </c>
      <c r="E312" s="365"/>
      <c r="F312" s="366">
        <f>SUM(F12:F310)</f>
        <v>68938904.733412534</v>
      </c>
      <c r="G312" s="2"/>
      <c r="H312" s="365">
        <f>C312-F312</f>
        <v>-905059.04765485227</v>
      </c>
      <c r="I312" s="426">
        <f>H312/C312</f>
        <v>-1.3303070531030099E-2</v>
      </c>
      <c r="J312" s="2"/>
      <c r="K312" s="367"/>
      <c r="L312" s="367"/>
      <c r="M312" s="367"/>
      <c r="N312" s="367"/>
      <c r="O312" s="367"/>
      <c r="P312" s="367"/>
      <c r="Q312" s="367"/>
      <c r="R312" s="367"/>
      <c r="S312" s="367"/>
      <c r="T312" s="2"/>
    </row>
    <row r="313" spans="1:41" ht="15.75" thickBot="1">
      <c r="C313" s="171">
        <f>SUM(B11:B312)-C312</f>
        <v>3676511.441993311</v>
      </c>
      <c r="F313" s="171">
        <f>SUM(E11:E312)-F312</f>
        <v>0</v>
      </c>
      <c r="G313" s="2"/>
      <c r="I313" s="171"/>
      <c r="J313" s="2"/>
      <c r="K313" s="171"/>
    </row>
    <row r="314" spans="1:41">
      <c r="A314" s="172" t="s">
        <v>72</v>
      </c>
      <c r="C314" s="171"/>
      <c r="F314" s="171"/>
      <c r="G314" s="2"/>
      <c r="I314" s="171"/>
      <c r="J314" s="2"/>
      <c r="L314" s="174" t="s">
        <v>803</v>
      </c>
      <c r="M314" s="24"/>
    </row>
    <row r="315" spans="1:41">
      <c r="A315" s="175" t="s">
        <v>77</v>
      </c>
      <c r="G315" s="2"/>
      <c r="J315" s="2"/>
      <c r="L315" s="177">
        <f>SUM(E285:E298,E13:E280)</f>
        <v>55684228.472272828</v>
      </c>
      <c r="M315" s="28"/>
    </row>
    <row r="316" spans="1:41">
      <c r="A316" s="175" t="s">
        <v>121</v>
      </c>
      <c r="G316" s="2"/>
      <c r="J316" s="2"/>
      <c r="L316" s="177">
        <f>L315*0.06</f>
        <v>3341053.7083363696</v>
      </c>
      <c r="M316" s="28"/>
    </row>
    <row r="317" spans="1:41" ht="15.75" thickBot="1">
      <c r="A317" s="175" t="s">
        <v>804</v>
      </c>
      <c r="C317" s="235"/>
      <c r="F317" s="235"/>
      <c r="G317" s="2"/>
      <c r="J317" s="2"/>
      <c r="L317" s="178">
        <f>L316/X21</f>
        <v>111368.45694454566</v>
      </c>
      <c r="M317" s="73"/>
    </row>
    <row r="318" spans="1:41">
      <c r="A318" s="175" t="s">
        <v>146</v>
      </c>
      <c r="C318" s="235"/>
      <c r="F318" s="235"/>
      <c r="G318" s="2"/>
      <c r="J318" s="2"/>
    </row>
    <row r="319" spans="1:41" s="2" customFormat="1">
      <c r="A319" s="175" t="s">
        <v>175</v>
      </c>
      <c r="B319" s="3"/>
      <c r="C319" s="3"/>
      <c r="D319" s="3"/>
      <c r="E319" s="3"/>
      <c r="F319" s="3"/>
      <c r="H319" s="3"/>
      <c r="I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spans="1:41" s="2" customFormat="1">
      <c r="A320" s="175" t="s">
        <v>220</v>
      </c>
      <c r="B320" s="3"/>
      <c r="C320" s="3"/>
      <c r="D320" s="171"/>
      <c r="E320" s="3"/>
      <c r="F320" s="3"/>
      <c r="H320" s="3"/>
      <c r="I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spans="1:41" s="2" customFormat="1">
      <c r="A321" s="175" t="s">
        <v>267</v>
      </c>
      <c r="B321" s="3"/>
      <c r="C321" s="3"/>
      <c r="D321" s="235"/>
      <c r="E321" s="3"/>
      <c r="F321" s="3"/>
      <c r="H321" s="3"/>
      <c r="I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spans="1:41" s="2" customFormat="1">
      <c r="A322" s="175" t="s">
        <v>297</v>
      </c>
      <c r="B322" s="3"/>
      <c r="C322" s="3"/>
      <c r="D322" s="235"/>
      <c r="E322" s="3"/>
      <c r="F322" s="3"/>
      <c r="H322" s="3"/>
      <c r="I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spans="1:41" s="2" customFormat="1">
      <c r="A323" s="175" t="s">
        <v>391</v>
      </c>
      <c r="B323" s="3"/>
      <c r="C323" s="3"/>
      <c r="D323" s="3"/>
      <c r="E323" s="3"/>
      <c r="F323" s="3"/>
      <c r="H323" s="3"/>
      <c r="I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spans="1:41" s="2" customFormat="1">
      <c r="A324" s="175" t="s">
        <v>431</v>
      </c>
      <c r="B324" s="3"/>
      <c r="C324" s="3"/>
      <c r="D324" s="3"/>
      <c r="E324" s="3"/>
      <c r="F324" s="3"/>
      <c r="H324" s="3"/>
      <c r="I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spans="1:41" s="2" customFormat="1">
      <c r="A325" s="179" t="s">
        <v>440</v>
      </c>
      <c r="B325" s="3"/>
      <c r="C325" s="3"/>
      <c r="D325" s="3"/>
      <c r="E325" s="3"/>
      <c r="F325" s="3"/>
      <c r="H325" s="3"/>
      <c r="I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spans="1:41" s="2" customFormat="1">
      <c r="A326" s="172" t="s">
        <v>476</v>
      </c>
      <c r="B326" s="3"/>
      <c r="C326" s="3"/>
      <c r="D326" s="3"/>
      <c r="E326" s="3"/>
      <c r="F326" s="3"/>
      <c r="H326" s="3"/>
      <c r="I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spans="1:41" s="2" customFormat="1">
      <c r="A327" s="175" t="s">
        <v>487</v>
      </c>
      <c r="B327" s="3"/>
      <c r="C327" s="3"/>
      <c r="D327" s="3"/>
      <c r="E327" s="3"/>
      <c r="F327" s="3"/>
      <c r="H327" s="3"/>
      <c r="I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spans="1:41" s="2" customFormat="1">
      <c r="A328" s="175" t="s">
        <v>489</v>
      </c>
      <c r="B328" s="3"/>
      <c r="C328" s="3"/>
      <c r="D328" s="3"/>
      <c r="E328" s="3"/>
      <c r="F328" s="3"/>
      <c r="H328" s="3"/>
      <c r="I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spans="1:41" s="2" customFormat="1">
      <c r="A329" s="175" t="s">
        <v>496</v>
      </c>
      <c r="B329" s="3"/>
      <c r="C329" s="3"/>
      <c r="D329" s="3"/>
      <c r="E329" s="3"/>
      <c r="F329" s="3"/>
      <c r="H329" s="3"/>
      <c r="I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spans="1:41" s="2" customFormat="1">
      <c r="A330" s="175" t="s">
        <v>506</v>
      </c>
      <c r="B330" s="3"/>
      <c r="C330" s="3"/>
      <c r="D330" s="3"/>
      <c r="E330" s="3"/>
      <c r="F330" s="3"/>
      <c r="H330" s="3"/>
      <c r="I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spans="1:41" s="2" customFormat="1">
      <c r="A331" s="175" t="s">
        <v>520</v>
      </c>
      <c r="B331" s="3"/>
      <c r="C331" s="3"/>
      <c r="D331" s="3"/>
      <c r="E331" s="3"/>
      <c r="F331" s="3"/>
      <c r="H331" s="3"/>
      <c r="I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spans="1:41" s="2" customFormat="1">
      <c r="A332" s="175" t="s">
        <v>527</v>
      </c>
      <c r="B332" s="3"/>
      <c r="C332" s="3"/>
      <c r="D332" s="3"/>
      <c r="E332" s="3"/>
      <c r="F332" s="3"/>
      <c r="H332" s="3"/>
      <c r="I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spans="1:41" s="2" customFormat="1">
      <c r="A333" s="175" t="s">
        <v>561</v>
      </c>
      <c r="B333" s="3"/>
      <c r="C333" s="3"/>
      <c r="D333" s="3"/>
      <c r="E333" s="3"/>
      <c r="F333" s="3"/>
      <c r="H333" s="3"/>
      <c r="I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spans="1:41" s="2" customFormat="1">
      <c r="A334" s="175" t="s">
        <v>571</v>
      </c>
      <c r="B334" s="3"/>
      <c r="C334" s="3"/>
      <c r="D334" s="3"/>
      <c r="E334" s="3"/>
      <c r="F334" s="3"/>
      <c r="H334" s="3"/>
      <c r="I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spans="1:41" s="2" customFormat="1">
      <c r="A335" s="175" t="s">
        <v>582</v>
      </c>
      <c r="B335" s="3"/>
      <c r="C335" s="3"/>
      <c r="D335" s="3"/>
      <c r="E335" s="3"/>
      <c r="F335" s="3"/>
      <c r="H335" s="3"/>
      <c r="I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spans="1:41" s="2" customFormat="1">
      <c r="A336" s="175" t="s">
        <v>603</v>
      </c>
      <c r="B336" s="3"/>
      <c r="C336" s="3"/>
      <c r="D336" s="3"/>
      <c r="E336" s="3"/>
      <c r="F336" s="3"/>
      <c r="H336" s="3"/>
      <c r="I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spans="1:41" s="2" customFormat="1">
      <c r="A337" s="179" t="s">
        <v>679</v>
      </c>
      <c r="B337" s="3"/>
      <c r="C337" s="3"/>
      <c r="D337" s="3"/>
      <c r="E337" s="3"/>
      <c r="F337" s="3"/>
      <c r="H337" s="3"/>
      <c r="I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spans="1:41" s="2" customFormat="1">
      <c r="A338" s="172" t="s">
        <v>708</v>
      </c>
      <c r="B338" s="3"/>
      <c r="C338" s="3"/>
      <c r="D338" s="3"/>
      <c r="E338" s="3"/>
      <c r="F338" s="3"/>
      <c r="H338" s="3"/>
      <c r="I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spans="1:41" s="2" customFormat="1">
      <c r="A339" s="175" t="s">
        <v>717</v>
      </c>
      <c r="B339" s="3"/>
      <c r="C339" s="3"/>
      <c r="D339" s="3"/>
      <c r="E339" s="3"/>
      <c r="F339" s="3"/>
      <c r="H339" s="3"/>
      <c r="I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spans="1:41" s="2" customFormat="1">
      <c r="A340" s="175" t="s">
        <v>726</v>
      </c>
      <c r="B340" s="3"/>
      <c r="C340" s="3"/>
      <c r="D340" s="3"/>
      <c r="E340" s="3"/>
      <c r="F340" s="3"/>
      <c r="H340" s="3"/>
      <c r="I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spans="1:41" s="2" customFormat="1">
      <c r="A341" s="175" t="s">
        <v>748</v>
      </c>
      <c r="B341" s="3"/>
      <c r="C341" s="3"/>
      <c r="D341" s="3"/>
      <c r="E341" s="3"/>
      <c r="F341" s="3"/>
      <c r="H341" s="3"/>
      <c r="I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spans="1:41" s="2" customFormat="1">
      <c r="A342" s="175" t="s">
        <v>806</v>
      </c>
      <c r="B342" s="3"/>
      <c r="C342" s="3"/>
      <c r="D342" s="3"/>
      <c r="E342" s="3"/>
      <c r="F342" s="3"/>
      <c r="H342" s="3"/>
      <c r="I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spans="1:41" s="2" customFormat="1">
      <c r="A343" s="175" t="s">
        <v>751</v>
      </c>
      <c r="B343" s="3"/>
      <c r="C343" s="3"/>
      <c r="D343" s="3"/>
      <c r="E343" s="3"/>
      <c r="F343" s="3"/>
      <c r="H343" s="3"/>
      <c r="I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spans="1:41" s="2" customFormat="1">
      <c r="A344" s="175" t="s">
        <v>781</v>
      </c>
      <c r="B344" s="3"/>
      <c r="C344" s="3"/>
      <c r="D344" s="3"/>
      <c r="E344" s="3"/>
      <c r="F344" s="3"/>
      <c r="H344" s="3"/>
      <c r="I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spans="1:41" s="2" customFormat="1">
      <c r="A345" s="175" t="s">
        <v>783</v>
      </c>
      <c r="B345" s="3"/>
      <c r="C345" s="3"/>
      <c r="D345" s="3"/>
      <c r="E345" s="3"/>
      <c r="F345" s="3"/>
      <c r="H345" s="3"/>
      <c r="I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spans="1:41" s="2" customFormat="1">
      <c r="A346" s="175" t="s">
        <v>786</v>
      </c>
      <c r="B346" s="3"/>
      <c r="C346" s="3"/>
      <c r="D346" s="3"/>
      <c r="E346" s="3"/>
      <c r="F346" s="3"/>
      <c r="H346" s="3"/>
      <c r="I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spans="1:41" s="2" customFormat="1">
      <c r="A347" s="175" t="s">
        <v>797</v>
      </c>
      <c r="B347" s="3"/>
      <c r="C347" s="3"/>
      <c r="D347" s="3"/>
      <c r="E347" s="3"/>
      <c r="F347" s="3"/>
      <c r="H347" s="3"/>
      <c r="I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spans="1:41" s="2" customFormat="1">
      <c r="A348" s="175" t="s">
        <v>800</v>
      </c>
      <c r="B348" s="3"/>
      <c r="C348" s="3"/>
      <c r="D348" s="3"/>
      <c r="E348" s="3"/>
      <c r="F348" s="3"/>
      <c r="H348" s="3"/>
      <c r="I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spans="1:41" s="2" customFormat="1">
      <c r="A349" s="181" t="s">
        <v>802</v>
      </c>
      <c r="B349" s="3"/>
      <c r="C349" s="3"/>
      <c r="D349" s="3"/>
      <c r="E349" s="3"/>
      <c r="F349" s="3"/>
      <c r="H349" s="3"/>
      <c r="I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spans="1:41" s="2" customFormat="1">
      <c r="A350" s="3"/>
      <c r="B350" s="3"/>
      <c r="C350" s="3"/>
      <c r="D350" s="3"/>
      <c r="E350" s="3"/>
      <c r="F350" s="3"/>
      <c r="H350" s="3"/>
      <c r="I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spans="1:41">
      <c r="G351" s="2"/>
      <c r="J351" s="2"/>
    </row>
    <row r="352" spans="1:41">
      <c r="G352" s="2"/>
      <c r="J352" s="2"/>
    </row>
    <row r="353" spans="1:10">
      <c r="G353" s="2"/>
      <c r="J353" s="2"/>
    </row>
    <row r="354" spans="1:10">
      <c r="G354" s="2"/>
      <c r="J354" s="2"/>
    </row>
    <row r="355" spans="1:10">
      <c r="A355" s="139"/>
      <c r="G355" s="2"/>
      <c r="J355" s="2"/>
    </row>
    <row r="356" spans="1:10">
      <c r="A356" s="139" t="s">
        <v>807</v>
      </c>
      <c r="G356" s="2"/>
      <c r="J356" s="2"/>
    </row>
    <row r="357" spans="1:10">
      <c r="A357" s="139" t="s">
        <v>808</v>
      </c>
      <c r="G357" s="2"/>
      <c r="J357" s="2"/>
    </row>
    <row r="358" spans="1:10">
      <c r="A358" s="139" t="s">
        <v>809</v>
      </c>
      <c r="G358" s="2"/>
      <c r="J358" s="2"/>
    </row>
    <row r="359" spans="1:10">
      <c r="A359" s="139" t="s">
        <v>810</v>
      </c>
      <c r="G359" s="2"/>
      <c r="J359" s="2"/>
    </row>
    <row r="360" spans="1:10">
      <c r="A360" s="139" t="s">
        <v>811</v>
      </c>
      <c r="G360" s="2"/>
      <c r="J360" s="2"/>
    </row>
    <row r="361" spans="1:10">
      <c r="A361" s="139" t="s">
        <v>812</v>
      </c>
      <c r="G361" s="2"/>
      <c r="J361" s="2"/>
    </row>
    <row r="362" spans="1:10">
      <c r="A362" s="139" t="s">
        <v>813</v>
      </c>
      <c r="G362" s="2"/>
      <c r="J362" s="2"/>
    </row>
    <row r="363" spans="1:10">
      <c r="A363" s="139" t="s">
        <v>814</v>
      </c>
      <c r="G363" s="2"/>
      <c r="J363" s="2"/>
    </row>
    <row r="364" spans="1:10">
      <c r="A364" s="139" t="s">
        <v>815</v>
      </c>
      <c r="G364" s="2"/>
      <c r="J364" s="2"/>
    </row>
    <row r="365" spans="1:10">
      <c r="A365" s="139" t="s">
        <v>816</v>
      </c>
      <c r="G365" s="2"/>
      <c r="J365" s="2"/>
    </row>
    <row r="366" spans="1:10">
      <c r="A366" s="139" t="s">
        <v>817</v>
      </c>
      <c r="G366" s="2"/>
      <c r="J366" s="2"/>
    </row>
    <row r="367" spans="1:10">
      <c r="A367" s="139" t="s">
        <v>818</v>
      </c>
      <c r="G367" s="2"/>
      <c r="J367" s="2"/>
    </row>
    <row r="368" spans="1:10">
      <c r="A368" s="139" t="s">
        <v>819</v>
      </c>
      <c r="G368" s="2"/>
      <c r="J368" s="2"/>
    </row>
    <row r="369" spans="1:10">
      <c r="A369" s="139" t="s">
        <v>820</v>
      </c>
      <c r="G369" s="2"/>
      <c r="J369" s="2"/>
    </row>
    <row r="370" spans="1:10">
      <c r="A370" s="139" t="s">
        <v>821</v>
      </c>
      <c r="G370" s="2"/>
      <c r="J370" s="2"/>
    </row>
    <row r="371" spans="1:10">
      <c r="A371" s="139" t="s">
        <v>822</v>
      </c>
      <c r="G371" s="2"/>
      <c r="J371" s="2"/>
    </row>
    <row r="372" spans="1:10">
      <c r="A372" s="139" t="s">
        <v>823</v>
      </c>
      <c r="G372" s="2"/>
      <c r="J372" s="2"/>
    </row>
    <row r="373" spans="1:10">
      <c r="A373" s="139" t="s">
        <v>824</v>
      </c>
      <c r="G373" s="2"/>
      <c r="J373" s="2"/>
    </row>
    <row r="374" spans="1:10">
      <c r="A374" s="139" t="s">
        <v>825</v>
      </c>
      <c r="G374" s="2"/>
      <c r="J374" s="2"/>
    </row>
    <row r="375" spans="1:10">
      <c r="A375" s="139" t="s">
        <v>826</v>
      </c>
      <c r="G375" s="2"/>
      <c r="J375" s="2"/>
    </row>
    <row r="376" spans="1:10">
      <c r="A376" s="139" t="s">
        <v>827</v>
      </c>
      <c r="G376" s="2"/>
      <c r="J376" s="2"/>
    </row>
    <row r="377" spans="1:10">
      <c r="A377" s="139" t="s">
        <v>828</v>
      </c>
      <c r="G377" s="2"/>
      <c r="J377" s="2"/>
    </row>
    <row r="378" spans="1:10">
      <c r="A378" s="139" t="s">
        <v>829</v>
      </c>
      <c r="G378" s="2"/>
      <c r="J378" s="2"/>
    </row>
    <row r="379" spans="1:10">
      <c r="A379" s="139" t="s">
        <v>830</v>
      </c>
      <c r="G379" s="2"/>
      <c r="J379" s="2"/>
    </row>
    <row r="380" spans="1:10">
      <c r="A380" s="139" t="s">
        <v>831</v>
      </c>
      <c r="G380" s="2"/>
      <c r="J380" s="2"/>
    </row>
    <row r="381" spans="1:10">
      <c r="A381" s="139" t="s">
        <v>832</v>
      </c>
      <c r="G381" s="2"/>
      <c r="J381" s="2"/>
    </row>
    <row r="382" spans="1:10">
      <c r="A382" s="139" t="s">
        <v>751</v>
      </c>
      <c r="G382" s="2"/>
      <c r="J382" s="2"/>
    </row>
    <row r="383" spans="1:10">
      <c r="A383" s="139" t="s">
        <v>782</v>
      </c>
      <c r="G383" s="2"/>
      <c r="J383" s="2"/>
    </row>
    <row r="384" spans="1:10">
      <c r="A384" s="139" t="s">
        <v>833</v>
      </c>
      <c r="G384" s="2"/>
      <c r="J384" s="2"/>
    </row>
    <row r="385" spans="1:10">
      <c r="A385" s="139" t="s">
        <v>834</v>
      </c>
      <c r="G385" s="2"/>
      <c r="J385" s="2"/>
    </row>
    <row r="386" spans="1:10">
      <c r="A386" s="139" t="s">
        <v>835</v>
      </c>
      <c r="G386" s="2"/>
      <c r="J386" s="2"/>
    </row>
    <row r="387" spans="1:10">
      <c r="A387" s="139" t="s">
        <v>66</v>
      </c>
      <c r="G387" s="2"/>
      <c r="J387" s="2"/>
    </row>
    <row r="388" spans="1:10">
      <c r="A388" s="187" t="s">
        <v>836</v>
      </c>
      <c r="G388" s="2"/>
      <c r="J388" s="2"/>
    </row>
    <row r="389" spans="1:10">
      <c r="G389" s="2"/>
      <c r="J389" s="2"/>
    </row>
    <row r="390" spans="1:10">
      <c r="A390" s="190" t="s">
        <v>837</v>
      </c>
      <c r="G390" s="2"/>
      <c r="J390" s="2"/>
    </row>
    <row r="391" spans="1:10">
      <c r="A391" s="190" t="s">
        <v>838</v>
      </c>
      <c r="G391" s="2"/>
      <c r="J391" s="2"/>
    </row>
    <row r="392" spans="1:10">
      <c r="A392" s="139" t="s">
        <v>202</v>
      </c>
      <c r="G392" s="2"/>
      <c r="J392" s="2"/>
    </row>
    <row r="393" spans="1:10">
      <c r="A393" s="139" t="s">
        <v>353</v>
      </c>
      <c r="G393" s="2"/>
      <c r="J393" s="2"/>
    </row>
    <row r="394" spans="1:10">
      <c r="A394" s="139" t="s">
        <v>355</v>
      </c>
      <c r="G394" s="2"/>
      <c r="J394" s="2"/>
    </row>
    <row r="395" spans="1:10">
      <c r="A395" s="139" t="s">
        <v>357</v>
      </c>
      <c r="G395" s="2"/>
      <c r="J395" s="2"/>
    </row>
    <row r="396" spans="1:10">
      <c r="A396" s="139" t="s">
        <v>360</v>
      </c>
      <c r="G396" s="2"/>
      <c r="J396" s="2"/>
    </row>
    <row r="397" spans="1:10">
      <c r="A397" s="139" t="s">
        <v>362</v>
      </c>
      <c r="G397" s="2"/>
      <c r="J397" s="2"/>
    </row>
    <row r="398" spans="1:10">
      <c r="A398" s="139" t="s">
        <v>364</v>
      </c>
      <c r="G398" s="2"/>
      <c r="J398" s="2"/>
    </row>
    <row r="399" spans="1:10">
      <c r="A399" s="139" t="s">
        <v>839</v>
      </c>
      <c r="G399" s="2"/>
      <c r="J399" s="2"/>
    </row>
    <row r="400" spans="1:10">
      <c r="A400" s="139" t="s">
        <v>840</v>
      </c>
      <c r="G400" s="2"/>
      <c r="J400" s="2"/>
    </row>
    <row r="401" spans="1:10">
      <c r="A401" s="139" t="s">
        <v>433</v>
      </c>
      <c r="G401" s="2"/>
      <c r="J401" s="2"/>
    </row>
    <row r="402" spans="1:10">
      <c r="A402" s="139" t="s">
        <v>213</v>
      </c>
      <c r="G402" s="2"/>
      <c r="J402" s="2"/>
    </row>
    <row r="403" spans="1:10">
      <c r="A403" s="139" t="s">
        <v>841</v>
      </c>
      <c r="G403" s="2"/>
      <c r="J403" s="2"/>
    </row>
    <row r="404" spans="1:10">
      <c r="A404" s="139"/>
      <c r="G404" s="2"/>
      <c r="J404" s="2"/>
    </row>
    <row r="405" spans="1:10">
      <c r="A405" s="139"/>
      <c r="G405" s="2"/>
      <c r="J405" s="2"/>
    </row>
    <row r="406" spans="1:10">
      <c r="A406" s="190" t="s">
        <v>842</v>
      </c>
      <c r="G406" s="2"/>
      <c r="J406" s="2"/>
    </row>
    <row r="407" spans="1:10">
      <c r="A407" s="187" t="s">
        <v>843</v>
      </c>
      <c r="G407" s="2"/>
      <c r="J407" s="2"/>
    </row>
    <row r="408" spans="1:10">
      <c r="A408" s="139" t="s">
        <v>844</v>
      </c>
      <c r="G408" s="2"/>
      <c r="J408" s="2"/>
    </row>
    <row r="409" spans="1:10">
      <c r="A409" s="139" t="s">
        <v>845</v>
      </c>
      <c r="G409" s="2"/>
      <c r="J409" s="2"/>
    </row>
    <row r="410" spans="1:10">
      <c r="A410" s="139" t="s">
        <v>846</v>
      </c>
      <c r="G410" s="2"/>
      <c r="J410" s="2"/>
    </row>
    <row r="411" spans="1:10">
      <c r="A411" s="139" t="s">
        <v>847</v>
      </c>
      <c r="G411" s="2"/>
      <c r="J411" s="2"/>
    </row>
    <row r="412" spans="1:10">
      <c r="A412" s="139" t="s">
        <v>848</v>
      </c>
      <c r="G412" s="2"/>
      <c r="J412" s="2"/>
    </row>
    <row r="413" spans="1:10">
      <c r="A413" s="139" t="s">
        <v>849</v>
      </c>
      <c r="G413" s="2"/>
      <c r="J413" s="2"/>
    </row>
    <row r="414" spans="1:10">
      <c r="A414" s="139"/>
      <c r="G414" s="2"/>
      <c r="J414" s="2"/>
    </row>
    <row r="415" spans="1:10">
      <c r="A415" s="187" t="s">
        <v>850</v>
      </c>
      <c r="G415" s="2"/>
      <c r="J415" s="2"/>
    </row>
    <row r="416" spans="1:10">
      <c r="A416" s="139" t="s">
        <v>482</v>
      </c>
      <c r="G416" s="2"/>
      <c r="J416" s="2"/>
    </row>
    <row r="417" spans="1:10">
      <c r="A417" s="139" t="s">
        <v>308</v>
      </c>
      <c r="G417" s="2"/>
      <c r="J417" s="2"/>
    </row>
    <row r="418" spans="1:10">
      <c r="A418" s="139" t="s">
        <v>852</v>
      </c>
      <c r="G418" s="2"/>
      <c r="J418" s="2"/>
    </row>
    <row r="419" spans="1:10">
      <c r="A419" s="139" t="s">
        <v>853</v>
      </c>
      <c r="G419" s="2"/>
      <c r="J419" s="2"/>
    </row>
    <row r="420" spans="1:10">
      <c r="A420" s="139" t="s">
        <v>479</v>
      </c>
      <c r="G420" s="2"/>
      <c r="J420" s="2"/>
    </row>
    <row r="421" spans="1:10">
      <c r="A421" s="139" t="s">
        <v>403</v>
      </c>
      <c r="G421" s="2"/>
      <c r="J421" s="2"/>
    </row>
    <row r="422" spans="1:10">
      <c r="A422" s="139" t="s">
        <v>545</v>
      </c>
      <c r="G422" s="2"/>
      <c r="J422" s="2"/>
    </row>
    <row r="423" spans="1:10">
      <c r="A423" s="139" t="s">
        <v>92</v>
      </c>
      <c r="G423" s="2"/>
      <c r="J423" s="2"/>
    </row>
    <row r="424" spans="1:10">
      <c r="A424" s="190" t="s">
        <v>856</v>
      </c>
      <c r="G424" s="2"/>
      <c r="J424" s="2"/>
    </row>
    <row r="425" spans="1:10">
      <c r="A425" s="139"/>
      <c r="G425" s="2"/>
      <c r="J425" s="2"/>
    </row>
    <row r="426" spans="1:10">
      <c r="A426" s="139"/>
      <c r="G426" s="2"/>
      <c r="J426" s="2"/>
    </row>
    <row r="427" spans="1:10">
      <c r="A427" s="139" t="s">
        <v>672</v>
      </c>
      <c r="G427" s="2"/>
      <c r="J427" s="2"/>
    </row>
    <row r="428" spans="1:10">
      <c r="A428" s="139" t="s">
        <v>674</v>
      </c>
      <c r="G428" s="2"/>
      <c r="J428" s="2"/>
    </row>
    <row r="429" spans="1:10">
      <c r="A429" s="139" t="s">
        <v>675</v>
      </c>
      <c r="G429" s="2"/>
      <c r="J429" s="2"/>
    </row>
    <row r="430" spans="1:10">
      <c r="A430" s="139" t="s">
        <v>676</v>
      </c>
      <c r="G430" s="2"/>
      <c r="J430" s="2"/>
    </row>
    <row r="431" spans="1:10">
      <c r="A431" s="139" t="s">
        <v>688</v>
      </c>
      <c r="G431" s="2"/>
      <c r="J431" s="2"/>
    </row>
    <row r="432" spans="1:10">
      <c r="A432" s="139" t="s">
        <v>704</v>
      </c>
      <c r="G432" s="2"/>
      <c r="J432" s="2"/>
    </row>
    <row r="433" spans="1:10">
      <c r="A433" s="139" t="s">
        <v>705</v>
      </c>
      <c r="G433" s="2"/>
      <c r="J433" s="2"/>
    </row>
    <row r="434" spans="1:10">
      <c r="A434" s="139" t="s">
        <v>707</v>
      </c>
      <c r="G434" s="2"/>
      <c r="J434" s="2"/>
    </row>
    <row r="435" spans="1:10">
      <c r="A435" s="139" t="s">
        <v>715</v>
      </c>
      <c r="G435" s="2"/>
      <c r="J435" s="2"/>
    </row>
    <row r="436" spans="1:10">
      <c r="A436" s="139" t="s">
        <v>92</v>
      </c>
      <c r="G436" s="2"/>
      <c r="J436" s="2"/>
    </row>
    <row r="437" spans="1:10">
      <c r="A437" s="139"/>
      <c r="G437" s="2"/>
      <c r="J437" s="2"/>
    </row>
    <row r="438" spans="1:10">
      <c r="A438" s="190" t="s">
        <v>869</v>
      </c>
      <c r="G438" s="2"/>
      <c r="J438" s="2"/>
    </row>
    <row r="439" spans="1:10">
      <c r="A439" s="190" t="s">
        <v>870</v>
      </c>
      <c r="G439" s="2"/>
      <c r="J439" s="2"/>
    </row>
    <row r="440" spans="1:10">
      <c r="A440" s="139" t="s">
        <v>403</v>
      </c>
      <c r="G440" s="2"/>
      <c r="J440" s="2"/>
    </row>
    <row r="441" spans="1:10">
      <c r="A441" s="139" t="s">
        <v>545</v>
      </c>
      <c r="G441" s="2"/>
      <c r="J441" s="2"/>
    </row>
    <row r="442" spans="1:10">
      <c r="A442" s="139" t="s">
        <v>672</v>
      </c>
      <c r="G442" s="2"/>
      <c r="J442" s="2"/>
    </row>
    <row r="443" spans="1:10">
      <c r="A443" s="139" t="s">
        <v>674</v>
      </c>
      <c r="G443" s="2"/>
      <c r="J443" s="2"/>
    </row>
    <row r="444" spans="1:10">
      <c r="A444" s="139" t="s">
        <v>675</v>
      </c>
      <c r="G444" s="2"/>
      <c r="J444" s="2"/>
    </row>
    <row r="445" spans="1:10">
      <c r="A445" s="139" t="s">
        <v>676</v>
      </c>
      <c r="G445" s="2"/>
      <c r="J445" s="2"/>
    </row>
    <row r="446" spans="1:10">
      <c r="A446" s="139" t="s">
        <v>704</v>
      </c>
      <c r="G446" s="2"/>
      <c r="J446" s="2"/>
    </row>
    <row r="447" spans="1:10">
      <c r="A447" s="139" t="s">
        <v>705</v>
      </c>
      <c r="G447" s="2"/>
      <c r="J447" s="2"/>
    </row>
    <row r="448" spans="1:10">
      <c r="A448" s="139" t="s">
        <v>688</v>
      </c>
      <c r="G448" s="2"/>
      <c r="J448" s="2"/>
    </row>
    <row r="449" spans="1:10">
      <c r="A449" s="139" t="s">
        <v>707</v>
      </c>
      <c r="G449" s="2"/>
      <c r="J449" s="2"/>
    </row>
    <row r="450" spans="1:10">
      <c r="A450" s="139" t="s">
        <v>715</v>
      </c>
      <c r="G450" s="2"/>
      <c r="J450" s="2"/>
    </row>
    <row r="451" spans="1:10">
      <c r="A451" s="139"/>
      <c r="G451" s="2"/>
      <c r="J451" s="2"/>
    </row>
    <row r="452" spans="1:10">
      <c r="A452" s="190" t="s">
        <v>871</v>
      </c>
      <c r="G452" s="2"/>
      <c r="J452" s="2"/>
    </row>
    <row r="453" spans="1:10">
      <c r="A453" s="187" t="s">
        <v>843</v>
      </c>
      <c r="G453" s="2"/>
      <c r="J453" s="2"/>
    </row>
    <row r="454" spans="1:10">
      <c r="A454" s="139" t="s">
        <v>804</v>
      </c>
      <c r="G454" s="2"/>
      <c r="J454" s="2"/>
    </row>
    <row r="455" spans="1:10">
      <c r="A455" s="139"/>
      <c r="G455" s="2"/>
      <c r="J455" s="2"/>
    </row>
    <row r="456" spans="1:10">
      <c r="A456" s="187" t="s">
        <v>850</v>
      </c>
      <c r="G456" s="2"/>
      <c r="J456" s="2"/>
    </row>
    <row r="457" spans="1:10">
      <c r="A457" s="139" t="s">
        <v>92</v>
      </c>
      <c r="G457" s="2"/>
      <c r="J457" s="2"/>
    </row>
    <row r="458" spans="1:10">
      <c r="A458" s="139" t="s">
        <v>101</v>
      </c>
      <c r="G458" s="2"/>
      <c r="J458" s="2"/>
    </row>
    <row r="459" spans="1:10">
      <c r="A459" s="139" t="s">
        <v>105</v>
      </c>
      <c r="G459" s="2"/>
      <c r="J459" s="2"/>
    </row>
    <row r="460" spans="1:10">
      <c r="A460" s="139" t="s">
        <v>108</v>
      </c>
      <c r="G460" s="2"/>
      <c r="J460" s="2"/>
    </row>
    <row r="461" spans="1:10">
      <c r="A461" s="139" t="s">
        <v>117</v>
      </c>
      <c r="G461" s="2"/>
      <c r="J461" s="2"/>
    </row>
    <row r="462" spans="1:10">
      <c r="A462" s="139" t="s">
        <v>139</v>
      </c>
      <c r="G462" s="2"/>
      <c r="J462" s="2"/>
    </row>
    <row r="463" spans="1:10">
      <c r="A463" s="139" t="s">
        <v>872</v>
      </c>
      <c r="G463" s="2"/>
      <c r="J463" s="2"/>
    </row>
    <row r="464" spans="1:10">
      <c r="A464" s="139" t="s">
        <v>161</v>
      </c>
      <c r="G464" s="2"/>
      <c r="J464" s="2"/>
    </row>
    <row r="465" spans="1:10">
      <c r="A465" s="139" t="s">
        <v>164</v>
      </c>
      <c r="G465" s="2"/>
      <c r="J465" s="2"/>
    </row>
    <row r="466" spans="1:10">
      <c r="A466" s="139" t="s">
        <v>189</v>
      </c>
      <c r="G466" s="2"/>
      <c r="J466" s="2"/>
    </row>
    <row r="467" spans="1:10">
      <c r="A467" s="139" t="s">
        <v>192</v>
      </c>
      <c r="G467" s="2"/>
      <c r="J467" s="2"/>
    </row>
    <row r="468" spans="1:10">
      <c r="A468" s="139" t="s">
        <v>195</v>
      </c>
      <c r="G468" s="2"/>
      <c r="J468" s="2"/>
    </row>
    <row r="469" spans="1:10">
      <c r="A469" s="139" t="s">
        <v>198</v>
      </c>
      <c r="G469" s="2"/>
      <c r="J469" s="2"/>
    </row>
    <row r="470" spans="1:10">
      <c r="A470" s="139" t="s">
        <v>214</v>
      </c>
      <c r="G470" s="2"/>
      <c r="J470" s="2"/>
    </row>
    <row r="471" spans="1:10">
      <c r="A471" s="139" t="s">
        <v>239</v>
      </c>
      <c r="G471" s="2"/>
      <c r="J471" s="2"/>
    </row>
    <row r="472" spans="1:10">
      <c r="A472" s="139" t="s">
        <v>244</v>
      </c>
      <c r="G472" s="2"/>
      <c r="J472" s="2"/>
    </row>
    <row r="473" spans="1:10">
      <c r="A473" s="139" t="s">
        <v>282</v>
      </c>
      <c r="G473" s="2"/>
      <c r="J473" s="2"/>
    </row>
    <row r="474" spans="1:10">
      <c r="A474" s="139" t="s">
        <v>284</v>
      </c>
      <c r="G474" s="2"/>
      <c r="J474" s="2"/>
    </row>
    <row r="475" spans="1:10">
      <c r="A475" s="139" t="s">
        <v>319</v>
      </c>
      <c r="G475" s="2"/>
      <c r="J475" s="2"/>
    </row>
    <row r="476" spans="1:10">
      <c r="A476" s="139" t="s">
        <v>325</v>
      </c>
    </row>
    <row r="477" spans="1:10">
      <c r="A477" s="139" t="s">
        <v>873</v>
      </c>
    </row>
    <row r="478" spans="1:10">
      <c r="A478" s="139" t="s">
        <v>395</v>
      </c>
    </row>
    <row r="479" spans="1:10">
      <c r="A479" s="139" t="s">
        <v>414</v>
      </c>
    </row>
    <row r="480" spans="1:10">
      <c r="A480" s="139" t="s">
        <v>416</v>
      </c>
    </row>
    <row r="481" spans="1:1">
      <c r="A481" s="139" t="s">
        <v>474</v>
      </c>
    </row>
    <row r="482" spans="1:1">
      <c r="A482" s="139" t="s">
        <v>479</v>
      </c>
    </row>
    <row r="483" spans="1:1">
      <c r="A483" s="139" t="s">
        <v>482</v>
      </c>
    </row>
    <row r="484" spans="1:1">
      <c r="A484" s="139" t="s">
        <v>484</v>
      </c>
    </row>
    <row r="485" spans="1:1">
      <c r="A485" s="139" t="s">
        <v>494</v>
      </c>
    </row>
    <row r="486" spans="1:1">
      <c r="A486" s="139" t="s">
        <v>516</v>
      </c>
    </row>
    <row r="487" spans="1:1">
      <c r="A487" s="139" t="s">
        <v>518</v>
      </c>
    </row>
    <row r="488" spans="1:1">
      <c r="A488" s="139" t="s">
        <v>539</v>
      </c>
    </row>
    <row r="489" spans="1:1">
      <c r="A489" s="139" t="s">
        <v>541</v>
      </c>
    </row>
    <row r="490" spans="1:1">
      <c r="A490" s="139" t="s">
        <v>542</v>
      </c>
    </row>
    <row r="491" spans="1:1">
      <c r="A491" s="139" t="s">
        <v>543</v>
      </c>
    </row>
    <row r="492" spans="1:1">
      <c r="A492" s="139" t="s">
        <v>553</v>
      </c>
    </row>
    <row r="493" spans="1:1">
      <c r="A493" s="139" t="s">
        <v>555</v>
      </c>
    </row>
    <row r="494" spans="1:1">
      <c r="A494" s="139" t="s">
        <v>557</v>
      </c>
    </row>
    <row r="495" spans="1:1">
      <c r="A495" s="139" t="s">
        <v>559</v>
      </c>
    </row>
    <row r="496" spans="1:1">
      <c r="A496" s="139" t="s">
        <v>560</v>
      </c>
    </row>
    <row r="497" spans="1:1">
      <c r="A497" s="139" t="s">
        <v>619</v>
      </c>
    </row>
    <row r="498" spans="1:1">
      <c r="A498" s="139" t="s">
        <v>630</v>
      </c>
    </row>
    <row r="499" spans="1:1">
      <c r="A499" s="139" t="s">
        <v>642</v>
      </c>
    </row>
    <row r="500" spans="1:1">
      <c r="A500" s="139" t="s">
        <v>663</v>
      </c>
    </row>
    <row r="501" spans="1:1">
      <c r="A501" s="139" t="s">
        <v>757</v>
      </c>
    </row>
    <row r="502" spans="1:1">
      <c r="A502" s="139" t="s">
        <v>759</v>
      </c>
    </row>
    <row r="503" spans="1:1">
      <c r="A503" s="139" t="s">
        <v>761</v>
      </c>
    </row>
    <row r="504" spans="1:1">
      <c r="A504" s="139" t="s">
        <v>763</v>
      </c>
    </row>
    <row r="505" spans="1:1">
      <c r="A505" s="139" t="s">
        <v>776</v>
      </c>
    </row>
    <row r="506" spans="1:1">
      <c r="A506" s="139" t="s">
        <v>777</v>
      </c>
    </row>
  </sheetData>
  <autoFilter ref="E10:E310" xr:uid="{C8A95798-AF23-4C19-883A-C25D023AB1DF}"/>
  <mergeCells count="3">
    <mergeCell ref="B1:C1"/>
    <mergeCell ref="E1:F1"/>
    <mergeCell ref="H1:I1"/>
  </mergeCells>
  <conditionalFormatting sqref="A11:B312">
    <cfRule type="expression" dxfId="238" priority="32">
      <formula>MOD(ROW(),2)</formula>
    </cfRule>
  </conditionalFormatting>
  <conditionalFormatting sqref="C148:C149 F149">
    <cfRule type="expression" dxfId="237" priority="71">
      <formula>MOD(ROW(),2)</formula>
    </cfRule>
  </conditionalFormatting>
  <conditionalFormatting sqref="C152:C154 F153:F154">
    <cfRule type="expression" dxfId="236" priority="60">
      <formula>MOD(ROW(),2)</formula>
    </cfRule>
  </conditionalFormatting>
  <conditionalFormatting sqref="C156:C158 F158">
    <cfRule type="expression" dxfId="235" priority="69">
      <formula>MOD(ROW(),2)</formula>
    </cfRule>
  </conditionalFormatting>
  <conditionalFormatting sqref="C160:C162 F162">
    <cfRule type="expression" dxfId="234" priority="67">
      <formula>MOD(ROW(),2)</formula>
    </cfRule>
  </conditionalFormatting>
  <conditionalFormatting sqref="C188:C189 F189">
    <cfRule type="expression" dxfId="233" priority="65">
      <formula>MOD(ROW(),2)</formula>
    </cfRule>
  </conditionalFormatting>
  <conditionalFormatting sqref="C191:C193 F193">
    <cfRule type="expression" dxfId="232" priority="63">
      <formula>MOD(ROW(),2)</formula>
    </cfRule>
  </conditionalFormatting>
  <conditionalFormatting sqref="C197:C198 F198">
    <cfRule type="expression" dxfId="231" priority="62">
      <formula>MOD(ROW(),2)</formula>
    </cfRule>
  </conditionalFormatting>
  <conditionalFormatting sqref="C271:C272 F272">
    <cfRule type="expression" dxfId="230" priority="61">
      <formula>MOD(ROW(),2)</formula>
    </cfRule>
  </conditionalFormatting>
  <conditionalFormatting sqref="C301:C303 E301:F303">
    <cfRule type="expression" dxfId="229" priority="59">
      <formula>MOD(ROW(),2)</formula>
    </cfRule>
  </conditionalFormatting>
  <conditionalFormatting sqref="C313 F313 K313">
    <cfRule type="cellIs" dxfId="228" priority="80" operator="lessThan">
      <formula>0</formula>
    </cfRule>
    <cfRule type="cellIs" dxfId="227" priority="81" operator="greaterThan">
      <formula>0</formula>
    </cfRule>
  </conditionalFormatting>
  <conditionalFormatting sqref="E11:E23 H11:H23 C12 F12 C14 F14 W17:X26 C24 E24:F24 E25:E28 H25:H28 C29 E29:F29 E30:E35 H30:H35 E36:F36 E37:E49 E50:F50 E51:E63 E64:F64 E65:E78 C79 E79:F79 E80:E117 C118 E118:F118 E119:E134 C135 E135:F135 E136:E138 E139:F139 E140:E147 E148:F148 E149:E151 E152:F152 E153:E156 E157:F157 E158:E160 E161:F161 E162:E166 E167:F168 E169 C170 E170:F170 E171:E187 E188:F188 E189:E191 E192:F192 E193:E196 E197:F197 E198:E206 C207 E207:F207 E208:E244 C245 E245:F245 E246:E261 C262:C263 E262:F263 E264 C265 E265:F265 E266 C267 E267:F267 E268:E270 E271:F271 E272:E280 C281:C284 E281:F284 E285:E298 C299 E299:F299 E300 E304:E306 C307 E307:F307 E308:E309 E310:F310 C310:C312 D311:F312">
    <cfRule type="expression" dxfId="226" priority="82">
      <formula>MOD(ROW(),2)</formula>
    </cfRule>
  </conditionalFormatting>
  <conditionalFormatting sqref="F35 C35:C36">
    <cfRule type="expression" dxfId="225" priority="75">
      <formula>MOD(ROW(),2)</formula>
    </cfRule>
  </conditionalFormatting>
  <conditionalFormatting sqref="F49 C49:C50">
    <cfRule type="expression" dxfId="224" priority="74">
      <formula>MOD(ROW(),2)</formula>
    </cfRule>
  </conditionalFormatting>
  <conditionalFormatting sqref="F63 C63:C64">
    <cfRule type="expression" dxfId="223" priority="73">
      <formula>MOD(ROW(),2)</formula>
    </cfRule>
  </conditionalFormatting>
  <conditionalFormatting sqref="F138 C138:C139">
    <cfRule type="expression" dxfId="222" priority="72">
      <formula>MOD(ROW(),2)</formula>
    </cfRule>
  </conditionalFormatting>
  <conditionalFormatting sqref="F156">
    <cfRule type="expression" dxfId="221" priority="70">
      <formula>MOD(ROW(),2)</formula>
    </cfRule>
  </conditionalFormatting>
  <conditionalFormatting sqref="F160">
    <cfRule type="expression" dxfId="220" priority="68">
      <formula>MOD(ROW(),2)</formula>
    </cfRule>
  </conditionalFormatting>
  <conditionalFormatting sqref="F166 C166:C168">
    <cfRule type="expression" dxfId="219" priority="66">
      <formula>MOD(ROW(),2)</formula>
    </cfRule>
  </conditionalFormatting>
  <conditionalFormatting sqref="F191">
    <cfRule type="expression" dxfId="218" priority="64">
      <formula>MOD(ROW(),2)</formula>
    </cfRule>
  </conditionalFormatting>
  <conditionalFormatting sqref="H301:I303">
    <cfRule type="expression" dxfId="217" priority="39">
      <formula>MOD(ROW(),2)</formula>
    </cfRule>
  </conditionalFormatting>
  <conditionalFormatting sqref="I12 I14 H24:I24 H29:I29 H36:I36 H37:H49 H50:I50 H51:H63 H64:I64 H65:H78 H79:I79 H80:H117 H118:I118 H119:H134 H135:I135 H136:H138 H139:I139 H140:H147 H148:I148 H149:H151 H152:I152 H153:H156 I154 H157:I157 H158:H160 H161:I161 H162:H166 H167:I168 H169 H170:I170 H171:H187 H188:I188 H189:H191 H192:I192 H193:H196 H197:I197 H198:H206 H207:I207 H208:H244 H245:I245 H246:H261 H262:I263 H264 H265:I265 H266 H267:I267 H268:H270 H271:I271 H272:H280 H281:I281 H282 H283:I284 H285:H298 H299:I299 H300 H304:H306 H307:I307 H308:H309 H310:I312">
    <cfRule type="expression" dxfId="216" priority="58">
      <formula>MOD(ROW(),2)</formula>
    </cfRule>
  </conditionalFormatting>
  <conditionalFormatting sqref="I134">
    <cfRule type="expression" dxfId="215" priority="54">
      <formula>MOD(ROW(),2)</formula>
    </cfRule>
  </conditionalFormatting>
  <conditionalFormatting sqref="I149">
    <cfRule type="expression" dxfId="214" priority="53">
      <formula>MOD(ROW(),2)</formula>
    </cfRule>
  </conditionalFormatting>
  <conditionalFormatting sqref="I156">
    <cfRule type="expression" dxfId="213" priority="52">
      <formula>MOD(ROW(),2)</formula>
    </cfRule>
  </conditionalFormatting>
  <conditionalFormatting sqref="I158">
    <cfRule type="expression" dxfId="212" priority="51">
      <formula>MOD(ROW(),2)</formula>
    </cfRule>
  </conditionalFormatting>
  <conditionalFormatting sqref="I160">
    <cfRule type="expression" dxfId="211" priority="50">
      <formula>MOD(ROW(),2)</formula>
    </cfRule>
  </conditionalFormatting>
  <conditionalFormatting sqref="I162">
    <cfRule type="expression" dxfId="210" priority="49">
      <formula>MOD(ROW(),2)</formula>
    </cfRule>
  </conditionalFormatting>
  <conditionalFormatting sqref="I166">
    <cfRule type="expression" dxfId="209" priority="48">
      <formula>MOD(ROW(),2)</formula>
    </cfRule>
  </conditionalFormatting>
  <conditionalFormatting sqref="I187">
    <cfRule type="expression" dxfId="208" priority="47">
      <formula>MOD(ROW(),2)</formula>
    </cfRule>
  </conditionalFormatting>
  <conditionalFormatting sqref="I189">
    <cfRule type="expression" dxfId="207" priority="46">
      <formula>MOD(ROW(),2)</formula>
    </cfRule>
  </conditionalFormatting>
  <conditionalFormatting sqref="I191">
    <cfRule type="expression" dxfId="206" priority="45">
      <formula>MOD(ROW(),2)</formula>
    </cfRule>
  </conditionalFormatting>
  <conditionalFormatting sqref="I193">
    <cfRule type="expression" dxfId="205" priority="44">
      <formula>MOD(ROW(),2)</formula>
    </cfRule>
  </conditionalFormatting>
  <conditionalFormatting sqref="I198">
    <cfRule type="expression" dxfId="204" priority="43">
      <formula>MOD(ROW(),2)</formula>
    </cfRule>
  </conditionalFormatting>
  <conditionalFormatting sqref="I261">
    <cfRule type="expression" dxfId="203" priority="42">
      <formula>MOD(ROW(),2)</formula>
    </cfRule>
  </conditionalFormatting>
  <conditionalFormatting sqref="I272">
    <cfRule type="expression" dxfId="202" priority="41">
      <formula>MOD(ROW(),2)</formula>
    </cfRule>
  </conditionalFormatting>
  <conditionalFormatting sqref="I285">
    <cfRule type="expression" dxfId="201" priority="40">
      <formula>MOD(ROW(),2)</formula>
    </cfRule>
  </conditionalFormatting>
  <conditionalFormatting sqref="I313">
    <cfRule type="cellIs" dxfId="200" priority="57" operator="greaterThan">
      <formula>0</formula>
    </cfRule>
    <cfRule type="cellIs" dxfId="199" priority="56" operator="lessThan">
      <formula>0</formula>
    </cfRule>
  </conditionalFormatting>
  <conditionalFormatting sqref="K168:K171">
    <cfRule type="expression" dxfId="198" priority="27">
      <formula>MOD(ROW(),2)</formula>
    </cfRule>
  </conditionalFormatting>
  <conditionalFormatting sqref="K180:K181">
    <cfRule type="expression" dxfId="197" priority="26">
      <formula>MOD(ROW(),2)</formula>
    </cfRule>
  </conditionalFormatting>
  <conditionalFormatting sqref="K241:K245">
    <cfRule type="expression" dxfId="196" priority="7">
      <formula>MOD(ROW(),2)</formula>
    </cfRule>
  </conditionalFormatting>
  <conditionalFormatting sqref="K252:K253">
    <cfRule type="expression" dxfId="195" priority="4">
      <formula>MOD(ROW(),2)</formula>
    </cfRule>
  </conditionalFormatting>
  <conditionalFormatting sqref="K142:R142">
    <cfRule type="expression" dxfId="194" priority="77">
      <formula>MOD(ROW(),2)</formula>
    </cfRule>
  </conditionalFormatting>
  <conditionalFormatting sqref="K150:R150">
    <cfRule type="expression" dxfId="193" priority="76">
      <formula>MOD(ROW(),2)</formula>
    </cfRule>
  </conditionalFormatting>
  <conditionalFormatting sqref="K11:S141">
    <cfRule type="expression" dxfId="192" priority="38">
      <formula>MOD(ROW(),2)</formula>
    </cfRule>
  </conditionalFormatting>
  <conditionalFormatting sqref="K143:S149 K170:S170 L171:S171 K172:S179 L181:S181 L241:S243">
    <cfRule type="expression" dxfId="191" priority="78">
      <formula>MOD(ROW(),2)</formula>
    </cfRule>
  </conditionalFormatting>
  <conditionalFormatting sqref="K151:S167">
    <cfRule type="expression" dxfId="190" priority="28">
      <formula>MOD(ROW(),2)</formula>
    </cfRule>
  </conditionalFormatting>
  <conditionalFormatting sqref="K182:S240">
    <cfRule type="expression" dxfId="189" priority="10">
      <formula>MOD(ROW(),2)</formula>
    </cfRule>
  </conditionalFormatting>
  <conditionalFormatting sqref="K245:S251">
    <cfRule type="expression" dxfId="188" priority="3">
      <formula>MOD(ROW(),2)</formula>
    </cfRule>
  </conditionalFormatting>
  <conditionalFormatting sqref="K254:S311">
    <cfRule type="expression" dxfId="187" priority="1">
      <formula>MOD(ROW(),2)</formula>
    </cfRule>
  </conditionalFormatting>
  <conditionalFormatting sqref="L253:S253">
    <cfRule type="expression" dxfId="186" priority="37">
      <formula>MOD(ROW(),2)</formula>
    </cfRule>
  </conditionalFormatting>
  <conditionalFormatting sqref="W6:Y9">
    <cfRule type="expression" dxfId="185" priority="83">
      <formula>MOD(ROW(),2)=0</formula>
    </cfRule>
  </conditionalFormatting>
  <dataValidations disablePrompts="1" count="2">
    <dataValidation type="list" allowBlank="1" showInputMessage="1" showErrorMessage="1" sqref="X18" xr:uid="{7B3CB127-E739-4F17-9C6D-38E4D9B9EED9}">
      <formula1>"Level 1, Level 2, Level 3"</formula1>
    </dataValidation>
    <dataValidation type="list" allowBlank="1" showInputMessage="1" showErrorMessage="1" sqref="X19:X20" xr:uid="{A2169237-4E40-4AAC-864D-91DB025EDC81}">
      <formula1>"Urban, Market, Senior, Afforable"</formula1>
    </dataValidation>
  </dataValidations>
  <printOptions horizontalCentered="1"/>
  <pageMargins left="0.25" right="0.25" top="0.7" bottom="0.5" header="0.35" footer="0.05"/>
  <pageSetup paperSize="3" scale="80" fitToHeight="0" orientation="landscape" r:id="rId1"/>
  <headerFooter>
    <oddHeader>&amp;R&amp;G</oddHeader>
  </headerFooter>
  <rowBreaks count="4" manualBreakCount="4">
    <brk id="50" max="20" man="1"/>
    <brk id="118" max="20" man="1"/>
    <brk id="188" max="20" man="1"/>
    <brk id="245" max="20" man="1"/>
  </rowBreaks>
  <colBreaks count="1" manualBreakCount="1">
    <brk id="4" max="317" man="1"/>
  </col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AFC0E-6D1A-4A10-996B-080FD6CF8238}">
  <sheetPr>
    <tabColor theme="7" tint="0.79998168889431442"/>
    <pageSetUpPr fitToPage="1"/>
  </sheetPr>
  <dimension ref="A1:AQ513"/>
  <sheetViews>
    <sheetView showGridLines="0" view="pageBreakPreview" zoomScale="70" zoomScaleNormal="100" zoomScaleSheetLayoutView="70" workbookViewId="0">
      <pane xSplit="1" ySplit="13" topLeftCell="B17" activePane="bottomRight" state="frozen"/>
      <selection pane="bottomRight" activeCell="A159" sqref="A159"/>
      <selection pane="bottomLeft" activeCell="I20" sqref="I20"/>
      <selection pane="topRight" activeCell="I20" sqref="I20"/>
    </sheetView>
  </sheetViews>
  <sheetFormatPr defaultColWidth="9.140625" defaultRowHeight="15" outlineLevelRow="1"/>
  <cols>
    <col min="1" max="1" width="42.5703125" style="491" bestFit="1" customWidth="1"/>
    <col min="2" max="2" width="18.28515625" style="490" customWidth="1"/>
    <col min="3" max="3" width="17.85546875" style="490" bestFit="1" customWidth="1"/>
    <col min="4" max="4" width="20" style="490" customWidth="1"/>
    <col min="5" max="5" width="22.5703125" style="490" customWidth="1"/>
    <col min="6" max="6" width="14.85546875" style="490" customWidth="1"/>
    <col min="7" max="7" width="10.28515625" style="491" customWidth="1"/>
    <col min="8" max="8" width="16" style="491" bestFit="1" customWidth="1"/>
    <col min="9" max="9" width="13.140625" style="491" customWidth="1"/>
    <col min="10" max="10" width="16.5703125" style="491" bestFit="1" customWidth="1"/>
    <col min="11" max="11" width="17.42578125" style="491" customWidth="1"/>
    <col min="12" max="12" width="16" style="491" bestFit="1" customWidth="1"/>
    <col min="13" max="13" width="11.5703125" style="491" customWidth="1"/>
    <col min="14" max="14" width="23.42578125" style="491" customWidth="1"/>
    <col min="15" max="15" width="16.28515625" style="491" customWidth="1"/>
    <col min="16" max="16" width="8.85546875" style="491" customWidth="1"/>
    <col min="17" max="17" width="11" style="491" customWidth="1"/>
    <col min="18" max="18" width="9.28515625" style="491" customWidth="1"/>
    <col min="19" max="19" width="16" style="491" bestFit="1" customWidth="1"/>
    <col min="20" max="20" width="7.7109375" style="491" bestFit="1" customWidth="1"/>
    <col min="21" max="21" width="42" style="491" customWidth="1"/>
    <col min="22" max="22" width="9.140625" style="491"/>
    <col min="23" max="23" width="11" style="491" bestFit="1" customWidth="1"/>
    <col min="24" max="24" width="15" style="491" bestFit="1" customWidth="1"/>
    <col min="25" max="25" width="10.28515625" style="491" bestFit="1" customWidth="1"/>
    <col min="26" max="26" width="15.140625" style="491" bestFit="1" customWidth="1"/>
    <col min="27" max="27" width="12.5703125" style="491" customWidth="1"/>
    <col min="28" max="29" width="13.28515625" style="491" bestFit="1" customWidth="1"/>
    <col min="30" max="31" width="9.140625" style="491"/>
    <col min="32" max="33" width="9.28515625" style="491" bestFit="1" customWidth="1"/>
    <col min="34" max="34" width="9.140625" style="491"/>
    <col min="35" max="35" width="10.5703125" style="491" bestFit="1" customWidth="1"/>
    <col min="36" max="36" width="9.140625" style="491" customWidth="1"/>
    <col min="37" max="38" width="9.140625" style="491"/>
    <col min="39" max="40" width="9.28515625" style="491" bestFit="1" customWidth="1"/>
    <col min="41" max="41" width="9.140625" style="491"/>
    <col min="42" max="42" width="12.85546875" style="491" customWidth="1"/>
    <col min="43" max="43" width="9.28515625" style="491" bestFit="1" customWidth="1"/>
    <col min="44" max="16384" width="9.140625" style="491"/>
  </cols>
  <sheetData>
    <row r="1" spans="1:43" ht="15.75" thickBot="1">
      <c r="A1" s="489" t="s">
        <v>8</v>
      </c>
      <c r="B1" s="489"/>
    </row>
    <row r="2" spans="1:43" ht="15.75" thickBot="1">
      <c r="A2" s="492" t="s">
        <v>9</v>
      </c>
      <c r="B2" s="493" t="s">
        <v>10</v>
      </c>
      <c r="J2" s="494" t="s">
        <v>11</v>
      </c>
      <c r="K2" s="495">
        <f>L319</f>
        <v>68005168.685757682</v>
      </c>
      <c r="M2" s="489" t="s">
        <v>12</v>
      </c>
      <c r="N2" s="489"/>
      <c r="O2" s="489"/>
      <c r="Q2" s="489" t="s">
        <v>13</v>
      </c>
      <c r="R2" s="489"/>
      <c r="S2" s="489"/>
    </row>
    <row r="3" spans="1:43">
      <c r="A3" s="496" t="s">
        <v>14</v>
      </c>
      <c r="B3" s="497" t="s">
        <v>883</v>
      </c>
      <c r="J3" s="490"/>
      <c r="K3" s="490"/>
      <c r="M3" s="498" t="s">
        <v>16</v>
      </c>
      <c r="N3" s="499" t="s">
        <v>17</v>
      </c>
      <c r="O3" s="499" t="s">
        <v>18</v>
      </c>
      <c r="Q3" s="496" t="s">
        <v>19</v>
      </c>
      <c r="R3" s="500"/>
      <c r="S3" s="497">
        <v>286</v>
      </c>
      <c r="AE3" s="501" t="s">
        <v>20</v>
      </c>
      <c r="AF3" s="502"/>
      <c r="AG3" s="502"/>
      <c r="AH3" s="502"/>
      <c r="AI3" s="502" t="s">
        <v>21</v>
      </c>
      <c r="AJ3" s="503">
        <f>21*7</f>
        <v>147</v>
      </c>
      <c r="AL3" s="501" t="s">
        <v>22</v>
      </c>
      <c r="AM3" s="502"/>
      <c r="AN3" s="502"/>
      <c r="AO3" s="502"/>
      <c r="AP3" s="502" t="s">
        <v>21</v>
      </c>
      <c r="AQ3" s="503">
        <f>15000+6560+6500+15400+4570+4635+4540+4250</f>
        <v>61455</v>
      </c>
    </row>
    <row r="4" spans="1:43">
      <c r="A4" s="496" t="s">
        <v>23</v>
      </c>
      <c r="B4" s="497" t="s">
        <v>24</v>
      </c>
      <c r="J4" s="494" t="s">
        <v>25</v>
      </c>
      <c r="K4" s="495">
        <f>K2/N9</f>
        <v>187342.06249520023</v>
      </c>
      <c r="M4" s="504" t="s">
        <v>26</v>
      </c>
      <c r="N4" s="505">
        <v>0</v>
      </c>
      <c r="O4" s="506">
        <f t="shared" ref="O4:O9" si="0">N4/$N$9</f>
        <v>0</v>
      </c>
      <c r="Q4" s="496" t="s">
        <v>27</v>
      </c>
      <c r="R4" s="500"/>
      <c r="S4" s="497"/>
      <c r="AE4" s="507" t="s">
        <v>28</v>
      </c>
      <c r="AJ4" s="508">
        <f>14*7</f>
        <v>98</v>
      </c>
      <c r="AL4" s="507" t="s">
        <v>28</v>
      </c>
      <c r="AQ4" s="508"/>
    </row>
    <row r="5" spans="1:43">
      <c r="A5" s="496" t="s">
        <v>29</v>
      </c>
      <c r="B5" s="509"/>
      <c r="F5" s="607"/>
      <c r="J5" s="490"/>
      <c r="K5" s="490"/>
      <c r="M5" s="510" t="s">
        <v>30</v>
      </c>
      <c r="N5" s="497">
        <f>'Assumptions &amp; Takeoffs'!B4+'Assumptions &amp; Takeoffs'!B5</f>
        <v>218</v>
      </c>
      <c r="O5" s="511">
        <f t="shared" si="0"/>
        <v>0.60055096418732778</v>
      </c>
      <c r="Q5" s="496" t="s">
        <v>31</v>
      </c>
      <c r="R5" s="500"/>
      <c r="S5" s="497">
        <v>157</v>
      </c>
      <c r="AE5" s="507" t="s">
        <v>32</v>
      </c>
      <c r="AF5" s="491">
        <f>21*4+8*8+7*6</f>
        <v>190</v>
      </c>
      <c r="AJ5" s="508">
        <f>8*22</f>
        <v>176</v>
      </c>
      <c r="AL5" s="507" t="s">
        <v>32</v>
      </c>
      <c r="AM5" s="491">
        <v>19256</v>
      </c>
      <c r="AQ5" s="508"/>
    </row>
    <row r="6" spans="1:43">
      <c r="A6" s="496" t="s">
        <v>33</v>
      </c>
      <c r="B6" s="512">
        <v>24</v>
      </c>
      <c r="E6" s="490">
        <f>80</f>
        <v>80</v>
      </c>
      <c r="J6" s="494" t="s">
        <v>34</v>
      </c>
      <c r="K6" s="495">
        <f>K2/B8</f>
        <v>187.56372872005119</v>
      </c>
      <c r="M6" s="510" t="s">
        <v>35</v>
      </c>
      <c r="N6" s="497">
        <f>'Assumptions &amp; Takeoffs'!B6+'Assumptions &amp; Takeoffs'!B7</f>
        <v>145</v>
      </c>
      <c r="O6" s="511">
        <f t="shared" si="0"/>
        <v>0.39944903581267216</v>
      </c>
      <c r="Q6" s="496" t="s">
        <v>36</v>
      </c>
      <c r="R6" s="500"/>
      <c r="S6" s="497">
        <v>14</v>
      </c>
      <c r="AE6" s="507" t="s">
        <v>37</v>
      </c>
      <c r="AF6" s="491">
        <f>14*4+21*2+8*6</f>
        <v>146</v>
      </c>
      <c r="AJ6" s="508">
        <f>7*10</f>
        <v>70</v>
      </c>
      <c r="AL6" s="507" t="s">
        <v>37</v>
      </c>
      <c r="AM6" s="491">
        <v>8980</v>
      </c>
      <c r="AQ6" s="508"/>
    </row>
    <row r="7" spans="1:43">
      <c r="A7" s="496" t="s">
        <v>38</v>
      </c>
      <c r="B7" s="497">
        <v>2</v>
      </c>
      <c r="E7" s="490">
        <f>1000/E6</f>
        <v>12.5</v>
      </c>
      <c r="J7" s="490"/>
      <c r="K7" s="490"/>
      <c r="M7" s="510" t="s">
        <v>39</v>
      </c>
      <c r="N7" s="497">
        <v>0</v>
      </c>
      <c r="O7" s="511">
        <f t="shared" si="0"/>
        <v>0</v>
      </c>
      <c r="Q7" s="496" t="s">
        <v>40</v>
      </c>
      <c r="R7" s="500"/>
      <c r="S7" s="497">
        <v>0</v>
      </c>
      <c r="AE7" s="507" t="s">
        <v>41</v>
      </c>
      <c r="AF7" s="491">
        <f>21*2+14*2+8*6</f>
        <v>118</v>
      </c>
      <c r="AJ7" s="508">
        <f>SUM(AJ3:AJ6)</f>
        <v>491</v>
      </c>
      <c r="AL7" s="507" t="s">
        <v>41</v>
      </c>
      <c r="AM7" s="491">
        <v>8850</v>
      </c>
      <c r="AQ7" s="508"/>
    </row>
    <row r="8" spans="1:43">
      <c r="A8" s="496" t="s">
        <v>42</v>
      </c>
      <c r="B8" s="512">
        <f>98509+136604+127458</f>
        <v>362571</v>
      </c>
      <c r="J8" s="494" t="s">
        <v>43</v>
      </c>
      <c r="K8" s="513">
        <f>'Assumptions &amp; Takeoffs'!D8/B8</f>
        <v>0.78175860727967761</v>
      </c>
      <c r="M8" s="514" t="s">
        <v>44</v>
      </c>
      <c r="N8" s="515">
        <v>0</v>
      </c>
      <c r="O8" s="516">
        <f t="shared" si="0"/>
        <v>0</v>
      </c>
      <c r="Q8" s="496" t="s">
        <v>45</v>
      </c>
      <c r="R8" s="500"/>
      <c r="S8" s="497">
        <f>SUM(S3:S7)</f>
        <v>457</v>
      </c>
      <c r="AE8" s="507" t="s">
        <v>46</v>
      </c>
      <c r="AF8" s="491">
        <f>21*2+14*8+8*12+7*8</f>
        <v>306</v>
      </c>
      <c r="AJ8" s="508"/>
      <c r="AL8" s="507" t="s">
        <v>46</v>
      </c>
      <c r="AM8" s="491">
        <v>19965</v>
      </c>
      <c r="AQ8" s="508"/>
    </row>
    <row r="9" spans="1:43" ht="15.75" thickBot="1">
      <c r="A9" s="496" t="s">
        <v>47</v>
      </c>
      <c r="B9" s="517">
        <v>17.350000000000001</v>
      </c>
      <c r="M9" s="518" t="s">
        <v>48</v>
      </c>
      <c r="N9" s="519">
        <f>SUM(N4:N8)</f>
        <v>363</v>
      </c>
      <c r="O9" s="520">
        <f t="shared" si="0"/>
        <v>1</v>
      </c>
      <c r="Q9" s="521" t="s">
        <v>49</v>
      </c>
      <c r="R9" s="522"/>
      <c r="S9" s="523">
        <f>S8/N9</f>
        <v>1.2589531680440771</v>
      </c>
      <c r="T9" s="524"/>
      <c r="AE9" s="507" t="s">
        <v>50</v>
      </c>
      <c r="AF9" s="491">
        <f>21*4+8*6</f>
        <v>132</v>
      </c>
      <c r="AG9" s="491">
        <f>SUM(AF5:AF9)</f>
        <v>892</v>
      </c>
      <c r="AJ9" s="508"/>
      <c r="AL9" s="507" t="s">
        <v>50</v>
      </c>
      <c r="AM9" s="491">
        <f>5870+6250+6290+5915</f>
        <v>24325</v>
      </c>
      <c r="AN9" s="491">
        <f>SUM(AM5:AM9)</f>
        <v>81376</v>
      </c>
      <c r="AQ9" s="508"/>
    </row>
    <row r="10" spans="1:43">
      <c r="A10" s="496" t="s">
        <v>51</v>
      </c>
      <c r="B10" s="512">
        <f>B9*43560</f>
        <v>755766.00000000012</v>
      </c>
      <c r="T10" s="524"/>
      <c r="AE10" s="507"/>
      <c r="AJ10" s="508"/>
      <c r="AL10" s="507"/>
      <c r="AQ10" s="508"/>
    </row>
    <row r="11" spans="1:43" ht="15.75" thickBot="1">
      <c r="A11" s="521" t="s">
        <v>52</v>
      </c>
      <c r="B11" s="525">
        <v>3</v>
      </c>
      <c r="T11" s="524"/>
      <c r="AE11" s="507" t="s">
        <v>53</v>
      </c>
      <c r="AI11" s="491" t="s">
        <v>54</v>
      </c>
      <c r="AJ11" s="508">
        <f>14*8</f>
        <v>112</v>
      </c>
      <c r="AL11" s="507" t="s">
        <v>53</v>
      </c>
      <c r="AP11" s="491" t="s">
        <v>54</v>
      </c>
      <c r="AQ11" s="508">
        <f>5782+5760+8825+9150</f>
        <v>29517</v>
      </c>
    </row>
    <row r="12" spans="1:43">
      <c r="T12" s="524"/>
      <c r="AE12" s="507" t="s">
        <v>32</v>
      </c>
      <c r="AJ12" s="508">
        <f>20*8</f>
        <v>160</v>
      </c>
      <c r="AL12" s="507" t="s">
        <v>32</v>
      </c>
      <c r="AQ12" s="508"/>
    </row>
    <row r="13" spans="1:43" ht="30.75" customHeight="1" thickBot="1">
      <c r="A13" s="526" t="s">
        <v>55</v>
      </c>
      <c r="B13" s="527" t="s">
        <v>56</v>
      </c>
      <c r="C13" s="527" t="s">
        <v>57</v>
      </c>
      <c r="D13" s="527" t="s">
        <v>58</v>
      </c>
      <c r="E13" s="527" t="s">
        <v>59</v>
      </c>
      <c r="F13" s="527" t="s">
        <v>60</v>
      </c>
      <c r="G13" s="527" t="s">
        <v>61</v>
      </c>
      <c r="H13" s="527" t="s">
        <v>62</v>
      </c>
      <c r="I13" s="528" t="s">
        <v>63</v>
      </c>
      <c r="J13" s="527" t="s">
        <v>64</v>
      </c>
      <c r="K13" s="527" t="s">
        <v>65</v>
      </c>
      <c r="L13" s="526" t="s">
        <v>66</v>
      </c>
      <c r="M13" s="529" t="s">
        <v>67</v>
      </c>
      <c r="N13" s="530"/>
      <c r="O13" s="530"/>
      <c r="P13" s="530"/>
      <c r="Q13" s="530"/>
      <c r="R13" s="530"/>
      <c r="S13" s="530"/>
      <c r="T13" s="530"/>
      <c r="U13" s="530"/>
    </row>
    <row r="14" spans="1:43" ht="14.25" hidden="1" customHeight="1" outlineLevel="1">
      <c r="A14" s="531" t="s">
        <v>68</v>
      </c>
      <c r="B14" s="532" t="s">
        <v>69</v>
      </c>
      <c r="C14" s="532" t="s">
        <v>70</v>
      </c>
      <c r="D14" s="532"/>
      <c r="E14" s="532"/>
      <c r="F14" s="532" t="s">
        <v>71</v>
      </c>
      <c r="G14" s="533">
        <f>$B$6</f>
        <v>24</v>
      </c>
      <c r="H14" s="534">
        <f>N324</f>
        <v>137183.26276094382</v>
      </c>
      <c r="I14" s="535">
        <v>0</v>
      </c>
      <c r="J14" s="536">
        <f t="shared" ref="J14" si="1">H14*(1+I14)</f>
        <v>137183.26276094382</v>
      </c>
      <c r="K14" s="536">
        <f>J14*G14</f>
        <v>3292398.3062626515</v>
      </c>
      <c r="M14" s="500"/>
      <c r="N14" s="500"/>
      <c r="O14" s="500"/>
      <c r="P14" s="500"/>
      <c r="Q14" s="500"/>
      <c r="R14" s="500"/>
      <c r="S14" s="500"/>
      <c r="T14" s="500"/>
      <c r="U14" s="500"/>
    </row>
    <row r="15" spans="1:43" collapsed="1">
      <c r="A15" s="537" t="s">
        <v>72</v>
      </c>
      <c r="B15" s="538" t="s">
        <v>69</v>
      </c>
      <c r="C15" s="538"/>
      <c r="D15" s="538"/>
      <c r="E15" s="538"/>
      <c r="F15" s="538"/>
      <c r="G15" s="538"/>
      <c r="H15" s="539"/>
      <c r="I15" s="540"/>
      <c r="J15" s="541"/>
      <c r="K15" s="541"/>
      <c r="L15" s="542">
        <f>K14</f>
        <v>3292398.3062626515</v>
      </c>
      <c r="M15" s="543"/>
      <c r="N15" s="543"/>
      <c r="O15" s="543"/>
      <c r="P15" s="543"/>
      <c r="Q15" s="543"/>
      <c r="R15" s="543"/>
      <c r="S15" s="543"/>
      <c r="T15" s="543"/>
      <c r="U15" s="543"/>
    </row>
    <row r="16" spans="1:43" hidden="1" outlineLevel="1">
      <c r="A16" s="544" t="s">
        <v>73</v>
      </c>
      <c r="B16" s="545" t="s">
        <v>74</v>
      </c>
      <c r="C16" s="545" t="s">
        <v>70</v>
      </c>
      <c r="D16" s="545" t="s">
        <v>75</v>
      </c>
      <c r="E16" s="545" t="s">
        <v>76</v>
      </c>
      <c r="F16" s="545"/>
      <c r="G16" s="546">
        <v>1</v>
      </c>
      <c r="H16" s="547">
        <v>16000</v>
      </c>
      <c r="I16" s="548">
        <v>0</v>
      </c>
      <c r="J16" s="309">
        <f>H16*(1+I16)</f>
        <v>16000</v>
      </c>
      <c r="K16" s="309">
        <f>J16*G16</f>
        <v>16000</v>
      </c>
      <c r="M16" s="549"/>
      <c r="N16" s="549"/>
      <c r="O16" s="549"/>
      <c r="P16" s="549"/>
      <c r="Q16" s="549"/>
      <c r="R16" s="549"/>
      <c r="S16" s="549"/>
      <c r="T16" s="549"/>
      <c r="U16" s="549"/>
    </row>
    <row r="17" spans="1:22" collapsed="1">
      <c r="A17" s="537" t="s">
        <v>77</v>
      </c>
      <c r="B17" s="538" t="s">
        <v>78</v>
      </c>
      <c r="C17" s="538"/>
      <c r="D17" s="538"/>
      <c r="E17" s="538"/>
      <c r="F17" s="538"/>
      <c r="G17" s="538"/>
      <c r="H17" s="539"/>
      <c r="I17" s="540"/>
      <c r="J17" s="541"/>
      <c r="K17" s="541"/>
      <c r="L17" s="542">
        <f>K16</f>
        <v>16000</v>
      </c>
      <c r="M17" s="543"/>
      <c r="N17" s="543"/>
      <c r="O17" s="543"/>
      <c r="P17" s="543"/>
      <c r="Q17" s="543"/>
      <c r="R17" s="543"/>
      <c r="S17" s="543"/>
      <c r="T17" s="543"/>
      <c r="U17" s="543"/>
    </row>
    <row r="18" spans="1:22" hidden="1" outlineLevel="1">
      <c r="A18" s="544" t="s">
        <v>79</v>
      </c>
      <c r="B18" s="545" t="s">
        <v>80</v>
      </c>
      <c r="C18" s="545" t="s">
        <v>70</v>
      </c>
      <c r="D18" s="545" t="s">
        <v>81</v>
      </c>
      <c r="E18" s="545" t="s">
        <v>343</v>
      </c>
      <c r="F18" s="545" t="s">
        <v>185</v>
      </c>
      <c r="G18" s="546">
        <f>'Assumptions &amp; Takeoffs'!B11</f>
        <v>177268</v>
      </c>
      <c r="H18" s="550">
        <v>11.99</v>
      </c>
      <c r="I18" s="548">
        <v>0</v>
      </c>
      <c r="J18" s="551">
        <f t="shared" ref="J18:J20" si="2">H18*(1+I18)</f>
        <v>11.99</v>
      </c>
      <c r="K18" s="309">
        <f t="shared" ref="K18:K27" si="3">J18*G18</f>
        <v>2125443.3199999998</v>
      </c>
      <c r="M18" s="549" t="s">
        <v>884</v>
      </c>
      <c r="N18" s="549"/>
      <c r="O18" s="549"/>
      <c r="P18" s="549"/>
      <c r="Q18" s="549"/>
      <c r="R18" s="549"/>
      <c r="S18" s="549"/>
      <c r="T18" s="549"/>
      <c r="U18" s="549"/>
      <c r="V18" s="490"/>
    </row>
    <row r="19" spans="1:22" hidden="1" outlineLevel="1">
      <c r="A19" s="552" t="s">
        <v>86</v>
      </c>
      <c r="B19" s="553" t="s">
        <v>80</v>
      </c>
      <c r="C19" s="553" t="s">
        <v>70</v>
      </c>
      <c r="D19" s="553" t="s">
        <v>81</v>
      </c>
      <c r="E19" s="553" t="s">
        <v>87</v>
      </c>
      <c r="F19" s="553"/>
      <c r="G19" s="554"/>
      <c r="H19" s="555"/>
      <c r="I19" s="556"/>
      <c r="J19" s="551">
        <f>H19*(1+I19)</f>
        <v>0</v>
      </c>
      <c r="K19" s="309">
        <f t="shared" si="3"/>
        <v>0</v>
      </c>
      <c r="M19" s="500"/>
      <c r="N19" s="500"/>
      <c r="O19" s="500"/>
      <c r="P19" s="500"/>
      <c r="Q19" s="500"/>
      <c r="R19" s="500"/>
      <c r="S19" s="500"/>
      <c r="T19" s="500"/>
      <c r="U19" s="500"/>
      <c r="V19" s="490"/>
    </row>
    <row r="20" spans="1:22" hidden="1" outlineLevel="1">
      <c r="A20" s="552" t="s">
        <v>89</v>
      </c>
      <c r="B20" s="553" t="s">
        <v>80</v>
      </c>
      <c r="C20" s="553" t="s">
        <v>90</v>
      </c>
      <c r="D20" s="553" t="s">
        <v>81</v>
      </c>
      <c r="E20" s="557" t="s">
        <v>76</v>
      </c>
      <c r="F20" s="553" t="s">
        <v>83</v>
      </c>
      <c r="G20" s="554">
        <v>1</v>
      </c>
      <c r="H20" s="555">
        <v>7500</v>
      </c>
      <c r="I20" s="556">
        <v>0</v>
      </c>
      <c r="J20" s="551">
        <f t="shared" si="2"/>
        <v>7500</v>
      </c>
      <c r="K20" s="309">
        <f t="shared" si="3"/>
        <v>7500</v>
      </c>
      <c r="M20" s="500"/>
      <c r="N20" s="500"/>
      <c r="O20" s="500"/>
      <c r="P20" s="500"/>
      <c r="Q20" s="500"/>
      <c r="R20" s="500"/>
      <c r="S20" s="500"/>
      <c r="T20" s="500"/>
      <c r="U20" s="500"/>
      <c r="V20" s="490"/>
    </row>
    <row r="21" spans="1:22" hidden="1" outlineLevel="1">
      <c r="A21" s="552" t="s">
        <v>92</v>
      </c>
      <c r="B21" s="553" t="s">
        <v>80</v>
      </c>
      <c r="C21" s="553" t="s">
        <v>70</v>
      </c>
      <c r="D21" s="553" t="s">
        <v>93</v>
      </c>
      <c r="E21" s="553" t="s">
        <v>76</v>
      </c>
      <c r="F21" s="557" t="s">
        <v>83</v>
      </c>
      <c r="G21" s="558">
        <v>1</v>
      </c>
      <c r="H21" s="555">
        <v>8500</v>
      </c>
      <c r="I21" s="556"/>
      <c r="J21" s="551">
        <f>H21*(1+I21)</f>
        <v>8500</v>
      </c>
      <c r="K21" s="309">
        <f t="shared" si="3"/>
        <v>8500</v>
      </c>
      <c r="M21" s="500"/>
      <c r="N21" s="500"/>
      <c r="O21" s="500"/>
      <c r="P21" s="500"/>
      <c r="Q21" s="500"/>
      <c r="R21" s="500"/>
      <c r="S21" s="500"/>
      <c r="T21" s="500"/>
      <c r="U21" s="500"/>
      <c r="V21" s="490"/>
    </row>
    <row r="22" spans="1:22" hidden="1" outlineLevel="1">
      <c r="A22" s="552" t="s">
        <v>95</v>
      </c>
      <c r="B22" s="553" t="s">
        <v>96</v>
      </c>
      <c r="C22" s="553" t="s">
        <v>70</v>
      </c>
      <c r="D22" s="553" t="s">
        <v>97</v>
      </c>
      <c r="E22" s="553" t="s">
        <v>76</v>
      </c>
      <c r="F22" s="553" t="s">
        <v>98</v>
      </c>
      <c r="G22" s="554">
        <f>'Assumptions &amp; Takeoffs'!B14</f>
        <v>14</v>
      </c>
      <c r="H22" s="555">
        <v>5000</v>
      </c>
      <c r="I22" s="556">
        <v>0</v>
      </c>
      <c r="J22" s="551">
        <f t="shared" ref="J22:J27" si="4">H22*(1+I22)</f>
        <v>5000</v>
      </c>
      <c r="K22" s="309">
        <f>J22*G22</f>
        <v>70000</v>
      </c>
      <c r="M22" s="500"/>
      <c r="N22" s="500"/>
      <c r="O22" s="500"/>
      <c r="P22" s="500"/>
      <c r="Q22" s="500"/>
      <c r="R22" s="500"/>
      <c r="S22" s="500"/>
      <c r="T22" s="500"/>
      <c r="U22" s="500"/>
      <c r="V22" s="490"/>
    </row>
    <row r="23" spans="1:22" hidden="1" outlineLevel="1">
      <c r="A23" s="552" t="s">
        <v>101</v>
      </c>
      <c r="B23" s="553" t="s">
        <v>102</v>
      </c>
      <c r="C23" s="553" t="s">
        <v>70</v>
      </c>
      <c r="D23" s="553" t="s">
        <v>103</v>
      </c>
      <c r="E23" s="553" t="s">
        <v>76</v>
      </c>
      <c r="F23" s="553" t="s">
        <v>83</v>
      </c>
      <c r="G23" s="554">
        <v>1</v>
      </c>
      <c r="H23" s="555">
        <v>23959</v>
      </c>
      <c r="I23" s="556">
        <v>0</v>
      </c>
      <c r="J23" s="551">
        <f t="shared" si="4"/>
        <v>23959</v>
      </c>
      <c r="K23" s="309">
        <f t="shared" si="3"/>
        <v>23959</v>
      </c>
      <c r="M23" s="500"/>
      <c r="N23" s="500"/>
      <c r="O23" s="500"/>
      <c r="P23" s="500"/>
      <c r="Q23" s="500"/>
      <c r="R23" s="500"/>
      <c r="S23" s="500"/>
      <c r="T23" s="500"/>
      <c r="U23" s="500"/>
      <c r="V23" s="490"/>
    </row>
    <row r="24" spans="1:22" hidden="1" outlineLevel="1">
      <c r="A24" s="552" t="s">
        <v>105</v>
      </c>
      <c r="B24" s="553" t="s">
        <v>106</v>
      </c>
      <c r="C24" s="553" t="s">
        <v>70</v>
      </c>
      <c r="D24" s="553" t="s">
        <v>103</v>
      </c>
      <c r="E24" s="553" t="s">
        <v>76</v>
      </c>
      <c r="F24" s="553" t="s">
        <v>83</v>
      </c>
      <c r="G24" s="554">
        <v>1</v>
      </c>
      <c r="H24" s="555">
        <v>6500</v>
      </c>
      <c r="I24" s="556">
        <v>0</v>
      </c>
      <c r="J24" s="551">
        <f t="shared" si="4"/>
        <v>6500</v>
      </c>
      <c r="K24" s="309">
        <f t="shared" si="3"/>
        <v>6500</v>
      </c>
      <c r="M24" s="500"/>
      <c r="N24" s="500"/>
      <c r="O24" s="500"/>
      <c r="P24" s="500"/>
      <c r="Q24" s="500"/>
      <c r="R24" s="500"/>
      <c r="S24" s="500"/>
      <c r="T24" s="500"/>
      <c r="U24" s="500"/>
      <c r="V24" s="490"/>
    </row>
    <row r="25" spans="1:22" hidden="1" outlineLevel="1">
      <c r="A25" s="552" t="s">
        <v>108</v>
      </c>
      <c r="B25" s="553" t="s">
        <v>109</v>
      </c>
      <c r="C25" s="553" t="s">
        <v>70</v>
      </c>
      <c r="D25" s="553" t="s">
        <v>110</v>
      </c>
      <c r="E25" s="553" t="s">
        <v>76</v>
      </c>
      <c r="F25" s="553" t="s">
        <v>83</v>
      </c>
      <c r="G25" s="554">
        <v>1</v>
      </c>
      <c r="H25" s="555">
        <v>6500</v>
      </c>
      <c r="I25" s="556">
        <v>0</v>
      </c>
      <c r="J25" s="551">
        <f t="shared" si="4"/>
        <v>6500</v>
      </c>
      <c r="K25" s="309">
        <f t="shared" si="3"/>
        <v>6500</v>
      </c>
      <c r="M25" s="500"/>
      <c r="N25" s="500"/>
      <c r="O25" s="500"/>
      <c r="P25" s="500"/>
      <c r="Q25" s="500"/>
      <c r="R25" s="500"/>
      <c r="S25" s="500"/>
      <c r="T25" s="500"/>
      <c r="U25" s="500"/>
      <c r="V25" s="490"/>
    </row>
    <row r="26" spans="1:22" hidden="1" outlineLevel="1">
      <c r="A26" s="559" t="s">
        <v>112</v>
      </c>
      <c r="B26" s="560" t="s">
        <v>113</v>
      </c>
      <c r="C26" s="560" t="s">
        <v>70</v>
      </c>
      <c r="D26" s="560" t="s">
        <v>81</v>
      </c>
      <c r="E26" s="560" t="s">
        <v>184</v>
      </c>
      <c r="F26" s="560" t="s">
        <v>185</v>
      </c>
      <c r="G26" s="561">
        <f>'Assumptions &amp; Takeoffs'!E14</f>
        <v>171978.5</v>
      </c>
      <c r="H26" s="562">
        <v>2.8</v>
      </c>
      <c r="I26" s="563">
        <v>0</v>
      </c>
      <c r="J26" s="564">
        <f t="shared" si="4"/>
        <v>2.8</v>
      </c>
      <c r="K26" s="309">
        <f t="shared" si="3"/>
        <v>481539.8</v>
      </c>
      <c r="M26" s="500" t="s">
        <v>885</v>
      </c>
      <c r="N26" s="500"/>
      <c r="O26" s="500"/>
      <c r="P26" s="500"/>
      <c r="Q26" s="500"/>
      <c r="R26" s="500"/>
      <c r="S26" s="500"/>
      <c r="T26" s="500"/>
      <c r="U26" s="500"/>
      <c r="V26" s="490"/>
    </row>
    <row r="27" spans="1:22" hidden="1" outlineLevel="1">
      <c r="A27" s="552" t="s">
        <v>117</v>
      </c>
      <c r="B27" s="553" t="s">
        <v>118</v>
      </c>
      <c r="C27" s="553" t="s">
        <v>70</v>
      </c>
      <c r="D27" s="553" t="s">
        <v>81</v>
      </c>
      <c r="E27" s="553" t="s">
        <v>184</v>
      </c>
      <c r="F27" s="553" t="s">
        <v>185</v>
      </c>
      <c r="G27" s="554">
        <f>'Assumptions &amp; Takeoffs'!$H$16</f>
        <v>2236</v>
      </c>
      <c r="H27" s="565">
        <v>20.525067750677508</v>
      </c>
      <c r="I27" s="556">
        <v>0</v>
      </c>
      <c r="J27" s="566">
        <f t="shared" si="4"/>
        <v>20.525067750677508</v>
      </c>
      <c r="K27" s="309">
        <f t="shared" si="3"/>
        <v>45894.05149051491</v>
      </c>
      <c r="M27" s="500"/>
      <c r="N27" s="500"/>
      <c r="O27" s="500"/>
      <c r="P27" s="500"/>
      <c r="Q27" s="500"/>
      <c r="R27" s="500"/>
      <c r="S27" s="500"/>
      <c r="T27" s="500"/>
      <c r="U27" s="500"/>
      <c r="V27" s="490"/>
    </row>
    <row r="28" spans="1:22" collapsed="1">
      <c r="A28" s="537" t="s">
        <v>121</v>
      </c>
      <c r="B28" s="538" t="s">
        <v>122</v>
      </c>
      <c r="C28" s="538"/>
      <c r="D28" s="538"/>
      <c r="E28" s="538"/>
      <c r="F28" s="538"/>
      <c r="G28" s="567"/>
      <c r="H28" s="568"/>
      <c r="I28" s="540"/>
      <c r="J28" s="569"/>
      <c r="K28" s="541"/>
      <c r="L28" s="542">
        <f>SUM(K18:K27)</f>
        <v>2775836.1714905147</v>
      </c>
      <c r="M28" s="543"/>
      <c r="N28" s="543"/>
      <c r="O28" s="543"/>
      <c r="P28" s="543"/>
      <c r="Q28" s="543"/>
      <c r="R28" s="543"/>
      <c r="S28" s="543"/>
      <c r="T28" s="543"/>
      <c r="U28" s="543"/>
      <c r="V28" s="490"/>
    </row>
    <row r="29" spans="1:22" hidden="1" outlineLevel="1">
      <c r="A29" s="544" t="s">
        <v>124</v>
      </c>
      <c r="B29" s="545" t="s">
        <v>125</v>
      </c>
      <c r="C29" s="545" t="s">
        <v>70</v>
      </c>
      <c r="D29" s="545" t="s">
        <v>81</v>
      </c>
      <c r="E29" s="545" t="s">
        <v>87</v>
      </c>
      <c r="F29" s="545" t="s">
        <v>126</v>
      </c>
      <c r="G29" s="546">
        <v>0</v>
      </c>
      <c r="H29" s="547">
        <v>11500</v>
      </c>
      <c r="I29" s="548">
        <v>0</v>
      </c>
      <c r="J29" s="309">
        <f t="shared" ref="J29:J33" si="5">H29*(1+I29)</f>
        <v>11500</v>
      </c>
      <c r="K29" s="309">
        <f>J29*G29</f>
        <v>0</v>
      </c>
      <c r="M29" s="549" t="s">
        <v>127</v>
      </c>
      <c r="N29" s="549"/>
      <c r="O29" s="549"/>
      <c r="P29" s="549"/>
      <c r="Q29" s="549"/>
      <c r="R29" s="549"/>
      <c r="S29" s="549"/>
      <c r="T29" s="549"/>
      <c r="U29" s="549"/>
      <c r="V29" s="490"/>
    </row>
    <row r="30" spans="1:22" hidden="1" outlineLevel="1">
      <c r="A30" s="552" t="s">
        <v>129</v>
      </c>
      <c r="B30" s="553" t="s">
        <v>130</v>
      </c>
      <c r="C30" s="553" t="s">
        <v>70</v>
      </c>
      <c r="D30" s="553" t="s">
        <v>97</v>
      </c>
      <c r="E30" s="553" t="s">
        <v>886</v>
      </c>
      <c r="F30" s="553" t="s">
        <v>132</v>
      </c>
      <c r="G30" s="554">
        <v>14</v>
      </c>
      <c r="H30" s="555">
        <v>7000</v>
      </c>
      <c r="I30" s="556">
        <v>0</v>
      </c>
      <c r="J30" s="551">
        <f t="shared" si="5"/>
        <v>7000</v>
      </c>
      <c r="K30" s="309">
        <f>J30*G30</f>
        <v>98000</v>
      </c>
      <c r="M30" s="500"/>
      <c r="N30" s="500"/>
      <c r="O30" s="500"/>
      <c r="P30" s="500"/>
      <c r="Q30" s="500"/>
      <c r="R30" s="500"/>
      <c r="S30" s="500"/>
      <c r="T30" s="500"/>
      <c r="U30" s="500"/>
      <c r="V30" s="490"/>
    </row>
    <row r="31" spans="1:22" hidden="1" outlineLevel="1">
      <c r="A31" s="552" t="s">
        <v>136</v>
      </c>
      <c r="B31" s="553" t="s">
        <v>137</v>
      </c>
      <c r="C31" s="553" t="s">
        <v>70</v>
      </c>
      <c r="D31" s="553" t="s">
        <v>75</v>
      </c>
      <c r="E31" s="553" t="s">
        <v>87</v>
      </c>
      <c r="F31" s="553"/>
      <c r="G31" s="554"/>
      <c r="H31" s="555">
        <v>0</v>
      </c>
      <c r="I31" s="556"/>
      <c r="J31" s="551">
        <f t="shared" si="5"/>
        <v>0</v>
      </c>
      <c r="K31" s="309">
        <f>J31*G31</f>
        <v>0</v>
      </c>
      <c r="M31" s="500"/>
      <c r="N31" s="500"/>
      <c r="O31" s="500"/>
      <c r="P31" s="500"/>
      <c r="Q31" s="500"/>
      <c r="R31" s="500"/>
      <c r="S31" s="500"/>
      <c r="T31" s="500"/>
      <c r="U31" s="500"/>
      <c r="V31" s="490"/>
    </row>
    <row r="32" spans="1:22" hidden="1" outlineLevel="1">
      <c r="A32" s="552" t="s">
        <v>139</v>
      </c>
      <c r="B32" s="553" t="s">
        <v>140</v>
      </c>
      <c r="C32" s="553" t="s">
        <v>70</v>
      </c>
      <c r="D32" s="553" t="s">
        <v>103</v>
      </c>
      <c r="E32" s="553" t="s">
        <v>76</v>
      </c>
      <c r="F32" s="553" t="s">
        <v>83</v>
      </c>
      <c r="G32" s="554">
        <v>3</v>
      </c>
      <c r="H32" s="555">
        <v>5000</v>
      </c>
      <c r="I32" s="556">
        <v>0</v>
      </c>
      <c r="J32" s="551">
        <f t="shared" si="5"/>
        <v>5000</v>
      </c>
      <c r="K32" s="309">
        <f>J32*G32</f>
        <v>15000</v>
      </c>
      <c r="M32" s="500"/>
      <c r="N32" s="500"/>
      <c r="O32" s="500"/>
      <c r="P32" s="500"/>
      <c r="Q32" s="500"/>
      <c r="R32" s="500"/>
      <c r="S32" s="500"/>
      <c r="T32" s="500"/>
      <c r="U32" s="500"/>
      <c r="V32" s="490"/>
    </row>
    <row r="33" spans="1:22" hidden="1" outlineLevel="1">
      <c r="A33" s="552" t="s">
        <v>142</v>
      </c>
      <c r="B33" s="553" t="s">
        <v>143</v>
      </c>
      <c r="C33" s="553" t="s">
        <v>144</v>
      </c>
      <c r="D33" s="553" t="s">
        <v>110</v>
      </c>
      <c r="E33" s="553" t="s">
        <v>76</v>
      </c>
      <c r="F33" s="553" t="s">
        <v>83</v>
      </c>
      <c r="G33" s="554">
        <v>1</v>
      </c>
      <c r="H33" s="555">
        <v>15000</v>
      </c>
      <c r="I33" s="556">
        <v>0</v>
      </c>
      <c r="J33" s="551">
        <f t="shared" si="5"/>
        <v>15000</v>
      </c>
      <c r="K33" s="309">
        <f>J33*G33</f>
        <v>15000</v>
      </c>
      <c r="M33" s="500"/>
      <c r="N33" s="500"/>
      <c r="O33" s="500"/>
      <c r="P33" s="500"/>
      <c r="Q33" s="500"/>
      <c r="R33" s="500"/>
      <c r="S33" s="500"/>
      <c r="T33" s="500"/>
      <c r="U33" s="500"/>
      <c r="V33" s="490"/>
    </row>
    <row r="34" spans="1:22" collapsed="1">
      <c r="A34" s="537" t="s">
        <v>146</v>
      </c>
      <c r="B34" s="538" t="s">
        <v>147</v>
      </c>
      <c r="C34" s="538"/>
      <c r="D34" s="538"/>
      <c r="E34" s="538"/>
      <c r="F34" s="538"/>
      <c r="G34" s="567"/>
      <c r="H34" s="568"/>
      <c r="I34" s="540"/>
      <c r="J34" s="569"/>
      <c r="K34" s="541"/>
      <c r="L34" s="542">
        <f>SUM(K29:K33)</f>
        <v>128000</v>
      </c>
      <c r="M34" s="543"/>
      <c r="N34" s="543"/>
      <c r="O34" s="543"/>
      <c r="P34" s="543"/>
      <c r="Q34" s="543"/>
      <c r="R34" s="543"/>
      <c r="S34" s="543"/>
      <c r="T34" s="543"/>
      <c r="U34" s="543"/>
      <c r="V34" s="490"/>
    </row>
    <row r="35" spans="1:22" hidden="1" outlineLevel="1">
      <c r="A35" s="544" t="s">
        <v>128</v>
      </c>
      <c r="B35" s="545" t="s">
        <v>149</v>
      </c>
      <c r="C35" s="545" t="s">
        <v>70</v>
      </c>
      <c r="D35" s="545" t="s">
        <v>81</v>
      </c>
      <c r="E35" s="545" t="s">
        <v>76</v>
      </c>
      <c r="F35" s="545" t="s">
        <v>83</v>
      </c>
      <c r="G35" s="546">
        <v>1</v>
      </c>
      <c r="H35" s="547">
        <v>150000</v>
      </c>
      <c r="I35" s="548">
        <v>0</v>
      </c>
      <c r="J35" s="309">
        <f t="shared" ref="J35:J42" si="6">H35*(1+I35)</f>
        <v>150000</v>
      </c>
      <c r="K35" s="309">
        <f t="shared" ref="K35:K42" si="7">J35*G35</f>
        <v>150000</v>
      </c>
      <c r="M35" s="549" t="s">
        <v>887</v>
      </c>
      <c r="N35" s="549"/>
      <c r="O35" s="549"/>
      <c r="P35" s="549"/>
      <c r="Q35" s="549"/>
      <c r="R35" s="549"/>
      <c r="S35" s="549"/>
      <c r="T35" s="549"/>
      <c r="U35" s="549"/>
      <c r="V35" s="490"/>
    </row>
    <row r="36" spans="1:22" hidden="1" outlineLevel="1">
      <c r="A36" s="552" t="s">
        <v>151</v>
      </c>
      <c r="B36" s="553" t="s">
        <v>152</v>
      </c>
      <c r="C36" s="553" t="s">
        <v>70</v>
      </c>
      <c r="D36" s="553" t="s">
        <v>81</v>
      </c>
      <c r="E36" s="553" t="s">
        <v>76</v>
      </c>
      <c r="F36" s="553" t="s">
        <v>132</v>
      </c>
      <c r="G36" s="554">
        <f>'Assumptions &amp; Takeoffs'!$B$12</f>
        <v>6</v>
      </c>
      <c r="H36" s="555">
        <v>4250</v>
      </c>
      <c r="I36" s="556">
        <v>0</v>
      </c>
      <c r="J36" s="309">
        <f t="shared" si="6"/>
        <v>4250</v>
      </c>
      <c r="K36" s="309">
        <f>J36*G36</f>
        <v>25500</v>
      </c>
      <c r="M36" s="500"/>
      <c r="N36" s="500"/>
      <c r="O36" s="500"/>
      <c r="P36" s="500"/>
      <c r="Q36" s="500"/>
      <c r="R36" s="500"/>
      <c r="S36" s="500"/>
      <c r="T36" s="500"/>
      <c r="U36" s="500"/>
      <c r="V36" s="490"/>
    </row>
    <row r="37" spans="1:22" hidden="1" outlineLevel="1">
      <c r="A37" s="552" t="s">
        <v>154</v>
      </c>
      <c r="B37" s="553" t="s">
        <v>155</v>
      </c>
      <c r="C37" s="553" t="s">
        <v>70</v>
      </c>
      <c r="D37" s="553" t="s">
        <v>81</v>
      </c>
      <c r="E37" s="553" t="s">
        <v>886</v>
      </c>
      <c r="F37" s="553" t="s">
        <v>157</v>
      </c>
      <c r="G37" s="554">
        <f>'Assumptions &amp; Takeoffs'!B15</f>
        <v>19</v>
      </c>
      <c r="H37" s="555">
        <v>3000</v>
      </c>
      <c r="I37" s="556">
        <v>0</v>
      </c>
      <c r="J37" s="309">
        <f t="shared" si="6"/>
        <v>3000</v>
      </c>
      <c r="K37" s="309">
        <f>J37*G37</f>
        <v>57000</v>
      </c>
      <c r="M37" s="500"/>
      <c r="N37" s="500"/>
      <c r="O37" s="500"/>
      <c r="P37" s="500"/>
      <c r="Q37" s="500"/>
      <c r="R37" s="500"/>
      <c r="S37" s="500"/>
      <c r="T37" s="500"/>
      <c r="U37" s="500"/>
      <c r="V37" s="490"/>
    </row>
    <row r="38" spans="1:22" hidden="1" outlineLevel="1">
      <c r="A38" s="552" t="s">
        <v>160</v>
      </c>
      <c r="B38" s="553" t="s">
        <v>155</v>
      </c>
      <c r="C38" s="553" t="s">
        <v>70</v>
      </c>
      <c r="D38" s="553" t="s">
        <v>81</v>
      </c>
      <c r="E38" s="553" t="s">
        <v>87</v>
      </c>
      <c r="F38" s="553"/>
      <c r="G38" s="554"/>
      <c r="H38" s="555">
        <v>0</v>
      </c>
      <c r="I38" s="556">
        <v>0</v>
      </c>
      <c r="J38" s="309">
        <f t="shared" si="6"/>
        <v>0</v>
      </c>
      <c r="K38" s="309">
        <f t="shared" si="7"/>
        <v>0</v>
      </c>
      <c r="M38" s="500"/>
      <c r="N38" s="500"/>
      <c r="O38" s="500"/>
      <c r="P38" s="500"/>
      <c r="Q38" s="500"/>
      <c r="R38" s="500"/>
      <c r="S38" s="500"/>
      <c r="T38" s="500"/>
      <c r="U38" s="500"/>
      <c r="V38" s="490"/>
    </row>
    <row r="39" spans="1:22" hidden="1" outlineLevel="1">
      <c r="A39" s="552" t="s">
        <v>161</v>
      </c>
      <c r="B39" s="553" t="s">
        <v>162</v>
      </c>
      <c r="C39" s="553" t="s">
        <v>70</v>
      </c>
      <c r="D39" s="553" t="s">
        <v>103</v>
      </c>
      <c r="E39" s="553" t="s">
        <v>87</v>
      </c>
      <c r="F39" s="553"/>
      <c r="G39" s="554"/>
      <c r="H39" s="555">
        <v>0</v>
      </c>
      <c r="I39" s="556">
        <v>0</v>
      </c>
      <c r="J39" s="309">
        <f t="shared" si="6"/>
        <v>0</v>
      </c>
      <c r="K39" s="309">
        <f t="shared" si="7"/>
        <v>0</v>
      </c>
      <c r="M39" s="500"/>
      <c r="N39" s="500"/>
      <c r="O39" s="500"/>
      <c r="P39" s="500"/>
      <c r="Q39" s="500"/>
      <c r="R39" s="500"/>
      <c r="S39" s="500"/>
      <c r="T39" s="500"/>
      <c r="U39" s="500"/>
      <c r="V39" s="490"/>
    </row>
    <row r="40" spans="1:22" hidden="1" outlineLevel="1">
      <c r="A40" s="552" t="s">
        <v>164</v>
      </c>
      <c r="B40" s="553" t="s">
        <v>165</v>
      </c>
      <c r="C40" s="553" t="s">
        <v>70</v>
      </c>
      <c r="D40" s="553" t="s">
        <v>110</v>
      </c>
      <c r="E40" s="553" t="s">
        <v>343</v>
      </c>
      <c r="F40" s="553" t="s">
        <v>132</v>
      </c>
      <c r="G40" s="554">
        <v>1</v>
      </c>
      <c r="H40" s="555">
        <v>1950</v>
      </c>
      <c r="I40" s="556">
        <v>0</v>
      </c>
      <c r="J40" s="309">
        <f t="shared" si="6"/>
        <v>1950</v>
      </c>
      <c r="K40" s="309">
        <f t="shared" si="7"/>
        <v>1950</v>
      </c>
      <c r="M40" s="500"/>
      <c r="N40" s="500"/>
      <c r="O40" s="500"/>
      <c r="P40" s="500"/>
      <c r="Q40" s="500"/>
      <c r="R40" s="500"/>
      <c r="S40" s="500"/>
      <c r="T40" s="500"/>
      <c r="U40" s="500"/>
      <c r="V40" s="490"/>
    </row>
    <row r="41" spans="1:22" hidden="1" outlineLevel="1">
      <c r="A41" s="552" t="s">
        <v>167</v>
      </c>
      <c r="B41" s="553" t="s">
        <v>168</v>
      </c>
      <c r="C41" s="553" t="s">
        <v>70</v>
      </c>
      <c r="D41" s="553" t="s">
        <v>81</v>
      </c>
      <c r="E41" s="553" t="s">
        <v>886</v>
      </c>
      <c r="F41" s="553" t="s">
        <v>169</v>
      </c>
      <c r="G41" s="554">
        <f>'Assumptions &amp; Takeoffs'!$B$18</f>
        <v>2595</v>
      </c>
      <c r="H41" s="570">
        <v>92.5</v>
      </c>
      <c r="I41" s="556">
        <v>0</v>
      </c>
      <c r="J41" s="571">
        <v>92.5</v>
      </c>
      <c r="K41" s="309">
        <f t="shared" si="7"/>
        <v>240037.5</v>
      </c>
      <c r="M41" s="500"/>
      <c r="N41" s="500"/>
      <c r="O41" s="500"/>
      <c r="P41" s="500"/>
      <c r="Q41" s="500"/>
      <c r="R41" s="500"/>
      <c r="S41" s="500"/>
      <c r="T41" s="500"/>
      <c r="U41" s="500"/>
      <c r="V41" s="490"/>
    </row>
    <row r="42" spans="1:22" hidden="1" outlineLevel="1">
      <c r="A42" s="552" t="s">
        <v>171</v>
      </c>
      <c r="B42" s="553" t="s">
        <v>172</v>
      </c>
      <c r="C42" s="553" t="s">
        <v>70</v>
      </c>
      <c r="D42" s="553" t="s">
        <v>173</v>
      </c>
      <c r="E42" s="553" t="s">
        <v>87</v>
      </c>
      <c r="F42" s="553"/>
      <c r="G42" s="554"/>
      <c r="H42" s="555">
        <v>0</v>
      </c>
      <c r="I42" s="556">
        <v>0</v>
      </c>
      <c r="J42" s="551">
        <f t="shared" si="6"/>
        <v>0</v>
      </c>
      <c r="K42" s="309">
        <f t="shared" si="7"/>
        <v>0</v>
      </c>
      <c r="M42" s="500"/>
      <c r="N42" s="500"/>
      <c r="O42" s="500"/>
      <c r="P42" s="500"/>
      <c r="Q42" s="500"/>
      <c r="R42" s="500"/>
      <c r="S42" s="500"/>
      <c r="T42" s="500"/>
      <c r="U42" s="500"/>
      <c r="V42" s="490"/>
    </row>
    <row r="43" spans="1:22" collapsed="1">
      <c r="A43" s="537" t="s">
        <v>175</v>
      </c>
      <c r="B43" s="538" t="s">
        <v>176</v>
      </c>
      <c r="C43" s="538"/>
      <c r="D43" s="538"/>
      <c r="E43" s="538"/>
      <c r="F43" s="538"/>
      <c r="G43" s="567"/>
      <c r="H43" s="568"/>
      <c r="I43" s="540"/>
      <c r="J43" s="569"/>
      <c r="K43" s="541"/>
      <c r="L43" s="542">
        <f>SUM(K35:K42)</f>
        <v>474487.5</v>
      </c>
      <c r="M43" s="543"/>
      <c r="N43" s="543"/>
      <c r="O43" s="543"/>
      <c r="P43" s="543"/>
      <c r="Q43" s="543"/>
      <c r="R43" s="543"/>
      <c r="S43" s="543"/>
      <c r="T43" s="543"/>
      <c r="U43" s="543"/>
      <c r="V43" s="490"/>
    </row>
    <row r="44" spans="1:22" hidden="1" outlineLevel="1">
      <c r="A44" s="552" t="s">
        <v>178</v>
      </c>
      <c r="B44" s="553" t="s">
        <v>179</v>
      </c>
      <c r="C44" s="553" t="s">
        <v>70</v>
      </c>
      <c r="D44" s="553" t="s">
        <v>81</v>
      </c>
      <c r="E44" s="553" t="s">
        <v>184</v>
      </c>
      <c r="F44" s="553" t="s">
        <v>185</v>
      </c>
      <c r="G44" s="554">
        <f>B8</f>
        <v>362571</v>
      </c>
      <c r="H44" s="565">
        <v>18.68</v>
      </c>
      <c r="I44" s="556">
        <v>0</v>
      </c>
      <c r="J44" s="572">
        <f t="shared" ref="J44:J56" si="8">H44*(1+I44)</f>
        <v>18.68</v>
      </c>
      <c r="K44" s="309">
        <f t="shared" ref="K44:K56" si="9">J44*G44</f>
        <v>6772826.2800000003</v>
      </c>
      <c r="M44" s="573" t="s">
        <v>721</v>
      </c>
      <c r="N44" s="500"/>
      <c r="O44" s="500"/>
      <c r="P44" s="500"/>
      <c r="Q44" s="500"/>
      <c r="R44" s="500"/>
      <c r="S44" s="500"/>
      <c r="T44" s="500"/>
      <c r="U44" s="500"/>
      <c r="V44" s="490"/>
    </row>
    <row r="45" spans="1:22" hidden="1" outlineLevel="1">
      <c r="A45" s="552" t="s">
        <v>183</v>
      </c>
      <c r="B45" s="553" t="s">
        <v>179</v>
      </c>
      <c r="C45" s="553" t="s">
        <v>70</v>
      </c>
      <c r="D45" s="553" t="s">
        <v>93</v>
      </c>
      <c r="E45" s="553" t="s">
        <v>184</v>
      </c>
      <c r="F45" s="553" t="s">
        <v>185</v>
      </c>
      <c r="G45" s="554">
        <v>600</v>
      </c>
      <c r="H45" s="565">
        <f>H44</f>
        <v>18.68</v>
      </c>
      <c r="I45" s="556">
        <v>0</v>
      </c>
      <c r="J45" s="572">
        <f t="shared" si="8"/>
        <v>18.68</v>
      </c>
      <c r="K45" s="309">
        <f t="shared" si="9"/>
        <v>11208</v>
      </c>
      <c r="M45" s="500"/>
      <c r="N45" s="500"/>
      <c r="O45" s="500"/>
      <c r="P45" s="500"/>
      <c r="Q45" s="500"/>
      <c r="R45" s="500"/>
      <c r="S45" s="500"/>
      <c r="T45" s="500"/>
      <c r="U45" s="500"/>
      <c r="V45" s="490"/>
    </row>
    <row r="46" spans="1:22" hidden="1" outlineLevel="1">
      <c r="A46" s="552" t="s">
        <v>187</v>
      </c>
      <c r="B46" s="553" t="s">
        <v>179</v>
      </c>
      <c r="C46" s="553" t="s">
        <v>70</v>
      </c>
      <c r="D46" s="553" t="s">
        <v>81</v>
      </c>
      <c r="E46" s="553" t="s">
        <v>87</v>
      </c>
      <c r="F46" s="553"/>
      <c r="G46" s="554"/>
      <c r="H46" s="565"/>
      <c r="I46" s="556">
        <v>0</v>
      </c>
      <c r="J46" s="309">
        <f t="shared" si="8"/>
        <v>0</v>
      </c>
      <c r="K46" s="309">
        <f t="shared" si="9"/>
        <v>0</v>
      </c>
      <c r="M46" s="500"/>
      <c r="N46" s="500"/>
      <c r="O46" s="500"/>
      <c r="P46" s="500"/>
      <c r="Q46" s="500"/>
      <c r="R46" s="500"/>
      <c r="S46" s="500"/>
      <c r="T46" s="500"/>
      <c r="U46" s="500"/>
      <c r="V46" s="490"/>
    </row>
    <row r="47" spans="1:22" hidden="1" outlineLevel="1">
      <c r="A47" s="552" t="s">
        <v>189</v>
      </c>
      <c r="B47" s="553" t="s">
        <v>190</v>
      </c>
      <c r="C47" s="553" t="s">
        <v>70</v>
      </c>
      <c r="D47" s="553" t="s">
        <v>173</v>
      </c>
      <c r="E47" s="553" t="s">
        <v>87</v>
      </c>
      <c r="F47" s="553"/>
      <c r="G47" s="554"/>
      <c r="H47" s="565"/>
      <c r="I47" s="556">
        <v>0</v>
      </c>
      <c r="J47" s="309">
        <f t="shared" si="8"/>
        <v>0</v>
      </c>
      <c r="K47" s="309">
        <f t="shared" si="9"/>
        <v>0</v>
      </c>
      <c r="M47" s="500"/>
      <c r="N47" s="500"/>
      <c r="O47" s="500"/>
      <c r="P47" s="500"/>
      <c r="Q47" s="500"/>
      <c r="R47" s="500"/>
      <c r="S47" s="500"/>
      <c r="T47" s="500"/>
      <c r="U47" s="500"/>
      <c r="V47" s="490"/>
    </row>
    <row r="48" spans="1:22" hidden="1" outlineLevel="1">
      <c r="A48" s="552" t="s">
        <v>192</v>
      </c>
      <c r="B48" s="553" t="s">
        <v>193</v>
      </c>
      <c r="C48" s="553" t="s">
        <v>70</v>
      </c>
      <c r="D48" s="553" t="s">
        <v>173</v>
      </c>
      <c r="E48" s="553" t="s">
        <v>76</v>
      </c>
      <c r="F48" s="553" t="s">
        <v>83</v>
      </c>
      <c r="G48" s="554">
        <v>4</v>
      </c>
      <c r="H48" s="555">
        <v>2500</v>
      </c>
      <c r="I48" s="556">
        <v>0</v>
      </c>
      <c r="J48" s="309">
        <f t="shared" si="8"/>
        <v>2500</v>
      </c>
      <c r="K48" s="309">
        <f t="shared" si="9"/>
        <v>10000</v>
      </c>
      <c r="M48" s="500"/>
      <c r="N48" s="500"/>
      <c r="O48" s="500"/>
      <c r="P48" s="500"/>
      <c r="Q48" s="500"/>
      <c r="R48" s="500"/>
      <c r="S48" s="500"/>
      <c r="T48" s="500"/>
      <c r="U48" s="500"/>
      <c r="V48" s="490"/>
    </row>
    <row r="49" spans="1:24" hidden="1" outlineLevel="1">
      <c r="A49" s="552" t="s">
        <v>195</v>
      </c>
      <c r="B49" s="553" t="s">
        <v>196</v>
      </c>
      <c r="C49" s="553" t="s">
        <v>70</v>
      </c>
      <c r="D49" s="553" t="s">
        <v>173</v>
      </c>
      <c r="E49" s="553" t="s">
        <v>87</v>
      </c>
      <c r="F49" s="553"/>
      <c r="G49" s="554"/>
      <c r="H49" s="565"/>
      <c r="I49" s="556">
        <v>0</v>
      </c>
      <c r="J49" s="309">
        <f t="shared" si="8"/>
        <v>0</v>
      </c>
      <c r="K49" s="309">
        <f t="shared" si="9"/>
        <v>0</v>
      </c>
      <c r="M49" s="500"/>
      <c r="N49" s="500"/>
      <c r="O49" s="500"/>
      <c r="P49" s="500"/>
      <c r="Q49" s="500"/>
      <c r="R49" s="500"/>
      <c r="S49" s="500"/>
      <c r="T49" s="500"/>
      <c r="U49" s="500"/>
      <c r="V49" s="490"/>
    </row>
    <row r="50" spans="1:24" hidden="1" outlineLevel="1">
      <c r="A50" s="552" t="s">
        <v>198</v>
      </c>
      <c r="B50" s="553" t="s">
        <v>199</v>
      </c>
      <c r="C50" s="553" t="s">
        <v>70</v>
      </c>
      <c r="D50" s="553" t="s">
        <v>81</v>
      </c>
      <c r="E50" s="553" t="s">
        <v>87</v>
      </c>
      <c r="F50" s="553"/>
      <c r="G50" s="554"/>
      <c r="H50" s="565"/>
      <c r="I50" s="556">
        <v>0</v>
      </c>
      <c r="J50" s="309">
        <f t="shared" si="8"/>
        <v>0</v>
      </c>
      <c r="K50" s="309">
        <f t="shared" si="9"/>
        <v>0</v>
      </c>
      <c r="M50" s="500"/>
      <c r="N50" s="500"/>
      <c r="O50" s="500"/>
      <c r="P50" s="500"/>
      <c r="Q50" s="500"/>
      <c r="R50" s="500"/>
      <c r="S50" s="500"/>
      <c r="T50" s="500"/>
      <c r="U50" s="500"/>
      <c r="V50" s="490"/>
    </row>
    <row r="51" spans="1:24" hidden="1" outlineLevel="1">
      <c r="A51" s="552" t="s">
        <v>201</v>
      </c>
      <c r="B51" s="553" t="s">
        <v>199</v>
      </c>
      <c r="C51" s="553" t="s">
        <v>70</v>
      </c>
      <c r="D51" s="553" t="s">
        <v>110</v>
      </c>
      <c r="E51" s="553" t="s">
        <v>87</v>
      </c>
      <c r="F51" s="553"/>
      <c r="G51" s="554"/>
      <c r="H51" s="565"/>
      <c r="I51" s="556">
        <v>0</v>
      </c>
      <c r="J51" s="309">
        <f t="shared" si="8"/>
        <v>0</v>
      </c>
      <c r="K51" s="309">
        <f t="shared" si="9"/>
        <v>0</v>
      </c>
      <c r="M51" s="500"/>
      <c r="N51" s="500"/>
      <c r="O51" s="500"/>
      <c r="P51" s="500"/>
      <c r="Q51" s="500"/>
      <c r="R51" s="500"/>
      <c r="S51" s="500"/>
      <c r="T51" s="500"/>
      <c r="U51" s="500"/>
      <c r="V51" s="490"/>
    </row>
    <row r="52" spans="1:24" hidden="1" outlineLevel="1">
      <c r="A52" s="574" t="s">
        <v>203</v>
      </c>
      <c r="B52" s="553" t="s">
        <v>204</v>
      </c>
      <c r="C52" s="553" t="s">
        <v>70</v>
      </c>
      <c r="D52" s="553" t="s">
        <v>81</v>
      </c>
      <c r="E52" s="545" t="s">
        <v>888</v>
      </c>
      <c r="F52" s="553" t="s">
        <v>205</v>
      </c>
      <c r="G52" s="554">
        <f>'Assumptions &amp; Takeoffs'!B21</f>
        <v>269691</v>
      </c>
      <c r="H52" s="570">
        <v>3.55</v>
      </c>
      <c r="I52" s="556">
        <v>0.1</v>
      </c>
      <c r="J52" s="309">
        <f t="shared" si="8"/>
        <v>3.9050000000000002</v>
      </c>
      <c r="K52" s="309">
        <f>J52*G52</f>
        <v>1053143.355</v>
      </c>
      <c r="M52" s="500" t="s">
        <v>206</v>
      </c>
      <c r="N52" s="500"/>
      <c r="O52" s="500"/>
      <c r="P52" s="500"/>
      <c r="Q52" s="500"/>
      <c r="R52" s="500"/>
      <c r="S52" s="500"/>
      <c r="T52" s="500"/>
      <c r="U52" s="500"/>
      <c r="V52" s="490"/>
    </row>
    <row r="53" spans="1:24" hidden="1" outlineLevel="1">
      <c r="A53" s="552" t="s">
        <v>208</v>
      </c>
      <c r="B53" s="553" t="s">
        <v>204</v>
      </c>
      <c r="C53" s="553" t="s">
        <v>70</v>
      </c>
      <c r="D53" s="553" t="s">
        <v>173</v>
      </c>
      <c r="E53" s="553" t="s">
        <v>184</v>
      </c>
      <c r="F53" s="553" t="s">
        <v>185</v>
      </c>
      <c r="G53" s="554">
        <f>B8</f>
        <v>362571</v>
      </c>
      <c r="H53" s="555">
        <v>1.0800044831855071</v>
      </c>
      <c r="I53" s="556">
        <v>0.1</v>
      </c>
      <c r="J53" s="309">
        <f t="shared" si="8"/>
        <v>1.1880049315040579</v>
      </c>
      <c r="K53" s="309">
        <f t="shared" si="9"/>
        <v>430736.13602035778</v>
      </c>
      <c r="M53" s="500" t="s">
        <v>209</v>
      </c>
      <c r="N53" s="500"/>
      <c r="O53" s="500"/>
      <c r="P53" s="500"/>
      <c r="Q53" s="500"/>
      <c r="R53" s="500"/>
      <c r="S53" s="500"/>
      <c r="T53" s="500"/>
      <c r="U53" s="500"/>
      <c r="V53" s="490"/>
      <c r="X53" s="575"/>
    </row>
    <row r="54" spans="1:24" hidden="1" outlineLevel="1">
      <c r="A54" s="552" t="s">
        <v>211</v>
      </c>
      <c r="B54" s="553" t="s">
        <v>212</v>
      </c>
      <c r="C54" s="553" t="s">
        <v>70</v>
      </c>
      <c r="D54" s="553" t="s">
        <v>93</v>
      </c>
      <c r="E54" s="553" t="s">
        <v>76</v>
      </c>
      <c r="F54" s="553" t="s">
        <v>83</v>
      </c>
      <c r="G54" s="554">
        <v>1</v>
      </c>
      <c r="H54" s="555">
        <v>4000</v>
      </c>
      <c r="I54" s="556">
        <v>0</v>
      </c>
      <c r="J54" s="309">
        <f t="shared" si="8"/>
        <v>4000</v>
      </c>
      <c r="K54" s="309">
        <f t="shared" si="9"/>
        <v>4000</v>
      </c>
      <c r="M54" s="500"/>
      <c r="N54" s="500"/>
      <c r="O54" s="500"/>
      <c r="P54" s="500"/>
      <c r="Q54" s="500"/>
      <c r="R54" s="500"/>
      <c r="S54" s="500"/>
      <c r="T54" s="500"/>
      <c r="U54" s="500"/>
      <c r="V54" s="490"/>
      <c r="X54" s="576"/>
    </row>
    <row r="55" spans="1:24" hidden="1" outlineLevel="1">
      <c r="A55" s="552" t="s">
        <v>214</v>
      </c>
      <c r="B55" s="553" t="s">
        <v>215</v>
      </c>
      <c r="C55" s="553" t="s">
        <v>70</v>
      </c>
      <c r="D55" s="553" t="s">
        <v>173</v>
      </c>
      <c r="E55" s="553" t="s">
        <v>76</v>
      </c>
      <c r="F55" s="553" t="s">
        <v>83</v>
      </c>
      <c r="G55" s="554">
        <v>4</v>
      </c>
      <c r="H55" s="555">
        <v>1250</v>
      </c>
      <c r="I55" s="556">
        <v>0</v>
      </c>
      <c r="J55" s="309">
        <f t="shared" si="8"/>
        <v>1250</v>
      </c>
      <c r="K55" s="309">
        <f t="shared" si="9"/>
        <v>5000</v>
      </c>
      <c r="M55" s="500"/>
      <c r="N55" s="500"/>
      <c r="O55" s="500"/>
      <c r="P55" s="500"/>
      <c r="Q55" s="500"/>
      <c r="R55" s="500"/>
      <c r="S55" s="500"/>
      <c r="T55" s="500"/>
      <c r="U55" s="500"/>
      <c r="V55" s="490"/>
      <c r="X55" s="577"/>
    </row>
    <row r="56" spans="1:24" hidden="1" outlineLevel="1">
      <c r="A56" s="552" t="s">
        <v>217</v>
      </c>
      <c r="B56" s="553" t="s">
        <v>218</v>
      </c>
      <c r="C56" s="553" t="s">
        <v>70</v>
      </c>
      <c r="D56" s="553" t="s">
        <v>81</v>
      </c>
      <c r="E56" s="553" t="s">
        <v>87</v>
      </c>
      <c r="F56" s="553"/>
      <c r="G56" s="554"/>
      <c r="H56" s="565"/>
      <c r="I56" s="556">
        <v>0</v>
      </c>
      <c r="J56" s="551">
        <f t="shared" si="8"/>
        <v>0</v>
      </c>
      <c r="K56" s="309">
        <f t="shared" si="9"/>
        <v>0</v>
      </c>
      <c r="M56" s="500"/>
      <c r="N56" s="500"/>
      <c r="O56" s="500"/>
      <c r="P56" s="500"/>
      <c r="Q56" s="500"/>
      <c r="R56" s="500"/>
      <c r="S56" s="500"/>
      <c r="T56" s="500"/>
      <c r="U56" s="500"/>
      <c r="V56" s="490"/>
    </row>
    <row r="57" spans="1:24" collapsed="1">
      <c r="A57" s="537" t="s">
        <v>220</v>
      </c>
      <c r="B57" s="538" t="s">
        <v>221</v>
      </c>
      <c r="C57" s="538"/>
      <c r="D57" s="538"/>
      <c r="E57" s="538"/>
      <c r="F57" s="538"/>
      <c r="G57" s="567"/>
      <c r="H57" s="568"/>
      <c r="I57" s="540"/>
      <c r="J57" s="569"/>
      <c r="K57" s="541"/>
      <c r="L57" s="542">
        <f>SUM(K44:K56)</f>
        <v>8286913.7710203575</v>
      </c>
      <c r="M57" s="543"/>
      <c r="N57" s="543"/>
      <c r="O57" s="543"/>
      <c r="P57" s="543"/>
      <c r="Q57" s="543"/>
      <c r="R57" s="543"/>
      <c r="S57" s="543"/>
      <c r="T57" s="543"/>
      <c r="U57" s="543"/>
      <c r="V57" s="490"/>
    </row>
    <row r="58" spans="1:24" hidden="1" outlineLevel="1">
      <c r="A58" s="544" t="s">
        <v>223</v>
      </c>
      <c r="B58" s="545" t="s">
        <v>224</v>
      </c>
      <c r="C58" s="545" t="s">
        <v>70</v>
      </c>
      <c r="D58" s="545" t="s">
        <v>81</v>
      </c>
      <c r="E58" s="545" t="s">
        <v>889</v>
      </c>
      <c r="F58" s="545" t="s">
        <v>185</v>
      </c>
      <c r="G58" s="546">
        <f>B8</f>
        <v>362571</v>
      </c>
      <c r="H58" s="550">
        <v>2.5</v>
      </c>
      <c r="I58" s="548">
        <v>0</v>
      </c>
      <c r="J58" s="572">
        <f t="shared" ref="J58:J70" si="10">H58*(1+I58)</f>
        <v>2.5</v>
      </c>
      <c r="K58" s="309">
        <f t="shared" ref="K58:K70" si="11">J58*G58</f>
        <v>906427.5</v>
      </c>
      <c r="M58" s="500" t="s">
        <v>890</v>
      </c>
      <c r="N58" s="549"/>
      <c r="O58" s="549"/>
      <c r="P58" s="549"/>
      <c r="Q58" s="549"/>
      <c r="R58" s="549"/>
      <c r="S58" s="549"/>
      <c r="T58" s="549"/>
      <c r="U58" s="549"/>
      <c r="V58" s="490"/>
    </row>
    <row r="59" spans="1:24" hidden="1" outlineLevel="1">
      <c r="A59" s="544" t="s">
        <v>229</v>
      </c>
      <c r="B59" s="545" t="s">
        <v>224</v>
      </c>
      <c r="C59" s="545" t="s">
        <v>70</v>
      </c>
      <c r="D59" s="545" t="s">
        <v>93</v>
      </c>
      <c r="E59" s="545" t="s">
        <v>76</v>
      </c>
      <c r="F59" s="545" t="s">
        <v>83</v>
      </c>
      <c r="G59" s="546">
        <v>1</v>
      </c>
      <c r="H59" s="547">
        <v>2000</v>
      </c>
      <c r="I59" s="548">
        <v>0</v>
      </c>
      <c r="J59" s="309">
        <f t="shared" si="10"/>
        <v>2000</v>
      </c>
      <c r="K59" s="309">
        <f t="shared" si="11"/>
        <v>2000</v>
      </c>
      <c r="M59" s="500"/>
      <c r="N59" s="549"/>
      <c r="O59" s="549"/>
      <c r="P59" s="549"/>
      <c r="Q59" s="549"/>
      <c r="R59" s="549"/>
      <c r="S59" s="549"/>
      <c r="T59" s="549"/>
      <c r="U59" s="549"/>
      <c r="V59" s="490"/>
    </row>
    <row r="60" spans="1:24" hidden="1" outlineLevel="1">
      <c r="A60" s="552" t="s">
        <v>153</v>
      </c>
      <c r="B60" s="553" t="s">
        <v>232</v>
      </c>
      <c r="C60" s="553" t="s">
        <v>70</v>
      </c>
      <c r="D60" s="553" t="s">
        <v>81</v>
      </c>
      <c r="E60" s="553" t="s">
        <v>184</v>
      </c>
      <c r="F60" s="553" t="s">
        <v>891</v>
      </c>
      <c r="G60" s="554">
        <f>'Assumptions &amp; Takeoffs'!$B$19</f>
        <v>2143.4299999999998</v>
      </c>
      <c r="H60" s="555">
        <v>596</v>
      </c>
      <c r="I60" s="556">
        <v>0</v>
      </c>
      <c r="J60" s="555">
        <f t="shared" si="10"/>
        <v>596</v>
      </c>
      <c r="K60" s="555">
        <f t="shared" si="11"/>
        <v>1277484.2799999998</v>
      </c>
      <c r="M60" s="500"/>
      <c r="N60" s="500"/>
      <c r="O60" s="500"/>
      <c r="P60" s="500"/>
      <c r="Q60" s="500"/>
      <c r="R60" s="500"/>
      <c r="S60" s="500"/>
      <c r="T60" s="500"/>
      <c r="U60" s="500"/>
      <c r="V60" s="490"/>
    </row>
    <row r="61" spans="1:24" hidden="1" outlineLevel="1">
      <c r="A61" s="552" t="s">
        <v>236</v>
      </c>
      <c r="B61" s="553" t="s">
        <v>232</v>
      </c>
      <c r="C61" s="553" t="s">
        <v>70</v>
      </c>
      <c r="D61" s="553" t="s">
        <v>93</v>
      </c>
      <c r="E61" s="545" t="s">
        <v>76</v>
      </c>
      <c r="F61" s="545" t="s">
        <v>83</v>
      </c>
      <c r="G61" s="546">
        <v>1</v>
      </c>
      <c r="H61" s="547">
        <v>10000</v>
      </c>
      <c r="I61" s="556">
        <v>0</v>
      </c>
      <c r="J61" s="555">
        <f t="shared" si="10"/>
        <v>10000</v>
      </c>
      <c r="K61" s="555">
        <f t="shared" si="11"/>
        <v>10000</v>
      </c>
      <c r="M61" s="500"/>
      <c r="N61" s="500"/>
      <c r="O61" s="500"/>
      <c r="P61" s="500"/>
      <c r="Q61" s="500"/>
      <c r="R61" s="500"/>
      <c r="S61" s="500"/>
      <c r="T61" s="500"/>
      <c r="U61" s="500"/>
      <c r="V61" s="490"/>
    </row>
    <row r="62" spans="1:24" hidden="1" outlineLevel="1">
      <c r="A62" s="552" t="s">
        <v>239</v>
      </c>
      <c r="B62" s="553" t="s">
        <v>240</v>
      </c>
      <c r="C62" s="553" t="s">
        <v>70</v>
      </c>
      <c r="D62" s="553" t="s">
        <v>173</v>
      </c>
      <c r="E62" s="553" t="s">
        <v>87</v>
      </c>
      <c r="F62" s="553"/>
      <c r="G62" s="554"/>
      <c r="H62" s="565"/>
      <c r="I62" s="556">
        <v>0</v>
      </c>
      <c r="J62" s="555">
        <f t="shared" si="10"/>
        <v>0</v>
      </c>
      <c r="K62" s="555">
        <f t="shared" si="11"/>
        <v>0</v>
      </c>
      <c r="M62" s="500"/>
      <c r="N62" s="500"/>
      <c r="O62" s="500"/>
      <c r="P62" s="500"/>
      <c r="Q62" s="500"/>
      <c r="R62" s="500"/>
      <c r="S62" s="500"/>
      <c r="T62" s="500"/>
      <c r="U62" s="500"/>
      <c r="V62" s="490"/>
    </row>
    <row r="63" spans="1:24" hidden="1" outlineLevel="1">
      <c r="A63" s="552" t="s">
        <v>244</v>
      </c>
      <c r="B63" s="553" t="s">
        <v>240</v>
      </c>
      <c r="C63" s="553" t="s">
        <v>70</v>
      </c>
      <c r="D63" s="553" t="s">
        <v>93</v>
      </c>
      <c r="E63" s="553" t="s">
        <v>76</v>
      </c>
      <c r="F63" s="553" t="s">
        <v>83</v>
      </c>
      <c r="G63" s="554">
        <v>1</v>
      </c>
      <c r="H63" s="555">
        <v>7500</v>
      </c>
      <c r="I63" s="556">
        <v>0</v>
      </c>
      <c r="J63" s="555">
        <f t="shared" si="10"/>
        <v>7500</v>
      </c>
      <c r="K63" s="555">
        <f t="shared" si="11"/>
        <v>7500</v>
      </c>
      <c r="M63" s="500"/>
      <c r="N63" s="500"/>
      <c r="O63" s="500"/>
      <c r="P63" s="500"/>
      <c r="Q63" s="500"/>
      <c r="R63" s="500"/>
      <c r="S63" s="500"/>
      <c r="T63" s="500"/>
      <c r="U63" s="500"/>
      <c r="V63" s="490"/>
    </row>
    <row r="64" spans="1:24" hidden="1" outlineLevel="1">
      <c r="A64" s="552" t="s">
        <v>246</v>
      </c>
      <c r="B64" s="553" t="s">
        <v>247</v>
      </c>
      <c r="C64" s="553" t="s">
        <v>70</v>
      </c>
      <c r="D64" s="553" t="s">
        <v>110</v>
      </c>
      <c r="E64" s="553" t="s">
        <v>76</v>
      </c>
      <c r="F64" s="553" t="s">
        <v>83</v>
      </c>
      <c r="G64" s="554">
        <f>'Assumptions &amp; Takeoffs'!B16</f>
        <v>1</v>
      </c>
      <c r="H64" s="555">
        <v>7500</v>
      </c>
      <c r="I64" s="556">
        <v>0</v>
      </c>
      <c r="J64" s="555">
        <f t="shared" si="10"/>
        <v>7500</v>
      </c>
      <c r="K64" s="555">
        <f t="shared" si="11"/>
        <v>7500</v>
      </c>
      <c r="M64" s="500"/>
      <c r="N64" s="500"/>
      <c r="O64" s="500"/>
      <c r="P64" s="500"/>
      <c r="Q64" s="500"/>
      <c r="R64" s="500"/>
      <c r="S64" s="500"/>
      <c r="T64" s="500"/>
      <c r="U64" s="500"/>
      <c r="V64" s="490"/>
    </row>
    <row r="65" spans="1:22" hidden="1" outlineLevel="1">
      <c r="A65" s="552" t="s">
        <v>249</v>
      </c>
      <c r="B65" s="553" t="s">
        <v>250</v>
      </c>
      <c r="C65" s="553" t="s">
        <v>70</v>
      </c>
      <c r="D65" s="553" t="s">
        <v>97</v>
      </c>
      <c r="E65" s="553" t="s">
        <v>184</v>
      </c>
      <c r="F65" s="553" t="s">
        <v>132</v>
      </c>
      <c r="G65" s="554">
        <f>'Assumptions &amp; Takeoffs'!$B$14</f>
        <v>14</v>
      </c>
      <c r="H65" s="555">
        <v>6000</v>
      </c>
      <c r="I65" s="556">
        <v>0</v>
      </c>
      <c r="J65" s="555">
        <f t="shared" si="10"/>
        <v>6000</v>
      </c>
      <c r="K65" s="555">
        <f t="shared" si="11"/>
        <v>84000</v>
      </c>
      <c r="M65" s="500"/>
      <c r="N65" s="500"/>
      <c r="O65" s="500"/>
      <c r="P65" s="500"/>
      <c r="Q65" s="500"/>
      <c r="R65" s="500"/>
      <c r="S65" s="500"/>
      <c r="T65" s="500"/>
      <c r="U65" s="500"/>
      <c r="V65" s="490"/>
    </row>
    <row r="66" spans="1:22" hidden="1" outlineLevel="1">
      <c r="A66" s="552" t="s">
        <v>253</v>
      </c>
      <c r="B66" s="553" t="s">
        <v>254</v>
      </c>
      <c r="C66" s="553" t="s">
        <v>70</v>
      </c>
      <c r="D66" s="553" t="s">
        <v>81</v>
      </c>
      <c r="E66" s="553" t="s">
        <v>76</v>
      </c>
      <c r="F66" s="553" t="s">
        <v>185</v>
      </c>
      <c r="G66" s="554">
        <f>$B$8</f>
        <v>362571</v>
      </c>
      <c r="H66" s="565">
        <v>0.08</v>
      </c>
      <c r="I66" s="556">
        <v>0</v>
      </c>
      <c r="J66" s="565">
        <f t="shared" si="10"/>
        <v>0.08</v>
      </c>
      <c r="K66" s="555">
        <f t="shared" si="11"/>
        <v>29005.68</v>
      </c>
      <c r="M66" s="500"/>
      <c r="N66" s="500"/>
      <c r="O66" s="500"/>
      <c r="P66" s="500"/>
      <c r="Q66" s="500"/>
      <c r="R66" s="500"/>
      <c r="S66" s="500"/>
      <c r="T66" s="500"/>
      <c r="U66" s="500"/>
      <c r="V66" s="490"/>
    </row>
    <row r="67" spans="1:22" hidden="1" outlineLevel="1">
      <c r="A67" s="552" t="s">
        <v>256</v>
      </c>
      <c r="B67" s="553" t="s">
        <v>257</v>
      </c>
      <c r="C67" s="553" t="s">
        <v>70</v>
      </c>
      <c r="D67" s="553" t="s">
        <v>81</v>
      </c>
      <c r="E67" s="553" t="s">
        <v>76</v>
      </c>
      <c r="F67" s="553" t="s">
        <v>185</v>
      </c>
      <c r="G67" s="554">
        <f>$B$8</f>
        <v>362571</v>
      </c>
      <c r="H67" s="565">
        <v>0.05</v>
      </c>
      <c r="I67" s="556">
        <v>0</v>
      </c>
      <c r="J67" s="565">
        <f t="shared" si="10"/>
        <v>0.05</v>
      </c>
      <c r="K67" s="555">
        <f t="shared" si="11"/>
        <v>18128.55</v>
      </c>
      <c r="M67" s="500"/>
      <c r="N67" s="500"/>
      <c r="O67" s="500"/>
      <c r="P67" s="500"/>
      <c r="Q67" s="500"/>
      <c r="R67" s="500"/>
      <c r="S67" s="500"/>
      <c r="T67" s="500"/>
      <c r="U67" s="500"/>
      <c r="V67" s="490"/>
    </row>
    <row r="68" spans="1:22" hidden="1" outlineLevel="1">
      <c r="A68" s="552" t="s">
        <v>259</v>
      </c>
      <c r="B68" s="553" t="s">
        <v>260</v>
      </c>
      <c r="C68" s="553" t="s">
        <v>70</v>
      </c>
      <c r="D68" s="553" t="s">
        <v>81</v>
      </c>
      <c r="E68" s="553" t="s">
        <v>76</v>
      </c>
      <c r="F68" s="553" t="s">
        <v>132</v>
      </c>
      <c r="G68" s="554">
        <f>2*$B$11</f>
        <v>6</v>
      </c>
      <c r="H68" s="555">
        <v>1550</v>
      </c>
      <c r="I68" s="556">
        <v>0</v>
      </c>
      <c r="J68" s="555">
        <f t="shared" si="10"/>
        <v>1550</v>
      </c>
      <c r="K68" s="555">
        <f t="shared" si="11"/>
        <v>9300</v>
      </c>
      <c r="M68" s="500" t="s">
        <v>261</v>
      </c>
      <c r="N68" s="500"/>
      <c r="O68" s="500"/>
      <c r="P68" s="500"/>
      <c r="Q68" s="500"/>
      <c r="R68" s="500"/>
      <c r="S68" s="500"/>
      <c r="T68" s="500"/>
      <c r="U68" s="500"/>
      <c r="V68" s="490"/>
    </row>
    <row r="69" spans="1:22" hidden="1" outlineLevel="1">
      <c r="A69" s="552" t="s">
        <v>263</v>
      </c>
      <c r="B69" s="553" t="s">
        <v>264</v>
      </c>
      <c r="C69" s="553" t="s">
        <v>70</v>
      </c>
      <c r="D69" s="553" t="s">
        <v>81</v>
      </c>
      <c r="E69" s="553" t="s">
        <v>76</v>
      </c>
      <c r="F69" s="553" t="s">
        <v>132</v>
      </c>
      <c r="G69" s="554">
        <f>2*$B$11</f>
        <v>6</v>
      </c>
      <c r="H69" s="555">
        <v>2500</v>
      </c>
      <c r="I69" s="556">
        <v>0</v>
      </c>
      <c r="J69" s="555">
        <f t="shared" si="10"/>
        <v>2500</v>
      </c>
      <c r="K69" s="555">
        <f t="shared" si="11"/>
        <v>15000</v>
      </c>
      <c r="M69" s="500" t="s">
        <v>261</v>
      </c>
      <c r="N69" s="500"/>
      <c r="O69" s="500"/>
      <c r="P69" s="500"/>
      <c r="Q69" s="500"/>
      <c r="R69" s="500"/>
      <c r="S69" s="500"/>
      <c r="T69" s="500"/>
      <c r="U69" s="500"/>
      <c r="V69" s="490"/>
    </row>
    <row r="70" spans="1:22" hidden="1" outlineLevel="1">
      <c r="A70" s="552" t="s">
        <v>265</v>
      </c>
      <c r="B70" s="553" t="s">
        <v>266</v>
      </c>
      <c r="C70" s="553" t="s">
        <v>70</v>
      </c>
      <c r="D70" s="553" t="s">
        <v>81</v>
      </c>
      <c r="E70" s="553" t="s">
        <v>87</v>
      </c>
      <c r="F70" s="553"/>
      <c r="G70" s="554"/>
      <c r="H70" s="565"/>
      <c r="I70" s="556">
        <v>0</v>
      </c>
      <c r="J70" s="551">
        <f t="shared" si="10"/>
        <v>0</v>
      </c>
      <c r="K70" s="309">
        <f t="shared" si="11"/>
        <v>0</v>
      </c>
      <c r="M70" s="500"/>
      <c r="N70" s="500"/>
      <c r="O70" s="500"/>
      <c r="P70" s="500"/>
      <c r="Q70" s="500"/>
      <c r="R70" s="500"/>
      <c r="S70" s="500"/>
      <c r="T70" s="500"/>
      <c r="U70" s="500"/>
      <c r="V70" s="490"/>
    </row>
    <row r="71" spans="1:22" collapsed="1">
      <c r="A71" s="537" t="s">
        <v>267</v>
      </c>
      <c r="B71" s="538" t="s">
        <v>268</v>
      </c>
      <c r="C71" s="578" t="s">
        <v>892</v>
      </c>
      <c r="D71" s="538"/>
      <c r="E71" s="538"/>
      <c r="F71" s="538"/>
      <c r="G71" s="567"/>
      <c r="H71" s="568"/>
      <c r="I71" s="540"/>
      <c r="J71" s="569"/>
      <c r="K71" s="541"/>
      <c r="L71" s="542">
        <f>SUM(K58:K70)</f>
        <v>2366346.0099999998</v>
      </c>
      <c r="M71" s="543"/>
      <c r="N71" s="543"/>
      <c r="O71" s="543"/>
      <c r="P71" s="543"/>
      <c r="Q71" s="543"/>
      <c r="R71" s="543"/>
      <c r="S71" s="543"/>
      <c r="T71" s="543"/>
      <c r="U71" s="543"/>
      <c r="V71" s="490"/>
    </row>
    <row r="72" spans="1:22" hidden="1" outlineLevel="1">
      <c r="A72" s="552" t="s">
        <v>269</v>
      </c>
      <c r="B72" s="553" t="s">
        <v>270</v>
      </c>
      <c r="C72" s="553" t="s">
        <v>70</v>
      </c>
      <c r="D72" s="553" t="s">
        <v>173</v>
      </c>
      <c r="E72" s="553" t="s">
        <v>76</v>
      </c>
      <c r="F72" s="553" t="s">
        <v>132</v>
      </c>
      <c r="G72" s="554">
        <v>3</v>
      </c>
      <c r="H72" s="555">
        <v>8000</v>
      </c>
      <c r="I72" s="556">
        <v>0</v>
      </c>
      <c r="J72" s="555">
        <f t="shared" ref="J72:J85" si="12">H72*(1+I72)</f>
        <v>8000</v>
      </c>
      <c r="K72" s="555">
        <f t="shared" ref="K72:K85" si="13">J72*G72</f>
        <v>24000</v>
      </c>
      <c r="M72" s="500"/>
      <c r="N72" s="500"/>
      <c r="O72" s="500"/>
      <c r="P72" s="500"/>
      <c r="Q72" s="500"/>
      <c r="R72" s="500"/>
      <c r="S72" s="500"/>
      <c r="T72" s="500"/>
      <c r="U72" s="500"/>
      <c r="V72" s="490"/>
    </row>
    <row r="73" spans="1:22" hidden="1" outlineLevel="1">
      <c r="A73" s="552" t="s">
        <v>271</v>
      </c>
      <c r="B73" s="553" t="s">
        <v>272</v>
      </c>
      <c r="C73" s="553" t="s">
        <v>70</v>
      </c>
      <c r="D73" s="553" t="s">
        <v>173</v>
      </c>
      <c r="E73" s="553" t="s">
        <v>273</v>
      </c>
      <c r="F73" s="553"/>
      <c r="G73" s="554"/>
      <c r="H73" s="565"/>
      <c r="I73" s="556">
        <v>0</v>
      </c>
      <c r="J73" s="565">
        <f t="shared" si="12"/>
        <v>0</v>
      </c>
      <c r="K73" s="555">
        <f t="shared" si="13"/>
        <v>0</v>
      </c>
      <c r="M73" s="500"/>
      <c r="N73" s="500"/>
      <c r="O73" s="500"/>
      <c r="P73" s="500"/>
      <c r="Q73" s="500"/>
      <c r="R73" s="500"/>
      <c r="S73" s="500"/>
      <c r="T73" s="500"/>
      <c r="U73" s="500"/>
      <c r="V73" s="490"/>
    </row>
    <row r="74" spans="1:22" hidden="1" outlineLevel="1">
      <c r="A74" s="552" t="s">
        <v>274</v>
      </c>
      <c r="B74" s="553" t="s">
        <v>272</v>
      </c>
      <c r="C74" s="553" t="s">
        <v>70</v>
      </c>
      <c r="D74" s="553" t="s">
        <v>81</v>
      </c>
      <c r="E74" s="553" t="s">
        <v>87</v>
      </c>
      <c r="F74" s="553"/>
      <c r="G74" s="554"/>
      <c r="H74" s="565"/>
      <c r="I74" s="556">
        <v>0</v>
      </c>
      <c r="J74" s="565">
        <f t="shared" si="12"/>
        <v>0</v>
      </c>
      <c r="K74" s="555">
        <f t="shared" si="13"/>
        <v>0</v>
      </c>
      <c r="M74" s="500"/>
      <c r="N74" s="500"/>
      <c r="O74" s="500"/>
      <c r="P74" s="500"/>
      <c r="Q74" s="500"/>
      <c r="R74" s="500"/>
      <c r="S74" s="500"/>
      <c r="T74" s="500"/>
      <c r="U74" s="500"/>
      <c r="V74" s="490"/>
    </row>
    <row r="75" spans="1:22" hidden="1" outlineLevel="1">
      <c r="A75" s="552" t="s">
        <v>275</v>
      </c>
      <c r="B75" s="553" t="s">
        <v>276</v>
      </c>
      <c r="C75" s="553" t="s">
        <v>70</v>
      </c>
      <c r="D75" s="553" t="s">
        <v>81</v>
      </c>
      <c r="E75" s="553" t="s">
        <v>87</v>
      </c>
      <c r="F75" s="553"/>
      <c r="G75" s="554"/>
      <c r="H75" s="565"/>
      <c r="I75" s="556">
        <v>0</v>
      </c>
      <c r="J75" s="565">
        <f t="shared" si="12"/>
        <v>0</v>
      </c>
      <c r="K75" s="555">
        <f t="shared" si="13"/>
        <v>0</v>
      </c>
      <c r="M75" s="500"/>
      <c r="N75" s="500"/>
      <c r="O75" s="500"/>
      <c r="P75" s="500"/>
      <c r="Q75" s="500"/>
      <c r="R75" s="500"/>
      <c r="S75" s="500"/>
      <c r="T75" s="500"/>
      <c r="U75" s="500"/>
      <c r="V75" s="490"/>
    </row>
    <row r="76" spans="1:22" hidden="1" outlineLevel="1">
      <c r="A76" s="552" t="s">
        <v>277</v>
      </c>
      <c r="B76" s="553" t="s">
        <v>278</v>
      </c>
      <c r="C76" s="553" t="s">
        <v>70</v>
      </c>
      <c r="D76" s="553" t="s">
        <v>81</v>
      </c>
      <c r="E76" s="545" t="s">
        <v>886</v>
      </c>
      <c r="F76" s="553" t="s">
        <v>279</v>
      </c>
      <c r="G76" s="546">
        <f>$N$9</f>
        <v>363</v>
      </c>
      <c r="H76" s="555">
        <f>1450</f>
        <v>1450</v>
      </c>
      <c r="I76" s="556">
        <v>0</v>
      </c>
      <c r="J76" s="555">
        <f t="shared" si="12"/>
        <v>1450</v>
      </c>
      <c r="K76" s="555">
        <f t="shared" si="13"/>
        <v>526350</v>
      </c>
      <c r="M76" s="500" t="s">
        <v>280</v>
      </c>
      <c r="N76" s="500"/>
      <c r="O76" s="500"/>
      <c r="P76" s="500"/>
      <c r="Q76" s="500"/>
      <c r="R76" s="500"/>
      <c r="S76" s="500"/>
      <c r="T76" s="500"/>
      <c r="U76" s="500"/>
      <c r="V76" s="490"/>
    </row>
    <row r="77" spans="1:22" hidden="1" outlineLevel="1">
      <c r="A77" s="552" t="s">
        <v>281</v>
      </c>
      <c r="B77" s="553" t="s">
        <v>278</v>
      </c>
      <c r="C77" s="553" t="s">
        <v>90</v>
      </c>
      <c r="D77" s="553" t="s">
        <v>81</v>
      </c>
      <c r="E77" s="553" t="s">
        <v>76</v>
      </c>
      <c r="F77" s="553" t="s">
        <v>279</v>
      </c>
      <c r="G77" s="546">
        <f>$N$9</f>
        <v>363</v>
      </c>
      <c r="H77" s="555">
        <v>75</v>
      </c>
      <c r="I77" s="556">
        <v>0</v>
      </c>
      <c r="J77" s="555">
        <f t="shared" si="12"/>
        <v>75</v>
      </c>
      <c r="K77" s="555">
        <f t="shared" si="13"/>
        <v>27225</v>
      </c>
      <c r="M77" s="500"/>
      <c r="N77" s="500"/>
      <c r="O77" s="500"/>
      <c r="P77" s="500"/>
      <c r="Q77" s="500"/>
      <c r="R77" s="500"/>
      <c r="S77" s="500"/>
      <c r="T77" s="500"/>
      <c r="U77" s="500"/>
      <c r="V77" s="490"/>
    </row>
    <row r="78" spans="1:22" hidden="1" outlineLevel="1">
      <c r="A78" s="552" t="s">
        <v>282</v>
      </c>
      <c r="B78" s="553" t="s">
        <v>283</v>
      </c>
      <c r="C78" s="553" t="s">
        <v>70</v>
      </c>
      <c r="D78" s="553" t="s">
        <v>110</v>
      </c>
      <c r="E78" s="553" t="s">
        <v>87</v>
      </c>
      <c r="F78" s="553"/>
      <c r="G78" s="554"/>
      <c r="H78" s="565"/>
      <c r="I78" s="556">
        <v>0</v>
      </c>
      <c r="J78" s="565">
        <f t="shared" si="12"/>
        <v>0</v>
      </c>
      <c r="K78" s="555">
        <f t="shared" si="13"/>
        <v>0</v>
      </c>
      <c r="M78" s="500"/>
      <c r="N78" s="500"/>
      <c r="O78" s="500"/>
      <c r="P78" s="500"/>
      <c r="Q78" s="500"/>
      <c r="R78" s="500"/>
      <c r="S78" s="500"/>
      <c r="T78" s="500"/>
      <c r="U78" s="500"/>
      <c r="V78" s="490"/>
    </row>
    <row r="79" spans="1:22" hidden="1" outlineLevel="1">
      <c r="A79" s="552" t="s">
        <v>284</v>
      </c>
      <c r="B79" s="553" t="s">
        <v>285</v>
      </c>
      <c r="C79" s="553" t="s">
        <v>70</v>
      </c>
      <c r="D79" s="553" t="s">
        <v>103</v>
      </c>
      <c r="E79" s="553" t="s">
        <v>87</v>
      </c>
      <c r="F79" s="553"/>
      <c r="G79" s="554"/>
      <c r="H79" s="565"/>
      <c r="I79" s="556">
        <v>0</v>
      </c>
      <c r="J79" s="565">
        <f t="shared" si="12"/>
        <v>0</v>
      </c>
      <c r="K79" s="555">
        <f t="shared" si="13"/>
        <v>0</v>
      </c>
      <c r="M79" s="500"/>
      <c r="N79" s="500"/>
      <c r="O79" s="500"/>
      <c r="P79" s="500"/>
      <c r="Q79" s="500"/>
      <c r="R79" s="500"/>
      <c r="S79" s="500"/>
      <c r="T79" s="500"/>
      <c r="U79" s="500"/>
      <c r="V79" s="490"/>
    </row>
    <row r="80" spans="1:22" hidden="1" outlineLevel="1">
      <c r="A80" s="552" t="s">
        <v>286</v>
      </c>
      <c r="B80" s="553" t="s">
        <v>287</v>
      </c>
      <c r="C80" s="553" t="s">
        <v>70</v>
      </c>
      <c r="D80" s="553" t="s">
        <v>81</v>
      </c>
      <c r="E80" s="553" t="s">
        <v>87</v>
      </c>
      <c r="F80" s="553"/>
      <c r="G80" s="554"/>
      <c r="H80" s="565"/>
      <c r="I80" s="556">
        <v>0</v>
      </c>
      <c r="J80" s="565">
        <f t="shared" si="12"/>
        <v>0</v>
      </c>
      <c r="K80" s="555">
        <f t="shared" si="13"/>
        <v>0</v>
      </c>
      <c r="M80" s="500"/>
      <c r="N80" s="500"/>
      <c r="O80" s="500"/>
      <c r="P80" s="500"/>
      <c r="Q80" s="500"/>
      <c r="R80" s="500"/>
      <c r="S80" s="500"/>
      <c r="T80" s="500"/>
      <c r="U80" s="500"/>
      <c r="V80" s="490"/>
    </row>
    <row r="81" spans="1:24" hidden="1" outlineLevel="1">
      <c r="A81" s="552" t="s">
        <v>288</v>
      </c>
      <c r="B81" s="553" t="s">
        <v>289</v>
      </c>
      <c r="C81" s="553" t="s">
        <v>70</v>
      </c>
      <c r="D81" s="553" t="s">
        <v>81</v>
      </c>
      <c r="E81" s="553" t="s">
        <v>87</v>
      </c>
      <c r="F81" s="553"/>
      <c r="G81" s="554"/>
      <c r="H81" s="565"/>
      <c r="I81" s="556">
        <v>0</v>
      </c>
      <c r="J81" s="565">
        <f t="shared" si="12"/>
        <v>0</v>
      </c>
      <c r="K81" s="555">
        <f t="shared" si="13"/>
        <v>0</v>
      </c>
      <c r="M81" s="500"/>
      <c r="N81" s="500"/>
      <c r="O81" s="500"/>
      <c r="P81" s="500"/>
      <c r="Q81" s="500"/>
      <c r="R81" s="500"/>
      <c r="S81" s="500"/>
      <c r="T81" s="500"/>
      <c r="U81" s="500"/>
      <c r="V81" s="490"/>
    </row>
    <row r="82" spans="1:24" hidden="1" outlineLevel="1">
      <c r="A82" s="552" t="s">
        <v>290</v>
      </c>
      <c r="B82" s="553" t="s">
        <v>291</v>
      </c>
      <c r="C82" s="553" t="s">
        <v>70</v>
      </c>
      <c r="D82" s="553" t="s">
        <v>81</v>
      </c>
      <c r="E82" s="553" t="s">
        <v>87</v>
      </c>
      <c r="F82" s="553"/>
      <c r="G82" s="554"/>
      <c r="H82" s="565"/>
      <c r="I82" s="556">
        <v>0</v>
      </c>
      <c r="J82" s="565">
        <f t="shared" si="12"/>
        <v>0</v>
      </c>
      <c r="K82" s="555">
        <f t="shared" si="13"/>
        <v>0</v>
      </c>
      <c r="M82" s="500"/>
      <c r="N82" s="500"/>
      <c r="O82" s="500"/>
      <c r="P82" s="500"/>
      <c r="Q82" s="500"/>
      <c r="R82" s="500"/>
      <c r="S82" s="500"/>
      <c r="T82" s="500"/>
      <c r="U82" s="500"/>
      <c r="V82" s="490"/>
    </row>
    <row r="83" spans="1:24" hidden="1" outlineLevel="1">
      <c r="A83" s="552" t="s">
        <v>292</v>
      </c>
      <c r="B83" s="553" t="s">
        <v>289</v>
      </c>
      <c r="C83" s="553" t="s">
        <v>70</v>
      </c>
      <c r="D83" s="553" t="s">
        <v>81</v>
      </c>
      <c r="E83" s="553" t="s">
        <v>87</v>
      </c>
      <c r="F83" s="553"/>
      <c r="G83" s="554"/>
      <c r="H83" s="565"/>
      <c r="I83" s="556">
        <v>0</v>
      </c>
      <c r="J83" s="555">
        <f t="shared" si="12"/>
        <v>0</v>
      </c>
      <c r="K83" s="555">
        <f t="shared" si="13"/>
        <v>0</v>
      </c>
      <c r="M83" s="500"/>
      <c r="N83" s="500"/>
      <c r="O83" s="500"/>
      <c r="P83" s="500"/>
      <c r="Q83" s="500"/>
      <c r="R83" s="500"/>
      <c r="S83" s="500"/>
      <c r="T83" s="500"/>
      <c r="U83" s="500"/>
      <c r="V83" s="490"/>
    </row>
    <row r="84" spans="1:24" hidden="1" outlineLevel="1">
      <c r="A84" s="552" t="s">
        <v>293</v>
      </c>
      <c r="B84" s="553" t="s">
        <v>289</v>
      </c>
      <c r="C84" s="553" t="s">
        <v>70</v>
      </c>
      <c r="D84" s="553" t="s">
        <v>81</v>
      </c>
      <c r="E84" s="553" t="s">
        <v>184</v>
      </c>
      <c r="F84" s="553" t="s">
        <v>294</v>
      </c>
      <c r="G84" s="546">
        <f>N9</f>
        <v>363</v>
      </c>
      <c r="H84" s="555">
        <v>175</v>
      </c>
      <c r="I84" s="556">
        <v>0</v>
      </c>
      <c r="J84" s="555">
        <f t="shared" si="12"/>
        <v>175</v>
      </c>
      <c r="K84" s="555">
        <f>J84*G84</f>
        <v>63525</v>
      </c>
      <c r="M84" s="500" t="s">
        <v>295</v>
      </c>
      <c r="N84" s="500"/>
      <c r="O84" s="500"/>
      <c r="P84" s="500"/>
      <c r="Q84" s="500"/>
      <c r="R84" s="500"/>
      <c r="S84" s="500"/>
      <c r="T84" s="500"/>
      <c r="U84" s="500"/>
      <c r="V84" s="490"/>
    </row>
    <row r="85" spans="1:24" hidden="1" outlineLevel="1">
      <c r="A85" s="552" t="s">
        <v>296</v>
      </c>
      <c r="B85" s="553" t="s">
        <v>289</v>
      </c>
      <c r="C85" s="553" t="s">
        <v>70</v>
      </c>
      <c r="D85" s="553" t="s">
        <v>81</v>
      </c>
      <c r="E85" s="553" t="s">
        <v>76</v>
      </c>
      <c r="F85" s="553" t="s">
        <v>132</v>
      </c>
      <c r="G85" s="554">
        <v>6</v>
      </c>
      <c r="H85" s="555">
        <v>300</v>
      </c>
      <c r="I85" s="556">
        <v>0</v>
      </c>
      <c r="J85" s="551">
        <f t="shared" si="12"/>
        <v>300</v>
      </c>
      <c r="K85" s="309">
        <f t="shared" si="13"/>
        <v>1800</v>
      </c>
      <c r="M85" s="500"/>
      <c r="N85" s="500"/>
      <c r="O85" s="500"/>
      <c r="P85" s="500"/>
      <c r="Q85" s="500"/>
      <c r="R85" s="500"/>
      <c r="S85" s="500"/>
      <c r="T85" s="500"/>
      <c r="U85" s="500"/>
      <c r="V85" s="490"/>
    </row>
    <row r="86" spans="1:24" collapsed="1">
      <c r="A86" s="537" t="s">
        <v>297</v>
      </c>
      <c r="B86" s="538" t="s">
        <v>298</v>
      </c>
      <c r="C86" s="578" t="s">
        <v>892</v>
      </c>
      <c r="D86" s="538"/>
      <c r="E86" s="538"/>
      <c r="F86" s="538"/>
      <c r="G86" s="567"/>
      <c r="H86" s="568"/>
      <c r="I86" s="540"/>
      <c r="J86" s="569"/>
      <c r="K86" s="541"/>
      <c r="L86" s="542">
        <f>SUM(K72:K85)</f>
        <v>642900</v>
      </c>
      <c r="M86" s="543"/>
      <c r="N86" s="543"/>
      <c r="O86" s="543"/>
      <c r="P86" s="543"/>
      <c r="Q86" s="543"/>
      <c r="R86" s="543"/>
      <c r="S86" s="543"/>
      <c r="T86" s="543"/>
      <c r="U86" s="543"/>
      <c r="V86" s="490"/>
    </row>
    <row r="87" spans="1:24" hidden="1" outlineLevel="1">
      <c r="A87" s="544" t="s">
        <v>299</v>
      </c>
      <c r="B87" s="545" t="s">
        <v>300</v>
      </c>
      <c r="C87" s="545" t="s">
        <v>70</v>
      </c>
      <c r="D87" s="545" t="s">
        <v>81</v>
      </c>
      <c r="E87" s="545" t="s">
        <v>87</v>
      </c>
      <c r="F87" s="545"/>
      <c r="G87" s="546"/>
      <c r="H87" s="550"/>
      <c r="I87" s="548">
        <v>0</v>
      </c>
      <c r="J87" s="572">
        <f t="shared" ref="J87:J124" si="14">H87*(1+I87)</f>
        <v>0</v>
      </c>
      <c r="K87" s="309">
        <f t="shared" ref="K87:K124" si="15">J87*G87</f>
        <v>0</v>
      </c>
      <c r="M87" s="549"/>
      <c r="N87" s="549"/>
      <c r="O87" s="549"/>
      <c r="P87" s="549"/>
      <c r="Q87" s="549"/>
      <c r="R87" s="549"/>
      <c r="S87" s="549"/>
      <c r="T87" s="549"/>
      <c r="U87" s="549"/>
      <c r="V87" s="490"/>
    </row>
    <row r="88" spans="1:24" hidden="1" outlineLevel="1">
      <c r="A88" s="552" t="s">
        <v>301</v>
      </c>
      <c r="B88" s="553" t="s">
        <v>302</v>
      </c>
      <c r="C88" s="553" t="s">
        <v>70</v>
      </c>
      <c r="D88" s="553" t="s">
        <v>81</v>
      </c>
      <c r="E88" s="553" t="s">
        <v>76</v>
      </c>
      <c r="F88" s="553" t="s">
        <v>83</v>
      </c>
      <c r="G88" s="554">
        <v>1</v>
      </c>
      <c r="H88" s="555">
        <v>10000</v>
      </c>
      <c r="I88" s="556">
        <v>0</v>
      </c>
      <c r="J88" s="555">
        <f t="shared" si="14"/>
        <v>10000</v>
      </c>
      <c r="K88" s="555">
        <f t="shared" si="15"/>
        <v>10000</v>
      </c>
      <c r="M88" s="500"/>
      <c r="N88" s="500"/>
      <c r="O88" s="500"/>
      <c r="P88" s="500"/>
      <c r="Q88" s="500"/>
      <c r="R88" s="500"/>
      <c r="S88" s="500"/>
      <c r="T88" s="500"/>
      <c r="U88" s="500"/>
      <c r="V88" s="490"/>
    </row>
    <row r="89" spans="1:24" hidden="1" outlineLevel="1">
      <c r="A89" s="552" t="s">
        <v>303</v>
      </c>
      <c r="B89" s="553" t="s">
        <v>304</v>
      </c>
      <c r="C89" s="553" t="s">
        <v>70</v>
      </c>
      <c r="D89" s="553" t="s">
        <v>81</v>
      </c>
      <c r="E89" s="553" t="s">
        <v>184</v>
      </c>
      <c r="F89" s="553" t="s">
        <v>185</v>
      </c>
      <c r="G89" s="554">
        <f t="shared" ref="G89:G117" si="16">$B$8</f>
        <v>362571</v>
      </c>
      <c r="H89" s="565">
        <v>0.85</v>
      </c>
      <c r="I89" s="556">
        <v>0</v>
      </c>
      <c r="J89" s="565">
        <f t="shared" si="14"/>
        <v>0.85</v>
      </c>
      <c r="K89" s="555">
        <f t="shared" si="15"/>
        <v>308185.34999999998</v>
      </c>
      <c r="M89" s="500" t="s">
        <v>305</v>
      </c>
      <c r="N89" s="500"/>
      <c r="O89" s="500"/>
      <c r="P89" s="500"/>
      <c r="Q89" s="500"/>
      <c r="R89" s="500"/>
      <c r="S89" s="500"/>
      <c r="T89" s="500"/>
      <c r="U89" s="500"/>
      <c r="V89" s="490"/>
    </row>
    <row r="90" spans="1:24" hidden="1" outlineLevel="1">
      <c r="A90" s="552" t="s">
        <v>306</v>
      </c>
      <c r="B90" s="553" t="s">
        <v>307</v>
      </c>
      <c r="C90" s="553" t="s">
        <v>70</v>
      </c>
      <c r="D90" s="553" t="s">
        <v>81</v>
      </c>
      <c r="E90" s="553" t="s">
        <v>76</v>
      </c>
      <c r="F90" s="553" t="s">
        <v>83</v>
      </c>
      <c r="G90" s="554">
        <v>1</v>
      </c>
      <c r="H90" s="555">
        <v>75000</v>
      </c>
      <c r="I90" s="556">
        <v>0</v>
      </c>
      <c r="J90" s="555">
        <f t="shared" si="14"/>
        <v>75000</v>
      </c>
      <c r="K90" s="555">
        <f t="shared" si="15"/>
        <v>75000</v>
      </c>
      <c r="M90" s="500"/>
      <c r="N90" s="500"/>
      <c r="O90" s="500"/>
      <c r="P90" s="500"/>
      <c r="Q90" s="500"/>
      <c r="R90" s="500"/>
      <c r="S90" s="500"/>
      <c r="T90" s="500"/>
      <c r="U90" s="500"/>
      <c r="V90" s="490"/>
    </row>
    <row r="91" spans="1:24" hidden="1" outlineLevel="1">
      <c r="A91" s="552" t="s">
        <v>308</v>
      </c>
      <c r="B91" s="553" t="s">
        <v>309</v>
      </c>
      <c r="C91" s="553" t="s">
        <v>70</v>
      </c>
      <c r="D91" s="553" t="s">
        <v>310</v>
      </c>
      <c r="E91" s="553" t="s">
        <v>76</v>
      </c>
      <c r="F91" s="553" t="s">
        <v>311</v>
      </c>
      <c r="G91" s="546">
        <f>$N$9</f>
        <v>363</v>
      </c>
      <c r="H91" s="565">
        <v>79</v>
      </c>
      <c r="I91" s="556">
        <v>0</v>
      </c>
      <c r="J91" s="565">
        <f t="shared" si="14"/>
        <v>79</v>
      </c>
      <c r="K91" s="555">
        <f t="shared" si="15"/>
        <v>28677</v>
      </c>
      <c r="M91" s="500"/>
      <c r="N91" s="500"/>
      <c r="O91" s="500"/>
      <c r="P91" s="500"/>
      <c r="Q91" s="500"/>
      <c r="R91" s="500"/>
      <c r="S91" s="500"/>
      <c r="T91" s="500"/>
      <c r="U91" s="500"/>
      <c r="V91" s="490"/>
    </row>
    <row r="92" spans="1:24" hidden="1" outlineLevel="1">
      <c r="A92" s="552" t="s">
        <v>312</v>
      </c>
      <c r="B92" s="553" t="s">
        <v>313</v>
      </c>
      <c r="C92" s="553" t="s">
        <v>70</v>
      </c>
      <c r="D92" s="553" t="s">
        <v>75</v>
      </c>
      <c r="E92" s="553" t="s">
        <v>76</v>
      </c>
      <c r="F92" s="553" t="s">
        <v>83</v>
      </c>
      <c r="G92" s="554">
        <v>1</v>
      </c>
      <c r="H92" s="555">
        <v>10000</v>
      </c>
      <c r="I92" s="556">
        <v>0</v>
      </c>
      <c r="J92" s="555">
        <f>H92*(1+I92)</f>
        <v>10000</v>
      </c>
      <c r="K92" s="555">
        <f t="shared" si="15"/>
        <v>10000</v>
      </c>
      <c r="M92" s="500" t="s">
        <v>314</v>
      </c>
      <c r="N92" s="500"/>
      <c r="O92" s="500"/>
      <c r="P92" s="500"/>
      <c r="Q92" s="500"/>
      <c r="R92" s="500"/>
      <c r="S92" s="500"/>
      <c r="T92" s="500"/>
      <c r="U92" s="500"/>
      <c r="V92" s="490"/>
    </row>
    <row r="93" spans="1:24" hidden="1" outlineLevel="1">
      <c r="A93" s="552" t="s">
        <v>315</v>
      </c>
      <c r="B93" s="553" t="s">
        <v>316</v>
      </c>
      <c r="C93" s="553" t="s">
        <v>70</v>
      </c>
      <c r="D93" s="553" t="s">
        <v>81</v>
      </c>
      <c r="E93" s="553" t="s">
        <v>889</v>
      </c>
      <c r="F93" s="553" t="s">
        <v>351</v>
      </c>
      <c r="G93" s="554">
        <f>'Assumptions &amp; Takeoffs'!B20</f>
        <v>23863.339999999997</v>
      </c>
      <c r="H93" s="565">
        <f>'Unit Pricing Comparison'!I22</f>
        <v>39.836808110538797</v>
      </c>
      <c r="I93" s="556">
        <v>0</v>
      </c>
      <c r="J93" s="565">
        <f t="shared" si="14"/>
        <v>39.836808110538797</v>
      </c>
      <c r="K93" s="555">
        <f t="shared" si="15"/>
        <v>950639.29645654478</v>
      </c>
      <c r="M93" s="500" t="s">
        <v>893</v>
      </c>
      <c r="N93" s="500"/>
      <c r="O93" s="500"/>
      <c r="P93" s="500"/>
      <c r="Q93" s="500"/>
      <c r="R93" s="500"/>
      <c r="S93" s="500"/>
      <c r="T93" s="500"/>
      <c r="U93" s="500"/>
      <c r="V93" s="490"/>
    </row>
    <row r="94" spans="1:24" hidden="1" outlineLevel="1">
      <c r="A94" s="552" t="s">
        <v>319</v>
      </c>
      <c r="B94" s="553" t="s">
        <v>320</v>
      </c>
      <c r="C94" s="553" t="s">
        <v>144</v>
      </c>
      <c r="D94" s="553" t="s">
        <v>93</v>
      </c>
      <c r="E94" s="553" t="s">
        <v>76</v>
      </c>
      <c r="F94" s="553" t="s">
        <v>83</v>
      </c>
      <c r="G94" s="554">
        <f>'Assumptions &amp; Takeoffs'!B24</f>
        <v>1</v>
      </c>
      <c r="H94" s="555">
        <v>6000</v>
      </c>
      <c r="I94" s="556">
        <v>0</v>
      </c>
      <c r="J94" s="555">
        <f t="shared" si="14"/>
        <v>6000</v>
      </c>
      <c r="K94" s="555">
        <f t="shared" si="15"/>
        <v>6000</v>
      </c>
      <c r="M94" s="500"/>
      <c r="N94" s="500"/>
      <c r="O94" s="500"/>
      <c r="P94" s="500"/>
      <c r="Q94" s="500"/>
      <c r="R94" s="500"/>
      <c r="S94" s="500"/>
      <c r="T94" s="500"/>
      <c r="U94" s="500"/>
      <c r="V94" s="490"/>
    </row>
    <row r="95" spans="1:24" hidden="1" outlineLevel="1">
      <c r="A95" s="552" t="s">
        <v>321</v>
      </c>
      <c r="B95" s="553" t="s">
        <v>322</v>
      </c>
      <c r="C95" s="553" t="s">
        <v>70</v>
      </c>
      <c r="D95" s="553" t="s">
        <v>103</v>
      </c>
      <c r="E95" s="553" t="s">
        <v>87</v>
      </c>
      <c r="F95" s="553"/>
      <c r="G95" s="554"/>
      <c r="H95" s="565"/>
      <c r="I95" s="556">
        <v>0</v>
      </c>
      <c r="J95" s="565">
        <f t="shared" si="14"/>
        <v>0</v>
      </c>
      <c r="K95" s="555">
        <f t="shared" si="15"/>
        <v>0</v>
      </c>
      <c r="M95" s="500"/>
      <c r="N95" s="500"/>
      <c r="O95" s="500"/>
      <c r="P95" s="500"/>
      <c r="Q95" s="500"/>
      <c r="R95" s="500"/>
      <c r="S95" s="500"/>
      <c r="T95" s="500"/>
      <c r="U95" s="500"/>
      <c r="V95" s="490"/>
    </row>
    <row r="96" spans="1:24" hidden="1" outlineLevel="1">
      <c r="A96" s="552" t="s">
        <v>323</v>
      </c>
      <c r="B96" s="553" t="s">
        <v>324</v>
      </c>
      <c r="C96" s="553" t="s">
        <v>144</v>
      </c>
      <c r="D96" s="553" t="s">
        <v>103</v>
      </c>
      <c r="E96" s="553" t="s">
        <v>76</v>
      </c>
      <c r="F96" s="553" t="s">
        <v>83</v>
      </c>
      <c r="G96" s="554">
        <f>'Assumptions &amp; Takeoffs'!$B$16</f>
        <v>1</v>
      </c>
      <c r="H96" s="555">
        <v>2000</v>
      </c>
      <c r="I96" s="556">
        <v>0</v>
      </c>
      <c r="J96" s="555">
        <f t="shared" si="14"/>
        <v>2000</v>
      </c>
      <c r="K96" s="555">
        <f t="shared" si="15"/>
        <v>2000</v>
      </c>
      <c r="M96" s="500"/>
      <c r="N96" s="500"/>
      <c r="O96" s="500"/>
      <c r="P96" s="500"/>
      <c r="Q96" s="500"/>
      <c r="R96" s="500"/>
      <c r="S96" s="500"/>
      <c r="T96" s="500"/>
      <c r="U96" s="500"/>
      <c r="V96" s="490"/>
      <c r="X96" s="575"/>
    </row>
    <row r="97" spans="1:24" hidden="1" outlineLevel="1">
      <c r="A97" s="552" t="s">
        <v>325</v>
      </c>
      <c r="B97" s="553" t="s">
        <v>326</v>
      </c>
      <c r="C97" s="553" t="s">
        <v>70</v>
      </c>
      <c r="D97" s="553" t="s">
        <v>103</v>
      </c>
      <c r="E97" s="553" t="s">
        <v>87</v>
      </c>
      <c r="F97" s="553"/>
      <c r="G97" s="554"/>
      <c r="H97" s="565"/>
      <c r="I97" s="556">
        <v>0</v>
      </c>
      <c r="J97" s="565">
        <f t="shared" si="14"/>
        <v>0</v>
      </c>
      <c r="K97" s="555">
        <f t="shared" si="15"/>
        <v>0</v>
      </c>
      <c r="M97" s="500"/>
      <c r="N97" s="500"/>
      <c r="O97" s="500"/>
      <c r="P97" s="500"/>
      <c r="Q97" s="500"/>
      <c r="R97" s="500"/>
      <c r="S97" s="500"/>
      <c r="T97" s="500"/>
      <c r="U97" s="500"/>
      <c r="V97" s="490"/>
      <c r="X97" s="575"/>
    </row>
    <row r="98" spans="1:24" hidden="1" outlineLevel="1">
      <c r="A98" s="552" t="s">
        <v>327</v>
      </c>
      <c r="B98" s="553" t="s">
        <v>328</v>
      </c>
      <c r="C98" s="553" t="s">
        <v>70</v>
      </c>
      <c r="D98" s="553" t="s">
        <v>110</v>
      </c>
      <c r="E98" s="553" t="s">
        <v>329</v>
      </c>
      <c r="F98" s="553" t="s">
        <v>83</v>
      </c>
      <c r="G98" s="554">
        <v>1</v>
      </c>
      <c r="H98" s="555">
        <v>5000</v>
      </c>
      <c r="I98" s="556">
        <v>0</v>
      </c>
      <c r="J98" s="555">
        <f t="shared" si="14"/>
        <v>5000</v>
      </c>
      <c r="K98" s="555">
        <f t="shared" si="15"/>
        <v>5000</v>
      </c>
      <c r="M98" s="500"/>
      <c r="N98" s="500"/>
      <c r="O98" s="500"/>
      <c r="P98" s="500"/>
      <c r="Q98" s="500"/>
      <c r="R98" s="500"/>
      <c r="S98" s="500"/>
      <c r="T98" s="500"/>
      <c r="U98" s="500"/>
      <c r="V98" s="490"/>
      <c r="X98" s="575"/>
    </row>
    <row r="99" spans="1:24" hidden="1" outlineLevel="1">
      <c r="A99" s="552" t="s">
        <v>330</v>
      </c>
      <c r="B99" s="553" t="s">
        <v>331</v>
      </c>
      <c r="C99" s="553" t="s">
        <v>90</v>
      </c>
      <c r="D99" s="553" t="s">
        <v>81</v>
      </c>
      <c r="E99" s="553" t="s">
        <v>76</v>
      </c>
      <c r="F99" s="553" t="s">
        <v>83</v>
      </c>
      <c r="G99" s="554">
        <v>1</v>
      </c>
      <c r="H99" s="555">
        <v>1500</v>
      </c>
      <c r="I99" s="556">
        <v>0</v>
      </c>
      <c r="J99" s="555">
        <f t="shared" si="14"/>
        <v>1500</v>
      </c>
      <c r="K99" s="555">
        <f t="shared" si="15"/>
        <v>1500</v>
      </c>
      <c r="M99" s="500"/>
      <c r="N99" s="500"/>
      <c r="O99" s="500"/>
      <c r="P99" s="500"/>
      <c r="Q99" s="500"/>
      <c r="R99" s="500"/>
      <c r="S99" s="500"/>
      <c r="T99" s="500"/>
      <c r="U99" s="500"/>
      <c r="V99" s="490"/>
      <c r="X99" s="575"/>
    </row>
    <row r="100" spans="1:24" hidden="1" outlineLevel="1">
      <c r="A100" s="552" t="s">
        <v>332</v>
      </c>
      <c r="B100" s="553" t="s">
        <v>333</v>
      </c>
      <c r="C100" s="553" t="s">
        <v>70</v>
      </c>
      <c r="D100" s="553" t="s">
        <v>81</v>
      </c>
      <c r="E100" s="553" t="s">
        <v>886</v>
      </c>
      <c r="F100" s="553" t="s">
        <v>185</v>
      </c>
      <c r="G100" s="554">
        <f t="shared" ref="G100" si="17">$B$8</f>
        <v>362571</v>
      </c>
      <c r="H100" s="565">
        <v>7.65</v>
      </c>
      <c r="I100" s="556">
        <v>0</v>
      </c>
      <c r="J100" s="565">
        <f t="shared" si="14"/>
        <v>7.65</v>
      </c>
      <c r="K100" s="555">
        <f>J100*G100</f>
        <v>2773668.15</v>
      </c>
      <c r="M100" s="500" t="s">
        <v>894</v>
      </c>
      <c r="N100" s="500"/>
      <c r="O100" s="500"/>
      <c r="P100" s="500"/>
      <c r="Q100" s="500"/>
      <c r="R100" s="500"/>
      <c r="S100" s="500"/>
      <c r="T100" s="500"/>
      <c r="U100" s="500"/>
      <c r="V100" s="490"/>
      <c r="X100" s="575"/>
    </row>
    <row r="101" spans="1:24" hidden="1" outlineLevel="1">
      <c r="A101" s="552" t="s">
        <v>335</v>
      </c>
      <c r="B101" s="553" t="s">
        <v>336</v>
      </c>
      <c r="C101" s="553" t="s">
        <v>90</v>
      </c>
      <c r="D101" s="553" t="s">
        <v>81</v>
      </c>
      <c r="E101" s="553" t="s">
        <v>76</v>
      </c>
      <c r="F101" s="553" t="s">
        <v>311</v>
      </c>
      <c r="G101" s="546">
        <f>$N$9</f>
        <v>363</v>
      </c>
      <c r="H101" s="555">
        <v>85</v>
      </c>
      <c r="I101" s="556">
        <v>0</v>
      </c>
      <c r="J101" s="555">
        <f t="shared" si="14"/>
        <v>85</v>
      </c>
      <c r="K101" s="555">
        <f t="shared" si="15"/>
        <v>30855</v>
      </c>
      <c r="M101" s="500"/>
      <c r="N101" s="500"/>
      <c r="O101" s="500"/>
      <c r="P101" s="500"/>
      <c r="Q101" s="500"/>
      <c r="R101" s="500"/>
      <c r="S101" s="500"/>
      <c r="T101" s="500"/>
      <c r="U101" s="500"/>
      <c r="V101" s="490"/>
      <c r="X101" s="575"/>
    </row>
    <row r="102" spans="1:24" hidden="1" outlineLevel="1">
      <c r="A102" s="552" t="s">
        <v>337</v>
      </c>
      <c r="B102" s="553" t="s">
        <v>338</v>
      </c>
      <c r="C102" s="553" t="s">
        <v>70</v>
      </c>
      <c r="D102" s="553" t="s">
        <v>93</v>
      </c>
      <c r="E102" s="553" t="s">
        <v>76</v>
      </c>
      <c r="F102" s="553" t="s">
        <v>83</v>
      </c>
      <c r="G102" s="546">
        <v>1</v>
      </c>
      <c r="H102" s="555">
        <v>1000</v>
      </c>
      <c r="I102" s="556">
        <v>0</v>
      </c>
      <c r="J102" s="555">
        <f t="shared" si="14"/>
        <v>1000</v>
      </c>
      <c r="K102" s="555">
        <f t="shared" si="15"/>
        <v>1000</v>
      </c>
      <c r="M102" s="500"/>
      <c r="N102" s="500"/>
      <c r="O102" s="500"/>
      <c r="P102" s="500"/>
      <c r="Q102" s="500"/>
      <c r="R102" s="500"/>
      <c r="S102" s="500"/>
      <c r="T102" s="500"/>
      <c r="U102" s="500"/>
      <c r="V102" s="490"/>
      <c r="X102" s="575"/>
    </row>
    <row r="103" spans="1:24" hidden="1" outlineLevel="1">
      <c r="A103" s="552" t="s">
        <v>339</v>
      </c>
      <c r="B103" s="553" t="s">
        <v>340</v>
      </c>
      <c r="C103" s="553" t="s">
        <v>70</v>
      </c>
      <c r="D103" s="553" t="s">
        <v>81</v>
      </c>
      <c r="E103" s="553" t="s">
        <v>87</v>
      </c>
      <c r="F103" s="553"/>
      <c r="G103" s="554"/>
      <c r="H103" s="565"/>
      <c r="I103" s="556">
        <v>0</v>
      </c>
      <c r="J103" s="565">
        <f t="shared" si="14"/>
        <v>0</v>
      </c>
      <c r="K103" s="555">
        <f t="shared" si="15"/>
        <v>0</v>
      </c>
      <c r="M103" s="500"/>
      <c r="N103" s="500"/>
      <c r="O103" s="500"/>
      <c r="P103" s="500"/>
      <c r="Q103" s="500"/>
      <c r="R103" s="500"/>
      <c r="S103" s="500"/>
      <c r="T103" s="500"/>
      <c r="U103" s="500"/>
      <c r="V103" s="490"/>
      <c r="X103" s="575"/>
    </row>
    <row r="104" spans="1:24" hidden="1" outlineLevel="1">
      <c r="A104" s="552" t="s">
        <v>341</v>
      </c>
      <c r="B104" s="553" t="s">
        <v>342</v>
      </c>
      <c r="C104" s="553" t="s">
        <v>70</v>
      </c>
      <c r="D104" s="553" t="s">
        <v>173</v>
      </c>
      <c r="E104" s="553" t="s">
        <v>343</v>
      </c>
      <c r="F104" s="553" t="s">
        <v>344</v>
      </c>
      <c r="G104" s="554">
        <f>N9</f>
        <v>363</v>
      </c>
      <c r="H104" s="555">
        <v>468.71</v>
      </c>
      <c r="I104" s="556">
        <v>0</v>
      </c>
      <c r="J104" s="555">
        <f t="shared" si="14"/>
        <v>468.71</v>
      </c>
      <c r="K104" s="555">
        <f t="shared" si="15"/>
        <v>170141.72999999998</v>
      </c>
      <c r="M104" s="500" t="s">
        <v>345</v>
      </c>
      <c r="N104" s="500"/>
      <c r="O104" s="500"/>
      <c r="P104" s="500"/>
      <c r="Q104" s="500"/>
      <c r="R104" s="500"/>
      <c r="S104" s="500"/>
      <c r="T104" s="500"/>
      <c r="U104" s="500"/>
      <c r="V104" s="490"/>
      <c r="X104" s="575"/>
    </row>
    <row r="105" spans="1:24" hidden="1" outlineLevel="1">
      <c r="A105" s="552" t="s">
        <v>346</v>
      </c>
      <c r="B105" s="553" t="s">
        <v>347</v>
      </c>
      <c r="C105" s="553" t="s">
        <v>70</v>
      </c>
      <c r="D105" s="553" t="s">
        <v>81</v>
      </c>
      <c r="E105" s="553" t="s">
        <v>87</v>
      </c>
      <c r="F105" s="553"/>
      <c r="G105" s="554"/>
      <c r="H105" s="565"/>
      <c r="I105" s="556">
        <v>0</v>
      </c>
      <c r="J105" s="555">
        <f t="shared" si="14"/>
        <v>0</v>
      </c>
      <c r="K105" s="555">
        <f t="shared" si="15"/>
        <v>0</v>
      </c>
      <c r="M105" s="500"/>
      <c r="N105" s="500"/>
      <c r="O105" s="500"/>
      <c r="P105" s="500"/>
      <c r="Q105" s="500"/>
      <c r="R105" s="500"/>
      <c r="S105" s="500"/>
      <c r="T105" s="500"/>
      <c r="U105" s="500"/>
      <c r="V105" s="490"/>
      <c r="X105" s="575"/>
    </row>
    <row r="106" spans="1:24" hidden="1" outlineLevel="1">
      <c r="A106" s="552" t="s">
        <v>348</v>
      </c>
      <c r="B106" s="553" t="s">
        <v>349</v>
      </c>
      <c r="C106" s="553" t="s">
        <v>70</v>
      </c>
      <c r="D106" s="553" t="s">
        <v>103</v>
      </c>
      <c r="E106" s="553" t="s">
        <v>87</v>
      </c>
      <c r="F106" s="553"/>
      <c r="G106" s="554"/>
      <c r="H106" s="565"/>
      <c r="I106" s="556">
        <v>0</v>
      </c>
      <c r="J106" s="555">
        <f t="shared" si="14"/>
        <v>0</v>
      </c>
      <c r="K106" s="555">
        <f t="shared" si="15"/>
        <v>0</v>
      </c>
      <c r="M106" s="500"/>
      <c r="N106" s="500"/>
      <c r="O106" s="500"/>
      <c r="P106" s="500"/>
      <c r="Q106" s="500"/>
      <c r="R106" s="500"/>
      <c r="S106" s="500"/>
      <c r="T106" s="500"/>
      <c r="U106" s="500"/>
      <c r="V106" s="490"/>
      <c r="X106" s="575"/>
    </row>
    <row r="107" spans="1:24" hidden="1" outlineLevel="1">
      <c r="A107" s="552" t="s">
        <v>202</v>
      </c>
      <c r="B107" s="553" t="s">
        <v>350</v>
      </c>
      <c r="C107" s="553" t="s">
        <v>70</v>
      </c>
      <c r="D107" s="553" t="s">
        <v>81</v>
      </c>
      <c r="E107" s="553" t="s">
        <v>184</v>
      </c>
      <c r="F107" s="553" t="s">
        <v>351</v>
      </c>
      <c r="G107" s="554">
        <f>'Assumptions &amp; Takeoffs'!D8/9</f>
        <v>31493.666666666668</v>
      </c>
      <c r="H107" s="565">
        <v>16.296552387099432</v>
      </c>
      <c r="I107" s="556">
        <v>0</v>
      </c>
      <c r="J107" s="565">
        <f t="shared" si="14"/>
        <v>16.296552387099432</v>
      </c>
      <c r="K107" s="555">
        <f t="shared" si="15"/>
        <v>513238.18869518046</v>
      </c>
      <c r="M107" s="500" t="s">
        <v>352</v>
      </c>
      <c r="N107" s="500"/>
      <c r="O107" s="500"/>
      <c r="P107" s="500"/>
      <c r="Q107" s="500"/>
      <c r="R107" s="500"/>
      <c r="S107" s="500"/>
      <c r="T107" s="500"/>
      <c r="U107" s="500"/>
      <c r="V107" s="490"/>
    </row>
    <row r="108" spans="1:24" hidden="1" outlineLevel="1">
      <c r="A108" s="552" t="s">
        <v>353</v>
      </c>
      <c r="B108" s="553" t="s">
        <v>354</v>
      </c>
      <c r="C108" s="553" t="s">
        <v>70</v>
      </c>
      <c r="D108" s="553" t="s">
        <v>173</v>
      </c>
      <c r="E108" s="553" t="s">
        <v>87</v>
      </c>
      <c r="F108" s="553"/>
      <c r="G108" s="554">
        <v>0</v>
      </c>
      <c r="H108" s="555">
        <v>0</v>
      </c>
      <c r="I108" s="556">
        <v>0</v>
      </c>
      <c r="J108" s="555">
        <f t="shared" si="14"/>
        <v>0</v>
      </c>
      <c r="K108" s="555">
        <f t="shared" si="15"/>
        <v>0</v>
      </c>
      <c r="M108" s="500"/>
      <c r="N108" s="500"/>
      <c r="O108" s="500"/>
      <c r="P108" s="500"/>
      <c r="Q108" s="500"/>
      <c r="R108" s="500"/>
      <c r="S108" s="500"/>
      <c r="T108" s="500"/>
      <c r="U108" s="500"/>
      <c r="V108" s="490"/>
    </row>
    <row r="109" spans="1:24" hidden="1" outlineLevel="1">
      <c r="A109" s="552" t="s">
        <v>355</v>
      </c>
      <c r="B109" s="553" t="s">
        <v>356</v>
      </c>
      <c r="C109" s="553" t="s">
        <v>70</v>
      </c>
      <c r="D109" s="553" t="s">
        <v>173</v>
      </c>
      <c r="E109" s="553" t="s">
        <v>87</v>
      </c>
      <c r="F109" s="553"/>
      <c r="G109" s="554">
        <v>0</v>
      </c>
      <c r="H109" s="555">
        <v>0</v>
      </c>
      <c r="I109" s="556">
        <v>0</v>
      </c>
      <c r="J109" s="555">
        <f t="shared" si="14"/>
        <v>0</v>
      </c>
      <c r="K109" s="555">
        <f t="shared" si="15"/>
        <v>0</v>
      </c>
      <c r="M109" s="500"/>
      <c r="N109" s="500"/>
      <c r="O109" s="500"/>
      <c r="P109" s="500"/>
      <c r="Q109" s="500"/>
      <c r="R109" s="500"/>
      <c r="S109" s="500"/>
      <c r="T109" s="500"/>
      <c r="U109" s="500"/>
      <c r="V109" s="490"/>
    </row>
    <row r="110" spans="1:24" hidden="1" outlineLevel="1">
      <c r="A110" s="552" t="s">
        <v>357</v>
      </c>
      <c r="B110" s="553" t="s">
        <v>358</v>
      </c>
      <c r="C110" s="553" t="s">
        <v>70</v>
      </c>
      <c r="D110" s="553" t="s">
        <v>173</v>
      </c>
      <c r="E110" s="553" t="s">
        <v>343</v>
      </c>
      <c r="F110" s="553" t="s">
        <v>185</v>
      </c>
      <c r="G110" s="554">
        <f t="shared" si="16"/>
        <v>362571</v>
      </c>
      <c r="H110" s="565">
        <v>0.75</v>
      </c>
      <c r="I110" s="556">
        <v>0</v>
      </c>
      <c r="J110" s="565">
        <f t="shared" si="14"/>
        <v>0.75</v>
      </c>
      <c r="K110" s="555">
        <f t="shared" si="15"/>
        <v>271928.25</v>
      </c>
      <c r="M110" s="500" t="s">
        <v>359</v>
      </c>
      <c r="N110" s="500"/>
      <c r="O110" s="500"/>
      <c r="P110" s="500"/>
      <c r="Q110" s="500"/>
      <c r="R110" s="500"/>
      <c r="S110" s="500"/>
      <c r="T110" s="500"/>
      <c r="U110" s="500"/>
      <c r="V110" s="490"/>
    </row>
    <row r="111" spans="1:24" hidden="1" outlineLevel="1">
      <c r="A111" s="552" t="s">
        <v>360</v>
      </c>
      <c r="B111" s="553" t="s">
        <v>361</v>
      </c>
      <c r="C111" s="553" t="s">
        <v>144</v>
      </c>
      <c r="D111" s="553" t="s">
        <v>173</v>
      </c>
      <c r="E111" s="553" t="s">
        <v>76</v>
      </c>
      <c r="F111" s="553" t="s">
        <v>132</v>
      </c>
      <c r="G111" s="554">
        <f>'Assumptions &amp; Takeoffs'!B12</f>
        <v>6</v>
      </c>
      <c r="H111" s="555">
        <v>750</v>
      </c>
      <c r="I111" s="556">
        <v>0</v>
      </c>
      <c r="J111" s="555">
        <f t="shared" si="14"/>
        <v>750</v>
      </c>
      <c r="K111" s="555">
        <f t="shared" si="15"/>
        <v>4500</v>
      </c>
      <c r="M111" s="500"/>
      <c r="N111" s="500"/>
      <c r="O111" s="500"/>
      <c r="P111" s="500"/>
      <c r="Q111" s="500"/>
      <c r="R111" s="500"/>
      <c r="S111" s="500"/>
      <c r="T111" s="500"/>
      <c r="U111" s="500"/>
      <c r="V111" s="490"/>
    </row>
    <row r="112" spans="1:24" hidden="1" outlineLevel="1">
      <c r="A112" s="552" t="s">
        <v>362</v>
      </c>
      <c r="B112" s="553" t="s">
        <v>363</v>
      </c>
      <c r="C112" s="553" t="s">
        <v>70</v>
      </c>
      <c r="D112" s="553" t="s">
        <v>173</v>
      </c>
      <c r="E112" s="553" t="s">
        <v>87</v>
      </c>
      <c r="F112" s="553"/>
      <c r="G112" s="554">
        <v>0</v>
      </c>
      <c r="H112" s="555">
        <v>0</v>
      </c>
      <c r="I112" s="556">
        <v>0</v>
      </c>
      <c r="J112" s="555">
        <f t="shared" si="14"/>
        <v>0</v>
      </c>
      <c r="K112" s="555">
        <f t="shared" si="15"/>
        <v>0</v>
      </c>
      <c r="M112" s="500"/>
      <c r="N112" s="500"/>
      <c r="O112" s="500"/>
      <c r="P112" s="500"/>
      <c r="Q112" s="500"/>
      <c r="R112" s="500"/>
      <c r="S112" s="500"/>
      <c r="T112" s="500"/>
      <c r="U112" s="500"/>
      <c r="V112" s="490"/>
    </row>
    <row r="113" spans="1:22" hidden="1" outlineLevel="1">
      <c r="A113" s="552" t="s">
        <v>364</v>
      </c>
      <c r="B113" s="553" t="s">
        <v>365</v>
      </c>
      <c r="C113" s="553" t="s">
        <v>70</v>
      </c>
      <c r="D113" s="553" t="s">
        <v>173</v>
      </c>
      <c r="E113" s="553" t="s">
        <v>87</v>
      </c>
      <c r="F113" s="553" t="s">
        <v>185</v>
      </c>
      <c r="G113" s="554">
        <v>0</v>
      </c>
      <c r="H113" s="555">
        <v>0</v>
      </c>
      <c r="I113" s="556">
        <v>0</v>
      </c>
      <c r="J113" s="555">
        <f t="shared" si="14"/>
        <v>0</v>
      </c>
      <c r="K113" s="555">
        <f t="shared" si="15"/>
        <v>0</v>
      </c>
      <c r="M113" s="500"/>
      <c r="N113" s="500"/>
      <c r="O113" s="500"/>
      <c r="P113" s="500"/>
      <c r="Q113" s="500"/>
      <c r="R113" s="500"/>
      <c r="S113" s="500"/>
      <c r="T113" s="500"/>
      <c r="U113" s="500"/>
      <c r="V113" s="490"/>
    </row>
    <row r="114" spans="1:22" hidden="1" outlineLevel="1">
      <c r="A114" s="552" t="s">
        <v>366</v>
      </c>
      <c r="B114" s="553" t="s">
        <v>367</v>
      </c>
      <c r="C114" s="553" t="s">
        <v>70</v>
      </c>
      <c r="D114" s="553" t="s">
        <v>173</v>
      </c>
      <c r="E114" s="553" t="s">
        <v>184</v>
      </c>
      <c r="F114" s="553" t="s">
        <v>185</v>
      </c>
      <c r="G114" s="554">
        <f>'Assumptions &amp; Takeoffs'!B17</f>
        <v>1901.9</v>
      </c>
      <c r="H114" s="565">
        <v>19.54</v>
      </c>
      <c r="I114" s="556">
        <v>0</v>
      </c>
      <c r="J114" s="565">
        <f t="shared" si="14"/>
        <v>19.54</v>
      </c>
      <c r="K114" s="555">
        <f t="shared" si="15"/>
        <v>37163.125999999997</v>
      </c>
      <c r="M114" s="500" t="s">
        <v>368</v>
      </c>
      <c r="N114" s="500"/>
      <c r="O114" s="500"/>
      <c r="P114" s="500"/>
      <c r="Q114" s="500"/>
      <c r="R114" s="500"/>
      <c r="S114" s="500"/>
      <c r="T114" s="500"/>
      <c r="U114" s="500"/>
      <c r="V114" s="490"/>
    </row>
    <row r="115" spans="1:22" hidden="1" outlineLevel="1">
      <c r="A115" s="552" t="s">
        <v>369</v>
      </c>
      <c r="B115" s="553" t="s">
        <v>370</v>
      </c>
      <c r="C115" s="553" t="s">
        <v>70</v>
      </c>
      <c r="D115" s="553" t="s">
        <v>173</v>
      </c>
      <c r="E115" s="553" t="s">
        <v>329</v>
      </c>
      <c r="F115" s="553" t="s">
        <v>132</v>
      </c>
      <c r="G115" s="554">
        <f>'Assumptions &amp; Takeoffs'!$B$15</f>
        <v>19</v>
      </c>
      <c r="H115" s="555">
        <v>1848.1428571428571</v>
      </c>
      <c r="I115" s="556">
        <v>0</v>
      </c>
      <c r="J115" s="555">
        <f t="shared" si="14"/>
        <v>1848.1428571428571</v>
      </c>
      <c r="K115" s="555">
        <f t="shared" si="15"/>
        <v>35114.714285714283</v>
      </c>
      <c r="M115" s="660" t="s">
        <v>371</v>
      </c>
      <c r="N115" s="660"/>
      <c r="O115" s="660"/>
      <c r="P115" s="660"/>
      <c r="Q115" s="660"/>
      <c r="R115" s="660"/>
      <c r="S115" s="660"/>
      <c r="T115" s="660"/>
      <c r="U115" s="660"/>
      <c r="V115" s="490"/>
    </row>
    <row r="116" spans="1:22" hidden="1" outlineLevel="1">
      <c r="A116" s="552" t="s">
        <v>372</v>
      </c>
      <c r="B116" s="553" t="s">
        <v>373</v>
      </c>
      <c r="C116" s="553" t="s">
        <v>70</v>
      </c>
      <c r="D116" s="553" t="s">
        <v>173</v>
      </c>
      <c r="E116" s="553" t="s">
        <v>329</v>
      </c>
      <c r="F116" s="553" t="s">
        <v>185</v>
      </c>
      <c r="G116" s="554">
        <f t="shared" si="16"/>
        <v>362571</v>
      </c>
      <c r="H116" s="565">
        <v>0</v>
      </c>
      <c r="I116" s="556">
        <v>0</v>
      </c>
      <c r="J116" s="565">
        <f t="shared" si="14"/>
        <v>0</v>
      </c>
      <c r="K116" s="555">
        <f t="shared" si="15"/>
        <v>0</v>
      </c>
      <c r="M116" s="660" t="s">
        <v>374</v>
      </c>
      <c r="N116" s="660"/>
      <c r="O116" s="660"/>
      <c r="P116" s="660"/>
      <c r="Q116" s="660"/>
      <c r="R116" s="660"/>
      <c r="S116" s="660"/>
      <c r="T116" s="660"/>
      <c r="U116" s="660"/>
      <c r="V116" s="490"/>
    </row>
    <row r="117" spans="1:22" hidden="1" outlineLevel="1">
      <c r="A117" s="552" t="s">
        <v>375</v>
      </c>
      <c r="B117" s="553" t="s">
        <v>376</v>
      </c>
      <c r="C117" s="553" t="s">
        <v>70</v>
      </c>
      <c r="D117" s="553" t="s">
        <v>173</v>
      </c>
      <c r="E117" s="553" t="s">
        <v>329</v>
      </c>
      <c r="F117" s="553" t="s">
        <v>185</v>
      </c>
      <c r="G117" s="554">
        <f t="shared" si="16"/>
        <v>362571</v>
      </c>
      <c r="H117" s="565">
        <v>0</v>
      </c>
      <c r="I117" s="556">
        <v>0</v>
      </c>
      <c r="J117" s="565">
        <f t="shared" si="14"/>
        <v>0</v>
      </c>
      <c r="K117" s="555">
        <f t="shared" si="15"/>
        <v>0</v>
      </c>
      <c r="M117" s="660" t="s">
        <v>377</v>
      </c>
      <c r="N117" s="660"/>
      <c r="O117" s="660"/>
      <c r="P117" s="660"/>
      <c r="Q117" s="660"/>
      <c r="R117" s="660"/>
      <c r="S117" s="660"/>
      <c r="T117" s="660"/>
      <c r="U117" s="660"/>
      <c r="V117" s="490"/>
    </row>
    <row r="118" spans="1:22" hidden="1" outlineLevel="1">
      <c r="A118" s="552" t="s">
        <v>378</v>
      </c>
      <c r="B118" s="553" t="s">
        <v>379</v>
      </c>
      <c r="C118" s="553" t="s">
        <v>90</v>
      </c>
      <c r="D118" s="553" t="s">
        <v>81</v>
      </c>
      <c r="E118" s="553" t="s">
        <v>76</v>
      </c>
      <c r="F118" s="553" t="s">
        <v>83</v>
      </c>
      <c r="G118" s="546">
        <v>1</v>
      </c>
      <c r="H118" s="555">
        <v>10000</v>
      </c>
      <c r="I118" s="556">
        <v>0</v>
      </c>
      <c r="J118" s="555">
        <f t="shared" si="14"/>
        <v>10000</v>
      </c>
      <c r="K118" s="555">
        <f t="shared" si="15"/>
        <v>10000</v>
      </c>
      <c r="M118" s="500"/>
      <c r="N118" s="500"/>
      <c r="O118" s="500"/>
      <c r="P118" s="500"/>
      <c r="Q118" s="500"/>
      <c r="R118" s="500"/>
      <c r="S118" s="500"/>
      <c r="T118" s="500"/>
      <c r="U118" s="500"/>
      <c r="V118" s="490"/>
    </row>
    <row r="119" spans="1:22" hidden="1" outlineLevel="1">
      <c r="A119" s="552" t="s">
        <v>380</v>
      </c>
      <c r="B119" s="553" t="s">
        <v>381</v>
      </c>
      <c r="C119" s="553" t="s">
        <v>70</v>
      </c>
      <c r="D119" s="553" t="s">
        <v>81</v>
      </c>
      <c r="E119" s="553" t="s">
        <v>886</v>
      </c>
      <c r="F119" s="553" t="s">
        <v>185</v>
      </c>
      <c r="G119" s="554">
        <f>$B$8</f>
        <v>362571</v>
      </c>
      <c r="H119" s="565">
        <v>1.98</v>
      </c>
      <c r="I119" s="556">
        <v>0</v>
      </c>
      <c r="J119" s="565">
        <f t="shared" si="14"/>
        <v>1.98</v>
      </c>
      <c r="K119" s="555">
        <f t="shared" si="15"/>
        <v>717890.58</v>
      </c>
      <c r="M119" s="500" t="s">
        <v>895</v>
      </c>
      <c r="N119" s="500"/>
      <c r="O119" s="500"/>
      <c r="P119" s="500"/>
      <c r="Q119" s="500"/>
      <c r="R119" s="500"/>
      <c r="S119" s="500"/>
      <c r="T119" s="500"/>
      <c r="U119" s="500"/>
      <c r="V119" s="490"/>
    </row>
    <row r="120" spans="1:22" hidden="1" outlineLevel="1">
      <c r="A120" s="552" t="s">
        <v>382</v>
      </c>
      <c r="B120" s="553" t="s">
        <v>383</v>
      </c>
      <c r="C120" s="553" t="s">
        <v>70</v>
      </c>
      <c r="D120" s="553" t="s">
        <v>93</v>
      </c>
      <c r="E120" s="553" t="s">
        <v>76</v>
      </c>
      <c r="F120" s="553" t="s">
        <v>83</v>
      </c>
      <c r="G120" s="546">
        <v>1</v>
      </c>
      <c r="H120" s="555">
        <v>1000</v>
      </c>
      <c r="I120" s="556">
        <v>0</v>
      </c>
      <c r="J120" s="555">
        <f t="shared" si="14"/>
        <v>1000</v>
      </c>
      <c r="K120" s="555">
        <f t="shared" si="15"/>
        <v>1000</v>
      </c>
      <c r="M120" s="500"/>
      <c r="N120" s="500"/>
      <c r="O120" s="500"/>
      <c r="P120" s="500"/>
      <c r="Q120" s="500"/>
      <c r="R120" s="500"/>
      <c r="S120" s="500"/>
      <c r="T120" s="500"/>
      <c r="U120" s="500"/>
      <c r="V120" s="490"/>
    </row>
    <row r="121" spans="1:22" hidden="1" outlineLevel="1">
      <c r="A121" s="552" t="s">
        <v>384</v>
      </c>
      <c r="B121" s="553" t="s">
        <v>385</v>
      </c>
      <c r="C121" s="553" t="s">
        <v>70</v>
      </c>
      <c r="D121" s="553" t="s">
        <v>81</v>
      </c>
      <c r="E121" s="553" t="s">
        <v>87</v>
      </c>
      <c r="F121" s="553"/>
      <c r="G121" s="554"/>
      <c r="H121" s="565"/>
      <c r="I121" s="556">
        <v>0</v>
      </c>
      <c r="J121" s="555">
        <f t="shared" si="14"/>
        <v>0</v>
      </c>
      <c r="K121" s="555">
        <f t="shared" si="15"/>
        <v>0</v>
      </c>
      <c r="M121" s="500"/>
      <c r="N121" s="500"/>
      <c r="O121" s="500"/>
      <c r="P121" s="500"/>
      <c r="Q121" s="500"/>
      <c r="R121" s="500"/>
      <c r="S121" s="500"/>
      <c r="T121" s="500"/>
      <c r="U121" s="500"/>
      <c r="V121" s="490"/>
    </row>
    <row r="122" spans="1:22" hidden="1" outlineLevel="1">
      <c r="A122" s="552" t="s">
        <v>386</v>
      </c>
      <c r="B122" s="553" t="s">
        <v>387</v>
      </c>
      <c r="C122" s="553" t="s">
        <v>70</v>
      </c>
      <c r="D122" s="553" t="s">
        <v>103</v>
      </c>
      <c r="E122" s="553" t="s">
        <v>87</v>
      </c>
      <c r="F122" s="553"/>
      <c r="G122" s="554"/>
      <c r="H122" s="565"/>
      <c r="I122" s="556">
        <v>0</v>
      </c>
      <c r="J122" s="555">
        <f t="shared" si="14"/>
        <v>0</v>
      </c>
      <c r="K122" s="555">
        <f t="shared" si="15"/>
        <v>0</v>
      </c>
      <c r="M122" s="500"/>
      <c r="N122" s="500"/>
      <c r="O122" s="500"/>
      <c r="P122" s="500"/>
      <c r="Q122" s="500"/>
      <c r="R122" s="500"/>
      <c r="S122" s="500"/>
      <c r="T122" s="500"/>
      <c r="U122" s="500"/>
      <c r="V122" s="490"/>
    </row>
    <row r="123" spans="1:22" hidden="1" outlineLevel="1">
      <c r="A123" s="552" t="s">
        <v>388</v>
      </c>
      <c r="B123" s="553"/>
      <c r="C123" s="553" t="s">
        <v>70</v>
      </c>
      <c r="D123" s="553" t="s">
        <v>173</v>
      </c>
      <c r="E123" s="553" t="s">
        <v>87</v>
      </c>
      <c r="F123" s="553"/>
      <c r="G123" s="554"/>
      <c r="H123" s="565"/>
      <c r="I123" s="556">
        <v>0</v>
      </c>
      <c r="J123" s="555">
        <f t="shared" si="14"/>
        <v>0</v>
      </c>
      <c r="K123" s="555">
        <f t="shared" si="15"/>
        <v>0</v>
      </c>
      <c r="M123" s="500"/>
      <c r="N123" s="500"/>
      <c r="O123" s="500"/>
      <c r="P123" s="500"/>
      <c r="Q123" s="500"/>
      <c r="R123" s="500"/>
      <c r="S123" s="500"/>
      <c r="T123" s="500"/>
      <c r="U123" s="500"/>
      <c r="V123" s="490"/>
    </row>
    <row r="124" spans="1:22" hidden="1" outlineLevel="1">
      <c r="A124" s="552" t="s">
        <v>389</v>
      </c>
      <c r="B124" s="553" t="s">
        <v>390</v>
      </c>
      <c r="C124" s="553" t="s">
        <v>70</v>
      </c>
      <c r="D124" s="553" t="s">
        <v>173</v>
      </c>
      <c r="E124" s="553" t="s">
        <v>87</v>
      </c>
      <c r="F124" s="553"/>
      <c r="G124" s="554"/>
      <c r="H124" s="565"/>
      <c r="I124" s="556">
        <v>0</v>
      </c>
      <c r="J124" s="551">
        <f t="shared" si="14"/>
        <v>0</v>
      </c>
      <c r="K124" s="309">
        <f t="shared" si="15"/>
        <v>0</v>
      </c>
      <c r="M124" s="500"/>
      <c r="N124" s="500"/>
      <c r="O124" s="500"/>
      <c r="P124" s="500"/>
      <c r="Q124" s="500"/>
      <c r="R124" s="500"/>
      <c r="S124" s="500"/>
      <c r="T124" s="500"/>
      <c r="U124" s="500"/>
      <c r="V124" s="490"/>
    </row>
    <row r="125" spans="1:22" collapsed="1">
      <c r="A125" s="537" t="s">
        <v>391</v>
      </c>
      <c r="B125" s="538" t="s">
        <v>392</v>
      </c>
      <c r="C125" s="578" t="s">
        <v>892</v>
      </c>
      <c r="D125" s="538"/>
      <c r="E125" s="538"/>
      <c r="F125" s="538"/>
      <c r="G125" s="567"/>
      <c r="H125" s="568"/>
      <c r="I125" s="540"/>
      <c r="J125" s="569"/>
      <c r="K125" s="541"/>
      <c r="L125" s="542">
        <f>SUM(K87:K124)</f>
        <v>5963501.3854374392</v>
      </c>
      <c r="M125" s="543"/>
      <c r="N125" s="543"/>
      <c r="O125" s="543"/>
      <c r="P125" s="543"/>
      <c r="Q125" s="543"/>
      <c r="R125" s="543"/>
      <c r="S125" s="543"/>
      <c r="T125" s="543"/>
      <c r="U125" s="543"/>
      <c r="V125" s="490"/>
    </row>
    <row r="126" spans="1:22" hidden="1" outlineLevel="1">
      <c r="A126" s="544" t="s">
        <v>393</v>
      </c>
      <c r="B126" s="545" t="s">
        <v>394</v>
      </c>
      <c r="C126" s="545" t="s">
        <v>70</v>
      </c>
      <c r="D126" s="545" t="s">
        <v>75</v>
      </c>
      <c r="E126" s="545" t="s">
        <v>87</v>
      </c>
      <c r="F126" s="545"/>
      <c r="G126" s="546"/>
      <c r="H126" s="547">
        <v>5478</v>
      </c>
      <c r="I126" s="548">
        <v>0</v>
      </c>
      <c r="J126" s="309">
        <f t="shared" ref="J126:J141" si="18">H126*(1+I126)</f>
        <v>5478</v>
      </c>
      <c r="K126" s="309">
        <f t="shared" ref="K126:K141" si="19">J126*G126</f>
        <v>0</v>
      </c>
      <c r="M126" s="549"/>
      <c r="N126" s="549"/>
      <c r="O126" s="549"/>
      <c r="P126" s="549"/>
      <c r="Q126" s="549"/>
      <c r="R126" s="549"/>
      <c r="S126" s="549"/>
      <c r="T126" s="549"/>
      <c r="U126" s="549"/>
      <c r="V126" s="490"/>
    </row>
    <row r="127" spans="1:22" hidden="1" outlineLevel="1">
      <c r="A127" s="552" t="s">
        <v>395</v>
      </c>
      <c r="B127" s="553" t="s">
        <v>396</v>
      </c>
      <c r="C127" s="553" t="s">
        <v>70</v>
      </c>
      <c r="D127" s="553" t="s">
        <v>397</v>
      </c>
      <c r="E127" s="553" t="s">
        <v>329</v>
      </c>
      <c r="F127" s="553" t="s">
        <v>344</v>
      </c>
      <c r="G127" s="546">
        <f>$N$9</f>
        <v>363</v>
      </c>
      <c r="H127" s="555">
        <v>212</v>
      </c>
      <c r="I127" s="556">
        <v>0</v>
      </c>
      <c r="J127" s="555">
        <f t="shared" si="18"/>
        <v>212</v>
      </c>
      <c r="K127" s="555">
        <f t="shared" si="19"/>
        <v>76956</v>
      </c>
      <c r="M127" s="500" t="s">
        <v>398</v>
      </c>
      <c r="N127" s="500"/>
      <c r="O127" s="500"/>
      <c r="P127" s="500"/>
      <c r="Q127" s="500"/>
      <c r="R127" s="500"/>
      <c r="S127" s="500"/>
      <c r="T127" s="500"/>
      <c r="U127" s="500"/>
      <c r="V127" s="490"/>
    </row>
    <row r="128" spans="1:22" hidden="1" outlineLevel="1">
      <c r="A128" s="552" t="s">
        <v>399</v>
      </c>
      <c r="B128" s="553" t="s">
        <v>400</v>
      </c>
      <c r="C128" s="553" t="s">
        <v>70</v>
      </c>
      <c r="D128" s="553" t="s">
        <v>75</v>
      </c>
      <c r="E128" s="557" t="s">
        <v>76</v>
      </c>
      <c r="F128" s="553" t="s">
        <v>83</v>
      </c>
      <c r="G128" s="554">
        <v>1</v>
      </c>
      <c r="H128" s="555">
        <v>7500</v>
      </c>
      <c r="I128" s="556">
        <v>0</v>
      </c>
      <c r="J128" s="555">
        <f t="shared" si="18"/>
        <v>7500</v>
      </c>
      <c r="K128" s="555">
        <f t="shared" si="19"/>
        <v>7500</v>
      </c>
      <c r="M128" s="500"/>
      <c r="N128" s="500"/>
      <c r="O128" s="500"/>
      <c r="P128" s="500"/>
      <c r="Q128" s="500"/>
      <c r="R128" s="500"/>
      <c r="S128" s="500"/>
      <c r="T128" s="500"/>
      <c r="U128" s="500"/>
      <c r="V128" s="490"/>
    </row>
    <row r="129" spans="1:22" hidden="1" outlineLevel="1">
      <c r="A129" s="552" t="s">
        <v>401</v>
      </c>
      <c r="B129" s="553" t="s">
        <v>402</v>
      </c>
      <c r="C129" s="553" t="s">
        <v>70</v>
      </c>
      <c r="D129" s="553" t="s">
        <v>75</v>
      </c>
      <c r="E129" s="553" t="s">
        <v>76</v>
      </c>
      <c r="F129" s="553" t="s">
        <v>83</v>
      </c>
      <c r="G129" s="554">
        <v>1</v>
      </c>
      <c r="H129" s="555">
        <v>6500</v>
      </c>
      <c r="I129" s="556">
        <v>0</v>
      </c>
      <c r="J129" s="555">
        <f t="shared" si="18"/>
        <v>6500</v>
      </c>
      <c r="K129" s="555">
        <f t="shared" si="19"/>
        <v>6500</v>
      </c>
      <c r="M129" s="500"/>
      <c r="N129" s="500"/>
      <c r="O129" s="500"/>
      <c r="P129" s="500"/>
      <c r="Q129" s="500"/>
      <c r="R129" s="500"/>
      <c r="S129" s="500"/>
      <c r="T129" s="500"/>
      <c r="U129" s="500"/>
      <c r="V129" s="490"/>
    </row>
    <row r="130" spans="1:22" hidden="1" outlineLevel="1">
      <c r="A130" s="552" t="s">
        <v>403</v>
      </c>
      <c r="B130" s="553" t="s">
        <v>404</v>
      </c>
      <c r="C130" s="553" t="s">
        <v>70</v>
      </c>
      <c r="D130" s="553" t="s">
        <v>405</v>
      </c>
      <c r="E130" s="553" t="s">
        <v>76</v>
      </c>
      <c r="F130" s="553" t="s">
        <v>83</v>
      </c>
      <c r="G130" s="554">
        <v>1</v>
      </c>
      <c r="H130" s="555">
        <v>7500</v>
      </c>
      <c r="I130" s="556">
        <v>0</v>
      </c>
      <c r="J130" s="555">
        <f t="shared" si="18"/>
        <v>7500</v>
      </c>
      <c r="K130" s="555">
        <f t="shared" si="19"/>
        <v>7500</v>
      </c>
      <c r="M130" s="500"/>
      <c r="N130" s="500"/>
      <c r="O130" s="500"/>
      <c r="P130" s="500"/>
      <c r="Q130" s="500"/>
      <c r="R130" s="500"/>
      <c r="S130" s="500"/>
      <c r="T130" s="500"/>
      <c r="U130" s="500"/>
      <c r="V130" s="490"/>
    </row>
    <row r="131" spans="1:22" hidden="1" outlineLevel="1">
      <c r="A131" s="552" t="s">
        <v>406</v>
      </c>
      <c r="B131" s="553" t="s">
        <v>407</v>
      </c>
      <c r="C131" s="553" t="s">
        <v>70</v>
      </c>
      <c r="D131" s="553" t="s">
        <v>81</v>
      </c>
      <c r="E131" s="553" t="s">
        <v>329</v>
      </c>
      <c r="F131" s="553" t="s">
        <v>408</v>
      </c>
      <c r="G131" s="546">
        <f>$N$9+N7+N8</f>
        <v>363</v>
      </c>
      <c r="H131" s="555">
        <v>41</v>
      </c>
      <c r="I131" s="556">
        <v>0</v>
      </c>
      <c r="J131" s="555">
        <f t="shared" si="18"/>
        <v>41</v>
      </c>
      <c r="K131" s="555">
        <f t="shared" si="19"/>
        <v>14883</v>
      </c>
      <c r="M131" s="500" t="s">
        <v>409</v>
      </c>
      <c r="N131" s="500"/>
      <c r="O131" s="500"/>
      <c r="P131" s="500"/>
      <c r="Q131" s="500"/>
      <c r="R131" s="500"/>
      <c r="S131" s="500"/>
      <c r="T131" s="500"/>
      <c r="U131" s="500"/>
      <c r="V131" s="490"/>
    </row>
    <row r="132" spans="1:22" hidden="1" outlineLevel="1">
      <c r="A132" s="552" t="s">
        <v>410</v>
      </c>
      <c r="B132" s="553" t="s">
        <v>411</v>
      </c>
      <c r="C132" s="553" t="s">
        <v>70</v>
      </c>
      <c r="D132" s="553" t="s">
        <v>81</v>
      </c>
      <c r="E132" s="553" t="s">
        <v>87</v>
      </c>
      <c r="F132" s="553"/>
      <c r="G132" s="554"/>
      <c r="H132" s="555">
        <v>0</v>
      </c>
      <c r="I132" s="556">
        <v>0</v>
      </c>
      <c r="J132" s="555">
        <f t="shared" si="18"/>
        <v>0</v>
      </c>
      <c r="K132" s="555">
        <f t="shared" si="19"/>
        <v>0</v>
      </c>
      <c r="M132" s="500"/>
      <c r="N132" s="500"/>
      <c r="O132" s="500"/>
      <c r="P132" s="500"/>
      <c r="Q132" s="500"/>
      <c r="R132" s="500"/>
      <c r="S132" s="500"/>
      <c r="T132" s="500"/>
      <c r="U132" s="500"/>
      <c r="V132" s="490"/>
    </row>
    <row r="133" spans="1:22" hidden="1" outlineLevel="1">
      <c r="A133" s="552" t="s">
        <v>412</v>
      </c>
      <c r="B133" s="553" t="s">
        <v>413</v>
      </c>
      <c r="C133" s="553" t="s">
        <v>70</v>
      </c>
      <c r="D133" s="553" t="s">
        <v>81</v>
      </c>
      <c r="E133" s="553" t="s">
        <v>87</v>
      </c>
      <c r="F133" s="553"/>
      <c r="G133" s="554"/>
      <c r="H133" s="555">
        <v>0</v>
      </c>
      <c r="I133" s="556">
        <v>0</v>
      </c>
      <c r="J133" s="555">
        <f t="shared" si="18"/>
        <v>0</v>
      </c>
      <c r="K133" s="555">
        <f t="shared" si="19"/>
        <v>0</v>
      </c>
      <c r="M133" s="500"/>
      <c r="N133" s="500"/>
      <c r="O133" s="500"/>
      <c r="P133" s="500"/>
      <c r="Q133" s="500"/>
      <c r="R133" s="500"/>
      <c r="S133" s="500"/>
      <c r="T133" s="500"/>
      <c r="U133" s="500"/>
      <c r="V133" s="490"/>
    </row>
    <row r="134" spans="1:22" hidden="1" outlineLevel="1">
      <c r="A134" s="552" t="s">
        <v>414</v>
      </c>
      <c r="B134" s="553" t="s">
        <v>415</v>
      </c>
      <c r="C134" s="553" t="s">
        <v>70</v>
      </c>
      <c r="D134" s="553" t="s">
        <v>103</v>
      </c>
      <c r="E134" s="553" t="s">
        <v>87</v>
      </c>
      <c r="F134" s="553"/>
      <c r="G134" s="554"/>
      <c r="H134" s="555">
        <v>0</v>
      </c>
      <c r="I134" s="556">
        <v>0</v>
      </c>
      <c r="J134" s="555">
        <f t="shared" si="18"/>
        <v>0</v>
      </c>
      <c r="K134" s="555">
        <f t="shared" si="19"/>
        <v>0</v>
      </c>
      <c r="M134" s="500"/>
      <c r="N134" s="500"/>
      <c r="O134" s="500"/>
      <c r="P134" s="500"/>
      <c r="Q134" s="500"/>
      <c r="R134" s="500"/>
      <c r="S134" s="500"/>
      <c r="T134" s="500"/>
      <c r="U134" s="500"/>
      <c r="V134" s="490"/>
    </row>
    <row r="135" spans="1:22" hidden="1" outlineLevel="1">
      <c r="A135" s="552" t="s">
        <v>416</v>
      </c>
      <c r="B135" s="553" t="s">
        <v>417</v>
      </c>
      <c r="C135" s="553" t="s">
        <v>70</v>
      </c>
      <c r="D135" s="553" t="s">
        <v>103</v>
      </c>
      <c r="E135" s="553" t="s">
        <v>418</v>
      </c>
      <c r="F135" s="553" t="s">
        <v>83</v>
      </c>
      <c r="G135" s="554">
        <v>4</v>
      </c>
      <c r="H135" s="555">
        <v>3360</v>
      </c>
      <c r="I135" s="556">
        <v>0</v>
      </c>
      <c r="J135" s="555">
        <f t="shared" si="18"/>
        <v>3360</v>
      </c>
      <c r="K135" s="555">
        <f t="shared" si="19"/>
        <v>13440</v>
      </c>
      <c r="M135" s="500"/>
      <c r="N135" s="500"/>
      <c r="O135" s="500"/>
      <c r="P135" s="500"/>
      <c r="Q135" s="500"/>
      <c r="R135" s="500"/>
      <c r="S135" s="500"/>
      <c r="T135" s="500"/>
      <c r="U135" s="500"/>
      <c r="V135" s="490"/>
    </row>
    <row r="136" spans="1:22" hidden="1" outlineLevel="1">
      <c r="A136" s="552" t="s">
        <v>419</v>
      </c>
      <c r="B136" s="553" t="s">
        <v>420</v>
      </c>
      <c r="C136" s="553" t="s">
        <v>70</v>
      </c>
      <c r="D136" s="553" t="s">
        <v>75</v>
      </c>
      <c r="E136" s="553" t="s">
        <v>76</v>
      </c>
      <c r="F136" s="553" t="s">
        <v>83</v>
      </c>
      <c r="G136" s="554">
        <v>1</v>
      </c>
      <c r="H136" s="555">
        <v>5000</v>
      </c>
      <c r="I136" s="556">
        <v>0</v>
      </c>
      <c r="J136" s="555">
        <f t="shared" si="18"/>
        <v>5000</v>
      </c>
      <c r="K136" s="555">
        <f t="shared" si="19"/>
        <v>5000</v>
      </c>
      <c r="M136" s="500"/>
      <c r="N136" s="500"/>
      <c r="O136" s="500"/>
      <c r="P136" s="500"/>
      <c r="Q136" s="500"/>
      <c r="R136" s="500"/>
      <c r="S136" s="500"/>
      <c r="T136" s="500"/>
      <c r="U136" s="500"/>
      <c r="V136" s="490"/>
    </row>
    <row r="137" spans="1:22" hidden="1" outlineLevel="1">
      <c r="A137" s="552" t="s">
        <v>421</v>
      </c>
      <c r="B137" s="553" t="s">
        <v>422</v>
      </c>
      <c r="C137" s="553" t="s">
        <v>70</v>
      </c>
      <c r="D137" s="553" t="s">
        <v>81</v>
      </c>
      <c r="E137" s="553" t="s">
        <v>76</v>
      </c>
      <c r="F137" s="553" t="s">
        <v>83</v>
      </c>
      <c r="G137" s="546">
        <v>1</v>
      </c>
      <c r="H137" s="555">
        <v>30000</v>
      </c>
      <c r="I137" s="556">
        <v>0</v>
      </c>
      <c r="J137" s="555">
        <f t="shared" si="18"/>
        <v>30000</v>
      </c>
      <c r="K137" s="555">
        <f t="shared" si="19"/>
        <v>30000</v>
      </c>
      <c r="M137" s="500" t="s">
        <v>423</v>
      </c>
      <c r="N137" s="500"/>
      <c r="O137" s="500"/>
      <c r="P137" s="500"/>
      <c r="Q137" s="500"/>
      <c r="R137" s="500"/>
      <c r="S137" s="500"/>
      <c r="T137" s="500"/>
      <c r="U137" s="500"/>
      <c r="V137" s="490"/>
    </row>
    <row r="138" spans="1:22" hidden="1" outlineLevel="1">
      <c r="A138" s="552" t="s">
        <v>424</v>
      </c>
      <c r="B138" s="553" t="s">
        <v>425</v>
      </c>
      <c r="C138" s="553" t="s">
        <v>70</v>
      </c>
      <c r="D138" s="553" t="s">
        <v>81</v>
      </c>
      <c r="E138" s="553" t="s">
        <v>329</v>
      </c>
      <c r="F138" s="553" t="s">
        <v>344</v>
      </c>
      <c r="G138" s="546">
        <f>$N$9</f>
        <v>363</v>
      </c>
      <c r="H138" s="555">
        <v>230</v>
      </c>
      <c r="I138" s="556">
        <v>0</v>
      </c>
      <c r="J138" s="555">
        <f t="shared" si="18"/>
        <v>230</v>
      </c>
      <c r="K138" s="555">
        <f t="shared" si="19"/>
        <v>83490</v>
      </c>
      <c r="M138" s="500" t="s">
        <v>409</v>
      </c>
      <c r="N138" s="500"/>
      <c r="O138" s="500"/>
      <c r="P138" s="500"/>
      <c r="Q138" s="500"/>
      <c r="R138" s="500"/>
      <c r="S138" s="500"/>
      <c r="T138" s="500"/>
      <c r="U138" s="500"/>
      <c r="V138" s="490"/>
    </row>
    <row r="139" spans="1:22" hidden="1" outlineLevel="1">
      <c r="A139" s="552" t="s">
        <v>426</v>
      </c>
      <c r="B139" s="553" t="s">
        <v>427</v>
      </c>
      <c r="C139" s="553" t="s">
        <v>70</v>
      </c>
      <c r="D139" s="553" t="s">
        <v>81</v>
      </c>
      <c r="E139" s="553" t="s">
        <v>184</v>
      </c>
      <c r="F139" s="553" t="s">
        <v>344</v>
      </c>
      <c r="G139" s="546">
        <f>$N$9</f>
        <v>363</v>
      </c>
      <c r="H139" s="555">
        <v>332</v>
      </c>
      <c r="I139" s="556">
        <v>0</v>
      </c>
      <c r="J139" s="555">
        <f t="shared" si="18"/>
        <v>332</v>
      </c>
      <c r="K139" s="555">
        <f t="shared" si="19"/>
        <v>120516</v>
      </c>
      <c r="M139" s="500"/>
      <c r="N139" s="500"/>
      <c r="O139" s="500"/>
      <c r="P139" s="500"/>
      <c r="Q139" s="500"/>
      <c r="R139" s="500"/>
      <c r="S139" s="500"/>
      <c r="T139" s="500"/>
      <c r="U139" s="500"/>
      <c r="V139" s="490"/>
    </row>
    <row r="140" spans="1:22" hidden="1" outlineLevel="1">
      <c r="A140" s="552" t="s">
        <v>428</v>
      </c>
      <c r="B140" s="553" t="s">
        <v>429</v>
      </c>
      <c r="C140" s="553" t="s">
        <v>70</v>
      </c>
      <c r="D140" s="553" t="s">
        <v>81</v>
      </c>
      <c r="E140" s="553" t="s">
        <v>343</v>
      </c>
      <c r="F140" s="553" t="s">
        <v>132</v>
      </c>
      <c r="G140" s="554">
        <f>'Assumptions &amp; Takeoffs'!$B$26</f>
        <v>30</v>
      </c>
      <c r="H140" s="555">
        <v>2500</v>
      </c>
      <c r="I140" s="556">
        <v>0</v>
      </c>
      <c r="J140" s="555">
        <f t="shared" si="18"/>
        <v>2500</v>
      </c>
      <c r="K140" s="555">
        <f t="shared" si="19"/>
        <v>75000</v>
      </c>
      <c r="M140" s="500"/>
      <c r="N140" s="500"/>
      <c r="O140" s="500"/>
      <c r="P140" s="500"/>
      <c r="Q140" s="500"/>
      <c r="R140" s="500"/>
      <c r="S140" s="500"/>
      <c r="T140" s="500"/>
      <c r="U140" s="500"/>
      <c r="V140" s="490"/>
    </row>
    <row r="141" spans="1:22" hidden="1" outlineLevel="1">
      <c r="A141" s="552" t="s">
        <v>430</v>
      </c>
      <c r="B141" s="553" t="s">
        <v>429</v>
      </c>
      <c r="C141" s="553" t="s">
        <v>70</v>
      </c>
      <c r="D141" s="553" t="s">
        <v>81</v>
      </c>
      <c r="E141" s="553" t="s">
        <v>343</v>
      </c>
      <c r="F141" s="553" t="s">
        <v>132</v>
      </c>
      <c r="G141" s="554">
        <f>'Assumptions &amp; Takeoffs'!$B$27</f>
        <v>10</v>
      </c>
      <c r="H141" s="555">
        <v>8500</v>
      </c>
      <c r="I141" s="556">
        <v>0</v>
      </c>
      <c r="J141" s="551">
        <f t="shared" si="18"/>
        <v>8500</v>
      </c>
      <c r="K141" s="309">
        <f t="shared" si="19"/>
        <v>85000</v>
      </c>
      <c r="M141" s="500"/>
      <c r="N141" s="500"/>
      <c r="O141" s="500"/>
      <c r="P141" s="500"/>
      <c r="Q141" s="500"/>
      <c r="R141" s="500"/>
      <c r="S141" s="500"/>
      <c r="T141" s="500"/>
      <c r="U141" s="500"/>
      <c r="V141" s="490"/>
    </row>
    <row r="142" spans="1:22" collapsed="1">
      <c r="A142" s="537" t="s">
        <v>431</v>
      </c>
      <c r="B142" s="538" t="s">
        <v>432</v>
      </c>
      <c r="C142" s="578" t="s">
        <v>892</v>
      </c>
      <c r="D142" s="538"/>
      <c r="E142" s="538"/>
      <c r="F142" s="538"/>
      <c r="G142" s="567"/>
      <c r="H142" s="568"/>
      <c r="I142" s="540"/>
      <c r="J142" s="569"/>
      <c r="K142" s="541"/>
      <c r="L142" s="542">
        <f>SUM(K126:K141)</f>
        <v>525785</v>
      </c>
      <c r="M142" s="543"/>
      <c r="N142" s="543"/>
      <c r="O142" s="543"/>
      <c r="P142" s="543"/>
      <c r="Q142" s="543"/>
      <c r="R142" s="543"/>
      <c r="S142" s="543"/>
      <c r="T142" s="543"/>
      <c r="U142" s="543"/>
      <c r="V142" s="490"/>
    </row>
    <row r="143" spans="1:22" hidden="1" outlineLevel="1">
      <c r="A143" s="552" t="s">
        <v>433</v>
      </c>
      <c r="B143" s="553" t="s">
        <v>434</v>
      </c>
      <c r="C143" s="553" t="s">
        <v>70</v>
      </c>
      <c r="D143" s="553" t="s">
        <v>81</v>
      </c>
      <c r="E143" s="553" t="s">
        <v>184</v>
      </c>
      <c r="F143" s="553" t="s">
        <v>344</v>
      </c>
      <c r="G143" s="554">
        <f>$N$9</f>
        <v>363</v>
      </c>
      <c r="H143" s="555">
        <f>'Unit Pricing Comparison'!I13</f>
        <v>3169.7043298969074</v>
      </c>
      <c r="I143" s="556">
        <v>0.05</v>
      </c>
      <c r="J143" s="551">
        <f t="shared" ref="J143:J145" si="20">H143*(1+I143)</f>
        <v>3328.1895463917531</v>
      </c>
      <c r="K143" s="309">
        <f>J143*G143</f>
        <v>1208132.8053402065</v>
      </c>
      <c r="M143" s="549"/>
      <c r="N143" s="549"/>
      <c r="O143" s="549"/>
      <c r="P143" s="549"/>
      <c r="Q143" s="549"/>
      <c r="R143" s="549"/>
      <c r="S143" s="549"/>
      <c r="T143" s="549"/>
      <c r="U143" s="549"/>
      <c r="V143" s="490"/>
    </row>
    <row r="144" spans="1:22" hidden="1" outlineLevel="1">
      <c r="A144" s="552" t="s">
        <v>435</v>
      </c>
      <c r="B144" s="553" t="s">
        <v>434</v>
      </c>
      <c r="C144" s="553" t="s">
        <v>70</v>
      </c>
      <c r="D144" s="553" t="s">
        <v>81</v>
      </c>
      <c r="E144" s="553" t="s">
        <v>343</v>
      </c>
      <c r="F144" s="553" t="s">
        <v>436</v>
      </c>
      <c r="G144" s="554">
        <f>$N$9</f>
        <v>363</v>
      </c>
      <c r="H144" s="555">
        <f>65304/190</f>
        <v>343.70526315789476</v>
      </c>
      <c r="I144" s="556">
        <v>0</v>
      </c>
      <c r="J144" s="555">
        <f t="shared" si="20"/>
        <v>343.70526315789476</v>
      </c>
      <c r="K144" s="555">
        <f>J144*G144</f>
        <v>124765.0105263158</v>
      </c>
      <c r="M144" s="491" t="s">
        <v>437</v>
      </c>
      <c r="V144" s="490"/>
    </row>
    <row r="145" spans="1:29" hidden="1" outlineLevel="1">
      <c r="A145" s="552" t="s">
        <v>438</v>
      </c>
      <c r="B145" s="553" t="s">
        <v>434</v>
      </c>
      <c r="C145" s="553" t="s">
        <v>70</v>
      </c>
      <c r="D145" s="553" t="s">
        <v>81</v>
      </c>
      <c r="E145" s="553" t="s">
        <v>76</v>
      </c>
      <c r="F145" s="553" t="s">
        <v>83</v>
      </c>
      <c r="G145" s="554">
        <v>1</v>
      </c>
      <c r="H145" s="555">
        <v>35000</v>
      </c>
      <c r="I145" s="556">
        <v>0</v>
      </c>
      <c r="J145" s="551">
        <f t="shared" si="20"/>
        <v>35000</v>
      </c>
      <c r="K145" s="309">
        <f>J145*G145</f>
        <v>35000</v>
      </c>
      <c r="M145" s="491" t="s">
        <v>439</v>
      </c>
      <c r="V145" s="490"/>
    </row>
    <row r="146" spans="1:29" ht="15.75" collapsed="1" thickBot="1">
      <c r="A146" s="537" t="s">
        <v>440</v>
      </c>
      <c r="B146" s="538" t="s">
        <v>441</v>
      </c>
      <c r="C146" s="578" t="s">
        <v>892</v>
      </c>
      <c r="D146" s="538"/>
      <c r="E146" s="538"/>
      <c r="F146" s="538"/>
      <c r="G146" s="567"/>
      <c r="H146" s="568"/>
      <c r="I146" s="540"/>
      <c r="J146" s="569"/>
      <c r="K146" s="541"/>
      <c r="L146" s="542">
        <f>SUM(K143:K145)</f>
        <v>1367897.8158665223</v>
      </c>
      <c r="M146" s="543"/>
      <c r="N146" s="543"/>
      <c r="O146" s="543"/>
      <c r="P146" s="543"/>
      <c r="Q146" s="543"/>
      <c r="R146" s="543"/>
      <c r="S146" s="543"/>
      <c r="T146" s="543"/>
      <c r="U146" s="543"/>
      <c r="V146" s="490"/>
    </row>
    <row r="147" spans="1:29" ht="15.75" hidden="1" outlineLevel="1" thickBot="1">
      <c r="A147" s="544" t="s">
        <v>308</v>
      </c>
      <c r="B147" s="545" t="s">
        <v>442</v>
      </c>
      <c r="C147" s="545" t="s">
        <v>70</v>
      </c>
      <c r="D147" s="545" t="s">
        <v>310</v>
      </c>
      <c r="E147" s="545" t="s">
        <v>87</v>
      </c>
      <c r="F147" s="545">
        <v>0</v>
      </c>
      <c r="G147" s="546">
        <v>0</v>
      </c>
      <c r="H147" s="547">
        <v>0</v>
      </c>
      <c r="I147" s="548">
        <v>0</v>
      </c>
      <c r="J147" s="309">
        <f t="shared" ref="J147:J154" si="21">H147*(1+I147)</f>
        <v>0</v>
      </c>
      <c r="K147" s="309">
        <f t="shared" ref="K147:K154" si="22">J147*G147</f>
        <v>0</v>
      </c>
      <c r="M147" s="549" t="s">
        <v>443</v>
      </c>
      <c r="N147" s="549"/>
      <c r="O147" s="549"/>
      <c r="P147" s="549"/>
      <c r="Q147" s="549"/>
      <c r="R147" s="549"/>
      <c r="S147" s="549"/>
      <c r="T147" s="549"/>
      <c r="U147" s="549"/>
      <c r="V147" s="490"/>
      <c r="Y147" s="579" t="s">
        <v>444</v>
      </c>
      <c r="Z147" s="580" t="s">
        <v>445</v>
      </c>
      <c r="AA147" s="580" t="s">
        <v>446</v>
      </c>
      <c r="AB147" s="580" t="s">
        <v>447</v>
      </c>
      <c r="AC147" s="579" t="s">
        <v>448</v>
      </c>
    </row>
    <row r="148" spans="1:29" hidden="1" outlineLevel="1">
      <c r="A148" s="552" t="s">
        <v>213</v>
      </c>
      <c r="B148" s="553" t="s">
        <v>449</v>
      </c>
      <c r="C148" s="553" t="s">
        <v>70</v>
      </c>
      <c r="D148" s="553" t="s">
        <v>81</v>
      </c>
      <c r="E148" s="553" t="s">
        <v>343</v>
      </c>
      <c r="F148" s="553" t="s">
        <v>279</v>
      </c>
      <c r="G148" s="546">
        <f>$N$9</f>
        <v>363</v>
      </c>
      <c r="H148" s="555">
        <v>443</v>
      </c>
      <c r="I148" s="556">
        <v>0</v>
      </c>
      <c r="J148" s="555">
        <f t="shared" si="21"/>
        <v>443</v>
      </c>
      <c r="K148" s="555">
        <f t="shared" si="22"/>
        <v>160809</v>
      </c>
      <c r="M148" s="500" t="s">
        <v>450</v>
      </c>
      <c r="N148" s="500"/>
      <c r="O148" s="500"/>
      <c r="P148" s="500"/>
      <c r="Q148" s="500"/>
      <c r="R148" s="500"/>
      <c r="S148" s="500"/>
      <c r="T148" s="500"/>
      <c r="U148" s="500"/>
      <c r="V148" s="490"/>
      <c r="Y148" s="581" t="s">
        <v>451</v>
      </c>
      <c r="Z148" s="582">
        <v>16</v>
      </c>
      <c r="AA148" s="582" t="s">
        <v>452</v>
      </c>
      <c r="AB148" s="582">
        <v>168</v>
      </c>
      <c r="AC148" s="583">
        <f>AB148*Z148</f>
        <v>2688</v>
      </c>
    </row>
    <row r="149" spans="1:29" hidden="1" outlineLevel="1">
      <c r="A149" s="552" t="s">
        <v>453</v>
      </c>
      <c r="B149" s="553" t="s">
        <v>454</v>
      </c>
      <c r="C149" s="553" t="s">
        <v>70</v>
      </c>
      <c r="D149" s="553" t="s">
        <v>81</v>
      </c>
      <c r="E149" s="553" t="s">
        <v>886</v>
      </c>
      <c r="F149" s="553" t="s">
        <v>455</v>
      </c>
      <c r="G149" s="546">
        <f>AC152</f>
        <v>6830</v>
      </c>
      <c r="H149" s="555">
        <v>137.80000000000001</v>
      </c>
      <c r="I149" s="556">
        <v>0</v>
      </c>
      <c r="J149" s="555">
        <f t="shared" si="21"/>
        <v>137.80000000000001</v>
      </c>
      <c r="K149" s="555">
        <f t="shared" si="22"/>
        <v>941174.00000000012</v>
      </c>
      <c r="M149" s="660" t="s">
        <v>456</v>
      </c>
      <c r="N149" s="660"/>
      <c r="O149" s="660"/>
      <c r="P149" s="660"/>
      <c r="Q149" s="660"/>
      <c r="R149" s="660"/>
      <c r="S149" s="660"/>
      <c r="T149" s="660"/>
      <c r="U149" s="660"/>
      <c r="V149" s="584" t="s">
        <v>457</v>
      </c>
      <c r="Y149" s="581" t="s">
        <v>458</v>
      </c>
      <c r="Z149" s="582">
        <v>14</v>
      </c>
      <c r="AA149" s="582" t="s">
        <v>459</v>
      </c>
      <c r="AB149" s="582">
        <v>52</v>
      </c>
      <c r="AC149" s="583">
        <f>AB149*Z149</f>
        <v>728</v>
      </c>
    </row>
    <row r="150" spans="1:29" hidden="1" outlineLevel="1">
      <c r="A150" s="552" t="s">
        <v>460</v>
      </c>
      <c r="B150" s="553" t="s">
        <v>461</v>
      </c>
      <c r="C150" s="553" t="s">
        <v>70</v>
      </c>
      <c r="D150" s="553" t="s">
        <v>81</v>
      </c>
      <c r="E150" s="553" t="s">
        <v>76</v>
      </c>
      <c r="F150" s="553" t="s">
        <v>83</v>
      </c>
      <c r="G150" s="554">
        <v>1</v>
      </c>
      <c r="H150" s="555">
        <v>75000</v>
      </c>
      <c r="I150" s="556">
        <v>0</v>
      </c>
      <c r="J150" s="555">
        <f t="shared" si="21"/>
        <v>75000</v>
      </c>
      <c r="K150" s="555">
        <f t="shared" si="22"/>
        <v>75000</v>
      </c>
      <c r="M150" s="500"/>
      <c r="N150" s="500"/>
      <c r="O150" s="500"/>
      <c r="P150" s="500"/>
      <c r="Q150" s="500"/>
      <c r="R150" s="500"/>
      <c r="S150" s="500"/>
      <c r="T150" s="500"/>
      <c r="U150" s="500"/>
      <c r="V150" s="490"/>
      <c r="Y150" s="581" t="s">
        <v>462</v>
      </c>
      <c r="Z150" s="582">
        <v>24</v>
      </c>
      <c r="AA150" s="582" t="s">
        <v>463</v>
      </c>
      <c r="AB150" s="582">
        <v>125</v>
      </c>
      <c r="AC150" s="583">
        <f>AB150*Z150</f>
        <v>3000</v>
      </c>
    </row>
    <row r="151" spans="1:29" ht="15.75" hidden="1" outlineLevel="1" thickBot="1">
      <c r="A151" s="552" t="s">
        <v>464</v>
      </c>
      <c r="B151" s="553" t="s">
        <v>465</v>
      </c>
      <c r="C151" s="553" t="s">
        <v>70</v>
      </c>
      <c r="D151" s="553" t="s">
        <v>81</v>
      </c>
      <c r="E151" s="553" t="s">
        <v>466</v>
      </c>
      <c r="F151" s="553" t="s">
        <v>344</v>
      </c>
      <c r="G151" s="546">
        <f>N9</f>
        <v>363</v>
      </c>
      <c r="H151" s="555">
        <f>'Unit Pricing Comparison'!I23</f>
        <v>1868.4432989690722</v>
      </c>
      <c r="I151" s="556">
        <v>0</v>
      </c>
      <c r="J151" s="555">
        <f t="shared" si="21"/>
        <v>1868.4432989690722</v>
      </c>
      <c r="K151" s="555">
        <f t="shared" si="22"/>
        <v>678244.91752577317</v>
      </c>
      <c r="M151" s="661" t="s">
        <v>467</v>
      </c>
      <c r="N151" s="661"/>
      <c r="O151" s="661"/>
      <c r="P151" s="661"/>
      <c r="Q151" s="661"/>
      <c r="R151" s="661"/>
      <c r="S151" s="661"/>
      <c r="T151" s="661"/>
      <c r="U151" s="661"/>
      <c r="V151" s="584" t="s">
        <v>457</v>
      </c>
      <c r="Y151" s="585" t="s">
        <v>468</v>
      </c>
      <c r="Z151" s="586">
        <v>23</v>
      </c>
      <c r="AA151" s="586" t="s">
        <v>469</v>
      </c>
      <c r="AB151" s="586">
        <v>18</v>
      </c>
      <c r="AC151" s="583">
        <f>AB151*Z151</f>
        <v>414</v>
      </c>
    </row>
    <row r="152" spans="1:29" ht="15.75" hidden="1" outlineLevel="1" thickBot="1">
      <c r="A152" s="552" t="s">
        <v>470</v>
      </c>
      <c r="B152" s="553" t="s">
        <v>471</v>
      </c>
      <c r="C152" s="553" t="s">
        <v>144</v>
      </c>
      <c r="D152" s="553" t="s">
        <v>81</v>
      </c>
      <c r="E152" s="553" t="s">
        <v>76</v>
      </c>
      <c r="F152" s="553" t="s">
        <v>83</v>
      </c>
      <c r="G152" s="554">
        <v>1</v>
      </c>
      <c r="H152" s="555">
        <v>65000</v>
      </c>
      <c r="I152" s="556">
        <v>0</v>
      </c>
      <c r="J152" s="555">
        <f t="shared" si="21"/>
        <v>65000</v>
      </c>
      <c r="K152" s="555">
        <f t="shared" si="22"/>
        <v>65000</v>
      </c>
      <c r="M152" s="500"/>
      <c r="N152" s="500"/>
      <c r="O152" s="500"/>
      <c r="P152" s="500"/>
      <c r="Q152" s="500"/>
      <c r="R152" s="500"/>
      <c r="S152" s="500"/>
      <c r="T152" s="500"/>
      <c r="U152" s="500"/>
      <c r="V152" s="490"/>
      <c r="Y152" s="582"/>
      <c r="Z152" s="582"/>
      <c r="AA152" s="582"/>
      <c r="AB152" s="582"/>
      <c r="AC152" s="587">
        <f>SUM(AC148:AC151)</f>
        <v>6830</v>
      </c>
    </row>
    <row r="153" spans="1:29" hidden="1" outlineLevel="1">
      <c r="A153" s="552" t="s">
        <v>472</v>
      </c>
      <c r="B153" s="553" t="s">
        <v>473</v>
      </c>
      <c r="C153" s="553" t="s">
        <v>70</v>
      </c>
      <c r="D153" s="553" t="s">
        <v>103</v>
      </c>
      <c r="E153" s="553" t="s">
        <v>87</v>
      </c>
      <c r="F153" s="553"/>
      <c r="G153" s="554"/>
      <c r="H153" s="555"/>
      <c r="I153" s="556">
        <v>0</v>
      </c>
      <c r="J153" s="555">
        <f t="shared" si="21"/>
        <v>0</v>
      </c>
      <c r="K153" s="555">
        <f t="shared" si="22"/>
        <v>0</v>
      </c>
      <c r="M153" s="500"/>
      <c r="N153" s="500"/>
      <c r="O153" s="500"/>
      <c r="P153" s="500"/>
      <c r="Q153" s="500"/>
      <c r="R153" s="500"/>
      <c r="S153" s="500"/>
      <c r="T153" s="500"/>
      <c r="U153" s="500"/>
      <c r="V153" s="490"/>
    </row>
    <row r="154" spans="1:29" ht="15.75" hidden="1" outlineLevel="1" thickBot="1">
      <c r="A154" s="552" t="s">
        <v>474</v>
      </c>
      <c r="B154" s="553" t="s">
        <v>475</v>
      </c>
      <c r="C154" s="553" t="s">
        <v>70</v>
      </c>
      <c r="D154" s="553" t="s">
        <v>103</v>
      </c>
      <c r="E154" s="553" t="s">
        <v>76</v>
      </c>
      <c r="F154" s="553" t="s">
        <v>83</v>
      </c>
      <c r="G154" s="554">
        <v>4</v>
      </c>
      <c r="H154" s="555">
        <v>6000</v>
      </c>
      <c r="I154" s="556">
        <v>0</v>
      </c>
      <c r="J154" s="551">
        <f t="shared" si="21"/>
        <v>6000</v>
      </c>
      <c r="K154" s="309">
        <f t="shared" si="22"/>
        <v>24000</v>
      </c>
      <c r="M154" s="500"/>
      <c r="N154" s="500"/>
      <c r="O154" s="500"/>
      <c r="P154" s="500"/>
      <c r="Q154" s="500"/>
      <c r="R154" s="500"/>
      <c r="S154" s="500"/>
      <c r="T154" s="500"/>
      <c r="U154" s="500"/>
      <c r="V154" s="490"/>
    </row>
    <row r="155" spans="1:29" ht="15.75" collapsed="1" thickBot="1">
      <c r="A155" s="537" t="s">
        <v>476</v>
      </c>
      <c r="B155" s="538" t="s">
        <v>477</v>
      </c>
      <c r="C155" s="578" t="s">
        <v>892</v>
      </c>
      <c r="D155" s="538"/>
      <c r="E155" s="538"/>
      <c r="F155" s="538"/>
      <c r="G155" s="567"/>
      <c r="H155" s="568"/>
      <c r="I155" s="540"/>
      <c r="J155" s="569"/>
      <c r="K155" s="541"/>
      <c r="L155" s="542">
        <f>SUM(K147:K154)</f>
        <v>1944227.9175257732</v>
      </c>
      <c r="M155" s="543"/>
      <c r="N155" s="543"/>
      <c r="O155" s="543"/>
      <c r="P155" s="543"/>
      <c r="Q155" s="543"/>
      <c r="R155" s="543"/>
      <c r="S155" s="543"/>
      <c r="T155" s="543"/>
      <c r="U155" s="543"/>
      <c r="V155" s="490"/>
      <c r="Y155" s="588" t="s">
        <v>436</v>
      </c>
      <c r="Z155" s="580" t="s">
        <v>478</v>
      </c>
      <c r="AA155" s="580" t="s">
        <v>447</v>
      </c>
      <c r="AB155" s="588" t="s">
        <v>448</v>
      </c>
    </row>
    <row r="156" spans="1:29" hidden="1" outlineLevel="1">
      <c r="A156" s="552" t="s">
        <v>479</v>
      </c>
      <c r="B156" s="553" t="s">
        <v>480</v>
      </c>
      <c r="C156" s="553" t="s">
        <v>70</v>
      </c>
      <c r="D156" s="553" t="s">
        <v>103</v>
      </c>
      <c r="E156" s="553" t="s">
        <v>896</v>
      </c>
      <c r="F156" s="553" t="s">
        <v>83</v>
      </c>
      <c r="G156" s="554">
        <f>'Assumptions &amp; Takeoffs'!$B$16</f>
        <v>1</v>
      </c>
      <c r="H156" s="555">
        <f>'Unit Pricing Comparison'!H25+37119</f>
        <v>290932.33333333337</v>
      </c>
      <c r="I156" s="556">
        <v>0</v>
      </c>
      <c r="J156" s="551">
        <f t="shared" ref="J156:J158" si="23">H156*(1+I156)</f>
        <v>290932.33333333337</v>
      </c>
      <c r="K156" s="309">
        <f>J156*G156</f>
        <v>290932.33333333337</v>
      </c>
      <c r="M156" s="662" t="s">
        <v>481</v>
      </c>
      <c r="N156" s="662"/>
      <c r="O156" s="662"/>
      <c r="P156" s="662"/>
      <c r="Q156" s="662"/>
      <c r="R156" s="662"/>
      <c r="S156" s="662"/>
      <c r="T156" s="662"/>
      <c r="U156" s="662"/>
      <c r="V156" s="490"/>
      <c r="Y156" s="589" t="s">
        <v>452</v>
      </c>
      <c r="Z156" s="590">
        <v>55.2</v>
      </c>
      <c r="AA156" s="582">
        <f>AB148</f>
        <v>168</v>
      </c>
      <c r="AB156" s="591">
        <f>AA156*Z156</f>
        <v>9273.6</v>
      </c>
    </row>
    <row r="157" spans="1:29" hidden="1" outlineLevel="1">
      <c r="A157" s="552" t="s">
        <v>482</v>
      </c>
      <c r="B157" s="553" t="s">
        <v>483</v>
      </c>
      <c r="C157" s="553" t="s">
        <v>70</v>
      </c>
      <c r="D157" s="553" t="s">
        <v>397</v>
      </c>
      <c r="E157" s="553" t="s">
        <v>343</v>
      </c>
      <c r="F157" s="553" t="s">
        <v>132</v>
      </c>
      <c r="G157" s="554">
        <f>'Assumptions &amp; Takeoffs'!$B$22</f>
        <v>286</v>
      </c>
      <c r="H157" s="555">
        <v>2292</v>
      </c>
      <c r="I157" s="556">
        <v>0</v>
      </c>
      <c r="J157" s="555">
        <f t="shared" si="23"/>
        <v>2292</v>
      </c>
      <c r="K157" s="555">
        <f>J157*G157</f>
        <v>655512</v>
      </c>
      <c r="M157" s="500" t="s">
        <v>82</v>
      </c>
      <c r="N157" s="500"/>
      <c r="O157" s="500"/>
      <c r="P157" s="500"/>
      <c r="Q157" s="500"/>
      <c r="R157" s="500"/>
      <c r="S157" s="500"/>
      <c r="T157" s="500"/>
      <c r="U157" s="500"/>
      <c r="V157" s="490"/>
      <c r="Y157" s="589" t="s">
        <v>459</v>
      </c>
      <c r="Z157" s="582">
        <v>77.08</v>
      </c>
      <c r="AA157" s="582">
        <f>AB149</f>
        <v>52</v>
      </c>
      <c r="AB157" s="591">
        <f>AA157*Z157</f>
        <v>4008.16</v>
      </c>
    </row>
    <row r="158" spans="1:29" hidden="1" outlineLevel="1">
      <c r="A158" s="552" t="s">
        <v>484</v>
      </c>
      <c r="B158" s="553" t="s">
        <v>485</v>
      </c>
      <c r="C158" s="553" t="s">
        <v>70</v>
      </c>
      <c r="D158" s="553" t="s">
        <v>110</v>
      </c>
      <c r="E158" s="553" t="s">
        <v>486</v>
      </c>
      <c r="F158" s="553" t="s">
        <v>132</v>
      </c>
      <c r="G158" s="554">
        <f>'Assumptions &amp; Takeoffs'!$B$16</f>
        <v>1</v>
      </c>
      <c r="H158" s="555">
        <v>7049</v>
      </c>
      <c r="I158" s="556">
        <v>0</v>
      </c>
      <c r="J158" s="551">
        <f t="shared" si="23"/>
        <v>7049</v>
      </c>
      <c r="K158" s="309">
        <f>J158*G158</f>
        <v>7049</v>
      </c>
      <c r="M158" s="500"/>
      <c r="N158" s="500"/>
      <c r="O158" s="500"/>
      <c r="P158" s="500"/>
      <c r="Q158" s="500"/>
      <c r="R158" s="500"/>
      <c r="S158" s="500"/>
      <c r="T158" s="500"/>
      <c r="U158" s="500"/>
      <c r="V158" s="490"/>
      <c r="Y158" s="589" t="s">
        <v>463</v>
      </c>
      <c r="Z158" s="582">
        <v>64.88</v>
      </c>
      <c r="AA158" s="582">
        <f>AB150</f>
        <v>125</v>
      </c>
      <c r="AB158" s="591">
        <f>AA158*Z158</f>
        <v>8109.9999999999991</v>
      </c>
    </row>
    <row r="159" spans="1:29" ht="15.75" collapsed="1" thickBot="1">
      <c r="A159" s="537" t="s">
        <v>487</v>
      </c>
      <c r="B159" s="538" t="s">
        <v>488</v>
      </c>
      <c r="C159" s="578" t="s">
        <v>892</v>
      </c>
      <c r="D159" s="538"/>
      <c r="E159" s="538"/>
      <c r="F159" s="538"/>
      <c r="G159" s="567"/>
      <c r="H159" s="568"/>
      <c r="I159" s="540"/>
      <c r="J159" s="569"/>
      <c r="K159" s="541"/>
      <c r="L159" s="542">
        <f>SUM(K156:K158)</f>
        <v>953493.33333333337</v>
      </c>
      <c r="M159" s="543"/>
      <c r="N159" s="543"/>
      <c r="O159" s="543"/>
      <c r="P159" s="543"/>
      <c r="Q159" s="543"/>
      <c r="R159" s="543"/>
      <c r="S159" s="543"/>
      <c r="T159" s="543"/>
      <c r="U159" s="543"/>
      <c r="V159" s="490"/>
      <c r="Y159" s="592" t="s">
        <v>469</v>
      </c>
      <c r="Z159" s="593">
        <v>64.599999999999994</v>
      </c>
      <c r="AA159" s="586">
        <f>AB151</f>
        <v>18</v>
      </c>
      <c r="AB159" s="594">
        <f>AA159*Z159</f>
        <v>1162.8</v>
      </c>
    </row>
    <row r="160" spans="1:29" hidden="1" outlineLevel="1">
      <c r="A160" s="552" t="s">
        <v>489</v>
      </c>
      <c r="B160" s="553" t="s">
        <v>490</v>
      </c>
      <c r="C160" s="553" t="s">
        <v>70</v>
      </c>
      <c r="D160" s="553" t="s">
        <v>81</v>
      </c>
      <c r="E160" s="553" t="s">
        <v>87</v>
      </c>
      <c r="F160" s="553"/>
      <c r="G160" s="554"/>
      <c r="H160" s="565"/>
      <c r="I160" s="556">
        <v>0</v>
      </c>
      <c r="J160" s="551">
        <f t="shared" ref="J160" si="24">H160*(1+I160)</f>
        <v>0</v>
      </c>
      <c r="K160" s="309">
        <f>J160*G160</f>
        <v>0</v>
      </c>
      <c r="M160" s="549"/>
      <c r="N160" s="549"/>
      <c r="O160" s="549"/>
      <c r="P160" s="549"/>
      <c r="Q160" s="549"/>
      <c r="R160" s="549"/>
      <c r="S160" s="549"/>
      <c r="T160" s="549"/>
      <c r="U160" s="549"/>
      <c r="V160" s="490"/>
      <c r="AB160" s="591"/>
    </row>
    <row r="161" spans="1:28" ht="15.75" collapsed="1" thickBot="1">
      <c r="A161" s="537" t="s">
        <v>489</v>
      </c>
      <c r="B161" s="538" t="s">
        <v>490</v>
      </c>
      <c r="C161" s="538"/>
      <c r="D161" s="538"/>
      <c r="E161" s="538"/>
      <c r="F161" s="538"/>
      <c r="G161" s="567"/>
      <c r="H161" s="568"/>
      <c r="I161" s="540"/>
      <c r="J161" s="568"/>
      <c r="K161" s="539"/>
      <c r="L161" s="542">
        <f>SUM(K160)</f>
        <v>0</v>
      </c>
      <c r="M161" s="543"/>
      <c r="N161" s="543"/>
      <c r="O161" s="543"/>
      <c r="P161" s="543"/>
      <c r="Q161" s="543"/>
      <c r="R161" s="543"/>
      <c r="S161" s="543"/>
      <c r="T161" s="543"/>
      <c r="U161" s="543"/>
      <c r="V161" s="490"/>
      <c r="AB161" s="594">
        <f>SUM(AB156:AB159)</f>
        <v>22554.559999999998</v>
      </c>
    </row>
    <row r="162" spans="1:28" hidden="1" outlineLevel="1">
      <c r="A162" s="544" t="s">
        <v>491</v>
      </c>
      <c r="B162" s="545" t="s">
        <v>492</v>
      </c>
      <c r="C162" s="545" t="s">
        <v>70</v>
      </c>
      <c r="D162" s="545" t="s">
        <v>81</v>
      </c>
      <c r="E162" s="545" t="s">
        <v>886</v>
      </c>
      <c r="F162" s="545" t="s">
        <v>897</v>
      </c>
      <c r="G162" s="546">
        <f>'Assumptions &amp; Takeoffs'!B12</f>
        <v>6</v>
      </c>
      <c r="H162" s="547">
        <f>W163</f>
        <v>80632.833333333328</v>
      </c>
      <c r="I162" s="548">
        <v>0</v>
      </c>
      <c r="J162" s="309">
        <f t="shared" ref="J162:J163" si="25">H162*(1+I162)</f>
        <v>80632.833333333328</v>
      </c>
      <c r="K162" s="309">
        <f>J162*G162</f>
        <v>483797</v>
      </c>
      <c r="M162" s="659" t="s">
        <v>898</v>
      </c>
      <c r="N162" s="659"/>
      <c r="O162" s="659"/>
      <c r="P162" s="659"/>
      <c r="Q162" s="659"/>
      <c r="R162" s="659"/>
      <c r="S162" s="659"/>
      <c r="T162" s="659"/>
      <c r="U162" s="659"/>
      <c r="V162" s="490"/>
      <c r="W162" s="595">
        <f>(493797-10000)/12</f>
        <v>40316.416666666664</v>
      </c>
      <c r="X162" s="596"/>
    </row>
    <row r="163" spans="1:28" hidden="1" outlineLevel="1">
      <c r="A163" s="552" t="s">
        <v>494</v>
      </c>
      <c r="B163" s="553" t="s">
        <v>495</v>
      </c>
      <c r="C163" s="553" t="s">
        <v>70</v>
      </c>
      <c r="D163" s="553" t="s">
        <v>103</v>
      </c>
      <c r="E163" s="553" t="s">
        <v>76</v>
      </c>
      <c r="F163" s="553" t="s">
        <v>132</v>
      </c>
      <c r="G163" s="554">
        <f>'Assumptions &amp; Takeoffs'!$B$16*2</f>
        <v>2</v>
      </c>
      <c r="H163" s="555">
        <v>6500</v>
      </c>
      <c r="I163" s="556">
        <v>0</v>
      </c>
      <c r="J163" s="551">
        <f t="shared" si="25"/>
        <v>6500</v>
      </c>
      <c r="K163" s="309">
        <f>J163*G163</f>
        <v>13000</v>
      </c>
      <c r="M163" s="500"/>
      <c r="N163" s="500"/>
      <c r="O163" s="500"/>
      <c r="P163" s="500"/>
      <c r="Q163" s="500"/>
      <c r="R163" s="500"/>
      <c r="S163" s="500"/>
      <c r="T163" s="500"/>
      <c r="U163" s="500"/>
      <c r="V163" s="490"/>
      <c r="W163" s="491">
        <f>W162*2</f>
        <v>80632.833333333328</v>
      </c>
    </row>
    <row r="164" spans="1:28" collapsed="1">
      <c r="A164" s="537" t="s">
        <v>496</v>
      </c>
      <c r="B164" s="538" t="s">
        <v>497</v>
      </c>
      <c r="C164" s="578" t="s">
        <v>892</v>
      </c>
      <c r="D164" s="538"/>
      <c r="E164" s="538"/>
      <c r="F164" s="538"/>
      <c r="G164" s="567"/>
      <c r="H164" s="568"/>
      <c r="I164" s="540"/>
      <c r="J164" s="569"/>
      <c r="K164" s="541"/>
      <c r="L164" s="542">
        <f>SUM(K162:K163)</f>
        <v>496797</v>
      </c>
      <c r="M164" s="543"/>
      <c r="N164" s="543"/>
      <c r="O164" s="543"/>
      <c r="P164" s="543"/>
      <c r="Q164" s="543"/>
      <c r="R164" s="543"/>
      <c r="S164" s="543"/>
      <c r="T164" s="543"/>
      <c r="U164" s="543"/>
      <c r="V164" s="490"/>
    </row>
    <row r="165" spans="1:28" hidden="1" outlineLevel="1">
      <c r="A165" s="552" t="s">
        <v>498</v>
      </c>
      <c r="B165" s="553" t="s">
        <v>499</v>
      </c>
      <c r="C165" s="553" t="s">
        <v>70</v>
      </c>
      <c r="D165" s="553" t="s">
        <v>81</v>
      </c>
      <c r="E165" s="553" t="s">
        <v>76</v>
      </c>
      <c r="F165" s="553" t="s">
        <v>83</v>
      </c>
      <c r="G165" s="554">
        <v>1</v>
      </c>
      <c r="H165" s="555">
        <v>25000</v>
      </c>
      <c r="I165" s="556">
        <v>0</v>
      </c>
      <c r="J165" s="551">
        <f t="shared" ref="J165:J167" si="26">H165*(1+I165)</f>
        <v>25000</v>
      </c>
      <c r="K165" s="309">
        <f>J165*G165</f>
        <v>25000</v>
      </c>
      <c r="M165" s="549"/>
      <c r="N165" s="549"/>
      <c r="O165" s="549"/>
      <c r="P165" s="549"/>
      <c r="Q165" s="549"/>
      <c r="R165" s="549"/>
      <c r="S165" s="549"/>
      <c r="T165" s="549"/>
      <c r="U165" s="549"/>
      <c r="V165" s="490"/>
    </row>
    <row r="166" spans="1:28" hidden="1" outlineLevel="1">
      <c r="A166" s="552" t="s">
        <v>500</v>
      </c>
      <c r="B166" s="553" t="s">
        <v>501</v>
      </c>
      <c r="C166" s="553" t="s">
        <v>70</v>
      </c>
      <c r="D166" s="553" t="s">
        <v>81</v>
      </c>
      <c r="E166" s="553" t="s">
        <v>184</v>
      </c>
      <c r="F166" s="553" t="s">
        <v>185</v>
      </c>
      <c r="G166" s="554">
        <f t="shared" ref="G166:G178" si="27">$B$8</f>
        <v>362571</v>
      </c>
      <c r="H166" s="565">
        <v>2.65</v>
      </c>
      <c r="I166" s="556">
        <v>0</v>
      </c>
      <c r="J166" s="565">
        <f t="shared" si="26"/>
        <v>2.65</v>
      </c>
      <c r="K166" s="555">
        <f>J166*G166</f>
        <v>960813.15</v>
      </c>
      <c r="M166" s="500" t="s">
        <v>899</v>
      </c>
      <c r="N166" s="500"/>
      <c r="O166" s="500"/>
      <c r="P166" s="500"/>
      <c r="Q166" s="500"/>
      <c r="R166" s="500"/>
      <c r="S166" s="500"/>
      <c r="T166" s="500"/>
      <c r="U166" s="500"/>
      <c r="V166" s="490"/>
    </row>
    <row r="167" spans="1:28" hidden="1" outlineLevel="1">
      <c r="A167" s="552" t="s">
        <v>503</v>
      </c>
      <c r="B167" s="553" t="s">
        <v>504</v>
      </c>
      <c r="C167" s="553" t="s">
        <v>70</v>
      </c>
      <c r="D167" s="553" t="s">
        <v>93</v>
      </c>
      <c r="E167" s="553" t="s">
        <v>184</v>
      </c>
      <c r="F167" s="553" t="s">
        <v>132</v>
      </c>
      <c r="G167" s="554">
        <v>1</v>
      </c>
      <c r="H167" s="555">
        <v>125000</v>
      </c>
      <c r="I167" s="556">
        <v>0</v>
      </c>
      <c r="J167" s="551">
        <f t="shared" si="26"/>
        <v>125000</v>
      </c>
      <c r="K167" s="309">
        <f>J167*G167</f>
        <v>125000</v>
      </c>
      <c r="M167" s="500" t="s">
        <v>505</v>
      </c>
      <c r="N167" s="500"/>
      <c r="O167" s="500"/>
      <c r="P167" s="500"/>
      <c r="Q167" s="500"/>
      <c r="R167" s="500"/>
      <c r="S167" s="500"/>
      <c r="T167" s="500"/>
      <c r="U167" s="500"/>
      <c r="V167" s="490"/>
      <c r="W167" s="491">
        <f>0.2/2.45</f>
        <v>8.1632653061224483E-2</v>
      </c>
    </row>
    <row r="168" spans="1:28" collapsed="1">
      <c r="A168" s="537" t="s">
        <v>506</v>
      </c>
      <c r="B168" s="538" t="s">
        <v>507</v>
      </c>
      <c r="C168" s="578" t="s">
        <v>892</v>
      </c>
      <c r="D168" s="538"/>
      <c r="E168" s="538"/>
      <c r="F168" s="538"/>
      <c r="G168" s="567"/>
      <c r="H168" s="568"/>
      <c r="I168" s="540"/>
      <c r="J168" s="569"/>
      <c r="K168" s="541"/>
      <c r="L168" s="542">
        <f>SUM(K165:K167)</f>
        <v>1110813.1499999999</v>
      </c>
      <c r="M168" s="543"/>
      <c r="N168" s="543"/>
      <c r="O168" s="543"/>
      <c r="P168" s="543"/>
      <c r="Q168" s="543"/>
      <c r="R168" s="543"/>
      <c r="S168" s="543"/>
      <c r="T168" s="543"/>
      <c r="U168" s="543"/>
      <c r="V168" s="490"/>
    </row>
    <row r="169" spans="1:28" hidden="1" outlineLevel="1">
      <c r="A169" s="552" t="s">
        <v>508</v>
      </c>
      <c r="B169" s="553" t="s">
        <v>509</v>
      </c>
      <c r="C169" s="553" t="s">
        <v>70</v>
      </c>
      <c r="D169" s="553" t="s">
        <v>81</v>
      </c>
      <c r="E169" s="553" t="s">
        <v>184</v>
      </c>
      <c r="F169" s="553" t="s">
        <v>132</v>
      </c>
      <c r="G169" s="554">
        <f>N4+N5+N6</f>
        <v>363</v>
      </c>
      <c r="H169" s="555">
        <v>10069</v>
      </c>
      <c r="I169" s="556">
        <v>0</v>
      </c>
      <c r="J169" s="551">
        <f t="shared" ref="J169:J173" si="28">H169*(1+I169)</f>
        <v>10069</v>
      </c>
      <c r="K169" s="309">
        <f>J169*G169</f>
        <v>3655047</v>
      </c>
      <c r="M169" s="549" t="s">
        <v>900</v>
      </c>
      <c r="N169" s="549"/>
      <c r="O169" s="549"/>
      <c r="P169" s="549"/>
      <c r="Q169" s="549"/>
      <c r="R169" s="549"/>
      <c r="S169" s="549"/>
      <c r="T169" s="549"/>
      <c r="U169" s="549"/>
      <c r="V169" s="490"/>
    </row>
    <row r="170" spans="1:28" hidden="1" outlineLevel="1">
      <c r="A170" s="552" t="s">
        <v>513</v>
      </c>
      <c r="B170" s="553" t="s">
        <v>509</v>
      </c>
      <c r="C170" s="553" t="s">
        <v>70</v>
      </c>
      <c r="D170" s="553" t="s">
        <v>81</v>
      </c>
      <c r="E170" s="545" t="s">
        <v>87</v>
      </c>
      <c r="F170" s="553">
        <v>0</v>
      </c>
      <c r="G170" s="554">
        <f>SUM(N7:N8)</f>
        <v>0</v>
      </c>
      <c r="H170" s="555">
        <v>0</v>
      </c>
      <c r="I170" s="556">
        <v>0</v>
      </c>
      <c r="J170" s="555">
        <f t="shared" si="28"/>
        <v>0</v>
      </c>
      <c r="K170" s="555">
        <f>J170*G170</f>
        <v>0</v>
      </c>
      <c r="M170" s="500"/>
      <c r="N170" s="500"/>
      <c r="O170" s="500"/>
      <c r="P170" s="500"/>
      <c r="Q170" s="500"/>
      <c r="R170" s="500"/>
      <c r="S170" s="500"/>
      <c r="T170" s="500"/>
      <c r="U170" s="500"/>
      <c r="V170" s="490"/>
    </row>
    <row r="171" spans="1:28" hidden="1" outlineLevel="1">
      <c r="A171" s="552" t="s">
        <v>514</v>
      </c>
      <c r="B171" s="553" t="s">
        <v>515</v>
      </c>
      <c r="C171" s="553" t="s">
        <v>70</v>
      </c>
      <c r="D171" s="553" t="s">
        <v>93</v>
      </c>
      <c r="E171" s="553" t="s">
        <v>76</v>
      </c>
      <c r="F171" s="553" t="s">
        <v>83</v>
      </c>
      <c r="G171" s="554">
        <v>1</v>
      </c>
      <c r="H171" s="555">
        <v>2500</v>
      </c>
      <c r="I171" s="556">
        <v>0</v>
      </c>
      <c r="J171" s="555">
        <f t="shared" si="28"/>
        <v>2500</v>
      </c>
      <c r="K171" s="555">
        <f t="shared" ref="K171" si="29">J171*G171</f>
        <v>2500</v>
      </c>
      <c r="M171" s="500"/>
      <c r="N171" s="500"/>
      <c r="O171" s="500"/>
      <c r="P171" s="500"/>
      <c r="Q171" s="500"/>
      <c r="R171" s="500"/>
      <c r="S171" s="500"/>
      <c r="T171" s="500"/>
      <c r="U171" s="500"/>
      <c r="V171" s="490"/>
    </row>
    <row r="172" spans="1:28" hidden="1" outlineLevel="1">
      <c r="A172" s="552" t="s">
        <v>516</v>
      </c>
      <c r="B172" s="553" t="s">
        <v>517</v>
      </c>
      <c r="C172" s="553" t="s">
        <v>70</v>
      </c>
      <c r="D172" s="553" t="s">
        <v>103</v>
      </c>
      <c r="E172" s="553" t="s">
        <v>76</v>
      </c>
      <c r="F172" s="553" t="s">
        <v>83</v>
      </c>
      <c r="G172" s="554">
        <f>'Assumptions &amp; Takeoffs'!$B$16</f>
        <v>1</v>
      </c>
      <c r="H172" s="555">
        <v>25000</v>
      </c>
      <c r="I172" s="556">
        <v>0</v>
      </c>
      <c r="J172" s="555">
        <f t="shared" si="28"/>
        <v>25000</v>
      </c>
      <c r="K172" s="555">
        <f>J172*G172</f>
        <v>25000</v>
      </c>
      <c r="M172" s="500"/>
      <c r="N172" s="500"/>
      <c r="O172" s="500"/>
      <c r="P172" s="500"/>
      <c r="Q172" s="500"/>
      <c r="R172" s="500"/>
      <c r="S172" s="500"/>
      <c r="T172" s="500"/>
      <c r="U172" s="500"/>
      <c r="V172" s="490"/>
    </row>
    <row r="173" spans="1:28" hidden="1" outlineLevel="1">
      <c r="A173" s="552" t="s">
        <v>518</v>
      </c>
      <c r="B173" s="553" t="s">
        <v>519</v>
      </c>
      <c r="C173" s="553" t="s">
        <v>70</v>
      </c>
      <c r="D173" s="553" t="s">
        <v>110</v>
      </c>
      <c r="E173" s="553" t="s">
        <v>76</v>
      </c>
      <c r="F173" s="553" t="s">
        <v>83</v>
      </c>
      <c r="G173" s="554">
        <f>'Assumptions &amp; Takeoffs'!$B$16</f>
        <v>1</v>
      </c>
      <c r="H173" s="555">
        <v>6000</v>
      </c>
      <c r="I173" s="556">
        <v>0</v>
      </c>
      <c r="J173" s="551">
        <f t="shared" si="28"/>
        <v>6000</v>
      </c>
      <c r="K173" s="309">
        <f>J173*G173</f>
        <v>6000</v>
      </c>
      <c r="M173" s="500"/>
      <c r="N173" s="500"/>
      <c r="O173" s="500"/>
      <c r="P173" s="500"/>
      <c r="Q173" s="500"/>
      <c r="R173" s="500"/>
      <c r="S173" s="500"/>
      <c r="T173" s="500"/>
      <c r="U173" s="500"/>
      <c r="V173" s="490"/>
    </row>
    <row r="174" spans="1:28" collapsed="1">
      <c r="A174" s="537" t="s">
        <v>520</v>
      </c>
      <c r="B174" s="538" t="s">
        <v>521</v>
      </c>
      <c r="C174" s="578" t="s">
        <v>892</v>
      </c>
      <c r="D174" s="538"/>
      <c r="E174" s="538"/>
      <c r="F174" s="538"/>
      <c r="G174" s="567"/>
      <c r="H174" s="568"/>
      <c r="I174" s="540"/>
      <c r="J174" s="569"/>
      <c r="K174" s="541"/>
      <c r="L174" s="542">
        <f>SUM(K169:K173)</f>
        <v>3688547</v>
      </c>
      <c r="M174" s="597"/>
      <c r="N174" s="543"/>
      <c r="O174" s="543"/>
      <c r="P174" s="543"/>
      <c r="Q174" s="543"/>
      <c r="R174" s="543"/>
      <c r="S174" s="543"/>
      <c r="T174" s="543"/>
      <c r="U174" s="543"/>
      <c r="V174" s="490"/>
    </row>
    <row r="175" spans="1:28" hidden="1" outlineLevel="1">
      <c r="A175" s="552" t="s">
        <v>522</v>
      </c>
      <c r="B175" s="553" t="s">
        <v>523</v>
      </c>
      <c r="C175" s="553" t="s">
        <v>70</v>
      </c>
      <c r="D175" s="553" t="s">
        <v>81</v>
      </c>
      <c r="E175" s="553" t="s">
        <v>184</v>
      </c>
      <c r="F175" s="553" t="s">
        <v>344</v>
      </c>
      <c r="G175" s="554">
        <f>$N$9</f>
        <v>363</v>
      </c>
      <c r="H175" s="555">
        <f>1910000/194</f>
        <v>9845.3608247422671</v>
      </c>
      <c r="I175" s="556">
        <v>0</v>
      </c>
      <c r="J175" s="551">
        <f t="shared" ref="J175:J176" si="30">H175*(1+I175)</f>
        <v>9845.3608247422671</v>
      </c>
      <c r="K175" s="309">
        <f>J175*G175</f>
        <v>3573865.979381443</v>
      </c>
      <c r="M175" s="549" t="s">
        <v>524</v>
      </c>
      <c r="N175" s="598"/>
      <c r="O175" s="598"/>
      <c r="P175" s="598"/>
      <c r="Q175" s="598"/>
      <c r="R175" s="598"/>
      <c r="S175" s="598"/>
      <c r="T175" s="598"/>
      <c r="U175" s="598"/>
      <c r="V175" s="490"/>
    </row>
    <row r="176" spans="1:28" hidden="1" outlineLevel="1">
      <c r="A176" s="552" t="s">
        <v>525</v>
      </c>
      <c r="B176" s="553" t="s">
        <v>526</v>
      </c>
      <c r="C176" s="553" t="s">
        <v>70</v>
      </c>
      <c r="D176" s="553" t="s">
        <v>93</v>
      </c>
      <c r="E176" s="553" t="s">
        <v>76</v>
      </c>
      <c r="F176" s="553" t="s">
        <v>83</v>
      </c>
      <c r="G176" s="554">
        <v>1</v>
      </c>
      <c r="H176" s="555">
        <v>15000</v>
      </c>
      <c r="I176" s="556">
        <v>0</v>
      </c>
      <c r="J176" s="551">
        <f t="shared" si="30"/>
        <v>15000</v>
      </c>
      <c r="K176" s="309">
        <f>J176*G176</f>
        <v>15000</v>
      </c>
      <c r="M176" s="500"/>
      <c r="N176" s="500"/>
      <c r="O176" s="500"/>
      <c r="P176" s="500"/>
      <c r="Q176" s="500"/>
      <c r="R176" s="500"/>
      <c r="S176" s="500"/>
      <c r="T176" s="500"/>
      <c r="U176" s="500"/>
      <c r="V176" s="490"/>
    </row>
    <row r="177" spans="1:24" collapsed="1">
      <c r="A177" s="537" t="s">
        <v>527</v>
      </c>
      <c r="B177" s="538" t="s">
        <v>528</v>
      </c>
      <c r="C177" s="578" t="s">
        <v>892</v>
      </c>
      <c r="D177" s="538"/>
      <c r="E177" s="538"/>
      <c r="F177" s="538"/>
      <c r="G177" s="567"/>
      <c r="H177" s="568"/>
      <c r="I177" s="540"/>
      <c r="J177" s="569"/>
      <c r="K177" s="541"/>
      <c r="L177" s="542">
        <f>SUM(K175:K176)</f>
        <v>3588865.979381443</v>
      </c>
      <c r="M177" s="543"/>
      <c r="N177" s="543"/>
      <c r="O177" s="543"/>
      <c r="P177" s="543"/>
      <c r="Q177" s="543"/>
      <c r="R177" s="543"/>
      <c r="S177" s="543"/>
      <c r="T177" s="543"/>
      <c r="U177" s="543"/>
      <c r="V177" s="490"/>
    </row>
    <row r="178" spans="1:24" hidden="1" outlineLevel="1">
      <c r="A178" s="552" t="s">
        <v>107</v>
      </c>
      <c r="B178" s="553" t="s">
        <v>529</v>
      </c>
      <c r="C178" s="553" t="s">
        <v>70</v>
      </c>
      <c r="D178" s="553" t="s">
        <v>81</v>
      </c>
      <c r="E178" s="553" t="s">
        <v>886</v>
      </c>
      <c r="F178" s="553" t="s">
        <v>185</v>
      </c>
      <c r="G178" s="554">
        <f t="shared" si="27"/>
        <v>362571</v>
      </c>
      <c r="H178" s="565">
        <v>10.61</v>
      </c>
      <c r="I178" s="556">
        <v>0</v>
      </c>
      <c r="J178" s="566">
        <f t="shared" ref="J178:J194" si="31">H178*(1+I178)</f>
        <v>10.61</v>
      </c>
      <c r="K178" s="309">
        <f t="shared" ref="K178:K194" si="32">J178*G178</f>
        <v>3846878.3099999996</v>
      </c>
      <c r="M178" s="599" t="s">
        <v>901</v>
      </c>
      <c r="N178" s="549"/>
      <c r="O178" s="549"/>
      <c r="P178" s="549"/>
      <c r="Q178" s="549"/>
      <c r="R178" s="549"/>
      <c r="S178" s="549"/>
      <c r="T178" s="549"/>
      <c r="U178" s="549"/>
      <c r="V178" s="490"/>
    </row>
    <row r="179" spans="1:24" hidden="1" outlineLevel="1">
      <c r="A179" s="544" t="s">
        <v>531</v>
      </c>
      <c r="B179" s="545" t="s">
        <v>529</v>
      </c>
      <c r="C179" s="545" t="s">
        <v>70</v>
      </c>
      <c r="D179" s="545" t="s">
        <v>93</v>
      </c>
      <c r="E179" s="545" t="s">
        <v>76</v>
      </c>
      <c r="F179" s="545" t="s">
        <v>83</v>
      </c>
      <c r="G179" s="546">
        <v>1</v>
      </c>
      <c r="H179" s="547">
        <v>10000</v>
      </c>
      <c r="I179" s="548">
        <v>0</v>
      </c>
      <c r="J179" s="309">
        <f t="shared" si="31"/>
        <v>10000</v>
      </c>
      <c r="K179" s="555">
        <f t="shared" si="32"/>
        <v>10000</v>
      </c>
      <c r="M179" s="599"/>
      <c r="N179" s="549"/>
      <c r="O179" s="549"/>
      <c r="P179" s="549"/>
      <c r="Q179" s="549"/>
      <c r="R179" s="549"/>
      <c r="S179" s="549"/>
      <c r="T179" s="549"/>
      <c r="U179" s="549"/>
      <c r="V179" s="490"/>
    </row>
    <row r="180" spans="1:24" hidden="1" outlineLevel="1">
      <c r="A180" s="552" t="s">
        <v>252</v>
      </c>
      <c r="B180" s="553" t="s">
        <v>532</v>
      </c>
      <c r="C180" s="553" t="s">
        <v>70</v>
      </c>
      <c r="D180" s="553" t="s">
        <v>81</v>
      </c>
      <c r="E180" s="553" t="s">
        <v>76</v>
      </c>
      <c r="F180" s="553" t="s">
        <v>344</v>
      </c>
      <c r="G180" s="554">
        <f>$N$9</f>
        <v>363</v>
      </c>
      <c r="H180" s="555">
        <v>700</v>
      </c>
      <c r="I180" s="556">
        <v>0</v>
      </c>
      <c r="J180" s="555">
        <f t="shared" si="31"/>
        <v>700</v>
      </c>
      <c r="K180" s="555">
        <f t="shared" si="32"/>
        <v>254100</v>
      </c>
      <c r="M180" s="500"/>
      <c r="N180" s="500"/>
      <c r="O180" s="500"/>
      <c r="P180" s="500"/>
      <c r="Q180" s="500"/>
      <c r="R180" s="500"/>
      <c r="S180" s="500"/>
      <c r="T180" s="500"/>
      <c r="U180" s="500"/>
      <c r="V180" s="490"/>
    </row>
    <row r="181" spans="1:24" hidden="1" outlineLevel="1">
      <c r="A181" s="552" t="s">
        <v>533</v>
      </c>
      <c r="B181" s="553" t="s">
        <v>534</v>
      </c>
      <c r="C181" s="553" t="s">
        <v>70</v>
      </c>
      <c r="D181" s="553" t="s">
        <v>81</v>
      </c>
      <c r="E181" s="553" t="s">
        <v>886</v>
      </c>
      <c r="F181" s="553" t="s">
        <v>344</v>
      </c>
      <c r="G181" s="554">
        <f>$N$9</f>
        <v>363</v>
      </c>
      <c r="H181" s="555">
        <v>120</v>
      </c>
      <c r="I181" s="556">
        <v>0</v>
      </c>
      <c r="J181" s="555">
        <f t="shared" si="31"/>
        <v>120</v>
      </c>
      <c r="K181" s="555">
        <f t="shared" si="32"/>
        <v>43560</v>
      </c>
      <c r="M181" s="500" t="s">
        <v>535</v>
      </c>
      <c r="N181" s="500"/>
      <c r="O181" s="500"/>
      <c r="P181" s="500"/>
      <c r="Q181" s="500"/>
      <c r="R181" s="500"/>
      <c r="S181" s="500"/>
      <c r="T181" s="500"/>
      <c r="U181" s="500"/>
      <c r="V181" s="490"/>
    </row>
    <row r="182" spans="1:24" hidden="1" outlineLevel="1">
      <c r="A182" s="552" t="s">
        <v>536</v>
      </c>
      <c r="B182" s="553" t="s">
        <v>537</v>
      </c>
      <c r="C182" s="553" t="s">
        <v>70</v>
      </c>
      <c r="D182" s="553" t="s">
        <v>81</v>
      </c>
      <c r="E182" s="553" t="s">
        <v>886</v>
      </c>
      <c r="F182" s="553" t="s">
        <v>344</v>
      </c>
      <c r="G182" s="554">
        <f>$N$9</f>
        <v>363</v>
      </c>
      <c r="H182" s="555">
        <v>115</v>
      </c>
      <c r="I182" s="556">
        <v>0</v>
      </c>
      <c r="J182" s="555">
        <f t="shared" si="31"/>
        <v>115</v>
      </c>
      <c r="K182" s="555">
        <f t="shared" si="32"/>
        <v>41745</v>
      </c>
      <c r="M182" s="500" t="s">
        <v>538</v>
      </c>
      <c r="N182" s="500"/>
      <c r="O182" s="500"/>
      <c r="P182" s="500"/>
      <c r="Q182" s="500"/>
      <c r="R182" s="500"/>
      <c r="S182" s="500"/>
      <c r="T182" s="500"/>
      <c r="U182" s="500"/>
      <c r="V182" s="490"/>
    </row>
    <row r="183" spans="1:24" hidden="1" outlineLevel="1">
      <c r="A183" s="552" t="s">
        <v>539</v>
      </c>
      <c r="B183" s="553" t="s">
        <v>529</v>
      </c>
      <c r="C183" s="553" t="s">
        <v>70</v>
      </c>
      <c r="D183" s="553" t="s">
        <v>397</v>
      </c>
      <c r="E183" s="553" t="s">
        <v>886</v>
      </c>
      <c r="F183" s="553" t="s">
        <v>540</v>
      </c>
      <c r="G183" s="554">
        <f>S3</f>
        <v>286</v>
      </c>
      <c r="H183" s="555">
        <v>200</v>
      </c>
      <c r="I183" s="556">
        <v>0</v>
      </c>
      <c r="J183" s="555">
        <f t="shared" si="31"/>
        <v>200</v>
      </c>
      <c r="K183" s="555">
        <f t="shared" si="32"/>
        <v>57200</v>
      </c>
      <c r="M183" s="500" t="s">
        <v>538</v>
      </c>
      <c r="N183" s="500"/>
      <c r="O183" s="500"/>
      <c r="P183" s="500"/>
      <c r="Q183" s="500"/>
      <c r="R183" s="500"/>
      <c r="S183" s="500"/>
      <c r="T183" s="500"/>
      <c r="U183" s="500"/>
      <c r="V183" s="490"/>
    </row>
    <row r="184" spans="1:24" hidden="1" outlineLevel="1">
      <c r="A184" s="552" t="s">
        <v>541</v>
      </c>
      <c r="B184" s="553" t="s">
        <v>532</v>
      </c>
      <c r="C184" s="553" t="s">
        <v>70</v>
      </c>
      <c r="D184" s="553" t="s">
        <v>397</v>
      </c>
      <c r="E184" s="553" t="s">
        <v>76</v>
      </c>
      <c r="F184" s="553" t="s">
        <v>540</v>
      </c>
      <c r="G184" s="554">
        <f>'Assumptions &amp; Takeoffs'!$B$22</f>
        <v>286</v>
      </c>
      <c r="H184" s="555">
        <v>50</v>
      </c>
      <c r="I184" s="556">
        <v>0</v>
      </c>
      <c r="J184" s="555">
        <f t="shared" si="31"/>
        <v>50</v>
      </c>
      <c r="K184" s="555">
        <f t="shared" si="32"/>
        <v>14300</v>
      </c>
      <c r="M184" s="500"/>
      <c r="N184" s="500"/>
      <c r="O184" s="500"/>
      <c r="P184" s="500"/>
      <c r="Q184" s="500"/>
      <c r="R184" s="500"/>
      <c r="S184" s="500"/>
      <c r="T184" s="500"/>
      <c r="U184" s="500"/>
      <c r="V184" s="490"/>
    </row>
    <row r="185" spans="1:24" hidden="1" outlineLevel="1">
      <c r="A185" s="552" t="s">
        <v>542</v>
      </c>
      <c r="B185" s="553" t="s">
        <v>529</v>
      </c>
      <c r="C185" s="553" t="s">
        <v>70</v>
      </c>
      <c r="D185" s="553" t="s">
        <v>103</v>
      </c>
      <c r="E185" s="553" t="s">
        <v>76</v>
      </c>
      <c r="F185" s="553" t="s">
        <v>83</v>
      </c>
      <c r="G185" s="554">
        <v>1</v>
      </c>
      <c r="H185" s="555">
        <v>5000</v>
      </c>
      <c r="I185" s="556">
        <v>0</v>
      </c>
      <c r="J185" s="555">
        <f t="shared" si="31"/>
        <v>5000</v>
      </c>
      <c r="K185" s="555">
        <f t="shared" si="32"/>
        <v>5000</v>
      </c>
      <c r="M185" s="500"/>
      <c r="N185" s="500"/>
      <c r="O185" s="500"/>
      <c r="P185" s="500"/>
      <c r="Q185" s="500"/>
      <c r="R185" s="500"/>
      <c r="S185" s="500"/>
      <c r="T185" s="500"/>
      <c r="U185" s="500"/>
      <c r="V185" s="490"/>
    </row>
    <row r="186" spans="1:24" hidden="1" outlineLevel="1">
      <c r="A186" s="552" t="s">
        <v>543</v>
      </c>
      <c r="B186" s="553" t="s">
        <v>544</v>
      </c>
      <c r="C186" s="553" t="s">
        <v>70</v>
      </c>
      <c r="D186" s="553" t="s">
        <v>103</v>
      </c>
      <c r="E186" s="553" t="s">
        <v>76</v>
      </c>
      <c r="F186" s="553" t="s">
        <v>83</v>
      </c>
      <c r="G186" s="554">
        <v>1</v>
      </c>
      <c r="H186" s="565">
        <v>5000</v>
      </c>
      <c r="I186" s="556">
        <v>0</v>
      </c>
      <c r="J186" s="555">
        <f t="shared" si="31"/>
        <v>5000</v>
      </c>
      <c r="K186" s="555">
        <f t="shared" si="32"/>
        <v>5000</v>
      </c>
      <c r="M186" s="500"/>
      <c r="N186" s="500"/>
      <c r="O186" s="500"/>
      <c r="P186" s="500"/>
      <c r="Q186" s="500"/>
      <c r="R186" s="500"/>
      <c r="S186" s="500"/>
      <c r="T186" s="500"/>
      <c r="U186" s="500"/>
      <c r="V186" s="490"/>
    </row>
    <row r="187" spans="1:24" hidden="1" outlineLevel="1">
      <c r="A187" s="552" t="s">
        <v>545</v>
      </c>
      <c r="B187" s="553" t="s">
        <v>546</v>
      </c>
      <c r="C187" s="553" t="s">
        <v>70</v>
      </c>
      <c r="D187" s="553" t="s">
        <v>405</v>
      </c>
      <c r="E187" s="553" t="s">
        <v>131</v>
      </c>
      <c r="F187" s="553" t="s">
        <v>132</v>
      </c>
      <c r="G187" s="554">
        <v>4</v>
      </c>
      <c r="H187" s="555">
        <v>15000</v>
      </c>
      <c r="I187" s="556">
        <v>0</v>
      </c>
      <c r="J187" s="555">
        <f t="shared" si="31"/>
        <v>15000</v>
      </c>
      <c r="K187" s="555">
        <f t="shared" si="32"/>
        <v>60000</v>
      </c>
      <c r="M187" s="500"/>
      <c r="N187" s="500"/>
      <c r="O187" s="500"/>
      <c r="P187" s="500"/>
      <c r="Q187" s="500"/>
      <c r="R187" s="500"/>
      <c r="S187" s="500"/>
      <c r="T187" s="500"/>
      <c r="U187" s="500"/>
      <c r="V187" s="490"/>
      <c r="X187" s="600"/>
    </row>
    <row r="188" spans="1:24" hidden="1" outlineLevel="1">
      <c r="A188" s="552" t="s">
        <v>548</v>
      </c>
      <c r="B188" s="553" t="s">
        <v>549</v>
      </c>
      <c r="C188" s="553" t="s">
        <v>70</v>
      </c>
      <c r="D188" s="553" t="s">
        <v>75</v>
      </c>
      <c r="E188" s="553" t="s">
        <v>76</v>
      </c>
      <c r="F188" s="553" t="s">
        <v>552</v>
      </c>
      <c r="G188" s="601">
        <f>$B$9</f>
        <v>17.350000000000001</v>
      </c>
      <c r="H188" s="555">
        <v>2500</v>
      </c>
      <c r="I188" s="556">
        <v>0</v>
      </c>
      <c r="J188" s="555">
        <f t="shared" si="31"/>
        <v>2500</v>
      </c>
      <c r="K188" s="555">
        <f t="shared" si="32"/>
        <v>43375</v>
      </c>
      <c r="M188" s="500"/>
      <c r="N188" s="500"/>
      <c r="O188" s="500"/>
      <c r="P188" s="500"/>
      <c r="Q188" s="500"/>
      <c r="R188" s="500"/>
      <c r="S188" s="500"/>
      <c r="T188" s="500"/>
      <c r="U188" s="500"/>
      <c r="V188" s="490"/>
    </row>
    <row r="189" spans="1:24" hidden="1" outlineLevel="1">
      <c r="A189" s="552" t="s">
        <v>550</v>
      </c>
      <c r="B189" s="553" t="s">
        <v>551</v>
      </c>
      <c r="C189" s="553" t="s">
        <v>70</v>
      </c>
      <c r="D189" s="553" t="s">
        <v>75</v>
      </c>
      <c r="E189" s="553" t="s">
        <v>76</v>
      </c>
      <c r="F189" s="553" t="s">
        <v>552</v>
      </c>
      <c r="G189" s="601">
        <f>$B$9</f>
        <v>17.350000000000001</v>
      </c>
      <c r="H189" s="555">
        <v>1750</v>
      </c>
      <c r="I189" s="556">
        <v>0</v>
      </c>
      <c r="J189" s="555">
        <f t="shared" si="31"/>
        <v>1750</v>
      </c>
      <c r="K189" s="555">
        <f t="shared" si="32"/>
        <v>30362.500000000004</v>
      </c>
      <c r="M189" s="500"/>
      <c r="N189" s="500"/>
      <c r="O189" s="500"/>
      <c r="P189" s="500"/>
      <c r="Q189" s="500"/>
      <c r="R189" s="500"/>
      <c r="S189" s="500"/>
      <c r="T189" s="500"/>
      <c r="U189" s="500"/>
      <c r="V189" s="490"/>
    </row>
    <row r="190" spans="1:24" hidden="1" outlineLevel="1">
      <c r="A190" s="552" t="s">
        <v>553</v>
      </c>
      <c r="B190" s="553" t="s">
        <v>554</v>
      </c>
      <c r="C190" s="553" t="s">
        <v>70</v>
      </c>
      <c r="D190" s="553" t="s">
        <v>103</v>
      </c>
      <c r="E190" s="553" t="s">
        <v>76</v>
      </c>
      <c r="F190" s="553" t="s">
        <v>83</v>
      </c>
      <c r="G190" s="554">
        <f>'Assumptions &amp; Takeoffs'!$B$16</f>
        <v>1</v>
      </c>
      <c r="H190" s="555">
        <v>12500</v>
      </c>
      <c r="I190" s="556">
        <v>0</v>
      </c>
      <c r="J190" s="555">
        <f t="shared" si="31"/>
        <v>12500</v>
      </c>
      <c r="K190" s="555">
        <f t="shared" si="32"/>
        <v>12500</v>
      </c>
      <c r="M190" s="500"/>
      <c r="N190" s="500"/>
      <c r="O190" s="500"/>
      <c r="P190" s="500"/>
      <c r="Q190" s="500"/>
      <c r="R190" s="500"/>
      <c r="S190" s="500"/>
      <c r="T190" s="500"/>
      <c r="U190" s="500"/>
      <c r="V190" s="490"/>
    </row>
    <row r="191" spans="1:24" hidden="1" outlineLevel="1">
      <c r="A191" s="552" t="s">
        <v>555</v>
      </c>
      <c r="B191" s="553" t="s">
        <v>556</v>
      </c>
      <c r="C191" s="553" t="s">
        <v>70</v>
      </c>
      <c r="D191" s="553" t="s">
        <v>103</v>
      </c>
      <c r="E191" s="553" t="s">
        <v>76</v>
      </c>
      <c r="F191" s="553" t="s">
        <v>83</v>
      </c>
      <c r="G191" s="554">
        <f>'Assumptions &amp; Takeoffs'!$B$16</f>
        <v>1</v>
      </c>
      <c r="H191" s="555">
        <v>12500</v>
      </c>
      <c r="I191" s="556">
        <v>0</v>
      </c>
      <c r="J191" s="555">
        <f t="shared" si="31"/>
        <v>12500</v>
      </c>
      <c r="K191" s="555">
        <f t="shared" si="32"/>
        <v>12500</v>
      </c>
      <c r="M191" s="500"/>
      <c r="N191" s="500"/>
      <c r="O191" s="500"/>
      <c r="P191" s="500"/>
      <c r="Q191" s="500"/>
      <c r="R191" s="500"/>
      <c r="S191" s="500"/>
      <c r="T191" s="500"/>
      <c r="U191" s="500"/>
      <c r="V191" s="490"/>
    </row>
    <row r="192" spans="1:24" hidden="1" outlineLevel="1">
      <c r="A192" s="552" t="s">
        <v>557</v>
      </c>
      <c r="B192" s="553" t="s">
        <v>558</v>
      </c>
      <c r="C192" s="553" t="s">
        <v>70</v>
      </c>
      <c r="D192" s="553" t="s">
        <v>110</v>
      </c>
      <c r="E192" s="553" t="s">
        <v>76</v>
      </c>
      <c r="F192" s="553" t="s">
        <v>83</v>
      </c>
      <c r="G192" s="554">
        <f>'Assumptions &amp; Takeoffs'!$B$16</f>
        <v>1</v>
      </c>
      <c r="H192" s="555">
        <v>2500</v>
      </c>
      <c r="I192" s="556">
        <v>0</v>
      </c>
      <c r="J192" s="555">
        <f t="shared" si="31"/>
        <v>2500</v>
      </c>
      <c r="K192" s="555">
        <f t="shared" si="32"/>
        <v>2500</v>
      </c>
      <c r="M192" s="500"/>
      <c r="N192" s="500"/>
      <c r="O192" s="500"/>
      <c r="P192" s="500"/>
      <c r="Q192" s="500"/>
      <c r="R192" s="500"/>
      <c r="S192" s="500"/>
      <c r="T192" s="500"/>
      <c r="U192" s="500"/>
      <c r="V192" s="490"/>
    </row>
    <row r="193" spans="1:22" hidden="1" outlineLevel="1">
      <c r="A193" s="552" t="s">
        <v>559</v>
      </c>
      <c r="B193" s="553" t="s">
        <v>529</v>
      </c>
      <c r="C193" s="553" t="s">
        <v>70</v>
      </c>
      <c r="D193" s="553" t="s">
        <v>93</v>
      </c>
      <c r="E193" s="553" t="s">
        <v>76</v>
      </c>
      <c r="F193" s="553" t="s">
        <v>83</v>
      </c>
      <c r="G193" s="554">
        <v>1</v>
      </c>
      <c r="H193" s="555">
        <v>15000</v>
      </c>
      <c r="I193" s="556">
        <v>0</v>
      </c>
      <c r="J193" s="555">
        <f t="shared" si="31"/>
        <v>15000</v>
      </c>
      <c r="K193" s="555">
        <f t="shared" si="32"/>
        <v>15000</v>
      </c>
      <c r="M193" s="500"/>
      <c r="N193" s="500"/>
      <c r="O193" s="500"/>
      <c r="P193" s="500"/>
      <c r="Q193" s="500"/>
      <c r="R193" s="500"/>
      <c r="S193" s="500"/>
      <c r="T193" s="500"/>
      <c r="U193" s="500"/>
      <c r="V193" s="490"/>
    </row>
    <row r="194" spans="1:22" hidden="1" outlineLevel="1">
      <c r="A194" s="552" t="s">
        <v>560</v>
      </c>
      <c r="B194" s="553" t="s">
        <v>532</v>
      </c>
      <c r="C194" s="553" t="s">
        <v>70</v>
      </c>
      <c r="D194" s="553" t="s">
        <v>93</v>
      </c>
      <c r="E194" s="553" t="s">
        <v>76</v>
      </c>
      <c r="F194" s="553" t="s">
        <v>83</v>
      </c>
      <c r="G194" s="554">
        <v>1</v>
      </c>
      <c r="H194" s="555">
        <v>1500</v>
      </c>
      <c r="I194" s="556">
        <v>0</v>
      </c>
      <c r="J194" s="551">
        <f t="shared" si="31"/>
        <v>1500</v>
      </c>
      <c r="K194" s="309">
        <f t="shared" si="32"/>
        <v>1500</v>
      </c>
      <c r="M194" s="500"/>
      <c r="N194" s="500"/>
      <c r="O194" s="500"/>
      <c r="P194" s="500"/>
      <c r="Q194" s="500"/>
      <c r="R194" s="500"/>
      <c r="S194" s="500"/>
      <c r="T194" s="500"/>
      <c r="U194" s="500"/>
      <c r="V194" s="490"/>
    </row>
    <row r="195" spans="1:22" collapsed="1">
      <c r="A195" s="537" t="s">
        <v>561</v>
      </c>
      <c r="B195" s="538" t="s">
        <v>562</v>
      </c>
      <c r="C195" s="538"/>
      <c r="D195" s="538"/>
      <c r="E195" s="538"/>
      <c r="F195" s="538"/>
      <c r="G195" s="567"/>
      <c r="H195" s="568"/>
      <c r="I195" s="540"/>
      <c r="J195" s="569"/>
      <c r="K195" s="541"/>
      <c r="L195" s="542">
        <f>SUM(K178:K194)</f>
        <v>4455520.8099999996</v>
      </c>
      <c r="M195" s="543"/>
      <c r="N195" s="543"/>
      <c r="O195" s="543"/>
      <c r="P195" s="543"/>
      <c r="Q195" s="543"/>
      <c r="R195" s="543"/>
      <c r="S195" s="543"/>
      <c r="T195" s="543"/>
      <c r="U195" s="543"/>
      <c r="V195" s="490"/>
    </row>
    <row r="196" spans="1:22" hidden="1" outlineLevel="1">
      <c r="A196" s="552" t="s">
        <v>563</v>
      </c>
      <c r="B196" s="553" t="s">
        <v>564</v>
      </c>
      <c r="C196" s="553" t="s">
        <v>144</v>
      </c>
      <c r="D196" s="553" t="s">
        <v>81</v>
      </c>
      <c r="E196" s="553" t="s">
        <v>76</v>
      </c>
      <c r="F196" s="553" t="s">
        <v>83</v>
      </c>
      <c r="G196" s="554">
        <f>$B$11</f>
        <v>3</v>
      </c>
      <c r="H196" s="555">
        <v>1000</v>
      </c>
      <c r="I196" s="556">
        <v>0</v>
      </c>
      <c r="J196" s="551">
        <f t="shared" ref="J196:J198" si="33">H196*(1+I196)</f>
        <v>1000</v>
      </c>
      <c r="K196" s="309">
        <f>J196*G196</f>
        <v>3000</v>
      </c>
      <c r="M196" s="549" t="s">
        <v>565</v>
      </c>
      <c r="N196" s="549"/>
      <c r="O196" s="549"/>
      <c r="P196" s="549"/>
      <c r="Q196" s="549"/>
      <c r="R196" s="549"/>
      <c r="S196" s="549"/>
      <c r="T196" s="549"/>
      <c r="U196" s="549"/>
      <c r="V196" s="490"/>
    </row>
    <row r="197" spans="1:22" hidden="1" outlineLevel="1">
      <c r="A197" s="552" t="s">
        <v>566</v>
      </c>
      <c r="B197" s="553" t="s">
        <v>567</v>
      </c>
      <c r="C197" s="553" t="s">
        <v>70</v>
      </c>
      <c r="D197" s="553" t="s">
        <v>81</v>
      </c>
      <c r="E197" s="553" t="s">
        <v>343</v>
      </c>
      <c r="F197" s="553" t="s">
        <v>185</v>
      </c>
      <c r="G197" s="554">
        <f>$B$8</f>
        <v>362571</v>
      </c>
      <c r="H197" s="565">
        <v>0.45</v>
      </c>
      <c r="I197" s="556">
        <v>0</v>
      </c>
      <c r="J197" s="565">
        <f t="shared" si="33"/>
        <v>0.45</v>
      </c>
      <c r="K197" s="555">
        <f>J197*G197</f>
        <v>163156.95000000001</v>
      </c>
      <c r="M197" s="500"/>
      <c r="N197" s="500"/>
      <c r="O197" s="500"/>
      <c r="P197" s="500"/>
      <c r="Q197" s="500"/>
      <c r="R197" s="500"/>
      <c r="S197" s="500"/>
      <c r="T197" s="500"/>
      <c r="U197" s="500"/>
      <c r="V197" s="490"/>
    </row>
    <row r="198" spans="1:22" hidden="1" outlineLevel="1">
      <c r="A198" s="552" t="s">
        <v>568</v>
      </c>
      <c r="B198" s="553" t="s">
        <v>569</v>
      </c>
      <c r="C198" s="553" t="s">
        <v>70</v>
      </c>
      <c r="D198" s="553" t="s">
        <v>103</v>
      </c>
      <c r="E198" s="553" t="s">
        <v>76</v>
      </c>
      <c r="F198" s="553" t="s">
        <v>83</v>
      </c>
      <c r="G198" s="554">
        <f>'Assumptions &amp; Takeoffs'!$B$16</f>
        <v>1</v>
      </c>
      <c r="H198" s="555">
        <v>800</v>
      </c>
      <c r="I198" s="556">
        <v>0</v>
      </c>
      <c r="J198" s="551">
        <f t="shared" si="33"/>
        <v>800</v>
      </c>
      <c r="K198" s="309">
        <f>J198*G198</f>
        <v>800</v>
      </c>
      <c r="M198" s="500" t="s">
        <v>570</v>
      </c>
      <c r="N198" s="500"/>
      <c r="O198" s="500"/>
      <c r="P198" s="500"/>
      <c r="Q198" s="500"/>
      <c r="R198" s="500"/>
      <c r="S198" s="500"/>
      <c r="T198" s="500"/>
      <c r="U198" s="500"/>
      <c r="V198" s="490"/>
    </row>
    <row r="199" spans="1:22" collapsed="1">
      <c r="A199" s="537" t="s">
        <v>571</v>
      </c>
      <c r="B199" s="538" t="s">
        <v>572</v>
      </c>
      <c r="C199" s="538"/>
      <c r="D199" s="538"/>
      <c r="E199" s="538"/>
      <c r="F199" s="538"/>
      <c r="G199" s="567"/>
      <c r="H199" s="568"/>
      <c r="I199" s="540"/>
      <c r="J199" s="569"/>
      <c r="K199" s="541"/>
      <c r="L199" s="542">
        <f>SUM(K196:K198)</f>
        <v>166956.95000000001</v>
      </c>
      <c r="M199" s="543"/>
      <c r="N199" s="543"/>
      <c r="O199" s="543"/>
      <c r="P199" s="543"/>
      <c r="Q199" s="543"/>
      <c r="R199" s="543"/>
      <c r="S199" s="543"/>
      <c r="T199" s="543"/>
      <c r="U199" s="543"/>
      <c r="V199" s="490"/>
    </row>
    <row r="200" spans="1:22" hidden="1" outlineLevel="1">
      <c r="A200" s="552" t="s">
        <v>573</v>
      </c>
      <c r="B200" s="553" t="s">
        <v>574</v>
      </c>
      <c r="C200" s="553" t="s">
        <v>70</v>
      </c>
      <c r="D200" s="553" t="s">
        <v>81</v>
      </c>
      <c r="E200" s="553" t="s">
        <v>184</v>
      </c>
      <c r="F200" s="553" t="s">
        <v>344</v>
      </c>
      <c r="G200" s="554">
        <f>$N$9</f>
        <v>363</v>
      </c>
      <c r="H200" s="555">
        <v>551.28865979381442</v>
      </c>
      <c r="I200" s="556">
        <v>0</v>
      </c>
      <c r="J200" s="551">
        <f t="shared" ref="J200:J203" si="34">H200*(1+I200)</f>
        <v>551.28865979381442</v>
      </c>
      <c r="K200" s="309">
        <f>J200*G200</f>
        <v>200117.78350515463</v>
      </c>
      <c r="M200" s="549"/>
      <c r="N200" s="549"/>
      <c r="O200" s="549"/>
      <c r="P200" s="549"/>
      <c r="Q200" s="549"/>
      <c r="R200" s="549"/>
      <c r="S200" s="549"/>
      <c r="T200" s="549"/>
      <c r="U200" s="549"/>
      <c r="V200" s="490"/>
    </row>
    <row r="201" spans="1:22" hidden="1" outlineLevel="1">
      <c r="A201" s="552" t="s">
        <v>575</v>
      </c>
      <c r="B201" s="553" t="s">
        <v>576</v>
      </c>
      <c r="C201" s="553" t="s">
        <v>70</v>
      </c>
      <c r="D201" s="553" t="s">
        <v>75</v>
      </c>
      <c r="E201" s="553" t="s">
        <v>329</v>
      </c>
      <c r="F201" s="553" t="s">
        <v>71</v>
      </c>
      <c r="G201" s="554">
        <f>$B$6</f>
        <v>24</v>
      </c>
      <c r="H201" s="555">
        <v>5642.8571428571431</v>
      </c>
      <c r="I201" s="556">
        <v>0</v>
      </c>
      <c r="J201" s="555">
        <f t="shared" si="34"/>
        <v>5642.8571428571431</v>
      </c>
      <c r="K201" s="555">
        <f>J201*G201</f>
        <v>135428.57142857142</v>
      </c>
      <c r="M201" s="500" t="s">
        <v>577</v>
      </c>
      <c r="N201" s="500"/>
      <c r="O201" s="500"/>
      <c r="P201" s="500"/>
      <c r="Q201" s="500"/>
      <c r="R201" s="500"/>
      <c r="S201" s="500"/>
      <c r="T201" s="500"/>
      <c r="U201" s="500"/>
      <c r="V201" s="490"/>
    </row>
    <row r="202" spans="1:22" hidden="1" outlineLevel="1">
      <c r="A202" s="552" t="s">
        <v>578</v>
      </c>
      <c r="B202" s="553" t="s">
        <v>579</v>
      </c>
      <c r="C202" s="553" t="s">
        <v>70</v>
      </c>
      <c r="D202" s="553" t="s">
        <v>81</v>
      </c>
      <c r="E202" s="553" t="s">
        <v>486</v>
      </c>
      <c r="F202" s="553" t="s">
        <v>185</v>
      </c>
      <c r="G202" s="554">
        <v>361641</v>
      </c>
      <c r="H202" s="565">
        <f>'Unit Pricing Comparison'!L20</f>
        <v>1.94</v>
      </c>
      <c r="I202" s="556">
        <v>0</v>
      </c>
      <c r="J202" s="565">
        <f t="shared" si="34"/>
        <v>1.94</v>
      </c>
      <c r="K202" s="555">
        <f>J202*G202</f>
        <v>701583.54</v>
      </c>
      <c r="M202" s="500" t="s">
        <v>902</v>
      </c>
      <c r="N202" s="500"/>
      <c r="O202" s="500"/>
      <c r="P202" s="500"/>
      <c r="Q202" s="500"/>
      <c r="R202" s="500"/>
      <c r="S202" s="500"/>
      <c r="T202" s="500"/>
      <c r="U202" s="500"/>
      <c r="V202" s="490"/>
    </row>
    <row r="203" spans="1:22" hidden="1" outlineLevel="1">
      <c r="A203" s="552" t="s">
        <v>580</v>
      </c>
      <c r="B203" s="553" t="s">
        <v>581</v>
      </c>
      <c r="C203" s="553" t="s">
        <v>70</v>
      </c>
      <c r="D203" s="553" t="s">
        <v>93</v>
      </c>
      <c r="E203" s="553" t="s">
        <v>76</v>
      </c>
      <c r="F203" s="553" t="s">
        <v>83</v>
      </c>
      <c r="G203" s="554">
        <v>1</v>
      </c>
      <c r="H203" s="555">
        <v>10000</v>
      </c>
      <c r="I203" s="556">
        <v>0</v>
      </c>
      <c r="J203" s="555">
        <f t="shared" si="34"/>
        <v>10000</v>
      </c>
      <c r="K203" s="309">
        <f>J203*G203</f>
        <v>10000</v>
      </c>
      <c r="M203" s="500"/>
      <c r="N203" s="500"/>
      <c r="O203" s="500"/>
      <c r="P203" s="500"/>
      <c r="Q203" s="500"/>
      <c r="R203" s="500"/>
      <c r="S203" s="500"/>
      <c r="T203" s="500"/>
      <c r="U203" s="500"/>
      <c r="V203" s="490"/>
    </row>
    <row r="204" spans="1:22" collapsed="1">
      <c r="A204" s="537" t="s">
        <v>582</v>
      </c>
      <c r="B204" s="538" t="s">
        <v>583</v>
      </c>
      <c r="C204" s="538"/>
      <c r="D204" s="538"/>
      <c r="E204" s="538"/>
      <c r="F204" s="538"/>
      <c r="G204" s="567"/>
      <c r="H204" s="568"/>
      <c r="I204" s="540"/>
      <c r="J204" s="569"/>
      <c r="K204" s="541"/>
      <c r="L204" s="542">
        <f>SUM(K200:K203)</f>
        <v>1047129.8949337261</v>
      </c>
      <c r="M204" s="543"/>
      <c r="N204" s="543"/>
      <c r="O204" s="543"/>
      <c r="P204" s="543"/>
      <c r="Q204" s="543"/>
      <c r="R204" s="543"/>
      <c r="S204" s="543"/>
      <c r="T204" s="543"/>
      <c r="U204" s="543"/>
      <c r="V204" s="490"/>
    </row>
    <row r="205" spans="1:22" hidden="1" outlineLevel="1">
      <c r="A205" s="552" t="s">
        <v>584</v>
      </c>
      <c r="B205" s="553" t="s">
        <v>585</v>
      </c>
      <c r="C205" s="553" t="s">
        <v>70</v>
      </c>
      <c r="D205" s="553" t="s">
        <v>75</v>
      </c>
      <c r="E205" s="553" t="s">
        <v>76</v>
      </c>
      <c r="F205" s="553" t="s">
        <v>552</v>
      </c>
      <c r="G205" s="554">
        <f>$B$9</f>
        <v>17.350000000000001</v>
      </c>
      <c r="H205" s="555">
        <v>6500</v>
      </c>
      <c r="I205" s="556">
        <v>0</v>
      </c>
      <c r="J205" s="551">
        <f t="shared" ref="J205:J213" si="35">H205*(1+I205)</f>
        <v>6500</v>
      </c>
      <c r="K205" s="309">
        <f>J205*G205</f>
        <v>112775.00000000001</v>
      </c>
      <c r="M205" s="549"/>
      <c r="N205" s="549"/>
      <c r="O205" s="549"/>
      <c r="P205" s="549"/>
      <c r="Q205" s="549"/>
      <c r="R205" s="549"/>
      <c r="S205" s="549"/>
      <c r="T205" s="549"/>
      <c r="U205" s="549"/>
      <c r="V205" s="490"/>
    </row>
    <row r="206" spans="1:22" hidden="1" outlineLevel="1">
      <c r="A206" s="552" t="s">
        <v>586</v>
      </c>
      <c r="B206" s="553" t="s">
        <v>587</v>
      </c>
      <c r="C206" s="553" t="s">
        <v>70</v>
      </c>
      <c r="D206" s="553" t="s">
        <v>75</v>
      </c>
      <c r="E206" s="553" t="s">
        <v>76</v>
      </c>
      <c r="F206" s="553" t="s">
        <v>552</v>
      </c>
      <c r="G206" s="601">
        <f>$B$9</f>
        <v>17.350000000000001</v>
      </c>
      <c r="H206" s="555">
        <v>3500</v>
      </c>
      <c r="I206" s="556">
        <v>0</v>
      </c>
      <c r="J206" s="555">
        <f t="shared" si="35"/>
        <v>3500</v>
      </c>
      <c r="K206" s="555">
        <f t="shared" ref="K206:K213" si="36">J206*G206</f>
        <v>60725.000000000007</v>
      </c>
      <c r="M206" s="500"/>
      <c r="N206" s="500"/>
      <c r="O206" s="500"/>
      <c r="P206" s="500"/>
      <c r="Q206" s="500"/>
      <c r="R206" s="500"/>
      <c r="S206" s="500"/>
      <c r="T206" s="500"/>
      <c r="U206" s="500"/>
      <c r="V206" s="490"/>
    </row>
    <row r="207" spans="1:22" hidden="1" outlineLevel="1">
      <c r="A207" s="552" t="s">
        <v>588</v>
      </c>
      <c r="B207" s="553" t="s">
        <v>589</v>
      </c>
      <c r="C207" s="553" t="s">
        <v>70</v>
      </c>
      <c r="D207" s="553" t="s">
        <v>75</v>
      </c>
      <c r="E207" s="553" t="s">
        <v>131</v>
      </c>
      <c r="F207" s="553" t="s">
        <v>83</v>
      </c>
      <c r="G207" s="554">
        <v>1</v>
      </c>
      <c r="H207" s="555">
        <v>100000</v>
      </c>
      <c r="I207" s="556">
        <v>0</v>
      </c>
      <c r="J207" s="555">
        <f t="shared" si="35"/>
        <v>100000</v>
      </c>
      <c r="K207" s="555">
        <f t="shared" si="36"/>
        <v>100000</v>
      </c>
      <c r="M207" s="500"/>
      <c r="N207" s="500"/>
      <c r="O207" s="500"/>
      <c r="P207" s="500"/>
      <c r="Q207" s="500"/>
      <c r="R207" s="500"/>
      <c r="S207" s="500"/>
      <c r="T207" s="500"/>
      <c r="U207" s="500"/>
      <c r="V207" s="490"/>
    </row>
    <row r="208" spans="1:22" hidden="1" outlineLevel="1">
      <c r="A208" s="552" t="s">
        <v>590</v>
      </c>
      <c r="B208" s="553" t="s">
        <v>591</v>
      </c>
      <c r="C208" s="553" t="s">
        <v>70</v>
      </c>
      <c r="D208" s="553" t="s">
        <v>75</v>
      </c>
      <c r="E208" s="553" t="s">
        <v>131</v>
      </c>
      <c r="F208" s="553" t="s">
        <v>83</v>
      </c>
      <c r="G208" s="554">
        <v>1</v>
      </c>
      <c r="H208" s="555">
        <v>50000</v>
      </c>
      <c r="I208" s="556">
        <v>0</v>
      </c>
      <c r="J208" s="555">
        <f t="shared" si="35"/>
        <v>50000</v>
      </c>
      <c r="K208" s="555">
        <f t="shared" si="36"/>
        <v>50000</v>
      </c>
      <c r="M208" s="500"/>
      <c r="N208" s="500"/>
      <c r="O208" s="500"/>
      <c r="P208" s="500"/>
      <c r="Q208" s="500"/>
      <c r="R208" s="500"/>
      <c r="S208" s="500"/>
      <c r="T208" s="500"/>
      <c r="U208" s="500"/>
      <c r="V208" s="490"/>
    </row>
    <row r="209" spans="1:22" hidden="1" outlineLevel="1">
      <c r="A209" s="552" t="s">
        <v>592</v>
      </c>
      <c r="B209" s="553" t="s">
        <v>593</v>
      </c>
      <c r="C209" s="553" t="s">
        <v>70</v>
      </c>
      <c r="D209" s="553" t="s">
        <v>75</v>
      </c>
      <c r="E209" s="553" t="s">
        <v>131</v>
      </c>
      <c r="F209" s="553" t="s">
        <v>83</v>
      </c>
      <c r="G209" s="554">
        <v>1</v>
      </c>
      <c r="H209" s="555">
        <v>1257581.3633884296</v>
      </c>
      <c r="I209" s="556">
        <v>0</v>
      </c>
      <c r="J209" s="555">
        <f t="shared" si="35"/>
        <v>1257581.3633884296</v>
      </c>
      <c r="K209" s="555">
        <f t="shared" si="36"/>
        <v>1257581.3633884296</v>
      </c>
      <c r="M209" s="500"/>
      <c r="N209" s="500"/>
      <c r="O209" s="500"/>
      <c r="P209" s="500"/>
      <c r="Q209" s="500"/>
      <c r="R209" s="500"/>
      <c r="S209" s="500"/>
      <c r="T209" s="500"/>
      <c r="U209" s="500"/>
      <c r="V209" s="490"/>
    </row>
    <row r="210" spans="1:22" hidden="1" outlineLevel="1">
      <c r="A210" s="552" t="s">
        <v>595</v>
      </c>
      <c r="B210" s="553" t="s">
        <v>596</v>
      </c>
      <c r="C210" s="553" t="s">
        <v>70</v>
      </c>
      <c r="D210" s="553" t="s">
        <v>75</v>
      </c>
      <c r="E210" s="553" t="s">
        <v>131</v>
      </c>
      <c r="F210" s="553" t="s">
        <v>83</v>
      </c>
      <c r="G210" s="554">
        <v>1</v>
      </c>
      <c r="H210" s="555">
        <v>52966.135000000002</v>
      </c>
      <c r="I210" s="556">
        <v>0</v>
      </c>
      <c r="J210" s="555">
        <f t="shared" si="35"/>
        <v>52966.135000000002</v>
      </c>
      <c r="K210" s="555">
        <f t="shared" si="36"/>
        <v>52966.135000000002</v>
      </c>
      <c r="M210" s="500"/>
      <c r="N210" s="500"/>
      <c r="O210" s="500"/>
      <c r="P210" s="500"/>
      <c r="Q210" s="500"/>
      <c r="R210" s="500"/>
      <c r="S210" s="500"/>
      <c r="T210" s="500"/>
      <c r="U210" s="500"/>
      <c r="V210" s="490"/>
    </row>
    <row r="211" spans="1:22" hidden="1" outlineLevel="1">
      <c r="A211" s="552" t="s">
        <v>597</v>
      </c>
      <c r="B211" s="553" t="s">
        <v>598</v>
      </c>
      <c r="C211" s="553" t="s">
        <v>70</v>
      </c>
      <c r="D211" s="553" t="s">
        <v>75</v>
      </c>
      <c r="E211" s="553" t="s">
        <v>131</v>
      </c>
      <c r="F211" s="553" t="s">
        <v>83</v>
      </c>
      <c r="G211" s="554">
        <v>1</v>
      </c>
      <c r="H211" s="555">
        <v>100000</v>
      </c>
      <c r="I211" s="556">
        <v>0</v>
      </c>
      <c r="J211" s="555">
        <f t="shared" si="35"/>
        <v>100000</v>
      </c>
      <c r="K211" s="555">
        <f t="shared" si="36"/>
        <v>100000</v>
      </c>
      <c r="M211" s="500"/>
      <c r="N211" s="500"/>
      <c r="O211" s="500"/>
      <c r="P211" s="500"/>
      <c r="Q211" s="500"/>
      <c r="R211" s="500"/>
      <c r="S211" s="500"/>
      <c r="T211" s="500"/>
      <c r="U211" s="500"/>
      <c r="V211" s="490"/>
    </row>
    <row r="212" spans="1:22" hidden="1" outlineLevel="1">
      <c r="A212" s="552" t="s">
        <v>599</v>
      </c>
      <c r="B212" s="553" t="s">
        <v>600</v>
      </c>
      <c r="C212" s="553" t="s">
        <v>70</v>
      </c>
      <c r="D212" s="553" t="s">
        <v>75</v>
      </c>
      <c r="E212" s="553" t="s">
        <v>87</v>
      </c>
      <c r="F212" s="553"/>
      <c r="G212" s="554"/>
      <c r="H212" s="555"/>
      <c r="I212" s="556">
        <v>0</v>
      </c>
      <c r="J212" s="555">
        <f t="shared" si="35"/>
        <v>0</v>
      </c>
      <c r="K212" s="555">
        <f t="shared" si="36"/>
        <v>0</v>
      </c>
      <c r="M212" s="500"/>
      <c r="N212" s="500"/>
      <c r="O212" s="500"/>
      <c r="P212" s="500"/>
      <c r="Q212" s="500"/>
      <c r="R212" s="500"/>
      <c r="S212" s="500"/>
      <c r="T212" s="500"/>
      <c r="U212" s="500"/>
      <c r="V212" s="490"/>
    </row>
    <row r="213" spans="1:22" hidden="1" outlineLevel="1">
      <c r="A213" s="552" t="s">
        <v>601</v>
      </c>
      <c r="B213" s="553" t="s">
        <v>602</v>
      </c>
      <c r="C213" s="553" t="s">
        <v>70</v>
      </c>
      <c r="D213" s="553" t="s">
        <v>75</v>
      </c>
      <c r="E213" s="553" t="s">
        <v>76</v>
      </c>
      <c r="F213" s="553" t="s">
        <v>552</v>
      </c>
      <c r="G213" s="554">
        <f>$B$9</f>
        <v>17.350000000000001</v>
      </c>
      <c r="H213" s="555">
        <v>2500</v>
      </c>
      <c r="I213" s="556">
        <v>0</v>
      </c>
      <c r="J213" s="551">
        <f t="shared" si="35"/>
        <v>2500</v>
      </c>
      <c r="K213" s="309">
        <f t="shared" si="36"/>
        <v>43375</v>
      </c>
      <c r="M213" s="500"/>
      <c r="N213" s="500"/>
      <c r="O213" s="500"/>
      <c r="P213" s="500"/>
      <c r="Q213" s="500"/>
      <c r="R213" s="500"/>
      <c r="S213" s="500"/>
      <c r="T213" s="500"/>
      <c r="U213" s="500"/>
      <c r="V213" s="490"/>
    </row>
    <row r="214" spans="1:22" collapsed="1">
      <c r="A214" s="537" t="s">
        <v>603</v>
      </c>
      <c r="B214" s="538" t="s">
        <v>604</v>
      </c>
      <c r="C214" s="538"/>
      <c r="D214" s="538"/>
      <c r="E214" s="538"/>
      <c r="F214" s="538"/>
      <c r="G214" s="567"/>
      <c r="H214" s="568"/>
      <c r="I214" s="540"/>
      <c r="J214" s="569"/>
      <c r="K214" s="541"/>
      <c r="L214" s="542">
        <f>SUM(K205:K213)</f>
        <v>1777422.4983884296</v>
      </c>
      <c r="M214" s="543"/>
      <c r="N214" s="543"/>
      <c r="O214" s="543"/>
      <c r="P214" s="543"/>
      <c r="Q214" s="543"/>
      <c r="R214" s="543"/>
      <c r="S214" s="543"/>
      <c r="T214" s="543"/>
      <c r="U214" s="543"/>
      <c r="V214" s="490"/>
    </row>
    <row r="215" spans="1:22" hidden="1" outlineLevel="1">
      <c r="A215" s="552" t="s">
        <v>605</v>
      </c>
      <c r="B215" s="553" t="s">
        <v>606</v>
      </c>
      <c r="C215" s="553" t="s">
        <v>90</v>
      </c>
      <c r="D215" s="553" t="s">
        <v>75</v>
      </c>
      <c r="E215" s="553" t="s">
        <v>76</v>
      </c>
      <c r="F215" s="553" t="s">
        <v>83</v>
      </c>
      <c r="G215" s="554">
        <v>1</v>
      </c>
      <c r="H215" s="555">
        <v>5000</v>
      </c>
      <c r="I215" s="556">
        <v>0</v>
      </c>
      <c r="J215" s="551">
        <f t="shared" ref="J215:J251" si="37">H215*(1+I215)</f>
        <v>5000</v>
      </c>
      <c r="K215" s="309">
        <f t="shared" ref="K215:K251" si="38">J215*G215</f>
        <v>5000</v>
      </c>
      <c r="M215" s="549"/>
      <c r="N215" s="549"/>
      <c r="O215" s="549"/>
      <c r="P215" s="549"/>
      <c r="Q215" s="549"/>
      <c r="R215" s="549"/>
      <c r="S215" s="549"/>
      <c r="T215" s="549"/>
      <c r="U215" s="549"/>
      <c r="V215" s="490"/>
    </row>
    <row r="216" spans="1:22" hidden="1" outlineLevel="1">
      <c r="A216" s="552" t="s">
        <v>607</v>
      </c>
      <c r="B216" s="553" t="s">
        <v>608</v>
      </c>
      <c r="C216" s="553" t="s">
        <v>70</v>
      </c>
      <c r="D216" s="553" t="s">
        <v>97</v>
      </c>
      <c r="E216" s="553" t="s">
        <v>76</v>
      </c>
      <c r="F216" s="553" t="s">
        <v>83</v>
      </c>
      <c r="G216" s="554">
        <v>2</v>
      </c>
      <c r="H216" s="555">
        <v>2500</v>
      </c>
      <c r="I216" s="556">
        <v>0</v>
      </c>
      <c r="J216" s="555">
        <f t="shared" si="37"/>
        <v>2500</v>
      </c>
      <c r="K216" s="555">
        <f t="shared" si="38"/>
        <v>5000</v>
      </c>
      <c r="M216" s="500"/>
      <c r="N216" s="500"/>
      <c r="O216" s="500"/>
      <c r="P216" s="500"/>
      <c r="Q216" s="500"/>
      <c r="R216" s="500"/>
      <c r="S216" s="500"/>
      <c r="T216" s="500"/>
      <c r="U216" s="500"/>
      <c r="V216" s="490"/>
    </row>
    <row r="217" spans="1:22" hidden="1" outlineLevel="1">
      <c r="A217" s="552" t="s">
        <v>609</v>
      </c>
      <c r="B217" s="553" t="s">
        <v>610</v>
      </c>
      <c r="C217" s="553" t="s">
        <v>70</v>
      </c>
      <c r="D217" s="553" t="s">
        <v>75</v>
      </c>
      <c r="E217" s="553" t="s">
        <v>76</v>
      </c>
      <c r="F217" s="553" t="s">
        <v>83</v>
      </c>
      <c r="G217" s="554">
        <v>1</v>
      </c>
      <c r="H217" s="555">
        <v>25000</v>
      </c>
      <c r="I217" s="556">
        <v>0</v>
      </c>
      <c r="J217" s="555">
        <f t="shared" si="37"/>
        <v>25000</v>
      </c>
      <c r="K217" s="555">
        <f t="shared" si="38"/>
        <v>25000</v>
      </c>
      <c r="M217" s="500" t="s">
        <v>611</v>
      </c>
      <c r="N217" s="500"/>
      <c r="O217" s="500"/>
      <c r="P217" s="500"/>
      <c r="Q217" s="500"/>
      <c r="R217" s="500"/>
      <c r="S217" s="500"/>
      <c r="T217" s="500"/>
      <c r="U217" s="500"/>
      <c r="V217" s="490"/>
    </row>
    <row r="218" spans="1:22" hidden="1" outlineLevel="1">
      <c r="A218" s="552" t="s">
        <v>612</v>
      </c>
      <c r="B218" s="553" t="s">
        <v>613</v>
      </c>
      <c r="C218" s="553" t="s">
        <v>70</v>
      </c>
      <c r="D218" s="553" t="s">
        <v>75</v>
      </c>
      <c r="E218" s="553" t="s">
        <v>131</v>
      </c>
      <c r="F218" s="553" t="s">
        <v>83</v>
      </c>
      <c r="G218" s="554">
        <v>1</v>
      </c>
      <c r="H218" s="555">
        <v>601630.92999999993</v>
      </c>
      <c r="I218" s="556">
        <v>0</v>
      </c>
      <c r="J218" s="555">
        <f t="shared" si="37"/>
        <v>601630.92999999993</v>
      </c>
      <c r="K218" s="555">
        <f t="shared" si="38"/>
        <v>601630.92999999993</v>
      </c>
      <c r="M218" s="500" t="s">
        <v>611</v>
      </c>
      <c r="N218" s="500"/>
      <c r="O218" s="500"/>
      <c r="P218" s="500"/>
      <c r="Q218" s="500"/>
      <c r="R218" s="500"/>
      <c r="S218" s="500"/>
      <c r="T218" s="500"/>
      <c r="U218" s="500"/>
      <c r="V218" s="490"/>
    </row>
    <row r="219" spans="1:22" hidden="1" outlineLevel="1">
      <c r="A219" s="552" t="s">
        <v>615</v>
      </c>
      <c r="B219" s="553" t="s">
        <v>616</v>
      </c>
      <c r="C219" s="553" t="s">
        <v>70</v>
      </c>
      <c r="D219" s="553" t="s">
        <v>75</v>
      </c>
      <c r="E219" s="553" t="s">
        <v>76</v>
      </c>
      <c r="F219" s="553" t="s">
        <v>185</v>
      </c>
      <c r="G219" s="554">
        <v>215053</v>
      </c>
      <c r="H219" s="565">
        <v>0.25</v>
      </c>
      <c r="I219" s="556">
        <v>0</v>
      </c>
      <c r="J219" s="565">
        <f t="shared" si="37"/>
        <v>0.25</v>
      </c>
      <c r="K219" s="555">
        <f t="shared" si="38"/>
        <v>53763.25</v>
      </c>
      <c r="M219" s="500"/>
      <c r="N219" s="500"/>
      <c r="O219" s="500"/>
      <c r="P219" s="500"/>
      <c r="Q219" s="500"/>
      <c r="R219" s="500"/>
      <c r="S219" s="500"/>
      <c r="T219" s="500"/>
      <c r="U219" s="500"/>
      <c r="V219" s="490"/>
    </row>
    <row r="220" spans="1:22" hidden="1" outlineLevel="1">
      <c r="A220" s="552" t="s">
        <v>617</v>
      </c>
      <c r="B220" s="553" t="s">
        <v>618</v>
      </c>
      <c r="C220" s="553" t="s">
        <v>70</v>
      </c>
      <c r="D220" s="553" t="s">
        <v>97</v>
      </c>
      <c r="E220" s="553" t="s">
        <v>329</v>
      </c>
      <c r="F220" s="553" t="s">
        <v>185</v>
      </c>
      <c r="G220" s="554">
        <v>3000</v>
      </c>
      <c r="H220" s="565">
        <v>8.5</v>
      </c>
      <c r="I220" s="556">
        <v>0</v>
      </c>
      <c r="J220" s="565">
        <f t="shared" si="37"/>
        <v>8.5</v>
      </c>
      <c r="K220" s="555">
        <f t="shared" si="38"/>
        <v>25500</v>
      </c>
      <c r="M220" s="500" t="s">
        <v>76</v>
      </c>
      <c r="N220" s="500"/>
      <c r="O220" s="500"/>
      <c r="P220" s="500"/>
      <c r="Q220" s="500"/>
      <c r="R220" s="500"/>
      <c r="S220" s="500"/>
      <c r="T220" s="500"/>
      <c r="U220" s="500"/>
      <c r="V220" s="490"/>
    </row>
    <row r="221" spans="1:22" hidden="1" outlineLevel="1">
      <c r="A221" s="552" t="s">
        <v>619</v>
      </c>
      <c r="B221" s="553" t="s">
        <v>620</v>
      </c>
      <c r="C221" s="553" t="s">
        <v>70</v>
      </c>
      <c r="D221" s="553" t="s">
        <v>103</v>
      </c>
      <c r="E221" s="553" t="s">
        <v>329</v>
      </c>
      <c r="F221" s="553" t="s">
        <v>185</v>
      </c>
      <c r="G221" s="554">
        <v>8023</v>
      </c>
      <c r="H221" s="565">
        <v>8.5</v>
      </c>
      <c r="I221" s="556">
        <v>0</v>
      </c>
      <c r="J221" s="565">
        <f t="shared" si="37"/>
        <v>8.5</v>
      </c>
      <c r="K221" s="555">
        <f t="shared" si="38"/>
        <v>68195.5</v>
      </c>
      <c r="M221" s="500" t="s">
        <v>621</v>
      </c>
      <c r="N221" s="500"/>
      <c r="O221" s="500"/>
      <c r="P221" s="500"/>
      <c r="Q221" s="500"/>
      <c r="R221" s="500"/>
      <c r="S221" s="500"/>
      <c r="T221" s="500"/>
      <c r="U221" s="500"/>
      <c r="V221" s="490"/>
    </row>
    <row r="222" spans="1:22" hidden="1" outlineLevel="1">
      <c r="A222" s="552" t="s">
        <v>622</v>
      </c>
      <c r="B222" s="553" t="s">
        <v>623</v>
      </c>
      <c r="C222" s="553" t="s">
        <v>70</v>
      </c>
      <c r="D222" s="553" t="s">
        <v>75</v>
      </c>
      <c r="E222" s="553" t="s">
        <v>886</v>
      </c>
      <c r="F222" s="553" t="s">
        <v>83</v>
      </c>
      <c r="G222" s="554">
        <v>1</v>
      </c>
      <c r="H222" s="555">
        <v>114991.74</v>
      </c>
      <c r="I222" s="556">
        <v>0</v>
      </c>
      <c r="J222" s="555">
        <f t="shared" si="37"/>
        <v>114991.74</v>
      </c>
      <c r="K222" s="555">
        <f t="shared" si="38"/>
        <v>114991.74</v>
      </c>
      <c r="M222" s="500" t="s">
        <v>611</v>
      </c>
      <c r="N222" s="500"/>
      <c r="O222" s="500"/>
      <c r="P222" s="500"/>
      <c r="Q222" s="500"/>
      <c r="R222" s="500"/>
      <c r="S222" s="500"/>
      <c r="T222" s="500"/>
      <c r="U222" s="500"/>
      <c r="V222" s="490"/>
    </row>
    <row r="223" spans="1:22" hidden="1" outlineLevel="1">
      <c r="A223" s="552" t="s">
        <v>624</v>
      </c>
      <c r="B223" s="553" t="s">
        <v>625</v>
      </c>
      <c r="C223" s="553" t="s">
        <v>70</v>
      </c>
      <c r="D223" s="553" t="s">
        <v>75</v>
      </c>
      <c r="E223" s="553" t="s">
        <v>886</v>
      </c>
      <c r="F223" s="553" t="s">
        <v>83</v>
      </c>
      <c r="G223" s="554">
        <v>1</v>
      </c>
      <c r="H223" s="555">
        <v>134729.4</v>
      </c>
      <c r="I223" s="556">
        <v>0</v>
      </c>
      <c r="J223" s="555">
        <f t="shared" si="37"/>
        <v>134729.4</v>
      </c>
      <c r="K223" s="555">
        <f t="shared" si="38"/>
        <v>134729.4</v>
      </c>
      <c r="M223" s="500" t="s">
        <v>611</v>
      </c>
      <c r="N223" s="500"/>
      <c r="O223" s="500"/>
      <c r="P223" s="500"/>
      <c r="Q223" s="500"/>
      <c r="R223" s="500"/>
      <c r="S223" s="500"/>
      <c r="T223" s="500"/>
      <c r="U223" s="500"/>
      <c r="V223" s="490"/>
    </row>
    <row r="224" spans="1:22" hidden="1" outlineLevel="1">
      <c r="A224" s="574" t="s">
        <v>626</v>
      </c>
      <c r="B224" s="553" t="s">
        <v>627</v>
      </c>
      <c r="C224" s="553" t="s">
        <v>70</v>
      </c>
      <c r="D224" s="553" t="s">
        <v>75</v>
      </c>
      <c r="E224" s="553" t="s">
        <v>886</v>
      </c>
      <c r="F224" s="553" t="s">
        <v>83</v>
      </c>
      <c r="G224" s="554">
        <v>1</v>
      </c>
      <c r="H224" s="555">
        <v>338206.88750000001</v>
      </c>
      <c r="I224" s="556">
        <v>0</v>
      </c>
      <c r="J224" s="555">
        <f t="shared" si="37"/>
        <v>338206.88750000001</v>
      </c>
      <c r="K224" s="555">
        <f t="shared" si="38"/>
        <v>338206.88750000001</v>
      </c>
      <c r="M224" s="500" t="s">
        <v>903</v>
      </c>
      <c r="N224" s="500"/>
      <c r="O224" s="500"/>
      <c r="P224" s="500"/>
      <c r="Q224" s="500"/>
      <c r="R224" s="500"/>
      <c r="S224" s="500"/>
      <c r="T224" s="500"/>
      <c r="U224" s="500"/>
      <c r="V224" s="490"/>
    </row>
    <row r="225" spans="1:22" hidden="1" outlineLevel="1">
      <c r="A225" s="552" t="s">
        <v>628</v>
      </c>
      <c r="B225" s="553" t="s">
        <v>629</v>
      </c>
      <c r="C225" s="553" t="s">
        <v>70</v>
      </c>
      <c r="D225" s="553" t="s">
        <v>97</v>
      </c>
      <c r="E225" s="553" t="s">
        <v>87</v>
      </c>
      <c r="F225" s="553"/>
      <c r="G225" s="554"/>
      <c r="H225" s="565"/>
      <c r="I225" s="556">
        <v>0</v>
      </c>
      <c r="J225" s="555">
        <f t="shared" si="37"/>
        <v>0</v>
      </c>
      <c r="K225" s="555">
        <f t="shared" si="38"/>
        <v>0</v>
      </c>
      <c r="M225" s="500"/>
      <c r="N225" s="500"/>
      <c r="O225" s="500"/>
      <c r="P225" s="500"/>
      <c r="Q225" s="500"/>
      <c r="R225" s="500"/>
      <c r="S225" s="500"/>
      <c r="T225" s="500"/>
      <c r="U225" s="500"/>
      <c r="V225" s="490"/>
    </row>
    <row r="226" spans="1:22" hidden="1" outlineLevel="1">
      <c r="A226" s="552" t="s">
        <v>630</v>
      </c>
      <c r="B226" s="553" t="s">
        <v>631</v>
      </c>
      <c r="C226" s="553" t="s">
        <v>70</v>
      </c>
      <c r="D226" s="553" t="s">
        <v>103</v>
      </c>
      <c r="E226" s="553" t="s">
        <v>76</v>
      </c>
      <c r="F226" s="553" t="s">
        <v>83</v>
      </c>
      <c r="G226" s="554">
        <f>'Assumptions &amp; Takeoffs'!$B$16</f>
        <v>1</v>
      </c>
      <c r="H226" s="555">
        <v>10000</v>
      </c>
      <c r="I226" s="556">
        <v>0</v>
      </c>
      <c r="J226" s="555">
        <f t="shared" si="37"/>
        <v>10000</v>
      </c>
      <c r="K226" s="555">
        <f t="shared" si="38"/>
        <v>10000</v>
      </c>
      <c r="M226" s="500"/>
      <c r="N226" s="500"/>
      <c r="O226" s="500"/>
      <c r="P226" s="500"/>
      <c r="Q226" s="500"/>
      <c r="R226" s="500"/>
      <c r="S226" s="500"/>
      <c r="T226" s="500"/>
      <c r="U226" s="500"/>
      <c r="V226" s="490"/>
    </row>
    <row r="227" spans="1:22" hidden="1" outlineLevel="1">
      <c r="A227" s="552" t="s">
        <v>632</v>
      </c>
      <c r="B227" s="553" t="s">
        <v>633</v>
      </c>
      <c r="C227" s="553" t="s">
        <v>70</v>
      </c>
      <c r="D227" s="553" t="s">
        <v>75</v>
      </c>
      <c r="E227" s="553" t="s">
        <v>76</v>
      </c>
      <c r="F227" s="553" t="s">
        <v>552</v>
      </c>
      <c r="G227" s="601">
        <f>$B$9</f>
        <v>17.350000000000001</v>
      </c>
      <c r="H227" s="555">
        <v>3000</v>
      </c>
      <c r="I227" s="556">
        <v>0</v>
      </c>
      <c r="J227" s="555">
        <f t="shared" si="37"/>
        <v>3000</v>
      </c>
      <c r="K227" s="555">
        <f t="shared" si="38"/>
        <v>52050.000000000007</v>
      </c>
      <c r="M227" s="500"/>
      <c r="N227" s="500"/>
      <c r="O227" s="500"/>
      <c r="P227" s="500"/>
      <c r="Q227" s="500"/>
      <c r="R227" s="500"/>
      <c r="S227" s="500"/>
      <c r="T227" s="500"/>
      <c r="U227" s="500"/>
      <c r="V227" s="490"/>
    </row>
    <row r="228" spans="1:22" hidden="1" outlineLevel="1">
      <c r="A228" s="552" t="s">
        <v>634</v>
      </c>
      <c r="B228" s="553" t="s">
        <v>635</v>
      </c>
      <c r="C228" s="553" t="s">
        <v>70</v>
      </c>
      <c r="D228" s="553" t="s">
        <v>75</v>
      </c>
      <c r="E228" s="553" t="s">
        <v>343</v>
      </c>
      <c r="F228" s="553" t="s">
        <v>83</v>
      </c>
      <c r="G228" s="554">
        <v>1</v>
      </c>
      <c r="H228" s="555">
        <v>164035.4</v>
      </c>
      <c r="I228" s="556">
        <v>0</v>
      </c>
      <c r="J228" s="555">
        <f t="shared" si="37"/>
        <v>164035.4</v>
      </c>
      <c r="K228" s="555">
        <f t="shared" si="38"/>
        <v>164035.4</v>
      </c>
      <c r="M228" s="500" t="s">
        <v>904</v>
      </c>
      <c r="N228" s="500"/>
      <c r="O228" s="500"/>
      <c r="P228" s="500"/>
      <c r="Q228" s="500"/>
      <c r="R228" s="500"/>
      <c r="S228" s="500"/>
      <c r="T228" s="500"/>
      <c r="U228" s="500"/>
      <c r="V228" s="490"/>
    </row>
    <row r="229" spans="1:22" hidden="1" outlineLevel="1">
      <c r="A229" s="552" t="s">
        <v>636</v>
      </c>
      <c r="B229" s="553" t="s">
        <v>637</v>
      </c>
      <c r="C229" s="553" t="s">
        <v>70</v>
      </c>
      <c r="D229" s="553" t="s">
        <v>97</v>
      </c>
      <c r="E229" s="553" t="s">
        <v>343</v>
      </c>
      <c r="F229" s="553" t="s">
        <v>132</v>
      </c>
      <c r="G229" s="554">
        <f>'Assumptions &amp; Takeoffs'!$B$14</f>
        <v>14</v>
      </c>
      <c r="H229" s="555">
        <v>2485</v>
      </c>
      <c r="I229" s="556">
        <v>0</v>
      </c>
      <c r="J229" s="555">
        <f t="shared" si="37"/>
        <v>2485</v>
      </c>
      <c r="K229" s="555">
        <f t="shared" si="38"/>
        <v>34790</v>
      </c>
      <c r="M229" s="500"/>
      <c r="N229" s="500"/>
      <c r="O229" s="500"/>
      <c r="P229" s="500"/>
      <c r="Q229" s="500"/>
      <c r="R229" s="500"/>
      <c r="S229" s="500"/>
      <c r="T229" s="500"/>
      <c r="U229" s="500"/>
      <c r="V229" s="490"/>
    </row>
    <row r="230" spans="1:22" hidden="1" outlineLevel="1">
      <c r="A230" s="552" t="s">
        <v>638</v>
      </c>
      <c r="B230" s="553" t="s">
        <v>639</v>
      </c>
      <c r="C230" s="553" t="s">
        <v>144</v>
      </c>
      <c r="D230" s="553" t="s">
        <v>97</v>
      </c>
      <c r="E230" s="553" t="s">
        <v>76</v>
      </c>
      <c r="F230" s="553" t="s">
        <v>83</v>
      </c>
      <c r="G230" s="554">
        <v>1</v>
      </c>
      <c r="H230" s="555">
        <v>15000</v>
      </c>
      <c r="I230" s="556">
        <v>0</v>
      </c>
      <c r="J230" s="555">
        <f t="shared" si="37"/>
        <v>15000</v>
      </c>
      <c r="K230" s="555">
        <f t="shared" si="38"/>
        <v>15000</v>
      </c>
      <c r="M230" s="500"/>
      <c r="N230" s="500"/>
      <c r="O230" s="500"/>
      <c r="P230" s="500"/>
      <c r="Q230" s="500"/>
      <c r="R230" s="500"/>
      <c r="S230" s="500"/>
      <c r="T230" s="500"/>
      <c r="U230" s="500"/>
      <c r="V230" s="490"/>
    </row>
    <row r="231" spans="1:22" hidden="1" outlineLevel="1">
      <c r="A231" s="552" t="s">
        <v>640</v>
      </c>
      <c r="B231" s="553" t="s">
        <v>641</v>
      </c>
      <c r="C231" s="553" t="s">
        <v>70</v>
      </c>
      <c r="D231" s="553" t="s">
        <v>75</v>
      </c>
      <c r="E231" s="553" t="s">
        <v>76</v>
      </c>
      <c r="F231" s="553" t="s">
        <v>169</v>
      </c>
      <c r="G231" s="554">
        <v>300</v>
      </c>
      <c r="H231" s="555">
        <v>55</v>
      </c>
      <c r="I231" s="556">
        <v>0</v>
      </c>
      <c r="J231" s="555">
        <f t="shared" si="37"/>
        <v>55</v>
      </c>
      <c r="K231" s="555">
        <f t="shared" si="38"/>
        <v>16500</v>
      </c>
      <c r="M231" s="500"/>
      <c r="N231" s="500"/>
      <c r="O231" s="500"/>
      <c r="P231" s="500"/>
      <c r="Q231" s="500"/>
      <c r="R231" s="500"/>
      <c r="S231" s="500"/>
      <c r="T231" s="500"/>
      <c r="U231" s="500"/>
      <c r="V231" s="490"/>
    </row>
    <row r="232" spans="1:22" hidden="1" outlineLevel="1">
      <c r="A232" s="552" t="s">
        <v>642</v>
      </c>
      <c r="B232" s="553" t="s">
        <v>643</v>
      </c>
      <c r="C232" s="553" t="s">
        <v>70</v>
      </c>
      <c r="D232" s="553" t="s">
        <v>103</v>
      </c>
      <c r="E232" s="553" t="s">
        <v>343</v>
      </c>
      <c r="F232" s="553" t="s">
        <v>169</v>
      </c>
      <c r="G232" s="554">
        <v>300</v>
      </c>
      <c r="H232" s="555">
        <v>70</v>
      </c>
      <c r="I232" s="556">
        <v>0</v>
      </c>
      <c r="J232" s="555">
        <f t="shared" si="37"/>
        <v>70</v>
      </c>
      <c r="K232" s="555">
        <f t="shared" si="38"/>
        <v>21000</v>
      </c>
      <c r="M232" s="500"/>
      <c r="N232" s="500"/>
      <c r="O232" s="500"/>
      <c r="P232" s="500"/>
      <c r="Q232" s="500"/>
      <c r="R232" s="500"/>
      <c r="S232" s="500"/>
      <c r="T232" s="500"/>
      <c r="U232" s="500"/>
      <c r="V232" s="490"/>
    </row>
    <row r="233" spans="1:22" hidden="1" outlineLevel="1">
      <c r="A233" s="552" t="s">
        <v>644</v>
      </c>
      <c r="B233" s="553" t="s">
        <v>643</v>
      </c>
      <c r="C233" s="553" t="s">
        <v>70</v>
      </c>
      <c r="D233" s="553" t="s">
        <v>103</v>
      </c>
      <c r="E233" s="553" t="s">
        <v>343</v>
      </c>
      <c r="F233" s="553" t="s">
        <v>132</v>
      </c>
      <c r="G233" s="554">
        <f>'Assumptions &amp; Takeoffs'!$B$16*2</f>
        <v>2</v>
      </c>
      <c r="H233" s="555">
        <v>1950</v>
      </c>
      <c r="I233" s="556">
        <v>0</v>
      </c>
      <c r="J233" s="555">
        <f t="shared" si="37"/>
        <v>1950</v>
      </c>
      <c r="K233" s="555">
        <f t="shared" si="38"/>
        <v>3900</v>
      </c>
      <c r="M233" s="500"/>
      <c r="N233" s="500"/>
      <c r="O233" s="500"/>
      <c r="P233" s="500"/>
      <c r="Q233" s="500"/>
      <c r="R233" s="500"/>
      <c r="S233" s="500"/>
      <c r="T233" s="500"/>
      <c r="U233" s="500"/>
      <c r="V233" s="490"/>
    </row>
    <row r="234" spans="1:22" hidden="1" outlineLevel="1">
      <c r="A234" s="552" t="s">
        <v>645</v>
      </c>
      <c r="B234" s="553" t="s">
        <v>646</v>
      </c>
      <c r="C234" s="553" t="s">
        <v>70</v>
      </c>
      <c r="D234" s="553" t="s">
        <v>75</v>
      </c>
      <c r="E234" s="553" t="s">
        <v>343</v>
      </c>
      <c r="F234" s="553" t="s">
        <v>83</v>
      </c>
      <c r="G234" s="554">
        <v>1</v>
      </c>
      <c r="H234" s="555">
        <v>6000</v>
      </c>
      <c r="I234" s="556">
        <v>0</v>
      </c>
      <c r="J234" s="555">
        <f t="shared" si="37"/>
        <v>6000</v>
      </c>
      <c r="K234" s="555">
        <f t="shared" si="38"/>
        <v>6000</v>
      </c>
      <c r="M234" s="500" t="s">
        <v>647</v>
      </c>
      <c r="N234" s="500"/>
      <c r="O234" s="500"/>
      <c r="P234" s="500"/>
      <c r="Q234" s="500"/>
      <c r="R234" s="500"/>
      <c r="S234" s="500"/>
      <c r="T234" s="500"/>
      <c r="U234" s="500"/>
      <c r="V234" s="490"/>
    </row>
    <row r="235" spans="1:22" hidden="1" outlineLevel="1">
      <c r="A235" s="552" t="s">
        <v>648</v>
      </c>
      <c r="B235" s="553" t="s">
        <v>649</v>
      </c>
      <c r="C235" s="553" t="s">
        <v>70</v>
      </c>
      <c r="D235" s="553" t="s">
        <v>75</v>
      </c>
      <c r="E235" s="553" t="s">
        <v>87</v>
      </c>
      <c r="F235" s="553"/>
      <c r="G235" s="554"/>
      <c r="H235" s="555">
        <v>3555</v>
      </c>
      <c r="I235" s="556">
        <v>0</v>
      </c>
      <c r="J235" s="555">
        <f t="shared" si="37"/>
        <v>3555</v>
      </c>
      <c r="K235" s="555">
        <f t="shared" si="38"/>
        <v>0</v>
      </c>
      <c r="M235" s="500"/>
      <c r="N235" s="500"/>
      <c r="O235" s="500"/>
      <c r="P235" s="500"/>
      <c r="Q235" s="500"/>
      <c r="R235" s="500"/>
      <c r="S235" s="500"/>
      <c r="T235" s="500"/>
      <c r="U235" s="500"/>
      <c r="V235" s="490"/>
    </row>
    <row r="236" spans="1:22" hidden="1" outlineLevel="1">
      <c r="A236" s="552" t="s">
        <v>650</v>
      </c>
      <c r="B236" s="553" t="s">
        <v>651</v>
      </c>
      <c r="C236" s="553" t="s">
        <v>70</v>
      </c>
      <c r="D236" s="553" t="s">
        <v>75</v>
      </c>
      <c r="E236" s="553" t="s">
        <v>87</v>
      </c>
      <c r="F236" s="553"/>
      <c r="G236" s="554"/>
      <c r="H236" s="555">
        <v>44</v>
      </c>
      <c r="I236" s="556">
        <v>0</v>
      </c>
      <c r="J236" s="555">
        <f t="shared" si="37"/>
        <v>44</v>
      </c>
      <c r="K236" s="555">
        <f t="shared" si="38"/>
        <v>0</v>
      </c>
      <c r="M236" s="500"/>
      <c r="N236" s="500"/>
      <c r="O236" s="500"/>
      <c r="P236" s="500"/>
      <c r="Q236" s="500"/>
      <c r="R236" s="500"/>
      <c r="S236" s="500"/>
      <c r="T236" s="500"/>
      <c r="U236" s="500"/>
      <c r="V236" s="490"/>
    </row>
    <row r="237" spans="1:22" hidden="1" outlineLevel="1">
      <c r="A237" s="552" t="s">
        <v>652</v>
      </c>
      <c r="B237" s="553" t="s">
        <v>653</v>
      </c>
      <c r="C237" s="553" t="s">
        <v>70</v>
      </c>
      <c r="D237" s="553" t="s">
        <v>75</v>
      </c>
      <c r="E237" s="553" t="s">
        <v>131</v>
      </c>
      <c r="F237" s="553" t="s">
        <v>83</v>
      </c>
      <c r="G237" s="554">
        <v>0</v>
      </c>
      <c r="H237" s="555">
        <v>1950</v>
      </c>
      <c r="I237" s="556">
        <v>0</v>
      </c>
      <c r="J237" s="555">
        <f t="shared" si="37"/>
        <v>1950</v>
      </c>
      <c r="K237" s="555">
        <f t="shared" si="38"/>
        <v>0</v>
      </c>
      <c r="M237" s="500"/>
      <c r="N237" s="500"/>
      <c r="O237" s="500"/>
      <c r="P237" s="500"/>
      <c r="Q237" s="500"/>
      <c r="R237" s="500"/>
      <c r="S237" s="500"/>
      <c r="T237" s="500"/>
      <c r="U237" s="500"/>
      <c r="V237" s="490"/>
    </row>
    <row r="238" spans="1:22" hidden="1" outlineLevel="1">
      <c r="A238" s="552" t="s">
        <v>654</v>
      </c>
      <c r="B238" s="553" t="s">
        <v>655</v>
      </c>
      <c r="C238" s="553" t="s">
        <v>70</v>
      </c>
      <c r="D238" s="553" t="s">
        <v>75</v>
      </c>
      <c r="E238" s="553" t="s">
        <v>76</v>
      </c>
      <c r="F238" s="553" t="s">
        <v>83</v>
      </c>
      <c r="G238" s="601">
        <f t="shared" ref="G238" si="39">$B$9</f>
        <v>17.350000000000001</v>
      </c>
      <c r="H238" s="555">
        <v>5000</v>
      </c>
      <c r="I238" s="556">
        <v>0</v>
      </c>
      <c r="J238" s="555">
        <f t="shared" si="37"/>
        <v>5000</v>
      </c>
      <c r="K238" s="555">
        <f t="shared" si="38"/>
        <v>86750</v>
      </c>
      <c r="M238" s="500"/>
      <c r="N238" s="500"/>
      <c r="O238" s="500"/>
      <c r="P238" s="500"/>
      <c r="Q238" s="500"/>
      <c r="R238" s="500"/>
      <c r="S238" s="500"/>
      <c r="T238" s="500"/>
      <c r="U238" s="500"/>
      <c r="V238" s="490"/>
    </row>
    <row r="239" spans="1:22" hidden="1" outlineLevel="1">
      <c r="A239" s="552" t="s">
        <v>656</v>
      </c>
      <c r="B239" s="553" t="s">
        <v>657</v>
      </c>
      <c r="C239" s="553" t="s">
        <v>70</v>
      </c>
      <c r="D239" s="553" t="s">
        <v>75</v>
      </c>
      <c r="E239" s="553" t="s">
        <v>886</v>
      </c>
      <c r="F239" s="553" t="s">
        <v>83</v>
      </c>
      <c r="G239" s="554">
        <v>1</v>
      </c>
      <c r="H239" s="555">
        <v>493481.67499999999</v>
      </c>
      <c r="I239" s="556">
        <v>0</v>
      </c>
      <c r="J239" s="555">
        <f t="shared" si="37"/>
        <v>493481.67499999999</v>
      </c>
      <c r="K239" s="555">
        <f t="shared" si="38"/>
        <v>493481.67499999999</v>
      </c>
      <c r="M239" s="500" t="s">
        <v>660</v>
      </c>
      <c r="N239" s="500"/>
      <c r="O239" s="500"/>
      <c r="P239" s="500"/>
      <c r="Q239" s="500"/>
      <c r="R239" s="500"/>
      <c r="S239" s="500"/>
      <c r="T239" s="500"/>
      <c r="U239" s="500"/>
      <c r="V239" s="490"/>
    </row>
    <row r="240" spans="1:22" hidden="1" outlineLevel="1">
      <c r="A240" s="552" t="s">
        <v>658</v>
      </c>
      <c r="B240" s="553" t="s">
        <v>659</v>
      </c>
      <c r="C240" s="553" t="s">
        <v>70</v>
      </c>
      <c r="D240" s="553" t="s">
        <v>75</v>
      </c>
      <c r="E240" s="553" t="s">
        <v>886</v>
      </c>
      <c r="F240" s="553" t="s">
        <v>83</v>
      </c>
      <c r="G240" s="554">
        <v>1</v>
      </c>
      <c r="H240" s="555">
        <v>31250</v>
      </c>
      <c r="I240" s="556">
        <v>0</v>
      </c>
      <c r="J240" s="555">
        <f t="shared" si="37"/>
        <v>31250</v>
      </c>
      <c r="K240" s="555">
        <f t="shared" si="38"/>
        <v>31250</v>
      </c>
      <c r="M240" s="500" t="s">
        <v>660</v>
      </c>
      <c r="N240" s="500"/>
      <c r="O240" s="500"/>
      <c r="P240" s="500"/>
      <c r="Q240" s="500"/>
      <c r="R240" s="500"/>
      <c r="S240" s="500"/>
      <c r="T240" s="500"/>
      <c r="U240" s="500"/>
      <c r="V240" s="490"/>
    </row>
    <row r="241" spans="1:22" hidden="1" outlineLevel="1">
      <c r="A241" s="552" t="s">
        <v>661</v>
      </c>
      <c r="B241" s="553" t="s">
        <v>662</v>
      </c>
      <c r="C241" s="553" t="s">
        <v>70</v>
      </c>
      <c r="D241" s="553" t="s">
        <v>75</v>
      </c>
      <c r="E241" s="553" t="s">
        <v>886</v>
      </c>
      <c r="F241" s="553" t="s">
        <v>83</v>
      </c>
      <c r="G241" s="554">
        <v>1</v>
      </c>
      <c r="H241" s="555">
        <v>303105.8</v>
      </c>
      <c r="I241" s="556">
        <v>0</v>
      </c>
      <c r="J241" s="555">
        <f t="shared" si="37"/>
        <v>303105.8</v>
      </c>
      <c r="K241" s="555">
        <f t="shared" si="38"/>
        <v>303105.8</v>
      </c>
      <c r="M241" s="500" t="s">
        <v>660</v>
      </c>
      <c r="N241" s="500"/>
      <c r="O241" s="500"/>
      <c r="P241" s="500"/>
      <c r="Q241" s="500"/>
      <c r="R241" s="500"/>
      <c r="S241" s="500"/>
      <c r="T241" s="500"/>
      <c r="U241" s="500"/>
      <c r="V241" s="490"/>
    </row>
    <row r="242" spans="1:22" hidden="1" outlineLevel="1">
      <c r="A242" s="552" t="s">
        <v>663</v>
      </c>
      <c r="B242" s="553" t="s">
        <v>664</v>
      </c>
      <c r="C242" s="553" t="s">
        <v>144</v>
      </c>
      <c r="D242" s="553" t="s">
        <v>103</v>
      </c>
      <c r="E242" s="553" t="s">
        <v>76</v>
      </c>
      <c r="F242" s="553" t="s">
        <v>83</v>
      </c>
      <c r="G242" s="554">
        <v>2</v>
      </c>
      <c r="H242" s="555">
        <v>7500</v>
      </c>
      <c r="I242" s="556">
        <v>0</v>
      </c>
      <c r="J242" s="555">
        <f t="shared" si="37"/>
        <v>7500</v>
      </c>
      <c r="K242" s="555">
        <f t="shared" si="38"/>
        <v>15000</v>
      </c>
      <c r="M242" s="500"/>
      <c r="N242" s="500"/>
      <c r="O242" s="500"/>
      <c r="P242" s="500"/>
      <c r="Q242" s="500"/>
      <c r="R242" s="500"/>
      <c r="S242" s="500"/>
      <c r="T242" s="500"/>
      <c r="U242" s="500"/>
      <c r="V242" s="490"/>
    </row>
    <row r="243" spans="1:22" hidden="1" outlineLevel="1">
      <c r="A243" s="552" t="s">
        <v>665</v>
      </c>
      <c r="B243" s="553" t="s">
        <v>666</v>
      </c>
      <c r="C243" s="553" t="s">
        <v>144</v>
      </c>
      <c r="D243" s="553" t="s">
        <v>81</v>
      </c>
      <c r="E243" s="553" t="s">
        <v>76</v>
      </c>
      <c r="F243" s="553" t="s">
        <v>83</v>
      </c>
      <c r="G243" s="554">
        <v>1</v>
      </c>
      <c r="H243" s="555">
        <v>7000</v>
      </c>
      <c r="I243" s="556">
        <v>0</v>
      </c>
      <c r="J243" s="555">
        <f t="shared" si="37"/>
        <v>7000</v>
      </c>
      <c r="K243" s="555">
        <f t="shared" si="38"/>
        <v>7000</v>
      </c>
      <c r="M243" s="500"/>
      <c r="N243" s="500"/>
      <c r="O243" s="500"/>
      <c r="P243" s="500"/>
      <c r="Q243" s="500"/>
      <c r="R243" s="500"/>
      <c r="S243" s="500"/>
      <c r="T243" s="500"/>
      <c r="U243" s="500"/>
      <c r="V243" s="490"/>
    </row>
    <row r="244" spans="1:22" hidden="1" outlineLevel="1">
      <c r="A244" s="552" t="s">
        <v>210</v>
      </c>
      <c r="B244" s="553" t="s">
        <v>667</v>
      </c>
      <c r="C244" s="553" t="s">
        <v>70</v>
      </c>
      <c r="D244" s="553" t="s">
        <v>75</v>
      </c>
      <c r="E244" s="553" t="s">
        <v>886</v>
      </c>
      <c r="F244" s="553" t="s">
        <v>185</v>
      </c>
      <c r="G244" s="546">
        <f>'Assumptions &amp; Takeoffs'!E13</f>
        <v>316370.92</v>
      </c>
      <c r="H244" s="570">
        <v>9</v>
      </c>
      <c r="I244" s="556">
        <v>0</v>
      </c>
      <c r="J244" s="565">
        <f t="shared" si="37"/>
        <v>9</v>
      </c>
      <c r="K244" s="555">
        <f t="shared" si="38"/>
        <v>2847338.28</v>
      </c>
      <c r="M244" s="500" t="s">
        <v>668</v>
      </c>
      <c r="N244" s="500"/>
      <c r="O244" s="500"/>
      <c r="P244" s="500"/>
      <c r="Q244" s="500"/>
      <c r="R244" s="500"/>
      <c r="S244" s="500"/>
      <c r="T244" s="500"/>
      <c r="U244" s="500"/>
      <c r="V244" s="490"/>
    </row>
    <row r="245" spans="1:22" hidden="1" outlineLevel="1">
      <c r="A245" s="552" t="s">
        <v>669</v>
      </c>
      <c r="B245" s="553" t="s">
        <v>667</v>
      </c>
      <c r="C245" s="553" t="s">
        <v>70</v>
      </c>
      <c r="D245" s="553" t="s">
        <v>75</v>
      </c>
      <c r="E245" s="553" t="s">
        <v>87</v>
      </c>
      <c r="F245" s="553"/>
      <c r="G245" s="554"/>
      <c r="H245" s="565"/>
      <c r="I245" s="556">
        <v>0</v>
      </c>
      <c r="J245" s="565">
        <f t="shared" si="37"/>
        <v>0</v>
      </c>
      <c r="K245" s="555">
        <f t="shared" si="38"/>
        <v>0</v>
      </c>
      <c r="M245" s="500"/>
      <c r="N245" s="500"/>
      <c r="O245" s="500"/>
      <c r="P245" s="500"/>
      <c r="Q245" s="500"/>
      <c r="R245" s="500"/>
      <c r="S245" s="500"/>
      <c r="T245" s="500"/>
      <c r="U245" s="500"/>
      <c r="V245" s="490"/>
    </row>
    <row r="246" spans="1:22" hidden="1" outlineLevel="1">
      <c r="A246" s="552" t="s">
        <v>670</v>
      </c>
      <c r="B246" s="553" t="s">
        <v>671</v>
      </c>
      <c r="C246" s="553" t="s">
        <v>70</v>
      </c>
      <c r="D246" s="553" t="s">
        <v>75</v>
      </c>
      <c r="E246" s="553" t="s">
        <v>87</v>
      </c>
      <c r="F246" s="553"/>
      <c r="G246" s="554"/>
      <c r="H246" s="555"/>
      <c r="I246" s="556">
        <v>0</v>
      </c>
      <c r="J246" s="555">
        <f t="shared" si="37"/>
        <v>0</v>
      </c>
      <c r="K246" s="555">
        <f t="shared" si="38"/>
        <v>0</v>
      </c>
      <c r="M246" s="500"/>
      <c r="N246" s="500"/>
      <c r="O246" s="500"/>
      <c r="P246" s="500"/>
      <c r="Q246" s="500"/>
      <c r="R246" s="500"/>
      <c r="S246" s="500"/>
      <c r="T246" s="500"/>
      <c r="U246" s="500"/>
      <c r="V246" s="490"/>
    </row>
    <row r="247" spans="1:22" hidden="1" outlineLevel="1">
      <c r="A247" s="552" t="s">
        <v>672</v>
      </c>
      <c r="B247" s="553" t="s">
        <v>610</v>
      </c>
      <c r="C247" s="553" t="s">
        <v>70</v>
      </c>
      <c r="D247" s="553" t="s">
        <v>405</v>
      </c>
      <c r="E247" s="553" t="s">
        <v>673</v>
      </c>
      <c r="F247" s="553" t="s">
        <v>83</v>
      </c>
      <c r="G247" s="554">
        <v>1</v>
      </c>
      <c r="H247" s="555">
        <v>5000</v>
      </c>
      <c r="I247" s="556">
        <v>0</v>
      </c>
      <c r="J247" s="555">
        <f t="shared" si="37"/>
        <v>5000</v>
      </c>
      <c r="K247" s="555">
        <f t="shared" si="38"/>
        <v>5000</v>
      </c>
      <c r="M247" s="500"/>
      <c r="N247" s="500"/>
      <c r="O247" s="500"/>
      <c r="P247" s="500"/>
      <c r="Q247" s="500"/>
      <c r="R247" s="500"/>
      <c r="S247" s="500"/>
      <c r="T247" s="500"/>
      <c r="U247" s="500"/>
      <c r="V247" s="490"/>
    </row>
    <row r="248" spans="1:22" hidden="1" outlineLevel="1">
      <c r="A248" s="552" t="s">
        <v>674</v>
      </c>
      <c r="B248" s="553" t="s">
        <v>613</v>
      </c>
      <c r="C248" s="553" t="s">
        <v>70</v>
      </c>
      <c r="D248" s="553" t="s">
        <v>405</v>
      </c>
      <c r="E248" s="553" t="s">
        <v>131</v>
      </c>
      <c r="F248" s="553" t="s">
        <v>83</v>
      </c>
      <c r="G248" s="554">
        <v>1</v>
      </c>
      <c r="H248" s="555">
        <v>341251.0625</v>
      </c>
      <c r="I248" s="556">
        <v>0</v>
      </c>
      <c r="J248" s="555">
        <f t="shared" si="37"/>
        <v>341251.0625</v>
      </c>
      <c r="K248" s="555">
        <f t="shared" si="38"/>
        <v>341251.0625</v>
      </c>
      <c r="M248" s="500" t="s">
        <v>905</v>
      </c>
      <c r="N248" s="500"/>
      <c r="O248" s="500"/>
      <c r="P248" s="500"/>
      <c r="Q248" s="500"/>
      <c r="R248" s="500"/>
      <c r="S248" s="500"/>
      <c r="T248" s="500"/>
      <c r="U248" s="500"/>
      <c r="V248" s="490"/>
    </row>
    <row r="249" spans="1:22" hidden="1" outlineLevel="1">
      <c r="A249" s="552" t="s">
        <v>675</v>
      </c>
      <c r="B249" s="553" t="s">
        <v>623</v>
      </c>
      <c r="C249" s="553" t="s">
        <v>70</v>
      </c>
      <c r="D249" s="553" t="s">
        <v>405</v>
      </c>
      <c r="E249" s="553" t="s">
        <v>886</v>
      </c>
      <c r="F249" s="553" t="s">
        <v>83</v>
      </c>
      <c r="G249" s="554">
        <v>1</v>
      </c>
      <c r="H249" s="555">
        <v>45316</v>
      </c>
      <c r="I249" s="556">
        <v>0</v>
      </c>
      <c r="J249" s="555">
        <f t="shared" si="37"/>
        <v>45316</v>
      </c>
      <c r="K249" s="555">
        <f t="shared" si="38"/>
        <v>45316</v>
      </c>
      <c r="M249" s="500" t="s">
        <v>611</v>
      </c>
      <c r="N249" s="500"/>
      <c r="O249" s="500"/>
      <c r="P249" s="500"/>
      <c r="Q249" s="500"/>
      <c r="R249" s="500"/>
      <c r="S249" s="500"/>
      <c r="T249" s="500"/>
      <c r="U249" s="500"/>
      <c r="V249" s="490"/>
    </row>
    <row r="250" spans="1:22" hidden="1" outlineLevel="1">
      <c r="A250" s="552" t="s">
        <v>676</v>
      </c>
      <c r="B250" s="553" t="s">
        <v>627</v>
      </c>
      <c r="C250" s="553" t="s">
        <v>70</v>
      </c>
      <c r="D250" s="553" t="s">
        <v>405</v>
      </c>
      <c r="E250" s="553" t="s">
        <v>886</v>
      </c>
      <c r="F250" s="553" t="s">
        <v>83</v>
      </c>
      <c r="G250" s="554">
        <v>1</v>
      </c>
      <c r="H250" s="555">
        <v>25863</v>
      </c>
      <c r="I250" s="556">
        <v>0</v>
      </c>
      <c r="J250" s="555">
        <f t="shared" si="37"/>
        <v>25863</v>
      </c>
      <c r="K250" s="555">
        <f t="shared" si="38"/>
        <v>25863</v>
      </c>
      <c r="M250" s="500" t="s">
        <v>611</v>
      </c>
      <c r="N250" s="500"/>
      <c r="O250" s="500"/>
      <c r="P250" s="500"/>
      <c r="Q250" s="500"/>
      <c r="R250" s="500"/>
      <c r="S250" s="500"/>
      <c r="T250" s="500"/>
      <c r="U250" s="500"/>
      <c r="V250" s="490"/>
    </row>
    <row r="251" spans="1:22" hidden="1" outlineLevel="1">
      <c r="A251" s="552" t="s">
        <v>677</v>
      </c>
      <c r="B251" s="553" t="s">
        <v>678</v>
      </c>
      <c r="C251" s="553" t="s">
        <v>70</v>
      </c>
      <c r="D251" s="553" t="s">
        <v>405</v>
      </c>
      <c r="E251" s="553" t="s">
        <v>131</v>
      </c>
      <c r="F251" s="553" t="s">
        <v>83</v>
      </c>
      <c r="G251" s="554">
        <v>1</v>
      </c>
      <c r="H251" s="555">
        <v>0</v>
      </c>
      <c r="I251" s="556">
        <v>0</v>
      </c>
      <c r="J251" s="551">
        <f t="shared" si="37"/>
        <v>0</v>
      </c>
      <c r="K251" s="309">
        <f t="shared" si="38"/>
        <v>0</v>
      </c>
      <c r="M251" s="500"/>
      <c r="N251" s="500"/>
      <c r="O251" s="500"/>
      <c r="P251" s="500"/>
      <c r="Q251" s="500"/>
      <c r="R251" s="500"/>
      <c r="S251" s="500"/>
      <c r="T251" s="500"/>
      <c r="U251" s="500"/>
      <c r="V251" s="490"/>
    </row>
    <row r="252" spans="1:22" collapsed="1">
      <c r="A252" s="537" t="s">
        <v>679</v>
      </c>
      <c r="B252" s="538" t="s">
        <v>680</v>
      </c>
      <c r="C252" s="538"/>
      <c r="D252" s="538"/>
      <c r="E252" s="538"/>
      <c r="F252" s="538"/>
      <c r="G252" s="567"/>
      <c r="H252" s="568"/>
      <c r="I252" s="540"/>
      <c r="J252" s="569"/>
      <c r="K252" s="541"/>
      <c r="L252" s="542">
        <f>SUM(K215:K251)</f>
        <v>5896648.9249999989</v>
      </c>
      <c r="M252" s="543"/>
      <c r="N252" s="543"/>
      <c r="O252" s="543"/>
      <c r="P252" s="543"/>
      <c r="Q252" s="543"/>
      <c r="R252" s="543"/>
      <c r="S252" s="543"/>
      <c r="T252" s="543"/>
      <c r="U252" s="543"/>
      <c r="V252" s="490"/>
    </row>
    <row r="253" spans="1:22" hidden="1" outlineLevel="1">
      <c r="A253" s="552" t="s">
        <v>238</v>
      </c>
      <c r="B253" s="553" t="s">
        <v>681</v>
      </c>
      <c r="C253" s="553" t="s">
        <v>144</v>
      </c>
      <c r="D253" s="553"/>
      <c r="E253" s="553" t="s">
        <v>76</v>
      </c>
      <c r="F253" s="553" t="s">
        <v>344</v>
      </c>
      <c r="G253" s="554">
        <f>$N$9</f>
        <v>363</v>
      </c>
      <c r="H253" s="555">
        <v>375</v>
      </c>
      <c r="I253" s="556">
        <v>0</v>
      </c>
      <c r="J253" s="551">
        <f t="shared" ref="J253:J268" si="40">H253*(1+I253)</f>
        <v>375</v>
      </c>
      <c r="K253" s="309">
        <f t="shared" ref="K253:K268" si="41">J253*G253</f>
        <v>136125</v>
      </c>
      <c r="M253" s="549"/>
      <c r="N253" s="549"/>
      <c r="O253" s="549"/>
      <c r="P253" s="549"/>
      <c r="Q253" s="549"/>
      <c r="R253" s="549"/>
      <c r="S253" s="549"/>
      <c r="T253" s="549"/>
      <c r="U253" s="549"/>
      <c r="V253" s="490"/>
    </row>
    <row r="254" spans="1:22" hidden="1" outlineLevel="1">
      <c r="A254" s="574" t="s">
        <v>682</v>
      </c>
      <c r="B254" s="553" t="s">
        <v>683</v>
      </c>
      <c r="C254" s="553" t="s">
        <v>144</v>
      </c>
      <c r="D254" s="553" t="s">
        <v>405</v>
      </c>
      <c r="E254" s="553" t="s">
        <v>76</v>
      </c>
      <c r="F254" s="553" t="s">
        <v>83</v>
      </c>
      <c r="G254" s="554">
        <v>1</v>
      </c>
      <c r="H254" s="555">
        <v>10000</v>
      </c>
      <c r="I254" s="556">
        <v>0</v>
      </c>
      <c r="J254" s="555">
        <f t="shared" si="40"/>
        <v>10000</v>
      </c>
      <c r="K254" s="555">
        <f t="shared" si="41"/>
        <v>10000</v>
      </c>
      <c r="M254" s="500"/>
      <c r="N254" s="500"/>
      <c r="O254" s="500"/>
      <c r="P254" s="500"/>
      <c r="Q254" s="500"/>
      <c r="R254" s="500"/>
      <c r="S254" s="500"/>
      <c r="T254" s="500"/>
      <c r="U254" s="500"/>
      <c r="V254" s="490"/>
    </row>
    <row r="255" spans="1:22" hidden="1" outlineLevel="1">
      <c r="A255" s="574" t="s">
        <v>684</v>
      </c>
      <c r="B255" s="553" t="s">
        <v>683</v>
      </c>
      <c r="C255" s="553" t="s">
        <v>70</v>
      </c>
      <c r="D255" s="553" t="s">
        <v>75</v>
      </c>
      <c r="E255" s="553" t="s">
        <v>131</v>
      </c>
      <c r="F255" s="553" t="s">
        <v>83</v>
      </c>
      <c r="G255" s="554">
        <v>1</v>
      </c>
      <c r="H255" s="555">
        <v>1292500.98</v>
      </c>
      <c r="I255" s="556">
        <v>0</v>
      </c>
      <c r="J255" s="555">
        <f t="shared" si="40"/>
        <v>1292500.98</v>
      </c>
      <c r="K255" s="555">
        <f t="shared" si="41"/>
        <v>1292500.98</v>
      </c>
      <c r="M255" s="500"/>
      <c r="N255" s="500"/>
      <c r="O255" s="500"/>
      <c r="P255" s="500"/>
      <c r="Q255" s="500"/>
      <c r="R255" s="500"/>
      <c r="S255" s="500"/>
      <c r="T255" s="500"/>
      <c r="U255" s="500"/>
      <c r="V255" s="490"/>
    </row>
    <row r="256" spans="1:22" hidden="1" outlineLevel="1">
      <c r="A256" s="574" t="s">
        <v>686</v>
      </c>
      <c r="B256" s="553" t="s">
        <v>687</v>
      </c>
      <c r="C256" s="553" t="s">
        <v>70</v>
      </c>
      <c r="D256" s="553" t="s">
        <v>75</v>
      </c>
      <c r="E256" s="553" t="s">
        <v>131</v>
      </c>
      <c r="F256" s="553" t="s">
        <v>83</v>
      </c>
      <c r="G256" s="554">
        <v>1</v>
      </c>
      <c r="H256" s="555">
        <v>516087</v>
      </c>
      <c r="I256" s="556">
        <v>0</v>
      </c>
      <c r="J256" s="555">
        <f t="shared" si="40"/>
        <v>516087</v>
      </c>
      <c r="K256" s="555">
        <f t="shared" si="41"/>
        <v>516087</v>
      </c>
      <c r="M256" s="500"/>
      <c r="N256" s="500"/>
      <c r="O256" s="500"/>
      <c r="P256" s="500"/>
      <c r="Q256" s="500"/>
      <c r="R256" s="500"/>
      <c r="S256" s="500"/>
      <c r="T256" s="500"/>
      <c r="U256" s="500"/>
      <c r="V256" s="490"/>
    </row>
    <row r="257" spans="1:22" hidden="1" outlineLevel="1">
      <c r="A257" s="574" t="s">
        <v>688</v>
      </c>
      <c r="B257" s="553" t="s">
        <v>689</v>
      </c>
      <c r="C257" s="553" t="s">
        <v>70</v>
      </c>
      <c r="D257" s="553" t="s">
        <v>75</v>
      </c>
      <c r="E257" s="553" t="s">
        <v>76</v>
      </c>
      <c r="F257" s="553" t="s">
        <v>83</v>
      </c>
      <c r="G257" s="554">
        <v>1</v>
      </c>
      <c r="H257" s="555">
        <v>25000</v>
      </c>
      <c r="I257" s="556">
        <v>0</v>
      </c>
      <c r="J257" s="555">
        <f t="shared" si="40"/>
        <v>25000</v>
      </c>
      <c r="K257" s="555">
        <f t="shared" si="41"/>
        <v>25000</v>
      </c>
      <c r="M257" s="500"/>
      <c r="N257" s="500"/>
      <c r="O257" s="500"/>
      <c r="P257" s="500"/>
      <c r="Q257" s="500"/>
      <c r="R257" s="500"/>
      <c r="S257" s="500"/>
      <c r="T257" s="500"/>
      <c r="U257" s="500"/>
      <c r="V257" s="490"/>
    </row>
    <row r="258" spans="1:22" hidden="1" outlineLevel="1">
      <c r="A258" s="574" t="s">
        <v>690</v>
      </c>
      <c r="B258" s="553" t="s">
        <v>691</v>
      </c>
      <c r="C258" s="553" t="s">
        <v>144</v>
      </c>
      <c r="D258" s="553"/>
      <c r="E258" s="553" t="s">
        <v>76</v>
      </c>
      <c r="F258" s="553" t="s">
        <v>83</v>
      </c>
      <c r="G258" s="554">
        <v>1</v>
      </c>
      <c r="H258" s="555">
        <v>5000</v>
      </c>
      <c r="I258" s="556">
        <v>0</v>
      </c>
      <c r="J258" s="555">
        <f t="shared" si="40"/>
        <v>5000</v>
      </c>
      <c r="K258" s="555">
        <f t="shared" si="41"/>
        <v>5000</v>
      </c>
      <c r="M258" s="500"/>
      <c r="N258" s="500"/>
      <c r="O258" s="500"/>
      <c r="P258" s="500"/>
      <c r="Q258" s="500"/>
      <c r="R258" s="500"/>
      <c r="S258" s="500"/>
      <c r="T258" s="500"/>
      <c r="U258" s="500"/>
      <c r="V258" s="490"/>
    </row>
    <row r="259" spans="1:22" hidden="1" outlineLevel="1">
      <c r="A259" s="574" t="s">
        <v>692</v>
      </c>
      <c r="B259" s="553" t="s">
        <v>693</v>
      </c>
      <c r="C259" s="553" t="s">
        <v>70</v>
      </c>
      <c r="D259" s="553" t="s">
        <v>405</v>
      </c>
      <c r="E259" s="553" t="s">
        <v>131</v>
      </c>
      <c r="F259" s="553" t="s">
        <v>83</v>
      </c>
      <c r="G259" s="554">
        <v>1</v>
      </c>
      <c r="H259" s="555">
        <v>0</v>
      </c>
      <c r="I259" s="556">
        <v>0.15</v>
      </c>
      <c r="J259" s="555">
        <f t="shared" si="40"/>
        <v>0</v>
      </c>
      <c r="K259" s="555">
        <f t="shared" si="41"/>
        <v>0</v>
      </c>
      <c r="M259" s="500"/>
      <c r="N259" s="500"/>
      <c r="O259" s="500"/>
      <c r="P259" s="500"/>
      <c r="Q259" s="500"/>
      <c r="R259" s="500"/>
      <c r="S259" s="500"/>
      <c r="T259" s="500"/>
      <c r="U259" s="500"/>
      <c r="V259" s="490"/>
    </row>
    <row r="260" spans="1:22" hidden="1" outlineLevel="1">
      <c r="A260" s="552" t="s">
        <v>694</v>
      </c>
      <c r="B260" s="553" t="s">
        <v>695</v>
      </c>
      <c r="C260" s="553" t="s">
        <v>70</v>
      </c>
      <c r="D260" s="553"/>
      <c r="E260" s="553" t="s">
        <v>131</v>
      </c>
      <c r="F260" s="553" t="s">
        <v>83</v>
      </c>
      <c r="G260" s="554">
        <v>1</v>
      </c>
      <c r="H260" s="555">
        <v>350575.2</v>
      </c>
      <c r="I260" s="556">
        <v>0</v>
      </c>
      <c r="J260" s="555">
        <f t="shared" si="40"/>
        <v>350575.2</v>
      </c>
      <c r="K260" s="555">
        <f t="shared" si="41"/>
        <v>350575.2</v>
      </c>
      <c r="M260" s="500"/>
      <c r="N260" s="500"/>
      <c r="O260" s="500"/>
      <c r="P260" s="500"/>
      <c r="Q260" s="500"/>
      <c r="R260" s="500"/>
      <c r="S260" s="500"/>
      <c r="T260" s="500"/>
      <c r="U260" s="500"/>
      <c r="V260" s="490"/>
    </row>
    <row r="261" spans="1:22" hidden="1" outlineLevel="1">
      <c r="A261" s="552" t="s">
        <v>696</v>
      </c>
      <c r="B261" s="553" t="s">
        <v>697</v>
      </c>
      <c r="C261" s="553" t="s">
        <v>144</v>
      </c>
      <c r="D261" s="553"/>
      <c r="E261" s="553" t="s">
        <v>76</v>
      </c>
      <c r="F261" s="553" t="s">
        <v>83</v>
      </c>
      <c r="G261" s="554">
        <v>1</v>
      </c>
      <c r="H261" s="555">
        <v>25000</v>
      </c>
      <c r="I261" s="556">
        <v>0</v>
      </c>
      <c r="J261" s="555">
        <f t="shared" si="40"/>
        <v>25000</v>
      </c>
      <c r="K261" s="555">
        <f t="shared" si="41"/>
        <v>25000</v>
      </c>
      <c r="M261" s="500"/>
      <c r="N261" s="500"/>
      <c r="O261" s="500"/>
      <c r="P261" s="500"/>
      <c r="Q261" s="500"/>
      <c r="R261" s="500"/>
      <c r="S261" s="500"/>
      <c r="T261" s="500"/>
      <c r="U261" s="500"/>
      <c r="V261" s="490"/>
    </row>
    <row r="262" spans="1:22" hidden="1" outlineLevel="1">
      <c r="A262" s="552" t="s">
        <v>698</v>
      </c>
      <c r="B262" s="553" t="s">
        <v>699</v>
      </c>
      <c r="C262" s="553" t="s">
        <v>70</v>
      </c>
      <c r="D262" s="553"/>
      <c r="E262" s="553" t="s">
        <v>76</v>
      </c>
      <c r="F262" s="553" t="s">
        <v>83</v>
      </c>
      <c r="G262" s="554">
        <v>1</v>
      </c>
      <c r="H262" s="555">
        <v>15600</v>
      </c>
      <c r="I262" s="556">
        <v>0</v>
      </c>
      <c r="J262" s="555">
        <f t="shared" si="40"/>
        <v>15600</v>
      </c>
      <c r="K262" s="555">
        <f t="shared" si="41"/>
        <v>15600</v>
      </c>
      <c r="M262" s="500"/>
      <c r="N262" s="500"/>
      <c r="O262" s="500"/>
      <c r="P262" s="500"/>
      <c r="Q262" s="500"/>
      <c r="R262" s="500"/>
      <c r="S262" s="500"/>
      <c r="T262" s="500"/>
      <c r="U262" s="500"/>
      <c r="V262" s="490"/>
    </row>
    <row r="263" spans="1:22" hidden="1" outlineLevel="1">
      <c r="A263" s="552" t="s">
        <v>700</v>
      </c>
      <c r="B263" s="553" t="s">
        <v>701</v>
      </c>
      <c r="C263" s="553" t="s">
        <v>70</v>
      </c>
      <c r="D263" s="553"/>
      <c r="E263" s="553" t="s">
        <v>87</v>
      </c>
      <c r="F263" s="553"/>
      <c r="G263" s="554"/>
      <c r="H263" s="555"/>
      <c r="I263" s="556">
        <v>0</v>
      </c>
      <c r="J263" s="555">
        <f t="shared" si="40"/>
        <v>0</v>
      </c>
      <c r="K263" s="555">
        <f t="shared" si="41"/>
        <v>0</v>
      </c>
      <c r="M263" s="500"/>
      <c r="N263" s="500"/>
      <c r="O263" s="500"/>
      <c r="P263" s="500"/>
      <c r="Q263" s="500"/>
      <c r="R263" s="500"/>
      <c r="S263" s="500"/>
      <c r="T263" s="500"/>
      <c r="U263" s="500"/>
      <c r="V263" s="490"/>
    </row>
    <row r="264" spans="1:22" hidden="1" outlineLevel="1">
      <c r="A264" s="552" t="s">
        <v>702</v>
      </c>
      <c r="B264" s="553" t="s">
        <v>703</v>
      </c>
      <c r="C264" s="553" t="s">
        <v>70</v>
      </c>
      <c r="D264" s="553"/>
      <c r="E264" s="553" t="s">
        <v>87</v>
      </c>
      <c r="F264" s="553"/>
      <c r="G264" s="554"/>
      <c r="H264" s="555"/>
      <c r="I264" s="556">
        <v>0</v>
      </c>
      <c r="J264" s="555">
        <f t="shared" si="40"/>
        <v>0</v>
      </c>
      <c r="K264" s="555">
        <f t="shared" si="41"/>
        <v>0</v>
      </c>
      <c r="M264" s="500"/>
      <c r="N264" s="500"/>
      <c r="O264" s="500"/>
      <c r="P264" s="500"/>
      <c r="Q264" s="500"/>
      <c r="R264" s="500"/>
      <c r="S264" s="500"/>
      <c r="T264" s="500"/>
      <c r="U264" s="500"/>
      <c r="V264" s="490"/>
    </row>
    <row r="265" spans="1:22" hidden="1" outlineLevel="1">
      <c r="A265" s="552" t="s">
        <v>704</v>
      </c>
      <c r="B265" s="553" t="s">
        <v>683</v>
      </c>
      <c r="C265" s="553" t="s">
        <v>70</v>
      </c>
      <c r="D265" s="553" t="s">
        <v>405</v>
      </c>
      <c r="E265" s="553" t="s">
        <v>131</v>
      </c>
      <c r="F265" s="553" t="s">
        <v>83</v>
      </c>
      <c r="G265" s="554">
        <v>1</v>
      </c>
      <c r="H265" s="555">
        <v>387993.65</v>
      </c>
      <c r="I265" s="556">
        <v>0</v>
      </c>
      <c r="J265" s="555">
        <f t="shared" si="40"/>
        <v>387993.65</v>
      </c>
      <c r="K265" s="555">
        <f t="shared" si="41"/>
        <v>387993.65</v>
      </c>
      <c r="M265" s="500" t="s">
        <v>906</v>
      </c>
      <c r="N265" s="500"/>
      <c r="O265" s="500"/>
      <c r="P265" s="500"/>
      <c r="Q265" s="500"/>
      <c r="R265" s="500"/>
      <c r="S265" s="500"/>
      <c r="T265" s="500"/>
      <c r="U265" s="500"/>
      <c r="V265" s="490"/>
    </row>
    <row r="266" spans="1:22" hidden="1" outlineLevel="1">
      <c r="A266" s="552" t="s">
        <v>705</v>
      </c>
      <c r="B266" s="553" t="s">
        <v>687</v>
      </c>
      <c r="C266" s="553" t="s">
        <v>70</v>
      </c>
      <c r="D266" s="553" t="s">
        <v>405</v>
      </c>
      <c r="E266" s="553" t="s">
        <v>769</v>
      </c>
      <c r="F266" s="553" t="s">
        <v>83</v>
      </c>
      <c r="G266" s="554">
        <v>1</v>
      </c>
      <c r="H266" s="555">
        <v>91720</v>
      </c>
      <c r="I266" s="556">
        <v>0</v>
      </c>
      <c r="J266" s="555">
        <f t="shared" si="40"/>
        <v>91720</v>
      </c>
      <c r="K266" s="555">
        <f t="shared" si="41"/>
        <v>91720</v>
      </c>
      <c r="M266" s="500" t="s">
        <v>907</v>
      </c>
      <c r="N266" s="500"/>
      <c r="O266" s="500"/>
      <c r="P266" s="500"/>
      <c r="Q266" s="500"/>
      <c r="R266" s="500"/>
      <c r="S266" s="500"/>
      <c r="T266" s="500"/>
      <c r="U266" s="500"/>
      <c r="V266" s="490"/>
    </row>
    <row r="267" spans="1:22" hidden="1" outlineLevel="1">
      <c r="A267" s="552" t="s">
        <v>706</v>
      </c>
      <c r="B267" s="553" t="s">
        <v>689</v>
      </c>
      <c r="C267" s="553" t="s">
        <v>70</v>
      </c>
      <c r="D267" s="553" t="s">
        <v>405</v>
      </c>
      <c r="E267" s="553" t="s">
        <v>76</v>
      </c>
      <c r="F267" s="553" t="s">
        <v>83</v>
      </c>
      <c r="G267" s="554">
        <v>1</v>
      </c>
      <c r="H267" s="555">
        <v>25000</v>
      </c>
      <c r="I267" s="556">
        <v>0</v>
      </c>
      <c r="J267" s="555">
        <f t="shared" si="40"/>
        <v>25000</v>
      </c>
      <c r="K267" s="555">
        <f t="shared" si="41"/>
        <v>25000</v>
      </c>
      <c r="M267" s="500"/>
      <c r="N267" s="500"/>
      <c r="O267" s="500"/>
      <c r="P267" s="500"/>
      <c r="Q267" s="500"/>
      <c r="R267" s="500"/>
      <c r="S267" s="500"/>
      <c r="T267" s="500"/>
      <c r="U267" s="500"/>
      <c r="V267" s="490"/>
    </row>
    <row r="268" spans="1:22" hidden="1" outlineLevel="1">
      <c r="A268" s="552" t="s">
        <v>707</v>
      </c>
      <c r="B268" s="553" t="s">
        <v>695</v>
      </c>
      <c r="C268" s="553" t="s">
        <v>70</v>
      </c>
      <c r="D268" s="553" t="s">
        <v>405</v>
      </c>
      <c r="E268" s="553" t="s">
        <v>131</v>
      </c>
      <c r="F268" s="553" t="s">
        <v>83</v>
      </c>
      <c r="G268" s="554">
        <v>1</v>
      </c>
      <c r="H268" s="555">
        <v>61000</v>
      </c>
      <c r="I268" s="556">
        <v>0</v>
      </c>
      <c r="J268" s="551">
        <f t="shared" si="40"/>
        <v>61000</v>
      </c>
      <c r="K268" s="309">
        <f t="shared" si="41"/>
        <v>61000</v>
      </c>
      <c r="M268" s="500"/>
      <c r="N268" s="500"/>
      <c r="O268" s="500"/>
      <c r="P268" s="500"/>
      <c r="Q268" s="500"/>
      <c r="R268" s="500"/>
      <c r="S268" s="500"/>
      <c r="T268" s="500"/>
      <c r="U268" s="500"/>
      <c r="V268" s="490"/>
    </row>
    <row r="269" spans="1:22" collapsed="1">
      <c r="A269" s="537" t="s">
        <v>708</v>
      </c>
      <c r="B269" s="538" t="s">
        <v>709</v>
      </c>
      <c r="C269" s="538"/>
      <c r="D269" s="538"/>
      <c r="E269" s="538"/>
      <c r="F269" s="538"/>
      <c r="G269" s="567"/>
      <c r="H269" s="568"/>
      <c r="I269" s="540"/>
      <c r="J269" s="569"/>
      <c r="K269" s="541"/>
      <c r="L269" s="542">
        <f>SUM(K253:K268)</f>
        <v>2941601.83</v>
      </c>
      <c r="M269" s="543"/>
      <c r="N269" s="543"/>
      <c r="O269" s="543"/>
      <c r="P269" s="543"/>
      <c r="Q269" s="543"/>
      <c r="R269" s="543"/>
      <c r="S269" s="543"/>
      <c r="T269" s="543"/>
      <c r="U269" s="543"/>
      <c r="V269" s="490"/>
    </row>
    <row r="270" spans="1:22" hidden="1" outlineLevel="1">
      <c r="A270" s="552" t="s">
        <v>710</v>
      </c>
      <c r="B270" s="553"/>
      <c r="C270" s="553"/>
      <c r="D270" s="553" t="s">
        <v>75</v>
      </c>
      <c r="E270" s="553" t="s">
        <v>76</v>
      </c>
      <c r="F270" s="553" t="s">
        <v>83</v>
      </c>
      <c r="G270" s="554">
        <v>2</v>
      </c>
      <c r="H270" s="555">
        <v>594250</v>
      </c>
      <c r="I270" s="556">
        <v>0</v>
      </c>
      <c r="J270" s="551">
        <f t="shared" ref="J270:J271" si="42">H270*(1+I270)</f>
        <v>594250</v>
      </c>
      <c r="K270" s="309">
        <f t="shared" ref="K270:K271" si="43">J270*G270</f>
        <v>1188500</v>
      </c>
      <c r="M270" s="549" t="s">
        <v>711</v>
      </c>
      <c r="N270" s="549"/>
      <c r="O270" s="549"/>
      <c r="P270" s="549"/>
      <c r="Q270" s="549"/>
      <c r="R270" s="549"/>
      <c r="S270" s="549"/>
      <c r="T270" s="549"/>
      <c r="U270" s="549"/>
      <c r="V270" s="490"/>
    </row>
    <row r="271" spans="1:22" hidden="1" outlineLevel="1">
      <c r="A271" s="552" t="s">
        <v>712</v>
      </c>
      <c r="B271" s="553"/>
      <c r="C271" s="553"/>
      <c r="D271" s="553" t="s">
        <v>75</v>
      </c>
      <c r="E271" s="553" t="s">
        <v>76</v>
      </c>
      <c r="F271" s="553" t="s">
        <v>83</v>
      </c>
      <c r="G271" s="554">
        <v>1</v>
      </c>
      <c r="H271" s="555">
        <v>300000</v>
      </c>
      <c r="I271" s="556">
        <v>0</v>
      </c>
      <c r="J271" s="551">
        <f t="shared" si="42"/>
        <v>300000</v>
      </c>
      <c r="K271" s="309">
        <f t="shared" si="43"/>
        <v>300000</v>
      </c>
      <c r="M271" s="500" t="s">
        <v>713</v>
      </c>
      <c r="N271" s="500"/>
      <c r="O271" s="500"/>
      <c r="P271" s="500"/>
      <c r="Q271" s="500"/>
      <c r="R271" s="500"/>
      <c r="S271" s="500"/>
      <c r="T271" s="500"/>
      <c r="U271" s="500"/>
      <c r="V271" s="490"/>
    </row>
    <row r="272" spans="1:22" collapsed="1">
      <c r="A272" s="537" t="s">
        <v>714</v>
      </c>
      <c r="B272" s="538" t="s">
        <v>709</v>
      </c>
      <c r="C272" s="538"/>
      <c r="D272" s="538"/>
      <c r="E272" s="538"/>
      <c r="F272" s="538"/>
      <c r="G272" s="567"/>
      <c r="H272" s="568"/>
      <c r="I272" s="540"/>
      <c r="J272" s="569"/>
      <c r="K272" s="541"/>
      <c r="L272" s="542">
        <f>SUM(K270:K271)</f>
        <v>1488500</v>
      </c>
      <c r="M272" s="543"/>
      <c r="N272" s="543"/>
      <c r="O272" s="543"/>
      <c r="P272" s="543"/>
      <c r="Q272" s="543"/>
      <c r="R272" s="543"/>
      <c r="S272" s="543"/>
      <c r="T272" s="543"/>
      <c r="U272" s="543"/>
      <c r="V272" s="490"/>
    </row>
    <row r="273" spans="1:22" hidden="1" outlineLevel="1">
      <c r="A273" s="552" t="s">
        <v>715</v>
      </c>
      <c r="B273" s="553" t="s">
        <v>716</v>
      </c>
      <c r="C273" s="553" t="s">
        <v>144</v>
      </c>
      <c r="D273" s="553" t="s">
        <v>405</v>
      </c>
      <c r="E273" s="553" t="s">
        <v>76</v>
      </c>
      <c r="F273" s="553" t="s">
        <v>83</v>
      </c>
      <c r="G273" s="554">
        <v>1</v>
      </c>
      <c r="H273" s="555">
        <v>7500</v>
      </c>
      <c r="I273" s="556">
        <v>0</v>
      </c>
      <c r="J273" s="551">
        <f t="shared" ref="J273" si="44">H273*(1+I273)</f>
        <v>7500</v>
      </c>
      <c r="K273" s="309">
        <f>J273*G273</f>
        <v>7500</v>
      </c>
      <c r="M273" s="549"/>
      <c r="N273" s="549"/>
      <c r="O273" s="549"/>
      <c r="P273" s="549"/>
      <c r="Q273" s="549"/>
      <c r="R273" s="549"/>
      <c r="S273" s="549"/>
      <c r="T273" s="549"/>
      <c r="U273" s="549"/>
      <c r="V273" s="490"/>
    </row>
    <row r="274" spans="1:22" collapsed="1">
      <c r="A274" s="537" t="s">
        <v>717</v>
      </c>
      <c r="B274" s="538" t="s">
        <v>718</v>
      </c>
      <c r="C274" s="538"/>
      <c r="D274" s="538"/>
      <c r="E274" s="538"/>
      <c r="F274" s="538"/>
      <c r="G274" s="567"/>
      <c r="H274" s="568"/>
      <c r="I274" s="540"/>
      <c r="J274" s="569"/>
      <c r="K274" s="541"/>
      <c r="L274" s="542">
        <f>SUM(K273)</f>
        <v>7500</v>
      </c>
      <c r="M274" s="543"/>
      <c r="N274" s="543"/>
      <c r="O274" s="543"/>
      <c r="P274" s="543"/>
      <c r="Q274" s="543"/>
      <c r="R274" s="543"/>
      <c r="S274" s="543"/>
      <c r="T274" s="543"/>
      <c r="U274" s="543"/>
      <c r="V274" s="490"/>
    </row>
    <row r="275" spans="1:22" hidden="1" outlineLevel="1">
      <c r="A275" s="544" t="s">
        <v>719</v>
      </c>
      <c r="B275" s="545" t="s">
        <v>720</v>
      </c>
      <c r="C275" s="545" t="s">
        <v>70</v>
      </c>
      <c r="D275" s="545"/>
      <c r="E275" s="545" t="s">
        <v>76</v>
      </c>
      <c r="F275" s="545" t="s">
        <v>83</v>
      </c>
      <c r="G275" s="546">
        <v>1</v>
      </c>
      <c r="H275" s="547">
        <v>977434</v>
      </c>
      <c r="I275" s="548">
        <v>0</v>
      </c>
      <c r="J275" s="309">
        <f t="shared" ref="J275:J277" si="45">H275*(1+I275)</f>
        <v>977434</v>
      </c>
      <c r="K275" s="309">
        <f>J275*G275</f>
        <v>977434</v>
      </c>
      <c r="M275" s="549" t="s">
        <v>721</v>
      </c>
      <c r="N275" s="549"/>
      <c r="O275" s="549"/>
      <c r="P275" s="549"/>
      <c r="Q275" s="549"/>
      <c r="R275" s="549"/>
      <c r="S275" s="549"/>
      <c r="T275" s="549"/>
      <c r="U275" s="549"/>
      <c r="V275" s="490"/>
    </row>
    <row r="276" spans="1:22" hidden="1" outlineLevel="1">
      <c r="A276" s="552" t="s">
        <v>722</v>
      </c>
      <c r="B276" s="553" t="s">
        <v>723</v>
      </c>
      <c r="C276" s="553" t="s">
        <v>144</v>
      </c>
      <c r="D276" s="553"/>
      <c r="E276" s="553" t="s">
        <v>76</v>
      </c>
      <c r="F276" s="553" t="s">
        <v>83</v>
      </c>
      <c r="G276" s="554">
        <v>1</v>
      </c>
      <c r="H276" s="555">
        <v>50000</v>
      </c>
      <c r="I276" s="556">
        <v>0</v>
      </c>
      <c r="J276" s="555">
        <f t="shared" si="45"/>
        <v>50000</v>
      </c>
      <c r="K276" s="555">
        <f>J276*G276</f>
        <v>50000</v>
      </c>
      <c r="M276" s="500" t="s">
        <v>721</v>
      </c>
      <c r="N276" s="500"/>
      <c r="O276" s="500"/>
      <c r="P276" s="500"/>
      <c r="Q276" s="500"/>
      <c r="R276" s="500"/>
      <c r="S276" s="500"/>
      <c r="T276" s="500"/>
      <c r="U276" s="500"/>
      <c r="V276" s="490"/>
    </row>
    <row r="277" spans="1:22" hidden="1" outlineLevel="1">
      <c r="A277" s="552" t="s">
        <v>724</v>
      </c>
      <c r="B277" s="553" t="s">
        <v>725</v>
      </c>
      <c r="C277" s="553" t="s">
        <v>144</v>
      </c>
      <c r="D277" s="553"/>
      <c r="E277" s="553" t="s">
        <v>76</v>
      </c>
      <c r="F277" s="553" t="s">
        <v>83</v>
      </c>
      <c r="G277" s="554">
        <v>1</v>
      </c>
      <c r="H277" s="555">
        <v>50000</v>
      </c>
      <c r="I277" s="556">
        <v>0</v>
      </c>
      <c r="J277" s="551">
        <f t="shared" si="45"/>
        <v>50000</v>
      </c>
      <c r="K277" s="309">
        <f>J277*G277</f>
        <v>50000</v>
      </c>
      <c r="M277" s="500" t="s">
        <v>721</v>
      </c>
      <c r="N277" s="500"/>
      <c r="O277" s="500"/>
      <c r="P277" s="500"/>
      <c r="Q277" s="500"/>
      <c r="R277" s="500"/>
      <c r="S277" s="500"/>
      <c r="T277" s="500"/>
      <c r="U277" s="500"/>
      <c r="V277" s="490"/>
    </row>
    <row r="278" spans="1:22" collapsed="1">
      <c r="A278" s="537" t="s">
        <v>726</v>
      </c>
      <c r="B278" s="538" t="s">
        <v>727</v>
      </c>
      <c r="C278" s="538"/>
      <c r="D278" s="538"/>
      <c r="E278" s="538"/>
      <c r="F278" s="538"/>
      <c r="G278" s="567"/>
      <c r="H278" s="568"/>
      <c r="I278" s="540"/>
      <c r="J278" s="569"/>
      <c r="K278" s="541"/>
      <c r="L278" s="542">
        <f>SUM(K275:K277)</f>
        <v>1077434</v>
      </c>
      <c r="M278" s="543"/>
      <c r="N278" s="543"/>
      <c r="O278" s="543"/>
      <c r="P278" s="543"/>
      <c r="Q278" s="543"/>
      <c r="R278" s="543"/>
      <c r="S278" s="543"/>
      <c r="T278" s="543"/>
      <c r="U278" s="543"/>
      <c r="V278" s="490"/>
    </row>
    <row r="279" spans="1:22" hidden="1" outlineLevel="1">
      <c r="A279" s="552" t="s">
        <v>728</v>
      </c>
      <c r="B279" s="553" t="s">
        <v>729</v>
      </c>
      <c r="C279" s="553" t="s">
        <v>70</v>
      </c>
      <c r="D279" s="553"/>
      <c r="E279" s="545" t="s">
        <v>329</v>
      </c>
      <c r="F279" s="553" t="s">
        <v>83</v>
      </c>
      <c r="G279" s="601">
        <f>$B$9</f>
        <v>17.350000000000001</v>
      </c>
      <c r="H279" s="555">
        <v>9000</v>
      </c>
      <c r="I279" s="556">
        <v>0</v>
      </c>
      <c r="J279" s="551">
        <f t="shared" ref="J279:J287" si="46">H279*(1+I279)</f>
        <v>9000</v>
      </c>
      <c r="K279" s="309">
        <f t="shared" ref="K279:K287" si="47">J279*G279</f>
        <v>156150</v>
      </c>
      <c r="M279" s="549" t="s">
        <v>730</v>
      </c>
      <c r="N279" s="549"/>
      <c r="O279" s="549"/>
      <c r="P279" s="549"/>
      <c r="Q279" s="549"/>
      <c r="R279" s="549"/>
      <c r="S279" s="549"/>
      <c r="T279" s="549"/>
      <c r="U279" s="549"/>
      <c r="V279" s="490"/>
    </row>
    <row r="280" spans="1:22" hidden="1" outlineLevel="1">
      <c r="A280" s="552" t="s">
        <v>731</v>
      </c>
      <c r="B280" s="553" t="s">
        <v>732</v>
      </c>
      <c r="C280" s="553" t="s">
        <v>70</v>
      </c>
      <c r="D280" s="553"/>
      <c r="E280" s="553" t="s">
        <v>76</v>
      </c>
      <c r="F280" s="553" t="s">
        <v>83</v>
      </c>
      <c r="G280" s="601">
        <v>1</v>
      </c>
      <c r="H280" s="555">
        <v>10000</v>
      </c>
      <c r="I280" s="556">
        <v>0</v>
      </c>
      <c r="J280" s="555">
        <f t="shared" si="46"/>
        <v>10000</v>
      </c>
      <c r="K280" s="555">
        <f t="shared" si="47"/>
        <v>10000</v>
      </c>
      <c r="M280" s="500" t="s">
        <v>730</v>
      </c>
      <c r="N280" s="500"/>
      <c r="O280" s="500"/>
      <c r="P280" s="500"/>
      <c r="Q280" s="500"/>
      <c r="R280" s="500"/>
      <c r="S280" s="500"/>
      <c r="T280" s="500"/>
      <c r="U280" s="500"/>
      <c r="V280" s="490"/>
    </row>
    <row r="281" spans="1:22" hidden="1" outlineLevel="1">
      <c r="A281" s="552" t="s">
        <v>733</v>
      </c>
      <c r="B281" s="553" t="s">
        <v>734</v>
      </c>
      <c r="C281" s="553" t="s">
        <v>70</v>
      </c>
      <c r="D281" s="553"/>
      <c r="E281" s="553" t="s">
        <v>76</v>
      </c>
      <c r="F281" s="553" t="s">
        <v>83</v>
      </c>
      <c r="G281" s="601">
        <v>1</v>
      </c>
      <c r="H281" s="555">
        <v>5000</v>
      </c>
      <c r="I281" s="556">
        <v>0</v>
      </c>
      <c r="J281" s="555">
        <f t="shared" si="46"/>
        <v>5000</v>
      </c>
      <c r="K281" s="555">
        <f t="shared" si="47"/>
        <v>5000</v>
      </c>
      <c r="M281" s="500" t="s">
        <v>730</v>
      </c>
      <c r="N281" s="500"/>
      <c r="O281" s="500"/>
      <c r="P281" s="500"/>
      <c r="Q281" s="500"/>
      <c r="R281" s="500"/>
      <c r="S281" s="500"/>
      <c r="T281" s="500"/>
      <c r="U281" s="500"/>
      <c r="V281" s="490"/>
    </row>
    <row r="282" spans="1:22" hidden="1" outlineLevel="1">
      <c r="A282" s="552" t="s">
        <v>735</v>
      </c>
      <c r="B282" s="553" t="s">
        <v>736</v>
      </c>
      <c r="C282" s="553" t="s">
        <v>70</v>
      </c>
      <c r="D282" s="553"/>
      <c r="E282" s="553" t="s">
        <v>76</v>
      </c>
      <c r="F282" s="553" t="s">
        <v>737</v>
      </c>
      <c r="G282" s="601">
        <v>3</v>
      </c>
      <c r="H282" s="555">
        <v>15000</v>
      </c>
      <c r="I282" s="556">
        <v>0</v>
      </c>
      <c r="J282" s="555">
        <f t="shared" si="46"/>
        <v>15000</v>
      </c>
      <c r="K282" s="555">
        <f t="shared" si="47"/>
        <v>45000</v>
      </c>
      <c r="M282" s="500" t="s">
        <v>730</v>
      </c>
      <c r="N282" s="500"/>
      <c r="O282" s="500"/>
      <c r="P282" s="500"/>
      <c r="Q282" s="500"/>
      <c r="R282" s="500"/>
      <c r="S282" s="500"/>
      <c r="T282" s="500"/>
      <c r="U282" s="500"/>
      <c r="V282" s="490"/>
    </row>
    <row r="283" spans="1:22" hidden="1" outlineLevel="1">
      <c r="A283" s="552" t="s">
        <v>738</v>
      </c>
      <c r="B283" s="553" t="s">
        <v>739</v>
      </c>
      <c r="C283" s="553" t="s">
        <v>70</v>
      </c>
      <c r="D283" s="553"/>
      <c r="E283" s="553" t="s">
        <v>329</v>
      </c>
      <c r="F283" s="553" t="s">
        <v>83</v>
      </c>
      <c r="G283" s="601">
        <f t="shared" ref="G283:G287" si="48">$B$9</f>
        <v>17.350000000000001</v>
      </c>
      <c r="H283" s="555">
        <v>5000</v>
      </c>
      <c r="I283" s="556">
        <v>0</v>
      </c>
      <c r="J283" s="555">
        <f t="shared" si="46"/>
        <v>5000</v>
      </c>
      <c r="K283" s="555">
        <f t="shared" si="47"/>
        <v>86750</v>
      </c>
      <c r="M283" s="500" t="s">
        <v>730</v>
      </c>
      <c r="N283" s="500"/>
      <c r="O283" s="500"/>
      <c r="P283" s="500"/>
      <c r="Q283" s="500"/>
      <c r="R283" s="500"/>
      <c r="S283" s="500"/>
      <c r="T283" s="500"/>
      <c r="U283" s="500"/>
      <c r="V283" s="490"/>
    </row>
    <row r="284" spans="1:22" hidden="1" outlineLevel="1">
      <c r="A284" s="552" t="s">
        <v>740</v>
      </c>
      <c r="B284" s="553" t="s">
        <v>741</v>
      </c>
      <c r="C284" s="553" t="s">
        <v>70</v>
      </c>
      <c r="D284" s="553"/>
      <c r="E284" s="553" t="s">
        <v>329</v>
      </c>
      <c r="F284" s="553" t="s">
        <v>83</v>
      </c>
      <c r="G284" s="601">
        <f t="shared" si="48"/>
        <v>17.350000000000001</v>
      </c>
      <c r="H284" s="555">
        <v>5000</v>
      </c>
      <c r="I284" s="556">
        <v>0</v>
      </c>
      <c r="J284" s="555">
        <f t="shared" si="46"/>
        <v>5000</v>
      </c>
      <c r="K284" s="555">
        <f t="shared" si="47"/>
        <v>86750</v>
      </c>
      <c r="M284" s="500" t="s">
        <v>730</v>
      </c>
      <c r="N284" s="500"/>
      <c r="O284" s="500"/>
      <c r="P284" s="500"/>
      <c r="Q284" s="500"/>
      <c r="R284" s="500"/>
      <c r="S284" s="500"/>
      <c r="T284" s="500"/>
      <c r="U284" s="500"/>
      <c r="V284" s="490"/>
    </row>
    <row r="285" spans="1:22" hidden="1" outlineLevel="1">
      <c r="A285" s="552" t="s">
        <v>742</v>
      </c>
      <c r="B285" s="553" t="s">
        <v>743</v>
      </c>
      <c r="C285" s="553" t="s">
        <v>70</v>
      </c>
      <c r="D285" s="553"/>
      <c r="E285" s="553" t="s">
        <v>76</v>
      </c>
      <c r="F285" s="553" t="s">
        <v>83</v>
      </c>
      <c r="G285" s="601">
        <f t="shared" si="48"/>
        <v>17.350000000000001</v>
      </c>
      <c r="H285" s="555">
        <v>2500</v>
      </c>
      <c r="I285" s="556">
        <v>0</v>
      </c>
      <c r="J285" s="555">
        <f t="shared" si="46"/>
        <v>2500</v>
      </c>
      <c r="K285" s="555">
        <f t="shared" si="47"/>
        <v>43375</v>
      </c>
      <c r="M285" s="500" t="s">
        <v>730</v>
      </c>
      <c r="N285" s="500"/>
      <c r="O285" s="500"/>
      <c r="P285" s="500"/>
      <c r="Q285" s="500"/>
      <c r="R285" s="500"/>
      <c r="S285" s="500"/>
      <c r="T285" s="500"/>
      <c r="U285" s="500"/>
      <c r="V285" s="490"/>
    </row>
    <row r="286" spans="1:22" hidden="1" outlineLevel="1">
      <c r="A286" s="552" t="s">
        <v>744</v>
      </c>
      <c r="B286" s="553" t="s">
        <v>745</v>
      </c>
      <c r="C286" s="553" t="s">
        <v>70</v>
      </c>
      <c r="D286" s="553"/>
      <c r="E286" s="553" t="s">
        <v>76</v>
      </c>
      <c r="F286" s="553" t="s">
        <v>83</v>
      </c>
      <c r="G286" s="601">
        <f t="shared" si="48"/>
        <v>17.350000000000001</v>
      </c>
      <c r="H286" s="555">
        <v>1500</v>
      </c>
      <c r="I286" s="556">
        <v>0</v>
      </c>
      <c r="J286" s="555">
        <f t="shared" si="46"/>
        <v>1500</v>
      </c>
      <c r="K286" s="555">
        <f t="shared" si="47"/>
        <v>26025.000000000004</v>
      </c>
      <c r="M286" s="500" t="s">
        <v>730</v>
      </c>
      <c r="N286" s="500"/>
      <c r="O286" s="500"/>
      <c r="P286" s="500"/>
      <c r="Q286" s="500"/>
      <c r="R286" s="500"/>
      <c r="S286" s="500"/>
      <c r="T286" s="500"/>
      <c r="U286" s="500"/>
      <c r="V286" s="490"/>
    </row>
    <row r="287" spans="1:22" hidden="1" outlineLevel="1">
      <c r="A287" s="552" t="s">
        <v>746</v>
      </c>
      <c r="B287" s="553" t="s">
        <v>747</v>
      </c>
      <c r="C287" s="553" t="s">
        <v>70</v>
      </c>
      <c r="D287" s="553"/>
      <c r="E287" s="553" t="s">
        <v>329</v>
      </c>
      <c r="F287" s="553" t="s">
        <v>83</v>
      </c>
      <c r="G287" s="601">
        <f t="shared" si="48"/>
        <v>17.350000000000001</v>
      </c>
      <c r="H287" s="555">
        <v>2500</v>
      </c>
      <c r="I287" s="556">
        <v>0</v>
      </c>
      <c r="J287" s="551">
        <f t="shared" si="46"/>
        <v>2500</v>
      </c>
      <c r="K287" s="309">
        <f t="shared" si="47"/>
        <v>43375</v>
      </c>
      <c r="M287" s="500" t="s">
        <v>730</v>
      </c>
      <c r="N287" s="500"/>
      <c r="O287" s="500"/>
      <c r="P287" s="500"/>
      <c r="Q287" s="500"/>
      <c r="R287" s="500"/>
      <c r="S287" s="500"/>
      <c r="T287" s="500"/>
      <c r="U287" s="500"/>
      <c r="V287" s="490"/>
    </row>
    <row r="288" spans="1:22" collapsed="1">
      <c r="A288" s="537" t="s">
        <v>748</v>
      </c>
      <c r="B288" s="538" t="s">
        <v>749</v>
      </c>
      <c r="C288" s="538"/>
      <c r="D288" s="538"/>
      <c r="E288" s="538"/>
      <c r="F288" s="538"/>
      <c r="G288" s="567"/>
      <c r="H288" s="568"/>
      <c r="I288" s="540"/>
      <c r="J288" s="569"/>
      <c r="K288" s="541"/>
      <c r="L288" s="542">
        <f>SUM(K279:K287)</f>
        <v>502425</v>
      </c>
      <c r="M288" s="543"/>
      <c r="N288" s="543"/>
      <c r="O288" s="543"/>
      <c r="P288" s="543"/>
      <c r="Q288" s="543"/>
      <c r="R288" s="543"/>
      <c r="S288" s="543"/>
      <c r="T288" s="543"/>
      <c r="U288" s="543"/>
      <c r="V288" s="490"/>
    </row>
    <row r="289" spans="1:24" hidden="1" outlineLevel="1">
      <c r="A289" s="552" t="s">
        <v>750</v>
      </c>
      <c r="B289" s="553"/>
      <c r="C289" s="553"/>
      <c r="D289" s="553"/>
      <c r="E289" s="553"/>
      <c r="F289" s="553"/>
      <c r="G289" s="556">
        <v>0</v>
      </c>
      <c r="H289" s="565"/>
      <c r="I289" s="556"/>
      <c r="J289" s="566"/>
      <c r="K289" s="309">
        <f>G289*SUM(K16:K287)</f>
        <v>0</v>
      </c>
      <c r="M289" s="549"/>
      <c r="N289" s="549"/>
      <c r="O289" s="549"/>
      <c r="P289" s="549"/>
      <c r="Q289" s="549"/>
      <c r="R289" s="549"/>
      <c r="S289" s="549"/>
      <c r="T289" s="549"/>
      <c r="U289" s="549"/>
      <c r="V289" s="490"/>
    </row>
    <row r="290" spans="1:24" hidden="1" outlineLevel="1">
      <c r="A290" s="552" t="s">
        <v>751</v>
      </c>
      <c r="B290" s="553"/>
      <c r="C290" s="553"/>
      <c r="D290" s="553"/>
      <c r="E290" s="553"/>
      <c r="F290" s="553"/>
      <c r="G290" s="556">
        <v>0.02</v>
      </c>
      <c r="H290" s="565"/>
      <c r="I290" s="556"/>
      <c r="J290" s="566"/>
      <c r="K290" s="309">
        <f>G290*SUM(K16:K288,K292:K306)</f>
        <v>1097466.1020875506</v>
      </c>
      <c r="M290" s="500"/>
      <c r="N290" s="500"/>
      <c r="O290" s="500"/>
      <c r="P290" s="500"/>
      <c r="Q290" s="500"/>
      <c r="R290" s="500"/>
      <c r="S290" s="500"/>
      <c r="T290" s="500"/>
      <c r="U290" s="500"/>
      <c r="V290" s="490"/>
    </row>
    <row r="291" spans="1:24" collapsed="1">
      <c r="A291" s="537" t="s">
        <v>752</v>
      </c>
      <c r="B291" s="538" t="s">
        <v>751</v>
      </c>
      <c r="C291" s="538"/>
      <c r="D291" s="538"/>
      <c r="E291" s="538"/>
      <c r="F291" s="538"/>
      <c r="G291" s="567"/>
      <c r="H291" s="568"/>
      <c r="I291" s="540"/>
      <c r="J291" s="569"/>
      <c r="K291" s="541"/>
      <c r="L291" s="542">
        <f>SUM(K289:K290)</f>
        <v>1097466.1020875506</v>
      </c>
      <c r="M291" s="543"/>
      <c r="N291" s="543"/>
      <c r="O291" s="543"/>
      <c r="P291" s="543"/>
      <c r="Q291" s="543"/>
      <c r="R291" s="543"/>
      <c r="S291" s="543"/>
      <c r="T291" s="543"/>
      <c r="U291" s="543"/>
      <c r="V291" s="490"/>
    </row>
    <row r="292" spans="1:24" hidden="1" outlineLevel="1">
      <c r="A292" s="552" t="s">
        <v>753</v>
      </c>
      <c r="B292" s="553" t="s">
        <v>754</v>
      </c>
      <c r="C292" s="553" t="s">
        <v>70</v>
      </c>
      <c r="D292" s="553"/>
      <c r="E292" s="553" t="s">
        <v>76</v>
      </c>
      <c r="F292" s="553" t="s">
        <v>83</v>
      </c>
      <c r="G292" s="554">
        <v>2</v>
      </c>
      <c r="H292" s="555">
        <v>10000</v>
      </c>
      <c r="I292" s="556">
        <v>0</v>
      </c>
      <c r="J292" s="551">
        <f t="shared" ref="J292:J305" si="49">H292*(1+I292)</f>
        <v>10000</v>
      </c>
      <c r="K292" s="309">
        <f t="shared" ref="K292:K305" si="50">J292*G292</f>
        <v>20000</v>
      </c>
      <c r="M292" s="549"/>
      <c r="N292" s="549"/>
      <c r="O292" s="549"/>
      <c r="P292" s="549"/>
      <c r="Q292" s="549"/>
      <c r="R292" s="549"/>
      <c r="S292" s="549"/>
      <c r="T292" s="549"/>
      <c r="U292" s="549"/>
      <c r="V292" s="490"/>
    </row>
    <row r="293" spans="1:24" hidden="1" outlineLevel="1">
      <c r="A293" s="552" t="s">
        <v>755</v>
      </c>
      <c r="B293" s="553" t="s">
        <v>756</v>
      </c>
      <c r="C293" s="553" t="s">
        <v>70</v>
      </c>
      <c r="D293" s="553"/>
      <c r="E293" s="553" t="s">
        <v>87</v>
      </c>
      <c r="F293" s="553"/>
      <c r="G293" s="554"/>
      <c r="H293" s="555"/>
      <c r="I293" s="556">
        <v>0</v>
      </c>
      <c r="J293" s="555">
        <f t="shared" si="49"/>
        <v>0</v>
      </c>
      <c r="K293" s="555">
        <f t="shared" si="50"/>
        <v>0</v>
      </c>
      <c r="M293" s="500"/>
      <c r="N293" s="500"/>
      <c r="O293" s="500"/>
      <c r="P293" s="500"/>
      <c r="Q293" s="500"/>
      <c r="R293" s="500"/>
      <c r="S293" s="500"/>
      <c r="T293" s="500"/>
      <c r="U293" s="500"/>
      <c r="V293" s="490"/>
    </row>
    <row r="294" spans="1:24" hidden="1" outlineLevel="1">
      <c r="A294" s="552" t="s">
        <v>757</v>
      </c>
      <c r="B294" s="553" t="s">
        <v>758</v>
      </c>
      <c r="C294" s="553" t="s">
        <v>70</v>
      </c>
      <c r="D294" s="553"/>
      <c r="E294" s="553" t="s">
        <v>87</v>
      </c>
      <c r="F294" s="553" t="s">
        <v>83</v>
      </c>
      <c r="G294" s="554">
        <v>0</v>
      </c>
      <c r="H294" s="555">
        <v>21000</v>
      </c>
      <c r="I294" s="556">
        <v>0</v>
      </c>
      <c r="J294" s="555">
        <f t="shared" si="49"/>
        <v>21000</v>
      </c>
      <c r="K294" s="555">
        <f t="shared" si="50"/>
        <v>0</v>
      </c>
      <c r="M294" s="500"/>
      <c r="N294" s="500"/>
      <c r="O294" s="500"/>
      <c r="P294" s="500"/>
      <c r="Q294" s="500"/>
      <c r="R294" s="500"/>
      <c r="S294" s="500"/>
      <c r="T294" s="500"/>
      <c r="U294" s="500"/>
      <c r="V294" s="490"/>
    </row>
    <row r="295" spans="1:24" hidden="1" outlineLevel="1">
      <c r="A295" s="552" t="s">
        <v>759</v>
      </c>
      <c r="B295" s="553" t="s">
        <v>760</v>
      </c>
      <c r="C295" s="553" t="s">
        <v>70</v>
      </c>
      <c r="D295" s="553"/>
      <c r="E295" s="553" t="s">
        <v>76</v>
      </c>
      <c r="F295" s="553" t="s">
        <v>83</v>
      </c>
      <c r="G295" s="554">
        <v>1</v>
      </c>
      <c r="H295" s="555">
        <v>20000</v>
      </c>
      <c r="I295" s="556">
        <v>0</v>
      </c>
      <c r="J295" s="555">
        <f t="shared" si="49"/>
        <v>20000</v>
      </c>
      <c r="K295" s="555">
        <f t="shared" si="50"/>
        <v>20000</v>
      </c>
      <c r="M295" s="500"/>
      <c r="N295" s="500"/>
      <c r="O295" s="500"/>
      <c r="P295" s="500"/>
      <c r="Q295" s="500"/>
      <c r="R295" s="500"/>
      <c r="S295" s="500"/>
      <c r="T295" s="500"/>
      <c r="U295" s="500"/>
      <c r="V295" s="490"/>
    </row>
    <row r="296" spans="1:24" hidden="1" outlineLevel="1">
      <c r="A296" s="602" t="s">
        <v>761</v>
      </c>
      <c r="B296" s="553" t="s">
        <v>762</v>
      </c>
      <c r="C296" s="553" t="s">
        <v>70</v>
      </c>
      <c r="D296" s="553"/>
      <c r="E296" s="553" t="s">
        <v>486</v>
      </c>
      <c r="F296" s="553" t="s">
        <v>185</v>
      </c>
      <c r="G296" s="554">
        <f>'Assumptions &amp; Takeoffs'!B17</f>
        <v>1901.9</v>
      </c>
      <c r="H296" s="603">
        <f>47.98</f>
        <v>47.98</v>
      </c>
      <c r="I296" s="556">
        <v>0</v>
      </c>
      <c r="J296" s="555">
        <f t="shared" si="49"/>
        <v>47.98</v>
      </c>
      <c r="K296" s="555">
        <f t="shared" si="50"/>
        <v>91253.161999999997</v>
      </c>
      <c r="M296" s="500"/>
      <c r="N296" s="500"/>
      <c r="O296" s="500"/>
      <c r="P296" s="500"/>
      <c r="Q296" s="500"/>
      <c r="R296" s="500"/>
      <c r="S296" s="500"/>
      <c r="T296" s="500"/>
      <c r="U296" s="500"/>
      <c r="V296" s="490"/>
    </row>
    <row r="297" spans="1:24" hidden="1" outlineLevel="1">
      <c r="A297" s="602" t="s">
        <v>763</v>
      </c>
      <c r="B297" s="553" t="s">
        <v>764</v>
      </c>
      <c r="C297" s="553" t="s">
        <v>70</v>
      </c>
      <c r="D297" s="553"/>
      <c r="E297" s="553" t="s">
        <v>87</v>
      </c>
      <c r="F297" s="553"/>
      <c r="G297" s="554"/>
      <c r="H297" s="555"/>
      <c r="I297" s="556">
        <v>0</v>
      </c>
      <c r="J297" s="555">
        <f t="shared" si="49"/>
        <v>0</v>
      </c>
      <c r="K297" s="555">
        <f t="shared" si="50"/>
        <v>0</v>
      </c>
      <c r="M297" s="500"/>
      <c r="N297" s="500"/>
      <c r="O297" s="500"/>
      <c r="P297" s="500"/>
      <c r="Q297" s="500"/>
      <c r="R297" s="500"/>
      <c r="S297" s="500"/>
      <c r="T297" s="500"/>
      <c r="U297" s="500"/>
      <c r="V297" s="490"/>
      <c r="X297" s="491">
        <f>62000000*0.06</f>
        <v>3720000</v>
      </c>
    </row>
    <row r="298" spans="1:24" hidden="1" outlineLevel="1">
      <c r="A298" s="602" t="s">
        <v>765</v>
      </c>
      <c r="B298" s="553" t="s">
        <v>766</v>
      </c>
      <c r="C298" s="553" t="s">
        <v>70</v>
      </c>
      <c r="D298" s="553"/>
      <c r="E298" s="553" t="s">
        <v>76</v>
      </c>
      <c r="F298" s="553" t="s">
        <v>83</v>
      </c>
      <c r="G298" s="554">
        <v>1</v>
      </c>
      <c r="H298" s="555">
        <v>15000</v>
      </c>
      <c r="I298" s="556">
        <v>0</v>
      </c>
      <c r="J298" s="555">
        <f t="shared" si="49"/>
        <v>15000</v>
      </c>
      <c r="K298" s="555">
        <f t="shared" si="50"/>
        <v>15000</v>
      </c>
      <c r="M298" s="500"/>
      <c r="N298" s="500"/>
      <c r="O298" s="500"/>
      <c r="P298" s="500"/>
      <c r="Q298" s="500"/>
      <c r="R298" s="500"/>
      <c r="S298" s="500"/>
      <c r="T298" s="500"/>
      <c r="U298" s="500"/>
      <c r="V298" s="490"/>
    </row>
    <row r="299" spans="1:24" hidden="1" outlineLevel="1">
      <c r="A299" s="602" t="s">
        <v>767</v>
      </c>
      <c r="B299" s="553" t="s">
        <v>768</v>
      </c>
      <c r="C299" s="553" t="s">
        <v>70</v>
      </c>
      <c r="D299" s="553"/>
      <c r="E299" s="553" t="s">
        <v>769</v>
      </c>
      <c r="F299" s="553" t="s">
        <v>83</v>
      </c>
      <c r="G299" s="554">
        <v>1</v>
      </c>
      <c r="H299" s="555">
        <v>5000</v>
      </c>
      <c r="I299" s="556">
        <v>0</v>
      </c>
      <c r="J299" s="555">
        <f t="shared" si="49"/>
        <v>5000</v>
      </c>
      <c r="K299" s="555">
        <f t="shared" si="50"/>
        <v>5000</v>
      </c>
      <c r="M299" s="500"/>
      <c r="N299" s="500"/>
      <c r="O299" s="500"/>
      <c r="P299" s="500"/>
      <c r="Q299" s="500"/>
      <c r="R299" s="500"/>
      <c r="S299" s="500"/>
      <c r="T299" s="500"/>
      <c r="U299" s="500"/>
      <c r="V299" s="490"/>
    </row>
    <row r="300" spans="1:24" hidden="1" outlineLevel="1">
      <c r="A300" s="602" t="s">
        <v>770</v>
      </c>
      <c r="B300" s="553" t="s">
        <v>771</v>
      </c>
      <c r="C300" s="553" t="s">
        <v>70</v>
      </c>
      <c r="D300" s="553"/>
      <c r="E300" s="553" t="s">
        <v>87</v>
      </c>
      <c r="F300" s="553"/>
      <c r="G300" s="554"/>
      <c r="H300" s="555"/>
      <c r="I300" s="556">
        <v>0</v>
      </c>
      <c r="J300" s="555">
        <f t="shared" si="49"/>
        <v>0</v>
      </c>
      <c r="K300" s="555">
        <f t="shared" si="50"/>
        <v>0</v>
      </c>
      <c r="M300" s="500"/>
      <c r="N300" s="500"/>
      <c r="O300" s="500"/>
      <c r="P300" s="500"/>
      <c r="Q300" s="500"/>
      <c r="R300" s="500"/>
      <c r="S300" s="500"/>
      <c r="T300" s="500"/>
      <c r="U300" s="500"/>
      <c r="V300" s="490"/>
    </row>
    <row r="301" spans="1:24" hidden="1" outlineLevel="1">
      <c r="A301" s="552" t="s">
        <v>772</v>
      </c>
      <c r="B301" s="553" t="s">
        <v>773</v>
      </c>
      <c r="C301" s="553" t="s">
        <v>70</v>
      </c>
      <c r="D301" s="553"/>
      <c r="E301" s="553" t="s">
        <v>76</v>
      </c>
      <c r="F301" s="553" t="s">
        <v>83</v>
      </c>
      <c r="G301" s="554">
        <v>1</v>
      </c>
      <c r="H301" s="555">
        <v>700000</v>
      </c>
      <c r="I301" s="556">
        <v>0</v>
      </c>
      <c r="J301" s="555">
        <f t="shared" si="49"/>
        <v>700000</v>
      </c>
      <c r="K301" s="555">
        <f t="shared" si="50"/>
        <v>700000</v>
      </c>
      <c r="M301" s="500" t="s">
        <v>774</v>
      </c>
      <c r="N301" s="500"/>
      <c r="O301" s="500"/>
      <c r="P301" s="500"/>
      <c r="Q301" s="500"/>
      <c r="R301" s="500"/>
      <c r="S301" s="500"/>
      <c r="T301" s="500"/>
      <c r="U301" s="500"/>
      <c r="V301" s="490"/>
    </row>
    <row r="302" spans="1:24" hidden="1" outlineLevel="1">
      <c r="A302" s="552" t="s">
        <v>222</v>
      </c>
      <c r="B302" s="553" t="s">
        <v>775</v>
      </c>
      <c r="C302" s="553" t="s">
        <v>70</v>
      </c>
      <c r="D302" s="553"/>
      <c r="E302" s="553" t="s">
        <v>673</v>
      </c>
      <c r="F302" s="553" t="s">
        <v>83</v>
      </c>
      <c r="G302" s="554">
        <v>3</v>
      </c>
      <c r="H302" s="555">
        <v>100000</v>
      </c>
      <c r="I302" s="556">
        <v>0</v>
      </c>
      <c r="J302" s="555">
        <f t="shared" si="49"/>
        <v>100000</v>
      </c>
      <c r="K302" s="555">
        <f t="shared" si="50"/>
        <v>300000</v>
      </c>
      <c r="M302" s="500" t="s">
        <v>774</v>
      </c>
      <c r="N302" s="500"/>
      <c r="O302" s="500"/>
      <c r="P302" s="500"/>
      <c r="Q302" s="500"/>
      <c r="R302" s="500"/>
      <c r="S302" s="500"/>
      <c r="T302" s="500"/>
      <c r="U302" s="500"/>
      <c r="V302" s="490"/>
    </row>
    <row r="303" spans="1:24" hidden="1" outlineLevel="1">
      <c r="A303" s="602" t="s">
        <v>776</v>
      </c>
      <c r="B303" s="553" t="s">
        <v>564</v>
      </c>
      <c r="C303" s="553" t="s">
        <v>70</v>
      </c>
      <c r="D303" s="553"/>
      <c r="E303" s="553" t="s">
        <v>76</v>
      </c>
      <c r="F303" s="553" t="s">
        <v>83</v>
      </c>
      <c r="G303" s="554">
        <v>1</v>
      </c>
      <c r="H303" s="555">
        <v>25000</v>
      </c>
      <c r="I303" s="556">
        <v>0</v>
      </c>
      <c r="J303" s="555">
        <f t="shared" si="49"/>
        <v>25000</v>
      </c>
      <c r="K303" s="555">
        <f t="shared" si="50"/>
        <v>25000</v>
      </c>
      <c r="M303" s="500"/>
      <c r="N303" s="500"/>
      <c r="O303" s="500"/>
      <c r="P303" s="500"/>
      <c r="Q303" s="500"/>
      <c r="R303" s="500"/>
      <c r="S303" s="500"/>
      <c r="T303" s="500"/>
      <c r="U303" s="500"/>
      <c r="V303" s="490"/>
    </row>
    <row r="304" spans="1:24" hidden="1" outlineLevel="1">
      <c r="A304" s="602" t="s">
        <v>777</v>
      </c>
      <c r="B304" s="553" t="s">
        <v>778</v>
      </c>
      <c r="C304" s="553" t="s">
        <v>70</v>
      </c>
      <c r="D304" s="553"/>
      <c r="E304" s="553" t="s">
        <v>76</v>
      </c>
      <c r="F304" s="553" t="s">
        <v>83</v>
      </c>
      <c r="G304" s="554">
        <v>1</v>
      </c>
      <c r="H304" s="555">
        <v>2500</v>
      </c>
      <c r="I304" s="556">
        <v>0</v>
      </c>
      <c r="J304" s="555">
        <f t="shared" si="49"/>
        <v>2500</v>
      </c>
      <c r="K304" s="555">
        <f t="shared" si="50"/>
        <v>2500</v>
      </c>
      <c r="M304" s="500"/>
      <c r="N304" s="500"/>
      <c r="O304" s="500"/>
      <c r="P304" s="500"/>
      <c r="Q304" s="500"/>
      <c r="R304" s="500"/>
      <c r="S304" s="500"/>
      <c r="T304" s="500"/>
      <c r="U304" s="500"/>
      <c r="V304" s="490"/>
    </row>
    <row r="305" spans="1:22" hidden="1" outlineLevel="1">
      <c r="A305" s="552" t="s">
        <v>779</v>
      </c>
      <c r="B305" s="553" t="s">
        <v>780</v>
      </c>
      <c r="C305" s="553" t="s">
        <v>70</v>
      </c>
      <c r="D305" s="553"/>
      <c r="E305" s="553" t="s">
        <v>76</v>
      </c>
      <c r="F305" s="553" t="s">
        <v>83</v>
      </c>
      <c r="G305" s="554">
        <v>2</v>
      </c>
      <c r="H305" s="555">
        <v>1500</v>
      </c>
      <c r="I305" s="556">
        <v>0</v>
      </c>
      <c r="J305" s="551">
        <f t="shared" si="49"/>
        <v>1500</v>
      </c>
      <c r="K305" s="309">
        <f t="shared" si="50"/>
        <v>3000</v>
      </c>
      <c r="M305" s="500"/>
      <c r="N305" s="500"/>
      <c r="O305" s="500"/>
      <c r="P305" s="500"/>
      <c r="Q305" s="500"/>
      <c r="R305" s="500"/>
      <c r="S305" s="500"/>
      <c r="T305" s="500"/>
      <c r="U305" s="500"/>
      <c r="V305" s="490"/>
    </row>
    <row r="306" spans="1:22" collapsed="1">
      <c r="A306" s="537" t="s">
        <v>781</v>
      </c>
      <c r="B306" s="538" t="s">
        <v>782</v>
      </c>
      <c r="C306" s="538"/>
      <c r="D306" s="538"/>
      <c r="E306" s="538"/>
      <c r="F306" s="538"/>
      <c r="G306" s="567"/>
      <c r="H306" s="568"/>
      <c r="I306" s="540"/>
      <c r="J306" s="569"/>
      <c r="K306" s="541"/>
      <c r="L306" s="542">
        <f>SUM(K292:K305)</f>
        <v>1181753.162</v>
      </c>
      <c r="M306" s="543"/>
      <c r="N306" s="543"/>
      <c r="O306" s="543"/>
      <c r="P306" s="543"/>
      <c r="Q306" s="543"/>
      <c r="R306" s="543"/>
      <c r="S306" s="543"/>
      <c r="T306" s="543"/>
      <c r="U306" s="543"/>
      <c r="V306" s="490"/>
    </row>
    <row r="307" spans="1:22" hidden="1" outlineLevel="1">
      <c r="A307" s="552" t="s">
        <v>783</v>
      </c>
      <c r="B307" s="553" t="s">
        <v>784</v>
      </c>
      <c r="C307" s="553"/>
      <c r="D307" s="553"/>
      <c r="E307" s="553"/>
      <c r="F307" s="553"/>
      <c r="G307" s="556">
        <v>0.05</v>
      </c>
      <c r="H307" s="565"/>
      <c r="I307" s="556"/>
      <c r="J307" s="566"/>
      <c r="K307" s="309">
        <f>(SUM(K16:K305)-K290)*G307</f>
        <v>2743665.2552188765</v>
      </c>
      <c r="M307" s="549"/>
      <c r="N307" s="549"/>
      <c r="O307" s="549"/>
      <c r="P307" s="549"/>
      <c r="Q307" s="549"/>
      <c r="R307" s="549"/>
      <c r="S307" s="549"/>
      <c r="T307" s="549"/>
      <c r="U307" s="549"/>
      <c r="V307" s="490"/>
    </row>
    <row r="308" spans="1:22" collapsed="1">
      <c r="A308" s="537" t="s">
        <v>783</v>
      </c>
      <c r="B308" s="538" t="s">
        <v>785</v>
      </c>
      <c r="C308" s="538"/>
      <c r="D308" s="538"/>
      <c r="E308" s="538"/>
      <c r="F308" s="538"/>
      <c r="G308" s="567"/>
      <c r="H308" s="568"/>
      <c r="I308" s="540"/>
      <c r="J308" s="568"/>
      <c r="K308" s="539"/>
      <c r="L308" s="542">
        <f>K307</f>
        <v>2743665.2552188765</v>
      </c>
      <c r="M308" s="543"/>
      <c r="N308" s="543"/>
      <c r="O308" s="543"/>
      <c r="P308" s="543"/>
      <c r="Q308" s="543"/>
      <c r="R308" s="543"/>
      <c r="S308" s="543"/>
      <c r="T308" s="543"/>
      <c r="U308" s="543"/>
      <c r="V308" s="490"/>
    </row>
    <row r="309" spans="1:22" hidden="1" outlineLevel="1">
      <c r="A309" s="544" t="s">
        <v>786</v>
      </c>
      <c r="B309" s="545" t="s">
        <v>787</v>
      </c>
      <c r="C309" s="545" t="s">
        <v>788</v>
      </c>
      <c r="D309" s="545"/>
      <c r="E309" s="545"/>
      <c r="F309" s="545"/>
      <c r="G309" s="604">
        <v>1.7000000000000001E-2</v>
      </c>
      <c r="H309" s="550"/>
      <c r="I309" s="548"/>
      <c r="J309" s="572"/>
      <c r="K309" s="309">
        <f>G309*SUM(K16:K287,K292:K305)</f>
        <v>932846.18677441811</v>
      </c>
      <c r="M309" s="549"/>
      <c r="N309" s="549"/>
      <c r="O309" s="549"/>
      <c r="P309" s="549"/>
      <c r="Q309" s="549"/>
      <c r="R309" s="549"/>
      <c r="S309" s="549"/>
      <c r="T309" s="549"/>
      <c r="U309" s="549"/>
      <c r="V309" s="490"/>
    </row>
    <row r="310" spans="1:22" collapsed="1">
      <c r="A310" s="537" t="s">
        <v>786</v>
      </c>
      <c r="B310" s="538" t="s">
        <v>789</v>
      </c>
      <c r="C310" s="538"/>
      <c r="D310" s="538"/>
      <c r="E310" s="538"/>
      <c r="F310" s="538"/>
      <c r="G310" s="567"/>
      <c r="H310" s="568"/>
      <c r="I310" s="540"/>
      <c r="J310" s="569"/>
      <c r="K310" s="541"/>
      <c r="L310" s="542">
        <f>SUM(K309)</f>
        <v>932846.18677441811</v>
      </c>
      <c r="M310" s="543"/>
      <c r="N310" s="543"/>
      <c r="O310" s="543"/>
      <c r="P310" s="543"/>
      <c r="Q310" s="543"/>
      <c r="R310" s="543"/>
      <c r="S310" s="543"/>
      <c r="T310" s="543"/>
      <c r="U310" s="543"/>
      <c r="V310" s="490"/>
    </row>
    <row r="311" spans="1:22" hidden="1" outlineLevel="1">
      <c r="A311" s="552" t="s">
        <v>790</v>
      </c>
      <c r="B311" s="553" t="s">
        <v>791</v>
      </c>
      <c r="C311" s="553"/>
      <c r="D311" s="553"/>
      <c r="E311" s="553"/>
      <c r="F311" s="553" t="s">
        <v>792</v>
      </c>
      <c r="G311" s="605">
        <v>5</v>
      </c>
      <c r="H311" s="565"/>
      <c r="I311" s="556"/>
      <c r="J311" s="566"/>
      <c r="K311" s="309">
        <f>(SUM(K16:K288,K292:K306)+6500000)/1000*G311</f>
        <v>306866.5255218877</v>
      </c>
      <c r="M311" s="549"/>
      <c r="N311" s="549"/>
      <c r="O311" s="549"/>
      <c r="P311" s="549"/>
      <c r="Q311" s="549"/>
      <c r="R311" s="549"/>
      <c r="S311" s="549"/>
      <c r="T311" s="549"/>
      <c r="U311" s="549"/>
      <c r="V311" s="490"/>
    </row>
    <row r="312" spans="1:22" hidden="1" outlineLevel="1">
      <c r="A312" s="602" t="s">
        <v>793</v>
      </c>
      <c r="B312" s="553" t="s">
        <v>791</v>
      </c>
      <c r="C312" s="553"/>
      <c r="D312" s="553"/>
      <c r="E312" s="553"/>
      <c r="F312" s="553" t="s">
        <v>794</v>
      </c>
      <c r="G312" s="556">
        <v>0.05</v>
      </c>
      <c r="H312" s="565"/>
      <c r="I312" s="556"/>
      <c r="J312" s="565"/>
      <c r="K312" s="555">
        <f>K311*G312</f>
        <v>15343.326276094385</v>
      </c>
      <c r="M312" s="500"/>
      <c r="N312" s="500"/>
      <c r="O312" s="500"/>
      <c r="P312" s="500"/>
      <c r="Q312" s="500"/>
      <c r="R312" s="500"/>
      <c r="S312" s="500"/>
      <c r="T312" s="500"/>
      <c r="U312" s="500"/>
      <c r="V312" s="490"/>
    </row>
    <row r="313" spans="1:22" hidden="1" outlineLevel="1">
      <c r="A313" s="552" t="s">
        <v>795</v>
      </c>
      <c r="B313" s="553" t="s">
        <v>791</v>
      </c>
      <c r="C313" s="553"/>
      <c r="D313" s="553"/>
      <c r="E313" s="553"/>
      <c r="F313" s="553" t="s">
        <v>796</v>
      </c>
      <c r="G313" s="554">
        <v>0.95</v>
      </c>
      <c r="H313" s="565"/>
      <c r="I313" s="556"/>
      <c r="J313" s="566"/>
      <c r="K313" s="309">
        <f>K311*G313</f>
        <v>291523.19924579328</v>
      </c>
      <c r="M313" s="500"/>
      <c r="N313" s="500"/>
      <c r="O313" s="500"/>
      <c r="P313" s="500"/>
      <c r="Q313" s="500"/>
      <c r="R313" s="500"/>
      <c r="S313" s="500"/>
      <c r="T313" s="500"/>
      <c r="U313" s="500"/>
      <c r="V313" s="490"/>
    </row>
    <row r="314" spans="1:22" collapsed="1">
      <c r="A314" s="537" t="s">
        <v>797</v>
      </c>
      <c r="B314" s="538" t="s">
        <v>789</v>
      </c>
      <c r="C314" s="538"/>
      <c r="D314" s="538"/>
      <c r="E314" s="538"/>
      <c r="F314" s="538"/>
      <c r="G314" s="567"/>
      <c r="H314" s="568"/>
      <c r="I314" s="540"/>
      <c r="J314" s="569"/>
      <c r="K314" s="541"/>
      <c r="L314" s="542">
        <f>SUM(K311:K313)</f>
        <v>613733.0510437754</v>
      </c>
      <c r="M314" s="543"/>
      <c r="N314" s="543"/>
      <c r="O314" s="543"/>
      <c r="P314" s="543"/>
      <c r="Q314" s="543"/>
      <c r="R314" s="543"/>
      <c r="S314" s="543"/>
      <c r="T314" s="543"/>
      <c r="U314" s="543"/>
      <c r="V314" s="490"/>
    </row>
    <row r="315" spans="1:22" hidden="1" outlineLevel="1">
      <c r="A315" s="552" t="s">
        <v>798</v>
      </c>
      <c r="B315" s="553" t="s">
        <v>799</v>
      </c>
      <c r="C315" s="553"/>
      <c r="D315" s="553"/>
      <c r="E315" s="553"/>
      <c r="F315" s="553"/>
      <c r="G315" s="606">
        <v>0.02</v>
      </c>
      <c r="H315" s="565"/>
      <c r="I315" s="556"/>
      <c r="J315" s="566"/>
      <c r="K315" s="309">
        <v>1112938.6699982199</v>
      </c>
      <c r="M315" s="549"/>
      <c r="N315" s="549"/>
      <c r="O315" s="549"/>
      <c r="P315" s="549"/>
      <c r="Q315" s="549"/>
      <c r="R315" s="549"/>
      <c r="S315" s="549"/>
      <c r="T315" s="549"/>
      <c r="U315" s="549"/>
      <c r="V315" s="490"/>
    </row>
    <row r="316" spans="1:22" hidden="1" outlineLevel="1">
      <c r="A316" s="552" t="s">
        <v>800</v>
      </c>
      <c r="B316" s="553" t="s">
        <v>799</v>
      </c>
      <c r="C316" s="553"/>
      <c r="D316" s="553"/>
      <c r="E316" s="553"/>
      <c r="F316" s="553"/>
      <c r="G316" s="606">
        <v>0.06</v>
      </c>
      <c r="H316" s="565"/>
      <c r="I316" s="556"/>
      <c r="J316" s="566"/>
      <c r="K316" s="309">
        <v>3338816.0099946638</v>
      </c>
      <c r="M316" s="500"/>
      <c r="N316" s="500"/>
      <c r="O316" s="500"/>
      <c r="P316" s="500"/>
      <c r="Q316" s="500"/>
      <c r="R316" s="500"/>
      <c r="S316" s="500"/>
      <c r="T316" s="500"/>
      <c r="U316" s="500"/>
      <c r="V316" s="490"/>
    </row>
    <row r="317" spans="1:22" collapsed="1">
      <c r="A317" s="537" t="s">
        <v>801</v>
      </c>
      <c r="B317" s="538" t="s">
        <v>799</v>
      </c>
      <c r="C317" s="538"/>
      <c r="D317" s="538"/>
      <c r="E317" s="538"/>
      <c r="F317" s="538"/>
      <c r="G317" s="567"/>
      <c r="H317" s="568"/>
      <c r="I317" s="540"/>
      <c r="J317" s="569"/>
      <c r="K317" s="541"/>
      <c r="L317" s="542">
        <f>SUM(K315:K316)</f>
        <v>4451754.6799928835</v>
      </c>
      <c r="M317" s="543"/>
      <c r="N317" s="543"/>
      <c r="O317" s="543"/>
      <c r="P317" s="543"/>
      <c r="Q317" s="543"/>
      <c r="R317" s="543"/>
      <c r="S317" s="543"/>
      <c r="T317" s="543"/>
      <c r="U317" s="543"/>
      <c r="V317" s="490"/>
    </row>
    <row r="318" spans="1:22">
      <c r="A318" s="524"/>
      <c r="G318" s="607"/>
      <c r="H318" s="600"/>
      <c r="I318" s="608"/>
      <c r="J318" s="600"/>
      <c r="K318" s="576"/>
      <c r="L318" s="609"/>
      <c r="V318" s="490"/>
    </row>
    <row r="319" spans="1:22" ht="15.75" thickBot="1">
      <c r="A319" s="610" t="s">
        <v>802</v>
      </c>
      <c r="B319" s="611"/>
      <c r="C319" s="611"/>
      <c r="D319" s="611"/>
      <c r="E319" s="611"/>
      <c r="F319" s="611"/>
      <c r="G319" s="611"/>
      <c r="H319" s="612"/>
      <c r="I319" s="613"/>
      <c r="J319" s="614"/>
      <c r="K319" s="614"/>
      <c r="L319" s="615">
        <f>SUM(L14:L318)</f>
        <v>68005168.685757682</v>
      </c>
      <c r="M319" s="616"/>
      <c r="N319" s="616"/>
      <c r="O319" s="616"/>
      <c r="P319" s="616"/>
      <c r="Q319" s="616"/>
      <c r="R319" s="616"/>
      <c r="S319" s="616"/>
      <c r="T319" s="616"/>
      <c r="U319" s="616"/>
      <c r="V319" s="490"/>
    </row>
    <row r="320" spans="1:22" ht="15.75" thickBot="1">
      <c r="G320" s="490"/>
      <c r="H320" s="490"/>
      <c r="I320" s="617"/>
      <c r="L320" s="618">
        <f>SUM(K14:K319)-L319</f>
        <v>0</v>
      </c>
      <c r="M320" s="618"/>
    </row>
    <row r="321" spans="1:43">
      <c r="A321" s="619" t="s">
        <v>72</v>
      </c>
      <c r="B321" s="505" t="s">
        <v>69</v>
      </c>
      <c r="C321" s="505"/>
      <c r="D321" s="505"/>
      <c r="E321" s="620">
        <f t="shared" ref="E321:E356" si="51">_xlfn.XLOOKUP(A321,$A$14:$A$319,$L$14:$L$319)</f>
        <v>3292398.3062626515</v>
      </c>
      <c r="L321" s="618"/>
      <c r="N321" s="621" t="s">
        <v>803</v>
      </c>
      <c r="O321" s="503"/>
    </row>
    <row r="322" spans="1:43">
      <c r="A322" s="622" t="s">
        <v>77</v>
      </c>
      <c r="B322" s="497" t="s">
        <v>78</v>
      </c>
      <c r="C322" s="497"/>
      <c r="D322" s="497"/>
      <c r="E322" s="623">
        <f t="shared" si="51"/>
        <v>16000</v>
      </c>
      <c r="N322" s="624">
        <f>SUM(K292:K305,K16:K287)</f>
        <v>54873305.104377531</v>
      </c>
      <c r="O322" s="508"/>
    </row>
    <row r="323" spans="1:43">
      <c r="A323" s="622" t="s">
        <v>121</v>
      </c>
      <c r="B323" s="497" t="s">
        <v>122</v>
      </c>
      <c r="C323" s="497"/>
      <c r="D323" s="497"/>
      <c r="E323" s="623">
        <f t="shared" si="51"/>
        <v>2775836.1714905147</v>
      </c>
      <c r="N323" s="624">
        <f>N322*0.06</f>
        <v>3292398.3062626519</v>
      </c>
      <c r="O323" s="625">
        <f>N322*0.05</f>
        <v>2743665.2552188765</v>
      </c>
    </row>
    <row r="324" spans="1:43" ht="15.75" thickBot="1">
      <c r="A324" s="622" t="s">
        <v>804</v>
      </c>
      <c r="B324" s="497" t="s">
        <v>805</v>
      </c>
      <c r="C324" s="497"/>
      <c r="D324" s="497"/>
      <c r="E324" s="623" t="e">
        <f>_xlfn.XLOOKUP(A324,$A$14:$A$319,$L$14:$L$319)</f>
        <v>#N/A</v>
      </c>
      <c r="N324" s="626">
        <f>N323/B6</f>
        <v>137183.26276094382</v>
      </c>
      <c r="O324" s="627"/>
    </row>
    <row r="325" spans="1:43">
      <c r="A325" s="622" t="s">
        <v>146</v>
      </c>
      <c r="B325" s="497" t="s">
        <v>147</v>
      </c>
      <c r="C325" s="497"/>
      <c r="D325" s="497"/>
      <c r="E325" s="623">
        <f t="shared" si="51"/>
        <v>128000</v>
      </c>
    </row>
    <row r="326" spans="1:43" s="490" customFormat="1">
      <c r="A326" s="622" t="s">
        <v>175</v>
      </c>
      <c r="B326" s="497" t="s">
        <v>176</v>
      </c>
      <c r="C326" s="497"/>
      <c r="D326" s="497"/>
      <c r="E326" s="623">
        <f t="shared" si="51"/>
        <v>474487.5</v>
      </c>
      <c r="G326" s="491"/>
      <c r="H326" s="491"/>
      <c r="I326" s="491"/>
      <c r="J326" s="491"/>
      <c r="K326" s="491"/>
      <c r="L326" s="491"/>
      <c r="M326" s="491"/>
      <c r="N326" s="491"/>
      <c r="O326" s="491"/>
      <c r="P326" s="491"/>
      <c r="Q326" s="491"/>
      <c r="R326" s="491"/>
      <c r="S326" s="491"/>
      <c r="T326" s="491"/>
      <c r="U326" s="491"/>
      <c r="V326" s="491"/>
      <c r="W326" s="491"/>
      <c r="X326" s="491"/>
      <c r="Y326" s="491"/>
      <c r="Z326" s="491"/>
      <c r="AA326" s="491"/>
      <c r="AB326" s="491"/>
      <c r="AC326" s="491"/>
      <c r="AD326" s="491"/>
      <c r="AE326" s="491"/>
      <c r="AF326" s="491"/>
      <c r="AG326" s="491"/>
      <c r="AH326" s="491"/>
      <c r="AI326" s="491"/>
      <c r="AJ326" s="491"/>
      <c r="AK326" s="491"/>
      <c r="AL326" s="491"/>
      <c r="AM326" s="491"/>
      <c r="AN326" s="491"/>
      <c r="AO326" s="491"/>
      <c r="AP326" s="491"/>
      <c r="AQ326" s="491"/>
    </row>
    <row r="327" spans="1:43" s="490" customFormat="1">
      <c r="A327" s="622" t="s">
        <v>220</v>
      </c>
      <c r="B327" s="497" t="s">
        <v>221</v>
      </c>
      <c r="C327" s="497"/>
      <c r="D327" s="497"/>
      <c r="E327" s="623">
        <f t="shared" si="51"/>
        <v>8286913.7710203575</v>
      </c>
      <c r="G327" s="491"/>
      <c r="H327" s="491"/>
      <c r="I327" s="491"/>
      <c r="J327" s="491"/>
      <c r="K327" s="491"/>
      <c r="L327" s="491"/>
      <c r="M327" s="491"/>
      <c r="N327" s="628"/>
      <c r="O327" s="491"/>
      <c r="P327" s="491"/>
      <c r="Q327" s="491"/>
      <c r="R327" s="491"/>
      <c r="S327" s="491"/>
      <c r="T327" s="491"/>
      <c r="U327" s="491"/>
      <c r="V327" s="491"/>
      <c r="W327" s="491"/>
      <c r="X327" s="491"/>
      <c r="Y327" s="491"/>
      <c r="Z327" s="491"/>
      <c r="AA327" s="491"/>
      <c r="AB327" s="491"/>
      <c r="AC327" s="491"/>
      <c r="AD327" s="491"/>
      <c r="AE327" s="491"/>
      <c r="AF327" s="491"/>
      <c r="AG327" s="491"/>
      <c r="AH327" s="491"/>
      <c r="AI327" s="491"/>
      <c r="AJ327" s="491"/>
      <c r="AK327" s="491"/>
      <c r="AL327" s="491"/>
      <c r="AM327" s="491"/>
      <c r="AN327" s="491"/>
      <c r="AO327" s="491"/>
      <c r="AP327" s="491"/>
      <c r="AQ327" s="491"/>
    </row>
    <row r="328" spans="1:43" s="490" customFormat="1">
      <c r="A328" s="622" t="s">
        <v>267</v>
      </c>
      <c r="B328" s="497" t="s">
        <v>268</v>
      </c>
      <c r="C328" s="497"/>
      <c r="D328" s="497"/>
      <c r="E328" s="623">
        <f t="shared" si="51"/>
        <v>2366346.0099999998</v>
      </c>
      <c r="G328" s="491"/>
      <c r="H328" s="491"/>
      <c r="I328" s="491"/>
      <c r="J328" s="491"/>
      <c r="K328" s="491"/>
      <c r="L328" s="491"/>
      <c r="M328" s="491"/>
      <c r="N328" s="491"/>
      <c r="O328" s="491"/>
      <c r="P328" s="491"/>
      <c r="Q328" s="491"/>
      <c r="R328" s="491"/>
      <c r="S328" s="491"/>
      <c r="T328" s="491"/>
      <c r="U328" s="491"/>
      <c r="V328" s="491"/>
      <c r="W328" s="491"/>
      <c r="X328" s="491"/>
      <c r="Y328" s="491"/>
      <c r="Z328" s="491"/>
      <c r="AA328" s="491"/>
      <c r="AB328" s="491"/>
      <c r="AC328" s="491"/>
      <c r="AD328" s="491"/>
      <c r="AE328" s="491"/>
      <c r="AF328" s="491"/>
      <c r="AG328" s="491"/>
      <c r="AH328" s="491"/>
      <c r="AI328" s="491"/>
      <c r="AJ328" s="491"/>
      <c r="AK328" s="491"/>
      <c r="AL328" s="491"/>
      <c r="AM328" s="491"/>
      <c r="AN328" s="491"/>
      <c r="AO328" s="491"/>
      <c r="AP328" s="491"/>
      <c r="AQ328" s="491"/>
    </row>
    <row r="329" spans="1:43" s="490" customFormat="1">
      <c r="A329" s="622" t="s">
        <v>297</v>
      </c>
      <c r="B329" s="497" t="s">
        <v>298</v>
      </c>
      <c r="C329" s="497"/>
      <c r="D329" s="497"/>
      <c r="E329" s="623">
        <f t="shared" si="51"/>
        <v>642900</v>
      </c>
      <c r="G329" s="491"/>
      <c r="H329" s="491"/>
      <c r="I329" s="491"/>
      <c r="J329" s="491"/>
      <c r="K329" s="491"/>
      <c r="L329" s="491"/>
      <c r="M329" s="491"/>
      <c r="N329" s="628"/>
      <c r="O329" s="491"/>
      <c r="P329" s="491"/>
      <c r="Q329" s="491"/>
      <c r="R329" s="491"/>
      <c r="S329" s="491"/>
      <c r="T329" s="491"/>
      <c r="U329" s="491"/>
      <c r="V329" s="491"/>
      <c r="W329" s="491"/>
      <c r="X329" s="491"/>
      <c r="Y329" s="491"/>
      <c r="Z329" s="491"/>
      <c r="AA329" s="491"/>
      <c r="AB329" s="491"/>
      <c r="AC329" s="491"/>
      <c r="AD329" s="491"/>
      <c r="AE329" s="491"/>
      <c r="AF329" s="491"/>
      <c r="AG329" s="491"/>
      <c r="AH329" s="491"/>
      <c r="AI329" s="491"/>
      <c r="AJ329" s="491"/>
      <c r="AK329" s="491"/>
      <c r="AL329" s="491"/>
      <c r="AM329" s="491"/>
      <c r="AN329" s="491"/>
      <c r="AO329" s="491"/>
      <c r="AP329" s="491"/>
      <c r="AQ329" s="491"/>
    </row>
    <row r="330" spans="1:43" s="490" customFormat="1">
      <c r="A330" s="622" t="s">
        <v>391</v>
      </c>
      <c r="B330" s="497" t="s">
        <v>392</v>
      </c>
      <c r="C330" s="497"/>
      <c r="D330" s="497"/>
      <c r="E330" s="623">
        <f t="shared" si="51"/>
        <v>5963501.3854374392</v>
      </c>
      <c r="G330" s="491"/>
      <c r="H330" s="491"/>
      <c r="I330" s="491"/>
      <c r="J330" s="491"/>
      <c r="K330" s="491"/>
      <c r="L330" s="491"/>
      <c r="M330" s="491"/>
      <c r="N330" s="491"/>
      <c r="O330" s="491"/>
      <c r="P330" s="491"/>
      <c r="Q330" s="491"/>
      <c r="R330" s="491"/>
      <c r="S330" s="491"/>
      <c r="T330" s="491"/>
      <c r="U330" s="491"/>
      <c r="V330" s="491"/>
      <c r="W330" s="491"/>
      <c r="X330" s="491"/>
      <c r="Y330" s="491"/>
      <c r="Z330" s="491"/>
      <c r="AA330" s="491"/>
      <c r="AB330" s="491"/>
      <c r="AC330" s="491"/>
      <c r="AD330" s="491"/>
      <c r="AE330" s="491"/>
      <c r="AF330" s="491"/>
      <c r="AG330" s="491"/>
      <c r="AH330" s="491"/>
      <c r="AI330" s="491"/>
      <c r="AJ330" s="491"/>
      <c r="AK330" s="491"/>
      <c r="AL330" s="491"/>
      <c r="AM330" s="491"/>
      <c r="AN330" s="491"/>
      <c r="AO330" s="491"/>
      <c r="AP330" s="491"/>
      <c r="AQ330" s="491"/>
    </row>
    <row r="331" spans="1:43" s="490" customFormat="1">
      <c r="A331" s="622" t="s">
        <v>431</v>
      </c>
      <c r="B331" s="497" t="s">
        <v>432</v>
      </c>
      <c r="C331" s="497"/>
      <c r="D331" s="497"/>
      <c r="E331" s="623">
        <f t="shared" si="51"/>
        <v>525785</v>
      </c>
      <c r="G331" s="491"/>
      <c r="H331" s="491"/>
      <c r="I331" s="491"/>
      <c r="J331" s="491"/>
      <c r="K331" s="491"/>
      <c r="L331" s="491"/>
      <c r="M331" s="491"/>
      <c r="N331" s="491"/>
      <c r="O331" s="491"/>
      <c r="P331" s="491"/>
      <c r="Q331" s="491"/>
      <c r="R331" s="491"/>
      <c r="S331" s="491"/>
      <c r="T331" s="491"/>
      <c r="U331" s="491"/>
      <c r="V331" s="491"/>
      <c r="W331" s="491"/>
      <c r="X331" s="491"/>
      <c r="Y331" s="491"/>
      <c r="Z331" s="491"/>
      <c r="AA331" s="491"/>
      <c r="AB331" s="491"/>
      <c r="AC331" s="491"/>
      <c r="AD331" s="491"/>
      <c r="AE331" s="491"/>
      <c r="AF331" s="491"/>
      <c r="AG331" s="491"/>
      <c r="AH331" s="491"/>
      <c r="AI331" s="491"/>
      <c r="AJ331" s="491"/>
      <c r="AK331" s="491"/>
      <c r="AL331" s="491"/>
      <c r="AM331" s="491"/>
      <c r="AN331" s="491"/>
      <c r="AO331" s="491"/>
      <c r="AP331" s="491"/>
      <c r="AQ331" s="491"/>
    </row>
    <row r="332" spans="1:43" s="490" customFormat="1">
      <c r="A332" s="629" t="s">
        <v>440</v>
      </c>
      <c r="B332" s="515" t="s">
        <v>441</v>
      </c>
      <c r="C332" s="515"/>
      <c r="D332" s="515"/>
      <c r="E332" s="630">
        <f t="shared" si="51"/>
        <v>1367897.8158665223</v>
      </c>
      <c r="G332" s="491"/>
      <c r="H332" s="491"/>
      <c r="I332" s="491"/>
      <c r="J332" s="491"/>
      <c r="K332" s="491"/>
      <c r="L332" s="491"/>
      <c r="M332" s="491"/>
      <c r="N332" s="491"/>
      <c r="O332" s="491"/>
      <c r="P332" s="491"/>
      <c r="Q332" s="491"/>
      <c r="R332" s="491"/>
      <c r="S332" s="491"/>
      <c r="T332" s="491"/>
      <c r="U332" s="491"/>
      <c r="V332" s="491"/>
      <c r="W332" s="491"/>
      <c r="X332" s="491"/>
      <c r="Y332" s="491"/>
      <c r="Z332" s="491"/>
      <c r="AA332" s="491"/>
      <c r="AB332" s="491"/>
      <c r="AC332" s="491"/>
      <c r="AD332" s="491"/>
      <c r="AE332" s="491"/>
      <c r="AF332" s="491"/>
      <c r="AG332" s="491"/>
      <c r="AH332" s="491"/>
      <c r="AI332" s="491"/>
      <c r="AJ332" s="491"/>
      <c r="AK332" s="491"/>
      <c r="AL332" s="491"/>
      <c r="AM332" s="491"/>
      <c r="AN332" s="491"/>
      <c r="AO332" s="491"/>
      <c r="AP332" s="491"/>
      <c r="AQ332" s="491"/>
    </row>
    <row r="333" spans="1:43" s="490" customFormat="1">
      <c r="A333" s="619" t="s">
        <v>476</v>
      </c>
      <c r="B333" s="505" t="s">
        <v>477</v>
      </c>
      <c r="C333" s="505"/>
      <c r="D333" s="505"/>
      <c r="E333" s="620">
        <f t="shared" si="51"/>
        <v>1944227.9175257732</v>
      </c>
      <c r="G333" s="491"/>
      <c r="H333" s="491"/>
      <c r="I333" s="491"/>
      <c r="J333" s="491"/>
      <c r="K333" s="491"/>
      <c r="L333" s="491"/>
      <c r="M333" s="491"/>
      <c r="N333" s="491"/>
      <c r="O333" s="491"/>
      <c r="P333" s="491"/>
      <c r="Q333" s="491"/>
      <c r="R333" s="491"/>
      <c r="S333" s="491"/>
      <c r="T333" s="491"/>
      <c r="U333" s="491"/>
      <c r="V333" s="491"/>
      <c r="W333" s="491"/>
      <c r="X333" s="491"/>
      <c r="Y333" s="491"/>
      <c r="Z333" s="491"/>
      <c r="AA333" s="491"/>
      <c r="AB333" s="491"/>
      <c r="AC333" s="491"/>
      <c r="AD333" s="491"/>
      <c r="AE333" s="491"/>
      <c r="AF333" s="491"/>
      <c r="AG333" s="491"/>
      <c r="AH333" s="491"/>
      <c r="AI333" s="491"/>
      <c r="AJ333" s="491"/>
      <c r="AK333" s="491"/>
      <c r="AL333" s="491"/>
      <c r="AM333" s="491"/>
      <c r="AN333" s="491"/>
      <c r="AO333" s="491"/>
      <c r="AP333" s="491"/>
      <c r="AQ333" s="491"/>
    </row>
    <row r="334" spans="1:43" s="490" customFormat="1">
      <c r="A334" s="622" t="s">
        <v>487</v>
      </c>
      <c r="B334" s="497" t="s">
        <v>488</v>
      </c>
      <c r="C334" s="497"/>
      <c r="D334" s="497"/>
      <c r="E334" s="623">
        <f t="shared" si="51"/>
        <v>953493.33333333337</v>
      </c>
      <c r="G334" s="491"/>
      <c r="H334" s="491"/>
      <c r="I334" s="491"/>
      <c r="J334" s="491"/>
      <c r="K334" s="491"/>
      <c r="L334" s="491"/>
      <c r="M334" s="491"/>
      <c r="N334" s="491"/>
      <c r="O334" s="491"/>
      <c r="P334" s="491"/>
      <c r="Q334" s="491"/>
      <c r="R334" s="491"/>
      <c r="S334" s="491"/>
      <c r="T334" s="491"/>
      <c r="U334" s="491"/>
      <c r="V334" s="491"/>
      <c r="W334" s="491"/>
      <c r="X334" s="491"/>
      <c r="Y334" s="491"/>
      <c r="Z334" s="491"/>
      <c r="AA334" s="491"/>
      <c r="AB334" s="491"/>
      <c r="AC334" s="491"/>
      <c r="AD334" s="491"/>
      <c r="AE334" s="491"/>
      <c r="AF334" s="491"/>
      <c r="AG334" s="491"/>
      <c r="AH334" s="491"/>
      <c r="AI334" s="491"/>
      <c r="AJ334" s="491"/>
      <c r="AK334" s="491"/>
      <c r="AL334" s="491"/>
      <c r="AM334" s="491"/>
      <c r="AN334" s="491"/>
      <c r="AO334" s="491"/>
      <c r="AP334" s="491"/>
      <c r="AQ334" s="491"/>
    </row>
    <row r="335" spans="1:43" s="490" customFormat="1">
      <c r="A335" s="622" t="s">
        <v>489</v>
      </c>
      <c r="B335" s="497" t="s">
        <v>490</v>
      </c>
      <c r="C335" s="497"/>
      <c r="D335" s="497"/>
      <c r="E335" s="623">
        <f t="shared" si="51"/>
        <v>0</v>
      </c>
      <c r="G335" s="491"/>
      <c r="H335" s="491"/>
      <c r="I335" s="491"/>
      <c r="J335" s="491"/>
      <c r="K335" s="491"/>
      <c r="L335" s="491"/>
      <c r="M335" s="491"/>
      <c r="N335" s="491"/>
      <c r="O335" s="491"/>
      <c r="P335" s="491"/>
      <c r="Q335" s="491"/>
      <c r="R335" s="491"/>
      <c r="S335" s="491"/>
      <c r="T335" s="491"/>
      <c r="U335" s="491"/>
      <c r="V335" s="491"/>
      <c r="W335" s="491"/>
      <c r="X335" s="491"/>
      <c r="Y335" s="491"/>
      <c r="Z335" s="491"/>
      <c r="AA335" s="491"/>
      <c r="AB335" s="491"/>
      <c r="AC335" s="491"/>
      <c r="AD335" s="491"/>
      <c r="AE335" s="491"/>
      <c r="AF335" s="491"/>
      <c r="AG335" s="491"/>
      <c r="AH335" s="491"/>
      <c r="AI335" s="491"/>
      <c r="AJ335" s="491"/>
      <c r="AK335" s="491"/>
      <c r="AL335" s="491"/>
      <c r="AM335" s="491"/>
      <c r="AN335" s="491"/>
      <c r="AO335" s="491"/>
      <c r="AP335" s="491"/>
      <c r="AQ335" s="491"/>
    </row>
    <row r="336" spans="1:43" s="490" customFormat="1">
      <c r="A336" s="622" t="s">
        <v>496</v>
      </c>
      <c r="B336" s="497" t="s">
        <v>497</v>
      </c>
      <c r="C336" s="497"/>
      <c r="D336" s="497"/>
      <c r="E336" s="623">
        <f t="shared" si="51"/>
        <v>496797</v>
      </c>
      <c r="G336" s="491"/>
      <c r="H336" s="491"/>
      <c r="I336" s="491"/>
      <c r="J336" s="491"/>
      <c r="K336" s="491"/>
      <c r="L336" s="491"/>
      <c r="M336" s="491"/>
      <c r="N336" s="491"/>
      <c r="O336" s="491"/>
      <c r="P336" s="491"/>
      <c r="Q336" s="491"/>
      <c r="R336" s="491"/>
      <c r="S336" s="491"/>
      <c r="T336" s="491"/>
      <c r="U336" s="491"/>
      <c r="V336" s="491"/>
      <c r="W336" s="491"/>
      <c r="X336" s="491"/>
      <c r="Y336" s="491"/>
      <c r="Z336" s="491"/>
      <c r="AA336" s="491"/>
      <c r="AB336" s="491"/>
      <c r="AC336" s="491"/>
      <c r="AD336" s="491"/>
      <c r="AE336" s="491"/>
      <c r="AF336" s="491"/>
      <c r="AG336" s="491"/>
      <c r="AH336" s="491"/>
      <c r="AI336" s="491"/>
      <c r="AJ336" s="491"/>
      <c r="AK336" s="491"/>
      <c r="AL336" s="491"/>
      <c r="AM336" s="491"/>
      <c r="AN336" s="491"/>
      <c r="AO336" s="491"/>
      <c r="AP336" s="491"/>
      <c r="AQ336" s="491"/>
    </row>
    <row r="337" spans="1:43" s="490" customFormat="1">
      <c r="A337" s="622" t="s">
        <v>506</v>
      </c>
      <c r="B337" s="497" t="s">
        <v>507</v>
      </c>
      <c r="C337" s="497"/>
      <c r="D337" s="497"/>
      <c r="E337" s="623">
        <f t="shared" si="51"/>
        <v>1110813.1499999999</v>
      </c>
      <c r="G337" s="491"/>
      <c r="H337" s="491"/>
      <c r="I337" s="491"/>
      <c r="J337" s="491"/>
      <c r="K337" s="491"/>
      <c r="L337" s="491"/>
      <c r="M337" s="491"/>
      <c r="N337" s="491"/>
      <c r="O337" s="491"/>
      <c r="P337" s="491"/>
      <c r="Q337" s="491"/>
      <c r="R337" s="491"/>
      <c r="S337" s="491"/>
      <c r="T337" s="491"/>
      <c r="U337" s="491"/>
      <c r="V337" s="491"/>
      <c r="W337" s="491"/>
      <c r="X337" s="491"/>
      <c r="Y337" s="491"/>
      <c r="Z337" s="491"/>
      <c r="AA337" s="491"/>
      <c r="AB337" s="491"/>
      <c r="AC337" s="491"/>
      <c r="AD337" s="491"/>
      <c r="AE337" s="491"/>
      <c r="AF337" s="491"/>
      <c r="AG337" s="491"/>
      <c r="AH337" s="491"/>
      <c r="AI337" s="491"/>
      <c r="AJ337" s="491"/>
      <c r="AK337" s="491"/>
      <c r="AL337" s="491"/>
      <c r="AM337" s="491"/>
      <c r="AN337" s="491"/>
      <c r="AO337" s="491"/>
      <c r="AP337" s="491"/>
      <c r="AQ337" s="491"/>
    </row>
    <row r="338" spans="1:43" s="490" customFormat="1">
      <c r="A338" s="622" t="s">
        <v>520</v>
      </c>
      <c r="B338" s="497" t="s">
        <v>521</v>
      </c>
      <c r="C338" s="497"/>
      <c r="D338" s="497"/>
      <c r="E338" s="623">
        <f t="shared" si="51"/>
        <v>3688547</v>
      </c>
      <c r="G338" s="491"/>
      <c r="H338" s="491"/>
      <c r="I338" s="491"/>
      <c r="J338" s="491"/>
      <c r="K338" s="491"/>
      <c r="L338" s="491"/>
      <c r="M338" s="491"/>
      <c r="N338" s="491"/>
      <c r="O338" s="491"/>
      <c r="P338" s="491"/>
      <c r="Q338" s="491"/>
      <c r="R338" s="491"/>
      <c r="S338" s="491"/>
      <c r="T338" s="491"/>
      <c r="U338" s="491"/>
      <c r="V338" s="491"/>
      <c r="W338" s="491"/>
      <c r="X338" s="491"/>
      <c r="Y338" s="491"/>
      <c r="Z338" s="491"/>
      <c r="AA338" s="491"/>
      <c r="AB338" s="491"/>
      <c r="AC338" s="491"/>
      <c r="AD338" s="491"/>
      <c r="AE338" s="491"/>
      <c r="AF338" s="491"/>
      <c r="AG338" s="491"/>
      <c r="AH338" s="491"/>
      <c r="AI338" s="491"/>
      <c r="AJ338" s="491"/>
      <c r="AK338" s="491"/>
      <c r="AL338" s="491"/>
      <c r="AM338" s="491"/>
      <c r="AN338" s="491"/>
      <c r="AO338" s="491"/>
      <c r="AP338" s="491"/>
      <c r="AQ338" s="491"/>
    </row>
    <row r="339" spans="1:43" s="490" customFormat="1">
      <c r="A339" s="622" t="s">
        <v>527</v>
      </c>
      <c r="B339" s="497" t="s">
        <v>528</v>
      </c>
      <c r="C339" s="497"/>
      <c r="D339" s="497"/>
      <c r="E339" s="623">
        <f t="shared" si="51"/>
        <v>3588865.979381443</v>
      </c>
      <c r="G339" s="491"/>
      <c r="H339" s="491"/>
      <c r="I339" s="491"/>
      <c r="J339" s="491"/>
      <c r="K339" s="491"/>
      <c r="L339" s="491"/>
      <c r="M339" s="491"/>
      <c r="N339" s="491"/>
      <c r="O339" s="491"/>
      <c r="P339" s="491"/>
      <c r="Q339" s="491"/>
      <c r="R339" s="491"/>
      <c r="S339" s="491"/>
      <c r="T339" s="491"/>
      <c r="U339" s="491"/>
      <c r="V339" s="491"/>
      <c r="W339" s="491"/>
      <c r="X339" s="491"/>
      <c r="Y339" s="491"/>
      <c r="Z339" s="491"/>
      <c r="AA339" s="491"/>
      <c r="AB339" s="491"/>
      <c r="AC339" s="491"/>
      <c r="AD339" s="491"/>
      <c r="AE339" s="491"/>
      <c r="AF339" s="491"/>
      <c r="AG339" s="491"/>
      <c r="AH339" s="491"/>
      <c r="AI339" s="491"/>
      <c r="AJ339" s="491"/>
      <c r="AK339" s="491"/>
      <c r="AL339" s="491"/>
      <c r="AM339" s="491"/>
      <c r="AN339" s="491"/>
      <c r="AO339" s="491"/>
      <c r="AP339" s="491"/>
      <c r="AQ339" s="491"/>
    </row>
    <row r="340" spans="1:43" s="490" customFormat="1">
      <c r="A340" s="622" t="s">
        <v>561</v>
      </c>
      <c r="B340" s="497" t="s">
        <v>562</v>
      </c>
      <c r="C340" s="497"/>
      <c r="D340" s="497"/>
      <c r="E340" s="623">
        <f t="shared" si="51"/>
        <v>4455520.8099999996</v>
      </c>
      <c r="G340" s="491"/>
      <c r="H340" s="491"/>
      <c r="I340" s="491"/>
      <c r="J340" s="491"/>
      <c r="K340" s="491"/>
      <c r="L340" s="491"/>
      <c r="M340" s="491"/>
      <c r="N340" s="491"/>
      <c r="O340" s="491"/>
      <c r="P340" s="491"/>
      <c r="Q340" s="491"/>
      <c r="R340" s="491"/>
      <c r="S340" s="491"/>
      <c r="T340" s="491"/>
      <c r="U340" s="491"/>
      <c r="V340" s="491"/>
      <c r="W340" s="491"/>
      <c r="X340" s="491"/>
      <c r="Y340" s="491"/>
      <c r="Z340" s="491"/>
      <c r="AA340" s="491"/>
      <c r="AB340" s="491"/>
      <c r="AC340" s="491"/>
      <c r="AD340" s="491"/>
      <c r="AE340" s="491"/>
      <c r="AF340" s="491"/>
      <c r="AG340" s="491"/>
      <c r="AH340" s="491"/>
      <c r="AI340" s="491"/>
      <c r="AJ340" s="491"/>
      <c r="AK340" s="491"/>
      <c r="AL340" s="491"/>
      <c r="AM340" s="491"/>
      <c r="AN340" s="491"/>
      <c r="AO340" s="491"/>
      <c r="AP340" s="491"/>
      <c r="AQ340" s="491"/>
    </row>
    <row r="341" spans="1:43" s="490" customFormat="1">
      <c r="A341" s="622" t="s">
        <v>571</v>
      </c>
      <c r="B341" s="497" t="s">
        <v>572</v>
      </c>
      <c r="C341" s="497"/>
      <c r="D341" s="497"/>
      <c r="E341" s="623">
        <f t="shared" si="51"/>
        <v>166956.95000000001</v>
      </c>
      <c r="G341" s="491"/>
      <c r="H341" s="491"/>
      <c r="I341" s="491"/>
      <c r="J341" s="491"/>
      <c r="K341" s="491"/>
      <c r="L341" s="491"/>
      <c r="M341" s="491"/>
      <c r="N341" s="491"/>
      <c r="O341" s="491"/>
      <c r="P341" s="491"/>
      <c r="Q341" s="491"/>
      <c r="R341" s="491"/>
      <c r="S341" s="491"/>
      <c r="T341" s="491"/>
      <c r="U341" s="491"/>
      <c r="V341" s="491"/>
      <c r="W341" s="491"/>
      <c r="X341" s="491"/>
      <c r="Y341" s="491"/>
      <c r="Z341" s="491"/>
      <c r="AA341" s="491"/>
      <c r="AB341" s="491"/>
      <c r="AC341" s="491"/>
      <c r="AD341" s="491"/>
      <c r="AE341" s="491"/>
      <c r="AF341" s="491"/>
      <c r="AG341" s="491"/>
      <c r="AH341" s="491"/>
      <c r="AI341" s="491"/>
      <c r="AJ341" s="491"/>
      <c r="AK341" s="491"/>
      <c r="AL341" s="491"/>
      <c r="AM341" s="491"/>
      <c r="AN341" s="491"/>
      <c r="AO341" s="491"/>
      <c r="AP341" s="491"/>
      <c r="AQ341" s="491"/>
    </row>
    <row r="342" spans="1:43" s="490" customFormat="1">
      <c r="A342" s="622" t="s">
        <v>582</v>
      </c>
      <c r="B342" s="497" t="s">
        <v>583</v>
      </c>
      <c r="C342" s="497"/>
      <c r="D342" s="497"/>
      <c r="E342" s="623">
        <f t="shared" si="51"/>
        <v>1047129.8949337261</v>
      </c>
      <c r="G342" s="491"/>
      <c r="H342" s="491"/>
      <c r="I342" s="491"/>
      <c r="J342" s="491"/>
      <c r="K342" s="491"/>
      <c r="L342" s="491"/>
      <c r="M342" s="491"/>
      <c r="N342" s="491"/>
      <c r="O342" s="491"/>
      <c r="P342" s="491"/>
      <c r="Q342" s="491"/>
      <c r="R342" s="491"/>
      <c r="S342" s="491"/>
      <c r="T342" s="491"/>
      <c r="U342" s="491"/>
      <c r="V342" s="491"/>
      <c r="W342" s="491"/>
      <c r="X342" s="491"/>
      <c r="Y342" s="491"/>
      <c r="Z342" s="491"/>
      <c r="AA342" s="491"/>
      <c r="AB342" s="491"/>
      <c r="AC342" s="491"/>
      <c r="AD342" s="491"/>
      <c r="AE342" s="491"/>
      <c r="AF342" s="491"/>
      <c r="AG342" s="491"/>
      <c r="AH342" s="491"/>
      <c r="AI342" s="491"/>
      <c r="AJ342" s="491"/>
      <c r="AK342" s="491"/>
      <c r="AL342" s="491"/>
      <c r="AM342" s="491"/>
      <c r="AN342" s="491"/>
      <c r="AO342" s="491"/>
      <c r="AP342" s="491"/>
      <c r="AQ342" s="491"/>
    </row>
    <row r="343" spans="1:43" s="490" customFormat="1">
      <c r="A343" s="622" t="s">
        <v>603</v>
      </c>
      <c r="B343" s="497" t="s">
        <v>604</v>
      </c>
      <c r="C343" s="497"/>
      <c r="D343" s="497"/>
      <c r="E343" s="623">
        <f t="shared" si="51"/>
        <v>1777422.4983884296</v>
      </c>
      <c r="G343" s="491"/>
      <c r="H343" s="491"/>
      <c r="I343" s="491"/>
      <c r="J343" s="491"/>
      <c r="K343" s="491"/>
      <c r="L343" s="491"/>
      <c r="M343" s="491"/>
      <c r="N343" s="491"/>
      <c r="O343" s="491"/>
      <c r="P343" s="491"/>
      <c r="Q343" s="491"/>
      <c r="R343" s="491"/>
      <c r="S343" s="491"/>
      <c r="T343" s="491"/>
      <c r="U343" s="491"/>
      <c r="V343" s="491"/>
      <c r="W343" s="491"/>
      <c r="X343" s="491"/>
      <c r="Y343" s="491"/>
      <c r="Z343" s="491"/>
      <c r="AA343" s="491"/>
      <c r="AB343" s="491"/>
      <c r="AC343" s="491"/>
      <c r="AD343" s="491"/>
      <c r="AE343" s="491"/>
      <c r="AF343" s="491"/>
      <c r="AG343" s="491"/>
      <c r="AH343" s="491"/>
      <c r="AI343" s="491"/>
      <c r="AJ343" s="491"/>
      <c r="AK343" s="491"/>
      <c r="AL343" s="491"/>
      <c r="AM343" s="491"/>
      <c r="AN343" s="491"/>
      <c r="AO343" s="491"/>
      <c r="AP343" s="491"/>
      <c r="AQ343" s="491"/>
    </row>
    <row r="344" spans="1:43" s="490" customFormat="1">
      <c r="A344" s="629" t="s">
        <v>679</v>
      </c>
      <c r="B344" s="515" t="s">
        <v>680</v>
      </c>
      <c r="C344" s="515"/>
      <c r="D344" s="515"/>
      <c r="E344" s="630">
        <f t="shared" si="51"/>
        <v>5896648.9249999989</v>
      </c>
      <c r="G344" s="491"/>
      <c r="H344" s="491"/>
      <c r="I344" s="491"/>
      <c r="J344" s="491"/>
      <c r="K344" s="491"/>
      <c r="L344" s="491"/>
      <c r="M344" s="491"/>
      <c r="N344" s="491"/>
      <c r="O344" s="491"/>
      <c r="P344" s="491"/>
      <c r="Q344" s="491"/>
      <c r="R344" s="491"/>
      <c r="S344" s="491"/>
      <c r="T344" s="491"/>
      <c r="U344" s="491"/>
      <c r="V344" s="491"/>
      <c r="W344" s="491"/>
      <c r="X344" s="491"/>
      <c r="Y344" s="491"/>
      <c r="Z344" s="491"/>
      <c r="AA344" s="491"/>
      <c r="AB344" s="491"/>
      <c r="AC344" s="491"/>
      <c r="AD344" s="491"/>
      <c r="AE344" s="491"/>
      <c r="AF344" s="491"/>
      <c r="AG344" s="491"/>
      <c r="AH344" s="491"/>
      <c r="AI344" s="491"/>
      <c r="AJ344" s="491"/>
      <c r="AK344" s="491"/>
      <c r="AL344" s="491"/>
      <c r="AM344" s="491"/>
      <c r="AN344" s="491"/>
      <c r="AO344" s="491"/>
      <c r="AP344" s="491"/>
      <c r="AQ344" s="491"/>
    </row>
    <row r="345" spans="1:43" s="490" customFormat="1">
      <c r="A345" s="619" t="s">
        <v>708</v>
      </c>
      <c r="B345" s="505" t="s">
        <v>709</v>
      </c>
      <c r="C345" s="505"/>
      <c r="D345" s="505"/>
      <c r="E345" s="620">
        <f t="shared" si="51"/>
        <v>2941601.83</v>
      </c>
      <c r="G345" s="491"/>
      <c r="H345" s="491"/>
      <c r="I345" s="491"/>
      <c r="J345" s="491"/>
      <c r="K345" s="491"/>
      <c r="L345" s="491"/>
      <c r="M345" s="491"/>
      <c r="N345" s="491"/>
      <c r="O345" s="491"/>
      <c r="P345" s="491"/>
      <c r="Q345" s="491"/>
      <c r="R345" s="491"/>
      <c r="S345" s="491"/>
      <c r="T345" s="491"/>
      <c r="U345" s="491"/>
      <c r="V345" s="491"/>
      <c r="W345" s="491"/>
      <c r="X345" s="491"/>
      <c r="Y345" s="491"/>
      <c r="Z345" s="491"/>
      <c r="AA345" s="491"/>
      <c r="AB345" s="491"/>
      <c r="AC345" s="491"/>
      <c r="AD345" s="491"/>
      <c r="AE345" s="491"/>
      <c r="AF345" s="491"/>
      <c r="AG345" s="491"/>
      <c r="AH345" s="491"/>
      <c r="AI345" s="491"/>
      <c r="AJ345" s="491"/>
      <c r="AK345" s="491"/>
      <c r="AL345" s="491"/>
      <c r="AM345" s="491"/>
      <c r="AN345" s="491"/>
      <c r="AO345" s="491"/>
      <c r="AP345" s="491"/>
      <c r="AQ345" s="491"/>
    </row>
    <row r="346" spans="1:43" s="490" customFormat="1">
      <c r="A346" s="622" t="s">
        <v>717</v>
      </c>
      <c r="B346" s="497" t="s">
        <v>718</v>
      </c>
      <c r="C346" s="497"/>
      <c r="D346" s="497"/>
      <c r="E346" s="623">
        <f t="shared" si="51"/>
        <v>7500</v>
      </c>
      <c r="G346" s="491"/>
      <c r="H346" s="491"/>
      <c r="I346" s="491"/>
      <c r="J346" s="491"/>
      <c r="K346" s="491"/>
      <c r="L346" s="491"/>
      <c r="M346" s="491"/>
      <c r="N346" s="491"/>
      <c r="O346" s="491"/>
      <c r="P346" s="491"/>
      <c r="Q346" s="491"/>
      <c r="R346" s="491"/>
      <c r="S346" s="491"/>
      <c r="T346" s="491"/>
      <c r="U346" s="491"/>
      <c r="V346" s="491"/>
      <c r="W346" s="491"/>
      <c r="X346" s="491"/>
      <c r="Y346" s="491"/>
      <c r="Z346" s="491"/>
      <c r="AA346" s="491"/>
      <c r="AB346" s="491"/>
      <c r="AC346" s="491"/>
      <c r="AD346" s="491"/>
      <c r="AE346" s="491"/>
      <c r="AF346" s="491"/>
      <c r="AG346" s="491"/>
      <c r="AH346" s="491"/>
      <c r="AI346" s="491"/>
      <c r="AJ346" s="491"/>
      <c r="AK346" s="491"/>
      <c r="AL346" s="491"/>
      <c r="AM346" s="491"/>
      <c r="AN346" s="491"/>
      <c r="AO346" s="491"/>
      <c r="AP346" s="491"/>
      <c r="AQ346" s="491"/>
    </row>
    <row r="347" spans="1:43" s="490" customFormat="1">
      <c r="A347" s="622" t="s">
        <v>726</v>
      </c>
      <c r="B347" s="497" t="s">
        <v>727</v>
      </c>
      <c r="C347" s="497"/>
      <c r="D347" s="497"/>
      <c r="E347" s="623">
        <f t="shared" si="51"/>
        <v>1077434</v>
      </c>
      <c r="G347" s="491"/>
      <c r="H347" s="491"/>
      <c r="I347" s="491"/>
      <c r="J347" s="491"/>
      <c r="K347" s="491"/>
      <c r="L347" s="491"/>
      <c r="M347" s="491"/>
      <c r="N347" s="491"/>
      <c r="O347" s="491"/>
      <c r="P347" s="491"/>
      <c r="Q347" s="491"/>
      <c r="R347" s="491"/>
      <c r="S347" s="491"/>
      <c r="T347" s="491"/>
      <c r="U347" s="491"/>
      <c r="V347" s="491"/>
      <c r="W347" s="491"/>
      <c r="X347" s="491"/>
      <c r="Y347" s="491"/>
      <c r="Z347" s="491"/>
      <c r="AA347" s="491"/>
      <c r="AB347" s="491"/>
      <c r="AC347" s="491"/>
      <c r="AD347" s="491"/>
      <c r="AE347" s="491"/>
      <c r="AF347" s="491"/>
      <c r="AG347" s="491"/>
      <c r="AH347" s="491"/>
      <c r="AI347" s="491"/>
      <c r="AJ347" s="491"/>
      <c r="AK347" s="491"/>
      <c r="AL347" s="491"/>
      <c r="AM347" s="491"/>
      <c r="AN347" s="491"/>
      <c r="AO347" s="491"/>
      <c r="AP347" s="491"/>
      <c r="AQ347" s="491"/>
    </row>
    <row r="348" spans="1:43" s="490" customFormat="1">
      <c r="A348" s="622" t="s">
        <v>748</v>
      </c>
      <c r="B348" s="497" t="s">
        <v>749</v>
      </c>
      <c r="C348" s="497"/>
      <c r="D348" s="497"/>
      <c r="E348" s="623">
        <f t="shared" si="51"/>
        <v>502425</v>
      </c>
      <c r="G348" s="491"/>
      <c r="H348" s="491"/>
      <c r="I348" s="491"/>
      <c r="J348" s="491"/>
      <c r="K348" s="491"/>
      <c r="L348" s="491"/>
      <c r="M348" s="491"/>
      <c r="N348" s="491"/>
      <c r="O348" s="491"/>
      <c r="P348" s="491"/>
      <c r="Q348" s="491"/>
      <c r="R348" s="491"/>
      <c r="S348" s="491"/>
      <c r="T348" s="491"/>
      <c r="U348" s="491"/>
      <c r="V348" s="491"/>
      <c r="W348" s="491"/>
      <c r="X348" s="491"/>
      <c r="Y348" s="491"/>
      <c r="Z348" s="491"/>
      <c r="AA348" s="491"/>
      <c r="AB348" s="491"/>
      <c r="AC348" s="491"/>
      <c r="AD348" s="491"/>
      <c r="AE348" s="491"/>
      <c r="AF348" s="491"/>
      <c r="AG348" s="491"/>
      <c r="AH348" s="491"/>
      <c r="AI348" s="491"/>
      <c r="AJ348" s="491"/>
      <c r="AK348" s="491"/>
      <c r="AL348" s="491"/>
      <c r="AM348" s="491"/>
      <c r="AN348" s="491"/>
      <c r="AO348" s="491"/>
      <c r="AP348" s="491"/>
      <c r="AQ348" s="491"/>
    </row>
    <row r="349" spans="1:43" s="490" customFormat="1">
      <c r="A349" s="622" t="s">
        <v>806</v>
      </c>
      <c r="B349" s="497"/>
      <c r="C349" s="497"/>
      <c r="D349" s="497"/>
      <c r="E349" s="623" t="e">
        <f t="shared" si="51"/>
        <v>#N/A</v>
      </c>
      <c r="G349" s="491"/>
      <c r="H349" s="491"/>
      <c r="I349" s="491"/>
      <c r="J349" s="491"/>
      <c r="K349" s="491"/>
      <c r="L349" s="491"/>
      <c r="M349" s="491"/>
      <c r="N349" s="491"/>
      <c r="O349" s="491"/>
      <c r="P349" s="491"/>
      <c r="Q349" s="491"/>
      <c r="R349" s="491"/>
      <c r="S349" s="491"/>
      <c r="T349" s="491"/>
      <c r="U349" s="491"/>
      <c r="V349" s="491"/>
      <c r="W349" s="491"/>
      <c r="X349" s="491"/>
      <c r="Y349" s="491"/>
      <c r="Z349" s="491"/>
      <c r="AA349" s="491"/>
      <c r="AB349" s="491"/>
      <c r="AC349" s="491"/>
      <c r="AD349" s="491"/>
      <c r="AE349" s="491"/>
      <c r="AF349" s="491"/>
      <c r="AG349" s="491"/>
      <c r="AH349" s="491"/>
      <c r="AI349" s="491"/>
      <c r="AJ349" s="491"/>
      <c r="AK349" s="491"/>
      <c r="AL349" s="491"/>
      <c r="AM349" s="491"/>
      <c r="AN349" s="491"/>
      <c r="AO349" s="491"/>
      <c r="AP349" s="491"/>
      <c r="AQ349" s="491"/>
    </row>
    <row r="350" spans="1:43" s="490" customFormat="1">
      <c r="A350" s="622" t="s">
        <v>751</v>
      </c>
      <c r="B350" s="497"/>
      <c r="C350" s="497"/>
      <c r="D350" s="497"/>
      <c r="E350" s="623">
        <f t="shared" si="51"/>
        <v>0</v>
      </c>
      <c r="G350" s="491"/>
      <c r="H350" s="491"/>
      <c r="I350" s="491"/>
      <c r="J350" s="491"/>
      <c r="K350" s="491"/>
      <c r="L350" s="491"/>
      <c r="M350" s="491"/>
      <c r="N350" s="491"/>
      <c r="O350" s="491"/>
      <c r="P350" s="491"/>
      <c r="Q350" s="491"/>
      <c r="R350" s="491"/>
      <c r="S350" s="491"/>
      <c r="T350" s="491"/>
      <c r="U350" s="491"/>
      <c r="V350" s="491"/>
      <c r="W350" s="491"/>
      <c r="X350" s="491"/>
      <c r="Y350" s="491"/>
      <c r="Z350" s="491"/>
      <c r="AA350" s="491"/>
      <c r="AB350" s="491"/>
      <c r="AC350" s="491"/>
      <c r="AD350" s="491"/>
      <c r="AE350" s="491"/>
      <c r="AF350" s="491"/>
      <c r="AG350" s="491"/>
      <c r="AH350" s="491"/>
      <c r="AI350" s="491"/>
      <c r="AJ350" s="491"/>
      <c r="AK350" s="491"/>
      <c r="AL350" s="491"/>
      <c r="AM350" s="491"/>
      <c r="AN350" s="491"/>
      <c r="AO350" s="491"/>
      <c r="AP350" s="491"/>
      <c r="AQ350" s="491"/>
    </row>
    <row r="351" spans="1:43" s="490" customFormat="1">
      <c r="A351" s="622" t="s">
        <v>781</v>
      </c>
      <c r="B351" s="497"/>
      <c r="C351" s="497"/>
      <c r="D351" s="497"/>
      <c r="E351" s="623">
        <f t="shared" si="51"/>
        <v>1181753.162</v>
      </c>
      <c r="G351" s="491"/>
      <c r="H351" s="491"/>
      <c r="I351" s="491"/>
      <c r="J351" s="491"/>
      <c r="K351" s="491"/>
      <c r="L351" s="491"/>
      <c r="M351" s="491"/>
      <c r="N351" s="491"/>
      <c r="O351" s="491"/>
      <c r="P351" s="491"/>
      <c r="Q351" s="491"/>
      <c r="R351" s="491"/>
      <c r="S351" s="491"/>
      <c r="T351" s="491"/>
      <c r="U351" s="491"/>
      <c r="V351" s="491"/>
      <c r="W351" s="491"/>
      <c r="X351" s="491"/>
      <c r="Y351" s="491"/>
      <c r="Z351" s="491"/>
      <c r="AA351" s="491"/>
      <c r="AB351" s="491"/>
      <c r="AC351" s="491"/>
      <c r="AD351" s="491"/>
      <c r="AE351" s="491"/>
      <c r="AF351" s="491"/>
      <c r="AG351" s="491"/>
      <c r="AH351" s="491"/>
      <c r="AI351" s="491"/>
      <c r="AJ351" s="491"/>
      <c r="AK351" s="491"/>
      <c r="AL351" s="491"/>
      <c r="AM351" s="491"/>
      <c r="AN351" s="491"/>
      <c r="AO351" s="491"/>
      <c r="AP351" s="491"/>
      <c r="AQ351" s="491"/>
    </row>
    <row r="352" spans="1:43" s="490" customFormat="1">
      <c r="A352" s="622" t="s">
        <v>783</v>
      </c>
      <c r="B352" s="497" t="s">
        <v>785</v>
      </c>
      <c r="C352" s="497"/>
      <c r="D352" s="497"/>
      <c r="E352" s="623">
        <f t="shared" si="51"/>
        <v>0</v>
      </c>
      <c r="G352" s="491"/>
      <c r="H352" s="491"/>
      <c r="I352" s="491"/>
      <c r="J352" s="491"/>
      <c r="K352" s="491"/>
      <c r="L352" s="491"/>
      <c r="M352" s="491"/>
      <c r="N352" s="491"/>
      <c r="O352" s="491"/>
      <c r="P352" s="491"/>
      <c r="Q352" s="491"/>
      <c r="R352" s="491"/>
      <c r="S352" s="491"/>
      <c r="T352" s="491"/>
      <c r="U352" s="491"/>
      <c r="V352" s="491"/>
      <c r="W352" s="491"/>
      <c r="X352" s="491"/>
      <c r="Y352" s="491"/>
      <c r="Z352" s="491"/>
      <c r="AA352" s="491"/>
      <c r="AB352" s="491"/>
      <c r="AC352" s="491"/>
      <c r="AD352" s="491"/>
      <c r="AE352" s="491"/>
      <c r="AF352" s="491"/>
      <c r="AG352" s="491"/>
      <c r="AH352" s="491"/>
      <c r="AI352" s="491"/>
      <c r="AJ352" s="491"/>
      <c r="AK352" s="491"/>
      <c r="AL352" s="491"/>
      <c r="AM352" s="491"/>
      <c r="AN352" s="491"/>
      <c r="AO352" s="491"/>
      <c r="AP352" s="491"/>
      <c r="AQ352" s="491"/>
    </row>
    <row r="353" spans="1:43" s="490" customFormat="1">
      <c r="A353" s="622" t="s">
        <v>786</v>
      </c>
      <c r="B353" s="497" t="s">
        <v>789</v>
      </c>
      <c r="C353" s="497"/>
      <c r="D353" s="497"/>
      <c r="E353" s="623">
        <f t="shared" si="51"/>
        <v>0</v>
      </c>
      <c r="G353" s="491"/>
      <c r="H353" s="491"/>
      <c r="I353" s="491"/>
      <c r="J353" s="491"/>
      <c r="K353" s="491"/>
      <c r="L353" s="491"/>
      <c r="M353" s="491"/>
      <c r="N353" s="491"/>
      <c r="O353" s="491"/>
      <c r="P353" s="491"/>
      <c r="Q353" s="491"/>
      <c r="R353" s="491"/>
      <c r="S353" s="491"/>
      <c r="T353" s="491"/>
      <c r="U353" s="491"/>
      <c r="V353" s="491"/>
      <c r="W353" s="491"/>
      <c r="X353" s="491"/>
      <c r="Y353" s="491"/>
      <c r="Z353" s="491"/>
      <c r="AA353" s="491"/>
      <c r="AB353" s="491"/>
      <c r="AC353" s="491"/>
      <c r="AD353" s="491"/>
      <c r="AE353" s="491"/>
      <c r="AF353" s="491"/>
      <c r="AG353" s="491"/>
      <c r="AH353" s="491"/>
      <c r="AI353" s="491"/>
      <c r="AJ353" s="491"/>
      <c r="AK353" s="491"/>
      <c r="AL353" s="491"/>
      <c r="AM353" s="491"/>
      <c r="AN353" s="491"/>
      <c r="AO353" s="491"/>
      <c r="AP353" s="491"/>
      <c r="AQ353" s="491"/>
    </row>
    <row r="354" spans="1:43" s="490" customFormat="1">
      <c r="A354" s="622" t="s">
        <v>797</v>
      </c>
      <c r="B354" s="497" t="s">
        <v>789</v>
      </c>
      <c r="C354" s="497"/>
      <c r="D354" s="497"/>
      <c r="E354" s="623">
        <f t="shared" si="51"/>
        <v>613733.0510437754</v>
      </c>
      <c r="G354" s="491"/>
      <c r="H354" s="491"/>
      <c r="I354" s="491"/>
      <c r="J354" s="491"/>
      <c r="K354" s="491"/>
      <c r="L354" s="491"/>
      <c r="M354" s="491"/>
      <c r="N354" s="491"/>
      <c r="O354" s="491"/>
      <c r="P354" s="491"/>
      <c r="Q354" s="491"/>
      <c r="R354" s="491"/>
      <c r="S354" s="491"/>
      <c r="T354" s="491"/>
      <c r="U354" s="491"/>
      <c r="V354" s="491"/>
      <c r="W354" s="491"/>
      <c r="X354" s="491"/>
      <c r="Y354" s="491"/>
      <c r="Z354" s="491"/>
      <c r="AA354" s="491"/>
      <c r="AB354" s="491"/>
      <c r="AC354" s="491"/>
      <c r="AD354" s="491"/>
      <c r="AE354" s="491"/>
      <c r="AF354" s="491"/>
      <c r="AG354" s="491"/>
      <c r="AH354" s="491"/>
      <c r="AI354" s="491"/>
      <c r="AJ354" s="491"/>
      <c r="AK354" s="491"/>
      <c r="AL354" s="491"/>
      <c r="AM354" s="491"/>
      <c r="AN354" s="491"/>
      <c r="AO354" s="491"/>
      <c r="AP354" s="491"/>
      <c r="AQ354" s="491"/>
    </row>
    <row r="355" spans="1:43" s="490" customFormat="1">
      <c r="A355" s="622" t="s">
        <v>800</v>
      </c>
      <c r="B355" s="497" t="s">
        <v>799</v>
      </c>
      <c r="C355" s="497"/>
      <c r="D355" s="497"/>
      <c r="E355" s="623">
        <f t="shared" si="51"/>
        <v>0</v>
      </c>
      <c r="G355" s="491"/>
      <c r="H355" s="491"/>
      <c r="I355" s="491"/>
      <c r="J355" s="491"/>
      <c r="K355" s="491"/>
      <c r="L355" s="491"/>
      <c r="M355" s="491"/>
      <c r="N355" s="491"/>
      <c r="O355" s="491"/>
      <c r="P355" s="491"/>
      <c r="Q355" s="491"/>
      <c r="R355" s="491"/>
      <c r="S355" s="491"/>
      <c r="T355" s="491"/>
      <c r="U355" s="491"/>
      <c r="V355" s="491"/>
      <c r="W355" s="491"/>
      <c r="X355" s="491"/>
      <c r="Y355" s="491"/>
      <c r="Z355" s="491"/>
      <c r="AA355" s="491"/>
      <c r="AB355" s="491"/>
      <c r="AC355" s="491"/>
      <c r="AD355" s="491"/>
      <c r="AE355" s="491"/>
      <c r="AF355" s="491"/>
      <c r="AG355" s="491"/>
      <c r="AH355" s="491"/>
      <c r="AI355" s="491"/>
      <c r="AJ355" s="491"/>
      <c r="AK355" s="491"/>
      <c r="AL355" s="491"/>
      <c r="AM355" s="491"/>
      <c r="AN355" s="491"/>
      <c r="AO355" s="491"/>
      <c r="AP355" s="491"/>
      <c r="AQ355" s="491"/>
    </row>
    <row r="356" spans="1:43" s="490" customFormat="1">
      <c r="A356" s="631" t="s">
        <v>802</v>
      </c>
      <c r="B356" s="515"/>
      <c r="C356" s="515"/>
      <c r="D356" s="515"/>
      <c r="E356" s="630">
        <f t="shared" si="51"/>
        <v>68005168.685757682</v>
      </c>
      <c r="G356" s="491"/>
      <c r="H356" s="491"/>
      <c r="I356" s="491"/>
      <c r="J356" s="491"/>
      <c r="K356" s="491"/>
      <c r="L356" s="491"/>
      <c r="M356" s="491"/>
      <c r="N356" s="491"/>
      <c r="O356" s="491"/>
      <c r="P356" s="491"/>
      <c r="Q356" s="491"/>
      <c r="R356" s="491"/>
      <c r="S356" s="491"/>
      <c r="T356" s="491"/>
      <c r="U356" s="491"/>
      <c r="V356" s="491"/>
      <c r="W356" s="491"/>
      <c r="X356" s="491"/>
      <c r="Y356" s="491"/>
      <c r="Z356" s="491"/>
      <c r="AA356" s="491"/>
      <c r="AB356" s="491"/>
      <c r="AC356" s="491"/>
      <c r="AD356" s="491"/>
      <c r="AE356" s="491"/>
      <c r="AF356" s="491"/>
      <c r="AG356" s="491"/>
      <c r="AH356" s="491"/>
      <c r="AI356" s="491"/>
      <c r="AJ356" s="491"/>
      <c r="AK356" s="491"/>
      <c r="AL356" s="491"/>
      <c r="AM356" s="491"/>
      <c r="AN356" s="491"/>
      <c r="AO356" s="491"/>
      <c r="AP356" s="491"/>
      <c r="AQ356" s="491"/>
    </row>
    <row r="357" spans="1:43" s="490" customFormat="1">
      <c r="A357" s="491"/>
      <c r="B357" s="491"/>
      <c r="C357" s="491"/>
      <c r="D357" s="491"/>
      <c r="E357" s="576" t="e">
        <f>SUM(E321:E332,E333:E344,E345:E355)-E356</f>
        <v>#N/A</v>
      </c>
      <c r="G357" s="491"/>
      <c r="H357" s="491"/>
      <c r="I357" s="491"/>
      <c r="J357" s="491"/>
      <c r="K357" s="491"/>
      <c r="L357" s="491"/>
      <c r="M357" s="491"/>
      <c r="N357" s="491"/>
      <c r="O357" s="491"/>
      <c r="P357" s="491"/>
      <c r="Q357" s="491"/>
      <c r="R357" s="491"/>
      <c r="S357" s="491"/>
      <c r="T357" s="491"/>
      <c r="U357" s="491"/>
      <c r="V357" s="491"/>
      <c r="W357" s="491"/>
      <c r="X357" s="491"/>
      <c r="Y357" s="491"/>
      <c r="Z357" s="491"/>
      <c r="AA357" s="491"/>
      <c r="AB357" s="491"/>
      <c r="AC357" s="491"/>
      <c r="AD357" s="491"/>
      <c r="AE357" s="491"/>
      <c r="AF357" s="491"/>
      <c r="AG357" s="491"/>
      <c r="AH357" s="491"/>
      <c r="AI357" s="491"/>
      <c r="AJ357" s="491"/>
      <c r="AK357" s="491"/>
      <c r="AL357" s="491"/>
      <c r="AM357" s="491"/>
      <c r="AN357" s="491"/>
      <c r="AO357" s="491"/>
      <c r="AP357" s="491"/>
      <c r="AQ357" s="491"/>
    </row>
    <row r="361" spans="1:43">
      <c r="F361" s="632" t="s">
        <v>56</v>
      </c>
    </row>
    <row r="362" spans="1:43">
      <c r="A362"/>
      <c r="B362" s="408"/>
      <c r="C362" s="408"/>
      <c r="D362" s="408"/>
      <c r="E362" s="408"/>
      <c r="F362" s="632" t="s">
        <v>66</v>
      </c>
    </row>
    <row r="363" spans="1:43">
      <c r="A363" t="s">
        <v>807</v>
      </c>
      <c r="B363" s="408" t="s">
        <v>69</v>
      </c>
      <c r="C363" s="408"/>
      <c r="D363" s="408"/>
      <c r="E363" s="408"/>
      <c r="F363" s="481">
        <f t="shared" ref="F363:F393" si="52">SUMIF($B$14:$B$319,B363,$L$14:$L$319)</f>
        <v>3292398.3062626515</v>
      </c>
    </row>
    <row r="364" spans="1:43">
      <c r="A364" t="s">
        <v>808</v>
      </c>
      <c r="B364" s="408" t="s">
        <v>78</v>
      </c>
      <c r="C364" s="408"/>
      <c r="D364" s="408"/>
      <c r="E364" s="408"/>
      <c r="F364" s="481">
        <f t="shared" si="52"/>
        <v>16000</v>
      </c>
    </row>
    <row r="365" spans="1:43">
      <c r="A365" t="s">
        <v>809</v>
      </c>
      <c r="B365" s="408" t="s">
        <v>122</v>
      </c>
      <c r="C365" s="408"/>
      <c r="D365" s="408"/>
      <c r="E365" s="408"/>
      <c r="F365" s="481">
        <f t="shared" si="52"/>
        <v>2775836.1714905147</v>
      </c>
    </row>
    <row r="366" spans="1:43">
      <c r="A366" t="s">
        <v>810</v>
      </c>
      <c r="B366" s="408" t="s">
        <v>147</v>
      </c>
      <c r="C366" s="408"/>
      <c r="D366" s="408"/>
      <c r="E366" s="408"/>
      <c r="F366" s="481">
        <f t="shared" si="52"/>
        <v>128000</v>
      </c>
    </row>
    <row r="367" spans="1:43">
      <c r="A367" t="s">
        <v>811</v>
      </c>
      <c r="B367" s="408" t="s">
        <v>176</v>
      </c>
      <c r="C367" s="408"/>
      <c r="D367" s="408"/>
      <c r="E367" s="408"/>
      <c r="F367" s="481">
        <f t="shared" si="52"/>
        <v>474487.5</v>
      </c>
    </row>
    <row r="368" spans="1:43">
      <c r="A368" t="s">
        <v>812</v>
      </c>
      <c r="B368" s="408" t="s">
        <v>221</v>
      </c>
      <c r="C368" s="408"/>
      <c r="D368" s="408"/>
      <c r="E368" s="408"/>
      <c r="F368" s="481">
        <f t="shared" si="52"/>
        <v>8286913.7710203575</v>
      </c>
    </row>
    <row r="369" spans="1:6">
      <c r="A369" t="s">
        <v>813</v>
      </c>
      <c r="B369" s="408" t="s">
        <v>268</v>
      </c>
      <c r="C369" s="408"/>
      <c r="D369" s="408"/>
      <c r="E369" s="408"/>
      <c r="F369" s="481">
        <f t="shared" si="52"/>
        <v>2366346.0099999998</v>
      </c>
    </row>
    <row r="370" spans="1:6">
      <c r="A370" t="s">
        <v>814</v>
      </c>
      <c r="B370" s="408" t="s">
        <v>298</v>
      </c>
      <c r="C370" s="408"/>
      <c r="D370" s="408"/>
      <c r="E370" s="408"/>
      <c r="F370" s="481">
        <f t="shared" si="52"/>
        <v>642900</v>
      </c>
    </row>
    <row r="371" spans="1:6">
      <c r="A371" t="s">
        <v>815</v>
      </c>
      <c r="B371" s="408" t="s">
        <v>392</v>
      </c>
      <c r="C371" s="408"/>
      <c r="D371" s="408"/>
      <c r="E371" s="408"/>
      <c r="F371" s="481">
        <f t="shared" si="52"/>
        <v>5963501.3854374392</v>
      </c>
    </row>
    <row r="372" spans="1:6">
      <c r="A372" t="s">
        <v>816</v>
      </c>
      <c r="B372" s="408" t="s">
        <v>432</v>
      </c>
      <c r="C372" s="408"/>
      <c r="D372" s="408"/>
      <c r="E372" s="408"/>
      <c r="F372" s="481">
        <f t="shared" si="52"/>
        <v>525785</v>
      </c>
    </row>
    <row r="373" spans="1:6">
      <c r="A373" t="s">
        <v>817</v>
      </c>
      <c r="B373" s="408" t="s">
        <v>441</v>
      </c>
      <c r="C373" s="408"/>
      <c r="D373" s="408"/>
      <c r="E373" s="408"/>
      <c r="F373" s="481">
        <f t="shared" si="52"/>
        <v>1367897.8158665223</v>
      </c>
    </row>
    <row r="374" spans="1:6">
      <c r="A374" t="s">
        <v>818</v>
      </c>
      <c r="B374" s="408" t="s">
        <v>477</v>
      </c>
      <c r="C374" s="408"/>
      <c r="D374" s="408"/>
      <c r="E374" s="408"/>
      <c r="F374" s="481">
        <f t="shared" si="52"/>
        <v>1944227.9175257732</v>
      </c>
    </row>
    <row r="375" spans="1:6">
      <c r="A375" t="s">
        <v>819</v>
      </c>
      <c r="B375" s="408" t="s">
        <v>488</v>
      </c>
      <c r="C375" s="408"/>
      <c r="D375" s="408"/>
      <c r="E375" s="408"/>
      <c r="F375" s="481">
        <f t="shared" si="52"/>
        <v>953493.33333333337</v>
      </c>
    </row>
    <row r="376" spans="1:6">
      <c r="A376" t="s">
        <v>820</v>
      </c>
      <c r="B376" s="408" t="s">
        <v>497</v>
      </c>
      <c r="C376" s="408"/>
      <c r="D376" s="408"/>
      <c r="E376" s="408"/>
      <c r="F376" s="481">
        <f t="shared" si="52"/>
        <v>496797</v>
      </c>
    </row>
    <row r="377" spans="1:6">
      <c r="A377" t="s">
        <v>821</v>
      </c>
      <c r="B377" s="408" t="s">
        <v>507</v>
      </c>
      <c r="C377" s="408"/>
      <c r="D377" s="408"/>
      <c r="E377" s="408"/>
      <c r="F377" s="481">
        <f t="shared" si="52"/>
        <v>1110813.1499999999</v>
      </c>
    </row>
    <row r="378" spans="1:6">
      <c r="A378" t="s">
        <v>822</v>
      </c>
      <c r="B378" s="408" t="s">
        <v>521</v>
      </c>
      <c r="C378" s="408"/>
      <c r="D378" s="408"/>
      <c r="E378" s="408"/>
      <c r="F378" s="481">
        <f t="shared" si="52"/>
        <v>3688547</v>
      </c>
    </row>
    <row r="379" spans="1:6">
      <c r="A379" t="s">
        <v>823</v>
      </c>
      <c r="B379" s="408" t="s">
        <v>528</v>
      </c>
      <c r="C379" s="408"/>
      <c r="D379" s="408"/>
      <c r="E379" s="408"/>
      <c r="F379" s="481">
        <f t="shared" si="52"/>
        <v>3588865.979381443</v>
      </c>
    </row>
    <row r="380" spans="1:6">
      <c r="A380" t="s">
        <v>824</v>
      </c>
      <c r="B380" s="408" t="s">
        <v>562</v>
      </c>
      <c r="C380" s="408"/>
      <c r="D380" s="408"/>
      <c r="E380" s="408"/>
      <c r="F380" s="481">
        <f t="shared" si="52"/>
        <v>4455520.8099999996</v>
      </c>
    </row>
    <row r="381" spans="1:6">
      <c r="A381" t="s">
        <v>825</v>
      </c>
      <c r="B381" s="408" t="s">
        <v>572</v>
      </c>
      <c r="C381" s="408"/>
      <c r="D381" s="408"/>
      <c r="E381" s="408"/>
      <c r="F381" s="481">
        <f t="shared" si="52"/>
        <v>166956.95000000001</v>
      </c>
    </row>
    <row r="382" spans="1:6">
      <c r="A382" t="s">
        <v>826</v>
      </c>
      <c r="B382" s="408" t="s">
        <v>583</v>
      </c>
      <c r="C382" s="408"/>
      <c r="D382" s="408"/>
      <c r="E382" s="408"/>
      <c r="F382" s="481">
        <f t="shared" si="52"/>
        <v>1047129.8949337261</v>
      </c>
    </row>
    <row r="383" spans="1:6">
      <c r="A383" t="s">
        <v>827</v>
      </c>
      <c r="B383" s="408" t="s">
        <v>604</v>
      </c>
      <c r="C383" s="408"/>
      <c r="D383" s="408"/>
      <c r="E383" s="408"/>
      <c r="F383" s="481">
        <f t="shared" si="52"/>
        <v>1777422.4983884296</v>
      </c>
    </row>
    <row r="384" spans="1:6">
      <c r="A384" t="s">
        <v>828</v>
      </c>
      <c r="B384" s="408" t="s">
        <v>680</v>
      </c>
      <c r="C384" s="408"/>
      <c r="D384" s="408"/>
      <c r="E384" s="408"/>
      <c r="F384" s="481">
        <f t="shared" si="52"/>
        <v>5896648.9249999989</v>
      </c>
    </row>
    <row r="385" spans="1:7">
      <c r="A385" t="s">
        <v>829</v>
      </c>
      <c r="B385" s="408" t="s">
        <v>709</v>
      </c>
      <c r="C385" s="408"/>
      <c r="D385" s="408"/>
      <c r="E385" s="408"/>
      <c r="F385" s="481">
        <f t="shared" si="52"/>
        <v>4430101.83</v>
      </c>
    </row>
    <row r="386" spans="1:7">
      <c r="A386" t="s">
        <v>830</v>
      </c>
      <c r="B386" s="408" t="s">
        <v>718</v>
      </c>
      <c r="C386" s="408"/>
      <c r="D386" s="408"/>
      <c r="E386" s="408"/>
      <c r="F386" s="481">
        <f t="shared" si="52"/>
        <v>7500</v>
      </c>
    </row>
    <row r="387" spans="1:7">
      <c r="A387" t="s">
        <v>831</v>
      </c>
      <c r="B387" s="408" t="s">
        <v>727</v>
      </c>
      <c r="C387" s="408"/>
      <c r="D387" s="408"/>
      <c r="E387" s="408"/>
      <c r="F387" s="481">
        <f t="shared" si="52"/>
        <v>1077434</v>
      </c>
    </row>
    <row r="388" spans="1:7">
      <c r="A388" t="s">
        <v>832</v>
      </c>
      <c r="B388" s="408" t="s">
        <v>749</v>
      </c>
      <c r="C388" s="408"/>
      <c r="D388" s="408"/>
      <c r="E388" s="408"/>
      <c r="F388" s="481">
        <f t="shared" si="52"/>
        <v>502425</v>
      </c>
    </row>
    <row r="389" spans="1:7">
      <c r="A389" t="s">
        <v>751</v>
      </c>
      <c r="B389" s="408" t="s">
        <v>751</v>
      </c>
      <c r="C389" s="408"/>
      <c r="D389" s="408"/>
      <c r="E389" s="408"/>
      <c r="F389" s="481">
        <f t="shared" si="52"/>
        <v>1097466.1020875506</v>
      </c>
    </row>
    <row r="390" spans="1:7">
      <c r="A390" t="s">
        <v>782</v>
      </c>
      <c r="B390" s="408" t="s">
        <v>782</v>
      </c>
      <c r="C390" s="408"/>
      <c r="D390" s="408"/>
      <c r="E390" s="408"/>
      <c r="F390" s="481">
        <f t="shared" si="52"/>
        <v>1181753.162</v>
      </c>
    </row>
    <row r="391" spans="1:7">
      <c r="A391" t="s">
        <v>833</v>
      </c>
      <c r="B391" s="408" t="s">
        <v>789</v>
      </c>
      <c r="C391" s="408"/>
      <c r="D391" s="408"/>
      <c r="E391" s="408"/>
      <c r="F391" s="481">
        <f t="shared" si="52"/>
        <v>1546579.2378181936</v>
      </c>
    </row>
    <row r="392" spans="1:7">
      <c r="A392" t="s">
        <v>834</v>
      </c>
      <c r="B392" s="408" t="s">
        <v>785</v>
      </c>
      <c r="C392" s="408"/>
      <c r="D392" s="408"/>
      <c r="E392" s="408"/>
      <c r="F392" s="481">
        <f t="shared" si="52"/>
        <v>2743665.2552188765</v>
      </c>
    </row>
    <row r="393" spans="1:7">
      <c r="A393" t="s">
        <v>835</v>
      </c>
      <c r="B393" s="408" t="s">
        <v>799</v>
      </c>
      <c r="C393" s="408"/>
      <c r="D393" s="408"/>
      <c r="E393" s="408"/>
      <c r="F393" s="481">
        <f t="shared" si="52"/>
        <v>4451754.6799928835</v>
      </c>
    </row>
    <row r="394" spans="1:7">
      <c r="A394" t="s">
        <v>66</v>
      </c>
      <c r="B394" s="408"/>
      <c r="C394" s="408"/>
      <c r="D394" s="408"/>
      <c r="E394" s="408"/>
      <c r="F394" s="633">
        <f>SUM(F363:F393)</f>
        <v>68005168.685757682</v>
      </c>
    </row>
    <row r="395" spans="1:7">
      <c r="A395" s="634" t="s">
        <v>836</v>
      </c>
      <c r="B395" s="342"/>
      <c r="C395" s="342"/>
      <c r="D395" s="342"/>
      <c r="E395" s="342"/>
      <c r="F395" s="635">
        <f>$L$319-F394</f>
        <v>0</v>
      </c>
    </row>
    <row r="397" spans="1:7">
      <c r="A397" s="484" t="s">
        <v>837</v>
      </c>
      <c r="B397" s="408"/>
      <c r="C397" s="408"/>
      <c r="D397" s="408"/>
      <c r="E397" s="408"/>
      <c r="F397" s="408"/>
      <c r="G397"/>
    </row>
    <row r="398" spans="1:7">
      <c r="A398" s="484" t="s">
        <v>838</v>
      </c>
      <c r="B398" s="408"/>
      <c r="C398" s="408"/>
      <c r="D398" s="408"/>
      <c r="E398" s="408"/>
      <c r="F398" s="408"/>
      <c r="G398"/>
    </row>
    <row r="399" spans="1:7">
      <c r="A399" t="s">
        <v>202</v>
      </c>
      <c r="B399" s="408" t="s">
        <v>350</v>
      </c>
      <c r="C399" s="408"/>
      <c r="D399" s="408"/>
      <c r="E399" s="408"/>
      <c r="F399" s="481">
        <f t="shared" ref="F399:F409" si="53">SUMIF($B$14:$B$319,B399,$K$14:$K$319)</f>
        <v>513238.18869518046</v>
      </c>
      <c r="G399" s="408" t="s">
        <v>392</v>
      </c>
    </row>
    <row r="400" spans="1:7">
      <c r="A400" t="s">
        <v>353</v>
      </c>
      <c r="B400" s="408" t="s">
        <v>354</v>
      </c>
      <c r="C400" s="408"/>
      <c r="D400" s="408"/>
      <c r="E400" s="408"/>
      <c r="F400" s="481">
        <f t="shared" si="53"/>
        <v>0</v>
      </c>
      <c r="G400" s="408" t="s">
        <v>392</v>
      </c>
    </row>
    <row r="401" spans="1:7">
      <c r="A401" t="s">
        <v>355</v>
      </c>
      <c r="B401" s="408" t="s">
        <v>356</v>
      </c>
      <c r="C401" s="408"/>
      <c r="D401" s="408"/>
      <c r="E401" s="408"/>
      <c r="F401" s="481">
        <f t="shared" si="53"/>
        <v>0</v>
      </c>
      <c r="G401" s="408" t="s">
        <v>392</v>
      </c>
    </row>
    <row r="402" spans="1:7">
      <c r="A402" t="s">
        <v>357</v>
      </c>
      <c r="B402" s="408" t="s">
        <v>358</v>
      </c>
      <c r="C402" s="408"/>
      <c r="D402" s="408"/>
      <c r="E402" s="408"/>
      <c r="F402" s="481">
        <f t="shared" si="53"/>
        <v>271928.25</v>
      </c>
      <c r="G402" s="408" t="s">
        <v>392</v>
      </c>
    </row>
    <row r="403" spans="1:7">
      <c r="A403" t="s">
        <v>360</v>
      </c>
      <c r="B403" s="408" t="s">
        <v>361</v>
      </c>
      <c r="C403" s="408"/>
      <c r="D403" s="408"/>
      <c r="E403" s="408"/>
      <c r="F403" s="481">
        <f t="shared" si="53"/>
        <v>4500</v>
      </c>
      <c r="G403" s="408" t="s">
        <v>392</v>
      </c>
    </row>
    <row r="404" spans="1:7">
      <c r="A404" t="s">
        <v>362</v>
      </c>
      <c r="B404" s="408" t="s">
        <v>363</v>
      </c>
      <c r="C404" s="408"/>
      <c r="D404" s="408"/>
      <c r="E404" s="408"/>
      <c r="F404" s="481">
        <f t="shared" si="53"/>
        <v>0</v>
      </c>
      <c r="G404" s="408" t="s">
        <v>392</v>
      </c>
    </row>
    <row r="405" spans="1:7">
      <c r="A405" t="s">
        <v>364</v>
      </c>
      <c r="B405" s="408" t="s">
        <v>365</v>
      </c>
      <c r="C405" s="408"/>
      <c r="D405" s="408"/>
      <c r="E405" s="408"/>
      <c r="F405" s="481">
        <f t="shared" si="53"/>
        <v>0</v>
      </c>
      <c r="G405" s="408" t="s">
        <v>392</v>
      </c>
    </row>
    <row r="406" spans="1:7">
      <c r="A406" t="s">
        <v>839</v>
      </c>
      <c r="B406" s="408" t="s">
        <v>367</v>
      </c>
      <c r="C406" s="408"/>
      <c r="D406" s="408"/>
      <c r="E406" s="408"/>
      <c r="F406" s="481">
        <f t="shared" si="53"/>
        <v>37163.125999999997</v>
      </c>
      <c r="G406" s="408" t="s">
        <v>392</v>
      </c>
    </row>
    <row r="407" spans="1:7">
      <c r="A407" t="s">
        <v>840</v>
      </c>
      <c r="B407" s="408" t="s">
        <v>370</v>
      </c>
      <c r="C407" s="408"/>
      <c r="D407" s="408"/>
      <c r="E407" s="408"/>
      <c r="F407" s="481">
        <f t="shared" si="53"/>
        <v>35114.714285714283</v>
      </c>
      <c r="G407" s="408" t="s">
        <v>392</v>
      </c>
    </row>
    <row r="408" spans="1:7">
      <c r="A408" t="s">
        <v>433</v>
      </c>
      <c r="B408" s="408" t="s">
        <v>434</v>
      </c>
      <c r="C408" s="408"/>
      <c r="D408" s="408"/>
      <c r="E408" s="408"/>
      <c r="F408" s="481">
        <f t="shared" si="53"/>
        <v>1367897.8158665223</v>
      </c>
      <c r="G408" s="408" t="s">
        <v>441</v>
      </c>
    </row>
    <row r="409" spans="1:7" ht="17.25">
      <c r="A409" t="s">
        <v>213</v>
      </c>
      <c r="B409" s="408" t="s">
        <v>449</v>
      </c>
      <c r="C409" s="408"/>
      <c r="D409" s="408"/>
      <c r="E409" s="408"/>
      <c r="F409" s="636">
        <f t="shared" si="53"/>
        <v>160809</v>
      </c>
      <c r="G409" s="408" t="s">
        <v>477</v>
      </c>
    </row>
    <row r="410" spans="1:7">
      <c r="A410" t="s">
        <v>841</v>
      </c>
      <c r="B410" s="408"/>
      <c r="C410" s="408"/>
      <c r="D410" s="408"/>
      <c r="E410" s="408"/>
      <c r="F410" s="633">
        <f>SUM(F399:F409)</f>
        <v>2390651.094847417</v>
      </c>
      <c r="G410"/>
    </row>
    <row r="411" spans="1:7">
      <c r="A411"/>
      <c r="B411" s="408"/>
      <c r="C411" s="408"/>
      <c r="D411" s="408"/>
      <c r="E411" s="408"/>
      <c r="F411" s="408"/>
      <c r="G411"/>
    </row>
    <row r="412" spans="1:7">
      <c r="A412"/>
      <c r="B412" s="408"/>
      <c r="C412" s="408"/>
      <c r="D412" s="408"/>
      <c r="E412" s="408"/>
      <c r="F412"/>
      <c r="G412"/>
    </row>
    <row r="413" spans="1:7">
      <c r="A413" s="484" t="s">
        <v>842</v>
      </c>
      <c r="B413" s="408"/>
      <c r="C413" s="408"/>
      <c r="D413" s="408"/>
      <c r="E413" s="408"/>
      <c r="F413" s="408"/>
      <c r="G413"/>
    </row>
    <row r="414" spans="1:7">
      <c r="A414" s="634" t="s">
        <v>843</v>
      </c>
      <c r="B414" s="408"/>
      <c r="C414" s="408"/>
      <c r="D414" s="408"/>
      <c r="E414" s="408"/>
      <c r="F414" s="408"/>
      <c r="G414"/>
    </row>
    <row r="415" spans="1:7">
      <c r="A415" t="s">
        <v>844</v>
      </c>
      <c r="B415" s="408">
        <v>2</v>
      </c>
      <c r="C415" s="408"/>
      <c r="D415" s="408"/>
      <c r="E415" s="408"/>
      <c r="F415" s="481">
        <f t="shared" ref="F415:F420" si="54">SUMIF($B$14:$B$319,B415,$L$14:$L$319)</f>
        <v>16000</v>
      </c>
      <c r="G415"/>
    </row>
    <row r="416" spans="1:7">
      <c r="A416" t="s">
        <v>845</v>
      </c>
      <c r="B416" s="408">
        <v>31</v>
      </c>
      <c r="C416" s="408"/>
      <c r="D416" s="408"/>
      <c r="E416" s="408"/>
      <c r="F416" s="481">
        <f t="shared" si="54"/>
        <v>1777422.4983884296</v>
      </c>
      <c r="G416"/>
    </row>
    <row r="417" spans="1:7">
      <c r="A417" t="s">
        <v>846</v>
      </c>
      <c r="B417" s="408">
        <v>32</v>
      </c>
      <c r="C417" s="408"/>
      <c r="D417" s="408"/>
      <c r="E417" s="408"/>
      <c r="F417" s="481">
        <f t="shared" si="54"/>
        <v>5896648.9249999989</v>
      </c>
      <c r="G417"/>
    </row>
    <row r="418" spans="1:7">
      <c r="A418" t="s">
        <v>847</v>
      </c>
      <c r="B418" s="408">
        <v>33</v>
      </c>
      <c r="C418" s="408"/>
      <c r="D418" s="408"/>
      <c r="E418" s="408"/>
      <c r="F418" s="481">
        <f t="shared" si="54"/>
        <v>4430101.83</v>
      </c>
      <c r="G418"/>
    </row>
    <row r="419" spans="1:7">
      <c r="A419" t="s">
        <v>848</v>
      </c>
      <c r="B419" s="408">
        <v>34</v>
      </c>
      <c r="C419" s="408"/>
      <c r="D419" s="408"/>
      <c r="E419" s="408"/>
      <c r="F419" s="481">
        <f t="shared" si="54"/>
        <v>7500</v>
      </c>
      <c r="G419"/>
    </row>
    <row r="420" spans="1:7">
      <c r="A420" t="s">
        <v>849</v>
      </c>
      <c r="B420" s="408">
        <v>48</v>
      </c>
      <c r="C420" s="408"/>
      <c r="D420" s="408"/>
      <c r="E420" s="408"/>
      <c r="F420" s="481">
        <f t="shared" si="54"/>
        <v>1077434</v>
      </c>
      <c r="G420"/>
    </row>
    <row r="421" spans="1:7">
      <c r="A421"/>
      <c r="B421" s="408"/>
      <c r="C421" s="408"/>
      <c r="D421" s="408"/>
      <c r="E421" s="408"/>
      <c r="F421" s="481"/>
      <c r="G421"/>
    </row>
    <row r="422" spans="1:7">
      <c r="A422" s="634" t="s">
        <v>850</v>
      </c>
      <c r="B422" s="408"/>
      <c r="C422" s="408"/>
      <c r="D422" s="408"/>
      <c r="E422" s="408"/>
      <c r="F422" s="481"/>
      <c r="G422"/>
    </row>
    <row r="423" spans="1:7">
      <c r="A423" t="s">
        <v>482</v>
      </c>
      <c r="B423" s="408" t="s">
        <v>483</v>
      </c>
      <c r="C423" s="408"/>
      <c r="D423" s="408"/>
      <c r="E423" s="408"/>
      <c r="F423" s="481">
        <f t="shared" ref="F423:F430" si="55">SUMIF($B$14:$B$319,B423,$K$14:$K$319)</f>
        <v>655512</v>
      </c>
      <c r="G423"/>
    </row>
    <row r="424" spans="1:7">
      <c r="A424" t="s">
        <v>308</v>
      </c>
      <c r="B424" s="408" t="s">
        <v>851</v>
      </c>
      <c r="C424" s="408"/>
      <c r="D424" s="408"/>
      <c r="E424" s="408"/>
      <c r="F424" s="481">
        <f t="shared" si="55"/>
        <v>0</v>
      </c>
      <c r="G424"/>
    </row>
    <row r="425" spans="1:7">
      <c r="A425" t="s">
        <v>852</v>
      </c>
      <c r="B425" s="408"/>
      <c r="C425" s="408"/>
      <c r="D425" s="408"/>
      <c r="E425" s="408"/>
      <c r="F425" s="481">
        <f t="shared" si="55"/>
        <v>0</v>
      </c>
      <c r="G425"/>
    </row>
    <row r="426" spans="1:7">
      <c r="A426" t="s">
        <v>853</v>
      </c>
      <c r="B426" s="408"/>
      <c r="C426" s="408"/>
      <c r="D426" s="408"/>
      <c r="E426" s="408"/>
      <c r="F426" s="481">
        <f t="shared" si="55"/>
        <v>0</v>
      </c>
      <c r="G426"/>
    </row>
    <row r="427" spans="1:7">
      <c r="A427" t="s">
        <v>479</v>
      </c>
      <c r="B427" s="408" t="s">
        <v>480</v>
      </c>
      <c r="C427" s="408"/>
      <c r="D427" s="408"/>
      <c r="E427" s="408"/>
      <c r="F427" s="481">
        <f t="shared" si="55"/>
        <v>290932.33333333337</v>
      </c>
      <c r="G427"/>
    </row>
    <row r="428" spans="1:7">
      <c r="A428" t="s">
        <v>403</v>
      </c>
      <c r="B428" s="408" t="s">
        <v>854</v>
      </c>
      <c r="C428" s="408"/>
      <c r="D428" s="408"/>
      <c r="E428" s="408"/>
      <c r="F428" s="481">
        <f t="shared" si="55"/>
        <v>0</v>
      </c>
      <c r="G428"/>
    </row>
    <row r="429" spans="1:7">
      <c r="A429" t="s">
        <v>545</v>
      </c>
      <c r="B429" s="408" t="s">
        <v>855</v>
      </c>
      <c r="C429" s="408"/>
      <c r="D429" s="408"/>
      <c r="E429" s="408"/>
      <c r="F429" s="481">
        <f t="shared" si="55"/>
        <v>0</v>
      </c>
      <c r="G429"/>
    </row>
    <row r="430" spans="1:7">
      <c r="A430" t="s">
        <v>92</v>
      </c>
      <c r="B430" s="408" t="s">
        <v>80</v>
      </c>
      <c r="C430" s="408"/>
      <c r="D430" s="408"/>
      <c r="E430"/>
      <c r="F430" s="481">
        <f t="shared" si="55"/>
        <v>2141443.3199999998</v>
      </c>
      <c r="G430"/>
    </row>
    <row r="431" spans="1:7">
      <c r="A431" s="484" t="s">
        <v>856</v>
      </c>
      <c r="B431" s="632"/>
      <c r="C431" s="632"/>
      <c r="D431" s="632"/>
      <c r="E431" s="484"/>
      <c r="F431" s="637">
        <f>SUM(F415:F430)</f>
        <v>16292994.906721763</v>
      </c>
      <c r="G431"/>
    </row>
    <row r="432" spans="1:7">
      <c r="A432"/>
      <c r="B432" s="408"/>
      <c r="C432" s="408"/>
      <c r="D432" s="408"/>
      <c r="E432"/>
      <c r="F432"/>
      <c r="G432"/>
    </row>
    <row r="433" spans="1:7">
      <c r="A433"/>
      <c r="B433"/>
      <c r="C433"/>
      <c r="D433"/>
      <c r="E433"/>
      <c r="F433"/>
      <c r="G433"/>
    </row>
    <row r="434" spans="1:7">
      <c r="A434" t="s">
        <v>672</v>
      </c>
      <c r="B434" s="408" t="s">
        <v>857</v>
      </c>
      <c r="C434" s="408"/>
      <c r="D434" s="408"/>
      <c r="E434" s="638" t="s">
        <v>858</v>
      </c>
      <c r="F434" s="408"/>
      <c r="G434"/>
    </row>
    <row r="435" spans="1:7">
      <c r="A435" t="s">
        <v>674</v>
      </c>
      <c r="B435" s="408" t="s">
        <v>859</v>
      </c>
      <c r="C435" s="408"/>
      <c r="D435" s="408"/>
      <c r="E435" s="638" t="s">
        <v>858</v>
      </c>
      <c r="F435" s="408"/>
      <c r="G435"/>
    </row>
    <row r="436" spans="1:7">
      <c r="A436" t="s">
        <v>675</v>
      </c>
      <c r="B436" s="408" t="s">
        <v>860</v>
      </c>
      <c r="C436" s="408"/>
      <c r="D436" s="408"/>
      <c r="E436" s="638" t="s">
        <v>858</v>
      </c>
      <c r="F436" s="408"/>
      <c r="G436"/>
    </row>
    <row r="437" spans="1:7">
      <c r="A437" t="s">
        <v>676</v>
      </c>
      <c r="B437" s="408" t="s">
        <v>861</v>
      </c>
      <c r="C437" s="408"/>
      <c r="D437" s="408"/>
      <c r="E437" s="638" t="s">
        <v>858</v>
      </c>
      <c r="F437" s="408"/>
      <c r="G437"/>
    </row>
    <row r="438" spans="1:7">
      <c r="A438" t="s">
        <v>688</v>
      </c>
      <c r="B438" s="408" t="s">
        <v>862</v>
      </c>
      <c r="C438" s="408"/>
      <c r="D438" s="408"/>
      <c r="E438" s="638" t="s">
        <v>863</v>
      </c>
      <c r="F438" s="408"/>
      <c r="G438"/>
    </row>
    <row r="439" spans="1:7">
      <c r="A439" t="s">
        <v>704</v>
      </c>
      <c r="B439" s="408" t="s">
        <v>864</v>
      </c>
      <c r="C439" s="408"/>
      <c r="D439" s="408"/>
      <c r="E439" s="638" t="s">
        <v>863</v>
      </c>
      <c r="F439" s="408"/>
      <c r="G439"/>
    </row>
    <row r="440" spans="1:7">
      <c r="A440" t="s">
        <v>705</v>
      </c>
      <c r="B440" s="408" t="s">
        <v>865</v>
      </c>
      <c r="C440" s="408"/>
      <c r="D440" s="408"/>
      <c r="E440" s="638" t="s">
        <v>863</v>
      </c>
      <c r="F440" s="408"/>
      <c r="G440"/>
    </row>
    <row r="441" spans="1:7">
      <c r="A441" t="s">
        <v>707</v>
      </c>
      <c r="B441" s="408" t="s">
        <v>866</v>
      </c>
      <c r="C441" s="408"/>
      <c r="D441" s="408"/>
      <c r="E441" s="638" t="s">
        <v>863</v>
      </c>
      <c r="F441"/>
      <c r="G441"/>
    </row>
    <row r="442" spans="1:7">
      <c r="A442" t="s">
        <v>715</v>
      </c>
      <c r="B442" s="408" t="s">
        <v>867</v>
      </c>
      <c r="C442" s="408"/>
      <c r="D442" s="408"/>
      <c r="E442" s="638" t="s">
        <v>868</v>
      </c>
      <c r="F442"/>
      <c r="G442"/>
    </row>
    <row r="443" spans="1:7">
      <c r="A443" t="s">
        <v>92</v>
      </c>
      <c r="B443" s="408" t="s">
        <v>80</v>
      </c>
      <c r="C443" s="408"/>
      <c r="D443" s="408"/>
      <c r="E443" s="408"/>
      <c r="F443"/>
      <c r="G443"/>
    </row>
    <row r="444" spans="1:7">
      <c r="A444"/>
      <c r="B444" s="408"/>
      <c r="C444" s="408"/>
      <c r="D444" s="408"/>
      <c r="E444" s="408"/>
      <c r="F444"/>
      <c r="G444"/>
    </row>
    <row r="445" spans="1:7">
      <c r="A445" s="484" t="s">
        <v>869</v>
      </c>
      <c r="B445" s="408"/>
      <c r="C445" s="408"/>
      <c r="D445" s="408"/>
      <c r="E445" s="408"/>
      <c r="F445"/>
      <c r="G445"/>
    </row>
    <row r="446" spans="1:7">
      <c r="A446" s="484" t="s">
        <v>870</v>
      </c>
      <c r="B446" s="408"/>
      <c r="C446" s="408"/>
      <c r="D446" s="408"/>
      <c r="E446" s="408"/>
      <c r="F446"/>
      <c r="G446"/>
    </row>
    <row r="447" spans="1:7">
      <c r="A447" t="s">
        <v>403</v>
      </c>
      <c r="B447" s="408" t="s">
        <v>854</v>
      </c>
      <c r="C447" s="408"/>
      <c r="D447" s="408"/>
      <c r="E447" s="408"/>
      <c r="F447" s="481">
        <f t="shared" ref="F447:F457" si="56">SUMIF($B$14:$B$319,B447,$K$14:$K$319)</f>
        <v>0</v>
      </c>
      <c r="G447"/>
    </row>
    <row r="448" spans="1:7">
      <c r="A448" t="s">
        <v>545</v>
      </c>
      <c r="B448" s="408" t="s">
        <v>855</v>
      </c>
      <c r="C448" s="408"/>
      <c r="D448" s="408"/>
      <c r="E448" s="408"/>
      <c r="F448" s="481">
        <f t="shared" si="56"/>
        <v>0</v>
      </c>
      <c r="G448"/>
    </row>
    <row r="449" spans="1:7">
      <c r="A449" t="s">
        <v>672</v>
      </c>
      <c r="B449" s="408" t="s">
        <v>857</v>
      </c>
      <c r="C449" s="408"/>
      <c r="D449" s="408"/>
      <c r="E449" s="408"/>
      <c r="F449" s="481">
        <f t="shared" si="56"/>
        <v>0</v>
      </c>
      <c r="G449"/>
    </row>
    <row r="450" spans="1:7">
      <c r="A450" t="s">
        <v>674</v>
      </c>
      <c r="B450" s="408" t="s">
        <v>859</v>
      </c>
      <c r="C450" s="408"/>
      <c r="D450" s="408"/>
      <c r="E450" s="408"/>
      <c r="F450" s="481">
        <f t="shared" si="56"/>
        <v>0</v>
      </c>
      <c r="G450"/>
    </row>
    <row r="451" spans="1:7">
      <c r="A451" t="s">
        <v>675</v>
      </c>
      <c r="B451" s="408" t="s">
        <v>860</v>
      </c>
      <c r="C451" s="408"/>
      <c r="D451" s="408"/>
      <c r="E451" s="408"/>
      <c r="F451" s="481">
        <f t="shared" si="56"/>
        <v>0</v>
      </c>
      <c r="G451"/>
    </row>
    <row r="452" spans="1:7">
      <c r="A452" t="s">
        <v>676</v>
      </c>
      <c r="B452" s="408" t="s">
        <v>861</v>
      </c>
      <c r="C452" s="408"/>
      <c r="D452" s="408"/>
      <c r="E452" s="408"/>
      <c r="F452" s="481">
        <f t="shared" si="56"/>
        <v>0</v>
      </c>
      <c r="G452"/>
    </row>
    <row r="453" spans="1:7">
      <c r="A453" t="s">
        <v>704</v>
      </c>
      <c r="B453" s="408" t="s">
        <v>864</v>
      </c>
      <c r="C453" s="408"/>
      <c r="D453" s="408"/>
      <c r="E453" s="408"/>
      <c r="F453" s="481">
        <f t="shared" si="56"/>
        <v>0</v>
      </c>
      <c r="G453"/>
    </row>
    <row r="454" spans="1:7">
      <c r="A454" t="s">
        <v>705</v>
      </c>
      <c r="B454" s="408" t="s">
        <v>865</v>
      </c>
      <c r="C454" s="408"/>
      <c r="D454" s="408"/>
      <c r="E454" s="408"/>
      <c r="F454" s="481">
        <f t="shared" si="56"/>
        <v>0</v>
      </c>
      <c r="G454"/>
    </row>
    <row r="455" spans="1:7">
      <c r="A455" t="s">
        <v>688</v>
      </c>
      <c r="B455" s="408" t="s">
        <v>862</v>
      </c>
      <c r="C455" s="408"/>
      <c r="D455" s="408"/>
      <c r="E455" s="408"/>
      <c r="F455" s="481">
        <f t="shared" si="56"/>
        <v>0</v>
      </c>
      <c r="G455"/>
    </row>
    <row r="456" spans="1:7">
      <c r="A456" t="s">
        <v>707</v>
      </c>
      <c r="B456" s="408" t="s">
        <v>866</v>
      </c>
      <c r="C456" s="408"/>
      <c r="D456" s="408"/>
      <c r="E456" s="408"/>
      <c r="F456" s="481">
        <f t="shared" si="56"/>
        <v>0</v>
      </c>
      <c r="G456"/>
    </row>
    <row r="457" spans="1:7">
      <c r="A457" t="s">
        <v>715</v>
      </c>
      <c r="B457" s="408" t="s">
        <v>867</v>
      </c>
      <c r="C457" s="408"/>
      <c r="D457" s="408"/>
      <c r="E457" s="408"/>
      <c r="F457" s="481">
        <f t="shared" si="56"/>
        <v>0</v>
      </c>
      <c r="G457"/>
    </row>
    <row r="458" spans="1:7">
      <c r="A458"/>
      <c r="B458" s="408"/>
      <c r="C458" s="408"/>
      <c r="D458" s="408"/>
      <c r="E458" s="408"/>
      <c r="F458"/>
      <c r="G458"/>
    </row>
    <row r="459" spans="1:7">
      <c r="A459" s="484" t="s">
        <v>871</v>
      </c>
      <c r="B459" s="408"/>
      <c r="C459" s="408"/>
      <c r="D459" s="408"/>
      <c r="E459" s="408"/>
      <c r="F459"/>
      <c r="G459"/>
    </row>
    <row r="460" spans="1:7">
      <c r="A460" s="634" t="s">
        <v>843</v>
      </c>
      <c r="B460" s="408"/>
      <c r="C460" s="408"/>
      <c r="D460" s="408"/>
      <c r="E460" s="408"/>
      <c r="F460"/>
      <c r="G460"/>
    </row>
    <row r="461" spans="1:7">
      <c r="A461" t="s">
        <v>804</v>
      </c>
      <c r="B461" s="408" t="s">
        <v>805</v>
      </c>
      <c r="C461" s="408"/>
      <c r="D461" s="408"/>
      <c r="E461" s="408"/>
      <c r="F461" s="481">
        <f>SUMIF($B$14:$B$319,B461,$K$14:$K$319)</f>
        <v>0</v>
      </c>
      <c r="G461"/>
    </row>
    <row r="462" spans="1:7">
      <c r="A462"/>
      <c r="B462" s="408"/>
      <c r="C462" s="408"/>
      <c r="D462" s="408"/>
      <c r="E462" s="408"/>
      <c r="F462"/>
      <c r="G462"/>
    </row>
    <row r="463" spans="1:7">
      <c r="A463" s="634" t="s">
        <v>850</v>
      </c>
      <c r="B463" s="408"/>
      <c r="C463" s="408"/>
      <c r="D463" s="408"/>
      <c r="E463" s="408"/>
      <c r="F463"/>
      <c r="G463"/>
    </row>
    <row r="464" spans="1:7">
      <c r="A464" t="s">
        <v>92</v>
      </c>
      <c r="B464" s="408" t="s">
        <v>80</v>
      </c>
      <c r="C464" s="408"/>
      <c r="D464" s="408"/>
      <c r="E464" s="408"/>
      <c r="F464" s="481">
        <f t="shared" ref="F464:F513" si="57">SUMIF($B$14:$B$319,B464,$K$14:$K$319)</f>
        <v>2141443.3199999998</v>
      </c>
      <c r="G464"/>
    </row>
    <row r="465" spans="1:7">
      <c r="A465" t="s">
        <v>101</v>
      </c>
      <c r="B465" s="408" t="s">
        <v>102</v>
      </c>
      <c r="C465" s="408"/>
      <c r="D465" s="408"/>
      <c r="E465" s="408"/>
      <c r="F465" s="481">
        <f t="shared" si="57"/>
        <v>23959</v>
      </c>
      <c r="G465"/>
    </row>
    <row r="466" spans="1:7">
      <c r="A466" t="s">
        <v>105</v>
      </c>
      <c r="B466" s="408" t="s">
        <v>106</v>
      </c>
      <c r="C466" s="408"/>
      <c r="D466" s="408"/>
      <c r="E466" s="408"/>
      <c r="F466" s="481">
        <f t="shared" si="57"/>
        <v>6500</v>
      </c>
      <c r="G466"/>
    </row>
    <row r="467" spans="1:7">
      <c r="A467" t="s">
        <v>108</v>
      </c>
      <c r="B467" s="408" t="s">
        <v>109</v>
      </c>
      <c r="C467" s="408"/>
      <c r="D467" s="408"/>
      <c r="E467" s="408"/>
      <c r="F467" s="481">
        <f t="shared" si="57"/>
        <v>6500</v>
      </c>
      <c r="G467"/>
    </row>
    <row r="468" spans="1:7">
      <c r="A468" t="s">
        <v>117</v>
      </c>
      <c r="B468" s="408" t="s">
        <v>118</v>
      </c>
      <c r="C468" s="408"/>
      <c r="D468" s="408"/>
      <c r="E468" s="408"/>
      <c r="F468" s="481">
        <f t="shared" si="57"/>
        <v>45894.05149051491</v>
      </c>
      <c r="G468"/>
    </row>
    <row r="469" spans="1:7">
      <c r="A469" t="s">
        <v>139</v>
      </c>
      <c r="B469" s="408" t="s">
        <v>140</v>
      </c>
      <c r="C469" s="408"/>
      <c r="D469" s="408"/>
      <c r="E469" s="408"/>
      <c r="F469" s="481">
        <f t="shared" si="57"/>
        <v>15000</v>
      </c>
      <c r="G469"/>
    </row>
    <row r="470" spans="1:7">
      <c r="A470" t="s">
        <v>872</v>
      </c>
      <c r="B470" s="408" t="s">
        <v>143</v>
      </c>
      <c r="C470" s="408"/>
      <c r="D470" s="408"/>
      <c r="E470" s="408"/>
      <c r="F470" s="481">
        <f t="shared" si="57"/>
        <v>15000</v>
      </c>
      <c r="G470"/>
    </row>
    <row r="471" spans="1:7">
      <c r="A471" t="s">
        <v>161</v>
      </c>
      <c r="B471" s="408" t="s">
        <v>162</v>
      </c>
      <c r="C471" s="408"/>
      <c r="D471" s="408"/>
      <c r="E471" s="408"/>
      <c r="F471" s="481">
        <f t="shared" si="57"/>
        <v>0</v>
      </c>
      <c r="G471"/>
    </row>
    <row r="472" spans="1:7">
      <c r="A472" t="s">
        <v>164</v>
      </c>
      <c r="B472" s="408" t="s">
        <v>165</v>
      </c>
      <c r="C472" s="408"/>
      <c r="D472" s="408"/>
      <c r="E472" s="408"/>
      <c r="F472" s="481">
        <f t="shared" si="57"/>
        <v>1950</v>
      </c>
      <c r="G472"/>
    </row>
    <row r="473" spans="1:7">
      <c r="A473" t="s">
        <v>189</v>
      </c>
      <c r="B473" s="408" t="s">
        <v>190</v>
      </c>
      <c r="C473" s="408"/>
      <c r="D473" s="408"/>
      <c r="E473" s="408"/>
      <c r="F473" s="481">
        <f t="shared" si="57"/>
        <v>0</v>
      </c>
      <c r="G473"/>
    </row>
    <row r="474" spans="1:7">
      <c r="A474" t="s">
        <v>192</v>
      </c>
      <c r="B474" s="408" t="s">
        <v>193</v>
      </c>
      <c r="C474" s="408"/>
      <c r="D474" s="408"/>
      <c r="E474" s="408"/>
      <c r="F474" s="481">
        <f t="shared" si="57"/>
        <v>10000</v>
      </c>
      <c r="G474"/>
    </row>
    <row r="475" spans="1:7">
      <c r="A475" t="s">
        <v>195</v>
      </c>
      <c r="B475" s="408" t="s">
        <v>196</v>
      </c>
      <c r="C475" s="408"/>
      <c r="D475" s="408"/>
      <c r="E475" s="408"/>
      <c r="F475" s="481">
        <f t="shared" si="57"/>
        <v>0</v>
      </c>
      <c r="G475"/>
    </row>
    <row r="476" spans="1:7">
      <c r="A476" t="s">
        <v>198</v>
      </c>
      <c r="B476" s="408" t="s">
        <v>199</v>
      </c>
      <c r="C476" s="408"/>
      <c r="D476" s="408"/>
      <c r="E476" s="408"/>
      <c r="F476" s="481">
        <f t="shared" si="57"/>
        <v>0</v>
      </c>
      <c r="G476"/>
    </row>
    <row r="477" spans="1:7">
      <c r="A477" t="s">
        <v>214</v>
      </c>
      <c r="B477" s="408" t="s">
        <v>215</v>
      </c>
      <c r="C477" s="408"/>
      <c r="D477" s="408"/>
      <c r="E477" s="408"/>
      <c r="F477" s="481">
        <f t="shared" si="57"/>
        <v>5000</v>
      </c>
      <c r="G477"/>
    </row>
    <row r="478" spans="1:7">
      <c r="A478" t="s">
        <v>239</v>
      </c>
      <c r="B478" s="408" t="s">
        <v>240</v>
      </c>
      <c r="C478" s="408"/>
      <c r="D478" s="408"/>
      <c r="E478" s="408"/>
      <c r="F478" s="481">
        <f t="shared" si="57"/>
        <v>7500</v>
      </c>
      <c r="G478"/>
    </row>
    <row r="479" spans="1:7">
      <c r="A479" t="s">
        <v>244</v>
      </c>
      <c r="B479" s="408" t="s">
        <v>240</v>
      </c>
      <c r="C479" s="408"/>
      <c r="D479" s="408"/>
      <c r="E479" s="408"/>
      <c r="F479" s="481">
        <f t="shared" si="57"/>
        <v>7500</v>
      </c>
      <c r="G479"/>
    </row>
    <row r="480" spans="1:7">
      <c r="A480" t="s">
        <v>282</v>
      </c>
      <c r="B480" s="408" t="s">
        <v>283</v>
      </c>
      <c r="C480" s="408"/>
      <c r="D480" s="408"/>
      <c r="E480" s="408"/>
      <c r="F480" s="481">
        <f t="shared" si="57"/>
        <v>0</v>
      </c>
      <c r="G480"/>
    </row>
    <row r="481" spans="1:7">
      <c r="A481" t="s">
        <v>284</v>
      </c>
      <c r="B481" s="408" t="s">
        <v>285</v>
      </c>
      <c r="C481" s="408"/>
      <c r="D481" s="408"/>
      <c r="E481" s="408"/>
      <c r="F481" s="481">
        <f t="shared" si="57"/>
        <v>0</v>
      </c>
      <c r="G481"/>
    </row>
    <row r="482" spans="1:7">
      <c r="A482" t="s">
        <v>319</v>
      </c>
      <c r="B482" s="408" t="s">
        <v>316</v>
      </c>
      <c r="C482" s="408"/>
      <c r="D482" s="408"/>
      <c r="E482" s="408"/>
      <c r="F482" s="481">
        <f t="shared" si="57"/>
        <v>950639.29645654478</v>
      </c>
      <c r="G482"/>
    </row>
    <row r="483" spans="1:7">
      <c r="A483" t="s">
        <v>325</v>
      </c>
      <c r="B483" s="408" t="s">
        <v>316</v>
      </c>
      <c r="C483" s="408"/>
      <c r="D483" s="408"/>
      <c r="E483" s="408"/>
      <c r="F483" s="481">
        <f t="shared" si="57"/>
        <v>950639.29645654478</v>
      </c>
      <c r="G483"/>
    </row>
    <row r="484" spans="1:7">
      <c r="A484" t="s">
        <v>873</v>
      </c>
      <c r="B484" s="408" t="s">
        <v>316</v>
      </c>
      <c r="C484" s="408"/>
      <c r="D484" s="408"/>
      <c r="E484" s="408"/>
      <c r="F484" s="481">
        <f t="shared" si="57"/>
        <v>950639.29645654478</v>
      </c>
      <c r="G484"/>
    </row>
    <row r="485" spans="1:7">
      <c r="A485" t="s">
        <v>395</v>
      </c>
      <c r="B485" s="408" t="s">
        <v>396</v>
      </c>
      <c r="C485" s="408"/>
      <c r="D485" s="408"/>
      <c r="E485" s="408"/>
      <c r="F485" s="481">
        <f t="shared" si="57"/>
        <v>76956</v>
      </c>
      <c r="G485"/>
    </row>
    <row r="486" spans="1:7">
      <c r="A486" t="s">
        <v>414</v>
      </c>
      <c r="B486" s="408" t="s">
        <v>415</v>
      </c>
      <c r="C486" s="408"/>
      <c r="D486" s="408"/>
      <c r="E486" s="408"/>
      <c r="F486" s="481">
        <f t="shared" si="57"/>
        <v>0</v>
      </c>
      <c r="G486"/>
    </row>
    <row r="487" spans="1:7">
      <c r="A487" t="s">
        <v>416</v>
      </c>
      <c r="B487" s="408" t="s">
        <v>417</v>
      </c>
      <c r="C487" s="408"/>
      <c r="D487" s="408"/>
      <c r="E487" s="408"/>
      <c r="F487" s="481">
        <f t="shared" si="57"/>
        <v>13440</v>
      </c>
      <c r="G487"/>
    </row>
    <row r="488" spans="1:7">
      <c r="A488" t="s">
        <v>474</v>
      </c>
      <c r="B488" s="408" t="s">
        <v>475</v>
      </c>
      <c r="C488" s="408"/>
      <c r="D488" s="408"/>
      <c r="E488" s="408"/>
      <c r="F488" s="481">
        <f t="shared" si="57"/>
        <v>24000</v>
      </c>
      <c r="G488"/>
    </row>
    <row r="489" spans="1:7">
      <c r="A489" t="s">
        <v>479</v>
      </c>
      <c r="B489" s="408" t="s">
        <v>480</v>
      </c>
      <c r="C489" s="408"/>
      <c r="D489" s="408"/>
      <c r="E489" s="408"/>
      <c r="F489" s="481">
        <f t="shared" si="57"/>
        <v>290932.33333333337</v>
      </c>
      <c r="G489"/>
    </row>
    <row r="490" spans="1:7">
      <c r="A490" t="s">
        <v>482</v>
      </c>
      <c r="B490" s="408" t="s">
        <v>483</v>
      </c>
      <c r="C490" s="408"/>
      <c r="D490" s="408"/>
      <c r="E490" s="408"/>
      <c r="F490" s="481">
        <f t="shared" si="57"/>
        <v>655512</v>
      </c>
      <c r="G490"/>
    </row>
    <row r="491" spans="1:7">
      <c r="A491" t="s">
        <v>484</v>
      </c>
      <c r="B491" s="408" t="s">
        <v>485</v>
      </c>
      <c r="C491" s="408"/>
      <c r="D491" s="408"/>
      <c r="E491" s="408"/>
      <c r="F491" s="481">
        <f t="shared" si="57"/>
        <v>7049</v>
      </c>
      <c r="G491"/>
    </row>
    <row r="492" spans="1:7">
      <c r="A492" t="s">
        <v>494</v>
      </c>
      <c r="B492" s="408" t="s">
        <v>495</v>
      </c>
      <c r="C492" s="408"/>
      <c r="D492" s="408"/>
      <c r="E492" s="408"/>
      <c r="F492" s="481">
        <f t="shared" si="57"/>
        <v>13000</v>
      </c>
      <c r="G492"/>
    </row>
    <row r="493" spans="1:7">
      <c r="A493" t="s">
        <v>516</v>
      </c>
      <c r="B493" s="408" t="s">
        <v>517</v>
      </c>
      <c r="C493" s="408"/>
      <c r="D493" s="408"/>
      <c r="E493" s="408"/>
      <c r="F493" s="481">
        <f t="shared" si="57"/>
        <v>25000</v>
      </c>
      <c r="G493"/>
    </row>
    <row r="494" spans="1:7">
      <c r="A494" t="s">
        <v>518</v>
      </c>
      <c r="B494" s="408" t="s">
        <v>519</v>
      </c>
      <c r="C494" s="408"/>
      <c r="D494" s="408"/>
      <c r="E494" s="408"/>
      <c r="F494" s="481">
        <f t="shared" si="57"/>
        <v>6000</v>
      </c>
      <c r="G494"/>
    </row>
    <row r="495" spans="1:7">
      <c r="A495" t="s">
        <v>539</v>
      </c>
      <c r="B495" s="408" t="s">
        <v>529</v>
      </c>
      <c r="C495" s="408"/>
      <c r="D495" s="408"/>
      <c r="E495" s="408"/>
      <c r="F495" s="481">
        <f t="shared" si="57"/>
        <v>3934078.3099999996</v>
      </c>
      <c r="G495"/>
    </row>
    <row r="496" spans="1:7">
      <c r="A496" t="s">
        <v>541</v>
      </c>
      <c r="B496" s="408" t="s">
        <v>532</v>
      </c>
      <c r="C496" s="408"/>
      <c r="D496" s="408"/>
      <c r="E496" s="408"/>
      <c r="F496" s="481">
        <f t="shared" si="57"/>
        <v>269900</v>
      </c>
      <c r="G496"/>
    </row>
    <row r="497" spans="1:7">
      <c r="A497" t="s">
        <v>542</v>
      </c>
      <c r="B497" s="408" t="s">
        <v>529</v>
      </c>
      <c r="C497" s="408"/>
      <c r="D497" s="408"/>
      <c r="E497" s="408"/>
      <c r="F497" s="481">
        <f t="shared" si="57"/>
        <v>3934078.3099999996</v>
      </c>
      <c r="G497"/>
    </row>
    <row r="498" spans="1:7">
      <c r="A498" t="s">
        <v>543</v>
      </c>
      <c r="B498" s="408" t="s">
        <v>544</v>
      </c>
      <c r="C498" s="408"/>
      <c r="D498" s="408"/>
      <c r="E498" s="408"/>
      <c r="F498" s="481">
        <f t="shared" si="57"/>
        <v>5000</v>
      </c>
      <c r="G498"/>
    </row>
    <row r="499" spans="1:7">
      <c r="A499" t="s">
        <v>553</v>
      </c>
      <c r="B499" s="408" t="s">
        <v>554</v>
      </c>
      <c r="C499" s="408"/>
      <c r="D499" s="408"/>
      <c r="E499" s="408"/>
      <c r="F499" s="481">
        <f t="shared" si="57"/>
        <v>12500</v>
      </c>
      <c r="G499"/>
    </row>
    <row r="500" spans="1:7">
      <c r="A500" t="s">
        <v>555</v>
      </c>
      <c r="B500" s="408" t="s">
        <v>556</v>
      </c>
      <c r="C500" s="408"/>
      <c r="D500" s="408"/>
      <c r="E500" s="408"/>
      <c r="F500" s="481">
        <f t="shared" si="57"/>
        <v>12500</v>
      </c>
      <c r="G500"/>
    </row>
    <row r="501" spans="1:7">
      <c r="A501" t="s">
        <v>557</v>
      </c>
      <c r="B501" s="408" t="s">
        <v>558</v>
      </c>
      <c r="C501" s="408"/>
      <c r="D501" s="408"/>
      <c r="E501" s="408"/>
      <c r="F501" s="481">
        <f t="shared" si="57"/>
        <v>2500</v>
      </c>
      <c r="G501"/>
    </row>
    <row r="502" spans="1:7">
      <c r="A502" t="s">
        <v>559</v>
      </c>
      <c r="B502" s="408" t="s">
        <v>529</v>
      </c>
      <c r="C502" s="408"/>
      <c r="D502" s="408"/>
      <c r="E502" s="408"/>
      <c r="F502" s="481">
        <f t="shared" si="57"/>
        <v>3934078.3099999996</v>
      </c>
      <c r="G502"/>
    </row>
    <row r="503" spans="1:7">
      <c r="A503" t="s">
        <v>560</v>
      </c>
      <c r="B503" s="408" t="s">
        <v>532</v>
      </c>
      <c r="C503" s="408"/>
      <c r="D503" s="408"/>
      <c r="E503" s="408"/>
      <c r="F503" s="481">
        <f t="shared" si="57"/>
        <v>269900</v>
      </c>
      <c r="G503"/>
    </row>
    <row r="504" spans="1:7">
      <c r="A504" t="s">
        <v>619</v>
      </c>
      <c r="B504" s="408" t="s">
        <v>620</v>
      </c>
      <c r="C504" s="408"/>
      <c r="D504" s="408"/>
      <c r="E504" s="408"/>
      <c r="F504" s="481">
        <f t="shared" si="57"/>
        <v>68195.5</v>
      </c>
      <c r="G504"/>
    </row>
    <row r="505" spans="1:7">
      <c r="A505" t="s">
        <v>630</v>
      </c>
      <c r="B505" s="408" t="s">
        <v>631</v>
      </c>
      <c r="C505" s="408"/>
      <c r="D505" s="408"/>
      <c r="E505" s="408"/>
      <c r="F505" s="481">
        <f t="shared" si="57"/>
        <v>10000</v>
      </c>
      <c r="G505"/>
    </row>
    <row r="506" spans="1:7">
      <c r="A506" t="s">
        <v>642</v>
      </c>
      <c r="B506" s="408" t="s">
        <v>643</v>
      </c>
      <c r="C506" s="408"/>
      <c r="D506" s="408"/>
      <c r="E506" s="408"/>
      <c r="F506" s="481">
        <f t="shared" si="57"/>
        <v>24900</v>
      </c>
      <c r="G506"/>
    </row>
    <row r="507" spans="1:7">
      <c r="A507" t="s">
        <v>663</v>
      </c>
      <c r="B507" s="408" t="s">
        <v>664</v>
      </c>
      <c r="C507" s="408"/>
      <c r="D507" s="408"/>
      <c r="E507" s="408"/>
      <c r="F507" s="481">
        <f t="shared" si="57"/>
        <v>15000</v>
      </c>
      <c r="G507"/>
    </row>
    <row r="508" spans="1:7">
      <c r="A508" t="s">
        <v>757</v>
      </c>
      <c r="B508" s="408" t="s">
        <v>758</v>
      </c>
      <c r="C508" s="408"/>
      <c r="D508" s="408"/>
      <c r="E508" s="408"/>
      <c r="F508" s="481">
        <f t="shared" si="57"/>
        <v>0</v>
      </c>
      <c r="G508"/>
    </row>
    <row r="509" spans="1:7">
      <c r="A509" t="s">
        <v>759</v>
      </c>
      <c r="B509" s="408" t="s">
        <v>760</v>
      </c>
      <c r="C509" s="408"/>
      <c r="D509" s="408"/>
      <c r="E509" s="408"/>
      <c r="F509" s="481">
        <f t="shared" si="57"/>
        <v>20000</v>
      </c>
      <c r="G509"/>
    </row>
    <row r="510" spans="1:7">
      <c r="A510" t="s">
        <v>761</v>
      </c>
      <c r="B510" s="408" t="s">
        <v>762</v>
      </c>
      <c r="C510" s="408"/>
      <c r="D510" s="408"/>
      <c r="E510" s="408"/>
      <c r="F510" s="481">
        <f t="shared" si="57"/>
        <v>91253.161999999997</v>
      </c>
      <c r="G510"/>
    </row>
    <row r="511" spans="1:7">
      <c r="A511" t="s">
        <v>763</v>
      </c>
      <c r="B511" s="408" t="s">
        <v>764</v>
      </c>
      <c r="C511" s="408"/>
      <c r="D511" s="408"/>
      <c r="E511" s="408"/>
      <c r="F511" s="481">
        <f t="shared" si="57"/>
        <v>0</v>
      </c>
      <c r="G511"/>
    </row>
    <row r="512" spans="1:7">
      <c r="A512" t="s">
        <v>776</v>
      </c>
      <c r="B512" s="408" t="s">
        <v>564</v>
      </c>
      <c r="C512" s="408"/>
      <c r="D512" s="408"/>
      <c r="E512" s="408"/>
      <c r="F512" s="481">
        <f t="shared" si="57"/>
        <v>28000</v>
      </c>
      <c r="G512"/>
    </row>
    <row r="513" spans="1:7">
      <c r="A513" t="s">
        <v>777</v>
      </c>
      <c r="B513" s="408" t="s">
        <v>778</v>
      </c>
      <c r="C513" s="408"/>
      <c r="D513" s="408"/>
      <c r="E513" s="408"/>
      <c r="F513" s="481">
        <f t="shared" si="57"/>
        <v>2500</v>
      </c>
      <c r="G513"/>
    </row>
  </sheetData>
  <autoFilter ref="B13:K317" xr:uid="{C8A95798-AF23-4C19-883A-C25D023AB1DF}"/>
  <mergeCells count="7">
    <mergeCell ref="M162:U162"/>
    <mergeCell ref="M115:U115"/>
    <mergeCell ref="M116:U116"/>
    <mergeCell ref="M117:U117"/>
    <mergeCell ref="M149:U149"/>
    <mergeCell ref="M151:U151"/>
    <mergeCell ref="M156:U156"/>
  </mergeCells>
  <conditionalFormatting sqref="A14:K14 M14:U14 A15:U15 A16:K16 M16:U16 A17:U17 A18:K27 M18:U27 A28:U28 A29:K33 M29:U33 A34:U34 A35:K42 M35:U42 A43:U43 A44:K56 M44:U56 A57:U57 A58:K70 M58:U70 A71:U71 A72:K85 M72:U85 A86:U86 A87:K124 M87:U124 A125:U125 A126:K141 M126:U141 A142:U142 A143:K145 M143:U145 A146:U146 A147:K154 M147:U154 A155:U155 A156:K158 M156:U158 A159:U159 A160:K160 M160:U160 A161:U161 A162:K163 M162:U163 A164:U164 A165:K167 M165:U167 A168:U168 A169:K173 M169:U173 A174:U174 A175:K176 M175:U176 A177:U177 A178:K194 M178:U194 A195:U195 A196:K198 M196:U198 A199:U199 A200:K203 M200:U203 A204:U204 A205:K213 M205:U213 A214:U214 A215:K251 M215:U251 A252:U252 A253:K268 M253:U268 A269:U269 A270:K271 M270:U271 A272:U272 A273:K273 M273:U273 A274:U274 A275:K277 M275:U277 A278:U278 A279:K287 M279:U287 A288:U288 A289:K290 M289:U290 A291:U291 A292:K305 M292:U305 A306:U306 A307:K307 M307:U307 A308:U308 A309:K309 M309:U309 A310:U310 A311:K313 M311:U313 A314:U314 A315:K316 M315:U316 A317:U319">
    <cfRule type="expression" dxfId="184" priority="5">
      <formula>MOD(ROW(),2)</formula>
    </cfRule>
  </conditionalFormatting>
  <conditionalFormatting sqref="E357">
    <cfRule type="cellIs" dxfId="183" priority="2" operator="lessThan">
      <formula>0</formula>
    </cfRule>
    <cfRule type="cellIs" dxfId="182" priority="3" operator="greaterThan">
      <formula>0</formula>
    </cfRule>
  </conditionalFormatting>
  <conditionalFormatting sqref="L320:M320">
    <cfRule type="cellIs" dxfId="181" priority="1" operator="lessThan">
      <formula>0</formula>
    </cfRule>
    <cfRule type="cellIs" dxfId="180" priority="4" operator="greaterThan">
      <formula>0</formula>
    </cfRule>
  </conditionalFormatting>
  <dataValidations disablePrompts="1" count="2">
    <dataValidation type="list" allowBlank="1" showInputMessage="1" showErrorMessage="1" sqref="B3" xr:uid="{8F005780-4E8E-4240-98CB-20DE589C4C78}">
      <formula1>"Level 1, Level 2, Level 3"</formula1>
    </dataValidation>
    <dataValidation type="list" allowBlank="1" showInputMessage="1" showErrorMessage="1" sqref="B4" xr:uid="{41DEBBFC-6B08-466E-B07C-BE71B0EF9005}">
      <formula1>"Urban, Market, Senior, Afforable"</formula1>
    </dataValidation>
  </dataValidations>
  <printOptions horizontalCentered="1"/>
  <pageMargins left="0.25" right="0.25" top="0.7" bottom="0.5" header="0.35" footer="0.05"/>
  <pageSetup paperSize="3" scale="56" fitToHeight="0" orientation="landscape" r:id="rId1"/>
  <headerFooter>
    <oddHeader>&amp;R&amp;G</oddHeader>
  </headerFooter>
  <rowBreaks count="4" manualBreakCount="4">
    <brk id="57" max="20" man="1"/>
    <brk id="125" max="20" man="1"/>
    <brk id="195" max="20" man="1"/>
    <brk id="252" max="20"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97C55-6BA9-4100-A58A-4DF6BE10C948}">
  <sheetPr>
    <tabColor theme="3" tint="0.499984740745262"/>
  </sheetPr>
  <dimension ref="A1:S42"/>
  <sheetViews>
    <sheetView topLeftCell="A83" workbookViewId="0">
      <selection activeCell="B26" sqref="B26"/>
    </sheetView>
  </sheetViews>
  <sheetFormatPr defaultRowHeight="15"/>
  <cols>
    <col min="1" max="1" width="15.140625" customWidth="1"/>
    <col min="2" max="3" width="16" customWidth="1"/>
    <col min="4" max="6" width="17.85546875" customWidth="1"/>
    <col min="7" max="7" width="16.7109375" customWidth="1"/>
    <col min="8" max="9" width="15" customWidth="1"/>
    <col min="14" max="14" width="16.85546875" customWidth="1"/>
    <col min="15" max="15" width="11.7109375" bestFit="1" customWidth="1"/>
    <col min="16" max="16" width="11.5703125" bestFit="1" customWidth="1"/>
    <col min="17" max="17" width="17.7109375" customWidth="1"/>
    <col min="19" max="19" width="10.5703125" bestFit="1" customWidth="1"/>
  </cols>
  <sheetData>
    <row r="1" spans="1:19" ht="15.75" thickBot="1"/>
    <row r="2" spans="1:19" ht="15.75" thickBot="1">
      <c r="A2" s="1" t="s">
        <v>908</v>
      </c>
      <c r="B2" s="1"/>
      <c r="C2" s="1"/>
      <c r="D2" s="1"/>
      <c r="F2" s="48" t="s">
        <v>909</v>
      </c>
      <c r="G2" s="49"/>
      <c r="H2" s="49"/>
    </row>
    <row r="3" spans="1:19">
      <c r="A3" s="9" t="s">
        <v>16</v>
      </c>
      <c r="B3" s="10" t="s">
        <v>17</v>
      </c>
      <c r="C3" s="10" t="s">
        <v>18</v>
      </c>
      <c r="D3" s="10" t="s">
        <v>185</v>
      </c>
      <c r="F3" s="53" t="s">
        <v>910</v>
      </c>
      <c r="G3" s="20"/>
      <c r="H3" s="20"/>
    </row>
    <row r="4" spans="1:19">
      <c r="A4" s="19" t="s">
        <v>452</v>
      </c>
      <c r="B4" s="20">
        <v>170</v>
      </c>
      <c r="C4" s="21">
        <f>B4/$B$8</f>
        <v>0.46831955922865015</v>
      </c>
      <c r="D4" s="20">
        <v>676</v>
      </c>
      <c r="F4" s="55" t="s">
        <v>911</v>
      </c>
      <c r="G4" s="18"/>
      <c r="H4" s="18"/>
    </row>
    <row r="5" spans="1:19">
      <c r="A5" s="25" t="s">
        <v>459</v>
      </c>
      <c r="B5" s="18">
        <v>48</v>
      </c>
      <c r="C5" s="26">
        <f>B5/$B$8</f>
        <v>0.13223140495867769</v>
      </c>
      <c r="D5" s="18">
        <v>764</v>
      </c>
      <c r="F5" s="55" t="s">
        <v>912</v>
      </c>
      <c r="G5" s="18"/>
      <c r="H5" s="18"/>
    </row>
    <row r="6" spans="1:19" ht="15.75" thickBot="1">
      <c r="A6" s="25" t="s">
        <v>463</v>
      </c>
      <c r="B6" s="18">
        <v>127</v>
      </c>
      <c r="C6" s="26">
        <f>B6/$B$8</f>
        <v>0.34986225895316803</v>
      </c>
      <c r="D6" s="18">
        <v>901</v>
      </c>
      <c r="F6" s="62" t="s">
        <v>913</v>
      </c>
      <c r="G6" s="43"/>
      <c r="H6" s="43"/>
      <c r="K6">
        <v>10</v>
      </c>
    </row>
    <row r="7" spans="1:19">
      <c r="A7" s="25" t="s">
        <v>469</v>
      </c>
      <c r="B7" s="18">
        <v>18</v>
      </c>
      <c r="C7" s="26">
        <f>B7/$B$8</f>
        <v>4.9586776859504134E-2</v>
      </c>
      <c r="D7" s="18">
        <v>968</v>
      </c>
      <c r="K7">
        <f>K6*16</f>
        <v>160</v>
      </c>
    </row>
    <row r="8" spans="1:19" ht="15.75" thickBot="1">
      <c r="A8" s="40" t="s">
        <v>48</v>
      </c>
      <c r="B8" s="41">
        <f>SUM(B4:B7)</f>
        <v>363</v>
      </c>
      <c r="C8" s="42">
        <f>B8/$B$8</f>
        <v>1</v>
      </c>
      <c r="D8" s="45">
        <f>SUMPRODUCT(B4:B7,D4:D7)</f>
        <v>283443</v>
      </c>
    </row>
    <row r="9" spans="1:19" ht="15.75" thickBot="1">
      <c r="K9">
        <v>600</v>
      </c>
    </row>
    <row r="10" spans="1:19" ht="15.75" thickBot="1">
      <c r="A10" s="4" t="s">
        <v>914</v>
      </c>
      <c r="B10" s="5"/>
      <c r="C10" s="6"/>
      <c r="D10" s="4" t="s">
        <v>914</v>
      </c>
      <c r="E10" s="5"/>
      <c r="F10" s="6"/>
      <c r="G10" s="4" t="s">
        <v>914</v>
      </c>
      <c r="H10" s="5"/>
      <c r="I10" s="6"/>
      <c r="K10">
        <f>1250-K9-K7</f>
        <v>490</v>
      </c>
      <c r="N10" s="377" t="s">
        <v>94</v>
      </c>
      <c r="O10" s="377"/>
      <c r="P10" s="377" t="s">
        <v>915</v>
      </c>
      <c r="R10" s="377" t="s">
        <v>916</v>
      </c>
      <c r="S10" s="377"/>
    </row>
    <row r="11" spans="1:19">
      <c r="A11" s="11" t="s">
        <v>917</v>
      </c>
      <c r="B11" s="12">
        <v>177268</v>
      </c>
      <c r="C11" s="13" t="s">
        <v>918</v>
      </c>
      <c r="D11" s="14" t="s">
        <v>919</v>
      </c>
      <c r="E11" s="15">
        <f>(((16.19+55.2)*(23+34+30+24+30+27))+((17.33+77.17)*(8+10+8+8+10+8))+((20.29+64.88)*(12+24+24+14+25+26))+((18.98+64.6)*(1+1+2+4+5+5)))+((242.17+36.22)+(140.39+10.04)+(140.45+10.04)+(19.89+4.91))</f>
        <v>29662.319999999996</v>
      </c>
      <c r="F11" s="16" t="s">
        <v>185</v>
      </c>
      <c r="G11" s="14" t="s">
        <v>920</v>
      </c>
      <c r="H11" s="15">
        <v>0</v>
      </c>
      <c r="I11" s="16" t="s">
        <v>185</v>
      </c>
      <c r="N11" t="s">
        <v>28</v>
      </c>
      <c r="O11" s="378">
        <f>48798.63-P11</f>
        <v>48298.63</v>
      </c>
      <c r="P11">
        <f>4*125</f>
        <v>500</v>
      </c>
      <c r="R11">
        <f>45*3</f>
        <v>135</v>
      </c>
      <c r="S11" s="379">
        <f>O11-R11</f>
        <v>48163.63</v>
      </c>
    </row>
    <row r="12" spans="1:19">
      <c r="A12" s="14" t="s">
        <v>138</v>
      </c>
      <c r="B12" s="15">
        <v>6</v>
      </c>
      <c r="C12" s="16" t="s">
        <v>132</v>
      </c>
      <c r="D12" s="14" t="s">
        <v>213</v>
      </c>
      <c r="E12" s="15">
        <v>0</v>
      </c>
      <c r="F12" s="16"/>
      <c r="G12" s="14" t="s">
        <v>921</v>
      </c>
      <c r="H12" s="15"/>
      <c r="I12" s="16"/>
      <c r="N12" t="s">
        <v>922</v>
      </c>
      <c r="O12" s="378">
        <f>67208.37-P12</f>
        <v>66583.37</v>
      </c>
      <c r="P12">
        <f>5*125</f>
        <v>625</v>
      </c>
      <c r="R12">
        <f>65*3</f>
        <v>195</v>
      </c>
      <c r="S12" s="379">
        <f>O12-R12</f>
        <v>66388.37</v>
      </c>
    </row>
    <row r="13" spans="1:19">
      <c r="A13" s="27" t="s">
        <v>923</v>
      </c>
      <c r="B13" s="2">
        <f>B12*2</f>
        <v>12</v>
      </c>
      <c r="C13" s="28" t="s">
        <v>132</v>
      </c>
      <c r="D13" s="14" t="s">
        <v>924</v>
      </c>
      <c r="E13" s="15">
        <v>316370.92</v>
      </c>
      <c r="F13" s="16" t="s">
        <v>185</v>
      </c>
      <c r="G13" s="14" t="s">
        <v>925</v>
      </c>
      <c r="H13" s="15"/>
      <c r="I13" s="16"/>
      <c r="N13" t="s">
        <v>21</v>
      </c>
      <c r="O13" s="378">
        <f>63276.41-P13</f>
        <v>62776.41</v>
      </c>
      <c r="P13">
        <f>4*125</f>
        <v>500</v>
      </c>
      <c r="R13">
        <f>60*3</f>
        <v>180</v>
      </c>
      <c r="S13" s="379">
        <f>O13-R13</f>
        <v>62596.41</v>
      </c>
    </row>
    <row r="14" spans="1:19">
      <c r="A14" s="14" t="s">
        <v>926</v>
      </c>
      <c r="B14" s="30">
        <v>14</v>
      </c>
      <c r="C14" s="16" t="s">
        <v>927</v>
      </c>
      <c r="D14" s="14" t="s">
        <v>928</v>
      </c>
      <c r="E14" s="15">
        <v>171978.5</v>
      </c>
      <c r="F14" s="16"/>
      <c r="G14" s="14" t="s">
        <v>929</v>
      </c>
      <c r="H14" s="15"/>
      <c r="I14" s="16"/>
      <c r="N14" t="s">
        <v>930</v>
      </c>
      <c r="O14" s="378">
        <v>600</v>
      </c>
      <c r="Q14" t="s">
        <v>931</v>
      </c>
    </row>
    <row r="15" spans="1:19">
      <c r="A15" s="14" t="s">
        <v>932</v>
      </c>
      <c r="B15" s="15">
        <v>19</v>
      </c>
      <c r="C15" s="16" t="s">
        <v>132</v>
      </c>
      <c r="D15" s="14" t="s">
        <v>933</v>
      </c>
      <c r="E15" s="31">
        <f>64*48</f>
        <v>3072</v>
      </c>
      <c r="F15" s="16" t="s">
        <v>185</v>
      </c>
      <c r="G15" s="32" t="s">
        <v>934</v>
      </c>
      <c r="H15" s="31">
        <v>1223.57</v>
      </c>
      <c r="I15" s="33" t="s">
        <v>185</v>
      </c>
      <c r="N15" t="s">
        <v>935</v>
      </c>
      <c r="O15" s="378">
        <v>307</v>
      </c>
    </row>
    <row r="16" spans="1:19">
      <c r="A16" s="37" t="s">
        <v>936</v>
      </c>
      <c r="B16" s="38">
        <v>1</v>
      </c>
      <c r="C16" s="39"/>
      <c r="D16" s="14" t="s">
        <v>937</v>
      </c>
      <c r="E16" s="15">
        <v>0</v>
      </c>
      <c r="F16" s="16" t="s">
        <v>185</v>
      </c>
      <c r="G16" s="32" t="s">
        <v>938</v>
      </c>
      <c r="H16" s="31">
        <f>K29</f>
        <v>2236</v>
      </c>
      <c r="I16" s="33" t="s">
        <v>185</v>
      </c>
      <c r="O16" s="378"/>
    </row>
    <row r="17" spans="1:17">
      <c r="A17" s="14" t="s">
        <v>939</v>
      </c>
      <c r="B17" s="15">
        <f>869.71+1032.19</f>
        <v>1901.9</v>
      </c>
      <c r="C17" s="16" t="s">
        <v>940</v>
      </c>
      <c r="D17" s="32" t="s">
        <v>916</v>
      </c>
      <c r="E17" s="31">
        <v>0</v>
      </c>
      <c r="F17" s="33" t="s">
        <v>185</v>
      </c>
      <c r="G17" s="32"/>
      <c r="H17" s="31"/>
      <c r="I17" s="33"/>
      <c r="O17" s="378"/>
    </row>
    <row r="18" spans="1:17">
      <c r="A18" s="14" t="s">
        <v>941</v>
      </c>
      <c r="B18" s="15">
        <v>2595</v>
      </c>
      <c r="C18" s="16" t="s">
        <v>169</v>
      </c>
      <c r="D18" s="32" t="s">
        <v>617</v>
      </c>
      <c r="E18" s="31">
        <v>0</v>
      </c>
      <c r="F18" s="33" t="s">
        <v>185</v>
      </c>
      <c r="G18" s="32" t="s">
        <v>942</v>
      </c>
      <c r="H18" s="31">
        <v>35218.83</v>
      </c>
      <c r="I18" s="33"/>
    </row>
    <row r="19" spans="1:17">
      <c r="A19" s="14" t="s">
        <v>153</v>
      </c>
      <c r="B19" s="15">
        <f>1899.71+243.72</f>
        <v>2143.4299999999998</v>
      </c>
      <c r="C19" s="16" t="s">
        <v>943</v>
      </c>
      <c r="D19" s="32" t="s">
        <v>621</v>
      </c>
      <c r="E19" s="31">
        <v>0</v>
      </c>
      <c r="F19" s="33" t="s">
        <v>185</v>
      </c>
      <c r="G19" s="32" t="s">
        <v>944</v>
      </c>
      <c r="H19" s="31">
        <v>5741.77</v>
      </c>
      <c r="I19" s="33"/>
    </row>
    <row r="20" spans="1:17">
      <c r="A20" s="14" t="s">
        <v>315</v>
      </c>
      <c r="B20" s="15">
        <f>E32</f>
        <v>23863.339999999997</v>
      </c>
      <c r="C20" s="16" t="s">
        <v>945</v>
      </c>
      <c r="D20" s="32" t="s">
        <v>642</v>
      </c>
      <c r="E20" s="31">
        <v>0</v>
      </c>
      <c r="F20" s="33" t="s">
        <v>169</v>
      </c>
      <c r="G20" s="32" t="s">
        <v>946</v>
      </c>
      <c r="H20" s="31">
        <v>1103.55</v>
      </c>
      <c r="I20" s="33"/>
      <c r="N20" s="377" t="s">
        <v>22</v>
      </c>
      <c r="O20" s="377"/>
      <c r="P20" s="377" t="s">
        <v>947</v>
      </c>
      <c r="Q20" s="377"/>
    </row>
    <row r="21" spans="1:17">
      <c r="A21" s="14" t="s">
        <v>948</v>
      </c>
      <c r="B21" s="15">
        <f>67855+103666+98170</f>
        <v>269691</v>
      </c>
      <c r="C21" s="16" t="s">
        <v>940</v>
      </c>
      <c r="D21" s="50" t="s">
        <v>949</v>
      </c>
      <c r="E21" s="51">
        <v>0</v>
      </c>
      <c r="F21" s="52" t="s">
        <v>169</v>
      </c>
      <c r="G21" s="32" t="s">
        <v>950</v>
      </c>
      <c r="H21" s="31">
        <v>4961.54</v>
      </c>
      <c r="I21" s="33"/>
      <c r="N21" t="s">
        <v>28</v>
      </c>
      <c r="O21" s="378">
        <v>48784</v>
      </c>
      <c r="P21">
        <v>1800</v>
      </c>
    </row>
    <row r="22" spans="1:17">
      <c r="A22" s="14" t="s">
        <v>482</v>
      </c>
      <c r="B22" s="54">
        <f>'LEVEL 1.2 BUDGET'!S3</f>
        <v>286</v>
      </c>
      <c r="C22" s="16" t="s">
        <v>132</v>
      </c>
      <c r="D22" s="32" t="s">
        <v>951</v>
      </c>
      <c r="E22" s="31">
        <v>0</v>
      </c>
      <c r="F22" s="33" t="s">
        <v>185</v>
      </c>
      <c r="G22" s="32" t="s">
        <v>920</v>
      </c>
      <c r="H22" s="51">
        <v>1956.73</v>
      </c>
      <c r="I22" s="33"/>
      <c r="N22" t="s">
        <v>922</v>
      </c>
      <c r="O22" s="378">
        <v>64771</v>
      </c>
      <c r="P22">
        <v>2200</v>
      </c>
    </row>
    <row r="23" spans="1:17">
      <c r="A23" s="14" t="s">
        <v>952</v>
      </c>
      <c r="B23" s="15">
        <v>0</v>
      </c>
      <c r="C23" s="16" t="s">
        <v>953</v>
      </c>
      <c r="D23" s="32" t="s">
        <v>954</v>
      </c>
      <c r="E23" s="31">
        <v>0</v>
      </c>
      <c r="F23" s="33"/>
      <c r="G23" s="32" t="s">
        <v>955</v>
      </c>
      <c r="H23" s="31">
        <v>674.75</v>
      </c>
      <c r="I23" s="33"/>
      <c r="N23" t="s">
        <v>21</v>
      </c>
      <c r="O23" s="378">
        <v>66016</v>
      </c>
      <c r="P23">
        <v>2254</v>
      </c>
    </row>
    <row r="24" spans="1:17">
      <c r="A24" s="14" t="s">
        <v>930</v>
      </c>
      <c r="B24" s="15">
        <v>1</v>
      </c>
      <c r="C24" s="16" t="s">
        <v>98</v>
      </c>
      <c r="D24" s="32" t="s">
        <v>617</v>
      </c>
      <c r="E24" s="31">
        <v>0</v>
      </c>
      <c r="F24" s="33"/>
      <c r="G24" s="32"/>
      <c r="H24" s="31"/>
      <c r="I24" s="33"/>
      <c r="O24" s="379">
        <f>SUM(O21:O23)</f>
        <v>179571</v>
      </c>
      <c r="P24" s="379">
        <f>SUM(P21:P23)</f>
        <v>6254</v>
      </c>
      <c r="Q24" s="379">
        <f>P24+O24</f>
        <v>185825</v>
      </c>
    </row>
    <row r="25" spans="1:17">
      <c r="A25" s="14" t="s">
        <v>419</v>
      </c>
      <c r="B25" s="15">
        <v>0</v>
      </c>
      <c r="C25" s="16" t="s">
        <v>98</v>
      </c>
      <c r="D25" s="32" t="s">
        <v>956</v>
      </c>
      <c r="E25" s="31">
        <v>0</v>
      </c>
      <c r="F25" s="33"/>
      <c r="G25" s="32"/>
      <c r="H25" s="31"/>
      <c r="I25" s="33"/>
      <c r="K25">
        <f>86</f>
        <v>86</v>
      </c>
      <c r="N25" t="s">
        <v>891</v>
      </c>
      <c r="O25" s="379">
        <f>O24/9</f>
        <v>19952.333333333332</v>
      </c>
      <c r="P25" s="379">
        <f t="shared" ref="P25:Q25" si="0">P24/9</f>
        <v>694.88888888888891</v>
      </c>
      <c r="Q25" s="379">
        <f t="shared" si="0"/>
        <v>20647.222222222223</v>
      </c>
    </row>
    <row r="26" spans="1:17">
      <c r="A26" s="32" t="s">
        <v>957</v>
      </c>
      <c r="B26" s="31">
        <f>12+9+9</f>
        <v>30</v>
      </c>
      <c r="C26" s="33" t="s">
        <v>98</v>
      </c>
      <c r="D26" s="32"/>
      <c r="E26" s="31"/>
      <c r="F26" s="33"/>
      <c r="G26" s="32"/>
      <c r="H26" s="31"/>
      <c r="I26" s="33"/>
      <c r="K26">
        <f>4*2</f>
        <v>8</v>
      </c>
    </row>
    <row r="27" spans="1:17">
      <c r="A27" s="50" t="s">
        <v>958</v>
      </c>
      <c r="B27" s="376">
        <f>3+3+4</f>
        <v>10</v>
      </c>
      <c r="C27" s="52" t="s">
        <v>98</v>
      </c>
      <c r="D27" s="50"/>
      <c r="E27" s="376"/>
      <c r="F27" s="52"/>
      <c r="G27" s="50"/>
      <c r="H27" s="376"/>
      <c r="I27" s="52"/>
      <c r="K27">
        <f>5*2</f>
        <v>10</v>
      </c>
    </row>
    <row r="28" spans="1:17">
      <c r="A28" s="50"/>
      <c r="B28" s="376"/>
      <c r="C28" s="52"/>
      <c r="D28" s="50" t="s">
        <v>315</v>
      </c>
      <c r="E28" s="376"/>
      <c r="F28" s="52"/>
      <c r="G28" s="50"/>
      <c r="H28" s="376"/>
      <c r="I28" s="52"/>
      <c r="K28">
        <f>4*2</f>
        <v>8</v>
      </c>
      <c r="N28" s="408">
        <v>1</v>
      </c>
      <c r="O28" s="456">
        <v>94262</v>
      </c>
      <c r="P28" s="456">
        <v>98509</v>
      </c>
      <c r="Q28" s="456">
        <f t="shared" ref="Q28:Q30" si="1">P28-O28</f>
        <v>4247</v>
      </c>
    </row>
    <row r="29" spans="1:17">
      <c r="A29" s="50"/>
      <c r="B29" s="376"/>
      <c r="C29" s="52"/>
      <c r="D29" s="50" t="s">
        <v>959</v>
      </c>
      <c r="E29" s="376">
        <v>6633.44</v>
      </c>
      <c r="F29" s="52" t="s">
        <v>351</v>
      </c>
      <c r="G29" s="50"/>
      <c r="H29" s="376"/>
      <c r="I29" s="52"/>
      <c r="K29">
        <f>SUM(K26:K28)*K25</f>
        <v>2236</v>
      </c>
      <c r="N29" s="408">
        <v>2</v>
      </c>
      <c r="O29" s="456">
        <v>113176</v>
      </c>
      <c r="P29" s="456">
        <v>136604</v>
      </c>
      <c r="Q29" s="456">
        <f t="shared" si="1"/>
        <v>23428</v>
      </c>
    </row>
    <row r="30" spans="1:17">
      <c r="A30" s="50"/>
      <c r="B30" s="376"/>
      <c r="C30" s="52"/>
      <c r="D30" s="50" t="s">
        <v>960</v>
      </c>
      <c r="E30" s="376">
        <v>8701.64</v>
      </c>
      <c r="F30" s="52" t="s">
        <v>351</v>
      </c>
      <c r="G30" s="50"/>
      <c r="H30" s="376"/>
      <c r="I30" s="52"/>
      <c r="N30" s="408">
        <v>3</v>
      </c>
      <c r="O30" s="457">
        <v>121766</v>
      </c>
      <c r="P30" s="457">
        <v>127458</v>
      </c>
      <c r="Q30" s="457">
        <f t="shared" si="1"/>
        <v>5692</v>
      </c>
    </row>
    <row r="31" spans="1:17">
      <c r="A31" s="50"/>
      <c r="B31" s="376"/>
      <c r="C31" s="52"/>
      <c r="D31" s="50" t="s">
        <v>961</v>
      </c>
      <c r="E31" s="376">
        <v>8528.26</v>
      </c>
      <c r="F31" s="52" t="s">
        <v>351</v>
      </c>
      <c r="G31" s="50"/>
      <c r="H31" s="376"/>
      <c r="I31" s="52"/>
      <c r="O31" s="456">
        <f>SUM(O28:O30)</f>
        <v>329204</v>
      </c>
      <c r="P31" s="456">
        <f>SUM(P28:P30)</f>
        <v>362571</v>
      </c>
      <c r="Q31" s="456">
        <f>P31-O31</f>
        <v>33367</v>
      </c>
    </row>
    <row r="32" spans="1:17">
      <c r="A32" s="50"/>
      <c r="B32" s="376"/>
      <c r="C32" s="52"/>
      <c r="D32" s="50" t="s">
        <v>66</v>
      </c>
      <c r="E32" s="376">
        <f>SUM(E29:E31)</f>
        <v>23863.339999999997</v>
      </c>
      <c r="F32" s="52"/>
      <c r="G32" s="50"/>
      <c r="H32" s="376"/>
      <c r="I32" s="52"/>
    </row>
    <row r="33" spans="1:16">
      <c r="A33" s="50"/>
      <c r="B33" s="376"/>
      <c r="C33" s="52"/>
      <c r="D33" s="50"/>
      <c r="E33" s="376"/>
      <c r="F33" s="52"/>
      <c r="G33" s="50"/>
      <c r="H33" s="376"/>
      <c r="I33" s="52"/>
    </row>
    <row r="34" spans="1:16">
      <c r="A34" s="50"/>
      <c r="B34" s="376"/>
      <c r="C34" s="52"/>
      <c r="D34" s="50"/>
      <c r="E34" s="376"/>
      <c r="F34" s="52"/>
      <c r="G34" s="50"/>
      <c r="H34" s="376"/>
      <c r="I34" s="52"/>
    </row>
    <row r="35" spans="1:16">
      <c r="A35" s="50"/>
      <c r="B35" s="376"/>
      <c r="C35" s="52"/>
      <c r="D35" s="50"/>
      <c r="E35" s="376"/>
      <c r="F35" s="52"/>
      <c r="G35" s="50"/>
      <c r="H35" s="376"/>
      <c r="I35" s="52"/>
    </row>
    <row r="36" spans="1:16" ht="15.75" thickBot="1">
      <c r="A36" s="74"/>
      <c r="B36" s="75"/>
      <c r="C36" s="76"/>
      <c r="D36" s="74"/>
      <c r="E36" s="75"/>
      <c r="F36" s="76"/>
      <c r="G36" s="74"/>
      <c r="H36" s="75"/>
      <c r="I36" s="76"/>
    </row>
    <row r="37" spans="1:16">
      <c r="N37" t="s">
        <v>311</v>
      </c>
      <c r="P37" s="408" t="s">
        <v>185</v>
      </c>
    </row>
    <row r="38" spans="1:16">
      <c r="N38" t="s">
        <v>452</v>
      </c>
      <c r="O38">
        <v>166</v>
      </c>
    </row>
    <row r="39" spans="1:16">
      <c r="N39" t="s">
        <v>459</v>
      </c>
      <c r="O39">
        <v>52</v>
      </c>
    </row>
    <row r="40" spans="1:16">
      <c r="N40" s="481" t="s">
        <v>463</v>
      </c>
      <c r="O40">
        <v>127</v>
      </c>
    </row>
    <row r="41" spans="1:16">
      <c r="N41" s="456" t="s">
        <v>469</v>
      </c>
      <c r="O41">
        <v>18</v>
      </c>
    </row>
    <row r="42" spans="1:16">
      <c r="O42">
        <f>SUM(O38:O41)</f>
        <v>363</v>
      </c>
    </row>
  </sheetData>
  <phoneticPr fontId="17" type="noConversion"/>
  <conditionalFormatting sqref="A14:C35">
    <cfRule type="expression" dxfId="179" priority="4">
      <formula>MOD(ROW(),2)</formula>
    </cfRule>
  </conditionalFormatting>
  <conditionalFormatting sqref="A4:D8">
    <cfRule type="expression" dxfId="178" priority="2">
      <formula>MOD(ROW(),2)=0</formula>
    </cfRule>
  </conditionalFormatting>
  <conditionalFormatting sqref="A10:I12">
    <cfRule type="expression" dxfId="177" priority="5">
      <formula>MOD(ROW(),2)</formula>
    </cfRule>
  </conditionalFormatting>
  <conditionalFormatting sqref="D13:I36 A26:F36">
    <cfRule type="expression" dxfId="176" priority="3">
      <formula>MOD(ROW(),2)</formula>
    </cfRule>
  </conditionalFormatting>
  <conditionalFormatting sqref="F3:H6">
    <cfRule type="expression" dxfId="175" priority="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1815-5272-43DD-A3C3-8AA5D48CB257}">
  <sheetPr>
    <tabColor theme="4" tint="0.79998168889431442"/>
    <pageSetUpPr fitToPage="1"/>
  </sheetPr>
  <dimension ref="A1:AQ513"/>
  <sheetViews>
    <sheetView showGridLines="0" view="pageBreakPreview" zoomScale="70" zoomScaleNormal="100" zoomScaleSheetLayoutView="70" workbookViewId="0">
      <pane xSplit="1" ySplit="13" topLeftCell="B15" activePane="bottomRight" state="frozen"/>
      <selection pane="bottomRight" activeCell="K2" sqref="K2"/>
      <selection pane="bottomLeft" activeCell="I20" sqref="I20"/>
      <selection pane="topRight" activeCell="I20" sqref="I20"/>
    </sheetView>
  </sheetViews>
  <sheetFormatPr defaultColWidth="9.140625" defaultRowHeight="15" outlineLevelRow="1"/>
  <cols>
    <col min="1" max="1" width="42.5703125" style="491" bestFit="1" customWidth="1"/>
    <col min="2" max="2" width="18.28515625" style="490" customWidth="1"/>
    <col min="3" max="3" width="17.85546875" style="490" bestFit="1" customWidth="1"/>
    <col min="4" max="4" width="20" style="490" customWidth="1"/>
    <col min="5" max="5" width="22.5703125" style="490" customWidth="1"/>
    <col min="6" max="6" width="14.85546875" style="490" customWidth="1"/>
    <col min="7" max="7" width="10.28515625" style="491" customWidth="1"/>
    <col min="8" max="8" width="16" style="491" bestFit="1" customWidth="1"/>
    <col min="9" max="9" width="13.140625" style="491" customWidth="1"/>
    <col min="10" max="10" width="16.5703125" style="491" bestFit="1" customWidth="1"/>
    <col min="11" max="11" width="17.42578125" style="491" customWidth="1"/>
    <col min="12" max="12" width="16" style="491" bestFit="1" customWidth="1"/>
    <col min="13" max="13" width="11.5703125" style="491" customWidth="1"/>
    <col min="14" max="14" width="23.42578125" style="491" customWidth="1"/>
    <col min="15" max="15" width="16.28515625" style="491" customWidth="1"/>
    <col min="16" max="16" width="8.85546875" style="491" customWidth="1"/>
    <col min="17" max="17" width="11" style="491" customWidth="1"/>
    <col min="18" max="18" width="9.28515625" style="491" customWidth="1"/>
    <col min="19" max="19" width="16" style="491" bestFit="1" customWidth="1"/>
    <col min="20" max="20" width="7.7109375" style="491" bestFit="1" customWidth="1"/>
    <col min="21" max="21" width="42" style="491" customWidth="1"/>
    <col min="22" max="22" width="9.140625" style="491"/>
    <col min="23" max="23" width="11" style="491" bestFit="1" customWidth="1"/>
    <col min="24" max="24" width="15" style="491" bestFit="1" customWidth="1"/>
    <col min="25" max="25" width="10.28515625" style="491" bestFit="1" customWidth="1"/>
    <col min="26" max="26" width="15.140625" style="491" bestFit="1" customWidth="1"/>
    <col min="27" max="27" width="12.5703125" style="491" customWidth="1"/>
    <col min="28" max="29" width="13.28515625" style="491" bestFit="1" customWidth="1"/>
    <col min="30" max="31" width="9.140625" style="491"/>
    <col min="32" max="33" width="9.28515625" style="491" bestFit="1" customWidth="1"/>
    <col min="34" max="34" width="9.140625" style="491"/>
    <col min="35" max="35" width="10.5703125" style="491" bestFit="1" customWidth="1"/>
    <col min="36" max="36" width="9.140625" style="491" customWidth="1"/>
    <col min="37" max="38" width="9.140625" style="491"/>
    <col min="39" max="40" width="9.28515625" style="491" bestFit="1" customWidth="1"/>
    <col min="41" max="41" width="9.140625" style="491"/>
    <col min="42" max="42" width="12.85546875" style="491" customWidth="1"/>
    <col min="43" max="43" width="9.28515625" style="491" bestFit="1" customWidth="1"/>
    <col min="44" max="16384" width="9.140625" style="491"/>
  </cols>
  <sheetData>
    <row r="1" spans="1:43" ht="15.75" thickBot="1">
      <c r="A1" s="489" t="s">
        <v>8</v>
      </c>
      <c r="B1" s="489"/>
    </row>
    <row r="2" spans="1:43" ht="15.75" thickBot="1">
      <c r="A2" s="492" t="s">
        <v>9</v>
      </c>
      <c r="B2" s="493" t="s">
        <v>10</v>
      </c>
      <c r="J2" s="494" t="s">
        <v>11</v>
      </c>
      <c r="K2" s="495">
        <f>L319</f>
        <v>68767993.966582954</v>
      </c>
      <c r="M2" s="489" t="s">
        <v>12</v>
      </c>
      <c r="N2" s="489"/>
      <c r="O2" s="489"/>
      <c r="Q2" s="489" t="s">
        <v>13</v>
      </c>
      <c r="R2" s="489"/>
      <c r="S2" s="489"/>
    </row>
    <row r="3" spans="1:43">
      <c r="A3" s="496" t="s">
        <v>14</v>
      </c>
      <c r="B3" s="497" t="s">
        <v>883</v>
      </c>
      <c r="J3" s="490"/>
      <c r="K3" s="490"/>
      <c r="M3" s="498" t="s">
        <v>16</v>
      </c>
      <c r="N3" s="499" t="s">
        <v>17</v>
      </c>
      <c r="O3" s="499" t="s">
        <v>18</v>
      </c>
      <c r="Q3" s="496" t="s">
        <v>19</v>
      </c>
      <c r="R3" s="500"/>
      <c r="S3" s="497">
        <v>286</v>
      </c>
      <c r="AE3" s="501" t="s">
        <v>20</v>
      </c>
      <c r="AF3" s="502"/>
      <c r="AG3" s="502"/>
      <c r="AH3" s="502"/>
      <c r="AI3" s="502" t="s">
        <v>21</v>
      </c>
      <c r="AJ3" s="503">
        <f>21*7</f>
        <v>147</v>
      </c>
      <c r="AL3" s="501" t="s">
        <v>22</v>
      </c>
      <c r="AM3" s="502"/>
      <c r="AN3" s="502"/>
      <c r="AO3" s="502"/>
      <c r="AP3" s="502" t="s">
        <v>21</v>
      </c>
      <c r="AQ3" s="503">
        <f>15000+6560+6500+15400+4570+4635+4540+4250</f>
        <v>61455</v>
      </c>
    </row>
    <row r="4" spans="1:43">
      <c r="A4" s="496" t="s">
        <v>23</v>
      </c>
      <c r="B4" s="497" t="s">
        <v>24</v>
      </c>
      <c r="J4" s="494" t="s">
        <v>25</v>
      </c>
      <c r="K4" s="495">
        <f>K2/N9</f>
        <v>189443.5095498153</v>
      </c>
      <c r="M4" s="504" t="s">
        <v>26</v>
      </c>
      <c r="N4" s="505">
        <v>0</v>
      </c>
      <c r="O4" s="506">
        <f t="shared" ref="O4:O9" si="0">N4/$N$9</f>
        <v>0</v>
      </c>
      <c r="Q4" s="496" t="s">
        <v>27</v>
      </c>
      <c r="R4" s="500"/>
      <c r="S4" s="497"/>
      <c r="AE4" s="507" t="s">
        <v>28</v>
      </c>
      <c r="AJ4" s="508">
        <f>14*7</f>
        <v>98</v>
      </c>
      <c r="AL4" s="507" t="s">
        <v>28</v>
      </c>
      <c r="AQ4" s="508"/>
    </row>
    <row r="5" spans="1:43">
      <c r="A5" s="496" t="s">
        <v>29</v>
      </c>
      <c r="B5" s="509"/>
      <c r="J5" s="490"/>
      <c r="K5" s="490"/>
      <c r="M5" s="510" t="s">
        <v>30</v>
      </c>
      <c r="N5" s="497">
        <f>'Assumptions &amp; Takeoffs'!B4+'Assumptions &amp; Takeoffs'!B5</f>
        <v>218</v>
      </c>
      <c r="O5" s="511">
        <f t="shared" si="0"/>
        <v>0.60055096418732778</v>
      </c>
      <c r="Q5" s="496" t="s">
        <v>31</v>
      </c>
      <c r="R5" s="500"/>
      <c r="S5" s="497">
        <v>157</v>
      </c>
      <c r="AE5" s="507" t="s">
        <v>32</v>
      </c>
      <c r="AF5" s="491">
        <f>21*4+8*8+7*6</f>
        <v>190</v>
      </c>
      <c r="AJ5" s="508">
        <f>8*22</f>
        <v>176</v>
      </c>
      <c r="AL5" s="507" t="s">
        <v>32</v>
      </c>
      <c r="AM5" s="491">
        <v>19256</v>
      </c>
      <c r="AQ5" s="508"/>
    </row>
    <row r="6" spans="1:43">
      <c r="A6" s="496" t="s">
        <v>33</v>
      </c>
      <c r="B6" s="512">
        <v>24</v>
      </c>
      <c r="J6" s="494" t="s">
        <v>34</v>
      </c>
      <c r="K6" s="495">
        <f>K2/B8</f>
        <v>189.66766224155532</v>
      </c>
      <c r="M6" s="510" t="s">
        <v>35</v>
      </c>
      <c r="N6" s="497">
        <f>'Assumptions &amp; Takeoffs'!B6+'Assumptions &amp; Takeoffs'!B7</f>
        <v>145</v>
      </c>
      <c r="O6" s="511">
        <f t="shared" si="0"/>
        <v>0.39944903581267216</v>
      </c>
      <c r="Q6" s="496" t="s">
        <v>36</v>
      </c>
      <c r="R6" s="500"/>
      <c r="S6" s="497">
        <v>14</v>
      </c>
      <c r="AE6" s="507" t="s">
        <v>37</v>
      </c>
      <c r="AF6" s="491">
        <f>14*4+21*2+8*6</f>
        <v>146</v>
      </c>
      <c r="AJ6" s="508">
        <f>7*10</f>
        <v>70</v>
      </c>
      <c r="AL6" s="507" t="s">
        <v>37</v>
      </c>
      <c r="AM6" s="491">
        <v>8980</v>
      </c>
      <c r="AQ6" s="508"/>
    </row>
    <row r="7" spans="1:43">
      <c r="A7" s="496" t="s">
        <v>38</v>
      </c>
      <c r="B7" s="497">
        <v>2</v>
      </c>
      <c r="J7" s="490"/>
      <c r="K7" s="490"/>
      <c r="M7" s="510" t="s">
        <v>39</v>
      </c>
      <c r="N7" s="497">
        <v>0</v>
      </c>
      <c r="O7" s="511">
        <f t="shared" si="0"/>
        <v>0</v>
      </c>
      <c r="Q7" s="496" t="s">
        <v>40</v>
      </c>
      <c r="R7" s="500"/>
      <c r="S7" s="497">
        <v>0</v>
      </c>
      <c r="AE7" s="507" t="s">
        <v>41</v>
      </c>
      <c r="AF7" s="491">
        <f>21*2+14*2+8*6</f>
        <v>118</v>
      </c>
      <c r="AJ7" s="508">
        <f>SUM(AJ3:AJ6)</f>
        <v>491</v>
      </c>
      <c r="AL7" s="507" t="s">
        <v>41</v>
      </c>
      <c r="AM7" s="491">
        <v>8850</v>
      </c>
      <c r="AQ7" s="508"/>
    </row>
    <row r="8" spans="1:43">
      <c r="A8" s="496" t="s">
        <v>42</v>
      </c>
      <c r="B8" s="512">
        <f>98509+136604+127458</f>
        <v>362571</v>
      </c>
      <c r="J8" s="494" t="s">
        <v>43</v>
      </c>
      <c r="K8" s="513">
        <f>'Assumptions &amp; Takeoffs'!D8/B8</f>
        <v>0.78175860727967761</v>
      </c>
      <c r="M8" s="514" t="s">
        <v>44</v>
      </c>
      <c r="N8" s="515">
        <v>0</v>
      </c>
      <c r="O8" s="516">
        <f t="shared" si="0"/>
        <v>0</v>
      </c>
      <c r="Q8" s="496" t="s">
        <v>45</v>
      </c>
      <c r="R8" s="500"/>
      <c r="S8" s="497">
        <f>SUM(S3:S7)</f>
        <v>457</v>
      </c>
      <c r="AE8" s="507" t="s">
        <v>46</v>
      </c>
      <c r="AF8" s="491">
        <f>21*2+14*8+8*12+7*8</f>
        <v>306</v>
      </c>
      <c r="AJ8" s="508"/>
      <c r="AL8" s="507" t="s">
        <v>46</v>
      </c>
      <c r="AM8" s="491">
        <v>19965</v>
      </c>
      <c r="AQ8" s="508"/>
    </row>
    <row r="9" spans="1:43" ht="15.75" thickBot="1">
      <c r="A9" s="496" t="s">
        <v>47</v>
      </c>
      <c r="B9" s="517">
        <v>17.350000000000001</v>
      </c>
      <c r="M9" s="518" t="s">
        <v>48</v>
      </c>
      <c r="N9" s="519">
        <f>SUM(N4:N8)</f>
        <v>363</v>
      </c>
      <c r="O9" s="520">
        <f t="shared" si="0"/>
        <v>1</v>
      </c>
      <c r="Q9" s="521" t="s">
        <v>49</v>
      </c>
      <c r="R9" s="522"/>
      <c r="S9" s="523">
        <f>S8/N9</f>
        <v>1.2589531680440771</v>
      </c>
      <c r="T9" s="524"/>
      <c r="AE9" s="507" t="s">
        <v>50</v>
      </c>
      <c r="AF9" s="491">
        <f>21*4+8*6</f>
        <v>132</v>
      </c>
      <c r="AG9" s="491">
        <f>SUM(AF5:AF9)</f>
        <v>892</v>
      </c>
      <c r="AJ9" s="508"/>
      <c r="AL9" s="507" t="s">
        <v>50</v>
      </c>
      <c r="AM9" s="491">
        <f>5870+6250+6290+5915</f>
        <v>24325</v>
      </c>
      <c r="AN9" s="491">
        <f>SUM(AM5:AM9)</f>
        <v>81376</v>
      </c>
      <c r="AQ9" s="508"/>
    </row>
    <row r="10" spans="1:43">
      <c r="A10" s="496" t="s">
        <v>51</v>
      </c>
      <c r="B10" s="512">
        <f>B9*43560</f>
        <v>755766.00000000012</v>
      </c>
      <c r="T10" s="524"/>
      <c r="AE10" s="507"/>
      <c r="AJ10" s="508"/>
      <c r="AL10" s="507"/>
      <c r="AQ10" s="508"/>
    </row>
    <row r="11" spans="1:43" ht="15.75" thickBot="1">
      <c r="A11" s="521" t="s">
        <v>52</v>
      </c>
      <c r="B11" s="525">
        <v>3</v>
      </c>
      <c r="T11" s="524"/>
      <c r="AE11" s="507" t="s">
        <v>53</v>
      </c>
      <c r="AI11" s="491" t="s">
        <v>54</v>
      </c>
      <c r="AJ11" s="508">
        <f>14*8</f>
        <v>112</v>
      </c>
      <c r="AL11" s="507" t="s">
        <v>53</v>
      </c>
      <c r="AP11" s="491" t="s">
        <v>54</v>
      </c>
      <c r="AQ11" s="508">
        <f>5782+5760+8825+9150</f>
        <v>29517</v>
      </c>
    </row>
    <row r="12" spans="1:43">
      <c r="T12" s="524"/>
      <c r="AE12" s="507" t="s">
        <v>32</v>
      </c>
      <c r="AJ12" s="508">
        <f>20*8</f>
        <v>160</v>
      </c>
      <c r="AL12" s="507" t="s">
        <v>32</v>
      </c>
      <c r="AQ12" s="508"/>
    </row>
    <row r="13" spans="1:43" ht="30.75" customHeight="1" thickBot="1">
      <c r="A13" s="526" t="s">
        <v>55</v>
      </c>
      <c r="B13" s="527" t="s">
        <v>56</v>
      </c>
      <c r="C13" s="527" t="s">
        <v>57</v>
      </c>
      <c r="D13" s="527" t="s">
        <v>58</v>
      </c>
      <c r="E13" s="527" t="s">
        <v>59</v>
      </c>
      <c r="F13" s="527" t="s">
        <v>60</v>
      </c>
      <c r="G13" s="527" t="s">
        <v>61</v>
      </c>
      <c r="H13" s="527" t="s">
        <v>62</v>
      </c>
      <c r="I13" s="528" t="s">
        <v>63</v>
      </c>
      <c r="J13" s="527" t="s">
        <v>64</v>
      </c>
      <c r="K13" s="527" t="s">
        <v>65</v>
      </c>
      <c r="L13" s="526" t="s">
        <v>66</v>
      </c>
      <c r="M13" s="529" t="s">
        <v>67</v>
      </c>
      <c r="N13" s="530"/>
      <c r="O13" s="530"/>
      <c r="P13" s="530"/>
      <c r="Q13" s="530"/>
      <c r="R13" s="530"/>
      <c r="S13" s="530"/>
      <c r="T13" s="530"/>
      <c r="U13" s="530"/>
    </row>
    <row r="14" spans="1:43" ht="14.25" hidden="1" customHeight="1" outlineLevel="1">
      <c r="A14" s="531" t="s">
        <v>68</v>
      </c>
      <c r="B14" s="532" t="s">
        <v>69</v>
      </c>
      <c r="C14" s="532" t="s">
        <v>70</v>
      </c>
      <c r="D14" s="532"/>
      <c r="E14" s="532"/>
      <c r="F14" s="532" t="s">
        <v>71</v>
      </c>
      <c r="G14" s="533">
        <f>$B$6</f>
        <v>24</v>
      </c>
      <c r="H14" s="534">
        <f>N324</f>
        <v>138831.54556307275</v>
      </c>
      <c r="I14" s="535">
        <v>0</v>
      </c>
      <c r="J14" s="536">
        <f t="shared" ref="J14" si="1">H14*(1+I14)</f>
        <v>138831.54556307275</v>
      </c>
      <c r="K14" s="536">
        <f>J14*G14</f>
        <v>3331957.0935137458</v>
      </c>
      <c r="M14" s="500"/>
      <c r="N14" s="500"/>
      <c r="O14" s="500"/>
      <c r="P14" s="500"/>
      <c r="Q14" s="500"/>
      <c r="R14" s="500"/>
      <c r="S14" s="500"/>
      <c r="T14" s="500"/>
      <c r="U14" s="500"/>
    </row>
    <row r="15" spans="1:43" collapsed="1">
      <c r="A15" s="537" t="s">
        <v>72</v>
      </c>
      <c r="B15" s="538" t="s">
        <v>69</v>
      </c>
      <c r="C15" s="538"/>
      <c r="D15" s="538"/>
      <c r="E15" s="538"/>
      <c r="F15" s="538"/>
      <c r="G15" s="538"/>
      <c r="H15" s="539"/>
      <c r="I15" s="540"/>
      <c r="J15" s="541"/>
      <c r="K15" s="541"/>
      <c r="L15" s="542">
        <f>K14</f>
        <v>3331957.0935137458</v>
      </c>
      <c r="M15" s="543"/>
      <c r="N15" s="543"/>
      <c r="O15" s="543"/>
      <c r="P15" s="543"/>
      <c r="Q15" s="543"/>
      <c r="R15" s="543"/>
      <c r="S15" s="543"/>
      <c r="T15" s="543"/>
      <c r="U15" s="543"/>
    </row>
    <row r="16" spans="1:43" hidden="1" outlineLevel="1">
      <c r="A16" s="544" t="s">
        <v>73</v>
      </c>
      <c r="B16" s="545" t="s">
        <v>74</v>
      </c>
      <c r="C16" s="545" t="s">
        <v>70</v>
      </c>
      <c r="D16" s="545" t="s">
        <v>75</v>
      </c>
      <c r="E16" s="545" t="s">
        <v>76</v>
      </c>
      <c r="F16" s="545"/>
      <c r="G16" s="546">
        <v>1</v>
      </c>
      <c r="H16" s="547">
        <v>16000</v>
      </c>
      <c r="I16" s="548">
        <v>0</v>
      </c>
      <c r="J16" s="309">
        <f>H16*(1+I16)</f>
        <v>16000</v>
      </c>
      <c r="K16" s="309">
        <f>J16*G16</f>
        <v>16000</v>
      </c>
      <c r="M16" s="549"/>
      <c r="N16" s="549"/>
      <c r="O16" s="549"/>
      <c r="P16" s="549"/>
      <c r="Q16" s="549"/>
      <c r="R16" s="549"/>
      <c r="S16" s="549"/>
      <c r="T16" s="549"/>
      <c r="U16" s="549"/>
    </row>
    <row r="17" spans="1:22" collapsed="1">
      <c r="A17" s="537" t="s">
        <v>77</v>
      </c>
      <c r="B17" s="538" t="s">
        <v>78</v>
      </c>
      <c r="C17" s="538"/>
      <c r="D17" s="538"/>
      <c r="E17" s="538"/>
      <c r="F17" s="538"/>
      <c r="G17" s="538"/>
      <c r="H17" s="539"/>
      <c r="I17" s="540"/>
      <c r="J17" s="541"/>
      <c r="K17" s="541"/>
      <c r="L17" s="542">
        <f>K16</f>
        <v>16000</v>
      </c>
      <c r="M17" s="543"/>
      <c r="N17" s="543"/>
      <c r="O17" s="543"/>
      <c r="P17" s="543"/>
      <c r="Q17" s="543"/>
      <c r="R17" s="543"/>
      <c r="S17" s="543"/>
      <c r="T17" s="543"/>
      <c r="U17" s="543"/>
    </row>
    <row r="18" spans="1:22" hidden="1" outlineLevel="1">
      <c r="A18" s="544" t="s">
        <v>79</v>
      </c>
      <c r="B18" s="545" t="s">
        <v>80</v>
      </c>
      <c r="C18" s="545" t="s">
        <v>70</v>
      </c>
      <c r="D18" s="545" t="s">
        <v>81</v>
      </c>
      <c r="E18" s="545" t="s">
        <v>343</v>
      </c>
      <c r="F18" s="545" t="s">
        <v>185</v>
      </c>
      <c r="G18" s="546">
        <f>'Assumptions &amp; Takeoffs'!B11</f>
        <v>177268</v>
      </c>
      <c r="H18" s="550">
        <v>11.99</v>
      </c>
      <c r="I18" s="548">
        <v>0</v>
      </c>
      <c r="J18" s="551">
        <f t="shared" ref="J18:J20" si="2">H18*(1+I18)</f>
        <v>11.99</v>
      </c>
      <c r="K18" s="309">
        <f t="shared" ref="K18:K27" si="3">J18*G18</f>
        <v>2125443.3199999998</v>
      </c>
      <c r="M18" s="549" t="s">
        <v>884</v>
      </c>
      <c r="N18" s="549"/>
      <c r="O18" s="549"/>
      <c r="P18" s="549"/>
      <c r="Q18" s="549"/>
      <c r="R18" s="549"/>
      <c r="S18" s="549"/>
      <c r="T18" s="549"/>
      <c r="U18" s="549"/>
      <c r="V18" s="490"/>
    </row>
    <row r="19" spans="1:22" hidden="1" outlineLevel="1">
      <c r="A19" s="552" t="s">
        <v>86</v>
      </c>
      <c r="B19" s="553" t="s">
        <v>80</v>
      </c>
      <c r="C19" s="553" t="s">
        <v>70</v>
      </c>
      <c r="D19" s="553" t="s">
        <v>81</v>
      </c>
      <c r="E19" s="553" t="s">
        <v>87</v>
      </c>
      <c r="F19" s="553"/>
      <c r="G19" s="554"/>
      <c r="H19" s="555"/>
      <c r="I19" s="556"/>
      <c r="J19" s="551">
        <f>H19*(1+I19)</f>
        <v>0</v>
      </c>
      <c r="K19" s="309">
        <f t="shared" si="3"/>
        <v>0</v>
      </c>
      <c r="M19" s="500"/>
      <c r="N19" s="500"/>
      <c r="O19" s="500"/>
      <c r="P19" s="500"/>
      <c r="Q19" s="500"/>
      <c r="R19" s="500"/>
      <c r="S19" s="500"/>
      <c r="T19" s="500"/>
      <c r="U19" s="500"/>
      <c r="V19" s="490"/>
    </row>
    <row r="20" spans="1:22" hidden="1" outlineLevel="1">
      <c r="A20" s="552" t="s">
        <v>89</v>
      </c>
      <c r="B20" s="553" t="s">
        <v>80</v>
      </c>
      <c r="C20" s="553" t="s">
        <v>90</v>
      </c>
      <c r="D20" s="553" t="s">
        <v>81</v>
      </c>
      <c r="E20" s="557" t="s">
        <v>76</v>
      </c>
      <c r="F20" s="553" t="s">
        <v>83</v>
      </c>
      <c r="G20" s="554">
        <v>1</v>
      </c>
      <c r="H20" s="555">
        <v>7500</v>
      </c>
      <c r="I20" s="556">
        <v>0</v>
      </c>
      <c r="J20" s="551">
        <f t="shared" si="2"/>
        <v>7500</v>
      </c>
      <c r="K20" s="309">
        <f t="shared" si="3"/>
        <v>7500</v>
      </c>
      <c r="M20" s="500"/>
      <c r="N20" s="500"/>
      <c r="O20" s="500"/>
      <c r="P20" s="500"/>
      <c r="Q20" s="500"/>
      <c r="R20" s="500"/>
      <c r="S20" s="500"/>
      <c r="T20" s="500"/>
      <c r="U20" s="500"/>
      <c r="V20" s="490"/>
    </row>
    <row r="21" spans="1:22" hidden="1" outlineLevel="1">
      <c r="A21" s="552" t="s">
        <v>92</v>
      </c>
      <c r="B21" s="553" t="s">
        <v>80</v>
      </c>
      <c r="C21" s="553" t="s">
        <v>70</v>
      </c>
      <c r="D21" s="553" t="s">
        <v>93</v>
      </c>
      <c r="E21" s="553" t="s">
        <v>76</v>
      </c>
      <c r="F21" s="557" t="s">
        <v>83</v>
      </c>
      <c r="G21" s="558">
        <v>1</v>
      </c>
      <c r="H21" s="555">
        <v>8500</v>
      </c>
      <c r="I21" s="556"/>
      <c r="J21" s="551">
        <f>H21*(1+I21)</f>
        <v>8500</v>
      </c>
      <c r="K21" s="309">
        <f t="shared" si="3"/>
        <v>8500</v>
      </c>
      <c r="M21" s="500"/>
      <c r="N21" s="500"/>
      <c r="O21" s="500"/>
      <c r="P21" s="500"/>
      <c r="Q21" s="500"/>
      <c r="R21" s="500"/>
      <c r="S21" s="500"/>
      <c r="T21" s="500"/>
      <c r="U21" s="500"/>
      <c r="V21" s="490"/>
    </row>
    <row r="22" spans="1:22" hidden="1" outlineLevel="1">
      <c r="A22" s="552" t="s">
        <v>95</v>
      </c>
      <c r="B22" s="553" t="s">
        <v>96</v>
      </c>
      <c r="C22" s="553" t="s">
        <v>70</v>
      </c>
      <c r="D22" s="553" t="s">
        <v>97</v>
      </c>
      <c r="E22" s="553" t="s">
        <v>76</v>
      </c>
      <c r="F22" s="553" t="s">
        <v>98</v>
      </c>
      <c r="G22" s="554">
        <f>'Assumptions &amp; Takeoffs'!B14</f>
        <v>14</v>
      </c>
      <c r="H22" s="555">
        <v>5000</v>
      </c>
      <c r="I22" s="556">
        <v>0</v>
      </c>
      <c r="J22" s="551">
        <f t="shared" ref="J22:J27" si="4">H22*(1+I22)</f>
        <v>5000</v>
      </c>
      <c r="K22" s="309">
        <f>J22*G22</f>
        <v>70000</v>
      </c>
      <c r="M22" s="500"/>
      <c r="N22" s="500"/>
      <c r="O22" s="500"/>
      <c r="P22" s="500"/>
      <c r="Q22" s="500"/>
      <c r="R22" s="500"/>
      <c r="S22" s="500"/>
      <c r="T22" s="500"/>
      <c r="U22" s="500"/>
      <c r="V22" s="490"/>
    </row>
    <row r="23" spans="1:22" hidden="1" outlineLevel="1">
      <c r="A23" s="552" t="s">
        <v>101</v>
      </c>
      <c r="B23" s="553" t="s">
        <v>102</v>
      </c>
      <c r="C23" s="553" t="s">
        <v>70</v>
      </c>
      <c r="D23" s="553" t="s">
        <v>103</v>
      </c>
      <c r="E23" s="553" t="s">
        <v>76</v>
      </c>
      <c r="F23" s="553" t="s">
        <v>83</v>
      </c>
      <c r="G23" s="554">
        <v>1</v>
      </c>
      <c r="H23" s="555">
        <v>23959</v>
      </c>
      <c r="I23" s="556">
        <v>0</v>
      </c>
      <c r="J23" s="551">
        <f t="shared" si="4"/>
        <v>23959</v>
      </c>
      <c r="K23" s="309">
        <f t="shared" si="3"/>
        <v>23959</v>
      </c>
      <c r="M23" s="500"/>
      <c r="N23" s="500"/>
      <c r="O23" s="500"/>
      <c r="P23" s="500"/>
      <c r="Q23" s="500"/>
      <c r="R23" s="500"/>
      <c r="S23" s="500"/>
      <c r="T23" s="500"/>
      <c r="U23" s="500"/>
      <c r="V23" s="490"/>
    </row>
    <row r="24" spans="1:22" hidden="1" outlineLevel="1">
      <c r="A24" s="552" t="s">
        <v>105</v>
      </c>
      <c r="B24" s="553" t="s">
        <v>106</v>
      </c>
      <c r="C24" s="553" t="s">
        <v>70</v>
      </c>
      <c r="D24" s="553" t="s">
        <v>103</v>
      </c>
      <c r="E24" s="553" t="s">
        <v>76</v>
      </c>
      <c r="F24" s="553" t="s">
        <v>83</v>
      </c>
      <c r="G24" s="554">
        <v>1</v>
      </c>
      <c r="H24" s="555">
        <v>6500</v>
      </c>
      <c r="I24" s="556">
        <v>0</v>
      </c>
      <c r="J24" s="551">
        <f t="shared" si="4"/>
        <v>6500</v>
      </c>
      <c r="K24" s="309">
        <f t="shared" si="3"/>
        <v>6500</v>
      </c>
      <c r="M24" s="500"/>
      <c r="N24" s="500"/>
      <c r="O24" s="500"/>
      <c r="P24" s="500"/>
      <c r="Q24" s="500"/>
      <c r="R24" s="500"/>
      <c r="S24" s="500"/>
      <c r="T24" s="500"/>
      <c r="U24" s="500"/>
      <c r="V24" s="490"/>
    </row>
    <row r="25" spans="1:22" hidden="1" outlineLevel="1">
      <c r="A25" s="552" t="s">
        <v>108</v>
      </c>
      <c r="B25" s="553" t="s">
        <v>109</v>
      </c>
      <c r="C25" s="553" t="s">
        <v>70</v>
      </c>
      <c r="D25" s="553" t="s">
        <v>110</v>
      </c>
      <c r="E25" s="553" t="s">
        <v>76</v>
      </c>
      <c r="F25" s="553" t="s">
        <v>83</v>
      </c>
      <c r="G25" s="554">
        <v>1</v>
      </c>
      <c r="H25" s="555">
        <v>6500</v>
      </c>
      <c r="I25" s="556">
        <v>0</v>
      </c>
      <c r="J25" s="551">
        <f t="shared" si="4"/>
        <v>6500</v>
      </c>
      <c r="K25" s="309">
        <f t="shared" si="3"/>
        <v>6500</v>
      </c>
      <c r="M25" s="500"/>
      <c r="N25" s="500"/>
      <c r="O25" s="500"/>
      <c r="P25" s="500"/>
      <c r="Q25" s="500"/>
      <c r="R25" s="500"/>
      <c r="S25" s="500"/>
      <c r="T25" s="500"/>
      <c r="U25" s="500"/>
      <c r="V25" s="490"/>
    </row>
    <row r="26" spans="1:22" hidden="1" outlineLevel="1">
      <c r="A26" s="559" t="s">
        <v>112</v>
      </c>
      <c r="B26" s="560" t="s">
        <v>113</v>
      </c>
      <c r="C26" s="560" t="s">
        <v>70</v>
      </c>
      <c r="D26" s="560" t="s">
        <v>81</v>
      </c>
      <c r="E26" s="560" t="s">
        <v>184</v>
      </c>
      <c r="F26" s="560" t="s">
        <v>185</v>
      </c>
      <c r="G26" s="561">
        <f>'Assumptions &amp; Takeoffs'!E14</f>
        <v>171978.5</v>
      </c>
      <c r="H26" s="562">
        <v>2.8</v>
      </c>
      <c r="I26" s="563">
        <v>0</v>
      </c>
      <c r="J26" s="564">
        <f t="shared" si="4"/>
        <v>2.8</v>
      </c>
      <c r="K26" s="309">
        <f t="shared" si="3"/>
        <v>481539.8</v>
      </c>
      <c r="M26" s="500" t="s">
        <v>885</v>
      </c>
      <c r="N26" s="500"/>
      <c r="O26" s="500"/>
      <c r="P26" s="500"/>
      <c r="Q26" s="500"/>
      <c r="R26" s="500"/>
      <c r="S26" s="500"/>
      <c r="T26" s="500"/>
      <c r="U26" s="500"/>
      <c r="V26" s="490"/>
    </row>
    <row r="27" spans="1:22" hidden="1" outlineLevel="1">
      <c r="A27" s="552" t="s">
        <v>117</v>
      </c>
      <c r="B27" s="553" t="s">
        <v>118</v>
      </c>
      <c r="C27" s="553" t="s">
        <v>70</v>
      </c>
      <c r="D27" s="553" t="s">
        <v>81</v>
      </c>
      <c r="E27" s="553" t="s">
        <v>184</v>
      </c>
      <c r="F27" s="553" t="s">
        <v>185</v>
      </c>
      <c r="G27" s="554">
        <f>'Assumptions &amp; Takeoffs'!$H$16</f>
        <v>2236</v>
      </c>
      <c r="H27" s="565">
        <v>20.525067750677508</v>
      </c>
      <c r="I27" s="556">
        <v>0</v>
      </c>
      <c r="J27" s="566">
        <f t="shared" si="4"/>
        <v>20.525067750677508</v>
      </c>
      <c r="K27" s="309">
        <f t="shared" si="3"/>
        <v>45894.05149051491</v>
      </c>
      <c r="M27" s="500"/>
      <c r="N27" s="500"/>
      <c r="O27" s="500"/>
      <c r="P27" s="500"/>
      <c r="Q27" s="500"/>
      <c r="R27" s="500"/>
      <c r="S27" s="500"/>
      <c r="T27" s="500"/>
      <c r="U27" s="500"/>
      <c r="V27" s="490"/>
    </row>
    <row r="28" spans="1:22" collapsed="1">
      <c r="A28" s="537" t="s">
        <v>121</v>
      </c>
      <c r="B28" s="538" t="s">
        <v>122</v>
      </c>
      <c r="C28" s="538"/>
      <c r="D28" s="538"/>
      <c r="E28" s="538"/>
      <c r="F28" s="538"/>
      <c r="G28" s="567"/>
      <c r="H28" s="568"/>
      <c r="I28" s="540"/>
      <c r="J28" s="569"/>
      <c r="K28" s="541"/>
      <c r="L28" s="542">
        <f>SUM(K18:K27)</f>
        <v>2775836.1714905147</v>
      </c>
      <c r="M28" s="543"/>
      <c r="N28" s="543"/>
      <c r="O28" s="543"/>
      <c r="P28" s="543"/>
      <c r="Q28" s="543"/>
      <c r="R28" s="543"/>
      <c r="S28" s="543"/>
      <c r="T28" s="543"/>
      <c r="U28" s="543"/>
      <c r="V28" s="490"/>
    </row>
    <row r="29" spans="1:22" hidden="1" outlineLevel="1">
      <c r="A29" s="544" t="s">
        <v>124</v>
      </c>
      <c r="B29" s="545" t="s">
        <v>125</v>
      </c>
      <c r="C29" s="545" t="s">
        <v>70</v>
      </c>
      <c r="D29" s="545" t="s">
        <v>81</v>
      </c>
      <c r="E29" s="545" t="s">
        <v>87</v>
      </c>
      <c r="F29" s="545" t="s">
        <v>126</v>
      </c>
      <c r="G29" s="546">
        <v>0</v>
      </c>
      <c r="H29" s="547">
        <v>11500</v>
      </c>
      <c r="I29" s="548">
        <v>0</v>
      </c>
      <c r="J29" s="309">
        <f t="shared" ref="J29:J33" si="5">H29*(1+I29)</f>
        <v>11500</v>
      </c>
      <c r="K29" s="309">
        <f>J29*G29</f>
        <v>0</v>
      </c>
      <c r="M29" s="549" t="s">
        <v>127</v>
      </c>
      <c r="N29" s="549"/>
      <c r="O29" s="549"/>
      <c r="P29" s="549"/>
      <c r="Q29" s="549"/>
      <c r="R29" s="549"/>
      <c r="S29" s="549"/>
      <c r="T29" s="549"/>
      <c r="U29" s="549"/>
      <c r="V29" s="490"/>
    </row>
    <row r="30" spans="1:22" hidden="1" outlineLevel="1">
      <c r="A30" s="552" t="s">
        <v>129</v>
      </c>
      <c r="B30" s="553" t="s">
        <v>130</v>
      </c>
      <c r="C30" s="553" t="s">
        <v>70</v>
      </c>
      <c r="D30" s="553" t="s">
        <v>97</v>
      </c>
      <c r="E30" s="553" t="s">
        <v>886</v>
      </c>
      <c r="F30" s="553" t="s">
        <v>132</v>
      </c>
      <c r="G30" s="554">
        <v>14</v>
      </c>
      <c r="H30" s="555">
        <v>7000</v>
      </c>
      <c r="I30" s="556">
        <v>0</v>
      </c>
      <c r="J30" s="551">
        <f t="shared" si="5"/>
        <v>7000</v>
      </c>
      <c r="K30" s="309">
        <f>J30*G30</f>
        <v>98000</v>
      </c>
      <c r="M30" s="500"/>
      <c r="N30" s="500"/>
      <c r="O30" s="500"/>
      <c r="P30" s="500"/>
      <c r="Q30" s="500"/>
      <c r="R30" s="500"/>
      <c r="S30" s="500"/>
      <c r="T30" s="500"/>
      <c r="U30" s="500"/>
      <c r="V30" s="490"/>
    </row>
    <row r="31" spans="1:22" hidden="1" outlineLevel="1">
      <c r="A31" s="552" t="s">
        <v>136</v>
      </c>
      <c r="B31" s="553" t="s">
        <v>137</v>
      </c>
      <c r="C31" s="553" t="s">
        <v>70</v>
      </c>
      <c r="D31" s="553" t="s">
        <v>75</v>
      </c>
      <c r="E31" s="553" t="s">
        <v>87</v>
      </c>
      <c r="F31" s="553"/>
      <c r="G31" s="554"/>
      <c r="H31" s="555">
        <v>0</v>
      </c>
      <c r="I31" s="556"/>
      <c r="J31" s="551">
        <f t="shared" si="5"/>
        <v>0</v>
      </c>
      <c r="K31" s="309">
        <f>J31*G31</f>
        <v>0</v>
      </c>
      <c r="M31" s="500"/>
      <c r="N31" s="500"/>
      <c r="O31" s="500"/>
      <c r="P31" s="500"/>
      <c r="Q31" s="500"/>
      <c r="R31" s="500"/>
      <c r="S31" s="500"/>
      <c r="T31" s="500"/>
      <c r="U31" s="500"/>
      <c r="V31" s="490"/>
    </row>
    <row r="32" spans="1:22" hidden="1" outlineLevel="1">
      <c r="A32" s="552" t="s">
        <v>139</v>
      </c>
      <c r="B32" s="553" t="s">
        <v>140</v>
      </c>
      <c r="C32" s="553" t="s">
        <v>70</v>
      </c>
      <c r="D32" s="553" t="s">
        <v>103</v>
      </c>
      <c r="E32" s="553" t="s">
        <v>76</v>
      </c>
      <c r="F32" s="553" t="s">
        <v>83</v>
      </c>
      <c r="G32" s="554">
        <v>3</v>
      </c>
      <c r="H32" s="555">
        <v>5000</v>
      </c>
      <c r="I32" s="556">
        <v>0</v>
      </c>
      <c r="J32" s="551">
        <f t="shared" si="5"/>
        <v>5000</v>
      </c>
      <c r="K32" s="309">
        <f>J32*G32</f>
        <v>15000</v>
      </c>
      <c r="M32" s="500"/>
      <c r="N32" s="500"/>
      <c r="O32" s="500"/>
      <c r="P32" s="500"/>
      <c r="Q32" s="500"/>
      <c r="R32" s="500"/>
      <c r="S32" s="500"/>
      <c r="T32" s="500"/>
      <c r="U32" s="500"/>
      <c r="V32" s="490"/>
    </row>
    <row r="33" spans="1:22" hidden="1" outlineLevel="1">
      <c r="A33" s="552" t="s">
        <v>142</v>
      </c>
      <c r="B33" s="553" t="s">
        <v>143</v>
      </c>
      <c r="C33" s="553" t="s">
        <v>144</v>
      </c>
      <c r="D33" s="553" t="s">
        <v>110</v>
      </c>
      <c r="E33" s="553" t="s">
        <v>76</v>
      </c>
      <c r="F33" s="553" t="s">
        <v>83</v>
      </c>
      <c r="G33" s="554">
        <v>1</v>
      </c>
      <c r="H33" s="555">
        <v>15000</v>
      </c>
      <c r="I33" s="556">
        <v>0</v>
      </c>
      <c r="J33" s="551">
        <f t="shared" si="5"/>
        <v>15000</v>
      </c>
      <c r="K33" s="309">
        <f>J33*G33</f>
        <v>15000</v>
      </c>
      <c r="M33" s="500"/>
      <c r="N33" s="500"/>
      <c r="O33" s="500"/>
      <c r="P33" s="500"/>
      <c r="Q33" s="500"/>
      <c r="R33" s="500"/>
      <c r="S33" s="500"/>
      <c r="T33" s="500"/>
      <c r="U33" s="500"/>
      <c r="V33" s="490"/>
    </row>
    <row r="34" spans="1:22" collapsed="1">
      <c r="A34" s="537" t="s">
        <v>146</v>
      </c>
      <c r="B34" s="538" t="s">
        <v>147</v>
      </c>
      <c r="C34" s="538"/>
      <c r="D34" s="538"/>
      <c r="E34" s="538"/>
      <c r="F34" s="538"/>
      <c r="G34" s="567"/>
      <c r="H34" s="568"/>
      <c r="I34" s="540"/>
      <c r="J34" s="569"/>
      <c r="K34" s="541"/>
      <c r="L34" s="542">
        <f>SUM(K29:K33)</f>
        <v>128000</v>
      </c>
      <c r="M34" s="543"/>
      <c r="N34" s="543"/>
      <c r="O34" s="543"/>
      <c r="P34" s="543"/>
      <c r="Q34" s="543"/>
      <c r="R34" s="543"/>
      <c r="S34" s="543"/>
      <c r="T34" s="543"/>
      <c r="U34" s="543"/>
      <c r="V34" s="490"/>
    </row>
    <row r="35" spans="1:22" hidden="1" outlineLevel="1">
      <c r="A35" s="544" t="s">
        <v>128</v>
      </c>
      <c r="B35" s="545" t="s">
        <v>149</v>
      </c>
      <c r="C35" s="545" t="s">
        <v>70</v>
      </c>
      <c r="D35" s="545" t="s">
        <v>81</v>
      </c>
      <c r="E35" s="545" t="s">
        <v>76</v>
      </c>
      <c r="F35" s="545" t="s">
        <v>83</v>
      </c>
      <c r="G35" s="546">
        <v>1</v>
      </c>
      <c r="H35" s="547">
        <v>150000</v>
      </c>
      <c r="I35" s="548">
        <v>0</v>
      </c>
      <c r="J35" s="309">
        <f t="shared" ref="J35:J42" si="6">H35*(1+I35)</f>
        <v>150000</v>
      </c>
      <c r="K35" s="309">
        <f t="shared" ref="K35:K42" si="7">J35*G35</f>
        <v>150000</v>
      </c>
      <c r="M35" s="549" t="s">
        <v>887</v>
      </c>
      <c r="N35" s="549"/>
      <c r="O35" s="549"/>
      <c r="P35" s="549"/>
      <c r="Q35" s="549"/>
      <c r="R35" s="549"/>
      <c r="S35" s="549"/>
      <c r="T35" s="549"/>
      <c r="U35" s="549"/>
      <c r="V35" s="490"/>
    </row>
    <row r="36" spans="1:22" hidden="1" outlineLevel="1">
      <c r="A36" s="552" t="s">
        <v>151</v>
      </c>
      <c r="B36" s="553" t="s">
        <v>152</v>
      </c>
      <c r="C36" s="553" t="s">
        <v>70</v>
      </c>
      <c r="D36" s="553" t="s">
        <v>81</v>
      </c>
      <c r="E36" s="553" t="s">
        <v>76</v>
      </c>
      <c r="F36" s="553" t="s">
        <v>132</v>
      </c>
      <c r="G36" s="554">
        <f>'Assumptions &amp; Takeoffs'!$B$12</f>
        <v>6</v>
      </c>
      <c r="H36" s="555">
        <v>4250</v>
      </c>
      <c r="I36" s="556">
        <v>0</v>
      </c>
      <c r="J36" s="309">
        <f t="shared" si="6"/>
        <v>4250</v>
      </c>
      <c r="K36" s="309">
        <f>J36*G36</f>
        <v>25500</v>
      </c>
      <c r="M36" s="500"/>
      <c r="N36" s="500"/>
      <c r="O36" s="500"/>
      <c r="P36" s="500"/>
      <c r="Q36" s="500"/>
      <c r="R36" s="500"/>
      <c r="S36" s="500"/>
      <c r="T36" s="500"/>
      <c r="U36" s="500"/>
      <c r="V36" s="490"/>
    </row>
    <row r="37" spans="1:22" hidden="1" outlineLevel="1">
      <c r="A37" s="552" t="s">
        <v>154</v>
      </c>
      <c r="B37" s="553" t="s">
        <v>155</v>
      </c>
      <c r="C37" s="553" t="s">
        <v>70</v>
      </c>
      <c r="D37" s="553" t="s">
        <v>81</v>
      </c>
      <c r="E37" s="553" t="s">
        <v>886</v>
      </c>
      <c r="F37" s="553" t="s">
        <v>157</v>
      </c>
      <c r="G37" s="554">
        <f>'Assumptions &amp; Takeoffs'!B15</f>
        <v>19</v>
      </c>
      <c r="H37" s="555">
        <v>3000</v>
      </c>
      <c r="I37" s="556">
        <v>0</v>
      </c>
      <c r="J37" s="309">
        <f t="shared" si="6"/>
        <v>3000</v>
      </c>
      <c r="K37" s="309">
        <f>J37*G37</f>
        <v>57000</v>
      </c>
      <c r="M37" s="500"/>
      <c r="N37" s="500"/>
      <c r="O37" s="500"/>
      <c r="P37" s="500"/>
      <c r="Q37" s="500"/>
      <c r="R37" s="500"/>
      <c r="S37" s="500"/>
      <c r="T37" s="500"/>
      <c r="U37" s="500"/>
      <c r="V37" s="490"/>
    </row>
    <row r="38" spans="1:22" hidden="1" outlineLevel="1">
      <c r="A38" s="552" t="s">
        <v>160</v>
      </c>
      <c r="B38" s="553" t="s">
        <v>155</v>
      </c>
      <c r="C38" s="553" t="s">
        <v>70</v>
      </c>
      <c r="D38" s="553" t="s">
        <v>81</v>
      </c>
      <c r="E38" s="553" t="s">
        <v>87</v>
      </c>
      <c r="F38" s="553"/>
      <c r="G38" s="554"/>
      <c r="H38" s="555">
        <v>0</v>
      </c>
      <c r="I38" s="556">
        <v>0</v>
      </c>
      <c r="J38" s="309">
        <f t="shared" si="6"/>
        <v>0</v>
      </c>
      <c r="K38" s="309">
        <f t="shared" si="7"/>
        <v>0</v>
      </c>
      <c r="M38" s="500"/>
      <c r="N38" s="500"/>
      <c r="O38" s="500"/>
      <c r="P38" s="500"/>
      <c r="Q38" s="500"/>
      <c r="R38" s="500"/>
      <c r="S38" s="500"/>
      <c r="T38" s="500"/>
      <c r="U38" s="500"/>
      <c r="V38" s="490"/>
    </row>
    <row r="39" spans="1:22" hidden="1" outlineLevel="1">
      <c r="A39" s="552" t="s">
        <v>161</v>
      </c>
      <c r="B39" s="553" t="s">
        <v>162</v>
      </c>
      <c r="C39" s="553" t="s">
        <v>70</v>
      </c>
      <c r="D39" s="553" t="s">
        <v>103</v>
      </c>
      <c r="E39" s="553" t="s">
        <v>87</v>
      </c>
      <c r="F39" s="553"/>
      <c r="G39" s="554"/>
      <c r="H39" s="555">
        <v>0</v>
      </c>
      <c r="I39" s="556">
        <v>0</v>
      </c>
      <c r="J39" s="309">
        <f t="shared" si="6"/>
        <v>0</v>
      </c>
      <c r="K39" s="309">
        <f t="shared" si="7"/>
        <v>0</v>
      </c>
      <c r="M39" s="500"/>
      <c r="N39" s="500"/>
      <c r="O39" s="500"/>
      <c r="P39" s="500"/>
      <c r="Q39" s="500"/>
      <c r="R39" s="500"/>
      <c r="S39" s="500"/>
      <c r="T39" s="500"/>
      <c r="U39" s="500"/>
      <c r="V39" s="490"/>
    </row>
    <row r="40" spans="1:22" hidden="1" outlineLevel="1">
      <c r="A40" s="552" t="s">
        <v>164</v>
      </c>
      <c r="B40" s="553" t="s">
        <v>165</v>
      </c>
      <c r="C40" s="553" t="s">
        <v>70</v>
      </c>
      <c r="D40" s="553" t="s">
        <v>110</v>
      </c>
      <c r="E40" s="553" t="s">
        <v>343</v>
      </c>
      <c r="F40" s="553" t="s">
        <v>132</v>
      </c>
      <c r="G40" s="554">
        <v>1</v>
      </c>
      <c r="H40" s="555">
        <v>1950</v>
      </c>
      <c r="I40" s="556">
        <v>0</v>
      </c>
      <c r="J40" s="309">
        <f t="shared" si="6"/>
        <v>1950</v>
      </c>
      <c r="K40" s="309">
        <f t="shared" si="7"/>
        <v>1950</v>
      </c>
      <c r="M40" s="500"/>
      <c r="N40" s="500"/>
      <c r="O40" s="500"/>
      <c r="P40" s="500"/>
      <c r="Q40" s="500"/>
      <c r="R40" s="500"/>
      <c r="S40" s="500"/>
      <c r="T40" s="500"/>
      <c r="U40" s="500"/>
      <c r="V40" s="490"/>
    </row>
    <row r="41" spans="1:22" hidden="1" outlineLevel="1">
      <c r="A41" s="552" t="s">
        <v>167</v>
      </c>
      <c r="B41" s="553" t="s">
        <v>168</v>
      </c>
      <c r="C41" s="553" t="s">
        <v>70</v>
      </c>
      <c r="D41" s="553" t="s">
        <v>81</v>
      </c>
      <c r="E41" s="553" t="s">
        <v>886</v>
      </c>
      <c r="F41" s="553" t="s">
        <v>169</v>
      </c>
      <c r="G41" s="554">
        <f>'Assumptions &amp; Takeoffs'!$B$18</f>
        <v>2595</v>
      </c>
      <c r="H41" s="570">
        <v>92.5</v>
      </c>
      <c r="I41" s="556">
        <v>0</v>
      </c>
      <c r="J41" s="571">
        <v>92.5</v>
      </c>
      <c r="K41" s="309">
        <f t="shared" si="7"/>
        <v>240037.5</v>
      </c>
      <c r="M41" s="500"/>
      <c r="N41" s="500"/>
      <c r="O41" s="500"/>
      <c r="P41" s="500"/>
      <c r="Q41" s="500"/>
      <c r="R41" s="500"/>
      <c r="S41" s="500"/>
      <c r="T41" s="500"/>
      <c r="U41" s="500"/>
      <c r="V41" s="490"/>
    </row>
    <row r="42" spans="1:22" hidden="1" outlineLevel="1">
      <c r="A42" s="552" t="s">
        <v>171</v>
      </c>
      <c r="B42" s="553" t="s">
        <v>172</v>
      </c>
      <c r="C42" s="553" t="s">
        <v>70</v>
      </c>
      <c r="D42" s="553" t="s">
        <v>173</v>
      </c>
      <c r="E42" s="553" t="s">
        <v>87</v>
      </c>
      <c r="F42" s="553"/>
      <c r="G42" s="554"/>
      <c r="H42" s="555">
        <v>0</v>
      </c>
      <c r="I42" s="556">
        <v>0</v>
      </c>
      <c r="J42" s="551">
        <f t="shared" si="6"/>
        <v>0</v>
      </c>
      <c r="K42" s="309">
        <f t="shared" si="7"/>
        <v>0</v>
      </c>
      <c r="M42" s="500"/>
      <c r="N42" s="500"/>
      <c r="O42" s="500"/>
      <c r="P42" s="500"/>
      <c r="Q42" s="500"/>
      <c r="R42" s="500"/>
      <c r="S42" s="500"/>
      <c r="T42" s="500"/>
      <c r="U42" s="500"/>
      <c r="V42" s="490"/>
    </row>
    <row r="43" spans="1:22" collapsed="1">
      <c r="A43" s="537" t="s">
        <v>175</v>
      </c>
      <c r="B43" s="538" t="s">
        <v>176</v>
      </c>
      <c r="C43" s="538"/>
      <c r="D43" s="538"/>
      <c r="E43" s="538"/>
      <c r="F43" s="538"/>
      <c r="G43" s="567"/>
      <c r="H43" s="568"/>
      <c r="I43" s="540"/>
      <c r="J43" s="569"/>
      <c r="K43" s="541"/>
      <c r="L43" s="542">
        <f>SUM(K35:K42)</f>
        <v>474487.5</v>
      </c>
      <c r="M43" s="543"/>
      <c r="N43" s="543"/>
      <c r="O43" s="543"/>
      <c r="P43" s="543"/>
      <c r="Q43" s="543"/>
      <c r="R43" s="543"/>
      <c r="S43" s="543"/>
      <c r="T43" s="543"/>
      <c r="U43" s="543"/>
      <c r="V43" s="490"/>
    </row>
    <row r="44" spans="1:22" hidden="1" outlineLevel="1">
      <c r="A44" s="552" t="s">
        <v>178</v>
      </c>
      <c r="B44" s="553" t="s">
        <v>179</v>
      </c>
      <c r="C44" s="553" t="s">
        <v>70</v>
      </c>
      <c r="D44" s="553" t="s">
        <v>81</v>
      </c>
      <c r="E44" s="553" t="s">
        <v>184</v>
      </c>
      <c r="F44" s="553" t="s">
        <v>185</v>
      </c>
      <c r="G44" s="554">
        <f>B8</f>
        <v>362571</v>
      </c>
      <c r="H44" s="565">
        <v>18.68</v>
      </c>
      <c r="I44" s="556">
        <v>0</v>
      </c>
      <c r="J44" s="572">
        <f t="shared" ref="J44:J56" si="8">H44*(1+I44)</f>
        <v>18.68</v>
      </c>
      <c r="K44" s="309">
        <f t="shared" ref="K44:K56" si="9">J44*G44</f>
        <v>6772826.2800000003</v>
      </c>
      <c r="M44" s="573" t="s">
        <v>721</v>
      </c>
      <c r="N44" s="500"/>
      <c r="O44" s="500"/>
      <c r="P44" s="500"/>
      <c r="Q44" s="500"/>
      <c r="R44" s="500"/>
      <c r="S44" s="500"/>
      <c r="T44" s="500"/>
      <c r="U44" s="500"/>
      <c r="V44" s="490"/>
    </row>
    <row r="45" spans="1:22" hidden="1" outlineLevel="1">
      <c r="A45" s="552" t="s">
        <v>183</v>
      </c>
      <c r="B45" s="553" t="s">
        <v>179</v>
      </c>
      <c r="C45" s="553" t="s">
        <v>70</v>
      </c>
      <c r="D45" s="553" t="s">
        <v>93</v>
      </c>
      <c r="E45" s="553" t="s">
        <v>184</v>
      </c>
      <c r="F45" s="553" t="s">
        <v>185</v>
      </c>
      <c r="G45" s="554">
        <v>600</v>
      </c>
      <c r="H45" s="565">
        <f>H44</f>
        <v>18.68</v>
      </c>
      <c r="I45" s="556">
        <v>0</v>
      </c>
      <c r="J45" s="572">
        <f t="shared" si="8"/>
        <v>18.68</v>
      </c>
      <c r="K45" s="309">
        <f t="shared" si="9"/>
        <v>11208</v>
      </c>
      <c r="M45" s="500"/>
      <c r="N45" s="500"/>
      <c r="O45" s="500"/>
      <c r="P45" s="500"/>
      <c r="Q45" s="500"/>
      <c r="R45" s="500"/>
      <c r="S45" s="500"/>
      <c r="T45" s="500"/>
      <c r="U45" s="500"/>
      <c r="V45" s="490"/>
    </row>
    <row r="46" spans="1:22" hidden="1" outlineLevel="1">
      <c r="A46" s="552" t="s">
        <v>187</v>
      </c>
      <c r="B46" s="553" t="s">
        <v>179</v>
      </c>
      <c r="C46" s="553" t="s">
        <v>70</v>
      </c>
      <c r="D46" s="553" t="s">
        <v>81</v>
      </c>
      <c r="E46" s="553" t="s">
        <v>87</v>
      </c>
      <c r="F46" s="553"/>
      <c r="G46" s="554"/>
      <c r="H46" s="565"/>
      <c r="I46" s="556">
        <v>0</v>
      </c>
      <c r="J46" s="309">
        <f t="shared" si="8"/>
        <v>0</v>
      </c>
      <c r="K46" s="309">
        <f t="shared" si="9"/>
        <v>0</v>
      </c>
      <c r="M46" s="500"/>
      <c r="N46" s="500"/>
      <c r="O46" s="500"/>
      <c r="P46" s="500"/>
      <c r="Q46" s="500"/>
      <c r="R46" s="500"/>
      <c r="S46" s="500"/>
      <c r="T46" s="500"/>
      <c r="U46" s="500"/>
      <c r="V46" s="490"/>
    </row>
    <row r="47" spans="1:22" hidden="1" outlineLevel="1">
      <c r="A47" s="552" t="s">
        <v>189</v>
      </c>
      <c r="B47" s="553" t="s">
        <v>190</v>
      </c>
      <c r="C47" s="553" t="s">
        <v>70</v>
      </c>
      <c r="D47" s="553" t="s">
        <v>173</v>
      </c>
      <c r="E47" s="553" t="s">
        <v>87</v>
      </c>
      <c r="F47" s="553"/>
      <c r="G47" s="554"/>
      <c r="H47" s="565"/>
      <c r="I47" s="556">
        <v>0</v>
      </c>
      <c r="J47" s="309">
        <f t="shared" si="8"/>
        <v>0</v>
      </c>
      <c r="K47" s="309">
        <f t="shared" si="9"/>
        <v>0</v>
      </c>
      <c r="M47" s="500"/>
      <c r="N47" s="500"/>
      <c r="O47" s="500"/>
      <c r="P47" s="500"/>
      <c r="Q47" s="500"/>
      <c r="R47" s="500"/>
      <c r="S47" s="500"/>
      <c r="T47" s="500"/>
      <c r="U47" s="500"/>
      <c r="V47" s="490"/>
    </row>
    <row r="48" spans="1:22" hidden="1" outlineLevel="1">
      <c r="A48" s="552" t="s">
        <v>192</v>
      </c>
      <c r="B48" s="553" t="s">
        <v>193</v>
      </c>
      <c r="C48" s="553" t="s">
        <v>70</v>
      </c>
      <c r="D48" s="553" t="s">
        <v>173</v>
      </c>
      <c r="E48" s="553" t="s">
        <v>76</v>
      </c>
      <c r="F48" s="553" t="s">
        <v>83</v>
      </c>
      <c r="G48" s="554">
        <v>4</v>
      </c>
      <c r="H48" s="555">
        <v>2500</v>
      </c>
      <c r="I48" s="556">
        <v>0</v>
      </c>
      <c r="J48" s="309">
        <f t="shared" si="8"/>
        <v>2500</v>
      </c>
      <c r="K48" s="309">
        <f t="shared" si="9"/>
        <v>10000</v>
      </c>
      <c r="M48" s="500"/>
      <c r="N48" s="500"/>
      <c r="O48" s="500"/>
      <c r="P48" s="500"/>
      <c r="Q48" s="500"/>
      <c r="R48" s="500"/>
      <c r="S48" s="500"/>
      <c r="T48" s="500"/>
      <c r="U48" s="500"/>
      <c r="V48" s="490"/>
    </row>
    <row r="49" spans="1:24" hidden="1" outlineLevel="1">
      <c r="A49" s="552" t="s">
        <v>195</v>
      </c>
      <c r="B49" s="553" t="s">
        <v>196</v>
      </c>
      <c r="C49" s="553" t="s">
        <v>70</v>
      </c>
      <c r="D49" s="553" t="s">
        <v>173</v>
      </c>
      <c r="E49" s="553" t="s">
        <v>87</v>
      </c>
      <c r="F49" s="553"/>
      <c r="G49" s="554"/>
      <c r="H49" s="565"/>
      <c r="I49" s="556">
        <v>0</v>
      </c>
      <c r="J49" s="309">
        <f t="shared" si="8"/>
        <v>0</v>
      </c>
      <c r="K49" s="309">
        <f t="shared" si="9"/>
        <v>0</v>
      </c>
      <c r="M49" s="500"/>
      <c r="N49" s="500"/>
      <c r="O49" s="500"/>
      <c r="P49" s="500"/>
      <c r="Q49" s="500"/>
      <c r="R49" s="500"/>
      <c r="S49" s="500"/>
      <c r="T49" s="500"/>
      <c r="U49" s="500"/>
      <c r="V49" s="490"/>
    </row>
    <row r="50" spans="1:24" hidden="1" outlineLevel="1">
      <c r="A50" s="552" t="s">
        <v>198</v>
      </c>
      <c r="B50" s="553" t="s">
        <v>199</v>
      </c>
      <c r="C50" s="553" t="s">
        <v>70</v>
      </c>
      <c r="D50" s="553" t="s">
        <v>81</v>
      </c>
      <c r="E50" s="553" t="s">
        <v>87</v>
      </c>
      <c r="F50" s="553"/>
      <c r="G50" s="554"/>
      <c r="H50" s="565"/>
      <c r="I50" s="556">
        <v>0</v>
      </c>
      <c r="J50" s="309">
        <f t="shared" si="8"/>
        <v>0</v>
      </c>
      <c r="K50" s="309">
        <f t="shared" si="9"/>
        <v>0</v>
      </c>
      <c r="M50" s="500"/>
      <c r="N50" s="500"/>
      <c r="O50" s="500"/>
      <c r="P50" s="500"/>
      <c r="Q50" s="500"/>
      <c r="R50" s="500"/>
      <c r="S50" s="500"/>
      <c r="T50" s="500"/>
      <c r="U50" s="500"/>
      <c r="V50" s="490"/>
    </row>
    <row r="51" spans="1:24" hidden="1" outlineLevel="1">
      <c r="A51" s="552" t="s">
        <v>201</v>
      </c>
      <c r="B51" s="553" t="s">
        <v>199</v>
      </c>
      <c r="C51" s="553" t="s">
        <v>70</v>
      </c>
      <c r="D51" s="553" t="s">
        <v>110</v>
      </c>
      <c r="E51" s="553" t="s">
        <v>87</v>
      </c>
      <c r="F51" s="553"/>
      <c r="G51" s="554"/>
      <c r="H51" s="565"/>
      <c r="I51" s="556">
        <v>0</v>
      </c>
      <c r="J51" s="309">
        <f t="shared" si="8"/>
        <v>0</v>
      </c>
      <c r="K51" s="309">
        <f t="shared" si="9"/>
        <v>0</v>
      </c>
      <c r="M51" s="500"/>
      <c r="N51" s="500"/>
      <c r="O51" s="500"/>
      <c r="P51" s="500"/>
      <c r="Q51" s="500"/>
      <c r="R51" s="500"/>
      <c r="S51" s="500"/>
      <c r="T51" s="500"/>
      <c r="U51" s="500"/>
      <c r="V51" s="490"/>
    </row>
    <row r="52" spans="1:24" hidden="1" outlineLevel="1">
      <c r="A52" s="574" t="s">
        <v>203</v>
      </c>
      <c r="B52" s="553" t="s">
        <v>204</v>
      </c>
      <c r="C52" s="553" t="s">
        <v>70</v>
      </c>
      <c r="D52" s="553" t="s">
        <v>81</v>
      </c>
      <c r="E52" s="545" t="s">
        <v>343</v>
      </c>
      <c r="F52" s="553" t="s">
        <v>344</v>
      </c>
      <c r="G52" s="554">
        <f>$N$9</f>
        <v>363</v>
      </c>
      <c r="H52" s="555">
        <v>3210.0359473684207</v>
      </c>
      <c r="I52" s="556">
        <v>0.1</v>
      </c>
      <c r="J52" s="309">
        <f t="shared" si="8"/>
        <v>3531.0395421052631</v>
      </c>
      <c r="K52" s="309">
        <f>J52*G52</f>
        <v>1281767.3537842105</v>
      </c>
      <c r="M52" s="500" t="s">
        <v>209</v>
      </c>
      <c r="N52" s="500"/>
      <c r="O52" s="500"/>
      <c r="P52" s="500"/>
      <c r="Q52" s="500"/>
      <c r="R52" s="500"/>
      <c r="S52" s="500"/>
      <c r="T52" s="500"/>
      <c r="U52" s="500"/>
      <c r="V52" s="490"/>
    </row>
    <row r="53" spans="1:24" hidden="1" outlineLevel="1">
      <c r="A53" s="552" t="s">
        <v>208</v>
      </c>
      <c r="B53" s="553" t="s">
        <v>204</v>
      </c>
      <c r="C53" s="553" t="s">
        <v>70</v>
      </c>
      <c r="D53" s="553" t="s">
        <v>173</v>
      </c>
      <c r="E53" s="553" t="s">
        <v>184</v>
      </c>
      <c r="F53" s="553" t="s">
        <v>185</v>
      </c>
      <c r="G53" s="554">
        <f>B8</f>
        <v>362571</v>
      </c>
      <c r="H53" s="555">
        <v>1.0800044831855071</v>
      </c>
      <c r="I53" s="556">
        <v>0.1</v>
      </c>
      <c r="J53" s="309">
        <f t="shared" si="8"/>
        <v>1.1880049315040579</v>
      </c>
      <c r="K53" s="309">
        <f t="shared" si="9"/>
        <v>430736.13602035778</v>
      </c>
      <c r="M53" s="500" t="s">
        <v>209</v>
      </c>
      <c r="N53" s="500"/>
      <c r="O53" s="500"/>
      <c r="P53" s="500"/>
      <c r="Q53" s="500"/>
      <c r="R53" s="500"/>
      <c r="S53" s="500"/>
      <c r="T53" s="500"/>
      <c r="U53" s="500"/>
      <c r="V53" s="490"/>
      <c r="X53" s="575"/>
    </row>
    <row r="54" spans="1:24" hidden="1" outlineLevel="1">
      <c r="A54" s="552" t="s">
        <v>211</v>
      </c>
      <c r="B54" s="553" t="s">
        <v>212</v>
      </c>
      <c r="C54" s="553" t="s">
        <v>70</v>
      </c>
      <c r="D54" s="553" t="s">
        <v>93</v>
      </c>
      <c r="E54" s="553" t="s">
        <v>76</v>
      </c>
      <c r="F54" s="553" t="s">
        <v>83</v>
      </c>
      <c r="G54" s="554">
        <v>1</v>
      </c>
      <c r="H54" s="555">
        <v>4000</v>
      </c>
      <c r="I54" s="556">
        <v>0</v>
      </c>
      <c r="J54" s="309">
        <f t="shared" si="8"/>
        <v>4000</v>
      </c>
      <c r="K54" s="309">
        <f t="shared" si="9"/>
        <v>4000</v>
      </c>
      <c r="M54" s="500"/>
      <c r="N54" s="500"/>
      <c r="O54" s="500"/>
      <c r="P54" s="500"/>
      <c r="Q54" s="500"/>
      <c r="R54" s="500"/>
      <c r="S54" s="500"/>
      <c r="T54" s="500"/>
      <c r="U54" s="500"/>
      <c r="V54" s="490"/>
      <c r="X54" s="576"/>
    </row>
    <row r="55" spans="1:24" hidden="1" outlineLevel="1">
      <c r="A55" s="552" t="s">
        <v>214</v>
      </c>
      <c r="B55" s="553" t="s">
        <v>215</v>
      </c>
      <c r="C55" s="553" t="s">
        <v>70</v>
      </c>
      <c r="D55" s="553" t="s">
        <v>173</v>
      </c>
      <c r="E55" s="553" t="s">
        <v>76</v>
      </c>
      <c r="F55" s="553" t="s">
        <v>83</v>
      </c>
      <c r="G55" s="554">
        <v>4</v>
      </c>
      <c r="H55" s="555">
        <v>1250</v>
      </c>
      <c r="I55" s="556">
        <v>0</v>
      </c>
      <c r="J55" s="309">
        <f t="shared" si="8"/>
        <v>1250</v>
      </c>
      <c r="K55" s="309">
        <f t="shared" si="9"/>
        <v>5000</v>
      </c>
      <c r="M55" s="500"/>
      <c r="N55" s="500"/>
      <c r="O55" s="500"/>
      <c r="P55" s="500"/>
      <c r="Q55" s="500"/>
      <c r="R55" s="500"/>
      <c r="S55" s="500"/>
      <c r="T55" s="500"/>
      <c r="U55" s="500"/>
      <c r="V55" s="490"/>
      <c r="X55" s="577"/>
    </row>
    <row r="56" spans="1:24" hidden="1" outlineLevel="1">
      <c r="A56" s="552" t="s">
        <v>217</v>
      </c>
      <c r="B56" s="553" t="s">
        <v>218</v>
      </c>
      <c r="C56" s="553" t="s">
        <v>70</v>
      </c>
      <c r="D56" s="553" t="s">
        <v>81</v>
      </c>
      <c r="E56" s="553" t="s">
        <v>87</v>
      </c>
      <c r="F56" s="553"/>
      <c r="G56" s="554"/>
      <c r="H56" s="565"/>
      <c r="I56" s="556">
        <v>0</v>
      </c>
      <c r="J56" s="551">
        <f t="shared" si="8"/>
        <v>0</v>
      </c>
      <c r="K56" s="309">
        <f t="shared" si="9"/>
        <v>0</v>
      </c>
      <c r="M56" s="500"/>
      <c r="N56" s="500"/>
      <c r="O56" s="500"/>
      <c r="P56" s="500"/>
      <c r="Q56" s="500"/>
      <c r="R56" s="500"/>
      <c r="S56" s="500"/>
      <c r="T56" s="500"/>
      <c r="U56" s="500"/>
      <c r="V56" s="490"/>
    </row>
    <row r="57" spans="1:24" collapsed="1">
      <c r="A57" s="537" t="s">
        <v>220</v>
      </c>
      <c r="B57" s="538" t="s">
        <v>221</v>
      </c>
      <c r="C57" s="538"/>
      <c r="D57" s="538"/>
      <c r="E57" s="538"/>
      <c r="F57" s="538"/>
      <c r="G57" s="567"/>
      <c r="H57" s="568"/>
      <c r="I57" s="540"/>
      <c r="J57" s="569"/>
      <c r="K57" s="541"/>
      <c r="L57" s="542">
        <f>SUM(K44:K56)</f>
        <v>8515537.769804569</v>
      </c>
      <c r="M57" s="543"/>
      <c r="N57" s="543"/>
      <c r="O57" s="543"/>
      <c r="P57" s="543"/>
      <c r="Q57" s="543"/>
      <c r="R57" s="543"/>
      <c r="S57" s="543"/>
      <c r="T57" s="543"/>
      <c r="U57" s="543"/>
      <c r="V57" s="490"/>
    </row>
    <row r="58" spans="1:24" hidden="1" outlineLevel="1">
      <c r="A58" s="544" t="s">
        <v>223</v>
      </c>
      <c r="B58" s="545" t="s">
        <v>224</v>
      </c>
      <c r="C58" s="545" t="s">
        <v>70</v>
      </c>
      <c r="D58" s="545" t="s">
        <v>81</v>
      </c>
      <c r="E58" s="545" t="s">
        <v>889</v>
      </c>
      <c r="F58" s="545" t="s">
        <v>185</v>
      </c>
      <c r="G58" s="546">
        <f>B8</f>
        <v>362571</v>
      </c>
      <c r="H58" s="550">
        <v>2.5</v>
      </c>
      <c r="I58" s="548">
        <v>0</v>
      </c>
      <c r="J58" s="572">
        <f t="shared" ref="J58:J70" si="10">H58*(1+I58)</f>
        <v>2.5</v>
      </c>
      <c r="K58" s="309">
        <f t="shared" ref="K58:K70" si="11">J58*G58</f>
        <v>906427.5</v>
      </c>
      <c r="M58" s="500" t="s">
        <v>890</v>
      </c>
      <c r="N58" s="549"/>
      <c r="O58" s="549"/>
      <c r="P58" s="549"/>
      <c r="Q58" s="549"/>
      <c r="R58" s="549"/>
      <c r="S58" s="549"/>
      <c r="T58" s="549"/>
      <c r="U58" s="549"/>
      <c r="V58" s="490"/>
    </row>
    <row r="59" spans="1:24" hidden="1" outlineLevel="1">
      <c r="A59" s="544" t="s">
        <v>229</v>
      </c>
      <c r="B59" s="545" t="s">
        <v>224</v>
      </c>
      <c r="C59" s="545" t="s">
        <v>70</v>
      </c>
      <c r="D59" s="545" t="s">
        <v>93</v>
      </c>
      <c r="E59" s="545" t="s">
        <v>76</v>
      </c>
      <c r="F59" s="545" t="s">
        <v>83</v>
      </c>
      <c r="G59" s="546">
        <v>1</v>
      </c>
      <c r="H59" s="547">
        <v>2000</v>
      </c>
      <c r="I59" s="548">
        <v>0</v>
      </c>
      <c r="J59" s="309">
        <f t="shared" si="10"/>
        <v>2000</v>
      </c>
      <c r="K59" s="309">
        <f t="shared" si="11"/>
        <v>2000</v>
      </c>
      <c r="M59" s="500"/>
      <c r="N59" s="549"/>
      <c r="O59" s="549"/>
      <c r="P59" s="549"/>
      <c r="Q59" s="549"/>
      <c r="R59" s="549"/>
      <c r="S59" s="549"/>
      <c r="T59" s="549"/>
      <c r="U59" s="549"/>
      <c r="V59" s="490"/>
    </row>
    <row r="60" spans="1:24" hidden="1" outlineLevel="1">
      <c r="A60" s="552" t="s">
        <v>153</v>
      </c>
      <c r="B60" s="553" t="s">
        <v>232</v>
      </c>
      <c r="C60" s="553" t="s">
        <v>70</v>
      </c>
      <c r="D60" s="553" t="s">
        <v>81</v>
      </c>
      <c r="E60" s="553" t="s">
        <v>184</v>
      </c>
      <c r="F60" s="553" t="s">
        <v>891</v>
      </c>
      <c r="G60" s="554">
        <f>'Assumptions &amp; Takeoffs'!$B$19</f>
        <v>2143.4299999999998</v>
      </c>
      <c r="H60" s="555">
        <v>596</v>
      </c>
      <c r="I60" s="556">
        <v>0</v>
      </c>
      <c r="J60" s="555">
        <f t="shared" si="10"/>
        <v>596</v>
      </c>
      <c r="K60" s="555">
        <f t="shared" si="11"/>
        <v>1277484.2799999998</v>
      </c>
      <c r="M60" s="500"/>
      <c r="N60" s="500"/>
      <c r="O60" s="500"/>
      <c r="P60" s="500"/>
      <c r="Q60" s="500"/>
      <c r="R60" s="500"/>
      <c r="S60" s="500"/>
      <c r="T60" s="500"/>
      <c r="U60" s="500"/>
      <c r="V60" s="490"/>
    </row>
    <row r="61" spans="1:24" hidden="1" outlineLevel="1">
      <c r="A61" s="552" t="s">
        <v>236</v>
      </c>
      <c r="B61" s="553" t="s">
        <v>232</v>
      </c>
      <c r="C61" s="553" t="s">
        <v>70</v>
      </c>
      <c r="D61" s="553" t="s">
        <v>93</v>
      </c>
      <c r="E61" s="545" t="s">
        <v>76</v>
      </c>
      <c r="F61" s="545" t="s">
        <v>83</v>
      </c>
      <c r="G61" s="546">
        <v>1</v>
      </c>
      <c r="H61" s="547">
        <v>10000</v>
      </c>
      <c r="I61" s="556">
        <v>0</v>
      </c>
      <c r="J61" s="555">
        <f t="shared" si="10"/>
        <v>10000</v>
      </c>
      <c r="K61" s="555">
        <f t="shared" si="11"/>
        <v>10000</v>
      </c>
      <c r="M61" s="500"/>
      <c r="N61" s="500"/>
      <c r="O61" s="500"/>
      <c r="P61" s="500"/>
      <c r="Q61" s="500"/>
      <c r="R61" s="500"/>
      <c r="S61" s="500"/>
      <c r="T61" s="500"/>
      <c r="U61" s="500"/>
      <c r="V61" s="490"/>
    </row>
    <row r="62" spans="1:24" hidden="1" outlineLevel="1">
      <c r="A62" s="552" t="s">
        <v>239</v>
      </c>
      <c r="B62" s="553" t="s">
        <v>240</v>
      </c>
      <c r="C62" s="553" t="s">
        <v>70</v>
      </c>
      <c r="D62" s="553" t="s">
        <v>173</v>
      </c>
      <c r="E62" s="553" t="s">
        <v>87</v>
      </c>
      <c r="F62" s="553"/>
      <c r="G62" s="554"/>
      <c r="H62" s="565"/>
      <c r="I62" s="556">
        <v>0</v>
      </c>
      <c r="J62" s="555">
        <f t="shared" si="10"/>
        <v>0</v>
      </c>
      <c r="K62" s="555">
        <f t="shared" si="11"/>
        <v>0</v>
      </c>
      <c r="M62" s="500"/>
      <c r="N62" s="500"/>
      <c r="O62" s="500"/>
      <c r="P62" s="500"/>
      <c r="Q62" s="500"/>
      <c r="R62" s="500"/>
      <c r="S62" s="500"/>
      <c r="T62" s="500"/>
      <c r="U62" s="500"/>
      <c r="V62" s="490"/>
    </row>
    <row r="63" spans="1:24" hidden="1" outlineLevel="1">
      <c r="A63" s="552" t="s">
        <v>244</v>
      </c>
      <c r="B63" s="553" t="s">
        <v>240</v>
      </c>
      <c r="C63" s="553" t="s">
        <v>70</v>
      </c>
      <c r="D63" s="553" t="s">
        <v>93</v>
      </c>
      <c r="E63" s="553" t="s">
        <v>76</v>
      </c>
      <c r="F63" s="553" t="s">
        <v>83</v>
      </c>
      <c r="G63" s="554">
        <v>1</v>
      </c>
      <c r="H63" s="555">
        <v>7500</v>
      </c>
      <c r="I63" s="556">
        <v>0</v>
      </c>
      <c r="J63" s="555">
        <f t="shared" si="10"/>
        <v>7500</v>
      </c>
      <c r="K63" s="555">
        <f t="shared" si="11"/>
        <v>7500</v>
      </c>
      <c r="M63" s="500"/>
      <c r="N63" s="500"/>
      <c r="O63" s="500"/>
      <c r="P63" s="500"/>
      <c r="Q63" s="500"/>
      <c r="R63" s="500"/>
      <c r="S63" s="500"/>
      <c r="T63" s="500"/>
      <c r="U63" s="500"/>
      <c r="V63" s="490"/>
    </row>
    <row r="64" spans="1:24" hidden="1" outlineLevel="1">
      <c r="A64" s="552" t="s">
        <v>246</v>
      </c>
      <c r="B64" s="553" t="s">
        <v>247</v>
      </c>
      <c r="C64" s="553" t="s">
        <v>70</v>
      </c>
      <c r="D64" s="553" t="s">
        <v>110</v>
      </c>
      <c r="E64" s="553" t="s">
        <v>76</v>
      </c>
      <c r="F64" s="553" t="s">
        <v>83</v>
      </c>
      <c r="G64" s="554">
        <f>'Assumptions &amp; Takeoffs'!B16</f>
        <v>1</v>
      </c>
      <c r="H64" s="555">
        <v>7500</v>
      </c>
      <c r="I64" s="556">
        <v>0</v>
      </c>
      <c r="J64" s="555">
        <f t="shared" si="10"/>
        <v>7500</v>
      </c>
      <c r="K64" s="555">
        <f t="shared" si="11"/>
        <v>7500</v>
      </c>
      <c r="M64" s="500"/>
      <c r="N64" s="500"/>
      <c r="O64" s="500"/>
      <c r="P64" s="500"/>
      <c r="Q64" s="500"/>
      <c r="R64" s="500"/>
      <c r="S64" s="500"/>
      <c r="T64" s="500"/>
      <c r="U64" s="500"/>
      <c r="V64" s="490"/>
    </row>
    <row r="65" spans="1:22" hidden="1" outlineLevel="1">
      <c r="A65" s="552" t="s">
        <v>249</v>
      </c>
      <c r="B65" s="553" t="s">
        <v>250</v>
      </c>
      <c r="C65" s="553" t="s">
        <v>70</v>
      </c>
      <c r="D65" s="553" t="s">
        <v>97</v>
      </c>
      <c r="E65" s="553" t="s">
        <v>184</v>
      </c>
      <c r="F65" s="553" t="s">
        <v>132</v>
      </c>
      <c r="G65" s="554">
        <f>'Assumptions &amp; Takeoffs'!$B$14</f>
        <v>14</v>
      </c>
      <c r="H65" s="555">
        <v>6000</v>
      </c>
      <c r="I65" s="556">
        <v>0</v>
      </c>
      <c r="J65" s="555">
        <f t="shared" si="10"/>
        <v>6000</v>
      </c>
      <c r="K65" s="555">
        <f t="shared" si="11"/>
        <v>84000</v>
      </c>
      <c r="M65" s="500"/>
      <c r="N65" s="500"/>
      <c r="O65" s="500"/>
      <c r="P65" s="500"/>
      <c r="Q65" s="500"/>
      <c r="R65" s="500"/>
      <c r="S65" s="500"/>
      <c r="T65" s="500"/>
      <c r="U65" s="500"/>
      <c r="V65" s="490"/>
    </row>
    <row r="66" spans="1:22" hidden="1" outlineLevel="1">
      <c r="A66" s="552" t="s">
        <v>253</v>
      </c>
      <c r="B66" s="553" t="s">
        <v>254</v>
      </c>
      <c r="C66" s="553" t="s">
        <v>70</v>
      </c>
      <c r="D66" s="553" t="s">
        <v>81</v>
      </c>
      <c r="E66" s="553" t="s">
        <v>76</v>
      </c>
      <c r="F66" s="553" t="s">
        <v>185</v>
      </c>
      <c r="G66" s="554">
        <f>$B$8</f>
        <v>362571</v>
      </c>
      <c r="H66" s="565">
        <v>0.08</v>
      </c>
      <c r="I66" s="556">
        <v>0</v>
      </c>
      <c r="J66" s="565">
        <f t="shared" si="10"/>
        <v>0.08</v>
      </c>
      <c r="K66" s="555">
        <f t="shared" si="11"/>
        <v>29005.68</v>
      </c>
      <c r="M66" s="500"/>
      <c r="N66" s="500"/>
      <c r="O66" s="500"/>
      <c r="P66" s="500"/>
      <c r="Q66" s="500"/>
      <c r="R66" s="500"/>
      <c r="S66" s="500"/>
      <c r="T66" s="500"/>
      <c r="U66" s="500"/>
      <c r="V66" s="490"/>
    </row>
    <row r="67" spans="1:22" hidden="1" outlineLevel="1">
      <c r="A67" s="552" t="s">
        <v>256</v>
      </c>
      <c r="B67" s="553" t="s">
        <v>257</v>
      </c>
      <c r="C67" s="553" t="s">
        <v>70</v>
      </c>
      <c r="D67" s="553" t="s">
        <v>81</v>
      </c>
      <c r="E67" s="553" t="s">
        <v>76</v>
      </c>
      <c r="F67" s="553" t="s">
        <v>185</v>
      </c>
      <c r="G67" s="554">
        <f>$B$8</f>
        <v>362571</v>
      </c>
      <c r="H67" s="565">
        <v>0.05</v>
      </c>
      <c r="I67" s="556">
        <v>0</v>
      </c>
      <c r="J67" s="565">
        <f t="shared" si="10"/>
        <v>0.05</v>
      </c>
      <c r="K67" s="555">
        <f t="shared" si="11"/>
        <v>18128.55</v>
      </c>
      <c r="M67" s="500"/>
      <c r="N67" s="500"/>
      <c r="O67" s="500"/>
      <c r="P67" s="500"/>
      <c r="Q67" s="500"/>
      <c r="R67" s="500"/>
      <c r="S67" s="500"/>
      <c r="T67" s="500"/>
      <c r="U67" s="500"/>
      <c r="V67" s="490"/>
    </row>
    <row r="68" spans="1:22" hidden="1" outlineLevel="1">
      <c r="A68" s="552" t="s">
        <v>259</v>
      </c>
      <c r="B68" s="553" t="s">
        <v>260</v>
      </c>
      <c r="C68" s="553" t="s">
        <v>70</v>
      </c>
      <c r="D68" s="553" t="s">
        <v>81</v>
      </c>
      <c r="E68" s="553" t="s">
        <v>76</v>
      </c>
      <c r="F68" s="553" t="s">
        <v>132</v>
      </c>
      <c r="G68" s="554">
        <f>2*$B$11</f>
        <v>6</v>
      </c>
      <c r="H68" s="555">
        <v>1550</v>
      </c>
      <c r="I68" s="556">
        <v>0</v>
      </c>
      <c r="J68" s="555">
        <f t="shared" si="10"/>
        <v>1550</v>
      </c>
      <c r="K68" s="555">
        <f t="shared" si="11"/>
        <v>9300</v>
      </c>
      <c r="M68" s="500" t="s">
        <v>261</v>
      </c>
      <c r="N68" s="500"/>
      <c r="O68" s="500"/>
      <c r="P68" s="500"/>
      <c r="Q68" s="500"/>
      <c r="R68" s="500"/>
      <c r="S68" s="500"/>
      <c r="T68" s="500"/>
      <c r="U68" s="500"/>
      <c r="V68" s="490"/>
    </row>
    <row r="69" spans="1:22" hidden="1" outlineLevel="1">
      <c r="A69" s="552" t="s">
        <v>263</v>
      </c>
      <c r="B69" s="553" t="s">
        <v>264</v>
      </c>
      <c r="C69" s="553" t="s">
        <v>70</v>
      </c>
      <c r="D69" s="553" t="s">
        <v>81</v>
      </c>
      <c r="E69" s="553" t="s">
        <v>76</v>
      </c>
      <c r="F69" s="553" t="s">
        <v>132</v>
      </c>
      <c r="G69" s="554">
        <f>2*$B$11</f>
        <v>6</v>
      </c>
      <c r="H69" s="555">
        <v>2500</v>
      </c>
      <c r="I69" s="556">
        <v>0</v>
      </c>
      <c r="J69" s="555">
        <f t="shared" si="10"/>
        <v>2500</v>
      </c>
      <c r="K69" s="555">
        <f t="shared" si="11"/>
        <v>15000</v>
      </c>
      <c r="M69" s="500" t="s">
        <v>261</v>
      </c>
      <c r="N69" s="500"/>
      <c r="O69" s="500"/>
      <c r="P69" s="500"/>
      <c r="Q69" s="500"/>
      <c r="R69" s="500"/>
      <c r="S69" s="500"/>
      <c r="T69" s="500"/>
      <c r="U69" s="500"/>
      <c r="V69" s="490"/>
    </row>
    <row r="70" spans="1:22" hidden="1" outlineLevel="1">
      <c r="A70" s="552" t="s">
        <v>265</v>
      </c>
      <c r="B70" s="553" t="s">
        <v>266</v>
      </c>
      <c r="C70" s="553" t="s">
        <v>70</v>
      </c>
      <c r="D70" s="553" t="s">
        <v>81</v>
      </c>
      <c r="E70" s="553" t="s">
        <v>87</v>
      </c>
      <c r="F70" s="553"/>
      <c r="G70" s="554"/>
      <c r="H70" s="565"/>
      <c r="I70" s="556">
        <v>0</v>
      </c>
      <c r="J70" s="551">
        <f t="shared" si="10"/>
        <v>0</v>
      </c>
      <c r="K70" s="309">
        <f t="shared" si="11"/>
        <v>0</v>
      </c>
      <c r="M70" s="500"/>
      <c r="N70" s="500"/>
      <c r="O70" s="500"/>
      <c r="P70" s="500"/>
      <c r="Q70" s="500"/>
      <c r="R70" s="500"/>
      <c r="S70" s="500"/>
      <c r="T70" s="500"/>
      <c r="U70" s="500"/>
      <c r="V70" s="490"/>
    </row>
    <row r="71" spans="1:22" collapsed="1">
      <c r="A71" s="537" t="s">
        <v>267</v>
      </c>
      <c r="B71" s="538" t="s">
        <v>268</v>
      </c>
      <c r="C71" s="578" t="s">
        <v>892</v>
      </c>
      <c r="D71" s="538"/>
      <c r="E71" s="538"/>
      <c r="F71" s="538"/>
      <c r="G71" s="567"/>
      <c r="H71" s="568"/>
      <c r="I71" s="540"/>
      <c r="J71" s="569"/>
      <c r="K71" s="541"/>
      <c r="L71" s="542">
        <f>SUM(K58:K70)</f>
        <v>2366346.0099999998</v>
      </c>
      <c r="M71" s="543"/>
      <c r="N71" s="543"/>
      <c r="O71" s="543"/>
      <c r="P71" s="543"/>
      <c r="Q71" s="543"/>
      <c r="R71" s="543"/>
      <c r="S71" s="543"/>
      <c r="T71" s="543"/>
      <c r="U71" s="543"/>
      <c r="V71" s="490"/>
    </row>
    <row r="72" spans="1:22" hidden="1" outlineLevel="1">
      <c r="A72" s="552" t="s">
        <v>269</v>
      </c>
      <c r="B72" s="553" t="s">
        <v>270</v>
      </c>
      <c r="C72" s="553" t="s">
        <v>70</v>
      </c>
      <c r="D72" s="553" t="s">
        <v>173</v>
      </c>
      <c r="E72" s="553" t="s">
        <v>76</v>
      </c>
      <c r="F72" s="553" t="s">
        <v>132</v>
      </c>
      <c r="G72" s="554">
        <v>3</v>
      </c>
      <c r="H72" s="555">
        <v>8000</v>
      </c>
      <c r="I72" s="556">
        <v>0</v>
      </c>
      <c r="J72" s="555">
        <f t="shared" ref="J72:J85" si="12">H72*(1+I72)</f>
        <v>8000</v>
      </c>
      <c r="K72" s="555">
        <f t="shared" ref="K72:K85" si="13">J72*G72</f>
        <v>24000</v>
      </c>
      <c r="M72" s="500"/>
      <c r="N72" s="500"/>
      <c r="O72" s="500"/>
      <c r="P72" s="500"/>
      <c r="Q72" s="500"/>
      <c r="R72" s="500"/>
      <c r="S72" s="500"/>
      <c r="T72" s="500"/>
      <c r="U72" s="500"/>
      <c r="V72" s="490"/>
    </row>
    <row r="73" spans="1:22" hidden="1" outlineLevel="1">
      <c r="A73" s="552" t="s">
        <v>271</v>
      </c>
      <c r="B73" s="553" t="s">
        <v>272</v>
      </c>
      <c r="C73" s="553" t="s">
        <v>70</v>
      </c>
      <c r="D73" s="553" t="s">
        <v>173</v>
      </c>
      <c r="E73" s="553" t="s">
        <v>273</v>
      </c>
      <c r="F73" s="553"/>
      <c r="G73" s="554"/>
      <c r="H73" s="565"/>
      <c r="I73" s="556">
        <v>0</v>
      </c>
      <c r="J73" s="565">
        <f t="shared" si="12"/>
        <v>0</v>
      </c>
      <c r="K73" s="555">
        <f t="shared" si="13"/>
        <v>0</v>
      </c>
      <c r="M73" s="500"/>
      <c r="N73" s="500"/>
      <c r="O73" s="500"/>
      <c r="P73" s="500"/>
      <c r="Q73" s="500"/>
      <c r="R73" s="500"/>
      <c r="S73" s="500"/>
      <c r="T73" s="500"/>
      <c r="U73" s="500"/>
      <c r="V73" s="490"/>
    </row>
    <row r="74" spans="1:22" hidden="1" outlineLevel="1">
      <c r="A74" s="552" t="s">
        <v>274</v>
      </c>
      <c r="B74" s="553" t="s">
        <v>272</v>
      </c>
      <c r="C74" s="553" t="s">
        <v>70</v>
      </c>
      <c r="D74" s="553" t="s">
        <v>81</v>
      </c>
      <c r="E74" s="553" t="s">
        <v>87</v>
      </c>
      <c r="F74" s="553"/>
      <c r="G74" s="554"/>
      <c r="H74" s="565"/>
      <c r="I74" s="556">
        <v>0</v>
      </c>
      <c r="J74" s="565">
        <f t="shared" si="12"/>
        <v>0</v>
      </c>
      <c r="K74" s="555">
        <f t="shared" si="13"/>
        <v>0</v>
      </c>
      <c r="M74" s="500"/>
      <c r="N74" s="500"/>
      <c r="O74" s="500"/>
      <c r="P74" s="500"/>
      <c r="Q74" s="500"/>
      <c r="R74" s="500"/>
      <c r="S74" s="500"/>
      <c r="T74" s="500"/>
      <c r="U74" s="500"/>
      <c r="V74" s="490"/>
    </row>
    <row r="75" spans="1:22" hidden="1" outlineLevel="1">
      <c r="A75" s="552" t="s">
        <v>275</v>
      </c>
      <c r="B75" s="553" t="s">
        <v>276</v>
      </c>
      <c r="C75" s="553" t="s">
        <v>70</v>
      </c>
      <c r="D75" s="553" t="s">
        <v>81</v>
      </c>
      <c r="E75" s="553" t="s">
        <v>87</v>
      </c>
      <c r="F75" s="553"/>
      <c r="G75" s="554"/>
      <c r="H75" s="565"/>
      <c r="I75" s="556">
        <v>0</v>
      </c>
      <c r="J75" s="565">
        <f t="shared" si="12"/>
        <v>0</v>
      </c>
      <c r="K75" s="555">
        <f t="shared" si="13"/>
        <v>0</v>
      </c>
      <c r="M75" s="500"/>
      <c r="N75" s="500"/>
      <c r="O75" s="500"/>
      <c r="P75" s="500"/>
      <c r="Q75" s="500"/>
      <c r="R75" s="500"/>
      <c r="S75" s="500"/>
      <c r="T75" s="500"/>
      <c r="U75" s="500"/>
      <c r="V75" s="490"/>
    </row>
    <row r="76" spans="1:22" hidden="1" outlineLevel="1">
      <c r="A76" s="552" t="s">
        <v>277</v>
      </c>
      <c r="B76" s="553" t="s">
        <v>278</v>
      </c>
      <c r="C76" s="553" t="s">
        <v>70</v>
      </c>
      <c r="D76" s="553" t="s">
        <v>81</v>
      </c>
      <c r="E76" s="545" t="s">
        <v>886</v>
      </c>
      <c r="F76" s="553" t="s">
        <v>279</v>
      </c>
      <c r="G76" s="546">
        <f>$N$9</f>
        <v>363</v>
      </c>
      <c r="H76" s="555">
        <f>1450+100</f>
        <v>1550</v>
      </c>
      <c r="I76" s="556">
        <v>0</v>
      </c>
      <c r="J76" s="555">
        <f t="shared" si="12"/>
        <v>1550</v>
      </c>
      <c r="K76" s="555">
        <f t="shared" si="13"/>
        <v>562650</v>
      </c>
      <c r="M76" s="500" t="s">
        <v>280</v>
      </c>
      <c r="N76" s="500"/>
      <c r="O76" s="500"/>
      <c r="P76" s="500"/>
      <c r="Q76" s="500"/>
      <c r="R76" s="500"/>
      <c r="S76" s="500"/>
      <c r="T76" s="500"/>
      <c r="U76" s="500"/>
      <c r="V76" s="490"/>
    </row>
    <row r="77" spans="1:22" hidden="1" outlineLevel="1">
      <c r="A77" s="552" t="s">
        <v>281</v>
      </c>
      <c r="B77" s="553" t="s">
        <v>278</v>
      </c>
      <c r="C77" s="553" t="s">
        <v>90</v>
      </c>
      <c r="D77" s="553" t="s">
        <v>81</v>
      </c>
      <c r="E77" s="553" t="s">
        <v>76</v>
      </c>
      <c r="F77" s="553" t="s">
        <v>279</v>
      </c>
      <c r="G77" s="546">
        <f>$N$9</f>
        <v>363</v>
      </c>
      <c r="H77" s="555">
        <v>75</v>
      </c>
      <c r="I77" s="556">
        <v>0</v>
      </c>
      <c r="J77" s="555">
        <f t="shared" si="12"/>
        <v>75</v>
      </c>
      <c r="K77" s="555">
        <f t="shared" si="13"/>
        <v>27225</v>
      </c>
      <c r="M77" s="500"/>
      <c r="N77" s="500"/>
      <c r="O77" s="500"/>
      <c r="P77" s="500"/>
      <c r="Q77" s="500"/>
      <c r="R77" s="500"/>
      <c r="S77" s="500"/>
      <c r="T77" s="500"/>
      <c r="U77" s="500"/>
      <c r="V77" s="490"/>
    </row>
    <row r="78" spans="1:22" hidden="1" outlineLevel="1">
      <c r="A78" s="552" t="s">
        <v>282</v>
      </c>
      <c r="B78" s="553" t="s">
        <v>283</v>
      </c>
      <c r="C78" s="553" t="s">
        <v>70</v>
      </c>
      <c r="D78" s="553" t="s">
        <v>110</v>
      </c>
      <c r="E78" s="553" t="s">
        <v>87</v>
      </c>
      <c r="F78" s="553"/>
      <c r="G78" s="554"/>
      <c r="H78" s="565"/>
      <c r="I78" s="556">
        <v>0</v>
      </c>
      <c r="J78" s="565">
        <f t="shared" si="12"/>
        <v>0</v>
      </c>
      <c r="K78" s="555">
        <f t="shared" si="13"/>
        <v>0</v>
      </c>
      <c r="M78" s="500"/>
      <c r="N78" s="500"/>
      <c r="O78" s="500"/>
      <c r="P78" s="500"/>
      <c r="Q78" s="500"/>
      <c r="R78" s="500"/>
      <c r="S78" s="500"/>
      <c r="T78" s="500"/>
      <c r="U78" s="500"/>
      <c r="V78" s="490"/>
    </row>
    <row r="79" spans="1:22" hidden="1" outlineLevel="1">
      <c r="A79" s="552" t="s">
        <v>284</v>
      </c>
      <c r="B79" s="553" t="s">
        <v>285</v>
      </c>
      <c r="C79" s="553" t="s">
        <v>70</v>
      </c>
      <c r="D79" s="553" t="s">
        <v>103</v>
      </c>
      <c r="E79" s="553" t="s">
        <v>87</v>
      </c>
      <c r="F79" s="553"/>
      <c r="G79" s="554"/>
      <c r="H79" s="565"/>
      <c r="I79" s="556">
        <v>0</v>
      </c>
      <c r="J79" s="565">
        <f t="shared" si="12"/>
        <v>0</v>
      </c>
      <c r="K79" s="555">
        <f t="shared" si="13"/>
        <v>0</v>
      </c>
      <c r="M79" s="500"/>
      <c r="N79" s="500"/>
      <c r="O79" s="500"/>
      <c r="P79" s="500"/>
      <c r="Q79" s="500"/>
      <c r="R79" s="500"/>
      <c r="S79" s="500"/>
      <c r="T79" s="500"/>
      <c r="U79" s="500"/>
      <c r="V79" s="490"/>
    </row>
    <row r="80" spans="1:22" hidden="1" outlineLevel="1">
      <c r="A80" s="552" t="s">
        <v>286</v>
      </c>
      <c r="B80" s="553" t="s">
        <v>287</v>
      </c>
      <c r="C80" s="553" t="s">
        <v>70</v>
      </c>
      <c r="D80" s="553" t="s">
        <v>81</v>
      </c>
      <c r="E80" s="553" t="s">
        <v>87</v>
      </c>
      <c r="F80" s="553"/>
      <c r="G80" s="554"/>
      <c r="H80" s="565"/>
      <c r="I80" s="556">
        <v>0</v>
      </c>
      <c r="J80" s="565">
        <f t="shared" si="12"/>
        <v>0</v>
      </c>
      <c r="K80" s="555">
        <f t="shared" si="13"/>
        <v>0</v>
      </c>
      <c r="M80" s="500"/>
      <c r="N80" s="500"/>
      <c r="O80" s="500"/>
      <c r="P80" s="500"/>
      <c r="Q80" s="500"/>
      <c r="R80" s="500"/>
      <c r="S80" s="500"/>
      <c r="T80" s="500"/>
      <c r="U80" s="500"/>
      <c r="V80" s="490"/>
    </row>
    <row r="81" spans="1:24" hidden="1" outlineLevel="1">
      <c r="A81" s="552" t="s">
        <v>288</v>
      </c>
      <c r="B81" s="553" t="s">
        <v>289</v>
      </c>
      <c r="C81" s="553" t="s">
        <v>70</v>
      </c>
      <c r="D81" s="553" t="s">
        <v>81</v>
      </c>
      <c r="E81" s="553" t="s">
        <v>87</v>
      </c>
      <c r="F81" s="553"/>
      <c r="G81" s="554"/>
      <c r="H81" s="565"/>
      <c r="I81" s="556">
        <v>0</v>
      </c>
      <c r="J81" s="565">
        <f t="shared" si="12"/>
        <v>0</v>
      </c>
      <c r="K81" s="555">
        <f t="shared" si="13"/>
        <v>0</v>
      </c>
      <c r="M81" s="500"/>
      <c r="N81" s="500"/>
      <c r="O81" s="500"/>
      <c r="P81" s="500"/>
      <c r="Q81" s="500"/>
      <c r="R81" s="500"/>
      <c r="S81" s="500"/>
      <c r="T81" s="500"/>
      <c r="U81" s="500"/>
      <c r="V81" s="490"/>
    </row>
    <row r="82" spans="1:24" hidden="1" outlineLevel="1">
      <c r="A82" s="552" t="s">
        <v>290</v>
      </c>
      <c r="B82" s="553" t="s">
        <v>291</v>
      </c>
      <c r="C82" s="553" t="s">
        <v>70</v>
      </c>
      <c r="D82" s="553" t="s">
        <v>81</v>
      </c>
      <c r="E82" s="553" t="s">
        <v>87</v>
      </c>
      <c r="F82" s="553"/>
      <c r="G82" s="554"/>
      <c r="H82" s="565"/>
      <c r="I82" s="556">
        <v>0</v>
      </c>
      <c r="J82" s="565">
        <f t="shared" si="12"/>
        <v>0</v>
      </c>
      <c r="K82" s="555">
        <f t="shared" si="13"/>
        <v>0</v>
      </c>
      <c r="M82" s="500"/>
      <c r="N82" s="500"/>
      <c r="O82" s="500"/>
      <c r="P82" s="500"/>
      <c r="Q82" s="500"/>
      <c r="R82" s="500"/>
      <c r="S82" s="500"/>
      <c r="T82" s="500"/>
      <c r="U82" s="500"/>
      <c r="V82" s="490"/>
    </row>
    <row r="83" spans="1:24" hidden="1" outlineLevel="1">
      <c r="A83" s="552" t="s">
        <v>292</v>
      </c>
      <c r="B83" s="553" t="s">
        <v>289</v>
      </c>
      <c r="C83" s="553" t="s">
        <v>70</v>
      </c>
      <c r="D83" s="553" t="s">
        <v>81</v>
      </c>
      <c r="E83" s="553" t="s">
        <v>87</v>
      </c>
      <c r="F83" s="553"/>
      <c r="G83" s="554"/>
      <c r="H83" s="565"/>
      <c r="I83" s="556">
        <v>0</v>
      </c>
      <c r="J83" s="555">
        <f t="shared" si="12"/>
        <v>0</v>
      </c>
      <c r="K83" s="555">
        <f t="shared" si="13"/>
        <v>0</v>
      </c>
      <c r="M83" s="500"/>
      <c r="N83" s="500"/>
      <c r="O83" s="500"/>
      <c r="P83" s="500"/>
      <c r="Q83" s="500"/>
      <c r="R83" s="500"/>
      <c r="S83" s="500"/>
      <c r="T83" s="500"/>
      <c r="U83" s="500"/>
      <c r="V83" s="490"/>
    </row>
    <row r="84" spans="1:24" hidden="1" outlineLevel="1">
      <c r="A84" s="552" t="s">
        <v>293</v>
      </c>
      <c r="B84" s="553" t="s">
        <v>289</v>
      </c>
      <c r="C84" s="553" t="s">
        <v>70</v>
      </c>
      <c r="D84" s="553" t="s">
        <v>81</v>
      </c>
      <c r="E84" s="553" t="s">
        <v>184</v>
      </c>
      <c r="F84" s="553" t="s">
        <v>294</v>
      </c>
      <c r="G84" s="546">
        <f>N9</f>
        <v>363</v>
      </c>
      <c r="H84" s="555">
        <v>175</v>
      </c>
      <c r="I84" s="556">
        <v>0</v>
      </c>
      <c r="J84" s="555">
        <f t="shared" si="12"/>
        <v>175</v>
      </c>
      <c r="K84" s="555">
        <f>J84*G84</f>
        <v>63525</v>
      </c>
      <c r="M84" s="500" t="s">
        <v>295</v>
      </c>
      <c r="N84" s="500"/>
      <c r="O84" s="500"/>
      <c r="P84" s="500"/>
      <c r="Q84" s="500"/>
      <c r="R84" s="500"/>
      <c r="S84" s="500"/>
      <c r="T84" s="500"/>
      <c r="U84" s="500"/>
      <c r="V84" s="490"/>
    </row>
    <row r="85" spans="1:24" hidden="1" outlineLevel="1">
      <c r="A85" s="552" t="s">
        <v>296</v>
      </c>
      <c r="B85" s="553" t="s">
        <v>289</v>
      </c>
      <c r="C85" s="553" t="s">
        <v>70</v>
      </c>
      <c r="D85" s="553" t="s">
        <v>81</v>
      </c>
      <c r="E85" s="553" t="s">
        <v>76</v>
      </c>
      <c r="F85" s="553" t="s">
        <v>132</v>
      </c>
      <c r="G85" s="554">
        <v>6</v>
      </c>
      <c r="H85" s="555">
        <v>300</v>
      </c>
      <c r="I85" s="556">
        <v>0</v>
      </c>
      <c r="J85" s="551">
        <f t="shared" si="12"/>
        <v>300</v>
      </c>
      <c r="K85" s="309">
        <f t="shared" si="13"/>
        <v>1800</v>
      </c>
      <c r="M85" s="500"/>
      <c r="N85" s="500"/>
      <c r="O85" s="500"/>
      <c r="P85" s="500"/>
      <c r="Q85" s="500"/>
      <c r="R85" s="500"/>
      <c r="S85" s="500"/>
      <c r="T85" s="500"/>
      <c r="U85" s="500"/>
      <c r="V85" s="490"/>
    </row>
    <row r="86" spans="1:24" collapsed="1">
      <c r="A86" s="537" t="s">
        <v>297</v>
      </c>
      <c r="B86" s="538" t="s">
        <v>298</v>
      </c>
      <c r="C86" s="578" t="s">
        <v>892</v>
      </c>
      <c r="D86" s="538"/>
      <c r="E86" s="538"/>
      <c r="F86" s="538"/>
      <c r="G86" s="567"/>
      <c r="H86" s="568"/>
      <c r="I86" s="540"/>
      <c r="J86" s="569"/>
      <c r="K86" s="541"/>
      <c r="L86" s="542">
        <f>SUM(K72:K85)</f>
        <v>679200</v>
      </c>
      <c r="M86" s="543"/>
      <c r="N86" s="543"/>
      <c r="O86" s="543"/>
      <c r="P86" s="543"/>
      <c r="Q86" s="543"/>
      <c r="R86" s="543"/>
      <c r="S86" s="543"/>
      <c r="T86" s="543"/>
      <c r="U86" s="543"/>
      <c r="V86" s="490"/>
    </row>
    <row r="87" spans="1:24" hidden="1" outlineLevel="1">
      <c r="A87" s="544" t="s">
        <v>299</v>
      </c>
      <c r="B87" s="545" t="s">
        <v>300</v>
      </c>
      <c r="C87" s="545" t="s">
        <v>70</v>
      </c>
      <c r="D87" s="545" t="s">
        <v>81</v>
      </c>
      <c r="E87" s="545" t="s">
        <v>87</v>
      </c>
      <c r="F87" s="545"/>
      <c r="G87" s="546"/>
      <c r="H87" s="550"/>
      <c r="I87" s="548">
        <v>0</v>
      </c>
      <c r="J87" s="572">
        <f t="shared" ref="J87:J124" si="14">H87*(1+I87)</f>
        <v>0</v>
      </c>
      <c r="K87" s="309">
        <f t="shared" ref="K87:K124" si="15">J87*G87</f>
        <v>0</v>
      </c>
      <c r="M87" s="549"/>
      <c r="N87" s="549"/>
      <c r="O87" s="549"/>
      <c r="P87" s="549"/>
      <c r="Q87" s="549"/>
      <c r="R87" s="549"/>
      <c r="S87" s="549"/>
      <c r="T87" s="549"/>
      <c r="U87" s="549"/>
      <c r="V87" s="490"/>
    </row>
    <row r="88" spans="1:24" hidden="1" outlineLevel="1">
      <c r="A88" s="552" t="s">
        <v>301</v>
      </c>
      <c r="B88" s="553" t="s">
        <v>302</v>
      </c>
      <c r="C88" s="553" t="s">
        <v>70</v>
      </c>
      <c r="D88" s="553" t="s">
        <v>81</v>
      </c>
      <c r="E88" s="553" t="s">
        <v>76</v>
      </c>
      <c r="F88" s="553" t="s">
        <v>83</v>
      </c>
      <c r="G88" s="554">
        <v>1</v>
      </c>
      <c r="H88" s="555">
        <v>10000</v>
      </c>
      <c r="I88" s="556">
        <v>0</v>
      </c>
      <c r="J88" s="555">
        <f t="shared" si="14"/>
        <v>10000</v>
      </c>
      <c r="K88" s="555">
        <f t="shared" si="15"/>
        <v>10000</v>
      </c>
      <c r="M88" s="500"/>
      <c r="N88" s="500"/>
      <c r="O88" s="500"/>
      <c r="P88" s="500"/>
      <c r="Q88" s="500"/>
      <c r="R88" s="500"/>
      <c r="S88" s="500"/>
      <c r="T88" s="500"/>
      <c r="U88" s="500"/>
      <c r="V88" s="490"/>
    </row>
    <row r="89" spans="1:24" hidden="1" outlineLevel="1">
      <c r="A89" s="552" t="s">
        <v>303</v>
      </c>
      <c r="B89" s="553" t="s">
        <v>304</v>
      </c>
      <c r="C89" s="553" t="s">
        <v>70</v>
      </c>
      <c r="D89" s="553" t="s">
        <v>81</v>
      </c>
      <c r="E89" s="553" t="s">
        <v>184</v>
      </c>
      <c r="F89" s="553" t="s">
        <v>185</v>
      </c>
      <c r="G89" s="554">
        <f t="shared" ref="G89:G117" si="16">$B$8</f>
        <v>362571</v>
      </c>
      <c r="H89" s="565">
        <v>0.85</v>
      </c>
      <c r="I89" s="556">
        <v>0</v>
      </c>
      <c r="J89" s="565">
        <f t="shared" si="14"/>
        <v>0.85</v>
      </c>
      <c r="K89" s="555">
        <f t="shared" si="15"/>
        <v>308185.34999999998</v>
      </c>
      <c r="M89" s="500" t="s">
        <v>305</v>
      </c>
      <c r="N89" s="500"/>
      <c r="O89" s="500"/>
      <c r="P89" s="500"/>
      <c r="Q89" s="500"/>
      <c r="R89" s="500"/>
      <c r="S89" s="500"/>
      <c r="T89" s="500"/>
      <c r="U89" s="500"/>
      <c r="V89" s="490"/>
    </row>
    <row r="90" spans="1:24" hidden="1" outlineLevel="1">
      <c r="A90" s="552" t="s">
        <v>306</v>
      </c>
      <c r="B90" s="553" t="s">
        <v>307</v>
      </c>
      <c r="C90" s="553" t="s">
        <v>70</v>
      </c>
      <c r="D90" s="553" t="s">
        <v>81</v>
      </c>
      <c r="E90" s="553" t="s">
        <v>76</v>
      </c>
      <c r="F90" s="553" t="s">
        <v>83</v>
      </c>
      <c r="G90" s="554">
        <v>1</v>
      </c>
      <c r="H90" s="555">
        <v>75000</v>
      </c>
      <c r="I90" s="556">
        <v>0</v>
      </c>
      <c r="J90" s="555">
        <f t="shared" si="14"/>
        <v>75000</v>
      </c>
      <c r="K90" s="555">
        <f t="shared" si="15"/>
        <v>75000</v>
      </c>
      <c r="M90" s="500"/>
      <c r="N90" s="500"/>
      <c r="O90" s="500"/>
      <c r="P90" s="500"/>
      <c r="Q90" s="500"/>
      <c r="R90" s="500"/>
      <c r="S90" s="500"/>
      <c r="T90" s="500"/>
      <c r="U90" s="500"/>
      <c r="V90" s="490"/>
    </row>
    <row r="91" spans="1:24" hidden="1" outlineLevel="1">
      <c r="A91" s="552" t="s">
        <v>308</v>
      </c>
      <c r="B91" s="553" t="s">
        <v>309</v>
      </c>
      <c r="C91" s="553" t="s">
        <v>70</v>
      </c>
      <c r="D91" s="553" t="s">
        <v>310</v>
      </c>
      <c r="E91" s="553" t="s">
        <v>76</v>
      </c>
      <c r="F91" s="553" t="s">
        <v>311</v>
      </c>
      <c r="G91" s="546">
        <f>$N$9</f>
        <v>363</v>
      </c>
      <c r="H91" s="565">
        <v>79</v>
      </c>
      <c r="I91" s="556">
        <v>0</v>
      </c>
      <c r="J91" s="565">
        <f t="shared" si="14"/>
        <v>79</v>
      </c>
      <c r="K91" s="555">
        <f t="shared" si="15"/>
        <v>28677</v>
      </c>
      <c r="M91" s="500"/>
      <c r="N91" s="500"/>
      <c r="O91" s="500"/>
      <c r="P91" s="500"/>
      <c r="Q91" s="500"/>
      <c r="R91" s="500"/>
      <c r="S91" s="500"/>
      <c r="T91" s="500"/>
      <c r="U91" s="500"/>
      <c r="V91" s="490"/>
    </row>
    <row r="92" spans="1:24" hidden="1" outlineLevel="1">
      <c r="A92" s="552" t="s">
        <v>312</v>
      </c>
      <c r="B92" s="553" t="s">
        <v>313</v>
      </c>
      <c r="C92" s="553" t="s">
        <v>70</v>
      </c>
      <c r="D92" s="553" t="s">
        <v>75</v>
      </c>
      <c r="E92" s="553" t="s">
        <v>76</v>
      </c>
      <c r="F92" s="553" t="s">
        <v>83</v>
      </c>
      <c r="G92" s="554">
        <v>1</v>
      </c>
      <c r="H92" s="555">
        <v>10000</v>
      </c>
      <c r="I92" s="556">
        <v>0</v>
      </c>
      <c r="J92" s="555">
        <f>H92*(1+I92)</f>
        <v>10000</v>
      </c>
      <c r="K92" s="555">
        <f t="shared" si="15"/>
        <v>10000</v>
      </c>
      <c r="M92" s="500" t="s">
        <v>314</v>
      </c>
      <c r="N92" s="500"/>
      <c r="O92" s="500"/>
      <c r="P92" s="500"/>
      <c r="Q92" s="500"/>
      <c r="R92" s="500"/>
      <c r="S92" s="500"/>
      <c r="T92" s="500"/>
      <c r="U92" s="500"/>
      <c r="V92" s="490"/>
    </row>
    <row r="93" spans="1:24" hidden="1" outlineLevel="1">
      <c r="A93" s="552" t="s">
        <v>315</v>
      </c>
      <c r="B93" s="553" t="s">
        <v>316</v>
      </c>
      <c r="C93" s="553" t="s">
        <v>70</v>
      </c>
      <c r="D93" s="553" t="s">
        <v>81</v>
      </c>
      <c r="E93" s="553" t="s">
        <v>889</v>
      </c>
      <c r="F93" s="553" t="s">
        <v>351</v>
      </c>
      <c r="G93" s="554">
        <f>'Assumptions &amp; Takeoffs'!B20</f>
        <v>23863.339999999997</v>
      </c>
      <c r="H93" s="565">
        <f>'Unit Pricing Comparison'!I22</f>
        <v>39.836808110538797</v>
      </c>
      <c r="I93" s="556">
        <v>0</v>
      </c>
      <c r="J93" s="565">
        <f t="shared" si="14"/>
        <v>39.836808110538797</v>
      </c>
      <c r="K93" s="555">
        <f t="shared" si="15"/>
        <v>950639.29645654478</v>
      </c>
      <c r="M93" s="500" t="s">
        <v>893</v>
      </c>
      <c r="N93" s="500"/>
      <c r="O93" s="500"/>
      <c r="P93" s="500"/>
      <c r="Q93" s="500"/>
      <c r="R93" s="500"/>
      <c r="S93" s="500"/>
      <c r="T93" s="500"/>
      <c r="U93" s="500"/>
      <c r="V93" s="490"/>
    </row>
    <row r="94" spans="1:24" hidden="1" outlineLevel="1">
      <c r="A94" s="552" t="s">
        <v>319</v>
      </c>
      <c r="B94" s="553" t="s">
        <v>320</v>
      </c>
      <c r="C94" s="553" t="s">
        <v>144</v>
      </c>
      <c r="D94" s="553" t="s">
        <v>93</v>
      </c>
      <c r="E94" s="553" t="s">
        <v>76</v>
      </c>
      <c r="F94" s="553" t="s">
        <v>83</v>
      </c>
      <c r="G94" s="554">
        <f>'Assumptions &amp; Takeoffs'!B24</f>
        <v>1</v>
      </c>
      <c r="H94" s="555">
        <v>6000</v>
      </c>
      <c r="I94" s="556">
        <v>0</v>
      </c>
      <c r="J94" s="555">
        <f t="shared" si="14"/>
        <v>6000</v>
      </c>
      <c r="K94" s="555">
        <f t="shared" si="15"/>
        <v>6000</v>
      </c>
      <c r="M94" s="500"/>
      <c r="N94" s="500"/>
      <c r="O94" s="500"/>
      <c r="P94" s="500"/>
      <c r="Q94" s="500"/>
      <c r="R94" s="500"/>
      <c r="S94" s="500"/>
      <c r="T94" s="500"/>
      <c r="U94" s="500"/>
      <c r="V94" s="490"/>
    </row>
    <row r="95" spans="1:24" hidden="1" outlineLevel="1">
      <c r="A95" s="552" t="s">
        <v>321</v>
      </c>
      <c r="B95" s="553" t="s">
        <v>322</v>
      </c>
      <c r="C95" s="553" t="s">
        <v>70</v>
      </c>
      <c r="D95" s="553" t="s">
        <v>103</v>
      </c>
      <c r="E95" s="553" t="s">
        <v>87</v>
      </c>
      <c r="F95" s="553"/>
      <c r="G95" s="554"/>
      <c r="H95" s="565"/>
      <c r="I95" s="556">
        <v>0</v>
      </c>
      <c r="J95" s="565">
        <f t="shared" si="14"/>
        <v>0</v>
      </c>
      <c r="K95" s="555">
        <f t="shared" si="15"/>
        <v>0</v>
      </c>
      <c r="M95" s="500"/>
      <c r="N95" s="500"/>
      <c r="O95" s="500"/>
      <c r="P95" s="500"/>
      <c r="Q95" s="500"/>
      <c r="R95" s="500"/>
      <c r="S95" s="500"/>
      <c r="T95" s="500"/>
      <c r="U95" s="500"/>
      <c r="V95" s="490"/>
    </row>
    <row r="96" spans="1:24" hidden="1" outlineLevel="1">
      <c r="A96" s="552" t="s">
        <v>323</v>
      </c>
      <c r="B96" s="553" t="s">
        <v>324</v>
      </c>
      <c r="C96" s="553" t="s">
        <v>144</v>
      </c>
      <c r="D96" s="553" t="s">
        <v>103</v>
      </c>
      <c r="E96" s="553" t="s">
        <v>76</v>
      </c>
      <c r="F96" s="553" t="s">
        <v>83</v>
      </c>
      <c r="G96" s="554">
        <f>'Assumptions &amp; Takeoffs'!$B$16</f>
        <v>1</v>
      </c>
      <c r="H96" s="555">
        <v>2000</v>
      </c>
      <c r="I96" s="556">
        <v>0</v>
      </c>
      <c r="J96" s="555">
        <f t="shared" si="14"/>
        <v>2000</v>
      </c>
      <c r="K96" s="555">
        <f t="shared" si="15"/>
        <v>2000</v>
      </c>
      <c r="M96" s="500"/>
      <c r="N96" s="500"/>
      <c r="O96" s="500"/>
      <c r="P96" s="500"/>
      <c r="Q96" s="500"/>
      <c r="R96" s="500"/>
      <c r="S96" s="500"/>
      <c r="T96" s="500"/>
      <c r="U96" s="500"/>
      <c r="V96" s="490"/>
      <c r="X96" s="575"/>
    </row>
    <row r="97" spans="1:24" hidden="1" outlineLevel="1">
      <c r="A97" s="552" t="s">
        <v>325</v>
      </c>
      <c r="B97" s="553" t="s">
        <v>326</v>
      </c>
      <c r="C97" s="553" t="s">
        <v>70</v>
      </c>
      <c r="D97" s="553" t="s">
        <v>103</v>
      </c>
      <c r="E97" s="553" t="s">
        <v>87</v>
      </c>
      <c r="F97" s="553"/>
      <c r="G97" s="554"/>
      <c r="H97" s="565"/>
      <c r="I97" s="556">
        <v>0</v>
      </c>
      <c r="J97" s="565">
        <f t="shared" si="14"/>
        <v>0</v>
      </c>
      <c r="K97" s="555">
        <f t="shared" si="15"/>
        <v>0</v>
      </c>
      <c r="M97" s="500"/>
      <c r="N97" s="500"/>
      <c r="O97" s="500"/>
      <c r="P97" s="500"/>
      <c r="Q97" s="500"/>
      <c r="R97" s="500"/>
      <c r="S97" s="500"/>
      <c r="T97" s="500"/>
      <c r="U97" s="500"/>
      <c r="V97" s="490"/>
      <c r="X97" s="575"/>
    </row>
    <row r="98" spans="1:24" hidden="1" outlineLevel="1">
      <c r="A98" s="552" t="s">
        <v>327</v>
      </c>
      <c r="B98" s="553" t="s">
        <v>328</v>
      </c>
      <c r="C98" s="553" t="s">
        <v>70</v>
      </c>
      <c r="D98" s="553" t="s">
        <v>110</v>
      </c>
      <c r="E98" s="553" t="s">
        <v>329</v>
      </c>
      <c r="F98" s="553" t="s">
        <v>83</v>
      </c>
      <c r="G98" s="554">
        <v>1</v>
      </c>
      <c r="H98" s="555">
        <v>5000</v>
      </c>
      <c r="I98" s="556">
        <v>0</v>
      </c>
      <c r="J98" s="555">
        <f t="shared" si="14"/>
        <v>5000</v>
      </c>
      <c r="K98" s="555">
        <f t="shared" si="15"/>
        <v>5000</v>
      </c>
      <c r="M98" s="500"/>
      <c r="N98" s="500"/>
      <c r="O98" s="500"/>
      <c r="P98" s="500"/>
      <c r="Q98" s="500"/>
      <c r="R98" s="500"/>
      <c r="S98" s="500"/>
      <c r="T98" s="500"/>
      <c r="U98" s="500"/>
      <c r="V98" s="490"/>
      <c r="X98" s="575"/>
    </row>
    <row r="99" spans="1:24" hidden="1" outlineLevel="1">
      <c r="A99" s="552" t="s">
        <v>330</v>
      </c>
      <c r="B99" s="553" t="s">
        <v>331</v>
      </c>
      <c r="C99" s="553" t="s">
        <v>90</v>
      </c>
      <c r="D99" s="553" t="s">
        <v>81</v>
      </c>
      <c r="E99" s="553" t="s">
        <v>76</v>
      </c>
      <c r="F99" s="553" t="s">
        <v>83</v>
      </c>
      <c r="G99" s="554">
        <v>1</v>
      </c>
      <c r="H99" s="555">
        <v>1500</v>
      </c>
      <c r="I99" s="556">
        <v>0</v>
      </c>
      <c r="J99" s="555">
        <f t="shared" si="14"/>
        <v>1500</v>
      </c>
      <c r="K99" s="555">
        <f t="shared" si="15"/>
        <v>1500</v>
      </c>
      <c r="M99" s="500"/>
      <c r="N99" s="500"/>
      <c r="O99" s="500"/>
      <c r="P99" s="500"/>
      <c r="Q99" s="500"/>
      <c r="R99" s="500"/>
      <c r="S99" s="500"/>
      <c r="T99" s="500"/>
      <c r="U99" s="500"/>
      <c r="V99" s="490"/>
      <c r="X99" s="575"/>
    </row>
    <row r="100" spans="1:24" hidden="1" outlineLevel="1">
      <c r="A100" s="552" t="s">
        <v>332</v>
      </c>
      <c r="B100" s="553" t="s">
        <v>333</v>
      </c>
      <c r="C100" s="553" t="s">
        <v>70</v>
      </c>
      <c r="D100" s="553" t="s">
        <v>81</v>
      </c>
      <c r="E100" s="553" t="s">
        <v>886</v>
      </c>
      <c r="F100" s="553" t="s">
        <v>185</v>
      </c>
      <c r="G100" s="554">
        <f t="shared" ref="G100" si="17">$B$8</f>
        <v>362571</v>
      </c>
      <c r="H100" s="565">
        <v>7.65</v>
      </c>
      <c r="I100" s="556">
        <v>0</v>
      </c>
      <c r="J100" s="565">
        <f t="shared" si="14"/>
        <v>7.65</v>
      </c>
      <c r="K100" s="555">
        <f>J100*G100</f>
        <v>2773668.15</v>
      </c>
      <c r="M100" s="500" t="s">
        <v>894</v>
      </c>
      <c r="N100" s="500"/>
      <c r="O100" s="500"/>
      <c r="P100" s="500"/>
      <c r="Q100" s="500"/>
      <c r="R100" s="500"/>
      <c r="S100" s="500"/>
      <c r="T100" s="500"/>
      <c r="U100" s="500"/>
      <c r="V100" s="490"/>
      <c r="X100" s="575"/>
    </row>
    <row r="101" spans="1:24" hidden="1" outlineLevel="1">
      <c r="A101" s="552" t="s">
        <v>335</v>
      </c>
      <c r="B101" s="553" t="s">
        <v>336</v>
      </c>
      <c r="C101" s="553" t="s">
        <v>90</v>
      </c>
      <c r="D101" s="553" t="s">
        <v>81</v>
      </c>
      <c r="E101" s="553" t="s">
        <v>76</v>
      </c>
      <c r="F101" s="553" t="s">
        <v>311</v>
      </c>
      <c r="G101" s="546">
        <f>$N$9</f>
        <v>363</v>
      </c>
      <c r="H101" s="555">
        <v>85</v>
      </c>
      <c r="I101" s="556">
        <v>0</v>
      </c>
      <c r="J101" s="555">
        <f t="shared" si="14"/>
        <v>85</v>
      </c>
      <c r="K101" s="555">
        <f t="shared" si="15"/>
        <v>30855</v>
      </c>
      <c r="M101" s="500"/>
      <c r="N101" s="500"/>
      <c r="O101" s="500"/>
      <c r="P101" s="500"/>
      <c r="Q101" s="500"/>
      <c r="R101" s="500"/>
      <c r="S101" s="500"/>
      <c r="T101" s="500"/>
      <c r="U101" s="500"/>
      <c r="V101" s="490"/>
      <c r="X101" s="575"/>
    </row>
    <row r="102" spans="1:24" hidden="1" outlineLevel="1">
      <c r="A102" s="552" t="s">
        <v>337</v>
      </c>
      <c r="B102" s="553" t="s">
        <v>338</v>
      </c>
      <c r="C102" s="553" t="s">
        <v>70</v>
      </c>
      <c r="D102" s="553" t="s">
        <v>93</v>
      </c>
      <c r="E102" s="553" t="s">
        <v>76</v>
      </c>
      <c r="F102" s="553" t="s">
        <v>83</v>
      </c>
      <c r="G102" s="546">
        <v>1</v>
      </c>
      <c r="H102" s="555">
        <v>1000</v>
      </c>
      <c r="I102" s="556">
        <v>0</v>
      </c>
      <c r="J102" s="555">
        <f t="shared" si="14"/>
        <v>1000</v>
      </c>
      <c r="K102" s="555">
        <f t="shared" si="15"/>
        <v>1000</v>
      </c>
      <c r="M102" s="500"/>
      <c r="N102" s="500"/>
      <c r="O102" s="500"/>
      <c r="P102" s="500"/>
      <c r="Q102" s="500"/>
      <c r="R102" s="500"/>
      <c r="S102" s="500"/>
      <c r="T102" s="500"/>
      <c r="U102" s="500"/>
      <c r="V102" s="490"/>
      <c r="X102" s="575"/>
    </row>
    <row r="103" spans="1:24" hidden="1" outlineLevel="1">
      <c r="A103" s="552" t="s">
        <v>339</v>
      </c>
      <c r="B103" s="553" t="s">
        <v>340</v>
      </c>
      <c r="C103" s="553" t="s">
        <v>70</v>
      </c>
      <c r="D103" s="553" t="s">
        <v>81</v>
      </c>
      <c r="E103" s="553" t="s">
        <v>87</v>
      </c>
      <c r="F103" s="553"/>
      <c r="G103" s="554"/>
      <c r="H103" s="565"/>
      <c r="I103" s="556">
        <v>0</v>
      </c>
      <c r="J103" s="565">
        <f t="shared" si="14"/>
        <v>0</v>
      </c>
      <c r="K103" s="555">
        <f t="shared" si="15"/>
        <v>0</v>
      </c>
      <c r="M103" s="500"/>
      <c r="N103" s="500"/>
      <c r="O103" s="500"/>
      <c r="P103" s="500"/>
      <c r="Q103" s="500"/>
      <c r="R103" s="500"/>
      <c r="S103" s="500"/>
      <c r="T103" s="500"/>
      <c r="U103" s="500"/>
      <c r="V103" s="490"/>
      <c r="X103" s="575"/>
    </row>
    <row r="104" spans="1:24" hidden="1" outlineLevel="1">
      <c r="A104" s="552" t="s">
        <v>341</v>
      </c>
      <c r="B104" s="553" t="s">
        <v>342</v>
      </c>
      <c r="C104" s="553" t="s">
        <v>70</v>
      </c>
      <c r="D104" s="553" t="s">
        <v>173</v>
      </c>
      <c r="E104" s="553" t="s">
        <v>343</v>
      </c>
      <c r="F104" s="553" t="s">
        <v>344</v>
      </c>
      <c r="G104" s="554">
        <f>N9</f>
        <v>363</v>
      </c>
      <c r="H104" s="555">
        <v>468.71</v>
      </c>
      <c r="I104" s="556">
        <v>0</v>
      </c>
      <c r="J104" s="555">
        <f t="shared" si="14"/>
        <v>468.71</v>
      </c>
      <c r="K104" s="555">
        <f t="shared" si="15"/>
        <v>170141.72999999998</v>
      </c>
      <c r="M104" s="500" t="s">
        <v>345</v>
      </c>
      <c r="N104" s="500"/>
      <c r="O104" s="500"/>
      <c r="P104" s="500"/>
      <c r="Q104" s="500"/>
      <c r="R104" s="500"/>
      <c r="S104" s="500"/>
      <c r="T104" s="500"/>
      <c r="U104" s="500"/>
      <c r="V104" s="490"/>
      <c r="X104" s="575"/>
    </row>
    <row r="105" spans="1:24" hidden="1" outlineLevel="1">
      <c r="A105" s="552" t="s">
        <v>346</v>
      </c>
      <c r="B105" s="553" t="s">
        <v>347</v>
      </c>
      <c r="C105" s="553" t="s">
        <v>70</v>
      </c>
      <c r="D105" s="553" t="s">
        <v>81</v>
      </c>
      <c r="E105" s="553" t="s">
        <v>87</v>
      </c>
      <c r="F105" s="553"/>
      <c r="G105" s="554"/>
      <c r="H105" s="565"/>
      <c r="I105" s="556">
        <v>0</v>
      </c>
      <c r="J105" s="555">
        <f t="shared" si="14"/>
        <v>0</v>
      </c>
      <c r="K105" s="555">
        <f t="shared" si="15"/>
        <v>0</v>
      </c>
      <c r="M105" s="500"/>
      <c r="N105" s="500"/>
      <c r="O105" s="500"/>
      <c r="P105" s="500"/>
      <c r="Q105" s="500"/>
      <c r="R105" s="500"/>
      <c r="S105" s="500"/>
      <c r="T105" s="500"/>
      <c r="U105" s="500"/>
      <c r="V105" s="490"/>
      <c r="X105" s="575"/>
    </row>
    <row r="106" spans="1:24" hidden="1" outlineLevel="1">
      <c r="A106" s="552" t="s">
        <v>348</v>
      </c>
      <c r="B106" s="553" t="s">
        <v>349</v>
      </c>
      <c r="C106" s="553" t="s">
        <v>70</v>
      </c>
      <c r="D106" s="553" t="s">
        <v>103</v>
      </c>
      <c r="E106" s="553" t="s">
        <v>87</v>
      </c>
      <c r="F106" s="553"/>
      <c r="G106" s="554"/>
      <c r="H106" s="565"/>
      <c r="I106" s="556">
        <v>0</v>
      </c>
      <c r="J106" s="555">
        <f t="shared" si="14"/>
        <v>0</v>
      </c>
      <c r="K106" s="555">
        <f t="shared" si="15"/>
        <v>0</v>
      </c>
      <c r="M106" s="500"/>
      <c r="N106" s="500"/>
      <c r="O106" s="500"/>
      <c r="P106" s="500"/>
      <c r="Q106" s="500"/>
      <c r="R106" s="500"/>
      <c r="S106" s="500"/>
      <c r="T106" s="500"/>
      <c r="U106" s="500"/>
      <c r="V106" s="490"/>
      <c r="X106" s="575"/>
    </row>
    <row r="107" spans="1:24" hidden="1" outlineLevel="1">
      <c r="A107" s="552" t="s">
        <v>202</v>
      </c>
      <c r="B107" s="553" t="s">
        <v>350</v>
      </c>
      <c r="C107" s="553" t="s">
        <v>70</v>
      </c>
      <c r="D107" s="553" t="s">
        <v>81</v>
      </c>
      <c r="E107" s="553" t="s">
        <v>184</v>
      </c>
      <c r="F107" s="553" t="s">
        <v>351</v>
      </c>
      <c r="G107" s="554">
        <f>'Assumptions &amp; Takeoffs'!D8/9</f>
        <v>31493.666666666668</v>
      </c>
      <c r="H107" s="565">
        <v>16.296552387099432</v>
      </c>
      <c r="I107" s="556">
        <v>0</v>
      </c>
      <c r="J107" s="565">
        <f t="shared" si="14"/>
        <v>16.296552387099432</v>
      </c>
      <c r="K107" s="555">
        <f t="shared" si="15"/>
        <v>513238.18869518046</v>
      </c>
      <c r="M107" s="500" t="s">
        <v>352</v>
      </c>
      <c r="N107" s="500"/>
      <c r="O107" s="500"/>
      <c r="P107" s="500"/>
      <c r="Q107" s="500"/>
      <c r="R107" s="500"/>
      <c r="S107" s="500"/>
      <c r="T107" s="500"/>
      <c r="U107" s="500"/>
      <c r="V107" s="490"/>
    </row>
    <row r="108" spans="1:24" hidden="1" outlineLevel="1">
      <c r="A108" s="552" t="s">
        <v>353</v>
      </c>
      <c r="B108" s="553" t="s">
        <v>354</v>
      </c>
      <c r="C108" s="553" t="s">
        <v>70</v>
      </c>
      <c r="D108" s="553" t="s">
        <v>173</v>
      </c>
      <c r="E108" s="553" t="s">
        <v>87</v>
      </c>
      <c r="F108" s="553"/>
      <c r="G108" s="554">
        <v>0</v>
      </c>
      <c r="H108" s="555">
        <v>0</v>
      </c>
      <c r="I108" s="556">
        <v>0</v>
      </c>
      <c r="J108" s="555">
        <f t="shared" si="14"/>
        <v>0</v>
      </c>
      <c r="K108" s="555">
        <f t="shared" si="15"/>
        <v>0</v>
      </c>
      <c r="M108" s="500"/>
      <c r="N108" s="500"/>
      <c r="O108" s="500"/>
      <c r="P108" s="500"/>
      <c r="Q108" s="500"/>
      <c r="R108" s="500"/>
      <c r="S108" s="500"/>
      <c r="T108" s="500"/>
      <c r="U108" s="500"/>
      <c r="V108" s="490"/>
    </row>
    <row r="109" spans="1:24" hidden="1" outlineLevel="1">
      <c r="A109" s="552" t="s">
        <v>355</v>
      </c>
      <c r="B109" s="553" t="s">
        <v>356</v>
      </c>
      <c r="C109" s="553" t="s">
        <v>70</v>
      </c>
      <c r="D109" s="553" t="s">
        <v>173</v>
      </c>
      <c r="E109" s="553" t="s">
        <v>87</v>
      </c>
      <c r="F109" s="553"/>
      <c r="G109" s="554">
        <v>0</v>
      </c>
      <c r="H109" s="555">
        <v>0</v>
      </c>
      <c r="I109" s="556">
        <v>0</v>
      </c>
      <c r="J109" s="555">
        <f t="shared" si="14"/>
        <v>0</v>
      </c>
      <c r="K109" s="555">
        <f t="shared" si="15"/>
        <v>0</v>
      </c>
      <c r="M109" s="500"/>
      <c r="N109" s="500"/>
      <c r="O109" s="500"/>
      <c r="P109" s="500"/>
      <c r="Q109" s="500"/>
      <c r="R109" s="500"/>
      <c r="S109" s="500"/>
      <c r="T109" s="500"/>
      <c r="U109" s="500"/>
      <c r="V109" s="490"/>
    </row>
    <row r="110" spans="1:24" hidden="1" outlineLevel="1">
      <c r="A110" s="552" t="s">
        <v>357</v>
      </c>
      <c r="B110" s="553" t="s">
        <v>358</v>
      </c>
      <c r="C110" s="553" t="s">
        <v>70</v>
      </c>
      <c r="D110" s="553" t="s">
        <v>173</v>
      </c>
      <c r="E110" s="553" t="s">
        <v>343</v>
      </c>
      <c r="F110" s="553" t="s">
        <v>185</v>
      </c>
      <c r="G110" s="554">
        <f t="shared" si="16"/>
        <v>362571</v>
      </c>
      <c r="H110" s="565">
        <v>0.75</v>
      </c>
      <c r="I110" s="556">
        <v>0</v>
      </c>
      <c r="J110" s="565">
        <f t="shared" si="14"/>
        <v>0.75</v>
      </c>
      <c r="K110" s="555">
        <f t="shared" si="15"/>
        <v>271928.25</v>
      </c>
      <c r="M110" s="500" t="s">
        <v>359</v>
      </c>
      <c r="N110" s="500"/>
      <c r="O110" s="500"/>
      <c r="P110" s="500"/>
      <c r="Q110" s="500"/>
      <c r="R110" s="500"/>
      <c r="S110" s="500"/>
      <c r="T110" s="500"/>
      <c r="U110" s="500"/>
      <c r="V110" s="490"/>
    </row>
    <row r="111" spans="1:24" hidden="1" outlineLevel="1">
      <c r="A111" s="552" t="s">
        <v>360</v>
      </c>
      <c r="B111" s="553" t="s">
        <v>361</v>
      </c>
      <c r="C111" s="553" t="s">
        <v>144</v>
      </c>
      <c r="D111" s="553" t="s">
        <v>173</v>
      </c>
      <c r="E111" s="553" t="s">
        <v>76</v>
      </c>
      <c r="F111" s="553" t="s">
        <v>132</v>
      </c>
      <c r="G111" s="554">
        <f>'Assumptions &amp; Takeoffs'!B12</f>
        <v>6</v>
      </c>
      <c r="H111" s="555">
        <v>750</v>
      </c>
      <c r="I111" s="556">
        <v>0</v>
      </c>
      <c r="J111" s="555">
        <f t="shared" si="14"/>
        <v>750</v>
      </c>
      <c r="K111" s="555">
        <f t="shared" si="15"/>
        <v>4500</v>
      </c>
      <c r="M111" s="500"/>
      <c r="N111" s="500"/>
      <c r="O111" s="500"/>
      <c r="P111" s="500"/>
      <c r="Q111" s="500"/>
      <c r="R111" s="500"/>
      <c r="S111" s="500"/>
      <c r="T111" s="500"/>
      <c r="U111" s="500"/>
      <c r="V111" s="490"/>
    </row>
    <row r="112" spans="1:24" hidden="1" outlineLevel="1">
      <c r="A112" s="552" t="s">
        <v>362</v>
      </c>
      <c r="B112" s="553" t="s">
        <v>363</v>
      </c>
      <c r="C112" s="553" t="s">
        <v>70</v>
      </c>
      <c r="D112" s="553" t="s">
        <v>173</v>
      </c>
      <c r="E112" s="553" t="s">
        <v>87</v>
      </c>
      <c r="F112" s="553"/>
      <c r="G112" s="554">
        <v>0</v>
      </c>
      <c r="H112" s="555">
        <v>0</v>
      </c>
      <c r="I112" s="556">
        <v>0</v>
      </c>
      <c r="J112" s="555">
        <f t="shared" si="14"/>
        <v>0</v>
      </c>
      <c r="K112" s="555">
        <f t="shared" si="15"/>
        <v>0</v>
      </c>
      <c r="M112" s="500"/>
      <c r="N112" s="500"/>
      <c r="O112" s="500"/>
      <c r="P112" s="500"/>
      <c r="Q112" s="500"/>
      <c r="R112" s="500"/>
      <c r="S112" s="500"/>
      <c r="T112" s="500"/>
      <c r="U112" s="500"/>
      <c r="V112" s="490"/>
    </row>
    <row r="113" spans="1:22" hidden="1" outlineLevel="1">
      <c r="A113" s="552" t="s">
        <v>364</v>
      </c>
      <c r="B113" s="553" t="s">
        <v>365</v>
      </c>
      <c r="C113" s="553" t="s">
        <v>70</v>
      </c>
      <c r="D113" s="553" t="s">
        <v>173</v>
      </c>
      <c r="E113" s="553" t="s">
        <v>87</v>
      </c>
      <c r="F113" s="553" t="s">
        <v>185</v>
      </c>
      <c r="G113" s="554">
        <v>0</v>
      </c>
      <c r="H113" s="555">
        <v>0</v>
      </c>
      <c r="I113" s="556">
        <v>0</v>
      </c>
      <c r="J113" s="555">
        <f t="shared" si="14"/>
        <v>0</v>
      </c>
      <c r="K113" s="555">
        <f t="shared" si="15"/>
        <v>0</v>
      </c>
      <c r="M113" s="500"/>
      <c r="N113" s="500"/>
      <c r="O113" s="500"/>
      <c r="P113" s="500"/>
      <c r="Q113" s="500"/>
      <c r="R113" s="500"/>
      <c r="S113" s="500"/>
      <c r="T113" s="500"/>
      <c r="U113" s="500"/>
      <c r="V113" s="490"/>
    </row>
    <row r="114" spans="1:22" hidden="1" outlineLevel="1">
      <c r="A114" s="552" t="s">
        <v>366</v>
      </c>
      <c r="B114" s="553" t="s">
        <v>367</v>
      </c>
      <c r="C114" s="553" t="s">
        <v>70</v>
      </c>
      <c r="D114" s="553" t="s">
        <v>173</v>
      </c>
      <c r="E114" s="553" t="s">
        <v>184</v>
      </c>
      <c r="F114" s="553" t="s">
        <v>185</v>
      </c>
      <c r="G114" s="554">
        <f>'Assumptions &amp; Takeoffs'!B17</f>
        <v>1901.9</v>
      </c>
      <c r="H114" s="565">
        <v>19.54</v>
      </c>
      <c r="I114" s="556">
        <v>0</v>
      </c>
      <c r="J114" s="565">
        <f t="shared" si="14"/>
        <v>19.54</v>
      </c>
      <c r="K114" s="555">
        <f t="shared" si="15"/>
        <v>37163.125999999997</v>
      </c>
      <c r="M114" s="500" t="s">
        <v>368</v>
      </c>
      <c r="N114" s="500"/>
      <c r="O114" s="500"/>
      <c r="P114" s="500"/>
      <c r="Q114" s="500"/>
      <c r="R114" s="500"/>
      <c r="S114" s="500"/>
      <c r="T114" s="500"/>
      <c r="U114" s="500"/>
      <c r="V114" s="490"/>
    </row>
    <row r="115" spans="1:22" hidden="1" outlineLevel="1">
      <c r="A115" s="552" t="s">
        <v>369</v>
      </c>
      <c r="B115" s="553" t="s">
        <v>370</v>
      </c>
      <c r="C115" s="553" t="s">
        <v>70</v>
      </c>
      <c r="D115" s="553" t="s">
        <v>173</v>
      </c>
      <c r="E115" s="553" t="s">
        <v>329</v>
      </c>
      <c r="F115" s="553" t="s">
        <v>132</v>
      </c>
      <c r="G115" s="554">
        <f>'Assumptions &amp; Takeoffs'!$B$15</f>
        <v>19</v>
      </c>
      <c r="H115" s="555">
        <v>1848.1428571428571</v>
      </c>
      <c r="I115" s="556">
        <v>0</v>
      </c>
      <c r="J115" s="555">
        <f t="shared" si="14"/>
        <v>1848.1428571428571</v>
      </c>
      <c r="K115" s="555">
        <f t="shared" si="15"/>
        <v>35114.714285714283</v>
      </c>
      <c r="M115" s="660" t="s">
        <v>371</v>
      </c>
      <c r="N115" s="660"/>
      <c r="O115" s="660"/>
      <c r="P115" s="660"/>
      <c r="Q115" s="660"/>
      <c r="R115" s="660"/>
      <c r="S115" s="660"/>
      <c r="T115" s="660"/>
      <c r="U115" s="660"/>
      <c r="V115" s="490"/>
    </row>
    <row r="116" spans="1:22" hidden="1" outlineLevel="1">
      <c r="A116" s="552" t="s">
        <v>372</v>
      </c>
      <c r="B116" s="553" t="s">
        <v>373</v>
      </c>
      <c r="C116" s="553" t="s">
        <v>70</v>
      </c>
      <c r="D116" s="553" t="s">
        <v>173</v>
      </c>
      <c r="E116" s="553" t="s">
        <v>329</v>
      </c>
      <c r="F116" s="553" t="s">
        <v>185</v>
      </c>
      <c r="G116" s="554">
        <f t="shared" si="16"/>
        <v>362571</v>
      </c>
      <c r="H116" s="565">
        <v>0</v>
      </c>
      <c r="I116" s="556">
        <v>0</v>
      </c>
      <c r="J116" s="565">
        <f t="shared" si="14"/>
        <v>0</v>
      </c>
      <c r="K116" s="555">
        <f t="shared" si="15"/>
        <v>0</v>
      </c>
      <c r="M116" s="660" t="s">
        <v>374</v>
      </c>
      <c r="N116" s="660"/>
      <c r="O116" s="660"/>
      <c r="P116" s="660"/>
      <c r="Q116" s="660"/>
      <c r="R116" s="660"/>
      <c r="S116" s="660"/>
      <c r="T116" s="660"/>
      <c r="U116" s="660"/>
      <c r="V116" s="490"/>
    </row>
    <row r="117" spans="1:22" hidden="1" outlineLevel="1">
      <c r="A117" s="552" t="s">
        <v>375</v>
      </c>
      <c r="B117" s="553" t="s">
        <v>376</v>
      </c>
      <c r="C117" s="553" t="s">
        <v>70</v>
      </c>
      <c r="D117" s="553" t="s">
        <v>173</v>
      </c>
      <c r="E117" s="553" t="s">
        <v>329</v>
      </c>
      <c r="F117" s="553" t="s">
        <v>185</v>
      </c>
      <c r="G117" s="554">
        <f t="shared" si="16"/>
        <v>362571</v>
      </c>
      <c r="H117" s="565">
        <v>0</v>
      </c>
      <c r="I117" s="556">
        <v>0</v>
      </c>
      <c r="J117" s="565">
        <f t="shared" si="14"/>
        <v>0</v>
      </c>
      <c r="K117" s="555">
        <f t="shared" si="15"/>
        <v>0</v>
      </c>
      <c r="M117" s="660" t="s">
        <v>377</v>
      </c>
      <c r="N117" s="660"/>
      <c r="O117" s="660"/>
      <c r="P117" s="660"/>
      <c r="Q117" s="660"/>
      <c r="R117" s="660"/>
      <c r="S117" s="660"/>
      <c r="T117" s="660"/>
      <c r="U117" s="660"/>
      <c r="V117" s="490"/>
    </row>
    <row r="118" spans="1:22" hidden="1" outlineLevel="1">
      <c r="A118" s="552" t="s">
        <v>378</v>
      </c>
      <c r="B118" s="553" t="s">
        <v>379</v>
      </c>
      <c r="C118" s="553" t="s">
        <v>90</v>
      </c>
      <c r="D118" s="553" t="s">
        <v>81</v>
      </c>
      <c r="E118" s="553" t="s">
        <v>76</v>
      </c>
      <c r="F118" s="553" t="s">
        <v>83</v>
      </c>
      <c r="G118" s="546">
        <v>1</v>
      </c>
      <c r="H118" s="555">
        <v>10000</v>
      </c>
      <c r="I118" s="556">
        <v>0</v>
      </c>
      <c r="J118" s="555">
        <f t="shared" si="14"/>
        <v>10000</v>
      </c>
      <c r="K118" s="555">
        <f t="shared" si="15"/>
        <v>10000</v>
      </c>
      <c r="M118" s="500"/>
      <c r="N118" s="500"/>
      <c r="O118" s="500"/>
      <c r="P118" s="500"/>
      <c r="Q118" s="500"/>
      <c r="R118" s="500"/>
      <c r="S118" s="500"/>
      <c r="T118" s="500"/>
      <c r="U118" s="500"/>
      <c r="V118" s="490"/>
    </row>
    <row r="119" spans="1:22" hidden="1" outlineLevel="1">
      <c r="A119" s="552" t="s">
        <v>380</v>
      </c>
      <c r="B119" s="553" t="s">
        <v>381</v>
      </c>
      <c r="C119" s="553" t="s">
        <v>70</v>
      </c>
      <c r="D119" s="553" t="s">
        <v>81</v>
      </c>
      <c r="E119" s="553" t="s">
        <v>886</v>
      </c>
      <c r="F119" s="553" t="s">
        <v>185</v>
      </c>
      <c r="G119" s="554">
        <f>$B$8</f>
        <v>362571</v>
      </c>
      <c r="H119" s="565">
        <v>1.98</v>
      </c>
      <c r="I119" s="556">
        <v>0</v>
      </c>
      <c r="J119" s="565">
        <f t="shared" si="14"/>
        <v>1.98</v>
      </c>
      <c r="K119" s="555">
        <f t="shared" si="15"/>
        <v>717890.58</v>
      </c>
      <c r="M119" s="500" t="s">
        <v>895</v>
      </c>
      <c r="N119" s="500"/>
      <c r="O119" s="500"/>
      <c r="P119" s="500"/>
      <c r="Q119" s="500"/>
      <c r="R119" s="500"/>
      <c r="S119" s="500"/>
      <c r="T119" s="500"/>
      <c r="U119" s="500"/>
      <c r="V119" s="490"/>
    </row>
    <row r="120" spans="1:22" hidden="1" outlineLevel="1">
      <c r="A120" s="552" t="s">
        <v>382</v>
      </c>
      <c r="B120" s="553" t="s">
        <v>383</v>
      </c>
      <c r="C120" s="553" t="s">
        <v>70</v>
      </c>
      <c r="D120" s="553" t="s">
        <v>93</v>
      </c>
      <c r="E120" s="553" t="s">
        <v>76</v>
      </c>
      <c r="F120" s="553" t="s">
        <v>83</v>
      </c>
      <c r="G120" s="546">
        <v>1</v>
      </c>
      <c r="H120" s="555">
        <v>1000</v>
      </c>
      <c r="I120" s="556">
        <v>0</v>
      </c>
      <c r="J120" s="555">
        <f t="shared" si="14"/>
        <v>1000</v>
      </c>
      <c r="K120" s="555">
        <f t="shared" si="15"/>
        <v>1000</v>
      </c>
      <c r="M120" s="500"/>
      <c r="N120" s="500"/>
      <c r="O120" s="500"/>
      <c r="P120" s="500"/>
      <c r="Q120" s="500"/>
      <c r="R120" s="500"/>
      <c r="S120" s="500"/>
      <c r="T120" s="500"/>
      <c r="U120" s="500"/>
      <c r="V120" s="490"/>
    </row>
    <row r="121" spans="1:22" hidden="1" outlineLevel="1">
      <c r="A121" s="552" t="s">
        <v>384</v>
      </c>
      <c r="B121" s="553" t="s">
        <v>385</v>
      </c>
      <c r="C121" s="553" t="s">
        <v>70</v>
      </c>
      <c r="D121" s="553" t="s">
        <v>81</v>
      </c>
      <c r="E121" s="553" t="s">
        <v>87</v>
      </c>
      <c r="F121" s="553"/>
      <c r="G121" s="554"/>
      <c r="H121" s="565"/>
      <c r="I121" s="556">
        <v>0</v>
      </c>
      <c r="J121" s="555">
        <f t="shared" si="14"/>
        <v>0</v>
      </c>
      <c r="K121" s="555">
        <f t="shared" si="15"/>
        <v>0</v>
      </c>
      <c r="M121" s="500"/>
      <c r="N121" s="500"/>
      <c r="O121" s="500"/>
      <c r="P121" s="500"/>
      <c r="Q121" s="500"/>
      <c r="R121" s="500"/>
      <c r="S121" s="500"/>
      <c r="T121" s="500"/>
      <c r="U121" s="500"/>
      <c r="V121" s="490"/>
    </row>
    <row r="122" spans="1:22" hidden="1" outlineLevel="1">
      <c r="A122" s="552" t="s">
        <v>386</v>
      </c>
      <c r="B122" s="553" t="s">
        <v>387</v>
      </c>
      <c r="C122" s="553" t="s">
        <v>70</v>
      </c>
      <c r="D122" s="553" t="s">
        <v>103</v>
      </c>
      <c r="E122" s="553" t="s">
        <v>87</v>
      </c>
      <c r="F122" s="553"/>
      <c r="G122" s="554"/>
      <c r="H122" s="565"/>
      <c r="I122" s="556">
        <v>0</v>
      </c>
      <c r="J122" s="555">
        <f t="shared" si="14"/>
        <v>0</v>
      </c>
      <c r="K122" s="555">
        <f t="shared" si="15"/>
        <v>0</v>
      </c>
      <c r="M122" s="500"/>
      <c r="N122" s="500"/>
      <c r="O122" s="500"/>
      <c r="P122" s="500"/>
      <c r="Q122" s="500"/>
      <c r="R122" s="500"/>
      <c r="S122" s="500"/>
      <c r="T122" s="500"/>
      <c r="U122" s="500"/>
      <c r="V122" s="490"/>
    </row>
    <row r="123" spans="1:22" hidden="1" outlineLevel="1">
      <c r="A123" s="552" t="s">
        <v>388</v>
      </c>
      <c r="B123" s="553"/>
      <c r="C123" s="553" t="s">
        <v>70</v>
      </c>
      <c r="D123" s="553" t="s">
        <v>173</v>
      </c>
      <c r="E123" s="553" t="s">
        <v>87</v>
      </c>
      <c r="F123" s="553"/>
      <c r="G123" s="554"/>
      <c r="H123" s="565"/>
      <c r="I123" s="556">
        <v>0</v>
      </c>
      <c r="J123" s="555">
        <f t="shared" si="14"/>
        <v>0</v>
      </c>
      <c r="K123" s="555">
        <f t="shared" si="15"/>
        <v>0</v>
      </c>
      <c r="M123" s="500"/>
      <c r="N123" s="500"/>
      <c r="O123" s="500"/>
      <c r="P123" s="500"/>
      <c r="Q123" s="500"/>
      <c r="R123" s="500"/>
      <c r="S123" s="500"/>
      <c r="T123" s="500"/>
      <c r="U123" s="500"/>
      <c r="V123" s="490"/>
    </row>
    <row r="124" spans="1:22" hidden="1" outlineLevel="1">
      <c r="A124" s="552" t="s">
        <v>389</v>
      </c>
      <c r="B124" s="553" t="s">
        <v>390</v>
      </c>
      <c r="C124" s="553" t="s">
        <v>70</v>
      </c>
      <c r="D124" s="553" t="s">
        <v>173</v>
      </c>
      <c r="E124" s="553" t="s">
        <v>87</v>
      </c>
      <c r="F124" s="553"/>
      <c r="G124" s="554"/>
      <c r="H124" s="565"/>
      <c r="I124" s="556">
        <v>0</v>
      </c>
      <c r="J124" s="551">
        <f t="shared" si="14"/>
        <v>0</v>
      </c>
      <c r="K124" s="309">
        <f t="shared" si="15"/>
        <v>0</v>
      </c>
      <c r="M124" s="500"/>
      <c r="N124" s="500"/>
      <c r="O124" s="500"/>
      <c r="P124" s="500"/>
      <c r="Q124" s="500"/>
      <c r="R124" s="500"/>
      <c r="S124" s="500"/>
      <c r="T124" s="500"/>
      <c r="U124" s="500"/>
      <c r="V124" s="490"/>
    </row>
    <row r="125" spans="1:22" collapsed="1">
      <c r="A125" s="537" t="s">
        <v>391</v>
      </c>
      <c r="B125" s="538" t="s">
        <v>392</v>
      </c>
      <c r="C125" s="578" t="s">
        <v>892</v>
      </c>
      <c r="D125" s="538"/>
      <c r="E125" s="538"/>
      <c r="F125" s="538"/>
      <c r="G125" s="567"/>
      <c r="H125" s="568"/>
      <c r="I125" s="540"/>
      <c r="J125" s="569"/>
      <c r="K125" s="541"/>
      <c r="L125" s="542">
        <f>SUM(K87:K124)</f>
        <v>5963501.3854374392</v>
      </c>
      <c r="M125" s="543"/>
      <c r="N125" s="543"/>
      <c r="O125" s="543"/>
      <c r="P125" s="543"/>
      <c r="Q125" s="543"/>
      <c r="R125" s="543"/>
      <c r="S125" s="543"/>
      <c r="T125" s="543"/>
      <c r="U125" s="543"/>
      <c r="V125" s="490"/>
    </row>
    <row r="126" spans="1:22" hidden="1" outlineLevel="1">
      <c r="A126" s="544" t="s">
        <v>393</v>
      </c>
      <c r="B126" s="545" t="s">
        <v>394</v>
      </c>
      <c r="C126" s="545" t="s">
        <v>70</v>
      </c>
      <c r="D126" s="545" t="s">
        <v>75</v>
      </c>
      <c r="E126" s="545" t="s">
        <v>87</v>
      </c>
      <c r="F126" s="545"/>
      <c r="G126" s="546"/>
      <c r="H126" s="547">
        <v>5478</v>
      </c>
      <c r="I126" s="548">
        <v>0</v>
      </c>
      <c r="J126" s="309">
        <f t="shared" ref="J126:J141" si="18">H126*(1+I126)</f>
        <v>5478</v>
      </c>
      <c r="K126" s="309">
        <f t="shared" ref="K126:K141" si="19">J126*G126</f>
        <v>0</v>
      </c>
      <c r="M126" s="549"/>
      <c r="N126" s="549"/>
      <c r="O126" s="549"/>
      <c r="P126" s="549"/>
      <c r="Q126" s="549"/>
      <c r="R126" s="549"/>
      <c r="S126" s="549"/>
      <c r="T126" s="549"/>
      <c r="U126" s="549"/>
      <c r="V126" s="490"/>
    </row>
    <row r="127" spans="1:22" hidden="1" outlineLevel="1">
      <c r="A127" s="552" t="s">
        <v>395</v>
      </c>
      <c r="B127" s="553" t="s">
        <v>396</v>
      </c>
      <c r="C127" s="553" t="s">
        <v>70</v>
      </c>
      <c r="D127" s="553" t="s">
        <v>397</v>
      </c>
      <c r="E127" s="553" t="s">
        <v>329</v>
      </c>
      <c r="F127" s="553" t="s">
        <v>344</v>
      </c>
      <c r="G127" s="546">
        <f>$N$9</f>
        <v>363</v>
      </c>
      <c r="H127" s="555">
        <v>212</v>
      </c>
      <c r="I127" s="556">
        <v>0</v>
      </c>
      <c r="J127" s="555">
        <f t="shared" si="18"/>
        <v>212</v>
      </c>
      <c r="K127" s="555">
        <f t="shared" si="19"/>
        <v>76956</v>
      </c>
      <c r="M127" s="500" t="s">
        <v>398</v>
      </c>
      <c r="N127" s="500"/>
      <c r="O127" s="500"/>
      <c r="P127" s="500"/>
      <c r="Q127" s="500"/>
      <c r="R127" s="500"/>
      <c r="S127" s="500"/>
      <c r="T127" s="500"/>
      <c r="U127" s="500"/>
      <c r="V127" s="490"/>
    </row>
    <row r="128" spans="1:22" hidden="1" outlineLevel="1">
      <c r="A128" s="552" t="s">
        <v>399</v>
      </c>
      <c r="B128" s="553" t="s">
        <v>400</v>
      </c>
      <c r="C128" s="553" t="s">
        <v>70</v>
      </c>
      <c r="D128" s="553" t="s">
        <v>75</v>
      </c>
      <c r="E128" s="557" t="s">
        <v>76</v>
      </c>
      <c r="F128" s="553" t="s">
        <v>83</v>
      </c>
      <c r="G128" s="554">
        <v>1</v>
      </c>
      <c r="H128" s="555">
        <v>7500</v>
      </c>
      <c r="I128" s="556">
        <v>0</v>
      </c>
      <c r="J128" s="555">
        <f t="shared" si="18"/>
        <v>7500</v>
      </c>
      <c r="K128" s="555">
        <f t="shared" si="19"/>
        <v>7500</v>
      </c>
      <c r="M128" s="500"/>
      <c r="N128" s="500"/>
      <c r="O128" s="500"/>
      <c r="P128" s="500"/>
      <c r="Q128" s="500"/>
      <c r="R128" s="500"/>
      <c r="S128" s="500"/>
      <c r="T128" s="500"/>
      <c r="U128" s="500"/>
      <c r="V128" s="490"/>
    </row>
    <row r="129" spans="1:22" hidden="1" outlineLevel="1">
      <c r="A129" s="552" t="s">
        <v>401</v>
      </c>
      <c r="B129" s="553" t="s">
        <v>402</v>
      </c>
      <c r="C129" s="553" t="s">
        <v>70</v>
      </c>
      <c r="D129" s="553" t="s">
        <v>75</v>
      </c>
      <c r="E129" s="553" t="s">
        <v>76</v>
      </c>
      <c r="F129" s="553" t="s">
        <v>83</v>
      </c>
      <c r="G129" s="554">
        <v>1</v>
      </c>
      <c r="H129" s="555">
        <v>6500</v>
      </c>
      <c r="I129" s="556">
        <v>0</v>
      </c>
      <c r="J129" s="555">
        <f t="shared" si="18"/>
        <v>6500</v>
      </c>
      <c r="K129" s="555">
        <f t="shared" si="19"/>
        <v>6500</v>
      </c>
      <c r="M129" s="500"/>
      <c r="N129" s="500"/>
      <c r="O129" s="500"/>
      <c r="P129" s="500"/>
      <c r="Q129" s="500"/>
      <c r="R129" s="500"/>
      <c r="S129" s="500"/>
      <c r="T129" s="500"/>
      <c r="U129" s="500"/>
      <c r="V129" s="490"/>
    </row>
    <row r="130" spans="1:22" hidden="1" outlineLevel="1">
      <c r="A130" s="552" t="s">
        <v>403</v>
      </c>
      <c r="B130" s="553" t="s">
        <v>404</v>
      </c>
      <c r="C130" s="553" t="s">
        <v>70</v>
      </c>
      <c r="D130" s="553" t="s">
        <v>405</v>
      </c>
      <c r="E130" s="553" t="s">
        <v>76</v>
      </c>
      <c r="F130" s="553" t="s">
        <v>83</v>
      </c>
      <c r="G130" s="554">
        <v>1</v>
      </c>
      <c r="H130" s="555">
        <v>7500</v>
      </c>
      <c r="I130" s="556">
        <v>0</v>
      </c>
      <c r="J130" s="555">
        <f t="shared" si="18"/>
        <v>7500</v>
      </c>
      <c r="K130" s="555">
        <f t="shared" si="19"/>
        <v>7500</v>
      </c>
      <c r="M130" s="500"/>
      <c r="N130" s="500"/>
      <c r="O130" s="500"/>
      <c r="P130" s="500"/>
      <c r="Q130" s="500"/>
      <c r="R130" s="500"/>
      <c r="S130" s="500"/>
      <c r="T130" s="500"/>
      <c r="U130" s="500"/>
      <c r="V130" s="490"/>
    </row>
    <row r="131" spans="1:22" hidden="1" outlineLevel="1">
      <c r="A131" s="552" t="s">
        <v>406</v>
      </c>
      <c r="B131" s="553" t="s">
        <v>407</v>
      </c>
      <c r="C131" s="553" t="s">
        <v>70</v>
      </c>
      <c r="D131" s="553" t="s">
        <v>81</v>
      </c>
      <c r="E131" s="553" t="s">
        <v>329</v>
      </c>
      <c r="F131" s="553" t="s">
        <v>408</v>
      </c>
      <c r="G131" s="546">
        <f>$N$9+N7+N8</f>
        <v>363</v>
      </c>
      <c r="H131" s="555">
        <v>41</v>
      </c>
      <c r="I131" s="556">
        <v>0</v>
      </c>
      <c r="J131" s="555">
        <f t="shared" si="18"/>
        <v>41</v>
      </c>
      <c r="K131" s="555">
        <f t="shared" si="19"/>
        <v>14883</v>
      </c>
      <c r="M131" s="500" t="s">
        <v>409</v>
      </c>
      <c r="N131" s="500"/>
      <c r="O131" s="500"/>
      <c r="P131" s="500"/>
      <c r="Q131" s="500"/>
      <c r="R131" s="500"/>
      <c r="S131" s="500"/>
      <c r="T131" s="500"/>
      <c r="U131" s="500"/>
      <c r="V131" s="490"/>
    </row>
    <row r="132" spans="1:22" hidden="1" outlineLevel="1">
      <c r="A132" s="552" t="s">
        <v>410</v>
      </c>
      <c r="B132" s="553" t="s">
        <v>411</v>
      </c>
      <c r="C132" s="553" t="s">
        <v>70</v>
      </c>
      <c r="D132" s="553" t="s">
        <v>81</v>
      </c>
      <c r="E132" s="553" t="s">
        <v>87</v>
      </c>
      <c r="F132" s="553"/>
      <c r="G132" s="554"/>
      <c r="H132" s="555">
        <v>0</v>
      </c>
      <c r="I132" s="556">
        <v>0</v>
      </c>
      <c r="J132" s="555">
        <f t="shared" si="18"/>
        <v>0</v>
      </c>
      <c r="K132" s="555">
        <f t="shared" si="19"/>
        <v>0</v>
      </c>
      <c r="M132" s="500"/>
      <c r="N132" s="500"/>
      <c r="O132" s="500"/>
      <c r="P132" s="500"/>
      <c r="Q132" s="500"/>
      <c r="R132" s="500"/>
      <c r="S132" s="500"/>
      <c r="T132" s="500"/>
      <c r="U132" s="500"/>
      <c r="V132" s="490"/>
    </row>
    <row r="133" spans="1:22" hidden="1" outlineLevel="1">
      <c r="A133" s="552" t="s">
        <v>412</v>
      </c>
      <c r="B133" s="553" t="s">
        <v>413</v>
      </c>
      <c r="C133" s="553" t="s">
        <v>70</v>
      </c>
      <c r="D133" s="553" t="s">
        <v>81</v>
      </c>
      <c r="E133" s="553" t="s">
        <v>87</v>
      </c>
      <c r="F133" s="553"/>
      <c r="G133" s="554"/>
      <c r="H133" s="555">
        <v>0</v>
      </c>
      <c r="I133" s="556">
        <v>0</v>
      </c>
      <c r="J133" s="555">
        <f t="shared" si="18"/>
        <v>0</v>
      </c>
      <c r="K133" s="555">
        <f t="shared" si="19"/>
        <v>0</v>
      </c>
      <c r="M133" s="500"/>
      <c r="N133" s="500"/>
      <c r="O133" s="500"/>
      <c r="P133" s="500"/>
      <c r="Q133" s="500"/>
      <c r="R133" s="500"/>
      <c r="S133" s="500"/>
      <c r="T133" s="500"/>
      <c r="U133" s="500"/>
      <c r="V133" s="490"/>
    </row>
    <row r="134" spans="1:22" hidden="1" outlineLevel="1">
      <c r="A134" s="552" t="s">
        <v>414</v>
      </c>
      <c r="B134" s="553" t="s">
        <v>415</v>
      </c>
      <c r="C134" s="553" t="s">
        <v>70</v>
      </c>
      <c r="D134" s="553" t="s">
        <v>103</v>
      </c>
      <c r="E134" s="553" t="s">
        <v>87</v>
      </c>
      <c r="F134" s="553"/>
      <c r="G134" s="554"/>
      <c r="H134" s="555">
        <v>0</v>
      </c>
      <c r="I134" s="556">
        <v>0</v>
      </c>
      <c r="J134" s="555">
        <f t="shared" si="18"/>
        <v>0</v>
      </c>
      <c r="K134" s="555">
        <f t="shared" si="19"/>
        <v>0</v>
      </c>
      <c r="M134" s="500"/>
      <c r="N134" s="500"/>
      <c r="O134" s="500"/>
      <c r="P134" s="500"/>
      <c r="Q134" s="500"/>
      <c r="R134" s="500"/>
      <c r="S134" s="500"/>
      <c r="T134" s="500"/>
      <c r="U134" s="500"/>
      <c r="V134" s="490"/>
    </row>
    <row r="135" spans="1:22" hidden="1" outlineLevel="1">
      <c r="A135" s="552" t="s">
        <v>416</v>
      </c>
      <c r="B135" s="553" t="s">
        <v>417</v>
      </c>
      <c r="C135" s="553" t="s">
        <v>70</v>
      </c>
      <c r="D135" s="553" t="s">
        <v>103</v>
      </c>
      <c r="E135" s="553" t="s">
        <v>418</v>
      </c>
      <c r="F135" s="553" t="s">
        <v>83</v>
      </c>
      <c r="G135" s="554">
        <v>4</v>
      </c>
      <c r="H135" s="555">
        <v>3360</v>
      </c>
      <c r="I135" s="556">
        <v>0</v>
      </c>
      <c r="J135" s="555">
        <f t="shared" si="18"/>
        <v>3360</v>
      </c>
      <c r="K135" s="555">
        <f t="shared" si="19"/>
        <v>13440</v>
      </c>
      <c r="M135" s="500"/>
      <c r="N135" s="500"/>
      <c r="O135" s="500"/>
      <c r="P135" s="500"/>
      <c r="Q135" s="500"/>
      <c r="R135" s="500"/>
      <c r="S135" s="500"/>
      <c r="T135" s="500"/>
      <c r="U135" s="500"/>
      <c r="V135" s="490"/>
    </row>
    <row r="136" spans="1:22" hidden="1" outlineLevel="1">
      <c r="A136" s="552" t="s">
        <v>419</v>
      </c>
      <c r="B136" s="553" t="s">
        <v>420</v>
      </c>
      <c r="C136" s="553" t="s">
        <v>70</v>
      </c>
      <c r="D136" s="553" t="s">
        <v>75</v>
      </c>
      <c r="E136" s="553" t="s">
        <v>76</v>
      </c>
      <c r="F136" s="553" t="s">
        <v>83</v>
      </c>
      <c r="G136" s="554">
        <v>1</v>
      </c>
      <c r="H136" s="555">
        <v>5000</v>
      </c>
      <c r="I136" s="556">
        <v>0</v>
      </c>
      <c r="J136" s="555">
        <f t="shared" si="18"/>
        <v>5000</v>
      </c>
      <c r="K136" s="555">
        <f t="shared" si="19"/>
        <v>5000</v>
      </c>
      <c r="M136" s="500"/>
      <c r="N136" s="500"/>
      <c r="O136" s="500"/>
      <c r="P136" s="500"/>
      <c r="Q136" s="500"/>
      <c r="R136" s="500"/>
      <c r="S136" s="500"/>
      <c r="T136" s="500"/>
      <c r="U136" s="500"/>
      <c r="V136" s="490"/>
    </row>
    <row r="137" spans="1:22" hidden="1" outlineLevel="1">
      <c r="A137" s="552" t="s">
        <v>421</v>
      </c>
      <c r="B137" s="553" t="s">
        <v>422</v>
      </c>
      <c r="C137" s="553" t="s">
        <v>70</v>
      </c>
      <c r="D137" s="553" t="s">
        <v>81</v>
      </c>
      <c r="E137" s="553" t="s">
        <v>76</v>
      </c>
      <c r="F137" s="553" t="s">
        <v>83</v>
      </c>
      <c r="G137" s="546">
        <v>1</v>
      </c>
      <c r="H137" s="555">
        <v>30000</v>
      </c>
      <c r="I137" s="556">
        <v>0</v>
      </c>
      <c r="J137" s="555">
        <f t="shared" si="18"/>
        <v>30000</v>
      </c>
      <c r="K137" s="555">
        <f t="shared" si="19"/>
        <v>30000</v>
      </c>
      <c r="M137" s="500" t="s">
        <v>423</v>
      </c>
      <c r="N137" s="500"/>
      <c r="O137" s="500"/>
      <c r="P137" s="500"/>
      <c r="Q137" s="500"/>
      <c r="R137" s="500"/>
      <c r="S137" s="500"/>
      <c r="T137" s="500"/>
      <c r="U137" s="500"/>
      <c r="V137" s="490"/>
    </row>
    <row r="138" spans="1:22" hidden="1" outlineLevel="1">
      <c r="A138" s="552" t="s">
        <v>424</v>
      </c>
      <c r="B138" s="553" t="s">
        <v>425</v>
      </c>
      <c r="C138" s="553" t="s">
        <v>70</v>
      </c>
      <c r="D138" s="553" t="s">
        <v>81</v>
      </c>
      <c r="E138" s="553" t="s">
        <v>329</v>
      </c>
      <c r="F138" s="553" t="s">
        <v>344</v>
      </c>
      <c r="G138" s="546">
        <f>$N$9</f>
        <v>363</v>
      </c>
      <c r="H138" s="555">
        <v>230</v>
      </c>
      <c r="I138" s="556">
        <v>0</v>
      </c>
      <c r="J138" s="555">
        <f t="shared" si="18"/>
        <v>230</v>
      </c>
      <c r="K138" s="555">
        <f t="shared" si="19"/>
        <v>83490</v>
      </c>
      <c r="M138" s="500" t="s">
        <v>409</v>
      </c>
      <c r="N138" s="500"/>
      <c r="O138" s="500"/>
      <c r="P138" s="500"/>
      <c r="Q138" s="500"/>
      <c r="R138" s="500"/>
      <c r="S138" s="500"/>
      <c r="T138" s="500"/>
      <c r="U138" s="500"/>
      <c r="V138" s="490"/>
    </row>
    <row r="139" spans="1:22" hidden="1" outlineLevel="1">
      <c r="A139" s="552" t="s">
        <v>426</v>
      </c>
      <c r="B139" s="553" t="s">
        <v>427</v>
      </c>
      <c r="C139" s="553" t="s">
        <v>70</v>
      </c>
      <c r="D139" s="553" t="s">
        <v>81</v>
      </c>
      <c r="E139" s="553" t="s">
        <v>184</v>
      </c>
      <c r="F139" s="553" t="s">
        <v>344</v>
      </c>
      <c r="G139" s="546">
        <f>$N$9</f>
        <v>363</v>
      </c>
      <c r="H139" s="555">
        <v>332</v>
      </c>
      <c r="I139" s="556">
        <v>0</v>
      </c>
      <c r="J139" s="555">
        <f t="shared" si="18"/>
        <v>332</v>
      </c>
      <c r="K139" s="555">
        <f t="shared" si="19"/>
        <v>120516</v>
      </c>
      <c r="M139" s="500"/>
      <c r="N139" s="500"/>
      <c r="O139" s="500"/>
      <c r="P139" s="500"/>
      <c r="Q139" s="500"/>
      <c r="R139" s="500"/>
      <c r="S139" s="500"/>
      <c r="T139" s="500"/>
      <c r="U139" s="500"/>
      <c r="V139" s="490"/>
    </row>
    <row r="140" spans="1:22" hidden="1" outlineLevel="1">
      <c r="A140" s="552" t="s">
        <v>428</v>
      </c>
      <c r="B140" s="553" t="s">
        <v>429</v>
      </c>
      <c r="C140" s="553" t="s">
        <v>70</v>
      </c>
      <c r="D140" s="553" t="s">
        <v>81</v>
      </c>
      <c r="E140" s="553" t="s">
        <v>343</v>
      </c>
      <c r="F140" s="553" t="s">
        <v>132</v>
      </c>
      <c r="G140" s="554">
        <f>'Assumptions &amp; Takeoffs'!$B$26</f>
        <v>30</v>
      </c>
      <c r="H140" s="555">
        <v>2500</v>
      </c>
      <c r="I140" s="556">
        <v>0</v>
      </c>
      <c r="J140" s="555">
        <f t="shared" si="18"/>
        <v>2500</v>
      </c>
      <c r="K140" s="555">
        <f t="shared" si="19"/>
        <v>75000</v>
      </c>
      <c r="M140" s="500"/>
      <c r="N140" s="500"/>
      <c r="O140" s="500"/>
      <c r="P140" s="500"/>
      <c r="Q140" s="500"/>
      <c r="R140" s="500"/>
      <c r="S140" s="500"/>
      <c r="T140" s="500"/>
      <c r="U140" s="500"/>
      <c r="V140" s="490"/>
    </row>
    <row r="141" spans="1:22" hidden="1" outlineLevel="1">
      <c r="A141" s="552" t="s">
        <v>430</v>
      </c>
      <c r="B141" s="553" t="s">
        <v>429</v>
      </c>
      <c r="C141" s="553" t="s">
        <v>70</v>
      </c>
      <c r="D141" s="553" t="s">
        <v>81</v>
      </c>
      <c r="E141" s="553" t="s">
        <v>343</v>
      </c>
      <c r="F141" s="553" t="s">
        <v>132</v>
      </c>
      <c r="G141" s="554">
        <f>'Assumptions &amp; Takeoffs'!$B$27</f>
        <v>10</v>
      </c>
      <c r="H141" s="555">
        <v>8500</v>
      </c>
      <c r="I141" s="556">
        <v>0</v>
      </c>
      <c r="J141" s="551">
        <f t="shared" si="18"/>
        <v>8500</v>
      </c>
      <c r="K141" s="309">
        <f t="shared" si="19"/>
        <v>85000</v>
      </c>
      <c r="M141" s="500"/>
      <c r="N141" s="500"/>
      <c r="O141" s="500"/>
      <c r="P141" s="500"/>
      <c r="Q141" s="500"/>
      <c r="R141" s="500"/>
      <c r="S141" s="500"/>
      <c r="T141" s="500"/>
      <c r="U141" s="500"/>
      <c r="V141" s="490"/>
    </row>
    <row r="142" spans="1:22" collapsed="1">
      <c r="A142" s="537" t="s">
        <v>431</v>
      </c>
      <c r="B142" s="538" t="s">
        <v>432</v>
      </c>
      <c r="C142" s="578" t="s">
        <v>892</v>
      </c>
      <c r="D142" s="538"/>
      <c r="E142" s="538"/>
      <c r="F142" s="538"/>
      <c r="G142" s="567"/>
      <c r="H142" s="568"/>
      <c r="I142" s="540"/>
      <c r="J142" s="569"/>
      <c r="K142" s="541"/>
      <c r="L142" s="542">
        <f>SUM(K126:K141)</f>
        <v>525785</v>
      </c>
      <c r="M142" s="543"/>
      <c r="N142" s="543"/>
      <c r="O142" s="543"/>
      <c r="P142" s="543"/>
      <c r="Q142" s="543"/>
      <c r="R142" s="543"/>
      <c r="S142" s="543"/>
      <c r="T142" s="543"/>
      <c r="U142" s="543"/>
      <c r="V142" s="490"/>
    </row>
    <row r="143" spans="1:22" hidden="1" outlineLevel="1">
      <c r="A143" s="552" t="s">
        <v>433</v>
      </c>
      <c r="B143" s="553" t="s">
        <v>434</v>
      </c>
      <c r="C143" s="553" t="s">
        <v>70</v>
      </c>
      <c r="D143" s="553" t="s">
        <v>81</v>
      </c>
      <c r="E143" s="553" t="s">
        <v>184</v>
      </c>
      <c r="F143" s="553" t="s">
        <v>344</v>
      </c>
      <c r="G143" s="554">
        <f>$N$9</f>
        <v>363</v>
      </c>
      <c r="H143" s="555">
        <v>3201</v>
      </c>
      <c r="I143" s="556">
        <v>0.05</v>
      </c>
      <c r="J143" s="551">
        <f t="shared" ref="J143:J145" si="20">H143*(1+I143)</f>
        <v>3361.05</v>
      </c>
      <c r="K143" s="309">
        <f>J143*G143</f>
        <v>1220061.1500000001</v>
      </c>
      <c r="M143" s="549"/>
      <c r="N143" s="549"/>
      <c r="O143" s="549"/>
      <c r="P143" s="549"/>
      <c r="Q143" s="549"/>
      <c r="R143" s="549"/>
      <c r="S143" s="549"/>
      <c r="T143" s="549"/>
      <c r="U143" s="549"/>
      <c r="V143" s="490"/>
    </row>
    <row r="144" spans="1:22" hidden="1" outlineLevel="1">
      <c r="A144" s="552" t="s">
        <v>435</v>
      </c>
      <c r="B144" s="553" t="s">
        <v>434</v>
      </c>
      <c r="C144" s="553" t="s">
        <v>70</v>
      </c>
      <c r="D144" s="553" t="s">
        <v>81</v>
      </c>
      <c r="E144" s="553" t="s">
        <v>343</v>
      </c>
      <c r="F144" s="553" t="s">
        <v>436</v>
      </c>
      <c r="G144" s="554">
        <f>$N$9</f>
        <v>363</v>
      </c>
      <c r="H144" s="555">
        <f>65304/190</f>
        <v>343.70526315789476</v>
      </c>
      <c r="I144" s="556">
        <v>0</v>
      </c>
      <c r="J144" s="555">
        <f t="shared" si="20"/>
        <v>343.70526315789476</v>
      </c>
      <c r="K144" s="555">
        <f>J144*G144</f>
        <v>124765.0105263158</v>
      </c>
      <c r="M144" s="491" t="s">
        <v>437</v>
      </c>
      <c r="V144" s="490"/>
    </row>
    <row r="145" spans="1:29" hidden="1" outlineLevel="1">
      <c r="A145" s="552" t="s">
        <v>438</v>
      </c>
      <c r="B145" s="553" t="s">
        <v>434</v>
      </c>
      <c r="C145" s="553" t="s">
        <v>70</v>
      </c>
      <c r="D145" s="553" t="s">
        <v>81</v>
      </c>
      <c r="E145" s="553" t="s">
        <v>76</v>
      </c>
      <c r="F145" s="553" t="s">
        <v>83</v>
      </c>
      <c r="G145" s="554">
        <v>1</v>
      </c>
      <c r="H145" s="555">
        <v>35000</v>
      </c>
      <c r="I145" s="556">
        <v>0</v>
      </c>
      <c r="J145" s="551">
        <f t="shared" si="20"/>
        <v>35000</v>
      </c>
      <c r="K145" s="309">
        <f>J145*G145</f>
        <v>35000</v>
      </c>
      <c r="M145" s="491" t="s">
        <v>439</v>
      </c>
      <c r="V145" s="490"/>
    </row>
    <row r="146" spans="1:29" ht="15.75" collapsed="1" thickBot="1">
      <c r="A146" s="537" t="s">
        <v>440</v>
      </c>
      <c r="B146" s="538" t="s">
        <v>441</v>
      </c>
      <c r="C146" s="578" t="s">
        <v>892</v>
      </c>
      <c r="D146" s="538"/>
      <c r="E146" s="538"/>
      <c r="F146" s="538"/>
      <c r="G146" s="567"/>
      <c r="H146" s="568"/>
      <c r="I146" s="540"/>
      <c r="J146" s="569"/>
      <c r="K146" s="541"/>
      <c r="L146" s="542">
        <f>SUM(K143:K145)</f>
        <v>1379826.1605263159</v>
      </c>
      <c r="M146" s="543"/>
      <c r="N146" s="543"/>
      <c r="O146" s="543"/>
      <c r="P146" s="543"/>
      <c r="Q146" s="543"/>
      <c r="R146" s="543"/>
      <c r="S146" s="543"/>
      <c r="T146" s="543"/>
      <c r="U146" s="543"/>
      <c r="V146" s="490"/>
    </row>
    <row r="147" spans="1:29" ht="15.75" hidden="1" outlineLevel="1" thickBot="1">
      <c r="A147" s="544" t="s">
        <v>308</v>
      </c>
      <c r="B147" s="545" t="s">
        <v>442</v>
      </c>
      <c r="C147" s="545" t="s">
        <v>70</v>
      </c>
      <c r="D147" s="545" t="s">
        <v>310</v>
      </c>
      <c r="E147" s="545" t="s">
        <v>87</v>
      </c>
      <c r="F147" s="545">
        <v>0</v>
      </c>
      <c r="G147" s="546">
        <v>0</v>
      </c>
      <c r="H147" s="547">
        <v>0</v>
      </c>
      <c r="I147" s="548">
        <v>0</v>
      </c>
      <c r="J147" s="309">
        <f t="shared" ref="J147:J154" si="21">H147*(1+I147)</f>
        <v>0</v>
      </c>
      <c r="K147" s="309">
        <f t="shared" ref="K147:K154" si="22">J147*G147</f>
        <v>0</v>
      </c>
      <c r="M147" s="549" t="s">
        <v>443</v>
      </c>
      <c r="N147" s="549"/>
      <c r="O147" s="549"/>
      <c r="P147" s="549"/>
      <c r="Q147" s="549"/>
      <c r="R147" s="549"/>
      <c r="S147" s="549"/>
      <c r="T147" s="549"/>
      <c r="U147" s="549"/>
      <c r="V147" s="490"/>
      <c r="Y147" s="579" t="s">
        <v>444</v>
      </c>
      <c r="Z147" s="580" t="s">
        <v>445</v>
      </c>
      <c r="AA147" s="580" t="s">
        <v>446</v>
      </c>
      <c r="AB147" s="580" t="s">
        <v>447</v>
      </c>
      <c r="AC147" s="579" t="s">
        <v>448</v>
      </c>
    </row>
    <row r="148" spans="1:29" hidden="1" outlineLevel="1">
      <c r="A148" s="552" t="s">
        <v>213</v>
      </c>
      <c r="B148" s="553" t="s">
        <v>449</v>
      </c>
      <c r="C148" s="553" t="s">
        <v>70</v>
      </c>
      <c r="D148" s="553" t="s">
        <v>81</v>
      </c>
      <c r="E148" s="553" t="s">
        <v>343</v>
      </c>
      <c r="F148" s="553" t="s">
        <v>279</v>
      </c>
      <c r="G148" s="546">
        <f>$N$9</f>
        <v>363</v>
      </c>
      <c r="H148" s="555">
        <v>443</v>
      </c>
      <c r="I148" s="556">
        <v>0</v>
      </c>
      <c r="J148" s="555">
        <f t="shared" si="21"/>
        <v>443</v>
      </c>
      <c r="K148" s="555">
        <f t="shared" si="22"/>
        <v>160809</v>
      </c>
      <c r="M148" s="500" t="s">
        <v>450</v>
      </c>
      <c r="N148" s="500"/>
      <c r="O148" s="500"/>
      <c r="P148" s="500"/>
      <c r="Q148" s="500"/>
      <c r="R148" s="500"/>
      <c r="S148" s="500"/>
      <c r="T148" s="500"/>
      <c r="U148" s="500"/>
      <c r="V148" s="490"/>
      <c r="Y148" s="581" t="s">
        <v>451</v>
      </c>
      <c r="Z148" s="582">
        <v>16</v>
      </c>
      <c r="AA148" s="582" t="s">
        <v>452</v>
      </c>
      <c r="AB148" s="582">
        <v>168</v>
      </c>
      <c r="AC148" s="583">
        <f>AB148*Z148</f>
        <v>2688</v>
      </c>
    </row>
    <row r="149" spans="1:29" hidden="1" outlineLevel="1">
      <c r="A149" s="552" t="s">
        <v>453</v>
      </c>
      <c r="B149" s="553" t="s">
        <v>454</v>
      </c>
      <c r="C149" s="553" t="s">
        <v>70</v>
      </c>
      <c r="D149" s="553" t="s">
        <v>81</v>
      </c>
      <c r="E149" s="553" t="s">
        <v>886</v>
      </c>
      <c r="F149" s="553" t="s">
        <v>455</v>
      </c>
      <c r="G149" s="546">
        <f>AC152</f>
        <v>6830</v>
      </c>
      <c r="H149" s="555">
        <v>137.80000000000001</v>
      </c>
      <c r="I149" s="556">
        <v>0</v>
      </c>
      <c r="J149" s="555">
        <f t="shared" si="21"/>
        <v>137.80000000000001</v>
      </c>
      <c r="K149" s="555">
        <f t="shared" si="22"/>
        <v>941174.00000000012</v>
      </c>
      <c r="M149" s="660" t="s">
        <v>456</v>
      </c>
      <c r="N149" s="660"/>
      <c r="O149" s="660"/>
      <c r="P149" s="660"/>
      <c r="Q149" s="660"/>
      <c r="R149" s="660"/>
      <c r="S149" s="660"/>
      <c r="T149" s="660"/>
      <c r="U149" s="660"/>
      <c r="V149" s="584" t="s">
        <v>457</v>
      </c>
      <c r="Y149" s="581" t="s">
        <v>458</v>
      </c>
      <c r="Z149" s="582">
        <v>14</v>
      </c>
      <c r="AA149" s="582" t="s">
        <v>459</v>
      </c>
      <c r="AB149" s="582">
        <v>52</v>
      </c>
      <c r="AC149" s="583">
        <f>AB149*Z149</f>
        <v>728</v>
      </c>
    </row>
    <row r="150" spans="1:29" hidden="1" outlineLevel="1">
      <c r="A150" s="552" t="s">
        <v>460</v>
      </c>
      <c r="B150" s="553" t="s">
        <v>461</v>
      </c>
      <c r="C150" s="553" t="s">
        <v>70</v>
      </c>
      <c r="D150" s="553" t="s">
        <v>81</v>
      </c>
      <c r="E150" s="553" t="s">
        <v>76</v>
      </c>
      <c r="F150" s="553" t="s">
        <v>83</v>
      </c>
      <c r="G150" s="554">
        <v>1</v>
      </c>
      <c r="H150" s="555">
        <v>75000</v>
      </c>
      <c r="I150" s="556">
        <v>0</v>
      </c>
      <c r="J150" s="555">
        <f t="shared" si="21"/>
        <v>75000</v>
      </c>
      <c r="K150" s="555">
        <f t="shared" si="22"/>
        <v>75000</v>
      </c>
      <c r="M150" s="500"/>
      <c r="N150" s="500"/>
      <c r="O150" s="500"/>
      <c r="P150" s="500"/>
      <c r="Q150" s="500"/>
      <c r="R150" s="500"/>
      <c r="S150" s="500"/>
      <c r="T150" s="500"/>
      <c r="U150" s="500"/>
      <c r="V150" s="490"/>
      <c r="Y150" s="581" t="s">
        <v>462</v>
      </c>
      <c r="Z150" s="582">
        <v>24</v>
      </c>
      <c r="AA150" s="582" t="s">
        <v>463</v>
      </c>
      <c r="AB150" s="582">
        <v>125</v>
      </c>
      <c r="AC150" s="583">
        <f>AB150*Z150</f>
        <v>3000</v>
      </c>
    </row>
    <row r="151" spans="1:29" ht="15.75" hidden="1" outlineLevel="1" thickBot="1">
      <c r="A151" s="552" t="s">
        <v>464</v>
      </c>
      <c r="B151" s="553" t="s">
        <v>465</v>
      </c>
      <c r="C151" s="553" t="s">
        <v>70</v>
      </c>
      <c r="D151" s="553" t="s">
        <v>81</v>
      </c>
      <c r="E151" s="553" t="s">
        <v>886</v>
      </c>
      <c r="F151" s="553" t="s">
        <v>185</v>
      </c>
      <c r="G151" s="546">
        <f>AB161</f>
        <v>22554.559999999998</v>
      </c>
      <c r="H151" s="555">
        <v>24.86</v>
      </c>
      <c r="I151" s="556">
        <v>0</v>
      </c>
      <c r="J151" s="555">
        <f t="shared" si="21"/>
        <v>24.86</v>
      </c>
      <c r="K151" s="555">
        <f t="shared" si="22"/>
        <v>560706.36159999995</v>
      </c>
      <c r="M151" s="661" t="s">
        <v>467</v>
      </c>
      <c r="N151" s="661"/>
      <c r="O151" s="661"/>
      <c r="P151" s="661"/>
      <c r="Q151" s="661"/>
      <c r="R151" s="661"/>
      <c r="S151" s="661"/>
      <c r="T151" s="661"/>
      <c r="U151" s="661"/>
      <c r="V151" s="584" t="s">
        <v>457</v>
      </c>
      <c r="Y151" s="585" t="s">
        <v>468</v>
      </c>
      <c r="Z151" s="586">
        <v>23</v>
      </c>
      <c r="AA151" s="586" t="s">
        <v>469</v>
      </c>
      <c r="AB151" s="586">
        <v>18</v>
      </c>
      <c r="AC151" s="583">
        <f>AB151*Z151</f>
        <v>414</v>
      </c>
    </row>
    <row r="152" spans="1:29" ht="15.75" hidden="1" outlineLevel="1" thickBot="1">
      <c r="A152" s="552" t="s">
        <v>470</v>
      </c>
      <c r="B152" s="553" t="s">
        <v>471</v>
      </c>
      <c r="C152" s="553" t="s">
        <v>144</v>
      </c>
      <c r="D152" s="553" t="s">
        <v>81</v>
      </c>
      <c r="E152" s="553" t="s">
        <v>76</v>
      </c>
      <c r="F152" s="553" t="s">
        <v>83</v>
      </c>
      <c r="G152" s="554">
        <v>1</v>
      </c>
      <c r="H152" s="555">
        <v>65000</v>
      </c>
      <c r="I152" s="556">
        <v>0</v>
      </c>
      <c r="J152" s="555">
        <f t="shared" si="21"/>
        <v>65000</v>
      </c>
      <c r="K152" s="555">
        <f t="shared" si="22"/>
        <v>65000</v>
      </c>
      <c r="M152" s="500"/>
      <c r="N152" s="500"/>
      <c r="O152" s="500"/>
      <c r="P152" s="500"/>
      <c r="Q152" s="500"/>
      <c r="R152" s="500"/>
      <c r="S152" s="500"/>
      <c r="T152" s="500"/>
      <c r="U152" s="500"/>
      <c r="V152" s="490"/>
      <c r="Y152" s="582"/>
      <c r="Z152" s="582"/>
      <c r="AA152" s="582"/>
      <c r="AB152" s="582"/>
      <c r="AC152" s="587">
        <f>SUM(AC148:AC151)</f>
        <v>6830</v>
      </c>
    </row>
    <row r="153" spans="1:29" hidden="1" outlineLevel="1">
      <c r="A153" s="552" t="s">
        <v>472</v>
      </c>
      <c r="B153" s="553" t="s">
        <v>473</v>
      </c>
      <c r="C153" s="553" t="s">
        <v>70</v>
      </c>
      <c r="D153" s="553" t="s">
        <v>103</v>
      </c>
      <c r="E153" s="553" t="s">
        <v>87</v>
      </c>
      <c r="F153" s="553"/>
      <c r="G153" s="554"/>
      <c r="H153" s="555"/>
      <c r="I153" s="556">
        <v>0</v>
      </c>
      <c r="J153" s="555">
        <f t="shared" si="21"/>
        <v>0</v>
      </c>
      <c r="K153" s="555">
        <f t="shared" si="22"/>
        <v>0</v>
      </c>
      <c r="M153" s="500"/>
      <c r="N153" s="500"/>
      <c r="O153" s="500"/>
      <c r="P153" s="500"/>
      <c r="Q153" s="500"/>
      <c r="R153" s="500"/>
      <c r="S153" s="500"/>
      <c r="T153" s="500"/>
      <c r="U153" s="500"/>
      <c r="V153" s="490"/>
    </row>
    <row r="154" spans="1:29" ht="15.75" hidden="1" outlineLevel="1" thickBot="1">
      <c r="A154" s="552" t="s">
        <v>474</v>
      </c>
      <c r="B154" s="553" t="s">
        <v>475</v>
      </c>
      <c r="C154" s="553" t="s">
        <v>70</v>
      </c>
      <c r="D154" s="553" t="s">
        <v>103</v>
      </c>
      <c r="E154" s="553" t="s">
        <v>76</v>
      </c>
      <c r="F154" s="553" t="s">
        <v>83</v>
      </c>
      <c r="G154" s="554">
        <v>4</v>
      </c>
      <c r="H154" s="555">
        <v>6000</v>
      </c>
      <c r="I154" s="556">
        <v>0</v>
      </c>
      <c r="J154" s="551">
        <f t="shared" si="21"/>
        <v>6000</v>
      </c>
      <c r="K154" s="309">
        <f t="shared" si="22"/>
        <v>24000</v>
      </c>
      <c r="M154" s="500"/>
      <c r="N154" s="500"/>
      <c r="O154" s="500"/>
      <c r="P154" s="500"/>
      <c r="Q154" s="500"/>
      <c r="R154" s="500"/>
      <c r="S154" s="500"/>
      <c r="T154" s="500"/>
      <c r="U154" s="500"/>
      <c r="V154" s="490"/>
    </row>
    <row r="155" spans="1:29" ht="15.75" collapsed="1" thickBot="1">
      <c r="A155" s="537" t="s">
        <v>476</v>
      </c>
      <c r="B155" s="538" t="s">
        <v>477</v>
      </c>
      <c r="C155" s="578" t="s">
        <v>892</v>
      </c>
      <c r="D155" s="538"/>
      <c r="E155" s="538"/>
      <c r="F155" s="538"/>
      <c r="G155" s="567"/>
      <c r="H155" s="568"/>
      <c r="I155" s="540"/>
      <c r="J155" s="569"/>
      <c r="K155" s="541"/>
      <c r="L155" s="542">
        <f>SUM(K147:K154)</f>
        <v>1826689.3615999999</v>
      </c>
      <c r="M155" s="543"/>
      <c r="N155" s="543"/>
      <c r="O155" s="543"/>
      <c r="P155" s="543"/>
      <c r="Q155" s="543"/>
      <c r="R155" s="543"/>
      <c r="S155" s="543"/>
      <c r="T155" s="543"/>
      <c r="U155" s="543"/>
      <c r="V155" s="490"/>
      <c r="Y155" s="588" t="s">
        <v>436</v>
      </c>
      <c r="Z155" s="580" t="s">
        <v>478</v>
      </c>
      <c r="AA155" s="580" t="s">
        <v>447</v>
      </c>
      <c r="AB155" s="588" t="s">
        <v>448</v>
      </c>
    </row>
    <row r="156" spans="1:29" hidden="1" outlineLevel="1">
      <c r="A156" s="552" t="s">
        <v>479</v>
      </c>
      <c r="B156" s="553" t="s">
        <v>480</v>
      </c>
      <c r="C156" s="553" t="s">
        <v>70</v>
      </c>
      <c r="D156" s="553" t="s">
        <v>103</v>
      </c>
      <c r="E156" s="553" t="s">
        <v>962</v>
      </c>
      <c r="F156" s="553" t="s">
        <v>83</v>
      </c>
      <c r="G156" s="554">
        <f>'Assumptions &amp; Takeoffs'!$B$16</f>
        <v>1</v>
      </c>
      <c r="H156" s="555">
        <f>(249085+311000+312710)/3</f>
        <v>290931.66666666669</v>
      </c>
      <c r="I156" s="556">
        <v>0</v>
      </c>
      <c r="J156" s="551">
        <f t="shared" ref="J156:J158" si="23">H156*(1+I156)</f>
        <v>290931.66666666669</v>
      </c>
      <c r="K156" s="309">
        <f>J156*G156</f>
        <v>290931.66666666669</v>
      </c>
      <c r="M156" s="662" t="s">
        <v>963</v>
      </c>
      <c r="N156" s="662"/>
      <c r="O156" s="662"/>
      <c r="P156" s="662"/>
      <c r="Q156" s="662"/>
      <c r="R156" s="662"/>
      <c r="S156" s="662"/>
      <c r="T156" s="662"/>
      <c r="U156" s="662"/>
      <c r="V156" s="490"/>
      <c r="Y156" s="589" t="s">
        <v>452</v>
      </c>
      <c r="Z156" s="590">
        <v>55.2</v>
      </c>
      <c r="AA156" s="582">
        <f>AB148</f>
        <v>168</v>
      </c>
      <c r="AB156" s="591">
        <f>AA156*Z156</f>
        <v>9273.6</v>
      </c>
    </row>
    <row r="157" spans="1:29" hidden="1" outlineLevel="1">
      <c r="A157" s="552" t="s">
        <v>482</v>
      </c>
      <c r="B157" s="553" t="s">
        <v>483</v>
      </c>
      <c r="C157" s="553" t="s">
        <v>70</v>
      </c>
      <c r="D157" s="553" t="s">
        <v>397</v>
      </c>
      <c r="E157" s="553" t="s">
        <v>343</v>
      </c>
      <c r="F157" s="553" t="s">
        <v>132</v>
      </c>
      <c r="G157" s="554">
        <f>'Assumptions &amp; Takeoffs'!$B$22</f>
        <v>286</v>
      </c>
      <c r="H157" s="555">
        <v>2292</v>
      </c>
      <c r="I157" s="556">
        <v>0</v>
      </c>
      <c r="J157" s="555">
        <f t="shared" si="23"/>
        <v>2292</v>
      </c>
      <c r="K157" s="555">
        <f>J157*G157</f>
        <v>655512</v>
      </c>
      <c r="M157" s="500" t="s">
        <v>82</v>
      </c>
      <c r="N157" s="500"/>
      <c r="O157" s="500"/>
      <c r="P157" s="500"/>
      <c r="Q157" s="500"/>
      <c r="R157" s="500"/>
      <c r="S157" s="500"/>
      <c r="T157" s="500"/>
      <c r="U157" s="500"/>
      <c r="V157" s="490"/>
      <c r="Y157" s="589" t="s">
        <v>459</v>
      </c>
      <c r="Z157" s="582">
        <v>77.08</v>
      </c>
      <c r="AA157" s="582">
        <f>AB149</f>
        <v>52</v>
      </c>
      <c r="AB157" s="591">
        <f>AA157*Z157</f>
        <v>4008.16</v>
      </c>
    </row>
    <row r="158" spans="1:29" hidden="1" outlineLevel="1">
      <c r="A158" s="552" t="s">
        <v>484</v>
      </c>
      <c r="B158" s="553" t="s">
        <v>485</v>
      </c>
      <c r="C158" s="553" t="s">
        <v>70</v>
      </c>
      <c r="D158" s="553" t="s">
        <v>110</v>
      </c>
      <c r="E158" s="553" t="s">
        <v>486</v>
      </c>
      <c r="F158" s="553" t="s">
        <v>132</v>
      </c>
      <c r="G158" s="554">
        <f>'Assumptions &amp; Takeoffs'!$B$16</f>
        <v>1</v>
      </c>
      <c r="H158" s="555">
        <v>7049</v>
      </c>
      <c r="I158" s="556">
        <v>0</v>
      </c>
      <c r="J158" s="551">
        <f t="shared" si="23"/>
        <v>7049</v>
      </c>
      <c r="K158" s="309">
        <f>J158*G158</f>
        <v>7049</v>
      </c>
      <c r="M158" s="500"/>
      <c r="N158" s="500"/>
      <c r="O158" s="500"/>
      <c r="P158" s="500"/>
      <c r="Q158" s="500"/>
      <c r="R158" s="500"/>
      <c r="S158" s="500"/>
      <c r="T158" s="500"/>
      <c r="U158" s="500"/>
      <c r="V158" s="490"/>
      <c r="Y158" s="589" t="s">
        <v>463</v>
      </c>
      <c r="Z158" s="582">
        <v>64.88</v>
      </c>
      <c r="AA158" s="582">
        <f>AB150</f>
        <v>125</v>
      </c>
      <c r="AB158" s="591">
        <f>AA158*Z158</f>
        <v>8109.9999999999991</v>
      </c>
    </row>
    <row r="159" spans="1:29" ht="15.75" collapsed="1" thickBot="1">
      <c r="A159" s="537" t="s">
        <v>487</v>
      </c>
      <c r="B159" s="538" t="s">
        <v>488</v>
      </c>
      <c r="C159" s="578" t="s">
        <v>892</v>
      </c>
      <c r="D159" s="538"/>
      <c r="E159" s="538"/>
      <c r="F159" s="538"/>
      <c r="G159" s="567"/>
      <c r="H159" s="568"/>
      <c r="I159" s="540"/>
      <c r="J159" s="569"/>
      <c r="K159" s="541"/>
      <c r="L159" s="542">
        <f>SUM(K156:K158)</f>
        <v>953492.66666666674</v>
      </c>
      <c r="M159" s="543"/>
      <c r="N159" s="543"/>
      <c r="O159" s="543"/>
      <c r="P159" s="543"/>
      <c r="Q159" s="543"/>
      <c r="R159" s="543"/>
      <c r="S159" s="543"/>
      <c r="T159" s="543"/>
      <c r="U159" s="543"/>
      <c r="V159" s="490"/>
      <c r="Y159" s="592" t="s">
        <v>469</v>
      </c>
      <c r="Z159" s="593">
        <v>64.599999999999994</v>
      </c>
      <c r="AA159" s="586">
        <f>AB151</f>
        <v>18</v>
      </c>
      <c r="AB159" s="594">
        <f>AA159*Z159</f>
        <v>1162.8</v>
      </c>
    </row>
    <row r="160" spans="1:29" hidden="1" outlineLevel="1">
      <c r="A160" s="552" t="s">
        <v>489</v>
      </c>
      <c r="B160" s="553" t="s">
        <v>490</v>
      </c>
      <c r="C160" s="553" t="s">
        <v>70</v>
      </c>
      <c r="D160" s="553" t="s">
        <v>81</v>
      </c>
      <c r="E160" s="553" t="s">
        <v>87</v>
      </c>
      <c r="F160" s="553"/>
      <c r="G160" s="554"/>
      <c r="H160" s="565"/>
      <c r="I160" s="556">
        <v>0</v>
      </c>
      <c r="J160" s="551">
        <f t="shared" ref="J160" si="24">H160*(1+I160)</f>
        <v>0</v>
      </c>
      <c r="K160" s="309">
        <f>J160*G160</f>
        <v>0</v>
      </c>
      <c r="M160" s="549"/>
      <c r="N160" s="549"/>
      <c r="O160" s="549"/>
      <c r="P160" s="549"/>
      <c r="Q160" s="549"/>
      <c r="R160" s="549"/>
      <c r="S160" s="549"/>
      <c r="T160" s="549"/>
      <c r="U160" s="549"/>
      <c r="V160" s="490"/>
      <c r="AB160" s="591"/>
    </row>
    <row r="161" spans="1:28" ht="15.75" collapsed="1" thickBot="1">
      <c r="A161" s="537" t="s">
        <v>489</v>
      </c>
      <c r="B161" s="538" t="s">
        <v>490</v>
      </c>
      <c r="C161" s="538"/>
      <c r="D161" s="538"/>
      <c r="E161" s="538"/>
      <c r="F161" s="538"/>
      <c r="G161" s="567"/>
      <c r="H161" s="568"/>
      <c r="I161" s="540"/>
      <c r="J161" s="568"/>
      <c r="K161" s="539"/>
      <c r="L161" s="542">
        <f>SUM(K160)</f>
        <v>0</v>
      </c>
      <c r="M161" s="543"/>
      <c r="N161" s="543"/>
      <c r="O161" s="543"/>
      <c r="P161" s="543"/>
      <c r="Q161" s="543"/>
      <c r="R161" s="543"/>
      <c r="S161" s="543"/>
      <c r="T161" s="543"/>
      <c r="U161" s="543"/>
      <c r="V161" s="490"/>
      <c r="AB161" s="594">
        <f>SUM(AB156:AB159)</f>
        <v>22554.559999999998</v>
      </c>
    </row>
    <row r="162" spans="1:28" hidden="1" outlineLevel="1">
      <c r="A162" s="544" t="s">
        <v>491</v>
      </c>
      <c r="B162" s="545" t="s">
        <v>492</v>
      </c>
      <c r="C162" s="545" t="s">
        <v>70</v>
      </c>
      <c r="D162" s="545" t="s">
        <v>81</v>
      </c>
      <c r="E162" s="545" t="s">
        <v>886</v>
      </c>
      <c r="F162" s="545" t="s">
        <v>897</v>
      </c>
      <c r="G162" s="546">
        <f>'Assumptions &amp; Takeoffs'!B12</f>
        <v>6</v>
      </c>
      <c r="H162" s="547">
        <f>W163</f>
        <v>80632.833333333328</v>
      </c>
      <c r="I162" s="548">
        <v>0</v>
      </c>
      <c r="J162" s="309">
        <f t="shared" ref="J162:J163" si="25">H162*(1+I162)</f>
        <v>80632.833333333328</v>
      </c>
      <c r="K162" s="309">
        <f>J162*G162</f>
        <v>483797</v>
      </c>
      <c r="M162" s="659" t="s">
        <v>898</v>
      </c>
      <c r="N162" s="659"/>
      <c r="O162" s="659"/>
      <c r="P162" s="659"/>
      <c r="Q162" s="659"/>
      <c r="R162" s="659"/>
      <c r="S162" s="659"/>
      <c r="T162" s="659"/>
      <c r="U162" s="659"/>
      <c r="V162" s="490"/>
      <c r="W162" s="595">
        <f>(493797-10000)/12</f>
        <v>40316.416666666664</v>
      </c>
      <c r="X162" s="596"/>
    </row>
    <row r="163" spans="1:28" hidden="1" outlineLevel="1">
      <c r="A163" s="552" t="s">
        <v>494</v>
      </c>
      <c r="B163" s="553" t="s">
        <v>495</v>
      </c>
      <c r="C163" s="553" t="s">
        <v>70</v>
      </c>
      <c r="D163" s="553" t="s">
        <v>103</v>
      </c>
      <c r="E163" s="553" t="s">
        <v>76</v>
      </c>
      <c r="F163" s="553" t="s">
        <v>132</v>
      </c>
      <c r="G163" s="554">
        <f>'Assumptions &amp; Takeoffs'!$B$16*2</f>
        <v>2</v>
      </c>
      <c r="H163" s="555">
        <v>6500</v>
      </c>
      <c r="I163" s="556">
        <v>0</v>
      </c>
      <c r="J163" s="551">
        <f t="shared" si="25"/>
        <v>6500</v>
      </c>
      <c r="K163" s="309">
        <f>J163*G163</f>
        <v>13000</v>
      </c>
      <c r="M163" s="500"/>
      <c r="N163" s="500"/>
      <c r="O163" s="500"/>
      <c r="P163" s="500"/>
      <c r="Q163" s="500"/>
      <c r="R163" s="500"/>
      <c r="S163" s="500"/>
      <c r="T163" s="500"/>
      <c r="U163" s="500"/>
      <c r="V163" s="490"/>
      <c r="W163" s="491">
        <f>W162*2</f>
        <v>80632.833333333328</v>
      </c>
    </row>
    <row r="164" spans="1:28" collapsed="1">
      <c r="A164" s="537" t="s">
        <v>496</v>
      </c>
      <c r="B164" s="538" t="s">
        <v>497</v>
      </c>
      <c r="C164" s="578" t="s">
        <v>892</v>
      </c>
      <c r="D164" s="538"/>
      <c r="E164" s="538"/>
      <c r="F164" s="538"/>
      <c r="G164" s="567"/>
      <c r="H164" s="568"/>
      <c r="I164" s="540"/>
      <c r="J164" s="569"/>
      <c r="K164" s="541"/>
      <c r="L164" s="542">
        <f>SUM(K162:K163)</f>
        <v>496797</v>
      </c>
      <c r="M164" s="543"/>
      <c r="N164" s="543"/>
      <c r="O164" s="543"/>
      <c r="P164" s="543"/>
      <c r="Q164" s="543"/>
      <c r="R164" s="543"/>
      <c r="S164" s="543"/>
      <c r="T164" s="543"/>
      <c r="U164" s="543"/>
      <c r="V164" s="490"/>
    </row>
    <row r="165" spans="1:28" hidden="1" outlineLevel="1">
      <c r="A165" s="552" t="s">
        <v>498</v>
      </c>
      <c r="B165" s="553" t="s">
        <v>499</v>
      </c>
      <c r="C165" s="553" t="s">
        <v>70</v>
      </c>
      <c r="D165" s="553" t="s">
        <v>81</v>
      </c>
      <c r="E165" s="553" t="s">
        <v>76</v>
      </c>
      <c r="F165" s="553" t="s">
        <v>83</v>
      </c>
      <c r="G165" s="554">
        <v>1</v>
      </c>
      <c r="H165" s="555">
        <v>25000</v>
      </c>
      <c r="I165" s="556">
        <v>0</v>
      </c>
      <c r="J165" s="551">
        <f t="shared" ref="J165:J167" si="26">H165*(1+I165)</f>
        <v>25000</v>
      </c>
      <c r="K165" s="309">
        <f>J165*G165</f>
        <v>25000</v>
      </c>
      <c r="M165" s="549"/>
      <c r="N165" s="549"/>
      <c r="O165" s="549"/>
      <c r="P165" s="549"/>
      <c r="Q165" s="549"/>
      <c r="R165" s="549"/>
      <c r="S165" s="549"/>
      <c r="T165" s="549"/>
      <c r="U165" s="549"/>
      <c r="V165" s="490"/>
    </row>
    <row r="166" spans="1:28" hidden="1" outlineLevel="1">
      <c r="A166" s="552" t="s">
        <v>500</v>
      </c>
      <c r="B166" s="553" t="s">
        <v>501</v>
      </c>
      <c r="C166" s="553" t="s">
        <v>70</v>
      </c>
      <c r="D166" s="553" t="s">
        <v>81</v>
      </c>
      <c r="E166" s="553" t="s">
        <v>184</v>
      </c>
      <c r="F166" s="553" t="s">
        <v>185</v>
      </c>
      <c r="G166" s="554">
        <f t="shared" ref="G166:G178" si="27">$B$8</f>
        <v>362571</v>
      </c>
      <c r="H166" s="565">
        <v>2.65</v>
      </c>
      <c r="I166" s="556">
        <v>0</v>
      </c>
      <c r="J166" s="565">
        <f t="shared" si="26"/>
        <v>2.65</v>
      </c>
      <c r="K166" s="555">
        <f>J166*G166</f>
        <v>960813.15</v>
      </c>
      <c r="M166" s="500" t="s">
        <v>899</v>
      </c>
      <c r="N166" s="500"/>
      <c r="O166" s="500"/>
      <c r="P166" s="500"/>
      <c r="Q166" s="500"/>
      <c r="R166" s="500"/>
      <c r="S166" s="500"/>
      <c r="T166" s="500"/>
      <c r="U166" s="500"/>
      <c r="V166" s="490"/>
    </row>
    <row r="167" spans="1:28" hidden="1" outlineLevel="1">
      <c r="A167" s="552" t="s">
        <v>503</v>
      </c>
      <c r="B167" s="553" t="s">
        <v>504</v>
      </c>
      <c r="C167" s="553" t="s">
        <v>70</v>
      </c>
      <c r="D167" s="553" t="s">
        <v>93</v>
      </c>
      <c r="E167" s="553" t="s">
        <v>184</v>
      </c>
      <c r="F167" s="553" t="s">
        <v>132</v>
      </c>
      <c r="G167" s="554">
        <v>1</v>
      </c>
      <c r="H167" s="555">
        <v>125000</v>
      </c>
      <c r="I167" s="556">
        <v>0</v>
      </c>
      <c r="J167" s="551">
        <f t="shared" si="26"/>
        <v>125000</v>
      </c>
      <c r="K167" s="309">
        <f>J167*G167</f>
        <v>125000</v>
      </c>
      <c r="M167" s="500" t="s">
        <v>505</v>
      </c>
      <c r="N167" s="500"/>
      <c r="O167" s="500"/>
      <c r="P167" s="500"/>
      <c r="Q167" s="500"/>
      <c r="R167" s="500"/>
      <c r="S167" s="500"/>
      <c r="T167" s="500"/>
      <c r="U167" s="500"/>
      <c r="V167" s="490"/>
      <c r="W167" s="491">
        <f>0.2/2.45</f>
        <v>8.1632653061224483E-2</v>
      </c>
    </row>
    <row r="168" spans="1:28" collapsed="1">
      <c r="A168" s="537" t="s">
        <v>506</v>
      </c>
      <c r="B168" s="538" t="s">
        <v>507</v>
      </c>
      <c r="C168" s="578" t="s">
        <v>892</v>
      </c>
      <c r="D168" s="538"/>
      <c r="E168" s="538"/>
      <c r="F168" s="538"/>
      <c r="G168" s="567"/>
      <c r="H168" s="568"/>
      <c r="I168" s="540"/>
      <c r="J168" s="569"/>
      <c r="K168" s="541"/>
      <c r="L168" s="542">
        <f>SUM(K165:K167)</f>
        <v>1110813.1499999999</v>
      </c>
      <c r="M168" s="543"/>
      <c r="N168" s="543"/>
      <c r="O168" s="543"/>
      <c r="P168" s="543"/>
      <c r="Q168" s="543"/>
      <c r="R168" s="543"/>
      <c r="S168" s="543"/>
      <c r="T168" s="543"/>
      <c r="U168" s="543"/>
      <c r="V168" s="490"/>
    </row>
    <row r="169" spans="1:28" hidden="1" outlineLevel="1">
      <c r="A169" s="552" t="s">
        <v>508</v>
      </c>
      <c r="B169" s="553" t="s">
        <v>509</v>
      </c>
      <c r="C169" s="553" t="s">
        <v>70</v>
      </c>
      <c r="D169" s="553" t="s">
        <v>81</v>
      </c>
      <c r="E169" s="553" t="s">
        <v>184</v>
      </c>
      <c r="F169" s="553" t="s">
        <v>132</v>
      </c>
      <c r="G169" s="554">
        <f>N4+N5+N6</f>
        <v>363</v>
      </c>
      <c r="H169" s="555">
        <v>10069</v>
      </c>
      <c r="I169" s="556">
        <v>0</v>
      </c>
      <c r="J169" s="551">
        <f t="shared" ref="J169:J173" si="28">H169*(1+I169)</f>
        <v>10069</v>
      </c>
      <c r="K169" s="309">
        <f>J169*G169</f>
        <v>3655047</v>
      </c>
      <c r="M169" s="549" t="s">
        <v>900</v>
      </c>
      <c r="N169" s="549"/>
      <c r="O169" s="549"/>
      <c r="P169" s="549"/>
      <c r="Q169" s="549"/>
      <c r="R169" s="549"/>
      <c r="S169" s="549"/>
      <c r="T169" s="549"/>
      <c r="U169" s="549"/>
      <c r="V169" s="490"/>
    </row>
    <row r="170" spans="1:28" hidden="1" outlineLevel="1">
      <c r="A170" s="552" t="s">
        <v>513</v>
      </c>
      <c r="B170" s="553" t="s">
        <v>509</v>
      </c>
      <c r="C170" s="553" t="s">
        <v>70</v>
      </c>
      <c r="D170" s="553" t="s">
        <v>81</v>
      </c>
      <c r="E170" s="545" t="s">
        <v>87</v>
      </c>
      <c r="F170" s="553">
        <v>0</v>
      </c>
      <c r="G170" s="554">
        <f>SUM(N7:N8)</f>
        <v>0</v>
      </c>
      <c r="H170" s="555">
        <v>0</v>
      </c>
      <c r="I170" s="556">
        <v>0</v>
      </c>
      <c r="J170" s="555">
        <f t="shared" si="28"/>
        <v>0</v>
      </c>
      <c r="K170" s="555">
        <f>J170*G170</f>
        <v>0</v>
      </c>
      <c r="M170" s="500"/>
      <c r="N170" s="500"/>
      <c r="O170" s="500"/>
      <c r="P170" s="500"/>
      <c r="Q170" s="500"/>
      <c r="R170" s="500"/>
      <c r="S170" s="500"/>
      <c r="T170" s="500"/>
      <c r="U170" s="500"/>
      <c r="V170" s="490"/>
    </row>
    <row r="171" spans="1:28" hidden="1" outlineLevel="1">
      <c r="A171" s="552" t="s">
        <v>514</v>
      </c>
      <c r="B171" s="553" t="s">
        <v>515</v>
      </c>
      <c r="C171" s="553" t="s">
        <v>70</v>
      </c>
      <c r="D171" s="553" t="s">
        <v>93</v>
      </c>
      <c r="E171" s="553" t="s">
        <v>76</v>
      </c>
      <c r="F171" s="553" t="s">
        <v>83</v>
      </c>
      <c r="G171" s="554">
        <v>1</v>
      </c>
      <c r="H171" s="555">
        <v>2500</v>
      </c>
      <c r="I171" s="556">
        <v>0</v>
      </c>
      <c r="J171" s="555">
        <f t="shared" si="28"/>
        <v>2500</v>
      </c>
      <c r="K171" s="555">
        <f t="shared" ref="K171" si="29">J171*G171</f>
        <v>2500</v>
      </c>
      <c r="M171" s="500"/>
      <c r="N171" s="500"/>
      <c r="O171" s="500"/>
      <c r="P171" s="500"/>
      <c r="Q171" s="500"/>
      <c r="R171" s="500"/>
      <c r="S171" s="500"/>
      <c r="T171" s="500"/>
      <c r="U171" s="500"/>
      <c r="V171" s="490"/>
    </row>
    <row r="172" spans="1:28" hidden="1" outlineLevel="1">
      <c r="A172" s="552" t="s">
        <v>516</v>
      </c>
      <c r="B172" s="553" t="s">
        <v>517</v>
      </c>
      <c r="C172" s="553" t="s">
        <v>70</v>
      </c>
      <c r="D172" s="553" t="s">
        <v>103</v>
      </c>
      <c r="E172" s="553" t="s">
        <v>76</v>
      </c>
      <c r="F172" s="553" t="s">
        <v>83</v>
      </c>
      <c r="G172" s="554">
        <f>'Assumptions &amp; Takeoffs'!$B$16</f>
        <v>1</v>
      </c>
      <c r="H172" s="555">
        <v>25000</v>
      </c>
      <c r="I172" s="556">
        <v>0</v>
      </c>
      <c r="J172" s="555">
        <f t="shared" si="28"/>
        <v>25000</v>
      </c>
      <c r="K172" s="555">
        <f>J172*G172</f>
        <v>25000</v>
      </c>
      <c r="M172" s="500"/>
      <c r="N172" s="500"/>
      <c r="O172" s="500"/>
      <c r="P172" s="500"/>
      <c r="Q172" s="500"/>
      <c r="R172" s="500"/>
      <c r="S172" s="500"/>
      <c r="T172" s="500"/>
      <c r="U172" s="500"/>
      <c r="V172" s="490"/>
    </row>
    <row r="173" spans="1:28" hidden="1" outlineLevel="1">
      <c r="A173" s="552" t="s">
        <v>518</v>
      </c>
      <c r="B173" s="553" t="s">
        <v>519</v>
      </c>
      <c r="C173" s="553" t="s">
        <v>70</v>
      </c>
      <c r="D173" s="553" t="s">
        <v>110</v>
      </c>
      <c r="E173" s="553" t="s">
        <v>76</v>
      </c>
      <c r="F173" s="553" t="s">
        <v>83</v>
      </c>
      <c r="G173" s="554">
        <f>'Assumptions &amp; Takeoffs'!$B$16</f>
        <v>1</v>
      </c>
      <c r="H173" s="555">
        <v>6000</v>
      </c>
      <c r="I173" s="556">
        <v>0</v>
      </c>
      <c r="J173" s="551">
        <f t="shared" si="28"/>
        <v>6000</v>
      </c>
      <c r="K173" s="309">
        <f>J173*G173</f>
        <v>6000</v>
      </c>
      <c r="M173" s="500"/>
      <c r="N173" s="500"/>
      <c r="O173" s="500"/>
      <c r="P173" s="500"/>
      <c r="Q173" s="500"/>
      <c r="R173" s="500"/>
      <c r="S173" s="500"/>
      <c r="T173" s="500"/>
      <c r="U173" s="500"/>
      <c r="V173" s="490"/>
    </row>
    <row r="174" spans="1:28" collapsed="1">
      <c r="A174" s="537" t="s">
        <v>520</v>
      </c>
      <c r="B174" s="538" t="s">
        <v>521</v>
      </c>
      <c r="C174" s="578" t="s">
        <v>892</v>
      </c>
      <c r="D174" s="538"/>
      <c r="E174" s="538"/>
      <c r="F174" s="538"/>
      <c r="G174" s="567"/>
      <c r="H174" s="568"/>
      <c r="I174" s="540"/>
      <c r="J174" s="569"/>
      <c r="K174" s="541"/>
      <c r="L174" s="542">
        <f>SUM(K169:K173)</f>
        <v>3688547</v>
      </c>
      <c r="M174" s="597"/>
      <c r="N174" s="543"/>
      <c r="O174" s="543"/>
      <c r="P174" s="543"/>
      <c r="Q174" s="543"/>
      <c r="R174" s="543"/>
      <c r="S174" s="543"/>
      <c r="T174" s="543"/>
      <c r="U174" s="543"/>
      <c r="V174" s="490"/>
    </row>
    <row r="175" spans="1:28" hidden="1" outlineLevel="1">
      <c r="A175" s="552" t="s">
        <v>522</v>
      </c>
      <c r="B175" s="553" t="s">
        <v>523</v>
      </c>
      <c r="C175" s="553" t="s">
        <v>70</v>
      </c>
      <c r="D175" s="553" t="s">
        <v>81</v>
      </c>
      <c r="E175" s="553" t="s">
        <v>184</v>
      </c>
      <c r="F175" s="553" t="s">
        <v>344</v>
      </c>
      <c r="G175" s="554">
        <f>$N$9</f>
        <v>363</v>
      </c>
      <c r="H175" s="555">
        <f>1910000/194</f>
        <v>9845.3608247422671</v>
      </c>
      <c r="I175" s="556">
        <v>0</v>
      </c>
      <c r="J175" s="551">
        <f t="shared" ref="J175:J176" si="30">H175*(1+I175)</f>
        <v>9845.3608247422671</v>
      </c>
      <c r="K175" s="309">
        <f>J175*G175</f>
        <v>3573865.979381443</v>
      </c>
      <c r="M175" s="549" t="s">
        <v>524</v>
      </c>
      <c r="N175" s="598"/>
      <c r="O175" s="598"/>
      <c r="P175" s="598"/>
      <c r="Q175" s="598"/>
      <c r="R175" s="598"/>
      <c r="S175" s="598"/>
      <c r="T175" s="598"/>
      <c r="U175" s="598"/>
      <c r="V175" s="490"/>
    </row>
    <row r="176" spans="1:28" hidden="1" outlineLevel="1">
      <c r="A176" s="552" t="s">
        <v>525</v>
      </c>
      <c r="B176" s="553" t="s">
        <v>526</v>
      </c>
      <c r="C176" s="553" t="s">
        <v>70</v>
      </c>
      <c r="D176" s="553" t="s">
        <v>93</v>
      </c>
      <c r="E176" s="553" t="s">
        <v>76</v>
      </c>
      <c r="F176" s="553" t="s">
        <v>83</v>
      </c>
      <c r="G176" s="554">
        <v>1</v>
      </c>
      <c r="H176" s="555">
        <v>15000</v>
      </c>
      <c r="I176" s="556">
        <v>0</v>
      </c>
      <c r="J176" s="551">
        <f t="shared" si="30"/>
        <v>15000</v>
      </c>
      <c r="K176" s="309">
        <f>J176*G176</f>
        <v>15000</v>
      </c>
      <c r="M176" s="500"/>
      <c r="N176" s="500"/>
      <c r="O176" s="500"/>
      <c r="P176" s="500"/>
      <c r="Q176" s="500"/>
      <c r="R176" s="500"/>
      <c r="S176" s="500"/>
      <c r="T176" s="500"/>
      <c r="U176" s="500"/>
      <c r="V176" s="490"/>
    </row>
    <row r="177" spans="1:24" collapsed="1">
      <c r="A177" s="537" t="s">
        <v>527</v>
      </c>
      <c r="B177" s="538" t="s">
        <v>528</v>
      </c>
      <c r="C177" s="578" t="s">
        <v>892</v>
      </c>
      <c r="D177" s="538"/>
      <c r="E177" s="538"/>
      <c r="F177" s="538"/>
      <c r="G177" s="567"/>
      <c r="H177" s="568"/>
      <c r="I177" s="540"/>
      <c r="J177" s="569"/>
      <c r="K177" s="541"/>
      <c r="L177" s="542">
        <f>SUM(K175:K176)</f>
        <v>3588865.979381443</v>
      </c>
      <c r="M177" s="543"/>
      <c r="N177" s="543"/>
      <c r="O177" s="543"/>
      <c r="P177" s="543"/>
      <c r="Q177" s="543"/>
      <c r="R177" s="543"/>
      <c r="S177" s="543"/>
      <c r="T177" s="543"/>
      <c r="U177" s="543"/>
      <c r="V177" s="490"/>
    </row>
    <row r="178" spans="1:24" hidden="1" outlineLevel="1">
      <c r="A178" s="552" t="s">
        <v>107</v>
      </c>
      <c r="B178" s="553" t="s">
        <v>529</v>
      </c>
      <c r="C178" s="553" t="s">
        <v>70</v>
      </c>
      <c r="D178" s="553" t="s">
        <v>81</v>
      </c>
      <c r="E178" s="553" t="s">
        <v>886</v>
      </c>
      <c r="F178" s="553" t="s">
        <v>185</v>
      </c>
      <c r="G178" s="554">
        <f t="shared" si="27"/>
        <v>362571</v>
      </c>
      <c r="H178" s="565">
        <v>10.61</v>
      </c>
      <c r="I178" s="556">
        <v>0</v>
      </c>
      <c r="J178" s="566">
        <f t="shared" ref="J178:J194" si="31">H178*(1+I178)</f>
        <v>10.61</v>
      </c>
      <c r="K178" s="309">
        <f t="shared" ref="K178:K194" si="32">J178*G178</f>
        <v>3846878.3099999996</v>
      </c>
      <c r="M178" s="599" t="s">
        <v>901</v>
      </c>
      <c r="N178" s="549"/>
      <c r="O178" s="549"/>
      <c r="P178" s="549"/>
      <c r="Q178" s="549"/>
      <c r="R178" s="549"/>
      <c r="S178" s="549"/>
      <c r="T178" s="549"/>
      <c r="U178" s="549"/>
      <c r="V178" s="490"/>
    </row>
    <row r="179" spans="1:24" hidden="1" outlineLevel="1">
      <c r="A179" s="544" t="s">
        <v>531</v>
      </c>
      <c r="B179" s="545" t="s">
        <v>529</v>
      </c>
      <c r="C179" s="545" t="s">
        <v>70</v>
      </c>
      <c r="D179" s="545" t="s">
        <v>93</v>
      </c>
      <c r="E179" s="545" t="s">
        <v>76</v>
      </c>
      <c r="F179" s="545" t="s">
        <v>83</v>
      </c>
      <c r="G179" s="546">
        <v>1</v>
      </c>
      <c r="H179" s="547">
        <v>10000</v>
      </c>
      <c r="I179" s="548">
        <v>0</v>
      </c>
      <c r="J179" s="309">
        <f t="shared" si="31"/>
        <v>10000</v>
      </c>
      <c r="K179" s="555">
        <f t="shared" si="32"/>
        <v>10000</v>
      </c>
      <c r="M179" s="599"/>
      <c r="N179" s="549"/>
      <c r="O179" s="549"/>
      <c r="P179" s="549"/>
      <c r="Q179" s="549"/>
      <c r="R179" s="549"/>
      <c r="S179" s="549"/>
      <c r="T179" s="549"/>
      <c r="U179" s="549"/>
      <c r="V179" s="490"/>
    </row>
    <row r="180" spans="1:24" hidden="1" outlineLevel="1">
      <c r="A180" s="552" t="s">
        <v>252</v>
      </c>
      <c r="B180" s="553" t="s">
        <v>532</v>
      </c>
      <c r="C180" s="553" t="s">
        <v>70</v>
      </c>
      <c r="D180" s="553" t="s">
        <v>81</v>
      </c>
      <c r="E180" s="553" t="s">
        <v>76</v>
      </c>
      <c r="F180" s="553" t="s">
        <v>344</v>
      </c>
      <c r="G180" s="554">
        <f>$N$9</f>
        <v>363</v>
      </c>
      <c r="H180" s="555">
        <v>700</v>
      </c>
      <c r="I180" s="556">
        <v>0</v>
      </c>
      <c r="J180" s="555">
        <f t="shared" si="31"/>
        <v>700</v>
      </c>
      <c r="K180" s="555">
        <f t="shared" si="32"/>
        <v>254100</v>
      </c>
      <c r="M180" s="500"/>
      <c r="N180" s="500"/>
      <c r="O180" s="500"/>
      <c r="P180" s="500"/>
      <c r="Q180" s="500"/>
      <c r="R180" s="500"/>
      <c r="S180" s="500"/>
      <c r="T180" s="500"/>
      <c r="U180" s="500"/>
      <c r="V180" s="490"/>
    </row>
    <row r="181" spans="1:24" hidden="1" outlineLevel="1">
      <c r="A181" s="552" t="s">
        <v>533</v>
      </c>
      <c r="B181" s="553" t="s">
        <v>534</v>
      </c>
      <c r="C181" s="553" t="s">
        <v>70</v>
      </c>
      <c r="D181" s="553" t="s">
        <v>81</v>
      </c>
      <c r="E181" s="553" t="s">
        <v>886</v>
      </c>
      <c r="F181" s="553" t="s">
        <v>344</v>
      </c>
      <c r="G181" s="554">
        <f>$N$9</f>
        <v>363</v>
      </c>
      <c r="H181" s="555">
        <v>120</v>
      </c>
      <c r="I181" s="556">
        <v>0</v>
      </c>
      <c r="J181" s="555">
        <f t="shared" si="31"/>
        <v>120</v>
      </c>
      <c r="K181" s="555">
        <f t="shared" si="32"/>
        <v>43560</v>
      </c>
      <c r="M181" s="500" t="s">
        <v>535</v>
      </c>
      <c r="N181" s="500"/>
      <c r="O181" s="500"/>
      <c r="P181" s="500"/>
      <c r="Q181" s="500"/>
      <c r="R181" s="500"/>
      <c r="S181" s="500"/>
      <c r="T181" s="500"/>
      <c r="U181" s="500"/>
      <c r="V181" s="490"/>
    </row>
    <row r="182" spans="1:24" hidden="1" outlineLevel="1">
      <c r="A182" s="552" t="s">
        <v>536</v>
      </c>
      <c r="B182" s="553" t="s">
        <v>537</v>
      </c>
      <c r="C182" s="553" t="s">
        <v>70</v>
      </c>
      <c r="D182" s="553" t="s">
        <v>81</v>
      </c>
      <c r="E182" s="553" t="s">
        <v>886</v>
      </c>
      <c r="F182" s="553" t="s">
        <v>344</v>
      </c>
      <c r="G182" s="554">
        <f>$N$9</f>
        <v>363</v>
      </c>
      <c r="H182" s="555">
        <v>115</v>
      </c>
      <c r="I182" s="556">
        <v>0</v>
      </c>
      <c r="J182" s="555">
        <f t="shared" si="31"/>
        <v>115</v>
      </c>
      <c r="K182" s="555">
        <f t="shared" si="32"/>
        <v>41745</v>
      </c>
      <c r="M182" s="500" t="s">
        <v>538</v>
      </c>
      <c r="N182" s="500"/>
      <c r="O182" s="500"/>
      <c r="P182" s="500"/>
      <c r="Q182" s="500"/>
      <c r="R182" s="500"/>
      <c r="S182" s="500"/>
      <c r="T182" s="500"/>
      <c r="U182" s="500"/>
      <c r="V182" s="490"/>
    </row>
    <row r="183" spans="1:24" hidden="1" outlineLevel="1">
      <c r="A183" s="552" t="s">
        <v>539</v>
      </c>
      <c r="B183" s="553" t="s">
        <v>529</v>
      </c>
      <c r="C183" s="553" t="s">
        <v>70</v>
      </c>
      <c r="D183" s="553" t="s">
        <v>397</v>
      </c>
      <c r="E183" s="553" t="s">
        <v>886</v>
      </c>
      <c r="F183" s="553" t="s">
        <v>540</v>
      </c>
      <c r="G183" s="554">
        <f>S3</f>
        <v>286</v>
      </c>
      <c r="H183" s="555">
        <v>200</v>
      </c>
      <c r="I183" s="556">
        <v>0</v>
      </c>
      <c r="J183" s="555">
        <f t="shared" si="31"/>
        <v>200</v>
      </c>
      <c r="K183" s="555">
        <f t="shared" si="32"/>
        <v>57200</v>
      </c>
      <c r="M183" s="500" t="s">
        <v>538</v>
      </c>
      <c r="N183" s="500"/>
      <c r="O183" s="500"/>
      <c r="P183" s="500"/>
      <c r="Q183" s="500"/>
      <c r="R183" s="500"/>
      <c r="S183" s="500"/>
      <c r="T183" s="500"/>
      <c r="U183" s="500"/>
      <c r="V183" s="490"/>
    </row>
    <row r="184" spans="1:24" hidden="1" outlineLevel="1">
      <c r="A184" s="552" t="s">
        <v>541</v>
      </c>
      <c r="B184" s="553" t="s">
        <v>532</v>
      </c>
      <c r="C184" s="553" t="s">
        <v>70</v>
      </c>
      <c r="D184" s="553" t="s">
        <v>397</v>
      </c>
      <c r="E184" s="553" t="s">
        <v>76</v>
      </c>
      <c r="F184" s="553" t="s">
        <v>540</v>
      </c>
      <c r="G184" s="554">
        <f>'Assumptions &amp; Takeoffs'!$B$22</f>
        <v>286</v>
      </c>
      <c r="H184" s="555">
        <v>50</v>
      </c>
      <c r="I184" s="556">
        <v>0</v>
      </c>
      <c r="J184" s="555">
        <f t="shared" si="31"/>
        <v>50</v>
      </c>
      <c r="K184" s="555">
        <f t="shared" si="32"/>
        <v>14300</v>
      </c>
      <c r="M184" s="500"/>
      <c r="N184" s="500"/>
      <c r="O184" s="500"/>
      <c r="P184" s="500"/>
      <c r="Q184" s="500"/>
      <c r="R184" s="500"/>
      <c r="S184" s="500"/>
      <c r="T184" s="500"/>
      <c r="U184" s="500"/>
      <c r="V184" s="490"/>
    </row>
    <row r="185" spans="1:24" hidden="1" outlineLevel="1">
      <c r="A185" s="552" t="s">
        <v>542</v>
      </c>
      <c r="B185" s="553" t="s">
        <v>529</v>
      </c>
      <c r="C185" s="553" t="s">
        <v>70</v>
      </c>
      <c r="D185" s="553" t="s">
        <v>103</v>
      </c>
      <c r="E185" s="553" t="s">
        <v>76</v>
      </c>
      <c r="F185" s="553" t="s">
        <v>83</v>
      </c>
      <c r="G185" s="554">
        <v>1</v>
      </c>
      <c r="H185" s="555">
        <v>5000</v>
      </c>
      <c r="I185" s="556">
        <v>0</v>
      </c>
      <c r="J185" s="555">
        <f t="shared" ref="J185" si="33">H185*(1+I185)</f>
        <v>5000</v>
      </c>
      <c r="K185" s="555">
        <f t="shared" ref="K185" si="34">J185*G185</f>
        <v>5000</v>
      </c>
      <c r="M185" s="500"/>
      <c r="N185" s="500"/>
      <c r="O185" s="500"/>
      <c r="P185" s="500"/>
      <c r="Q185" s="500"/>
      <c r="R185" s="500"/>
      <c r="S185" s="500"/>
      <c r="T185" s="500"/>
      <c r="U185" s="500"/>
      <c r="V185" s="490"/>
    </row>
    <row r="186" spans="1:24" hidden="1" outlineLevel="1">
      <c r="A186" s="552" t="s">
        <v>543</v>
      </c>
      <c r="B186" s="553" t="s">
        <v>544</v>
      </c>
      <c r="C186" s="553" t="s">
        <v>70</v>
      </c>
      <c r="D186" s="553" t="s">
        <v>103</v>
      </c>
      <c r="E186" s="553" t="s">
        <v>76</v>
      </c>
      <c r="F186" s="553" t="s">
        <v>83</v>
      </c>
      <c r="G186" s="554">
        <v>1</v>
      </c>
      <c r="H186" s="565">
        <v>5000</v>
      </c>
      <c r="I186" s="556">
        <v>0</v>
      </c>
      <c r="J186" s="555">
        <f t="shared" si="31"/>
        <v>5000</v>
      </c>
      <c r="K186" s="555">
        <f t="shared" si="32"/>
        <v>5000</v>
      </c>
      <c r="M186" s="500"/>
      <c r="N186" s="500"/>
      <c r="O186" s="500"/>
      <c r="P186" s="500"/>
      <c r="Q186" s="500"/>
      <c r="R186" s="500"/>
      <c r="S186" s="500"/>
      <c r="T186" s="500"/>
      <c r="U186" s="500"/>
      <c r="V186" s="490"/>
    </row>
    <row r="187" spans="1:24" hidden="1" outlineLevel="1">
      <c r="A187" s="552" t="s">
        <v>545</v>
      </c>
      <c r="B187" s="553" t="s">
        <v>546</v>
      </c>
      <c r="C187" s="553" t="s">
        <v>70</v>
      </c>
      <c r="D187" s="553" t="s">
        <v>405</v>
      </c>
      <c r="E187" s="553" t="s">
        <v>131</v>
      </c>
      <c r="F187" s="553" t="s">
        <v>132</v>
      </c>
      <c r="G187" s="554">
        <v>4</v>
      </c>
      <c r="H187" s="555">
        <v>15000</v>
      </c>
      <c r="I187" s="556">
        <v>0</v>
      </c>
      <c r="J187" s="555">
        <f t="shared" si="31"/>
        <v>15000</v>
      </c>
      <c r="K187" s="555">
        <f t="shared" si="32"/>
        <v>60000</v>
      </c>
      <c r="M187" s="500"/>
      <c r="N187" s="500"/>
      <c r="O187" s="500"/>
      <c r="P187" s="500"/>
      <c r="Q187" s="500"/>
      <c r="R187" s="500"/>
      <c r="S187" s="500"/>
      <c r="T187" s="500"/>
      <c r="U187" s="500"/>
      <c r="V187" s="490"/>
      <c r="X187" s="600"/>
    </row>
    <row r="188" spans="1:24" hidden="1" outlineLevel="1">
      <c r="A188" s="552" t="s">
        <v>548</v>
      </c>
      <c r="B188" s="553" t="s">
        <v>549</v>
      </c>
      <c r="C188" s="553" t="s">
        <v>70</v>
      </c>
      <c r="D188" s="553" t="s">
        <v>75</v>
      </c>
      <c r="E188" s="553" t="s">
        <v>76</v>
      </c>
      <c r="F188" s="553" t="s">
        <v>552</v>
      </c>
      <c r="G188" s="601">
        <f>$B$9</f>
        <v>17.350000000000001</v>
      </c>
      <c r="H188" s="555">
        <v>2500</v>
      </c>
      <c r="I188" s="556">
        <v>0</v>
      </c>
      <c r="J188" s="555">
        <f t="shared" si="31"/>
        <v>2500</v>
      </c>
      <c r="K188" s="555">
        <f t="shared" si="32"/>
        <v>43375</v>
      </c>
      <c r="M188" s="500"/>
      <c r="N188" s="500"/>
      <c r="O188" s="500"/>
      <c r="P188" s="500"/>
      <c r="Q188" s="500"/>
      <c r="R188" s="500"/>
      <c r="S188" s="500"/>
      <c r="T188" s="500"/>
      <c r="U188" s="500"/>
      <c r="V188" s="490"/>
    </row>
    <row r="189" spans="1:24" hidden="1" outlineLevel="1">
      <c r="A189" s="552" t="s">
        <v>550</v>
      </c>
      <c r="B189" s="553" t="s">
        <v>551</v>
      </c>
      <c r="C189" s="553" t="s">
        <v>70</v>
      </c>
      <c r="D189" s="553" t="s">
        <v>75</v>
      </c>
      <c r="E189" s="553" t="s">
        <v>76</v>
      </c>
      <c r="F189" s="553" t="s">
        <v>552</v>
      </c>
      <c r="G189" s="601">
        <f>$B$9</f>
        <v>17.350000000000001</v>
      </c>
      <c r="H189" s="555">
        <v>1750</v>
      </c>
      <c r="I189" s="556">
        <v>0</v>
      </c>
      <c r="J189" s="555">
        <f t="shared" si="31"/>
        <v>1750</v>
      </c>
      <c r="K189" s="555">
        <f t="shared" si="32"/>
        <v>30362.500000000004</v>
      </c>
      <c r="M189" s="500"/>
      <c r="N189" s="500"/>
      <c r="O189" s="500"/>
      <c r="P189" s="500"/>
      <c r="Q189" s="500"/>
      <c r="R189" s="500"/>
      <c r="S189" s="500"/>
      <c r="T189" s="500"/>
      <c r="U189" s="500"/>
      <c r="V189" s="490"/>
    </row>
    <row r="190" spans="1:24" hidden="1" outlineLevel="1">
      <c r="A190" s="552" t="s">
        <v>553</v>
      </c>
      <c r="B190" s="553" t="s">
        <v>554</v>
      </c>
      <c r="C190" s="553" t="s">
        <v>70</v>
      </c>
      <c r="D190" s="553" t="s">
        <v>103</v>
      </c>
      <c r="E190" s="553" t="s">
        <v>76</v>
      </c>
      <c r="F190" s="553" t="s">
        <v>83</v>
      </c>
      <c r="G190" s="554">
        <f>'Assumptions &amp; Takeoffs'!$B$16</f>
        <v>1</v>
      </c>
      <c r="H190" s="555">
        <v>12500</v>
      </c>
      <c r="I190" s="556">
        <v>0</v>
      </c>
      <c r="J190" s="555">
        <f t="shared" si="31"/>
        <v>12500</v>
      </c>
      <c r="K190" s="555">
        <f t="shared" si="32"/>
        <v>12500</v>
      </c>
      <c r="M190" s="500"/>
      <c r="N190" s="500"/>
      <c r="O190" s="500"/>
      <c r="P190" s="500"/>
      <c r="Q190" s="500"/>
      <c r="R190" s="500"/>
      <c r="S190" s="500"/>
      <c r="T190" s="500"/>
      <c r="U190" s="500"/>
      <c r="V190" s="490"/>
    </row>
    <row r="191" spans="1:24" hidden="1" outlineLevel="1">
      <c r="A191" s="552" t="s">
        <v>555</v>
      </c>
      <c r="B191" s="553" t="s">
        <v>556</v>
      </c>
      <c r="C191" s="553" t="s">
        <v>70</v>
      </c>
      <c r="D191" s="553" t="s">
        <v>103</v>
      </c>
      <c r="E191" s="553" t="s">
        <v>76</v>
      </c>
      <c r="F191" s="553" t="s">
        <v>83</v>
      </c>
      <c r="G191" s="554">
        <f>'Assumptions &amp; Takeoffs'!$B$16</f>
        <v>1</v>
      </c>
      <c r="H191" s="555">
        <v>12500</v>
      </c>
      <c r="I191" s="556">
        <v>0</v>
      </c>
      <c r="J191" s="555">
        <f t="shared" si="31"/>
        <v>12500</v>
      </c>
      <c r="K191" s="555">
        <f t="shared" si="32"/>
        <v>12500</v>
      </c>
      <c r="M191" s="500"/>
      <c r="N191" s="500"/>
      <c r="O191" s="500"/>
      <c r="P191" s="500"/>
      <c r="Q191" s="500"/>
      <c r="R191" s="500"/>
      <c r="S191" s="500"/>
      <c r="T191" s="500"/>
      <c r="U191" s="500"/>
      <c r="V191" s="490"/>
    </row>
    <row r="192" spans="1:24" hidden="1" outlineLevel="1">
      <c r="A192" s="552" t="s">
        <v>557</v>
      </c>
      <c r="B192" s="553" t="s">
        <v>558</v>
      </c>
      <c r="C192" s="553" t="s">
        <v>70</v>
      </c>
      <c r="D192" s="553" t="s">
        <v>110</v>
      </c>
      <c r="E192" s="553" t="s">
        <v>76</v>
      </c>
      <c r="F192" s="553" t="s">
        <v>83</v>
      </c>
      <c r="G192" s="554">
        <f>'Assumptions &amp; Takeoffs'!$B$16</f>
        <v>1</v>
      </c>
      <c r="H192" s="555">
        <v>2500</v>
      </c>
      <c r="I192" s="556">
        <v>0</v>
      </c>
      <c r="J192" s="555">
        <f t="shared" si="31"/>
        <v>2500</v>
      </c>
      <c r="K192" s="555">
        <f t="shared" si="32"/>
        <v>2500</v>
      </c>
      <c r="M192" s="500"/>
      <c r="N192" s="500"/>
      <c r="O192" s="500"/>
      <c r="P192" s="500"/>
      <c r="Q192" s="500"/>
      <c r="R192" s="500"/>
      <c r="S192" s="500"/>
      <c r="T192" s="500"/>
      <c r="U192" s="500"/>
      <c r="V192" s="490"/>
    </row>
    <row r="193" spans="1:22" hidden="1" outlineLevel="1">
      <c r="A193" s="552" t="s">
        <v>559</v>
      </c>
      <c r="B193" s="553" t="s">
        <v>529</v>
      </c>
      <c r="C193" s="553" t="s">
        <v>70</v>
      </c>
      <c r="D193" s="553" t="s">
        <v>93</v>
      </c>
      <c r="E193" s="553" t="s">
        <v>76</v>
      </c>
      <c r="F193" s="553" t="s">
        <v>83</v>
      </c>
      <c r="G193" s="554">
        <v>1</v>
      </c>
      <c r="H193" s="555">
        <v>15000</v>
      </c>
      <c r="I193" s="556">
        <v>0</v>
      </c>
      <c r="J193" s="555">
        <f t="shared" si="31"/>
        <v>15000</v>
      </c>
      <c r="K193" s="555">
        <f t="shared" si="32"/>
        <v>15000</v>
      </c>
      <c r="M193" s="500"/>
      <c r="N193" s="500"/>
      <c r="O193" s="500"/>
      <c r="P193" s="500"/>
      <c r="Q193" s="500"/>
      <c r="R193" s="500"/>
      <c r="S193" s="500"/>
      <c r="T193" s="500"/>
      <c r="U193" s="500"/>
      <c r="V193" s="490"/>
    </row>
    <row r="194" spans="1:22" hidden="1" outlineLevel="1">
      <c r="A194" s="552" t="s">
        <v>560</v>
      </c>
      <c r="B194" s="553" t="s">
        <v>532</v>
      </c>
      <c r="C194" s="553" t="s">
        <v>70</v>
      </c>
      <c r="D194" s="553" t="s">
        <v>93</v>
      </c>
      <c r="E194" s="553" t="s">
        <v>76</v>
      </c>
      <c r="F194" s="553" t="s">
        <v>83</v>
      </c>
      <c r="G194" s="554">
        <v>1</v>
      </c>
      <c r="H194" s="555">
        <v>1500</v>
      </c>
      <c r="I194" s="556">
        <v>0</v>
      </c>
      <c r="J194" s="551">
        <f t="shared" si="31"/>
        <v>1500</v>
      </c>
      <c r="K194" s="309">
        <f t="shared" si="32"/>
        <v>1500</v>
      </c>
      <c r="M194" s="500"/>
      <c r="N194" s="500"/>
      <c r="O194" s="500"/>
      <c r="P194" s="500"/>
      <c r="Q194" s="500"/>
      <c r="R194" s="500"/>
      <c r="S194" s="500"/>
      <c r="T194" s="500"/>
      <c r="U194" s="500"/>
      <c r="V194" s="490"/>
    </row>
    <row r="195" spans="1:22" collapsed="1">
      <c r="A195" s="537" t="s">
        <v>561</v>
      </c>
      <c r="B195" s="538" t="s">
        <v>562</v>
      </c>
      <c r="C195" s="538"/>
      <c r="D195" s="538"/>
      <c r="E195" s="538"/>
      <c r="F195" s="538"/>
      <c r="G195" s="567"/>
      <c r="H195" s="568"/>
      <c r="I195" s="540"/>
      <c r="J195" s="569"/>
      <c r="K195" s="541"/>
      <c r="L195" s="542">
        <f>SUM(K178:K194)</f>
        <v>4455520.8099999996</v>
      </c>
      <c r="M195" s="543"/>
      <c r="N195" s="543"/>
      <c r="O195" s="543"/>
      <c r="P195" s="543"/>
      <c r="Q195" s="543"/>
      <c r="R195" s="543"/>
      <c r="S195" s="543"/>
      <c r="T195" s="543"/>
      <c r="U195" s="543"/>
      <c r="V195" s="490"/>
    </row>
    <row r="196" spans="1:22" hidden="1" outlineLevel="1">
      <c r="A196" s="552" t="s">
        <v>563</v>
      </c>
      <c r="B196" s="553" t="s">
        <v>564</v>
      </c>
      <c r="C196" s="553" t="s">
        <v>144</v>
      </c>
      <c r="D196" s="553" t="s">
        <v>81</v>
      </c>
      <c r="E196" s="553" t="s">
        <v>76</v>
      </c>
      <c r="F196" s="553" t="s">
        <v>83</v>
      </c>
      <c r="G196" s="554">
        <f>$B$11</f>
        <v>3</v>
      </c>
      <c r="H196" s="555">
        <v>1000</v>
      </c>
      <c r="I196" s="556">
        <v>0</v>
      </c>
      <c r="J196" s="551">
        <f t="shared" ref="J196:J198" si="35">H196*(1+I196)</f>
        <v>1000</v>
      </c>
      <c r="K196" s="309">
        <f>J196*G196</f>
        <v>3000</v>
      </c>
      <c r="M196" s="549" t="s">
        <v>565</v>
      </c>
      <c r="N196" s="549"/>
      <c r="O196" s="549"/>
      <c r="P196" s="549"/>
      <c r="Q196" s="549"/>
      <c r="R196" s="549"/>
      <c r="S196" s="549"/>
      <c r="T196" s="549"/>
      <c r="U196" s="549"/>
      <c r="V196" s="490"/>
    </row>
    <row r="197" spans="1:22" hidden="1" outlineLevel="1">
      <c r="A197" s="552" t="s">
        <v>566</v>
      </c>
      <c r="B197" s="553" t="s">
        <v>567</v>
      </c>
      <c r="C197" s="553" t="s">
        <v>70</v>
      </c>
      <c r="D197" s="553" t="s">
        <v>81</v>
      </c>
      <c r="E197" s="553" t="s">
        <v>343</v>
      </c>
      <c r="F197" s="553" t="s">
        <v>185</v>
      </c>
      <c r="G197" s="554">
        <f>$B$8</f>
        <v>362571</v>
      </c>
      <c r="H197" s="565">
        <v>0.45</v>
      </c>
      <c r="I197" s="556">
        <v>0</v>
      </c>
      <c r="J197" s="565">
        <f t="shared" si="35"/>
        <v>0.45</v>
      </c>
      <c r="K197" s="555">
        <f>J197*G197</f>
        <v>163156.95000000001</v>
      </c>
      <c r="M197" s="500"/>
      <c r="N197" s="500"/>
      <c r="O197" s="500"/>
      <c r="P197" s="500"/>
      <c r="Q197" s="500"/>
      <c r="R197" s="500"/>
      <c r="S197" s="500"/>
      <c r="T197" s="500"/>
      <c r="U197" s="500"/>
      <c r="V197" s="490"/>
    </row>
    <row r="198" spans="1:22" hidden="1" outlineLevel="1">
      <c r="A198" s="552" t="s">
        <v>568</v>
      </c>
      <c r="B198" s="553" t="s">
        <v>569</v>
      </c>
      <c r="C198" s="553" t="s">
        <v>70</v>
      </c>
      <c r="D198" s="553" t="s">
        <v>103</v>
      </c>
      <c r="E198" s="553" t="s">
        <v>76</v>
      </c>
      <c r="F198" s="553" t="s">
        <v>83</v>
      </c>
      <c r="G198" s="554">
        <f>'Assumptions &amp; Takeoffs'!$B$16</f>
        <v>1</v>
      </c>
      <c r="H198" s="555">
        <v>800</v>
      </c>
      <c r="I198" s="556">
        <v>0</v>
      </c>
      <c r="J198" s="551">
        <f t="shared" si="35"/>
        <v>800</v>
      </c>
      <c r="K198" s="309">
        <f>J198*G198</f>
        <v>800</v>
      </c>
      <c r="M198" s="500" t="s">
        <v>570</v>
      </c>
      <c r="N198" s="500"/>
      <c r="O198" s="500"/>
      <c r="P198" s="500"/>
      <c r="Q198" s="500"/>
      <c r="R198" s="500"/>
      <c r="S198" s="500"/>
      <c r="T198" s="500"/>
      <c r="U198" s="500"/>
      <c r="V198" s="490"/>
    </row>
    <row r="199" spans="1:22" collapsed="1">
      <c r="A199" s="537" t="s">
        <v>571</v>
      </c>
      <c r="B199" s="538" t="s">
        <v>572</v>
      </c>
      <c r="C199" s="538"/>
      <c r="D199" s="538"/>
      <c r="E199" s="538"/>
      <c r="F199" s="538"/>
      <c r="G199" s="567"/>
      <c r="H199" s="568"/>
      <c r="I199" s="540"/>
      <c r="J199" s="569"/>
      <c r="K199" s="541"/>
      <c r="L199" s="542">
        <f>SUM(K196:K198)</f>
        <v>166956.95000000001</v>
      </c>
      <c r="M199" s="543"/>
      <c r="N199" s="543"/>
      <c r="O199" s="543"/>
      <c r="P199" s="543"/>
      <c r="Q199" s="543"/>
      <c r="R199" s="543"/>
      <c r="S199" s="543"/>
      <c r="T199" s="543"/>
      <c r="U199" s="543"/>
      <c r="V199" s="490"/>
    </row>
    <row r="200" spans="1:22" hidden="1" outlineLevel="1">
      <c r="A200" s="552" t="s">
        <v>573</v>
      </c>
      <c r="B200" s="553" t="s">
        <v>574</v>
      </c>
      <c r="C200" s="553" t="s">
        <v>70</v>
      </c>
      <c r="D200" s="553" t="s">
        <v>81</v>
      </c>
      <c r="E200" s="553" t="s">
        <v>184</v>
      </c>
      <c r="F200" s="553" t="s">
        <v>344</v>
      </c>
      <c r="G200" s="554">
        <f>$N$9</f>
        <v>363</v>
      </c>
      <c r="H200" s="555">
        <v>551.28865979381442</v>
      </c>
      <c r="I200" s="556">
        <v>0</v>
      </c>
      <c r="J200" s="551">
        <f t="shared" ref="J200:J203" si="36">H200*(1+I200)</f>
        <v>551.28865979381442</v>
      </c>
      <c r="K200" s="309">
        <f>J200*G200</f>
        <v>200117.78350515463</v>
      </c>
      <c r="M200" s="549"/>
      <c r="N200" s="549"/>
      <c r="O200" s="549"/>
      <c r="P200" s="549"/>
      <c r="Q200" s="549"/>
      <c r="R200" s="549"/>
      <c r="S200" s="549"/>
      <c r="T200" s="549"/>
      <c r="U200" s="549"/>
      <c r="V200" s="490"/>
    </row>
    <row r="201" spans="1:22" hidden="1" outlineLevel="1">
      <c r="A201" s="552" t="s">
        <v>575</v>
      </c>
      <c r="B201" s="553" t="s">
        <v>576</v>
      </c>
      <c r="C201" s="553" t="s">
        <v>70</v>
      </c>
      <c r="D201" s="553" t="s">
        <v>75</v>
      </c>
      <c r="E201" s="553" t="s">
        <v>329</v>
      </c>
      <c r="F201" s="553" t="s">
        <v>71</v>
      </c>
      <c r="G201" s="554">
        <f>$B$6</f>
        <v>24</v>
      </c>
      <c r="H201" s="555">
        <v>5642.8571428571431</v>
      </c>
      <c r="I201" s="556">
        <v>0</v>
      </c>
      <c r="J201" s="555">
        <f t="shared" si="36"/>
        <v>5642.8571428571431</v>
      </c>
      <c r="K201" s="555">
        <f>J201*G201</f>
        <v>135428.57142857142</v>
      </c>
      <c r="M201" s="500" t="s">
        <v>577</v>
      </c>
      <c r="N201" s="500"/>
      <c r="O201" s="500"/>
      <c r="P201" s="500"/>
      <c r="Q201" s="500"/>
      <c r="R201" s="500"/>
      <c r="S201" s="500"/>
      <c r="T201" s="500"/>
      <c r="U201" s="500"/>
      <c r="V201" s="490"/>
    </row>
    <row r="202" spans="1:22" hidden="1" outlineLevel="1">
      <c r="A202" s="552" t="s">
        <v>578</v>
      </c>
      <c r="B202" s="553" t="s">
        <v>579</v>
      </c>
      <c r="C202" s="553" t="s">
        <v>70</v>
      </c>
      <c r="D202" s="553" t="s">
        <v>81</v>
      </c>
      <c r="E202" s="553" t="s">
        <v>486</v>
      </c>
      <c r="F202" s="553" t="s">
        <v>185</v>
      </c>
      <c r="G202" s="554">
        <v>361641</v>
      </c>
      <c r="H202" s="565">
        <f>'Unit Pricing Comparison'!L20</f>
        <v>1.94</v>
      </c>
      <c r="I202" s="556">
        <v>0</v>
      </c>
      <c r="J202" s="565">
        <f t="shared" si="36"/>
        <v>1.94</v>
      </c>
      <c r="K202" s="555">
        <f>J202*G202</f>
        <v>701583.54</v>
      </c>
      <c r="M202" s="500" t="s">
        <v>902</v>
      </c>
      <c r="N202" s="500"/>
      <c r="O202" s="500"/>
      <c r="P202" s="500"/>
      <c r="Q202" s="500"/>
      <c r="R202" s="500"/>
      <c r="S202" s="500"/>
      <c r="T202" s="500"/>
      <c r="U202" s="500"/>
      <c r="V202" s="490"/>
    </row>
    <row r="203" spans="1:22" hidden="1" outlineLevel="1">
      <c r="A203" s="552" t="s">
        <v>580</v>
      </c>
      <c r="B203" s="553" t="s">
        <v>581</v>
      </c>
      <c r="C203" s="553" t="s">
        <v>70</v>
      </c>
      <c r="D203" s="553" t="s">
        <v>93</v>
      </c>
      <c r="E203" s="553" t="s">
        <v>76</v>
      </c>
      <c r="F203" s="553" t="s">
        <v>83</v>
      </c>
      <c r="G203" s="554">
        <v>1</v>
      </c>
      <c r="H203" s="555">
        <v>10000</v>
      </c>
      <c r="I203" s="556">
        <v>0</v>
      </c>
      <c r="J203" s="555">
        <f t="shared" si="36"/>
        <v>10000</v>
      </c>
      <c r="K203" s="309">
        <f>J203*G203</f>
        <v>10000</v>
      </c>
      <c r="M203" s="500"/>
      <c r="N203" s="500"/>
      <c r="O203" s="500"/>
      <c r="P203" s="500"/>
      <c r="Q203" s="500"/>
      <c r="R203" s="500"/>
      <c r="S203" s="500"/>
      <c r="T203" s="500"/>
      <c r="U203" s="500"/>
      <c r="V203" s="490"/>
    </row>
    <row r="204" spans="1:22" collapsed="1">
      <c r="A204" s="537" t="s">
        <v>582</v>
      </c>
      <c r="B204" s="538" t="s">
        <v>583</v>
      </c>
      <c r="C204" s="538"/>
      <c r="D204" s="538"/>
      <c r="E204" s="538"/>
      <c r="F204" s="538"/>
      <c r="G204" s="567"/>
      <c r="H204" s="568"/>
      <c r="I204" s="540"/>
      <c r="J204" s="569"/>
      <c r="K204" s="541"/>
      <c r="L204" s="542">
        <f>SUM(K200:K203)</f>
        <v>1047129.8949337261</v>
      </c>
      <c r="M204" s="543"/>
      <c r="N204" s="543"/>
      <c r="O204" s="543"/>
      <c r="P204" s="543"/>
      <c r="Q204" s="543"/>
      <c r="R204" s="543"/>
      <c r="S204" s="543"/>
      <c r="T204" s="543"/>
      <c r="U204" s="543"/>
      <c r="V204" s="490"/>
    </row>
    <row r="205" spans="1:22" hidden="1" outlineLevel="1">
      <c r="A205" s="552" t="s">
        <v>584</v>
      </c>
      <c r="B205" s="553" t="s">
        <v>585</v>
      </c>
      <c r="C205" s="553" t="s">
        <v>70</v>
      </c>
      <c r="D205" s="553" t="s">
        <v>75</v>
      </c>
      <c r="E205" s="553" t="s">
        <v>76</v>
      </c>
      <c r="F205" s="553" t="s">
        <v>552</v>
      </c>
      <c r="G205" s="554">
        <f>$B$9</f>
        <v>17.350000000000001</v>
      </c>
      <c r="H205" s="555">
        <v>6500</v>
      </c>
      <c r="I205" s="556">
        <v>0</v>
      </c>
      <c r="J205" s="551">
        <f t="shared" ref="J205:J213" si="37">H205*(1+I205)</f>
        <v>6500</v>
      </c>
      <c r="K205" s="309">
        <f>J205*G205</f>
        <v>112775.00000000001</v>
      </c>
      <c r="M205" s="549"/>
      <c r="N205" s="549"/>
      <c r="O205" s="549"/>
      <c r="P205" s="549"/>
      <c r="Q205" s="549"/>
      <c r="R205" s="549"/>
      <c r="S205" s="549"/>
      <c r="T205" s="549"/>
      <c r="U205" s="549"/>
      <c r="V205" s="490"/>
    </row>
    <row r="206" spans="1:22" hidden="1" outlineLevel="1">
      <c r="A206" s="552" t="s">
        <v>586</v>
      </c>
      <c r="B206" s="553" t="s">
        <v>587</v>
      </c>
      <c r="C206" s="553" t="s">
        <v>70</v>
      </c>
      <c r="D206" s="553" t="s">
        <v>75</v>
      </c>
      <c r="E206" s="553" t="s">
        <v>76</v>
      </c>
      <c r="F206" s="553" t="s">
        <v>552</v>
      </c>
      <c r="G206" s="601">
        <f>$B$9</f>
        <v>17.350000000000001</v>
      </c>
      <c r="H206" s="555">
        <v>3500</v>
      </c>
      <c r="I206" s="556">
        <v>0</v>
      </c>
      <c r="J206" s="555">
        <f t="shared" si="37"/>
        <v>3500</v>
      </c>
      <c r="K206" s="555">
        <f t="shared" ref="K206:K213" si="38">J206*G206</f>
        <v>60725.000000000007</v>
      </c>
      <c r="M206" s="500"/>
      <c r="N206" s="500"/>
      <c r="O206" s="500"/>
      <c r="P206" s="500"/>
      <c r="Q206" s="500"/>
      <c r="R206" s="500"/>
      <c r="S206" s="500"/>
      <c r="T206" s="500"/>
      <c r="U206" s="500"/>
      <c r="V206" s="490"/>
    </row>
    <row r="207" spans="1:22" hidden="1" outlineLevel="1">
      <c r="A207" s="552" t="s">
        <v>588</v>
      </c>
      <c r="B207" s="553" t="s">
        <v>589</v>
      </c>
      <c r="C207" s="553" t="s">
        <v>70</v>
      </c>
      <c r="D207" s="553" t="s">
        <v>75</v>
      </c>
      <c r="E207" s="553" t="s">
        <v>131</v>
      </c>
      <c r="F207" s="553" t="s">
        <v>83</v>
      </c>
      <c r="G207" s="554">
        <v>1</v>
      </c>
      <c r="H207" s="555">
        <v>100000</v>
      </c>
      <c r="I207" s="556">
        <v>0</v>
      </c>
      <c r="J207" s="555">
        <f t="shared" si="37"/>
        <v>100000</v>
      </c>
      <c r="K207" s="555">
        <f t="shared" si="38"/>
        <v>100000</v>
      </c>
      <c r="M207" s="500"/>
      <c r="N207" s="500"/>
      <c r="O207" s="500"/>
      <c r="P207" s="500"/>
      <c r="Q207" s="500"/>
      <c r="R207" s="500"/>
      <c r="S207" s="500"/>
      <c r="T207" s="500"/>
      <c r="U207" s="500"/>
      <c r="V207" s="490"/>
    </row>
    <row r="208" spans="1:22" hidden="1" outlineLevel="1">
      <c r="A208" s="552" t="s">
        <v>590</v>
      </c>
      <c r="B208" s="553" t="s">
        <v>591</v>
      </c>
      <c r="C208" s="553" t="s">
        <v>70</v>
      </c>
      <c r="D208" s="553" t="s">
        <v>75</v>
      </c>
      <c r="E208" s="553" t="s">
        <v>131</v>
      </c>
      <c r="F208" s="553" t="s">
        <v>83</v>
      </c>
      <c r="G208" s="554">
        <v>1</v>
      </c>
      <c r="H208" s="555">
        <v>50000</v>
      </c>
      <c r="I208" s="556">
        <v>0</v>
      </c>
      <c r="J208" s="555">
        <f t="shared" si="37"/>
        <v>50000</v>
      </c>
      <c r="K208" s="555">
        <f t="shared" si="38"/>
        <v>50000</v>
      </c>
      <c r="M208" s="500"/>
      <c r="N208" s="500"/>
      <c r="O208" s="500"/>
      <c r="P208" s="500"/>
      <c r="Q208" s="500"/>
      <c r="R208" s="500"/>
      <c r="S208" s="500"/>
      <c r="T208" s="500"/>
      <c r="U208" s="500"/>
      <c r="V208" s="490"/>
    </row>
    <row r="209" spans="1:22" hidden="1" outlineLevel="1">
      <c r="A209" s="552" t="s">
        <v>592</v>
      </c>
      <c r="B209" s="553" t="s">
        <v>593</v>
      </c>
      <c r="C209" s="553" t="s">
        <v>70</v>
      </c>
      <c r="D209" s="553" t="s">
        <v>75</v>
      </c>
      <c r="E209" s="553" t="s">
        <v>131</v>
      </c>
      <c r="F209" s="553" t="s">
        <v>83</v>
      </c>
      <c r="G209" s="554">
        <v>1</v>
      </c>
      <c r="H209" s="555">
        <v>1257581.3633884296</v>
      </c>
      <c r="I209" s="556">
        <v>0</v>
      </c>
      <c r="J209" s="555">
        <f t="shared" si="37"/>
        <v>1257581.3633884296</v>
      </c>
      <c r="K209" s="555">
        <f t="shared" si="38"/>
        <v>1257581.3633884296</v>
      </c>
      <c r="M209" s="500"/>
      <c r="N209" s="500"/>
      <c r="O209" s="500"/>
      <c r="P209" s="500"/>
      <c r="Q209" s="500"/>
      <c r="R209" s="500"/>
      <c r="S209" s="500"/>
      <c r="T209" s="500"/>
      <c r="U209" s="500"/>
      <c r="V209" s="490"/>
    </row>
    <row r="210" spans="1:22" hidden="1" outlineLevel="1">
      <c r="A210" s="552" t="s">
        <v>595</v>
      </c>
      <c r="B210" s="553" t="s">
        <v>596</v>
      </c>
      <c r="C210" s="553" t="s">
        <v>70</v>
      </c>
      <c r="D210" s="553" t="s">
        <v>75</v>
      </c>
      <c r="E210" s="553" t="s">
        <v>131</v>
      </c>
      <c r="F210" s="553" t="s">
        <v>83</v>
      </c>
      <c r="G210" s="554">
        <v>1</v>
      </c>
      <c r="H210" s="555">
        <v>52966.135000000002</v>
      </c>
      <c r="I210" s="556">
        <v>0</v>
      </c>
      <c r="J210" s="555">
        <f t="shared" si="37"/>
        <v>52966.135000000002</v>
      </c>
      <c r="K210" s="555">
        <f t="shared" si="38"/>
        <v>52966.135000000002</v>
      </c>
      <c r="M210" s="500"/>
      <c r="N210" s="500"/>
      <c r="O210" s="500"/>
      <c r="P210" s="500"/>
      <c r="Q210" s="500"/>
      <c r="R210" s="500"/>
      <c r="S210" s="500"/>
      <c r="T210" s="500"/>
      <c r="U210" s="500"/>
      <c r="V210" s="490"/>
    </row>
    <row r="211" spans="1:22" hidden="1" outlineLevel="1">
      <c r="A211" s="552" t="s">
        <v>597</v>
      </c>
      <c r="B211" s="553" t="s">
        <v>598</v>
      </c>
      <c r="C211" s="553" t="s">
        <v>70</v>
      </c>
      <c r="D211" s="553" t="s">
        <v>75</v>
      </c>
      <c r="E211" s="553" t="s">
        <v>131</v>
      </c>
      <c r="F211" s="553" t="s">
        <v>83</v>
      </c>
      <c r="G211" s="554">
        <v>1</v>
      </c>
      <c r="H211" s="555">
        <v>100000</v>
      </c>
      <c r="I211" s="556">
        <v>0</v>
      </c>
      <c r="J211" s="555">
        <f t="shared" si="37"/>
        <v>100000</v>
      </c>
      <c r="K211" s="555">
        <f t="shared" si="38"/>
        <v>100000</v>
      </c>
      <c r="M211" s="500"/>
      <c r="N211" s="500"/>
      <c r="O211" s="500"/>
      <c r="P211" s="500"/>
      <c r="Q211" s="500"/>
      <c r="R211" s="500"/>
      <c r="S211" s="500"/>
      <c r="T211" s="500"/>
      <c r="U211" s="500"/>
      <c r="V211" s="490"/>
    </row>
    <row r="212" spans="1:22" hidden="1" outlineLevel="1">
      <c r="A212" s="552" t="s">
        <v>599</v>
      </c>
      <c r="B212" s="553" t="s">
        <v>600</v>
      </c>
      <c r="C212" s="553" t="s">
        <v>70</v>
      </c>
      <c r="D212" s="553" t="s">
        <v>75</v>
      </c>
      <c r="E212" s="553" t="s">
        <v>87</v>
      </c>
      <c r="F212" s="553"/>
      <c r="G212" s="554"/>
      <c r="H212" s="555"/>
      <c r="I212" s="556">
        <v>0</v>
      </c>
      <c r="J212" s="555">
        <f t="shared" si="37"/>
        <v>0</v>
      </c>
      <c r="K212" s="555">
        <f t="shared" si="38"/>
        <v>0</v>
      </c>
      <c r="M212" s="500"/>
      <c r="N212" s="500"/>
      <c r="O212" s="500"/>
      <c r="P212" s="500"/>
      <c r="Q212" s="500"/>
      <c r="R212" s="500"/>
      <c r="S212" s="500"/>
      <c r="T212" s="500"/>
      <c r="U212" s="500"/>
      <c r="V212" s="490"/>
    </row>
    <row r="213" spans="1:22" hidden="1" outlineLevel="1">
      <c r="A213" s="552" t="s">
        <v>601</v>
      </c>
      <c r="B213" s="553" t="s">
        <v>602</v>
      </c>
      <c r="C213" s="553" t="s">
        <v>70</v>
      </c>
      <c r="D213" s="553" t="s">
        <v>75</v>
      </c>
      <c r="E213" s="553" t="s">
        <v>76</v>
      </c>
      <c r="F213" s="553" t="s">
        <v>552</v>
      </c>
      <c r="G213" s="554">
        <f>$B$9</f>
        <v>17.350000000000001</v>
      </c>
      <c r="H213" s="555">
        <v>2500</v>
      </c>
      <c r="I213" s="556">
        <v>0</v>
      </c>
      <c r="J213" s="551">
        <f t="shared" si="37"/>
        <v>2500</v>
      </c>
      <c r="K213" s="309">
        <f t="shared" si="38"/>
        <v>43375</v>
      </c>
      <c r="M213" s="500"/>
      <c r="N213" s="500"/>
      <c r="O213" s="500"/>
      <c r="P213" s="500"/>
      <c r="Q213" s="500"/>
      <c r="R213" s="500"/>
      <c r="S213" s="500"/>
      <c r="T213" s="500"/>
      <c r="U213" s="500"/>
      <c r="V213" s="490"/>
    </row>
    <row r="214" spans="1:22" collapsed="1">
      <c r="A214" s="537" t="s">
        <v>603</v>
      </c>
      <c r="B214" s="538" t="s">
        <v>604</v>
      </c>
      <c r="C214" s="538"/>
      <c r="D214" s="538"/>
      <c r="E214" s="538"/>
      <c r="F214" s="538"/>
      <c r="G214" s="567"/>
      <c r="H214" s="568"/>
      <c r="I214" s="540"/>
      <c r="J214" s="569"/>
      <c r="K214" s="541"/>
      <c r="L214" s="542">
        <f>SUM(K205:K213)</f>
        <v>1777422.4983884296</v>
      </c>
      <c r="M214" s="543"/>
      <c r="N214" s="543"/>
      <c r="O214" s="543"/>
      <c r="P214" s="543"/>
      <c r="Q214" s="543"/>
      <c r="R214" s="543"/>
      <c r="S214" s="543"/>
      <c r="T214" s="543"/>
      <c r="U214" s="543"/>
      <c r="V214" s="490"/>
    </row>
    <row r="215" spans="1:22" hidden="1" outlineLevel="1">
      <c r="A215" s="552" t="s">
        <v>605</v>
      </c>
      <c r="B215" s="553" t="s">
        <v>606</v>
      </c>
      <c r="C215" s="553" t="s">
        <v>90</v>
      </c>
      <c r="D215" s="553" t="s">
        <v>75</v>
      </c>
      <c r="E215" s="553" t="s">
        <v>76</v>
      </c>
      <c r="F215" s="553" t="s">
        <v>83</v>
      </c>
      <c r="G215" s="554">
        <v>1</v>
      </c>
      <c r="H215" s="555">
        <v>5000</v>
      </c>
      <c r="I215" s="556">
        <v>0</v>
      </c>
      <c r="J215" s="551">
        <f t="shared" ref="J215:J251" si="39">H215*(1+I215)</f>
        <v>5000</v>
      </c>
      <c r="K215" s="309">
        <f t="shared" ref="K215:K251" si="40">J215*G215</f>
        <v>5000</v>
      </c>
      <c r="M215" s="549"/>
      <c r="N215" s="549"/>
      <c r="O215" s="549"/>
      <c r="P215" s="549"/>
      <c r="Q215" s="549"/>
      <c r="R215" s="549"/>
      <c r="S215" s="549"/>
      <c r="T215" s="549"/>
      <c r="U215" s="549"/>
      <c r="V215" s="490"/>
    </row>
    <row r="216" spans="1:22" hidden="1" outlineLevel="1">
      <c r="A216" s="552" t="s">
        <v>607</v>
      </c>
      <c r="B216" s="553" t="s">
        <v>608</v>
      </c>
      <c r="C216" s="553" t="s">
        <v>70</v>
      </c>
      <c r="D216" s="553" t="s">
        <v>97</v>
      </c>
      <c r="E216" s="553" t="s">
        <v>76</v>
      </c>
      <c r="F216" s="553" t="s">
        <v>83</v>
      </c>
      <c r="G216" s="554">
        <v>2</v>
      </c>
      <c r="H216" s="555">
        <v>2500</v>
      </c>
      <c r="I216" s="556">
        <v>0</v>
      </c>
      <c r="J216" s="555">
        <f t="shared" si="39"/>
        <v>2500</v>
      </c>
      <c r="K216" s="555">
        <f t="shared" si="40"/>
        <v>5000</v>
      </c>
      <c r="M216" s="500"/>
      <c r="N216" s="500"/>
      <c r="O216" s="500"/>
      <c r="P216" s="500"/>
      <c r="Q216" s="500"/>
      <c r="R216" s="500"/>
      <c r="S216" s="500"/>
      <c r="T216" s="500"/>
      <c r="U216" s="500"/>
      <c r="V216" s="490"/>
    </row>
    <row r="217" spans="1:22" hidden="1" outlineLevel="1">
      <c r="A217" s="552" t="s">
        <v>609</v>
      </c>
      <c r="B217" s="553" t="s">
        <v>610</v>
      </c>
      <c r="C217" s="553" t="s">
        <v>70</v>
      </c>
      <c r="D217" s="553" t="s">
        <v>75</v>
      </c>
      <c r="E217" s="553" t="s">
        <v>76</v>
      </c>
      <c r="F217" s="553" t="s">
        <v>83</v>
      </c>
      <c r="G217" s="554">
        <v>1</v>
      </c>
      <c r="H217" s="555">
        <v>25000</v>
      </c>
      <c r="I217" s="556">
        <v>0</v>
      </c>
      <c r="J217" s="555">
        <f t="shared" si="39"/>
        <v>25000</v>
      </c>
      <c r="K217" s="555">
        <f t="shared" si="40"/>
        <v>25000</v>
      </c>
      <c r="M217" s="500" t="s">
        <v>611</v>
      </c>
      <c r="N217" s="500"/>
      <c r="O217" s="500"/>
      <c r="P217" s="500"/>
      <c r="Q217" s="500"/>
      <c r="R217" s="500"/>
      <c r="S217" s="500"/>
      <c r="T217" s="500"/>
      <c r="U217" s="500"/>
      <c r="V217" s="490"/>
    </row>
    <row r="218" spans="1:22" hidden="1" outlineLevel="1">
      <c r="A218" s="552" t="s">
        <v>612</v>
      </c>
      <c r="B218" s="553" t="s">
        <v>613</v>
      </c>
      <c r="C218" s="553" t="s">
        <v>70</v>
      </c>
      <c r="D218" s="553" t="s">
        <v>75</v>
      </c>
      <c r="E218" s="553" t="s">
        <v>131</v>
      </c>
      <c r="F218" s="553" t="s">
        <v>83</v>
      </c>
      <c r="G218" s="554">
        <v>1</v>
      </c>
      <c r="H218" s="555">
        <v>601630.92999999993</v>
      </c>
      <c r="I218" s="556">
        <v>0</v>
      </c>
      <c r="J218" s="555">
        <f t="shared" si="39"/>
        <v>601630.92999999993</v>
      </c>
      <c r="K218" s="555">
        <f t="shared" si="40"/>
        <v>601630.92999999993</v>
      </c>
      <c r="M218" s="500" t="s">
        <v>611</v>
      </c>
      <c r="N218" s="500"/>
      <c r="O218" s="500"/>
      <c r="P218" s="500"/>
      <c r="Q218" s="500"/>
      <c r="R218" s="500"/>
      <c r="S218" s="500"/>
      <c r="T218" s="500"/>
      <c r="U218" s="500"/>
      <c r="V218" s="490"/>
    </row>
    <row r="219" spans="1:22" hidden="1" outlineLevel="1">
      <c r="A219" s="552" t="s">
        <v>615</v>
      </c>
      <c r="B219" s="553" t="s">
        <v>616</v>
      </c>
      <c r="C219" s="553" t="s">
        <v>70</v>
      </c>
      <c r="D219" s="553" t="s">
        <v>75</v>
      </c>
      <c r="E219" s="553" t="s">
        <v>76</v>
      </c>
      <c r="F219" s="553" t="s">
        <v>185</v>
      </c>
      <c r="G219" s="554">
        <v>215053</v>
      </c>
      <c r="H219" s="565">
        <v>0.25</v>
      </c>
      <c r="I219" s="556">
        <v>0</v>
      </c>
      <c r="J219" s="565">
        <f t="shared" si="39"/>
        <v>0.25</v>
      </c>
      <c r="K219" s="555">
        <f t="shared" si="40"/>
        <v>53763.25</v>
      </c>
      <c r="M219" s="500"/>
      <c r="N219" s="500"/>
      <c r="O219" s="500"/>
      <c r="P219" s="500"/>
      <c r="Q219" s="500"/>
      <c r="R219" s="500"/>
      <c r="S219" s="500"/>
      <c r="T219" s="500"/>
      <c r="U219" s="500"/>
      <c r="V219" s="490"/>
    </row>
    <row r="220" spans="1:22" hidden="1" outlineLevel="1">
      <c r="A220" s="552" t="s">
        <v>617</v>
      </c>
      <c r="B220" s="553" t="s">
        <v>618</v>
      </c>
      <c r="C220" s="553" t="s">
        <v>70</v>
      </c>
      <c r="D220" s="553" t="s">
        <v>97</v>
      </c>
      <c r="E220" s="553" t="s">
        <v>329</v>
      </c>
      <c r="F220" s="553" t="s">
        <v>185</v>
      </c>
      <c r="G220" s="554">
        <v>3000</v>
      </c>
      <c r="H220" s="565">
        <v>8.5</v>
      </c>
      <c r="I220" s="556">
        <v>0</v>
      </c>
      <c r="J220" s="565">
        <f t="shared" si="39"/>
        <v>8.5</v>
      </c>
      <c r="K220" s="555">
        <f t="shared" si="40"/>
        <v>25500</v>
      </c>
      <c r="M220" s="500" t="s">
        <v>76</v>
      </c>
      <c r="N220" s="500"/>
      <c r="O220" s="500"/>
      <c r="P220" s="500"/>
      <c r="Q220" s="500"/>
      <c r="R220" s="500"/>
      <c r="S220" s="500"/>
      <c r="T220" s="500"/>
      <c r="U220" s="500"/>
      <c r="V220" s="490"/>
    </row>
    <row r="221" spans="1:22" hidden="1" outlineLevel="1">
      <c r="A221" s="552" t="s">
        <v>619</v>
      </c>
      <c r="B221" s="553" t="s">
        <v>620</v>
      </c>
      <c r="C221" s="553" t="s">
        <v>70</v>
      </c>
      <c r="D221" s="553" t="s">
        <v>103</v>
      </c>
      <c r="E221" s="553" t="s">
        <v>329</v>
      </c>
      <c r="F221" s="553" t="s">
        <v>185</v>
      </c>
      <c r="G221" s="554">
        <v>8023</v>
      </c>
      <c r="H221" s="565">
        <v>8.5</v>
      </c>
      <c r="I221" s="556">
        <v>0</v>
      </c>
      <c r="J221" s="565">
        <f t="shared" si="39"/>
        <v>8.5</v>
      </c>
      <c r="K221" s="555">
        <f t="shared" si="40"/>
        <v>68195.5</v>
      </c>
      <c r="M221" s="500" t="s">
        <v>621</v>
      </c>
      <c r="N221" s="500"/>
      <c r="O221" s="500"/>
      <c r="P221" s="500"/>
      <c r="Q221" s="500"/>
      <c r="R221" s="500"/>
      <c r="S221" s="500"/>
      <c r="T221" s="500"/>
      <c r="U221" s="500"/>
      <c r="V221" s="490"/>
    </row>
    <row r="222" spans="1:22" hidden="1" outlineLevel="1">
      <c r="A222" s="552" t="s">
        <v>622</v>
      </c>
      <c r="B222" s="553" t="s">
        <v>623</v>
      </c>
      <c r="C222" s="553" t="s">
        <v>70</v>
      </c>
      <c r="D222" s="553" t="s">
        <v>75</v>
      </c>
      <c r="E222" s="553" t="s">
        <v>886</v>
      </c>
      <c r="F222" s="553" t="s">
        <v>83</v>
      </c>
      <c r="G222" s="554">
        <v>1</v>
      </c>
      <c r="H222" s="555">
        <v>114991.74</v>
      </c>
      <c r="I222" s="556">
        <v>0</v>
      </c>
      <c r="J222" s="555">
        <f t="shared" si="39"/>
        <v>114991.74</v>
      </c>
      <c r="K222" s="555">
        <f t="shared" si="40"/>
        <v>114991.74</v>
      </c>
      <c r="M222" s="500" t="s">
        <v>611</v>
      </c>
      <c r="N222" s="500"/>
      <c r="O222" s="500"/>
      <c r="P222" s="500"/>
      <c r="Q222" s="500"/>
      <c r="R222" s="500"/>
      <c r="S222" s="500"/>
      <c r="T222" s="500"/>
      <c r="U222" s="500"/>
      <c r="V222" s="490"/>
    </row>
    <row r="223" spans="1:22" hidden="1" outlineLevel="1">
      <c r="A223" s="552" t="s">
        <v>624</v>
      </c>
      <c r="B223" s="553" t="s">
        <v>625</v>
      </c>
      <c r="C223" s="553" t="s">
        <v>70</v>
      </c>
      <c r="D223" s="553" t="s">
        <v>75</v>
      </c>
      <c r="E223" s="553" t="s">
        <v>886</v>
      </c>
      <c r="F223" s="553" t="s">
        <v>83</v>
      </c>
      <c r="G223" s="554">
        <v>1</v>
      </c>
      <c r="H223" s="555">
        <v>134729.4</v>
      </c>
      <c r="I223" s="556">
        <v>0</v>
      </c>
      <c r="J223" s="555">
        <f t="shared" si="39"/>
        <v>134729.4</v>
      </c>
      <c r="K223" s="555">
        <f t="shared" si="40"/>
        <v>134729.4</v>
      </c>
      <c r="M223" s="500" t="s">
        <v>611</v>
      </c>
      <c r="N223" s="500"/>
      <c r="O223" s="500"/>
      <c r="P223" s="500"/>
      <c r="Q223" s="500"/>
      <c r="R223" s="500"/>
      <c r="S223" s="500"/>
      <c r="T223" s="500"/>
      <c r="U223" s="500"/>
      <c r="V223" s="490"/>
    </row>
    <row r="224" spans="1:22" hidden="1" outlineLevel="1">
      <c r="A224" s="574" t="s">
        <v>626</v>
      </c>
      <c r="B224" s="553" t="s">
        <v>627</v>
      </c>
      <c r="C224" s="553" t="s">
        <v>70</v>
      </c>
      <c r="D224" s="553" t="s">
        <v>75</v>
      </c>
      <c r="E224" s="553" t="s">
        <v>886</v>
      </c>
      <c r="F224" s="553" t="s">
        <v>83</v>
      </c>
      <c r="G224" s="554">
        <v>1</v>
      </c>
      <c r="H224" s="555">
        <v>338206.88750000001</v>
      </c>
      <c r="I224" s="556">
        <v>0</v>
      </c>
      <c r="J224" s="555">
        <f t="shared" si="39"/>
        <v>338206.88750000001</v>
      </c>
      <c r="K224" s="555">
        <f t="shared" si="40"/>
        <v>338206.88750000001</v>
      </c>
      <c r="M224" s="500" t="s">
        <v>903</v>
      </c>
      <c r="N224" s="500"/>
      <c r="O224" s="500"/>
      <c r="P224" s="500"/>
      <c r="Q224" s="500"/>
      <c r="R224" s="500"/>
      <c r="S224" s="500"/>
      <c r="T224" s="500"/>
      <c r="U224" s="500"/>
      <c r="V224" s="490"/>
    </row>
    <row r="225" spans="1:22" hidden="1" outlineLevel="1">
      <c r="A225" s="552" t="s">
        <v>628</v>
      </c>
      <c r="B225" s="553" t="s">
        <v>629</v>
      </c>
      <c r="C225" s="553" t="s">
        <v>70</v>
      </c>
      <c r="D225" s="553" t="s">
        <v>97</v>
      </c>
      <c r="E225" s="553" t="s">
        <v>87</v>
      </c>
      <c r="F225" s="553"/>
      <c r="G225" s="554"/>
      <c r="H225" s="565"/>
      <c r="I225" s="556">
        <v>0</v>
      </c>
      <c r="J225" s="555">
        <f t="shared" si="39"/>
        <v>0</v>
      </c>
      <c r="K225" s="555">
        <f t="shared" si="40"/>
        <v>0</v>
      </c>
      <c r="M225" s="500"/>
      <c r="N225" s="500"/>
      <c r="O225" s="500"/>
      <c r="P225" s="500"/>
      <c r="Q225" s="500"/>
      <c r="R225" s="500"/>
      <c r="S225" s="500"/>
      <c r="T225" s="500"/>
      <c r="U225" s="500"/>
      <c r="V225" s="490"/>
    </row>
    <row r="226" spans="1:22" hidden="1" outlineLevel="1">
      <c r="A226" s="552" t="s">
        <v>630</v>
      </c>
      <c r="B226" s="553" t="s">
        <v>631</v>
      </c>
      <c r="C226" s="553" t="s">
        <v>70</v>
      </c>
      <c r="D226" s="553" t="s">
        <v>103</v>
      </c>
      <c r="E226" s="553" t="s">
        <v>76</v>
      </c>
      <c r="F226" s="553" t="s">
        <v>83</v>
      </c>
      <c r="G226" s="554">
        <f>'Assumptions &amp; Takeoffs'!$B$16</f>
        <v>1</v>
      </c>
      <c r="H226" s="555">
        <v>10000</v>
      </c>
      <c r="I226" s="556">
        <v>0</v>
      </c>
      <c r="J226" s="555">
        <f t="shared" si="39"/>
        <v>10000</v>
      </c>
      <c r="K226" s="555">
        <f t="shared" si="40"/>
        <v>10000</v>
      </c>
      <c r="M226" s="500"/>
      <c r="N226" s="500"/>
      <c r="O226" s="500"/>
      <c r="P226" s="500"/>
      <c r="Q226" s="500"/>
      <c r="R226" s="500"/>
      <c r="S226" s="500"/>
      <c r="T226" s="500"/>
      <c r="U226" s="500"/>
      <c r="V226" s="490"/>
    </row>
    <row r="227" spans="1:22" hidden="1" outlineLevel="1">
      <c r="A227" s="552" t="s">
        <v>632</v>
      </c>
      <c r="B227" s="553" t="s">
        <v>633</v>
      </c>
      <c r="C227" s="553" t="s">
        <v>70</v>
      </c>
      <c r="D227" s="553" t="s">
        <v>75</v>
      </c>
      <c r="E227" s="553" t="s">
        <v>76</v>
      </c>
      <c r="F227" s="553" t="s">
        <v>552</v>
      </c>
      <c r="G227" s="601">
        <f>$B$9</f>
        <v>17.350000000000001</v>
      </c>
      <c r="H227" s="555">
        <v>3000</v>
      </c>
      <c r="I227" s="556">
        <v>0</v>
      </c>
      <c r="J227" s="555">
        <f t="shared" si="39"/>
        <v>3000</v>
      </c>
      <c r="K227" s="555">
        <f t="shared" si="40"/>
        <v>52050.000000000007</v>
      </c>
      <c r="M227" s="500"/>
      <c r="N227" s="500"/>
      <c r="O227" s="500"/>
      <c r="P227" s="500"/>
      <c r="Q227" s="500"/>
      <c r="R227" s="500"/>
      <c r="S227" s="500"/>
      <c r="T227" s="500"/>
      <c r="U227" s="500"/>
      <c r="V227" s="490"/>
    </row>
    <row r="228" spans="1:22" hidden="1" outlineLevel="1">
      <c r="A228" s="552" t="s">
        <v>634</v>
      </c>
      <c r="B228" s="553" t="s">
        <v>635</v>
      </c>
      <c r="C228" s="553" t="s">
        <v>70</v>
      </c>
      <c r="D228" s="553" t="s">
        <v>75</v>
      </c>
      <c r="E228" s="553" t="s">
        <v>343</v>
      </c>
      <c r="F228" s="553" t="s">
        <v>83</v>
      </c>
      <c r="G228" s="554">
        <v>1</v>
      </c>
      <c r="H228" s="555">
        <v>164035.4</v>
      </c>
      <c r="I228" s="556">
        <v>0</v>
      </c>
      <c r="J228" s="555">
        <f t="shared" si="39"/>
        <v>164035.4</v>
      </c>
      <c r="K228" s="555">
        <f t="shared" si="40"/>
        <v>164035.4</v>
      </c>
      <c r="M228" s="500" t="s">
        <v>904</v>
      </c>
      <c r="N228" s="500"/>
      <c r="O228" s="500"/>
      <c r="P228" s="500"/>
      <c r="Q228" s="500"/>
      <c r="R228" s="500"/>
      <c r="S228" s="500"/>
      <c r="T228" s="500"/>
      <c r="U228" s="500"/>
      <c r="V228" s="490"/>
    </row>
    <row r="229" spans="1:22" hidden="1" outlineLevel="1">
      <c r="A229" s="552" t="s">
        <v>636</v>
      </c>
      <c r="B229" s="553" t="s">
        <v>637</v>
      </c>
      <c r="C229" s="553" t="s">
        <v>70</v>
      </c>
      <c r="D229" s="553" t="s">
        <v>97</v>
      </c>
      <c r="E229" s="553" t="s">
        <v>343</v>
      </c>
      <c r="F229" s="553" t="s">
        <v>132</v>
      </c>
      <c r="G229" s="554">
        <f>'Assumptions &amp; Takeoffs'!$B$14</f>
        <v>14</v>
      </c>
      <c r="H229" s="555">
        <v>2485</v>
      </c>
      <c r="I229" s="556">
        <v>0</v>
      </c>
      <c r="J229" s="555">
        <f t="shared" si="39"/>
        <v>2485</v>
      </c>
      <c r="K229" s="555">
        <f t="shared" si="40"/>
        <v>34790</v>
      </c>
      <c r="M229" s="500"/>
      <c r="N229" s="500"/>
      <c r="O229" s="500"/>
      <c r="P229" s="500"/>
      <c r="Q229" s="500"/>
      <c r="R229" s="500"/>
      <c r="S229" s="500"/>
      <c r="T229" s="500"/>
      <c r="U229" s="500"/>
      <c r="V229" s="490"/>
    </row>
    <row r="230" spans="1:22" hidden="1" outlineLevel="1">
      <c r="A230" s="552" t="s">
        <v>638</v>
      </c>
      <c r="B230" s="553" t="s">
        <v>639</v>
      </c>
      <c r="C230" s="553" t="s">
        <v>144</v>
      </c>
      <c r="D230" s="553" t="s">
        <v>97</v>
      </c>
      <c r="E230" s="553" t="s">
        <v>76</v>
      </c>
      <c r="F230" s="553" t="s">
        <v>83</v>
      </c>
      <c r="G230" s="554">
        <v>1</v>
      </c>
      <c r="H230" s="555">
        <v>15000</v>
      </c>
      <c r="I230" s="556">
        <v>0</v>
      </c>
      <c r="J230" s="555">
        <f t="shared" si="39"/>
        <v>15000</v>
      </c>
      <c r="K230" s="555">
        <f t="shared" si="40"/>
        <v>15000</v>
      </c>
      <c r="M230" s="500"/>
      <c r="N230" s="500"/>
      <c r="O230" s="500"/>
      <c r="P230" s="500"/>
      <c r="Q230" s="500"/>
      <c r="R230" s="500"/>
      <c r="S230" s="500"/>
      <c r="T230" s="500"/>
      <c r="U230" s="500"/>
      <c r="V230" s="490"/>
    </row>
    <row r="231" spans="1:22" hidden="1" outlineLevel="1">
      <c r="A231" s="552" t="s">
        <v>640</v>
      </c>
      <c r="B231" s="553" t="s">
        <v>641</v>
      </c>
      <c r="C231" s="553" t="s">
        <v>70</v>
      </c>
      <c r="D231" s="553" t="s">
        <v>75</v>
      </c>
      <c r="E231" s="553" t="s">
        <v>76</v>
      </c>
      <c r="F231" s="553" t="s">
        <v>169</v>
      </c>
      <c r="G231" s="554">
        <v>300</v>
      </c>
      <c r="H231" s="555">
        <v>55</v>
      </c>
      <c r="I231" s="556">
        <v>0</v>
      </c>
      <c r="J231" s="555">
        <f t="shared" si="39"/>
        <v>55</v>
      </c>
      <c r="K231" s="555">
        <f t="shared" si="40"/>
        <v>16500</v>
      </c>
      <c r="M231" s="500"/>
      <c r="N231" s="500"/>
      <c r="O231" s="500"/>
      <c r="P231" s="500"/>
      <c r="Q231" s="500"/>
      <c r="R231" s="500"/>
      <c r="S231" s="500"/>
      <c r="T231" s="500"/>
      <c r="U231" s="500"/>
      <c r="V231" s="490"/>
    </row>
    <row r="232" spans="1:22" hidden="1" outlineLevel="1">
      <c r="A232" s="552" t="s">
        <v>642</v>
      </c>
      <c r="B232" s="553" t="s">
        <v>643</v>
      </c>
      <c r="C232" s="553" t="s">
        <v>70</v>
      </c>
      <c r="D232" s="553" t="s">
        <v>103</v>
      </c>
      <c r="E232" s="553" t="s">
        <v>343</v>
      </c>
      <c r="F232" s="553" t="s">
        <v>169</v>
      </c>
      <c r="G232" s="554">
        <v>300</v>
      </c>
      <c r="H232" s="555">
        <v>70</v>
      </c>
      <c r="I232" s="556">
        <v>0</v>
      </c>
      <c r="J232" s="555">
        <f t="shared" si="39"/>
        <v>70</v>
      </c>
      <c r="K232" s="555">
        <f t="shared" si="40"/>
        <v>21000</v>
      </c>
      <c r="M232" s="500"/>
      <c r="N232" s="500"/>
      <c r="O232" s="500"/>
      <c r="P232" s="500"/>
      <c r="Q232" s="500"/>
      <c r="R232" s="500"/>
      <c r="S232" s="500"/>
      <c r="T232" s="500"/>
      <c r="U232" s="500"/>
      <c r="V232" s="490"/>
    </row>
    <row r="233" spans="1:22" hidden="1" outlineLevel="1">
      <c r="A233" s="552" t="s">
        <v>644</v>
      </c>
      <c r="B233" s="553" t="s">
        <v>643</v>
      </c>
      <c r="C233" s="553" t="s">
        <v>70</v>
      </c>
      <c r="D233" s="553" t="s">
        <v>103</v>
      </c>
      <c r="E233" s="553" t="s">
        <v>343</v>
      </c>
      <c r="F233" s="553" t="s">
        <v>132</v>
      </c>
      <c r="G233" s="554">
        <f>'Assumptions &amp; Takeoffs'!$B$16*2</f>
        <v>2</v>
      </c>
      <c r="H233" s="555">
        <v>1950</v>
      </c>
      <c r="I233" s="556">
        <v>0</v>
      </c>
      <c r="J233" s="555">
        <f t="shared" si="39"/>
        <v>1950</v>
      </c>
      <c r="K233" s="555">
        <f t="shared" si="40"/>
        <v>3900</v>
      </c>
      <c r="M233" s="500"/>
      <c r="N233" s="500"/>
      <c r="O233" s="500"/>
      <c r="P233" s="500"/>
      <c r="Q233" s="500"/>
      <c r="R233" s="500"/>
      <c r="S233" s="500"/>
      <c r="T233" s="500"/>
      <c r="U233" s="500"/>
      <c r="V233" s="490"/>
    </row>
    <row r="234" spans="1:22" hidden="1" outlineLevel="1">
      <c r="A234" s="552" t="s">
        <v>645</v>
      </c>
      <c r="B234" s="553" t="s">
        <v>646</v>
      </c>
      <c r="C234" s="553" t="s">
        <v>70</v>
      </c>
      <c r="D234" s="553" t="s">
        <v>75</v>
      </c>
      <c r="E234" s="553" t="s">
        <v>343</v>
      </c>
      <c r="F234" s="553" t="s">
        <v>83</v>
      </c>
      <c r="G234" s="554">
        <v>1</v>
      </c>
      <c r="H234" s="555">
        <v>6000</v>
      </c>
      <c r="I234" s="556">
        <v>0</v>
      </c>
      <c r="J234" s="555">
        <f t="shared" si="39"/>
        <v>6000</v>
      </c>
      <c r="K234" s="555">
        <f t="shared" si="40"/>
        <v>6000</v>
      </c>
      <c r="M234" s="500" t="s">
        <v>647</v>
      </c>
      <c r="N234" s="500"/>
      <c r="O234" s="500"/>
      <c r="P234" s="500"/>
      <c r="Q234" s="500"/>
      <c r="R234" s="500"/>
      <c r="S234" s="500"/>
      <c r="T234" s="500"/>
      <c r="U234" s="500"/>
      <c r="V234" s="490"/>
    </row>
    <row r="235" spans="1:22" hidden="1" outlineLevel="1">
      <c r="A235" s="552" t="s">
        <v>648</v>
      </c>
      <c r="B235" s="553" t="s">
        <v>649</v>
      </c>
      <c r="C235" s="553" t="s">
        <v>70</v>
      </c>
      <c r="D235" s="553" t="s">
        <v>75</v>
      </c>
      <c r="E235" s="553" t="s">
        <v>87</v>
      </c>
      <c r="F235" s="553"/>
      <c r="G235" s="554"/>
      <c r="H235" s="555">
        <v>3555</v>
      </c>
      <c r="I235" s="556">
        <v>0</v>
      </c>
      <c r="J235" s="555">
        <f t="shared" si="39"/>
        <v>3555</v>
      </c>
      <c r="K235" s="555">
        <f t="shared" si="40"/>
        <v>0</v>
      </c>
      <c r="M235" s="500"/>
      <c r="N235" s="500"/>
      <c r="O235" s="500"/>
      <c r="P235" s="500"/>
      <c r="Q235" s="500"/>
      <c r="R235" s="500"/>
      <c r="S235" s="500"/>
      <c r="T235" s="500"/>
      <c r="U235" s="500"/>
      <c r="V235" s="490"/>
    </row>
    <row r="236" spans="1:22" hidden="1" outlineLevel="1">
      <c r="A236" s="552" t="s">
        <v>650</v>
      </c>
      <c r="B236" s="553" t="s">
        <v>651</v>
      </c>
      <c r="C236" s="553" t="s">
        <v>70</v>
      </c>
      <c r="D236" s="553" t="s">
        <v>75</v>
      </c>
      <c r="E236" s="553" t="s">
        <v>87</v>
      </c>
      <c r="F236" s="553"/>
      <c r="G236" s="554"/>
      <c r="H236" s="555">
        <v>44</v>
      </c>
      <c r="I236" s="556">
        <v>0</v>
      </c>
      <c r="J236" s="555">
        <f t="shared" si="39"/>
        <v>44</v>
      </c>
      <c r="K236" s="555">
        <f t="shared" si="40"/>
        <v>0</v>
      </c>
      <c r="M236" s="500"/>
      <c r="N236" s="500"/>
      <c r="O236" s="500"/>
      <c r="P236" s="500"/>
      <c r="Q236" s="500"/>
      <c r="R236" s="500"/>
      <c r="S236" s="500"/>
      <c r="T236" s="500"/>
      <c r="U236" s="500"/>
      <c r="V236" s="490"/>
    </row>
    <row r="237" spans="1:22" hidden="1" outlineLevel="1">
      <c r="A237" s="552" t="s">
        <v>652</v>
      </c>
      <c r="B237" s="553" t="s">
        <v>653</v>
      </c>
      <c r="C237" s="553" t="s">
        <v>70</v>
      </c>
      <c r="D237" s="553" t="s">
        <v>75</v>
      </c>
      <c r="E237" s="553" t="s">
        <v>131</v>
      </c>
      <c r="F237" s="553" t="s">
        <v>83</v>
      </c>
      <c r="G237" s="554">
        <v>0</v>
      </c>
      <c r="H237" s="555">
        <v>1950</v>
      </c>
      <c r="I237" s="556">
        <v>0</v>
      </c>
      <c r="J237" s="555">
        <f t="shared" si="39"/>
        <v>1950</v>
      </c>
      <c r="K237" s="555">
        <f t="shared" si="40"/>
        <v>0</v>
      </c>
      <c r="M237" s="500"/>
      <c r="N237" s="500"/>
      <c r="O237" s="500"/>
      <c r="P237" s="500"/>
      <c r="Q237" s="500"/>
      <c r="R237" s="500"/>
      <c r="S237" s="500"/>
      <c r="T237" s="500"/>
      <c r="U237" s="500"/>
      <c r="V237" s="490"/>
    </row>
    <row r="238" spans="1:22" hidden="1" outlineLevel="1">
      <c r="A238" s="552" t="s">
        <v>654</v>
      </c>
      <c r="B238" s="553" t="s">
        <v>655</v>
      </c>
      <c r="C238" s="553" t="s">
        <v>70</v>
      </c>
      <c r="D238" s="553" t="s">
        <v>75</v>
      </c>
      <c r="E238" s="553" t="s">
        <v>76</v>
      </c>
      <c r="F238" s="553" t="s">
        <v>83</v>
      </c>
      <c r="G238" s="601">
        <f t="shared" ref="G238" si="41">$B$9</f>
        <v>17.350000000000001</v>
      </c>
      <c r="H238" s="555">
        <v>5000</v>
      </c>
      <c r="I238" s="556">
        <v>0</v>
      </c>
      <c r="J238" s="555">
        <f t="shared" si="39"/>
        <v>5000</v>
      </c>
      <c r="K238" s="555">
        <f t="shared" si="40"/>
        <v>86750</v>
      </c>
      <c r="M238" s="500"/>
      <c r="N238" s="500"/>
      <c r="O238" s="500"/>
      <c r="P238" s="500"/>
      <c r="Q238" s="500"/>
      <c r="R238" s="500"/>
      <c r="S238" s="500"/>
      <c r="T238" s="500"/>
      <c r="U238" s="500"/>
      <c r="V238" s="490"/>
    </row>
    <row r="239" spans="1:22" hidden="1" outlineLevel="1">
      <c r="A239" s="552" t="s">
        <v>656</v>
      </c>
      <c r="B239" s="553" t="s">
        <v>657</v>
      </c>
      <c r="C239" s="553" t="s">
        <v>70</v>
      </c>
      <c r="D239" s="553" t="s">
        <v>75</v>
      </c>
      <c r="E239" s="553" t="s">
        <v>886</v>
      </c>
      <c r="F239" s="553" t="s">
        <v>83</v>
      </c>
      <c r="G239" s="554">
        <v>1</v>
      </c>
      <c r="H239" s="555">
        <v>493481.67499999999</v>
      </c>
      <c r="I239" s="556">
        <v>0</v>
      </c>
      <c r="J239" s="555">
        <f t="shared" si="39"/>
        <v>493481.67499999999</v>
      </c>
      <c r="K239" s="555">
        <f t="shared" si="40"/>
        <v>493481.67499999999</v>
      </c>
      <c r="M239" s="500" t="s">
        <v>660</v>
      </c>
      <c r="N239" s="500"/>
      <c r="O239" s="500"/>
      <c r="P239" s="500"/>
      <c r="Q239" s="500"/>
      <c r="R239" s="500"/>
      <c r="S239" s="500"/>
      <c r="T239" s="500"/>
      <c r="U239" s="500"/>
      <c r="V239" s="490"/>
    </row>
    <row r="240" spans="1:22" hidden="1" outlineLevel="1">
      <c r="A240" s="552" t="s">
        <v>658</v>
      </c>
      <c r="B240" s="553" t="s">
        <v>659</v>
      </c>
      <c r="C240" s="553" t="s">
        <v>70</v>
      </c>
      <c r="D240" s="553" t="s">
        <v>75</v>
      </c>
      <c r="E240" s="553" t="s">
        <v>886</v>
      </c>
      <c r="F240" s="553" t="s">
        <v>83</v>
      </c>
      <c r="G240" s="554">
        <v>1</v>
      </c>
      <c r="H240" s="555">
        <v>31250</v>
      </c>
      <c r="I240" s="556">
        <v>0</v>
      </c>
      <c r="J240" s="555">
        <f t="shared" si="39"/>
        <v>31250</v>
      </c>
      <c r="K240" s="555">
        <f t="shared" si="40"/>
        <v>31250</v>
      </c>
      <c r="M240" s="500" t="s">
        <v>660</v>
      </c>
      <c r="N240" s="500"/>
      <c r="O240" s="500"/>
      <c r="P240" s="500"/>
      <c r="Q240" s="500"/>
      <c r="R240" s="500"/>
      <c r="S240" s="500"/>
      <c r="T240" s="500"/>
      <c r="U240" s="500"/>
      <c r="V240" s="490"/>
    </row>
    <row r="241" spans="1:22" hidden="1" outlineLevel="1">
      <c r="A241" s="552" t="s">
        <v>661</v>
      </c>
      <c r="B241" s="553" t="s">
        <v>662</v>
      </c>
      <c r="C241" s="553" t="s">
        <v>70</v>
      </c>
      <c r="D241" s="553" t="s">
        <v>75</v>
      </c>
      <c r="E241" s="553" t="s">
        <v>886</v>
      </c>
      <c r="F241" s="553" t="s">
        <v>83</v>
      </c>
      <c r="G241" s="554">
        <v>1</v>
      </c>
      <c r="H241" s="555">
        <v>303105.8</v>
      </c>
      <c r="I241" s="556">
        <v>0</v>
      </c>
      <c r="J241" s="555">
        <f t="shared" si="39"/>
        <v>303105.8</v>
      </c>
      <c r="K241" s="555">
        <f t="shared" si="40"/>
        <v>303105.8</v>
      </c>
      <c r="M241" s="500" t="s">
        <v>660</v>
      </c>
      <c r="N241" s="500"/>
      <c r="O241" s="500"/>
      <c r="P241" s="500"/>
      <c r="Q241" s="500"/>
      <c r="R241" s="500"/>
      <c r="S241" s="500"/>
      <c r="T241" s="500"/>
      <c r="U241" s="500"/>
      <c r="V241" s="490"/>
    </row>
    <row r="242" spans="1:22" hidden="1" outlineLevel="1">
      <c r="A242" s="552" t="s">
        <v>663</v>
      </c>
      <c r="B242" s="553" t="s">
        <v>664</v>
      </c>
      <c r="C242" s="553" t="s">
        <v>144</v>
      </c>
      <c r="D242" s="553" t="s">
        <v>103</v>
      </c>
      <c r="E242" s="553" t="s">
        <v>76</v>
      </c>
      <c r="F242" s="553" t="s">
        <v>83</v>
      </c>
      <c r="G242" s="554">
        <v>2</v>
      </c>
      <c r="H242" s="555">
        <v>7500</v>
      </c>
      <c r="I242" s="556">
        <v>0</v>
      </c>
      <c r="J242" s="555">
        <f t="shared" si="39"/>
        <v>7500</v>
      </c>
      <c r="K242" s="555">
        <f t="shared" si="40"/>
        <v>15000</v>
      </c>
      <c r="M242" s="500"/>
      <c r="N242" s="500"/>
      <c r="O242" s="500"/>
      <c r="P242" s="500"/>
      <c r="Q242" s="500"/>
      <c r="R242" s="500"/>
      <c r="S242" s="500"/>
      <c r="T242" s="500"/>
      <c r="U242" s="500"/>
      <c r="V242" s="490"/>
    </row>
    <row r="243" spans="1:22" hidden="1" outlineLevel="1">
      <c r="A243" s="552" t="s">
        <v>665</v>
      </c>
      <c r="B243" s="553" t="s">
        <v>666</v>
      </c>
      <c r="C243" s="553" t="s">
        <v>144</v>
      </c>
      <c r="D243" s="553" t="s">
        <v>81</v>
      </c>
      <c r="E243" s="553" t="s">
        <v>76</v>
      </c>
      <c r="F243" s="553" t="s">
        <v>83</v>
      </c>
      <c r="G243" s="554">
        <v>1</v>
      </c>
      <c r="H243" s="555">
        <v>7000</v>
      </c>
      <c r="I243" s="556">
        <v>0</v>
      </c>
      <c r="J243" s="555">
        <f t="shared" si="39"/>
        <v>7000</v>
      </c>
      <c r="K243" s="555">
        <f t="shared" si="40"/>
        <v>7000</v>
      </c>
      <c r="M243" s="500"/>
      <c r="N243" s="500"/>
      <c r="O243" s="500"/>
      <c r="P243" s="500"/>
      <c r="Q243" s="500"/>
      <c r="R243" s="500"/>
      <c r="S243" s="500"/>
      <c r="T243" s="500"/>
      <c r="U243" s="500"/>
      <c r="V243" s="490"/>
    </row>
    <row r="244" spans="1:22" hidden="1" outlineLevel="1">
      <c r="A244" s="552" t="s">
        <v>210</v>
      </c>
      <c r="B244" s="553" t="s">
        <v>667</v>
      </c>
      <c r="C244" s="553" t="s">
        <v>70</v>
      </c>
      <c r="D244" s="553" t="s">
        <v>75</v>
      </c>
      <c r="E244" s="553" t="s">
        <v>886</v>
      </c>
      <c r="F244" s="553" t="s">
        <v>185</v>
      </c>
      <c r="G244" s="546">
        <f>'Assumptions &amp; Takeoffs'!E13</f>
        <v>316370.92</v>
      </c>
      <c r="H244" s="570">
        <v>9</v>
      </c>
      <c r="I244" s="556">
        <v>0</v>
      </c>
      <c r="J244" s="565">
        <f t="shared" si="39"/>
        <v>9</v>
      </c>
      <c r="K244" s="555">
        <f t="shared" si="40"/>
        <v>2847338.28</v>
      </c>
      <c r="M244" s="500" t="s">
        <v>668</v>
      </c>
      <c r="N244" s="500"/>
      <c r="O244" s="500"/>
      <c r="P244" s="500"/>
      <c r="Q244" s="500"/>
      <c r="R244" s="500"/>
      <c r="S244" s="500"/>
      <c r="T244" s="500"/>
      <c r="U244" s="500"/>
      <c r="V244" s="490"/>
    </row>
    <row r="245" spans="1:22" hidden="1" outlineLevel="1">
      <c r="A245" s="552" t="s">
        <v>669</v>
      </c>
      <c r="B245" s="553" t="s">
        <v>667</v>
      </c>
      <c r="C245" s="553" t="s">
        <v>70</v>
      </c>
      <c r="D245" s="553" t="s">
        <v>75</v>
      </c>
      <c r="E245" s="553" t="s">
        <v>87</v>
      </c>
      <c r="F245" s="553"/>
      <c r="G245" s="554"/>
      <c r="H245" s="565"/>
      <c r="I245" s="556">
        <v>0</v>
      </c>
      <c r="J245" s="565">
        <f t="shared" si="39"/>
        <v>0</v>
      </c>
      <c r="K245" s="555">
        <f t="shared" si="40"/>
        <v>0</v>
      </c>
      <c r="M245" s="500"/>
      <c r="N245" s="500"/>
      <c r="O245" s="500"/>
      <c r="P245" s="500"/>
      <c r="Q245" s="500"/>
      <c r="R245" s="500"/>
      <c r="S245" s="500"/>
      <c r="T245" s="500"/>
      <c r="U245" s="500"/>
      <c r="V245" s="490"/>
    </row>
    <row r="246" spans="1:22" hidden="1" outlineLevel="1">
      <c r="A246" s="552" t="s">
        <v>670</v>
      </c>
      <c r="B246" s="553" t="s">
        <v>671</v>
      </c>
      <c r="C246" s="553" t="s">
        <v>70</v>
      </c>
      <c r="D246" s="553" t="s">
        <v>75</v>
      </c>
      <c r="E246" s="553" t="s">
        <v>87</v>
      </c>
      <c r="F246" s="553"/>
      <c r="G246" s="554"/>
      <c r="H246" s="555"/>
      <c r="I246" s="556">
        <v>0</v>
      </c>
      <c r="J246" s="555">
        <f t="shared" si="39"/>
        <v>0</v>
      </c>
      <c r="K246" s="555">
        <f t="shared" si="40"/>
        <v>0</v>
      </c>
      <c r="M246" s="500"/>
      <c r="N246" s="500"/>
      <c r="O246" s="500"/>
      <c r="P246" s="500"/>
      <c r="Q246" s="500"/>
      <c r="R246" s="500"/>
      <c r="S246" s="500"/>
      <c r="T246" s="500"/>
      <c r="U246" s="500"/>
      <c r="V246" s="490"/>
    </row>
    <row r="247" spans="1:22" hidden="1" outlineLevel="1">
      <c r="A247" s="552" t="s">
        <v>672</v>
      </c>
      <c r="B247" s="553" t="s">
        <v>610</v>
      </c>
      <c r="C247" s="553" t="s">
        <v>70</v>
      </c>
      <c r="D247" s="553" t="s">
        <v>405</v>
      </c>
      <c r="E247" s="553" t="s">
        <v>673</v>
      </c>
      <c r="F247" s="553" t="s">
        <v>83</v>
      </c>
      <c r="G247" s="554">
        <v>1</v>
      </c>
      <c r="H247" s="555">
        <v>5000</v>
      </c>
      <c r="I247" s="556">
        <v>0</v>
      </c>
      <c r="J247" s="555">
        <f t="shared" si="39"/>
        <v>5000</v>
      </c>
      <c r="K247" s="555">
        <f t="shared" si="40"/>
        <v>5000</v>
      </c>
      <c r="M247" s="500"/>
      <c r="N247" s="500"/>
      <c r="O247" s="500"/>
      <c r="P247" s="500"/>
      <c r="Q247" s="500"/>
      <c r="R247" s="500"/>
      <c r="S247" s="500"/>
      <c r="T247" s="500"/>
      <c r="U247" s="500"/>
      <c r="V247" s="490"/>
    </row>
    <row r="248" spans="1:22" hidden="1" outlineLevel="1">
      <c r="A248" s="552" t="s">
        <v>674</v>
      </c>
      <c r="B248" s="553" t="s">
        <v>613</v>
      </c>
      <c r="C248" s="553" t="s">
        <v>70</v>
      </c>
      <c r="D248" s="553" t="s">
        <v>405</v>
      </c>
      <c r="E248" s="553" t="s">
        <v>131</v>
      </c>
      <c r="F248" s="553" t="s">
        <v>83</v>
      </c>
      <c r="G248" s="554">
        <v>1</v>
      </c>
      <c r="H248" s="555">
        <v>341251.0625</v>
      </c>
      <c r="I248" s="556">
        <v>0</v>
      </c>
      <c r="J248" s="555">
        <f t="shared" si="39"/>
        <v>341251.0625</v>
      </c>
      <c r="K248" s="555">
        <f t="shared" si="40"/>
        <v>341251.0625</v>
      </c>
      <c r="M248" s="500" t="s">
        <v>905</v>
      </c>
      <c r="N248" s="500"/>
      <c r="O248" s="500"/>
      <c r="P248" s="500"/>
      <c r="Q248" s="500"/>
      <c r="R248" s="500"/>
      <c r="S248" s="500"/>
      <c r="T248" s="500"/>
      <c r="U248" s="500"/>
      <c r="V248" s="490"/>
    </row>
    <row r="249" spans="1:22" hidden="1" outlineLevel="1">
      <c r="A249" s="552" t="s">
        <v>675</v>
      </c>
      <c r="B249" s="553" t="s">
        <v>623</v>
      </c>
      <c r="C249" s="553" t="s">
        <v>70</v>
      </c>
      <c r="D249" s="553" t="s">
        <v>405</v>
      </c>
      <c r="E249" s="553" t="s">
        <v>886</v>
      </c>
      <c r="F249" s="553" t="s">
        <v>83</v>
      </c>
      <c r="G249" s="554">
        <v>1</v>
      </c>
      <c r="H249" s="555">
        <v>45316</v>
      </c>
      <c r="I249" s="556">
        <v>0</v>
      </c>
      <c r="J249" s="555">
        <f t="shared" si="39"/>
        <v>45316</v>
      </c>
      <c r="K249" s="555">
        <f t="shared" si="40"/>
        <v>45316</v>
      </c>
      <c r="M249" s="500" t="s">
        <v>611</v>
      </c>
      <c r="N249" s="500"/>
      <c r="O249" s="500"/>
      <c r="P249" s="500"/>
      <c r="Q249" s="500"/>
      <c r="R249" s="500"/>
      <c r="S249" s="500"/>
      <c r="T249" s="500"/>
      <c r="U249" s="500"/>
      <c r="V249" s="490"/>
    </row>
    <row r="250" spans="1:22" hidden="1" outlineLevel="1">
      <c r="A250" s="552" t="s">
        <v>676</v>
      </c>
      <c r="B250" s="553" t="s">
        <v>627</v>
      </c>
      <c r="C250" s="553" t="s">
        <v>70</v>
      </c>
      <c r="D250" s="553" t="s">
        <v>405</v>
      </c>
      <c r="E250" s="553" t="s">
        <v>886</v>
      </c>
      <c r="F250" s="553" t="s">
        <v>83</v>
      </c>
      <c r="G250" s="554">
        <v>1</v>
      </c>
      <c r="H250" s="555">
        <v>25863</v>
      </c>
      <c r="I250" s="556">
        <v>0</v>
      </c>
      <c r="J250" s="555">
        <f t="shared" si="39"/>
        <v>25863</v>
      </c>
      <c r="K250" s="555">
        <f t="shared" si="40"/>
        <v>25863</v>
      </c>
      <c r="M250" s="500" t="s">
        <v>611</v>
      </c>
      <c r="N250" s="500"/>
      <c r="O250" s="500"/>
      <c r="P250" s="500"/>
      <c r="Q250" s="500"/>
      <c r="R250" s="500"/>
      <c r="S250" s="500"/>
      <c r="T250" s="500"/>
      <c r="U250" s="500"/>
      <c r="V250" s="490"/>
    </row>
    <row r="251" spans="1:22" hidden="1" outlineLevel="1">
      <c r="A251" s="552" t="s">
        <v>677</v>
      </c>
      <c r="B251" s="553" t="s">
        <v>678</v>
      </c>
      <c r="C251" s="553" t="s">
        <v>70</v>
      </c>
      <c r="D251" s="553" t="s">
        <v>405</v>
      </c>
      <c r="E251" s="553" t="s">
        <v>131</v>
      </c>
      <c r="F251" s="553" t="s">
        <v>83</v>
      </c>
      <c r="G251" s="554">
        <v>1</v>
      </c>
      <c r="H251" s="555">
        <v>0</v>
      </c>
      <c r="I251" s="556">
        <v>0</v>
      </c>
      <c r="J251" s="551">
        <f t="shared" si="39"/>
        <v>0</v>
      </c>
      <c r="K251" s="309">
        <f t="shared" si="40"/>
        <v>0</v>
      </c>
      <c r="M251" s="500"/>
      <c r="N251" s="500"/>
      <c r="O251" s="500"/>
      <c r="P251" s="500"/>
      <c r="Q251" s="500"/>
      <c r="R251" s="500"/>
      <c r="S251" s="500"/>
      <c r="T251" s="500"/>
      <c r="U251" s="500"/>
      <c r="V251" s="490"/>
    </row>
    <row r="252" spans="1:22" collapsed="1">
      <c r="A252" s="537" t="s">
        <v>679</v>
      </c>
      <c r="B252" s="538" t="s">
        <v>680</v>
      </c>
      <c r="C252" s="538"/>
      <c r="D252" s="538"/>
      <c r="E252" s="538"/>
      <c r="F252" s="538"/>
      <c r="G252" s="567"/>
      <c r="H252" s="568"/>
      <c r="I252" s="540"/>
      <c r="J252" s="569"/>
      <c r="K252" s="541"/>
      <c r="L252" s="542">
        <f>SUM(K215:K251)</f>
        <v>5896648.9249999989</v>
      </c>
      <c r="M252" s="543"/>
      <c r="N252" s="543"/>
      <c r="O252" s="543"/>
      <c r="P252" s="543"/>
      <c r="Q252" s="543"/>
      <c r="R252" s="543"/>
      <c r="S252" s="543"/>
      <c r="T252" s="543"/>
      <c r="U252" s="543"/>
      <c r="V252" s="490"/>
    </row>
    <row r="253" spans="1:22" hidden="1" outlineLevel="1">
      <c r="A253" s="552" t="s">
        <v>238</v>
      </c>
      <c r="B253" s="553" t="s">
        <v>681</v>
      </c>
      <c r="C253" s="553" t="s">
        <v>144</v>
      </c>
      <c r="D253" s="553"/>
      <c r="E253" s="553" t="s">
        <v>76</v>
      </c>
      <c r="F253" s="553" t="s">
        <v>344</v>
      </c>
      <c r="G253" s="554">
        <f>$N$9</f>
        <v>363</v>
      </c>
      <c r="H253" s="555">
        <v>375</v>
      </c>
      <c r="I253" s="556">
        <v>0</v>
      </c>
      <c r="J253" s="551">
        <f t="shared" ref="J253:J268" si="42">H253*(1+I253)</f>
        <v>375</v>
      </c>
      <c r="K253" s="309">
        <f t="shared" ref="K253:K268" si="43">J253*G253</f>
        <v>136125</v>
      </c>
      <c r="M253" s="549"/>
      <c r="N253" s="549"/>
      <c r="O253" s="549"/>
      <c r="P253" s="549"/>
      <c r="Q253" s="549"/>
      <c r="R253" s="549"/>
      <c r="S253" s="549"/>
      <c r="T253" s="549"/>
      <c r="U253" s="549"/>
      <c r="V253" s="490"/>
    </row>
    <row r="254" spans="1:22" hidden="1" outlineLevel="1">
      <c r="A254" s="574" t="s">
        <v>682</v>
      </c>
      <c r="B254" s="553" t="s">
        <v>683</v>
      </c>
      <c r="C254" s="553" t="s">
        <v>144</v>
      </c>
      <c r="D254" s="553" t="s">
        <v>405</v>
      </c>
      <c r="E254" s="553" t="s">
        <v>76</v>
      </c>
      <c r="F254" s="553" t="s">
        <v>83</v>
      </c>
      <c r="G254" s="554">
        <v>1</v>
      </c>
      <c r="H254" s="555">
        <v>10000</v>
      </c>
      <c r="I254" s="556">
        <v>0</v>
      </c>
      <c r="J254" s="555">
        <f t="shared" si="42"/>
        <v>10000</v>
      </c>
      <c r="K254" s="555">
        <f t="shared" si="43"/>
        <v>10000</v>
      </c>
      <c r="M254" s="500"/>
      <c r="N254" s="500"/>
      <c r="O254" s="500"/>
      <c r="P254" s="500"/>
      <c r="Q254" s="500"/>
      <c r="R254" s="500"/>
      <c r="S254" s="500"/>
      <c r="T254" s="500"/>
      <c r="U254" s="500"/>
      <c r="V254" s="490"/>
    </row>
    <row r="255" spans="1:22" hidden="1" outlineLevel="1">
      <c r="A255" s="574" t="s">
        <v>684</v>
      </c>
      <c r="B255" s="553" t="s">
        <v>683</v>
      </c>
      <c r="C255" s="553" t="s">
        <v>70</v>
      </c>
      <c r="D255" s="553" t="s">
        <v>75</v>
      </c>
      <c r="E255" s="553" t="s">
        <v>131</v>
      </c>
      <c r="F255" s="553" t="s">
        <v>83</v>
      </c>
      <c r="G255" s="554">
        <v>1</v>
      </c>
      <c r="H255" s="555">
        <v>1292500.98</v>
      </c>
      <c r="I255" s="556">
        <v>0</v>
      </c>
      <c r="J255" s="555">
        <f t="shared" si="42"/>
        <v>1292500.98</v>
      </c>
      <c r="K255" s="555">
        <f t="shared" si="43"/>
        <v>1292500.98</v>
      </c>
      <c r="M255" s="500"/>
      <c r="N255" s="500"/>
      <c r="O255" s="500"/>
      <c r="P255" s="500"/>
      <c r="Q255" s="500"/>
      <c r="R255" s="500"/>
      <c r="S255" s="500"/>
      <c r="T255" s="500"/>
      <c r="U255" s="500"/>
      <c r="V255" s="490"/>
    </row>
    <row r="256" spans="1:22" hidden="1" outlineLevel="1">
      <c r="A256" s="574" t="s">
        <v>686</v>
      </c>
      <c r="B256" s="553" t="s">
        <v>687</v>
      </c>
      <c r="C256" s="553" t="s">
        <v>70</v>
      </c>
      <c r="D256" s="553" t="s">
        <v>75</v>
      </c>
      <c r="E256" s="553" t="s">
        <v>131</v>
      </c>
      <c r="F256" s="553" t="s">
        <v>83</v>
      </c>
      <c r="G256" s="554">
        <v>1</v>
      </c>
      <c r="H256" s="555">
        <v>516087</v>
      </c>
      <c r="I256" s="556">
        <v>0</v>
      </c>
      <c r="J256" s="555">
        <f t="shared" si="42"/>
        <v>516087</v>
      </c>
      <c r="K256" s="555">
        <f t="shared" si="43"/>
        <v>516087</v>
      </c>
      <c r="M256" s="500"/>
      <c r="N256" s="500"/>
      <c r="O256" s="500"/>
      <c r="P256" s="500"/>
      <c r="Q256" s="500"/>
      <c r="R256" s="500"/>
      <c r="S256" s="500"/>
      <c r="T256" s="500"/>
      <c r="U256" s="500"/>
      <c r="V256" s="490"/>
    </row>
    <row r="257" spans="1:22" hidden="1" outlineLevel="1">
      <c r="A257" s="574" t="s">
        <v>688</v>
      </c>
      <c r="B257" s="553" t="s">
        <v>689</v>
      </c>
      <c r="C257" s="553" t="s">
        <v>70</v>
      </c>
      <c r="D257" s="553" t="s">
        <v>75</v>
      </c>
      <c r="E257" s="553" t="s">
        <v>76</v>
      </c>
      <c r="F257" s="553" t="s">
        <v>83</v>
      </c>
      <c r="G257" s="554">
        <v>1</v>
      </c>
      <c r="H257" s="555">
        <v>25000</v>
      </c>
      <c r="I257" s="556">
        <v>0</v>
      </c>
      <c r="J257" s="555">
        <f t="shared" si="42"/>
        <v>25000</v>
      </c>
      <c r="K257" s="555">
        <f t="shared" si="43"/>
        <v>25000</v>
      </c>
      <c r="M257" s="500"/>
      <c r="N257" s="500"/>
      <c r="O257" s="500"/>
      <c r="P257" s="500"/>
      <c r="Q257" s="500"/>
      <c r="R257" s="500"/>
      <c r="S257" s="500"/>
      <c r="T257" s="500"/>
      <c r="U257" s="500"/>
      <c r="V257" s="490"/>
    </row>
    <row r="258" spans="1:22" hidden="1" outlineLevel="1">
      <c r="A258" s="574" t="s">
        <v>690</v>
      </c>
      <c r="B258" s="553" t="s">
        <v>691</v>
      </c>
      <c r="C258" s="553" t="s">
        <v>144</v>
      </c>
      <c r="D258" s="553"/>
      <c r="E258" s="553" t="s">
        <v>76</v>
      </c>
      <c r="F258" s="553" t="s">
        <v>83</v>
      </c>
      <c r="G258" s="554">
        <v>1</v>
      </c>
      <c r="H258" s="555">
        <v>5000</v>
      </c>
      <c r="I258" s="556">
        <v>0</v>
      </c>
      <c r="J258" s="555">
        <f t="shared" si="42"/>
        <v>5000</v>
      </c>
      <c r="K258" s="555">
        <f t="shared" si="43"/>
        <v>5000</v>
      </c>
      <c r="M258" s="500"/>
      <c r="N258" s="500"/>
      <c r="O258" s="500"/>
      <c r="P258" s="500"/>
      <c r="Q258" s="500"/>
      <c r="R258" s="500"/>
      <c r="S258" s="500"/>
      <c r="T258" s="500"/>
      <c r="U258" s="500"/>
      <c r="V258" s="490"/>
    </row>
    <row r="259" spans="1:22" hidden="1" outlineLevel="1">
      <c r="A259" s="574" t="s">
        <v>692</v>
      </c>
      <c r="B259" s="553" t="s">
        <v>693</v>
      </c>
      <c r="C259" s="553" t="s">
        <v>70</v>
      </c>
      <c r="D259" s="553" t="s">
        <v>405</v>
      </c>
      <c r="E259" s="553" t="s">
        <v>131</v>
      </c>
      <c r="F259" s="553" t="s">
        <v>83</v>
      </c>
      <c r="G259" s="554">
        <v>1</v>
      </c>
      <c r="H259" s="555">
        <v>0</v>
      </c>
      <c r="I259" s="556">
        <v>0.15</v>
      </c>
      <c r="J259" s="555">
        <f t="shared" si="42"/>
        <v>0</v>
      </c>
      <c r="K259" s="555">
        <f t="shared" si="43"/>
        <v>0</v>
      </c>
      <c r="M259" s="500"/>
      <c r="N259" s="500"/>
      <c r="O259" s="500"/>
      <c r="P259" s="500"/>
      <c r="Q259" s="500"/>
      <c r="R259" s="500"/>
      <c r="S259" s="500"/>
      <c r="T259" s="500"/>
      <c r="U259" s="500"/>
      <c r="V259" s="490"/>
    </row>
    <row r="260" spans="1:22" hidden="1" outlineLevel="1">
      <c r="A260" s="552" t="s">
        <v>694</v>
      </c>
      <c r="B260" s="553" t="s">
        <v>695</v>
      </c>
      <c r="C260" s="553" t="s">
        <v>70</v>
      </c>
      <c r="D260" s="553"/>
      <c r="E260" s="553" t="s">
        <v>131</v>
      </c>
      <c r="F260" s="553" t="s">
        <v>83</v>
      </c>
      <c r="G260" s="554">
        <v>1</v>
      </c>
      <c r="H260" s="555">
        <v>350575.2</v>
      </c>
      <c r="I260" s="556">
        <v>0</v>
      </c>
      <c r="J260" s="555">
        <f t="shared" si="42"/>
        <v>350575.2</v>
      </c>
      <c r="K260" s="555">
        <f t="shared" si="43"/>
        <v>350575.2</v>
      </c>
      <c r="M260" s="500"/>
      <c r="N260" s="500"/>
      <c r="O260" s="500"/>
      <c r="P260" s="500"/>
      <c r="Q260" s="500"/>
      <c r="R260" s="500"/>
      <c r="S260" s="500"/>
      <c r="T260" s="500"/>
      <c r="U260" s="500"/>
      <c r="V260" s="490"/>
    </row>
    <row r="261" spans="1:22" hidden="1" outlineLevel="1">
      <c r="A261" s="552" t="s">
        <v>696</v>
      </c>
      <c r="B261" s="553" t="s">
        <v>697</v>
      </c>
      <c r="C261" s="553" t="s">
        <v>144</v>
      </c>
      <c r="D261" s="553"/>
      <c r="E261" s="553" t="s">
        <v>76</v>
      </c>
      <c r="F261" s="553" t="s">
        <v>83</v>
      </c>
      <c r="G261" s="554">
        <v>1</v>
      </c>
      <c r="H261" s="555">
        <v>25000</v>
      </c>
      <c r="I261" s="556">
        <v>0</v>
      </c>
      <c r="J261" s="555">
        <f t="shared" si="42"/>
        <v>25000</v>
      </c>
      <c r="K261" s="555">
        <f t="shared" si="43"/>
        <v>25000</v>
      </c>
      <c r="M261" s="500"/>
      <c r="N261" s="500"/>
      <c r="O261" s="500"/>
      <c r="P261" s="500"/>
      <c r="Q261" s="500"/>
      <c r="R261" s="500"/>
      <c r="S261" s="500"/>
      <c r="T261" s="500"/>
      <c r="U261" s="500"/>
      <c r="V261" s="490"/>
    </row>
    <row r="262" spans="1:22" hidden="1" outlineLevel="1">
      <c r="A262" s="552" t="s">
        <v>698</v>
      </c>
      <c r="B262" s="553" t="s">
        <v>699</v>
      </c>
      <c r="C262" s="553" t="s">
        <v>70</v>
      </c>
      <c r="D262" s="553"/>
      <c r="E262" s="553" t="s">
        <v>76</v>
      </c>
      <c r="F262" s="553" t="s">
        <v>83</v>
      </c>
      <c r="G262" s="554">
        <v>1</v>
      </c>
      <c r="H262" s="555">
        <v>15600</v>
      </c>
      <c r="I262" s="556">
        <v>0</v>
      </c>
      <c r="J262" s="555">
        <f t="shared" si="42"/>
        <v>15600</v>
      </c>
      <c r="K262" s="555">
        <f t="shared" si="43"/>
        <v>15600</v>
      </c>
      <c r="M262" s="500"/>
      <c r="N262" s="500"/>
      <c r="O262" s="500"/>
      <c r="P262" s="500"/>
      <c r="Q262" s="500"/>
      <c r="R262" s="500"/>
      <c r="S262" s="500"/>
      <c r="T262" s="500"/>
      <c r="U262" s="500"/>
      <c r="V262" s="490"/>
    </row>
    <row r="263" spans="1:22" hidden="1" outlineLevel="1">
      <c r="A263" s="552" t="s">
        <v>700</v>
      </c>
      <c r="B263" s="553" t="s">
        <v>701</v>
      </c>
      <c r="C263" s="553" t="s">
        <v>70</v>
      </c>
      <c r="D263" s="553"/>
      <c r="E263" s="553" t="s">
        <v>87</v>
      </c>
      <c r="F263" s="553"/>
      <c r="G263" s="554"/>
      <c r="H263" s="555"/>
      <c r="I263" s="556">
        <v>0</v>
      </c>
      <c r="J263" s="555">
        <f t="shared" si="42"/>
        <v>0</v>
      </c>
      <c r="K263" s="555">
        <f t="shared" si="43"/>
        <v>0</v>
      </c>
      <c r="M263" s="500"/>
      <c r="N263" s="500"/>
      <c r="O263" s="500"/>
      <c r="P263" s="500"/>
      <c r="Q263" s="500"/>
      <c r="R263" s="500"/>
      <c r="S263" s="500"/>
      <c r="T263" s="500"/>
      <c r="U263" s="500"/>
      <c r="V263" s="490"/>
    </row>
    <row r="264" spans="1:22" hidden="1" outlineLevel="1">
      <c r="A264" s="552" t="s">
        <v>702</v>
      </c>
      <c r="B264" s="553" t="s">
        <v>703</v>
      </c>
      <c r="C264" s="553" t="s">
        <v>70</v>
      </c>
      <c r="D264" s="553"/>
      <c r="E264" s="553" t="s">
        <v>87</v>
      </c>
      <c r="F264" s="553"/>
      <c r="G264" s="554"/>
      <c r="H264" s="555"/>
      <c r="I264" s="556">
        <v>0</v>
      </c>
      <c r="J264" s="555">
        <f t="shared" si="42"/>
        <v>0</v>
      </c>
      <c r="K264" s="555">
        <f t="shared" si="43"/>
        <v>0</v>
      </c>
      <c r="M264" s="500"/>
      <c r="N264" s="500"/>
      <c r="O264" s="500"/>
      <c r="P264" s="500"/>
      <c r="Q264" s="500"/>
      <c r="R264" s="500"/>
      <c r="S264" s="500"/>
      <c r="T264" s="500"/>
      <c r="U264" s="500"/>
      <c r="V264" s="490"/>
    </row>
    <row r="265" spans="1:22" hidden="1" outlineLevel="1">
      <c r="A265" s="552" t="s">
        <v>704</v>
      </c>
      <c r="B265" s="553" t="s">
        <v>683</v>
      </c>
      <c r="C265" s="553" t="s">
        <v>70</v>
      </c>
      <c r="D265" s="553" t="s">
        <v>405</v>
      </c>
      <c r="E265" s="553" t="s">
        <v>131</v>
      </c>
      <c r="F265" s="553" t="s">
        <v>83</v>
      </c>
      <c r="G265" s="554">
        <v>1</v>
      </c>
      <c r="H265" s="555">
        <v>387993.65</v>
      </c>
      <c r="I265" s="556">
        <v>0</v>
      </c>
      <c r="J265" s="555">
        <f t="shared" si="42"/>
        <v>387993.65</v>
      </c>
      <c r="K265" s="555">
        <f t="shared" si="43"/>
        <v>387993.65</v>
      </c>
      <c r="M265" s="500" t="s">
        <v>906</v>
      </c>
      <c r="N265" s="500"/>
      <c r="O265" s="500"/>
      <c r="P265" s="500"/>
      <c r="Q265" s="500"/>
      <c r="R265" s="500"/>
      <c r="S265" s="500"/>
      <c r="T265" s="500"/>
      <c r="U265" s="500"/>
      <c r="V265" s="490"/>
    </row>
    <row r="266" spans="1:22" hidden="1" outlineLevel="1">
      <c r="A266" s="552" t="s">
        <v>705</v>
      </c>
      <c r="B266" s="553" t="s">
        <v>687</v>
      </c>
      <c r="C266" s="553" t="s">
        <v>70</v>
      </c>
      <c r="D266" s="553" t="s">
        <v>405</v>
      </c>
      <c r="E266" s="553" t="s">
        <v>769</v>
      </c>
      <c r="F266" s="553" t="s">
        <v>83</v>
      </c>
      <c r="G266" s="554">
        <v>1</v>
      </c>
      <c r="H266" s="555">
        <v>91720</v>
      </c>
      <c r="I266" s="556">
        <v>0</v>
      </c>
      <c r="J266" s="555">
        <f t="shared" si="42"/>
        <v>91720</v>
      </c>
      <c r="K266" s="555">
        <f t="shared" si="43"/>
        <v>91720</v>
      </c>
      <c r="M266" s="500" t="s">
        <v>907</v>
      </c>
      <c r="N266" s="500"/>
      <c r="O266" s="500"/>
      <c r="P266" s="500"/>
      <c r="Q266" s="500"/>
      <c r="R266" s="500"/>
      <c r="S266" s="500"/>
      <c r="T266" s="500"/>
      <c r="U266" s="500"/>
      <c r="V266" s="490"/>
    </row>
    <row r="267" spans="1:22" hidden="1" outlineLevel="1">
      <c r="A267" s="552" t="s">
        <v>706</v>
      </c>
      <c r="B267" s="553" t="s">
        <v>689</v>
      </c>
      <c r="C267" s="553" t="s">
        <v>70</v>
      </c>
      <c r="D267" s="553" t="s">
        <v>405</v>
      </c>
      <c r="E267" s="553" t="s">
        <v>76</v>
      </c>
      <c r="F267" s="553" t="s">
        <v>83</v>
      </c>
      <c r="G267" s="554">
        <v>1</v>
      </c>
      <c r="H267" s="555">
        <v>25000</v>
      </c>
      <c r="I267" s="556">
        <v>0</v>
      </c>
      <c r="J267" s="555">
        <f t="shared" si="42"/>
        <v>25000</v>
      </c>
      <c r="K267" s="555">
        <f t="shared" si="43"/>
        <v>25000</v>
      </c>
      <c r="M267" s="500"/>
      <c r="N267" s="500"/>
      <c r="O267" s="500"/>
      <c r="P267" s="500"/>
      <c r="Q267" s="500"/>
      <c r="R267" s="500"/>
      <c r="S267" s="500"/>
      <c r="T267" s="500"/>
      <c r="U267" s="500"/>
      <c r="V267" s="490"/>
    </row>
    <row r="268" spans="1:22" hidden="1" outlineLevel="1">
      <c r="A268" s="552" t="s">
        <v>707</v>
      </c>
      <c r="B268" s="553" t="s">
        <v>695</v>
      </c>
      <c r="C268" s="553" t="s">
        <v>70</v>
      </c>
      <c r="D268" s="553" t="s">
        <v>405</v>
      </c>
      <c r="E268" s="553" t="s">
        <v>131</v>
      </c>
      <c r="F268" s="553" t="s">
        <v>83</v>
      </c>
      <c r="G268" s="554">
        <v>1</v>
      </c>
      <c r="H268" s="555">
        <v>61000</v>
      </c>
      <c r="I268" s="556">
        <v>0</v>
      </c>
      <c r="J268" s="551">
        <f t="shared" si="42"/>
        <v>61000</v>
      </c>
      <c r="K268" s="309">
        <f t="shared" si="43"/>
        <v>61000</v>
      </c>
      <c r="M268" s="500"/>
      <c r="N268" s="500"/>
      <c r="O268" s="500"/>
      <c r="P268" s="500"/>
      <c r="Q268" s="500"/>
      <c r="R268" s="500"/>
      <c r="S268" s="500"/>
      <c r="T268" s="500"/>
      <c r="U268" s="500"/>
      <c r="V268" s="490"/>
    </row>
    <row r="269" spans="1:22" collapsed="1">
      <c r="A269" s="537" t="s">
        <v>708</v>
      </c>
      <c r="B269" s="538" t="s">
        <v>709</v>
      </c>
      <c r="C269" s="538"/>
      <c r="D269" s="538"/>
      <c r="E269" s="538"/>
      <c r="F269" s="538"/>
      <c r="G269" s="567"/>
      <c r="H269" s="568"/>
      <c r="I269" s="540"/>
      <c r="J269" s="569"/>
      <c r="K269" s="541"/>
      <c r="L269" s="542">
        <f>SUM(K253:K268)</f>
        <v>2941601.83</v>
      </c>
      <c r="M269" s="543"/>
      <c r="N269" s="543"/>
      <c r="O269" s="543"/>
      <c r="P269" s="543"/>
      <c r="Q269" s="543"/>
      <c r="R269" s="543"/>
      <c r="S269" s="543"/>
      <c r="T269" s="543"/>
      <c r="U269" s="543"/>
      <c r="V269" s="490"/>
    </row>
    <row r="270" spans="1:22" hidden="1" outlineLevel="1">
      <c r="A270" s="552" t="s">
        <v>710</v>
      </c>
      <c r="B270" s="553"/>
      <c r="C270" s="553"/>
      <c r="D270" s="553" t="s">
        <v>75</v>
      </c>
      <c r="E270" s="553" t="s">
        <v>76</v>
      </c>
      <c r="F270" s="553" t="s">
        <v>83</v>
      </c>
      <c r="G270" s="554">
        <v>2</v>
      </c>
      <c r="H270" s="555">
        <v>594250</v>
      </c>
      <c r="I270" s="556">
        <v>0</v>
      </c>
      <c r="J270" s="551">
        <f t="shared" ref="J270:J271" si="44">H270*(1+I270)</f>
        <v>594250</v>
      </c>
      <c r="K270" s="309">
        <f t="shared" ref="K270:K271" si="45">J270*G270</f>
        <v>1188500</v>
      </c>
      <c r="M270" s="549" t="s">
        <v>711</v>
      </c>
      <c r="N270" s="549"/>
      <c r="O270" s="549"/>
      <c r="P270" s="549"/>
      <c r="Q270" s="549"/>
      <c r="R270" s="549"/>
      <c r="S270" s="549"/>
      <c r="T270" s="549"/>
      <c r="U270" s="549"/>
      <c r="V270" s="490"/>
    </row>
    <row r="271" spans="1:22" hidden="1" outlineLevel="1">
      <c r="A271" s="552" t="s">
        <v>712</v>
      </c>
      <c r="B271" s="553"/>
      <c r="C271" s="553"/>
      <c r="D271" s="553" t="s">
        <v>75</v>
      </c>
      <c r="E271" s="553" t="s">
        <v>76</v>
      </c>
      <c r="F271" s="553" t="s">
        <v>83</v>
      </c>
      <c r="G271" s="554">
        <v>1</v>
      </c>
      <c r="H271" s="555">
        <v>300000</v>
      </c>
      <c r="I271" s="556">
        <v>0</v>
      </c>
      <c r="J271" s="551">
        <f t="shared" si="44"/>
        <v>300000</v>
      </c>
      <c r="K271" s="309">
        <f t="shared" si="45"/>
        <v>300000</v>
      </c>
      <c r="M271" s="500" t="s">
        <v>713</v>
      </c>
      <c r="N271" s="500"/>
      <c r="O271" s="500"/>
      <c r="P271" s="500"/>
      <c r="Q271" s="500"/>
      <c r="R271" s="500"/>
      <c r="S271" s="500"/>
      <c r="T271" s="500"/>
      <c r="U271" s="500"/>
      <c r="V271" s="490"/>
    </row>
    <row r="272" spans="1:22" collapsed="1">
      <c r="A272" s="537" t="s">
        <v>714</v>
      </c>
      <c r="B272" s="538" t="s">
        <v>709</v>
      </c>
      <c r="C272" s="538"/>
      <c r="D272" s="538"/>
      <c r="E272" s="538"/>
      <c r="F272" s="538"/>
      <c r="G272" s="567"/>
      <c r="H272" s="568"/>
      <c r="I272" s="540"/>
      <c r="J272" s="569"/>
      <c r="K272" s="541"/>
      <c r="L272" s="542">
        <f>SUM(K270:K271)</f>
        <v>1488500</v>
      </c>
      <c r="M272" s="543"/>
      <c r="N272" s="543"/>
      <c r="O272" s="543"/>
      <c r="P272" s="543"/>
      <c r="Q272" s="543"/>
      <c r="R272" s="543"/>
      <c r="S272" s="543"/>
      <c r="T272" s="543"/>
      <c r="U272" s="543"/>
      <c r="V272" s="490"/>
    </row>
    <row r="273" spans="1:22" hidden="1" outlineLevel="1">
      <c r="A273" s="552" t="s">
        <v>715</v>
      </c>
      <c r="B273" s="553" t="s">
        <v>716</v>
      </c>
      <c r="C273" s="553" t="s">
        <v>144</v>
      </c>
      <c r="D273" s="553" t="s">
        <v>405</v>
      </c>
      <c r="E273" s="553" t="s">
        <v>76</v>
      </c>
      <c r="F273" s="553" t="s">
        <v>83</v>
      </c>
      <c r="G273" s="554">
        <v>1</v>
      </c>
      <c r="H273" s="555">
        <v>7500</v>
      </c>
      <c r="I273" s="556">
        <v>0</v>
      </c>
      <c r="J273" s="551">
        <f t="shared" ref="J273" si="46">H273*(1+I273)</f>
        <v>7500</v>
      </c>
      <c r="K273" s="309">
        <f>J273*G273</f>
        <v>7500</v>
      </c>
      <c r="M273" s="549"/>
      <c r="N273" s="549"/>
      <c r="O273" s="549"/>
      <c r="P273" s="549"/>
      <c r="Q273" s="549"/>
      <c r="R273" s="549"/>
      <c r="S273" s="549"/>
      <c r="T273" s="549"/>
      <c r="U273" s="549"/>
      <c r="V273" s="490"/>
    </row>
    <row r="274" spans="1:22" collapsed="1">
      <c r="A274" s="537" t="s">
        <v>717</v>
      </c>
      <c r="B274" s="538" t="s">
        <v>718</v>
      </c>
      <c r="C274" s="538"/>
      <c r="D274" s="538"/>
      <c r="E274" s="538"/>
      <c r="F274" s="538"/>
      <c r="G274" s="567"/>
      <c r="H274" s="568"/>
      <c r="I274" s="540"/>
      <c r="J274" s="569"/>
      <c r="K274" s="541"/>
      <c r="L274" s="542">
        <f>SUM(K273)</f>
        <v>7500</v>
      </c>
      <c r="M274" s="543"/>
      <c r="N274" s="543"/>
      <c r="O274" s="543"/>
      <c r="P274" s="543"/>
      <c r="Q274" s="543"/>
      <c r="R274" s="543"/>
      <c r="S274" s="543"/>
      <c r="T274" s="543"/>
      <c r="U274" s="543"/>
      <c r="V274" s="490"/>
    </row>
    <row r="275" spans="1:22" hidden="1" outlineLevel="1">
      <c r="A275" s="544" t="s">
        <v>719</v>
      </c>
      <c r="B275" s="545" t="s">
        <v>720</v>
      </c>
      <c r="C275" s="545" t="s">
        <v>70</v>
      </c>
      <c r="D275" s="545"/>
      <c r="E275" s="545" t="s">
        <v>76</v>
      </c>
      <c r="F275" s="545" t="s">
        <v>83</v>
      </c>
      <c r="G275" s="546">
        <v>1</v>
      </c>
      <c r="H275" s="547">
        <v>977434</v>
      </c>
      <c r="I275" s="548">
        <v>0</v>
      </c>
      <c r="J275" s="309">
        <f t="shared" ref="J275:J277" si="47">H275*(1+I275)</f>
        <v>977434</v>
      </c>
      <c r="K275" s="309">
        <f>J275*G275</f>
        <v>977434</v>
      </c>
      <c r="M275" s="549" t="s">
        <v>721</v>
      </c>
      <c r="N275" s="549"/>
      <c r="O275" s="549"/>
      <c r="P275" s="549"/>
      <c r="Q275" s="549"/>
      <c r="R275" s="549"/>
      <c r="S275" s="549"/>
      <c r="T275" s="549"/>
      <c r="U275" s="549"/>
      <c r="V275" s="490"/>
    </row>
    <row r="276" spans="1:22" hidden="1" outlineLevel="1">
      <c r="A276" s="552" t="s">
        <v>722</v>
      </c>
      <c r="B276" s="553" t="s">
        <v>723</v>
      </c>
      <c r="C276" s="553" t="s">
        <v>144</v>
      </c>
      <c r="D276" s="553"/>
      <c r="E276" s="553" t="s">
        <v>76</v>
      </c>
      <c r="F276" s="553" t="s">
        <v>83</v>
      </c>
      <c r="G276" s="554">
        <v>1</v>
      </c>
      <c r="H276" s="555">
        <v>50000</v>
      </c>
      <c r="I276" s="556">
        <v>0</v>
      </c>
      <c r="J276" s="555">
        <f t="shared" si="47"/>
        <v>50000</v>
      </c>
      <c r="K276" s="555">
        <f>J276*G276</f>
        <v>50000</v>
      </c>
      <c r="M276" s="500" t="s">
        <v>721</v>
      </c>
      <c r="N276" s="500"/>
      <c r="O276" s="500"/>
      <c r="P276" s="500"/>
      <c r="Q276" s="500"/>
      <c r="R276" s="500"/>
      <c r="S276" s="500"/>
      <c r="T276" s="500"/>
      <c r="U276" s="500"/>
      <c r="V276" s="490"/>
    </row>
    <row r="277" spans="1:22" hidden="1" outlineLevel="1">
      <c r="A277" s="552" t="s">
        <v>724</v>
      </c>
      <c r="B277" s="553" t="s">
        <v>725</v>
      </c>
      <c r="C277" s="553" t="s">
        <v>144</v>
      </c>
      <c r="D277" s="553"/>
      <c r="E277" s="553" t="s">
        <v>76</v>
      </c>
      <c r="F277" s="553" t="s">
        <v>83</v>
      </c>
      <c r="G277" s="554">
        <v>1</v>
      </c>
      <c r="H277" s="555">
        <v>50000</v>
      </c>
      <c r="I277" s="556">
        <v>0</v>
      </c>
      <c r="J277" s="551">
        <f t="shared" si="47"/>
        <v>50000</v>
      </c>
      <c r="K277" s="309">
        <f>J277*G277</f>
        <v>50000</v>
      </c>
      <c r="M277" s="500" t="s">
        <v>721</v>
      </c>
      <c r="N277" s="500"/>
      <c r="O277" s="500"/>
      <c r="P277" s="500"/>
      <c r="Q277" s="500"/>
      <c r="R277" s="500"/>
      <c r="S277" s="500"/>
      <c r="T277" s="500"/>
      <c r="U277" s="500"/>
      <c r="V277" s="490"/>
    </row>
    <row r="278" spans="1:22" collapsed="1">
      <c r="A278" s="537" t="s">
        <v>726</v>
      </c>
      <c r="B278" s="538" t="s">
        <v>727</v>
      </c>
      <c r="C278" s="538"/>
      <c r="D278" s="538"/>
      <c r="E278" s="538"/>
      <c r="F278" s="538"/>
      <c r="G278" s="567"/>
      <c r="H278" s="568"/>
      <c r="I278" s="540"/>
      <c r="J278" s="569"/>
      <c r="K278" s="541"/>
      <c r="L278" s="542">
        <f>SUM(K275:K277)</f>
        <v>1077434</v>
      </c>
      <c r="M278" s="543"/>
      <c r="N278" s="543"/>
      <c r="O278" s="543"/>
      <c r="P278" s="543"/>
      <c r="Q278" s="543"/>
      <c r="R278" s="543"/>
      <c r="S278" s="543"/>
      <c r="T278" s="543"/>
      <c r="U278" s="543"/>
      <c r="V278" s="490"/>
    </row>
    <row r="279" spans="1:22" hidden="1" outlineLevel="1">
      <c r="A279" s="552" t="s">
        <v>728</v>
      </c>
      <c r="B279" s="553" t="s">
        <v>729</v>
      </c>
      <c r="C279" s="553" t="s">
        <v>70</v>
      </c>
      <c r="D279" s="553"/>
      <c r="E279" s="545" t="s">
        <v>329</v>
      </c>
      <c r="F279" s="553" t="s">
        <v>83</v>
      </c>
      <c r="G279" s="601">
        <f>$B$9</f>
        <v>17.350000000000001</v>
      </c>
      <c r="H279" s="555">
        <v>9000</v>
      </c>
      <c r="I279" s="556">
        <v>0</v>
      </c>
      <c r="J279" s="551">
        <f t="shared" ref="J279:J287" si="48">H279*(1+I279)</f>
        <v>9000</v>
      </c>
      <c r="K279" s="309">
        <f t="shared" ref="K279:K287" si="49">J279*G279</f>
        <v>156150</v>
      </c>
      <c r="M279" s="549" t="s">
        <v>730</v>
      </c>
      <c r="N279" s="549"/>
      <c r="O279" s="549"/>
      <c r="P279" s="549"/>
      <c r="Q279" s="549"/>
      <c r="R279" s="549"/>
      <c r="S279" s="549"/>
      <c r="T279" s="549"/>
      <c r="U279" s="549"/>
      <c r="V279" s="490"/>
    </row>
    <row r="280" spans="1:22" hidden="1" outlineLevel="1">
      <c r="A280" s="552" t="s">
        <v>731</v>
      </c>
      <c r="B280" s="553" t="s">
        <v>732</v>
      </c>
      <c r="C280" s="553" t="s">
        <v>70</v>
      </c>
      <c r="D280" s="553"/>
      <c r="E280" s="553" t="s">
        <v>76</v>
      </c>
      <c r="F280" s="553" t="s">
        <v>83</v>
      </c>
      <c r="G280" s="601">
        <v>1</v>
      </c>
      <c r="H280" s="555">
        <v>10000</v>
      </c>
      <c r="I280" s="556">
        <v>0</v>
      </c>
      <c r="J280" s="555">
        <f t="shared" si="48"/>
        <v>10000</v>
      </c>
      <c r="K280" s="555">
        <f t="shared" si="49"/>
        <v>10000</v>
      </c>
      <c r="M280" s="500" t="s">
        <v>730</v>
      </c>
      <c r="N280" s="500"/>
      <c r="O280" s="500"/>
      <c r="P280" s="500"/>
      <c r="Q280" s="500"/>
      <c r="R280" s="500"/>
      <c r="S280" s="500"/>
      <c r="T280" s="500"/>
      <c r="U280" s="500"/>
      <c r="V280" s="490"/>
    </row>
    <row r="281" spans="1:22" hidden="1" outlineLevel="1">
      <c r="A281" s="552" t="s">
        <v>733</v>
      </c>
      <c r="B281" s="553" t="s">
        <v>734</v>
      </c>
      <c r="C281" s="553" t="s">
        <v>70</v>
      </c>
      <c r="D281" s="553"/>
      <c r="E281" s="553" t="s">
        <v>76</v>
      </c>
      <c r="F281" s="553" t="s">
        <v>83</v>
      </c>
      <c r="G281" s="601">
        <v>1</v>
      </c>
      <c r="H281" s="555">
        <v>5000</v>
      </c>
      <c r="I281" s="556">
        <v>0</v>
      </c>
      <c r="J281" s="555">
        <f t="shared" si="48"/>
        <v>5000</v>
      </c>
      <c r="K281" s="555">
        <f t="shared" si="49"/>
        <v>5000</v>
      </c>
      <c r="M281" s="500" t="s">
        <v>730</v>
      </c>
      <c r="N281" s="500"/>
      <c r="O281" s="500"/>
      <c r="P281" s="500"/>
      <c r="Q281" s="500"/>
      <c r="R281" s="500"/>
      <c r="S281" s="500"/>
      <c r="T281" s="500"/>
      <c r="U281" s="500"/>
      <c r="V281" s="490"/>
    </row>
    <row r="282" spans="1:22" hidden="1" outlineLevel="1">
      <c r="A282" s="552" t="s">
        <v>735</v>
      </c>
      <c r="B282" s="553" t="s">
        <v>736</v>
      </c>
      <c r="C282" s="553" t="s">
        <v>70</v>
      </c>
      <c r="D282" s="553"/>
      <c r="E282" s="553" t="s">
        <v>76</v>
      </c>
      <c r="F282" s="553" t="s">
        <v>737</v>
      </c>
      <c r="G282" s="601">
        <v>3</v>
      </c>
      <c r="H282" s="555">
        <v>15000</v>
      </c>
      <c r="I282" s="556">
        <v>0</v>
      </c>
      <c r="J282" s="555">
        <f t="shared" si="48"/>
        <v>15000</v>
      </c>
      <c r="K282" s="555">
        <f t="shared" si="49"/>
        <v>45000</v>
      </c>
      <c r="M282" s="500" t="s">
        <v>730</v>
      </c>
      <c r="N282" s="500"/>
      <c r="O282" s="500"/>
      <c r="P282" s="500"/>
      <c r="Q282" s="500"/>
      <c r="R282" s="500"/>
      <c r="S282" s="500"/>
      <c r="T282" s="500"/>
      <c r="U282" s="500"/>
      <c r="V282" s="490"/>
    </row>
    <row r="283" spans="1:22" hidden="1" outlineLevel="1">
      <c r="A283" s="552" t="s">
        <v>738</v>
      </c>
      <c r="B283" s="553" t="s">
        <v>739</v>
      </c>
      <c r="C283" s="553" t="s">
        <v>70</v>
      </c>
      <c r="D283" s="553"/>
      <c r="E283" s="553" t="s">
        <v>329</v>
      </c>
      <c r="F283" s="553" t="s">
        <v>83</v>
      </c>
      <c r="G283" s="601">
        <f t="shared" ref="G283:G287" si="50">$B$9</f>
        <v>17.350000000000001</v>
      </c>
      <c r="H283" s="555">
        <v>5000</v>
      </c>
      <c r="I283" s="556">
        <v>0</v>
      </c>
      <c r="J283" s="555">
        <f t="shared" si="48"/>
        <v>5000</v>
      </c>
      <c r="K283" s="555">
        <f t="shared" si="49"/>
        <v>86750</v>
      </c>
      <c r="M283" s="500" t="s">
        <v>730</v>
      </c>
      <c r="N283" s="500"/>
      <c r="O283" s="500"/>
      <c r="P283" s="500"/>
      <c r="Q283" s="500"/>
      <c r="R283" s="500"/>
      <c r="S283" s="500"/>
      <c r="T283" s="500"/>
      <c r="U283" s="500"/>
      <c r="V283" s="490"/>
    </row>
    <row r="284" spans="1:22" hidden="1" outlineLevel="1">
      <c r="A284" s="552" t="s">
        <v>740</v>
      </c>
      <c r="B284" s="553" t="s">
        <v>741</v>
      </c>
      <c r="C284" s="553" t="s">
        <v>70</v>
      </c>
      <c r="D284" s="553"/>
      <c r="E284" s="553" t="s">
        <v>329</v>
      </c>
      <c r="F284" s="553" t="s">
        <v>83</v>
      </c>
      <c r="G284" s="601">
        <f t="shared" si="50"/>
        <v>17.350000000000001</v>
      </c>
      <c r="H284" s="555">
        <v>5000</v>
      </c>
      <c r="I284" s="556">
        <v>0</v>
      </c>
      <c r="J284" s="555">
        <f t="shared" si="48"/>
        <v>5000</v>
      </c>
      <c r="K284" s="555">
        <f t="shared" si="49"/>
        <v>86750</v>
      </c>
      <c r="M284" s="500" t="s">
        <v>730</v>
      </c>
      <c r="N284" s="500"/>
      <c r="O284" s="500"/>
      <c r="P284" s="500"/>
      <c r="Q284" s="500"/>
      <c r="R284" s="500"/>
      <c r="S284" s="500"/>
      <c r="T284" s="500"/>
      <c r="U284" s="500"/>
      <c r="V284" s="490"/>
    </row>
    <row r="285" spans="1:22" hidden="1" outlineLevel="1">
      <c r="A285" s="552" t="s">
        <v>742</v>
      </c>
      <c r="B285" s="553" t="s">
        <v>743</v>
      </c>
      <c r="C285" s="553" t="s">
        <v>70</v>
      </c>
      <c r="D285" s="553"/>
      <c r="E285" s="553" t="s">
        <v>76</v>
      </c>
      <c r="F285" s="553" t="s">
        <v>83</v>
      </c>
      <c r="G285" s="601">
        <f t="shared" si="50"/>
        <v>17.350000000000001</v>
      </c>
      <c r="H285" s="555">
        <v>2500</v>
      </c>
      <c r="I285" s="556">
        <v>0</v>
      </c>
      <c r="J285" s="555">
        <f t="shared" si="48"/>
        <v>2500</v>
      </c>
      <c r="K285" s="555">
        <f t="shared" si="49"/>
        <v>43375</v>
      </c>
      <c r="M285" s="500" t="s">
        <v>730</v>
      </c>
      <c r="N285" s="500"/>
      <c r="O285" s="500"/>
      <c r="P285" s="500"/>
      <c r="Q285" s="500"/>
      <c r="R285" s="500"/>
      <c r="S285" s="500"/>
      <c r="T285" s="500"/>
      <c r="U285" s="500"/>
      <c r="V285" s="490"/>
    </row>
    <row r="286" spans="1:22" hidden="1" outlineLevel="1">
      <c r="A286" s="552" t="s">
        <v>744</v>
      </c>
      <c r="B286" s="553" t="s">
        <v>745</v>
      </c>
      <c r="C286" s="553" t="s">
        <v>70</v>
      </c>
      <c r="D286" s="553"/>
      <c r="E286" s="553" t="s">
        <v>76</v>
      </c>
      <c r="F286" s="553" t="s">
        <v>83</v>
      </c>
      <c r="G286" s="601">
        <f t="shared" si="50"/>
        <v>17.350000000000001</v>
      </c>
      <c r="H286" s="555">
        <v>1500</v>
      </c>
      <c r="I286" s="556">
        <v>0</v>
      </c>
      <c r="J286" s="555">
        <f t="shared" si="48"/>
        <v>1500</v>
      </c>
      <c r="K286" s="555">
        <f t="shared" si="49"/>
        <v>26025.000000000004</v>
      </c>
      <c r="M286" s="500" t="s">
        <v>730</v>
      </c>
      <c r="N286" s="500"/>
      <c r="O286" s="500"/>
      <c r="P286" s="500"/>
      <c r="Q286" s="500"/>
      <c r="R286" s="500"/>
      <c r="S286" s="500"/>
      <c r="T286" s="500"/>
      <c r="U286" s="500"/>
      <c r="V286" s="490"/>
    </row>
    <row r="287" spans="1:22" hidden="1" outlineLevel="1">
      <c r="A287" s="552" t="s">
        <v>746</v>
      </c>
      <c r="B287" s="553" t="s">
        <v>747</v>
      </c>
      <c r="C287" s="553" t="s">
        <v>70</v>
      </c>
      <c r="D287" s="553"/>
      <c r="E287" s="553" t="s">
        <v>329</v>
      </c>
      <c r="F287" s="553" t="s">
        <v>83</v>
      </c>
      <c r="G287" s="601">
        <f t="shared" si="50"/>
        <v>17.350000000000001</v>
      </c>
      <c r="H287" s="555">
        <v>2500</v>
      </c>
      <c r="I287" s="556">
        <v>0</v>
      </c>
      <c r="J287" s="551">
        <f t="shared" si="48"/>
        <v>2500</v>
      </c>
      <c r="K287" s="309">
        <f t="shared" si="49"/>
        <v>43375</v>
      </c>
      <c r="M287" s="500" t="s">
        <v>730</v>
      </c>
      <c r="N287" s="500"/>
      <c r="O287" s="500"/>
      <c r="P287" s="500"/>
      <c r="Q287" s="500"/>
      <c r="R287" s="500"/>
      <c r="S287" s="500"/>
      <c r="T287" s="500"/>
      <c r="U287" s="500"/>
      <c r="V287" s="490"/>
    </row>
    <row r="288" spans="1:22" collapsed="1">
      <c r="A288" s="537" t="s">
        <v>748</v>
      </c>
      <c r="B288" s="538" t="s">
        <v>749</v>
      </c>
      <c r="C288" s="538"/>
      <c r="D288" s="538"/>
      <c r="E288" s="538"/>
      <c r="F288" s="538"/>
      <c r="G288" s="567"/>
      <c r="H288" s="568"/>
      <c r="I288" s="540"/>
      <c r="J288" s="569"/>
      <c r="K288" s="541"/>
      <c r="L288" s="542">
        <f>SUM(K279:K287)</f>
        <v>502425</v>
      </c>
      <c r="M288" s="543"/>
      <c r="N288" s="543"/>
      <c r="O288" s="543"/>
      <c r="P288" s="543"/>
      <c r="Q288" s="543"/>
      <c r="R288" s="543"/>
      <c r="S288" s="543"/>
      <c r="T288" s="543"/>
      <c r="U288" s="543"/>
      <c r="V288" s="490"/>
    </row>
    <row r="289" spans="1:24" hidden="1" outlineLevel="1">
      <c r="A289" s="552" t="s">
        <v>750</v>
      </c>
      <c r="B289" s="553"/>
      <c r="C289" s="553"/>
      <c r="D289" s="553"/>
      <c r="E289" s="553"/>
      <c r="F289" s="553"/>
      <c r="G289" s="556">
        <v>0</v>
      </c>
      <c r="H289" s="565"/>
      <c r="I289" s="556"/>
      <c r="J289" s="566"/>
      <c r="K289" s="309">
        <f>G289*SUM(K16:K287)</f>
        <v>0</v>
      </c>
      <c r="M289" s="549"/>
      <c r="N289" s="549"/>
      <c r="O289" s="549"/>
      <c r="P289" s="549"/>
      <c r="Q289" s="549"/>
      <c r="R289" s="549"/>
      <c r="S289" s="549"/>
      <c r="T289" s="549"/>
      <c r="U289" s="549"/>
      <c r="V289" s="490"/>
    </row>
    <row r="290" spans="1:24" hidden="1" outlineLevel="1">
      <c r="A290" s="552" t="s">
        <v>751</v>
      </c>
      <c r="B290" s="553"/>
      <c r="C290" s="553"/>
      <c r="D290" s="553"/>
      <c r="E290" s="553"/>
      <c r="F290" s="553"/>
      <c r="G290" s="556">
        <v>0.02</v>
      </c>
      <c r="H290" s="565"/>
      <c r="I290" s="556"/>
      <c r="J290" s="566"/>
      <c r="K290" s="309">
        <f>G290*SUM(K16:K288,K292:K306)</f>
        <v>1110652.364504582</v>
      </c>
      <c r="M290" s="500"/>
      <c r="N290" s="500"/>
      <c r="O290" s="500"/>
      <c r="P290" s="500"/>
      <c r="Q290" s="500"/>
      <c r="R290" s="500"/>
      <c r="S290" s="500"/>
      <c r="T290" s="500"/>
      <c r="U290" s="500"/>
      <c r="V290" s="490"/>
    </row>
    <row r="291" spans="1:24" collapsed="1">
      <c r="A291" s="537" t="s">
        <v>752</v>
      </c>
      <c r="B291" s="538" t="s">
        <v>751</v>
      </c>
      <c r="C291" s="538"/>
      <c r="D291" s="538"/>
      <c r="E291" s="538"/>
      <c r="F291" s="538"/>
      <c r="G291" s="567"/>
      <c r="H291" s="568"/>
      <c r="I291" s="540"/>
      <c r="J291" s="569"/>
      <c r="K291" s="541"/>
      <c r="L291" s="542">
        <f>SUM(K289:K290)</f>
        <v>1110652.364504582</v>
      </c>
      <c r="M291" s="543"/>
      <c r="N291" s="543"/>
      <c r="O291" s="543"/>
      <c r="P291" s="543"/>
      <c r="Q291" s="543"/>
      <c r="R291" s="543"/>
      <c r="S291" s="543"/>
      <c r="T291" s="543"/>
      <c r="U291" s="543"/>
      <c r="V291" s="490"/>
    </row>
    <row r="292" spans="1:24" hidden="1" outlineLevel="1">
      <c r="A292" s="552" t="s">
        <v>753</v>
      </c>
      <c r="B292" s="553" t="s">
        <v>754</v>
      </c>
      <c r="C292" s="553" t="s">
        <v>70</v>
      </c>
      <c r="D292" s="553"/>
      <c r="E292" s="553" t="s">
        <v>76</v>
      </c>
      <c r="F292" s="553" t="s">
        <v>83</v>
      </c>
      <c r="G292" s="554">
        <v>2</v>
      </c>
      <c r="H292" s="555">
        <v>10000</v>
      </c>
      <c r="I292" s="556">
        <v>0</v>
      </c>
      <c r="J292" s="551">
        <f t="shared" ref="J292:J305" si="51">H292*(1+I292)</f>
        <v>10000</v>
      </c>
      <c r="K292" s="309">
        <f t="shared" ref="K292:K305" si="52">J292*G292</f>
        <v>20000</v>
      </c>
      <c r="M292" s="549"/>
      <c r="N292" s="549"/>
      <c r="O292" s="549"/>
      <c r="P292" s="549"/>
      <c r="Q292" s="549"/>
      <c r="R292" s="549"/>
      <c r="S292" s="549"/>
      <c r="T292" s="549"/>
      <c r="U292" s="549"/>
      <c r="V292" s="490"/>
    </row>
    <row r="293" spans="1:24" hidden="1" outlineLevel="1">
      <c r="A293" s="552" t="s">
        <v>755</v>
      </c>
      <c r="B293" s="553" t="s">
        <v>756</v>
      </c>
      <c r="C293" s="553" t="s">
        <v>70</v>
      </c>
      <c r="D293" s="553"/>
      <c r="E293" s="553" t="s">
        <v>87</v>
      </c>
      <c r="F293" s="553"/>
      <c r="G293" s="554"/>
      <c r="H293" s="555"/>
      <c r="I293" s="556">
        <v>0</v>
      </c>
      <c r="J293" s="555">
        <f t="shared" si="51"/>
        <v>0</v>
      </c>
      <c r="K293" s="555">
        <f t="shared" si="52"/>
        <v>0</v>
      </c>
      <c r="M293" s="500"/>
      <c r="N293" s="500"/>
      <c r="O293" s="500"/>
      <c r="P293" s="500"/>
      <c r="Q293" s="500"/>
      <c r="R293" s="500"/>
      <c r="S293" s="500"/>
      <c r="T293" s="500"/>
      <c r="U293" s="500"/>
      <c r="V293" s="490"/>
    </row>
    <row r="294" spans="1:24" hidden="1" outlineLevel="1">
      <c r="A294" s="552" t="s">
        <v>757</v>
      </c>
      <c r="B294" s="553" t="s">
        <v>758</v>
      </c>
      <c r="C294" s="553" t="s">
        <v>70</v>
      </c>
      <c r="D294" s="553"/>
      <c r="E294" s="553" t="s">
        <v>87</v>
      </c>
      <c r="F294" s="553" t="s">
        <v>83</v>
      </c>
      <c r="G294" s="554">
        <v>0</v>
      </c>
      <c r="H294" s="555">
        <v>21000</v>
      </c>
      <c r="I294" s="556">
        <v>0</v>
      </c>
      <c r="J294" s="555">
        <f t="shared" si="51"/>
        <v>21000</v>
      </c>
      <c r="K294" s="555">
        <f t="shared" si="52"/>
        <v>0</v>
      </c>
      <c r="M294" s="500"/>
      <c r="N294" s="500"/>
      <c r="O294" s="500"/>
      <c r="P294" s="500"/>
      <c r="Q294" s="500"/>
      <c r="R294" s="500"/>
      <c r="S294" s="500"/>
      <c r="T294" s="500"/>
      <c r="U294" s="500"/>
      <c r="V294" s="490"/>
    </row>
    <row r="295" spans="1:24" hidden="1" outlineLevel="1">
      <c r="A295" s="552" t="s">
        <v>759</v>
      </c>
      <c r="B295" s="553" t="s">
        <v>760</v>
      </c>
      <c r="C295" s="553" t="s">
        <v>70</v>
      </c>
      <c r="D295" s="553"/>
      <c r="E295" s="553" t="s">
        <v>76</v>
      </c>
      <c r="F295" s="553" t="s">
        <v>83</v>
      </c>
      <c r="G295" s="554">
        <v>1</v>
      </c>
      <c r="H295" s="555">
        <v>20000</v>
      </c>
      <c r="I295" s="556">
        <v>0</v>
      </c>
      <c r="J295" s="555">
        <f t="shared" si="51"/>
        <v>20000</v>
      </c>
      <c r="K295" s="555">
        <f t="shared" si="52"/>
        <v>20000</v>
      </c>
      <c r="M295" s="500"/>
      <c r="N295" s="500"/>
      <c r="O295" s="500"/>
      <c r="P295" s="500"/>
      <c r="Q295" s="500"/>
      <c r="R295" s="500"/>
      <c r="S295" s="500"/>
      <c r="T295" s="500"/>
      <c r="U295" s="500"/>
      <c r="V295" s="490"/>
    </row>
    <row r="296" spans="1:24" hidden="1" outlineLevel="1">
      <c r="A296" s="602" t="s">
        <v>761</v>
      </c>
      <c r="B296" s="553" t="s">
        <v>762</v>
      </c>
      <c r="C296" s="553" t="s">
        <v>70</v>
      </c>
      <c r="D296" s="553"/>
      <c r="E296" s="553" t="s">
        <v>486</v>
      </c>
      <c r="F296" s="553" t="s">
        <v>185</v>
      </c>
      <c r="G296" s="554">
        <f>'Assumptions &amp; Takeoffs'!B17</f>
        <v>1901.9</v>
      </c>
      <c r="H296" s="603">
        <f>47.98</f>
        <v>47.98</v>
      </c>
      <c r="I296" s="556">
        <v>0</v>
      </c>
      <c r="J296" s="555">
        <f t="shared" si="51"/>
        <v>47.98</v>
      </c>
      <c r="K296" s="555">
        <f t="shared" si="52"/>
        <v>91253.161999999997</v>
      </c>
      <c r="M296" s="500"/>
      <c r="N296" s="500"/>
      <c r="O296" s="500"/>
      <c r="P296" s="500"/>
      <c r="Q296" s="500"/>
      <c r="R296" s="500"/>
      <c r="S296" s="500"/>
      <c r="T296" s="500"/>
      <c r="U296" s="500"/>
      <c r="V296" s="490"/>
    </row>
    <row r="297" spans="1:24" hidden="1" outlineLevel="1">
      <c r="A297" s="602" t="s">
        <v>763</v>
      </c>
      <c r="B297" s="553" t="s">
        <v>764</v>
      </c>
      <c r="C297" s="553" t="s">
        <v>70</v>
      </c>
      <c r="D297" s="553"/>
      <c r="E297" s="553" t="s">
        <v>87</v>
      </c>
      <c r="F297" s="553"/>
      <c r="G297" s="554"/>
      <c r="H297" s="555"/>
      <c r="I297" s="556">
        <v>0</v>
      </c>
      <c r="J297" s="555">
        <f t="shared" si="51"/>
        <v>0</v>
      </c>
      <c r="K297" s="555">
        <f t="shared" si="52"/>
        <v>0</v>
      </c>
      <c r="M297" s="500"/>
      <c r="N297" s="500"/>
      <c r="O297" s="500"/>
      <c r="P297" s="500"/>
      <c r="Q297" s="500"/>
      <c r="R297" s="500"/>
      <c r="S297" s="500"/>
      <c r="T297" s="500"/>
      <c r="U297" s="500"/>
      <c r="V297" s="490"/>
      <c r="X297" s="491">
        <f>62000000*0.06</f>
        <v>3720000</v>
      </c>
    </row>
    <row r="298" spans="1:24" hidden="1" outlineLevel="1">
      <c r="A298" s="602" t="s">
        <v>765</v>
      </c>
      <c r="B298" s="553" t="s">
        <v>766</v>
      </c>
      <c r="C298" s="553" t="s">
        <v>70</v>
      </c>
      <c r="D298" s="553"/>
      <c r="E298" s="553" t="s">
        <v>76</v>
      </c>
      <c r="F298" s="553" t="s">
        <v>83</v>
      </c>
      <c r="G298" s="554">
        <v>1</v>
      </c>
      <c r="H298" s="555">
        <v>15000</v>
      </c>
      <c r="I298" s="556">
        <v>0</v>
      </c>
      <c r="J298" s="555">
        <f t="shared" si="51"/>
        <v>15000</v>
      </c>
      <c r="K298" s="555">
        <f t="shared" si="52"/>
        <v>15000</v>
      </c>
      <c r="M298" s="500"/>
      <c r="N298" s="500"/>
      <c r="O298" s="500"/>
      <c r="P298" s="500"/>
      <c r="Q298" s="500"/>
      <c r="R298" s="500"/>
      <c r="S298" s="500"/>
      <c r="T298" s="500"/>
      <c r="U298" s="500"/>
      <c r="V298" s="490"/>
    </row>
    <row r="299" spans="1:24" hidden="1" outlineLevel="1">
      <c r="A299" s="602" t="s">
        <v>767</v>
      </c>
      <c r="B299" s="553" t="s">
        <v>768</v>
      </c>
      <c r="C299" s="553" t="s">
        <v>70</v>
      </c>
      <c r="D299" s="553"/>
      <c r="E299" s="553" t="s">
        <v>769</v>
      </c>
      <c r="F299" s="553" t="s">
        <v>83</v>
      </c>
      <c r="G299" s="554">
        <v>1</v>
      </c>
      <c r="H299" s="555">
        <v>5000</v>
      </c>
      <c r="I299" s="556">
        <v>0</v>
      </c>
      <c r="J299" s="555">
        <f t="shared" si="51"/>
        <v>5000</v>
      </c>
      <c r="K299" s="555">
        <f t="shared" si="52"/>
        <v>5000</v>
      </c>
      <c r="M299" s="500"/>
      <c r="N299" s="500"/>
      <c r="O299" s="500"/>
      <c r="P299" s="500"/>
      <c r="Q299" s="500"/>
      <c r="R299" s="500"/>
      <c r="S299" s="500"/>
      <c r="T299" s="500"/>
      <c r="U299" s="500"/>
      <c r="V299" s="490"/>
    </row>
    <row r="300" spans="1:24" hidden="1" outlineLevel="1">
      <c r="A300" s="602" t="s">
        <v>770</v>
      </c>
      <c r="B300" s="553" t="s">
        <v>771</v>
      </c>
      <c r="C300" s="553" t="s">
        <v>70</v>
      </c>
      <c r="D300" s="553"/>
      <c r="E300" s="553" t="s">
        <v>87</v>
      </c>
      <c r="F300" s="553"/>
      <c r="G300" s="554"/>
      <c r="H300" s="555"/>
      <c r="I300" s="556">
        <v>0</v>
      </c>
      <c r="J300" s="555">
        <f t="shared" si="51"/>
        <v>0</v>
      </c>
      <c r="K300" s="555">
        <f t="shared" si="52"/>
        <v>0</v>
      </c>
      <c r="M300" s="500"/>
      <c r="N300" s="500"/>
      <c r="O300" s="500"/>
      <c r="P300" s="500"/>
      <c r="Q300" s="500"/>
      <c r="R300" s="500"/>
      <c r="S300" s="500"/>
      <c r="T300" s="500"/>
      <c r="U300" s="500"/>
      <c r="V300" s="490"/>
    </row>
    <row r="301" spans="1:24" hidden="1" outlineLevel="1">
      <c r="A301" s="552" t="s">
        <v>772</v>
      </c>
      <c r="B301" s="553" t="s">
        <v>773</v>
      </c>
      <c r="C301" s="553" t="s">
        <v>70</v>
      </c>
      <c r="D301" s="553"/>
      <c r="E301" s="553" t="s">
        <v>76</v>
      </c>
      <c r="F301" s="553" t="s">
        <v>83</v>
      </c>
      <c r="G301" s="554">
        <v>3</v>
      </c>
      <c r="H301" s="555">
        <v>400000</v>
      </c>
      <c r="I301" s="556">
        <v>0</v>
      </c>
      <c r="J301" s="555">
        <f t="shared" si="51"/>
        <v>400000</v>
      </c>
      <c r="K301" s="555">
        <f t="shared" si="52"/>
        <v>1200000</v>
      </c>
      <c r="M301" s="500"/>
      <c r="N301" s="500"/>
      <c r="O301" s="500"/>
      <c r="P301" s="500"/>
      <c r="Q301" s="500"/>
      <c r="R301" s="500"/>
      <c r="S301" s="500"/>
      <c r="T301" s="500"/>
      <c r="U301" s="500"/>
      <c r="V301" s="490"/>
    </row>
    <row r="302" spans="1:24" hidden="1" outlineLevel="1">
      <c r="A302" s="552" t="s">
        <v>222</v>
      </c>
      <c r="B302" s="553" t="s">
        <v>775</v>
      </c>
      <c r="C302" s="553" t="s">
        <v>70</v>
      </c>
      <c r="D302" s="553"/>
      <c r="E302" s="553" t="s">
        <v>673</v>
      </c>
      <c r="F302" s="553" t="s">
        <v>83</v>
      </c>
      <c r="G302" s="554">
        <v>3</v>
      </c>
      <c r="H302" s="555">
        <v>100000</v>
      </c>
      <c r="I302" s="556">
        <v>0</v>
      </c>
      <c r="J302" s="555">
        <f t="shared" si="51"/>
        <v>100000</v>
      </c>
      <c r="K302" s="555">
        <f t="shared" si="52"/>
        <v>300000</v>
      </c>
      <c r="M302" s="500"/>
      <c r="N302" s="500"/>
      <c r="O302" s="500"/>
      <c r="P302" s="500"/>
      <c r="Q302" s="500"/>
      <c r="R302" s="500"/>
      <c r="S302" s="500"/>
      <c r="T302" s="500"/>
      <c r="U302" s="500"/>
      <c r="V302" s="490"/>
    </row>
    <row r="303" spans="1:24" hidden="1" outlineLevel="1">
      <c r="A303" s="602" t="s">
        <v>776</v>
      </c>
      <c r="B303" s="553" t="s">
        <v>564</v>
      </c>
      <c r="C303" s="553" t="s">
        <v>70</v>
      </c>
      <c r="D303" s="553"/>
      <c r="E303" s="553" t="s">
        <v>76</v>
      </c>
      <c r="F303" s="553" t="s">
        <v>83</v>
      </c>
      <c r="G303" s="554">
        <v>1</v>
      </c>
      <c r="H303" s="555">
        <v>25000</v>
      </c>
      <c r="I303" s="556">
        <v>0</v>
      </c>
      <c r="J303" s="555">
        <f t="shared" si="51"/>
        <v>25000</v>
      </c>
      <c r="K303" s="555">
        <f t="shared" si="52"/>
        <v>25000</v>
      </c>
      <c r="M303" s="500"/>
      <c r="N303" s="500"/>
      <c r="O303" s="500"/>
      <c r="P303" s="500"/>
      <c r="Q303" s="500"/>
      <c r="R303" s="500"/>
      <c r="S303" s="500"/>
      <c r="T303" s="500"/>
      <c r="U303" s="500"/>
      <c r="V303" s="490"/>
    </row>
    <row r="304" spans="1:24" hidden="1" outlineLevel="1">
      <c r="A304" s="602" t="s">
        <v>777</v>
      </c>
      <c r="B304" s="553" t="s">
        <v>778</v>
      </c>
      <c r="C304" s="553" t="s">
        <v>70</v>
      </c>
      <c r="D304" s="553"/>
      <c r="E304" s="553" t="s">
        <v>76</v>
      </c>
      <c r="F304" s="553" t="s">
        <v>83</v>
      </c>
      <c r="G304" s="554">
        <v>1</v>
      </c>
      <c r="H304" s="555">
        <v>2500</v>
      </c>
      <c r="I304" s="556">
        <v>0</v>
      </c>
      <c r="J304" s="555">
        <f t="shared" si="51"/>
        <v>2500</v>
      </c>
      <c r="K304" s="555">
        <f t="shared" si="52"/>
        <v>2500</v>
      </c>
      <c r="M304" s="500"/>
      <c r="N304" s="500"/>
      <c r="O304" s="500"/>
      <c r="P304" s="500"/>
      <c r="Q304" s="500"/>
      <c r="R304" s="500"/>
      <c r="S304" s="500"/>
      <c r="T304" s="500"/>
      <c r="U304" s="500"/>
      <c r="V304" s="490"/>
    </row>
    <row r="305" spans="1:22" hidden="1" outlineLevel="1">
      <c r="A305" s="552" t="s">
        <v>779</v>
      </c>
      <c r="B305" s="553" t="s">
        <v>780</v>
      </c>
      <c r="C305" s="553" t="s">
        <v>70</v>
      </c>
      <c r="D305" s="553"/>
      <c r="E305" s="553" t="s">
        <v>76</v>
      </c>
      <c r="F305" s="553" t="s">
        <v>83</v>
      </c>
      <c r="G305" s="554">
        <v>2</v>
      </c>
      <c r="H305" s="555">
        <v>1500</v>
      </c>
      <c r="I305" s="556">
        <v>0</v>
      </c>
      <c r="J305" s="551">
        <f t="shared" si="51"/>
        <v>1500</v>
      </c>
      <c r="K305" s="309">
        <f t="shared" si="52"/>
        <v>3000</v>
      </c>
      <c r="M305" s="500"/>
      <c r="N305" s="500"/>
      <c r="O305" s="500"/>
      <c r="P305" s="500"/>
      <c r="Q305" s="500"/>
      <c r="R305" s="500"/>
      <c r="S305" s="500"/>
      <c r="T305" s="500"/>
      <c r="U305" s="500"/>
      <c r="V305" s="490"/>
    </row>
    <row r="306" spans="1:22" collapsed="1">
      <c r="A306" s="537" t="s">
        <v>781</v>
      </c>
      <c r="B306" s="538" t="s">
        <v>782</v>
      </c>
      <c r="C306" s="538"/>
      <c r="D306" s="538"/>
      <c r="E306" s="538"/>
      <c r="F306" s="538"/>
      <c r="G306" s="567"/>
      <c r="H306" s="568"/>
      <c r="I306" s="540"/>
      <c r="J306" s="569"/>
      <c r="K306" s="541"/>
      <c r="L306" s="542">
        <f>SUM(K292:K305)</f>
        <v>1681753.162</v>
      </c>
      <c r="M306" s="543"/>
      <c r="N306" s="543"/>
      <c r="O306" s="543"/>
      <c r="P306" s="543"/>
      <c r="Q306" s="543"/>
      <c r="R306" s="543"/>
      <c r="S306" s="543"/>
      <c r="T306" s="543"/>
      <c r="U306" s="543"/>
      <c r="V306" s="490"/>
    </row>
    <row r="307" spans="1:22" hidden="1" outlineLevel="1">
      <c r="A307" s="552" t="s">
        <v>783</v>
      </c>
      <c r="B307" s="553" t="s">
        <v>784</v>
      </c>
      <c r="C307" s="553"/>
      <c r="D307" s="553"/>
      <c r="E307" s="553"/>
      <c r="F307" s="553"/>
      <c r="G307" s="556">
        <v>0.05</v>
      </c>
      <c r="H307" s="565"/>
      <c r="I307" s="556"/>
      <c r="J307" s="566"/>
      <c r="K307" s="309">
        <f>(SUM(K16:K305)-K290)*G307</f>
        <v>2776630.9112614552</v>
      </c>
      <c r="M307" s="549"/>
      <c r="N307" s="549"/>
      <c r="O307" s="549"/>
      <c r="P307" s="549"/>
      <c r="Q307" s="549"/>
      <c r="R307" s="549"/>
      <c r="S307" s="549"/>
      <c r="T307" s="549"/>
      <c r="U307" s="549"/>
      <c r="V307" s="490"/>
    </row>
    <row r="308" spans="1:22" collapsed="1">
      <c r="A308" s="537" t="s">
        <v>783</v>
      </c>
      <c r="B308" s="538" t="s">
        <v>785</v>
      </c>
      <c r="C308" s="538"/>
      <c r="D308" s="538"/>
      <c r="E308" s="538"/>
      <c r="F308" s="538"/>
      <c r="G308" s="567"/>
      <c r="H308" s="568"/>
      <c r="I308" s="540"/>
      <c r="J308" s="568"/>
      <c r="K308" s="539"/>
      <c r="L308" s="542">
        <f>K307</f>
        <v>2776630.9112614552</v>
      </c>
      <c r="M308" s="543"/>
      <c r="N308" s="543"/>
      <c r="O308" s="543"/>
      <c r="P308" s="543"/>
      <c r="Q308" s="543"/>
      <c r="R308" s="543"/>
      <c r="S308" s="543"/>
      <c r="T308" s="543"/>
      <c r="U308" s="543"/>
      <c r="V308" s="490"/>
    </row>
    <row r="309" spans="1:22" hidden="1" outlineLevel="1">
      <c r="A309" s="544" t="s">
        <v>786</v>
      </c>
      <c r="B309" s="545" t="s">
        <v>787</v>
      </c>
      <c r="C309" s="545" t="s">
        <v>788</v>
      </c>
      <c r="D309" s="545"/>
      <c r="E309" s="545"/>
      <c r="F309" s="545"/>
      <c r="G309" s="604">
        <v>1.7000000000000001E-2</v>
      </c>
      <c r="H309" s="550"/>
      <c r="I309" s="548"/>
      <c r="J309" s="572"/>
      <c r="K309" s="309">
        <f>G309*SUM(K16:K287,K292:K305)</f>
        <v>944054.50982889475</v>
      </c>
      <c r="M309" s="549"/>
      <c r="N309" s="549"/>
      <c r="O309" s="549"/>
      <c r="P309" s="549"/>
      <c r="Q309" s="549"/>
      <c r="R309" s="549"/>
      <c r="S309" s="549"/>
      <c r="T309" s="549"/>
      <c r="U309" s="549"/>
      <c r="V309" s="490"/>
    </row>
    <row r="310" spans="1:22" collapsed="1">
      <c r="A310" s="537" t="s">
        <v>786</v>
      </c>
      <c r="B310" s="538" t="s">
        <v>789</v>
      </c>
      <c r="C310" s="538"/>
      <c r="D310" s="538"/>
      <c r="E310" s="538"/>
      <c r="F310" s="538"/>
      <c r="G310" s="567"/>
      <c r="H310" s="568"/>
      <c r="I310" s="540"/>
      <c r="J310" s="569"/>
      <c r="K310" s="541"/>
      <c r="L310" s="542">
        <f>SUM(K309)</f>
        <v>944054.50982889475</v>
      </c>
      <c r="M310" s="543"/>
      <c r="N310" s="543"/>
      <c r="O310" s="543"/>
      <c r="P310" s="543"/>
      <c r="Q310" s="543"/>
      <c r="R310" s="543"/>
      <c r="S310" s="543"/>
      <c r="T310" s="543"/>
      <c r="U310" s="543"/>
      <c r="V310" s="490"/>
    </row>
    <row r="311" spans="1:22" hidden="1" outlineLevel="1">
      <c r="A311" s="552" t="s">
        <v>790</v>
      </c>
      <c r="B311" s="553" t="s">
        <v>791</v>
      </c>
      <c r="C311" s="553"/>
      <c r="D311" s="553"/>
      <c r="E311" s="553"/>
      <c r="F311" s="553" t="s">
        <v>792</v>
      </c>
      <c r="G311" s="605">
        <v>5</v>
      </c>
      <c r="H311" s="565"/>
      <c r="I311" s="556"/>
      <c r="J311" s="566"/>
      <c r="K311" s="309">
        <f>(SUM(K16:K288,K292:K306)+6500000)/1000*G311</f>
        <v>310163.0911261455</v>
      </c>
      <c r="M311" s="549"/>
      <c r="N311" s="549"/>
      <c r="O311" s="549"/>
      <c r="P311" s="549"/>
      <c r="Q311" s="549"/>
      <c r="R311" s="549"/>
      <c r="S311" s="549"/>
      <c r="T311" s="549"/>
      <c r="U311" s="549"/>
      <c r="V311" s="490"/>
    </row>
    <row r="312" spans="1:22" hidden="1" outlineLevel="1">
      <c r="A312" s="602" t="s">
        <v>793</v>
      </c>
      <c r="B312" s="553" t="s">
        <v>791</v>
      </c>
      <c r="C312" s="553"/>
      <c r="D312" s="553"/>
      <c r="E312" s="553"/>
      <c r="F312" s="553" t="s">
        <v>794</v>
      </c>
      <c r="G312" s="556">
        <v>0.05</v>
      </c>
      <c r="H312" s="565"/>
      <c r="I312" s="556"/>
      <c r="J312" s="565"/>
      <c r="K312" s="555">
        <f>K311*G312</f>
        <v>15508.154556307276</v>
      </c>
      <c r="M312" s="500"/>
      <c r="N312" s="500"/>
      <c r="O312" s="500"/>
      <c r="P312" s="500"/>
      <c r="Q312" s="500"/>
      <c r="R312" s="500"/>
      <c r="S312" s="500"/>
      <c r="T312" s="500"/>
      <c r="U312" s="500"/>
      <c r="V312" s="490"/>
    </row>
    <row r="313" spans="1:22" hidden="1" outlineLevel="1">
      <c r="A313" s="552" t="s">
        <v>795</v>
      </c>
      <c r="B313" s="553" t="s">
        <v>791</v>
      </c>
      <c r="C313" s="553"/>
      <c r="D313" s="553"/>
      <c r="E313" s="553"/>
      <c r="F313" s="553" t="s">
        <v>796</v>
      </c>
      <c r="G313" s="554">
        <v>0.95</v>
      </c>
      <c r="H313" s="565"/>
      <c r="I313" s="556"/>
      <c r="J313" s="566"/>
      <c r="K313" s="309">
        <f>K311*G313</f>
        <v>294654.9365698382</v>
      </c>
      <c r="M313" s="500"/>
      <c r="N313" s="500"/>
      <c r="O313" s="500"/>
      <c r="P313" s="500"/>
      <c r="Q313" s="500"/>
      <c r="R313" s="500"/>
      <c r="S313" s="500"/>
      <c r="T313" s="500"/>
      <c r="U313" s="500"/>
      <c r="V313" s="490"/>
    </row>
    <row r="314" spans="1:22" collapsed="1">
      <c r="A314" s="537" t="s">
        <v>797</v>
      </c>
      <c r="B314" s="538" t="s">
        <v>789</v>
      </c>
      <c r="C314" s="538"/>
      <c r="D314" s="538"/>
      <c r="E314" s="538"/>
      <c r="F314" s="538"/>
      <c r="G314" s="567"/>
      <c r="H314" s="568"/>
      <c r="I314" s="540"/>
      <c r="J314" s="569"/>
      <c r="K314" s="541"/>
      <c r="L314" s="542">
        <f>SUM(K311:K313)</f>
        <v>620326.18225229101</v>
      </c>
      <c r="M314" s="543"/>
      <c r="N314" s="543"/>
      <c r="O314" s="543"/>
      <c r="P314" s="543"/>
      <c r="Q314" s="543"/>
      <c r="R314" s="543"/>
      <c r="S314" s="543"/>
      <c r="T314" s="543"/>
      <c r="U314" s="543"/>
      <c r="V314" s="490"/>
    </row>
    <row r="315" spans="1:22" hidden="1" outlineLevel="1">
      <c r="A315" s="552" t="s">
        <v>798</v>
      </c>
      <c r="B315" s="553" t="s">
        <v>799</v>
      </c>
      <c r="C315" s="553"/>
      <c r="D315" s="553"/>
      <c r="E315" s="553"/>
      <c r="F315" s="553"/>
      <c r="G315" s="606">
        <v>0.02</v>
      </c>
      <c r="H315" s="565"/>
      <c r="I315" s="556"/>
      <c r="J315" s="566"/>
      <c r="K315" s="309">
        <v>1112938.6699982199</v>
      </c>
      <c r="M315" s="549"/>
      <c r="N315" s="549"/>
      <c r="O315" s="549"/>
      <c r="P315" s="549"/>
      <c r="Q315" s="549"/>
      <c r="R315" s="549"/>
      <c r="S315" s="549"/>
      <c r="T315" s="549"/>
      <c r="U315" s="549"/>
      <c r="V315" s="490"/>
    </row>
    <row r="316" spans="1:22" hidden="1" outlineLevel="1">
      <c r="A316" s="552" t="s">
        <v>800</v>
      </c>
      <c r="B316" s="553" t="s">
        <v>799</v>
      </c>
      <c r="C316" s="553"/>
      <c r="D316" s="553"/>
      <c r="E316" s="553"/>
      <c r="F316" s="553"/>
      <c r="G316" s="606">
        <v>0.06</v>
      </c>
      <c r="H316" s="565"/>
      <c r="I316" s="556"/>
      <c r="J316" s="566"/>
      <c r="K316" s="309">
        <v>3338816.0099946638</v>
      </c>
      <c r="M316" s="500"/>
      <c r="N316" s="500"/>
      <c r="O316" s="500"/>
      <c r="P316" s="500"/>
      <c r="Q316" s="500"/>
      <c r="R316" s="500"/>
      <c r="S316" s="500"/>
      <c r="T316" s="500"/>
      <c r="U316" s="500"/>
      <c r="V316" s="490"/>
    </row>
    <row r="317" spans="1:22" collapsed="1">
      <c r="A317" s="537" t="s">
        <v>801</v>
      </c>
      <c r="B317" s="538" t="s">
        <v>799</v>
      </c>
      <c r="C317" s="538"/>
      <c r="D317" s="538"/>
      <c r="E317" s="538"/>
      <c r="F317" s="538"/>
      <c r="G317" s="567"/>
      <c r="H317" s="568"/>
      <c r="I317" s="540"/>
      <c r="J317" s="569"/>
      <c r="K317" s="541"/>
      <c r="L317" s="542">
        <f>SUM(K315:K316)</f>
        <v>4451754.6799928835</v>
      </c>
      <c r="M317" s="543"/>
      <c r="N317" s="543"/>
      <c r="O317" s="543"/>
      <c r="P317" s="543"/>
      <c r="Q317" s="543"/>
      <c r="R317" s="543"/>
      <c r="S317" s="543"/>
      <c r="T317" s="543"/>
      <c r="U317" s="543"/>
      <c r="V317" s="490"/>
    </row>
    <row r="318" spans="1:22">
      <c r="A318" s="524"/>
      <c r="G318" s="607"/>
      <c r="H318" s="600"/>
      <c r="I318" s="608"/>
      <c r="J318" s="600"/>
      <c r="K318" s="576"/>
      <c r="L318" s="609"/>
      <c r="V318" s="490"/>
    </row>
    <row r="319" spans="1:22" ht="15.75" thickBot="1">
      <c r="A319" s="610" t="s">
        <v>802</v>
      </c>
      <c r="B319" s="611"/>
      <c r="C319" s="611"/>
      <c r="D319" s="611"/>
      <c r="E319" s="611"/>
      <c r="F319" s="611"/>
      <c r="G319" s="611"/>
      <c r="H319" s="612"/>
      <c r="I319" s="613"/>
      <c r="J319" s="614"/>
      <c r="K319" s="614"/>
      <c r="L319" s="615">
        <f>SUM(L14:L318)</f>
        <v>68767993.966582954</v>
      </c>
      <c r="M319" s="616"/>
      <c r="N319" s="616"/>
      <c r="O319" s="616"/>
      <c r="P319" s="616"/>
      <c r="Q319" s="616"/>
      <c r="R319" s="616"/>
      <c r="S319" s="616"/>
      <c r="T319" s="616"/>
      <c r="U319" s="616"/>
      <c r="V319" s="490"/>
    </row>
    <row r="320" spans="1:22" ht="15.75" thickBot="1">
      <c r="G320" s="490"/>
      <c r="H320" s="490"/>
      <c r="I320" s="617"/>
      <c r="L320" s="618">
        <f>SUM(K14:K319)-L319</f>
        <v>0</v>
      </c>
      <c r="M320" s="618"/>
    </row>
    <row r="321" spans="1:43">
      <c r="A321" s="619" t="s">
        <v>72</v>
      </c>
      <c r="B321" s="505" t="s">
        <v>69</v>
      </c>
      <c r="C321" s="505"/>
      <c r="D321" s="505"/>
      <c r="E321" s="620">
        <f t="shared" ref="E321:E356" si="53">_xlfn.XLOOKUP(A321,$A$14:$A$319,$L$14:$L$319)</f>
        <v>3331957.0935137458</v>
      </c>
      <c r="L321" s="618"/>
      <c r="N321" s="621" t="s">
        <v>803</v>
      </c>
      <c r="O321" s="503"/>
    </row>
    <row r="322" spans="1:43">
      <c r="A322" s="622" t="s">
        <v>77</v>
      </c>
      <c r="B322" s="497" t="s">
        <v>78</v>
      </c>
      <c r="C322" s="497"/>
      <c r="D322" s="497"/>
      <c r="E322" s="623">
        <f t="shared" si="53"/>
        <v>16000</v>
      </c>
      <c r="N322" s="624">
        <f>SUM(K292:K305,K16:K287)</f>
        <v>55532618.225229099</v>
      </c>
      <c r="O322" s="508"/>
    </row>
    <row r="323" spans="1:43">
      <c r="A323" s="622" t="s">
        <v>121</v>
      </c>
      <c r="B323" s="497" t="s">
        <v>122</v>
      </c>
      <c r="C323" s="497"/>
      <c r="D323" s="497"/>
      <c r="E323" s="623">
        <f t="shared" si="53"/>
        <v>2775836.1714905147</v>
      </c>
      <c r="N323" s="624">
        <f>N322*0.06</f>
        <v>3331957.0935137458</v>
      </c>
      <c r="O323" s="625">
        <f>N322*0.05</f>
        <v>2776630.9112614552</v>
      </c>
    </row>
    <row r="324" spans="1:43" ht="15.75" thickBot="1">
      <c r="A324" s="622" t="s">
        <v>804</v>
      </c>
      <c r="B324" s="497" t="s">
        <v>805</v>
      </c>
      <c r="C324" s="497"/>
      <c r="D324" s="497"/>
      <c r="E324" s="623" t="e">
        <f>_xlfn.XLOOKUP(A324,$A$14:$A$319,$L$14:$L$319)</f>
        <v>#N/A</v>
      </c>
      <c r="N324" s="626">
        <f>N323/B6</f>
        <v>138831.54556307275</v>
      </c>
      <c r="O324" s="627"/>
    </row>
    <row r="325" spans="1:43">
      <c r="A325" s="622" t="s">
        <v>146</v>
      </c>
      <c r="B325" s="497" t="s">
        <v>147</v>
      </c>
      <c r="C325" s="497"/>
      <c r="D325" s="497"/>
      <c r="E325" s="623">
        <f t="shared" si="53"/>
        <v>128000</v>
      </c>
    </row>
    <row r="326" spans="1:43" s="490" customFormat="1">
      <c r="A326" s="622" t="s">
        <v>175</v>
      </c>
      <c r="B326" s="497" t="s">
        <v>176</v>
      </c>
      <c r="C326" s="497"/>
      <c r="D326" s="497"/>
      <c r="E326" s="623">
        <f t="shared" si="53"/>
        <v>474487.5</v>
      </c>
      <c r="G326" s="491"/>
      <c r="H326" s="491"/>
      <c r="I326" s="491"/>
      <c r="J326" s="491"/>
      <c r="K326" s="491"/>
      <c r="L326" s="491"/>
      <c r="M326" s="491"/>
      <c r="N326" s="491"/>
      <c r="O326" s="491"/>
      <c r="P326" s="491"/>
      <c r="Q326" s="491"/>
      <c r="R326" s="491"/>
      <c r="S326" s="491"/>
      <c r="T326" s="491"/>
      <c r="U326" s="491"/>
      <c r="V326" s="491"/>
      <c r="W326" s="491"/>
      <c r="X326" s="491"/>
      <c r="Y326" s="491"/>
      <c r="Z326" s="491"/>
      <c r="AA326" s="491"/>
      <c r="AB326" s="491"/>
      <c r="AC326" s="491"/>
      <c r="AD326" s="491"/>
      <c r="AE326" s="491"/>
      <c r="AF326" s="491"/>
      <c r="AG326" s="491"/>
      <c r="AH326" s="491"/>
      <c r="AI326" s="491"/>
      <c r="AJ326" s="491"/>
      <c r="AK326" s="491"/>
      <c r="AL326" s="491"/>
      <c r="AM326" s="491"/>
      <c r="AN326" s="491"/>
      <c r="AO326" s="491"/>
      <c r="AP326" s="491"/>
      <c r="AQ326" s="491"/>
    </row>
    <row r="327" spans="1:43" s="490" customFormat="1">
      <c r="A327" s="622" t="s">
        <v>220</v>
      </c>
      <c r="B327" s="497" t="s">
        <v>221</v>
      </c>
      <c r="C327" s="497"/>
      <c r="D327" s="497"/>
      <c r="E327" s="623">
        <f t="shared" si="53"/>
        <v>8515537.769804569</v>
      </c>
      <c r="G327" s="491"/>
      <c r="H327" s="491"/>
      <c r="I327" s="491"/>
      <c r="J327" s="491"/>
      <c r="K327" s="491"/>
      <c r="L327" s="491"/>
      <c r="M327" s="491"/>
      <c r="N327" s="628"/>
      <c r="O327" s="491"/>
      <c r="P327" s="491"/>
      <c r="Q327" s="491"/>
      <c r="R327" s="491"/>
      <c r="S327" s="491"/>
      <c r="T327" s="491"/>
      <c r="U327" s="491"/>
      <c r="V327" s="491"/>
      <c r="W327" s="491"/>
      <c r="X327" s="491"/>
      <c r="Y327" s="491"/>
      <c r="Z327" s="491"/>
      <c r="AA327" s="491"/>
      <c r="AB327" s="491"/>
      <c r="AC327" s="491"/>
      <c r="AD327" s="491"/>
      <c r="AE327" s="491"/>
      <c r="AF327" s="491"/>
      <c r="AG327" s="491"/>
      <c r="AH327" s="491"/>
      <c r="AI327" s="491"/>
      <c r="AJ327" s="491"/>
      <c r="AK327" s="491"/>
      <c r="AL327" s="491"/>
      <c r="AM327" s="491"/>
      <c r="AN327" s="491"/>
      <c r="AO327" s="491"/>
      <c r="AP327" s="491"/>
      <c r="AQ327" s="491"/>
    </row>
    <row r="328" spans="1:43" s="490" customFormat="1">
      <c r="A328" s="622" t="s">
        <v>267</v>
      </c>
      <c r="B328" s="497" t="s">
        <v>268</v>
      </c>
      <c r="C328" s="497"/>
      <c r="D328" s="497"/>
      <c r="E328" s="623">
        <f t="shared" si="53"/>
        <v>2366346.0099999998</v>
      </c>
      <c r="G328" s="491"/>
      <c r="H328" s="491"/>
      <c r="I328" s="491"/>
      <c r="J328" s="491"/>
      <c r="K328" s="491"/>
      <c r="L328" s="491"/>
      <c r="M328" s="491"/>
      <c r="N328" s="491"/>
      <c r="O328" s="491"/>
      <c r="P328" s="491"/>
      <c r="Q328" s="491"/>
      <c r="R328" s="491"/>
      <c r="S328" s="491"/>
      <c r="T328" s="491"/>
      <c r="U328" s="491"/>
      <c r="V328" s="491"/>
      <c r="W328" s="491"/>
      <c r="X328" s="491"/>
      <c r="Y328" s="491"/>
      <c r="Z328" s="491"/>
      <c r="AA328" s="491"/>
      <c r="AB328" s="491"/>
      <c r="AC328" s="491"/>
      <c r="AD328" s="491"/>
      <c r="AE328" s="491"/>
      <c r="AF328" s="491"/>
      <c r="AG328" s="491"/>
      <c r="AH328" s="491"/>
      <c r="AI328" s="491"/>
      <c r="AJ328" s="491"/>
      <c r="AK328" s="491"/>
      <c r="AL328" s="491"/>
      <c r="AM328" s="491"/>
      <c r="AN328" s="491"/>
      <c r="AO328" s="491"/>
      <c r="AP328" s="491"/>
      <c r="AQ328" s="491"/>
    </row>
    <row r="329" spans="1:43" s="490" customFormat="1">
      <c r="A329" s="622" t="s">
        <v>297</v>
      </c>
      <c r="B329" s="497" t="s">
        <v>298</v>
      </c>
      <c r="C329" s="497"/>
      <c r="D329" s="497"/>
      <c r="E329" s="623">
        <f t="shared" si="53"/>
        <v>679200</v>
      </c>
      <c r="G329" s="491"/>
      <c r="H329" s="491"/>
      <c r="I329" s="491"/>
      <c r="J329" s="491"/>
      <c r="K329" s="491"/>
      <c r="L329" s="491"/>
      <c r="M329" s="491"/>
      <c r="N329" s="628"/>
      <c r="O329" s="491"/>
      <c r="P329" s="491"/>
      <c r="Q329" s="491"/>
      <c r="R329" s="491"/>
      <c r="S329" s="491"/>
      <c r="T329" s="491"/>
      <c r="U329" s="491"/>
      <c r="V329" s="491"/>
      <c r="W329" s="491"/>
      <c r="X329" s="491"/>
      <c r="Y329" s="491"/>
      <c r="Z329" s="491"/>
      <c r="AA329" s="491"/>
      <c r="AB329" s="491"/>
      <c r="AC329" s="491"/>
      <c r="AD329" s="491"/>
      <c r="AE329" s="491"/>
      <c r="AF329" s="491"/>
      <c r="AG329" s="491"/>
      <c r="AH329" s="491"/>
      <c r="AI329" s="491"/>
      <c r="AJ329" s="491"/>
      <c r="AK329" s="491"/>
      <c r="AL329" s="491"/>
      <c r="AM329" s="491"/>
      <c r="AN329" s="491"/>
      <c r="AO329" s="491"/>
      <c r="AP329" s="491"/>
      <c r="AQ329" s="491"/>
    </row>
    <row r="330" spans="1:43" s="490" customFormat="1">
      <c r="A330" s="622" t="s">
        <v>391</v>
      </c>
      <c r="B330" s="497" t="s">
        <v>392</v>
      </c>
      <c r="C330" s="497"/>
      <c r="D330" s="497"/>
      <c r="E330" s="623">
        <f t="shared" si="53"/>
        <v>5963501.3854374392</v>
      </c>
      <c r="G330" s="491"/>
      <c r="H330" s="491"/>
      <c r="I330" s="491"/>
      <c r="J330" s="491"/>
      <c r="K330" s="491"/>
      <c r="L330" s="491"/>
      <c r="M330" s="491"/>
      <c r="N330" s="491"/>
      <c r="O330" s="491"/>
      <c r="P330" s="491"/>
      <c r="Q330" s="491"/>
      <c r="R330" s="491"/>
      <c r="S330" s="491"/>
      <c r="T330" s="491"/>
      <c r="U330" s="491"/>
      <c r="V330" s="491"/>
      <c r="W330" s="491"/>
      <c r="X330" s="491"/>
      <c r="Y330" s="491"/>
      <c r="Z330" s="491"/>
      <c r="AA330" s="491"/>
      <c r="AB330" s="491"/>
      <c r="AC330" s="491"/>
      <c r="AD330" s="491"/>
      <c r="AE330" s="491"/>
      <c r="AF330" s="491"/>
      <c r="AG330" s="491"/>
      <c r="AH330" s="491"/>
      <c r="AI330" s="491"/>
      <c r="AJ330" s="491"/>
      <c r="AK330" s="491"/>
      <c r="AL330" s="491"/>
      <c r="AM330" s="491"/>
      <c r="AN330" s="491"/>
      <c r="AO330" s="491"/>
      <c r="AP330" s="491"/>
      <c r="AQ330" s="491"/>
    </row>
    <row r="331" spans="1:43" s="490" customFormat="1">
      <c r="A331" s="622" t="s">
        <v>431</v>
      </c>
      <c r="B331" s="497" t="s">
        <v>432</v>
      </c>
      <c r="C331" s="497"/>
      <c r="D331" s="497"/>
      <c r="E331" s="623">
        <f t="shared" si="53"/>
        <v>525785</v>
      </c>
      <c r="G331" s="491"/>
      <c r="H331" s="491"/>
      <c r="I331" s="491"/>
      <c r="J331" s="491"/>
      <c r="K331" s="491"/>
      <c r="L331" s="491"/>
      <c r="M331" s="491"/>
      <c r="N331" s="491"/>
      <c r="O331" s="491"/>
      <c r="P331" s="491"/>
      <c r="Q331" s="491"/>
      <c r="R331" s="491"/>
      <c r="S331" s="491"/>
      <c r="T331" s="491"/>
      <c r="U331" s="491"/>
      <c r="V331" s="491"/>
      <c r="W331" s="491"/>
      <c r="X331" s="491"/>
      <c r="Y331" s="491"/>
      <c r="Z331" s="491"/>
      <c r="AA331" s="491"/>
      <c r="AB331" s="491"/>
      <c r="AC331" s="491"/>
      <c r="AD331" s="491"/>
      <c r="AE331" s="491"/>
      <c r="AF331" s="491"/>
      <c r="AG331" s="491"/>
      <c r="AH331" s="491"/>
      <c r="AI331" s="491"/>
      <c r="AJ331" s="491"/>
      <c r="AK331" s="491"/>
      <c r="AL331" s="491"/>
      <c r="AM331" s="491"/>
      <c r="AN331" s="491"/>
      <c r="AO331" s="491"/>
      <c r="AP331" s="491"/>
      <c r="AQ331" s="491"/>
    </row>
    <row r="332" spans="1:43" s="490" customFormat="1">
      <c r="A332" s="629" t="s">
        <v>440</v>
      </c>
      <c r="B332" s="515" t="s">
        <v>441</v>
      </c>
      <c r="C332" s="515"/>
      <c r="D332" s="515"/>
      <c r="E332" s="630">
        <f t="shared" si="53"/>
        <v>1379826.1605263159</v>
      </c>
      <c r="G332" s="491"/>
      <c r="H332" s="491"/>
      <c r="I332" s="491"/>
      <c r="J332" s="491"/>
      <c r="K332" s="491"/>
      <c r="L332" s="491"/>
      <c r="M332" s="491"/>
      <c r="N332" s="491"/>
      <c r="O332" s="491"/>
      <c r="P332" s="491"/>
      <c r="Q332" s="491"/>
      <c r="R332" s="491"/>
      <c r="S332" s="491"/>
      <c r="T332" s="491"/>
      <c r="U332" s="491"/>
      <c r="V332" s="491"/>
      <c r="W332" s="491"/>
      <c r="X332" s="491"/>
      <c r="Y332" s="491"/>
      <c r="Z332" s="491"/>
      <c r="AA332" s="491"/>
      <c r="AB332" s="491"/>
      <c r="AC332" s="491"/>
      <c r="AD332" s="491"/>
      <c r="AE332" s="491"/>
      <c r="AF332" s="491"/>
      <c r="AG332" s="491"/>
      <c r="AH332" s="491"/>
      <c r="AI332" s="491"/>
      <c r="AJ332" s="491"/>
      <c r="AK332" s="491"/>
      <c r="AL332" s="491"/>
      <c r="AM332" s="491"/>
      <c r="AN332" s="491"/>
      <c r="AO332" s="491"/>
      <c r="AP332" s="491"/>
      <c r="AQ332" s="491"/>
    </row>
    <row r="333" spans="1:43" s="490" customFormat="1">
      <c r="A333" s="619" t="s">
        <v>476</v>
      </c>
      <c r="B333" s="505" t="s">
        <v>477</v>
      </c>
      <c r="C333" s="505"/>
      <c r="D333" s="505"/>
      <c r="E333" s="620">
        <f t="shared" si="53"/>
        <v>1826689.3615999999</v>
      </c>
      <c r="G333" s="491"/>
      <c r="H333" s="491"/>
      <c r="I333" s="491"/>
      <c r="J333" s="491"/>
      <c r="K333" s="491"/>
      <c r="L333" s="491"/>
      <c r="M333" s="491"/>
      <c r="N333" s="491"/>
      <c r="O333" s="491"/>
      <c r="P333" s="491"/>
      <c r="Q333" s="491"/>
      <c r="R333" s="491"/>
      <c r="S333" s="491"/>
      <c r="T333" s="491"/>
      <c r="U333" s="491"/>
      <c r="V333" s="491"/>
      <c r="W333" s="491"/>
      <c r="X333" s="491"/>
      <c r="Y333" s="491"/>
      <c r="Z333" s="491"/>
      <c r="AA333" s="491"/>
      <c r="AB333" s="491"/>
      <c r="AC333" s="491"/>
      <c r="AD333" s="491"/>
      <c r="AE333" s="491"/>
      <c r="AF333" s="491"/>
      <c r="AG333" s="491"/>
      <c r="AH333" s="491"/>
      <c r="AI333" s="491"/>
      <c r="AJ333" s="491"/>
      <c r="AK333" s="491"/>
      <c r="AL333" s="491"/>
      <c r="AM333" s="491"/>
      <c r="AN333" s="491"/>
      <c r="AO333" s="491"/>
      <c r="AP333" s="491"/>
      <c r="AQ333" s="491"/>
    </row>
    <row r="334" spans="1:43" s="490" customFormat="1">
      <c r="A334" s="622" t="s">
        <v>487</v>
      </c>
      <c r="B334" s="497" t="s">
        <v>488</v>
      </c>
      <c r="C334" s="497"/>
      <c r="D334" s="497"/>
      <c r="E334" s="623">
        <f t="shared" si="53"/>
        <v>953492.66666666674</v>
      </c>
      <c r="G334" s="491"/>
      <c r="H334" s="491"/>
      <c r="I334" s="491"/>
      <c r="J334" s="491"/>
      <c r="K334" s="491"/>
      <c r="L334" s="491"/>
      <c r="M334" s="491"/>
      <c r="N334" s="491"/>
      <c r="O334" s="491"/>
      <c r="P334" s="491"/>
      <c r="Q334" s="491"/>
      <c r="R334" s="491"/>
      <c r="S334" s="491"/>
      <c r="T334" s="491"/>
      <c r="U334" s="491"/>
      <c r="V334" s="491"/>
      <c r="W334" s="491"/>
      <c r="X334" s="491"/>
      <c r="Y334" s="491"/>
      <c r="Z334" s="491"/>
      <c r="AA334" s="491"/>
      <c r="AB334" s="491"/>
      <c r="AC334" s="491"/>
      <c r="AD334" s="491"/>
      <c r="AE334" s="491"/>
      <c r="AF334" s="491"/>
      <c r="AG334" s="491"/>
      <c r="AH334" s="491"/>
      <c r="AI334" s="491"/>
      <c r="AJ334" s="491"/>
      <c r="AK334" s="491"/>
      <c r="AL334" s="491"/>
      <c r="AM334" s="491"/>
      <c r="AN334" s="491"/>
      <c r="AO334" s="491"/>
      <c r="AP334" s="491"/>
      <c r="AQ334" s="491"/>
    </row>
    <row r="335" spans="1:43" s="490" customFormat="1">
      <c r="A335" s="622" t="s">
        <v>489</v>
      </c>
      <c r="B335" s="497" t="s">
        <v>490</v>
      </c>
      <c r="C335" s="497"/>
      <c r="D335" s="497"/>
      <c r="E335" s="623">
        <f t="shared" si="53"/>
        <v>0</v>
      </c>
      <c r="G335" s="491"/>
      <c r="H335" s="491"/>
      <c r="I335" s="491"/>
      <c r="J335" s="491"/>
      <c r="K335" s="491"/>
      <c r="L335" s="491"/>
      <c r="M335" s="491"/>
      <c r="N335" s="491"/>
      <c r="O335" s="491"/>
      <c r="P335" s="491"/>
      <c r="Q335" s="491"/>
      <c r="R335" s="491"/>
      <c r="S335" s="491"/>
      <c r="T335" s="491"/>
      <c r="U335" s="491"/>
      <c r="V335" s="491"/>
      <c r="W335" s="491"/>
      <c r="X335" s="491"/>
      <c r="Y335" s="491"/>
      <c r="Z335" s="491"/>
      <c r="AA335" s="491"/>
      <c r="AB335" s="491"/>
      <c r="AC335" s="491"/>
      <c r="AD335" s="491"/>
      <c r="AE335" s="491"/>
      <c r="AF335" s="491"/>
      <c r="AG335" s="491"/>
      <c r="AH335" s="491"/>
      <c r="AI335" s="491"/>
      <c r="AJ335" s="491"/>
      <c r="AK335" s="491"/>
      <c r="AL335" s="491"/>
      <c r="AM335" s="491"/>
      <c r="AN335" s="491"/>
      <c r="AO335" s="491"/>
      <c r="AP335" s="491"/>
      <c r="AQ335" s="491"/>
    </row>
    <row r="336" spans="1:43" s="490" customFormat="1">
      <c r="A336" s="622" t="s">
        <v>496</v>
      </c>
      <c r="B336" s="497" t="s">
        <v>497</v>
      </c>
      <c r="C336" s="497"/>
      <c r="D336" s="497"/>
      <c r="E336" s="623">
        <f t="shared" si="53"/>
        <v>496797</v>
      </c>
      <c r="G336" s="491"/>
      <c r="H336" s="491"/>
      <c r="I336" s="491"/>
      <c r="J336" s="491"/>
      <c r="K336" s="491"/>
      <c r="L336" s="491"/>
      <c r="M336" s="491"/>
      <c r="N336" s="491"/>
      <c r="O336" s="491"/>
      <c r="P336" s="491"/>
      <c r="Q336" s="491"/>
      <c r="R336" s="491"/>
      <c r="S336" s="491"/>
      <c r="T336" s="491"/>
      <c r="U336" s="491"/>
      <c r="V336" s="491"/>
      <c r="W336" s="491"/>
      <c r="X336" s="491"/>
      <c r="Y336" s="491"/>
      <c r="Z336" s="491"/>
      <c r="AA336" s="491"/>
      <c r="AB336" s="491"/>
      <c r="AC336" s="491"/>
      <c r="AD336" s="491"/>
      <c r="AE336" s="491"/>
      <c r="AF336" s="491"/>
      <c r="AG336" s="491"/>
      <c r="AH336" s="491"/>
      <c r="AI336" s="491"/>
      <c r="AJ336" s="491"/>
      <c r="AK336" s="491"/>
      <c r="AL336" s="491"/>
      <c r="AM336" s="491"/>
      <c r="AN336" s="491"/>
      <c r="AO336" s="491"/>
      <c r="AP336" s="491"/>
      <c r="AQ336" s="491"/>
    </row>
    <row r="337" spans="1:43" s="490" customFormat="1">
      <c r="A337" s="622" t="s">
        <v>506</v>
      </c>
      <c r="B337" s="497" t="s">
        <v>507</v>
      </c>
      <c r="C337" s="497"/>
      <c r="D337" s="497"/>
      <c r="E337" s="623">
        <f t="shared" si="53"/>
        <v>1110813.1499999999</v>
      </c>
      <c r="G337" s="491"/>
      <c r="H337" s="491"/>
      <c r="I337" s="491"/>
      <c r="J337" s="491"/>
      <c r="K337" s="491"/>
      <c r="L337" s="491"/>
      <c r="M337" s="491"/>
      <c r="N337" s="491"/>
      <c r="O337" s="491"/>
      <c r="P337" s="491"/>
      <c r="Q337" s="491"/>
      <c r="R337" s="491"/>
      <c r="S337" s="491"/>
      <c r="T337" s="491"/>
      <c r="U337" s="491"/>
      <c r="V337" s="491"/>
      <c r="W337" s="491"/>
      <c r="X337" s="491"/>
      <c r="Y337" s="491"/>
      <c r="Z337" s="491"/>
      <c r="AA337" s="491"/>
      <c r="AB337" s="491"/>
      <c r="AC337" s="491"/>
      <c r="AD337" s="491"/>
      <c r="AE337" s="491"/>
      <c r="AF337" s="491"/>
      <c r="AG337" s="491"/>
      <c r="AH337" s="491"/>
      <c r="AI337" s="491"/>
      <c r="AJ337" s="491"/>
      <c r="AK337" s="491"/>
      <c r="AL337" s="491"/>
      <c r="AM337" s="491"/>
      <c r="AN337" s="491"/>
      <c r="AO337" s="491"/>
      <c r="AP337" s="491"/>
      <c r="AQ337" s="491"/>
    </row>
    <row r="338" spans="1:43" s="490" customFormat="1">
      <c r="A338" s="622" t="s">
        <v>520</v>
      </c>
      <c r="B338" s="497" t="s">
        <v>521</v>
      </c>
      <c r="C338" s="497"/>
      <c r="D338" s="497"/>
      <c r="E338" s="623">
        <f t="shared" si="53"/>
        <v>3688547</v>
      </c>
      <c r="G338" s="491"/>
      <c r="H338" s="491"/>
      <c r="I338" s="491"/>
      <c r="J338" s="491"/>
      <c r="K338" s="491"/>
      <c r="L338" s="491"/>
      <c r="M338" s="491"/>
      <c r="N338" s="491"/>
      <c r="O338" s="491"/>
      <c r="P338" s="491"/>
      <c r="Q338" s="491"/>
      <c r="R338" s="491"/>
      <c r="S338" s="491"/>
      <c r="T338" s="491"/>
      <c r="U338" s="491"/>
      <c r="V338" s="491"/>
      <c r="W338" s="491"/>
      <c r="X338" s="491"/>
      <c r="Y338" s="491"/>
      <c r="Z338" s="491"/>
      <c r="AA338" s="491"/>
      <c r="AB338" s="491"/>
      <c r="AC338" s="491"/>
      <c r="AD338" s="491"/>
      <c r="AE338" s="491"/>
      <c r="AF338" s="491"/>
      <c r="AG338" s="491"/>
      <c r="AH338" s="491"/>
      <c r="AI338" s="491"/>
      <c r="AJ338" s="491"/>
      <c r="AK338" s="491"/>
      <c r="AL338" s="491"/>
      <c r="AM338" s="491"/>
      <c r="AN338" s="491"/>
      <c r="AO338" s="491"/>
      <c r="AP338" s="491"/>
      <c r="AQ338" s="491"/>
    </row>
    <row r="339" spans="1:43" s="490" customFormat="1">
      <c r="A339" s="622" t="s">
        <v>527</v>
      </c>
      <c r="B339" s="497" t="s">
        <v>528</v>
      </c>
      <c r="C339" s="497"/>
      <c r="D339" s="497"/>
      <c r="E339" s="623">
        <f t="shared" si="53"/>
        <v>3588865.979381443</v>
      </c>
      <c r="G339" s="491"/>
      <c r="H339" s="491"/>
      <c r="I339" s="491"/>
      <c r="J339" s="491"/>
      <c r="K339" s="491"/>
      <c r="L339" s="491"/>
      <c r="M339" s="491"/>
      <c r="N339" s="491"/>
      <c r="O339" s="491"/>
      <c r="P339" s="491"/>
      <c r="Q339" s="491"/>
      <c r="R339" s="491"/>
      <c r="S339" s="491"/>
      <c r="T339" s="491"/>
      <c r="U339" s="491"/>
      <c r="V339" s="491"/>
      <c r="W339" s="491"/>
      <c r="X339" s="491"/>
      <c r="Y339" s="491"/>
      <c r="Z339" s="491"/>
      <c r="AA339" s="491"/>
      <c r="AB339" s="491"/>
      <c r="AC339" s="491"/>
      <c r="AD339" s="491"/>
      <c r="AE339" s="491"/>
      <c r="AF339" s="491"/>
      <c r="AG339" s="491"/>
      <c r="AH339" s="491"/>
      <c r="AI339" s="491"/>
      <c r="AJ339" s="491"/>
      <c r="AK339" s="491"/>
      <c r="AL339" s="491"/>
      <c r="AM339" s="491"/>
      <c r="AN339" s="491"/>
      <c r="AO339" s="491"/>
      <c r="AP339" s="491"/>
      <c r="AQ339" s="491"/>
    </row>
    <row r="340" spans="1:43" s="490" customFormat="1">
      <c r="A340" s="622" t="s">
        <v>561</v>
      </c>
      <c r="B340" s="497" t="s">
        <v>562</v>
      </c>
      <c r="C340" s="497"/>
      <c r="D340" s="497"/>
      <c r="E340" s="623">
        <f t="shared" si="53"/>
        <v>4455520.8099999996</v>
      </c>
      <c r="G340" s="491"/>
      <c r="H340" s="491"/>
      <c r="I340" s="491"/>
      <c r="J340" s="491"/>
      <c r="K340" s="491"/>
      <c r="L340" s="491"/>
      <c r="M340" s="491"/>
      <c r="N340" s="491"/>
      <c r="O340" s="491"/>
      <c r="P340" s="491"/>
      <c r="Q340" s="491"/>
      <c r="R340" s="491"/>
      <c r="S340" s="491"/>
      <c r="T340" s="491"/>
      <c r="U340" s="491"/>
      <c r="V340" s="491"/>
      <c r="W340" s="491"/>
      <c r="X340" s="491"/>
      <c r="Y340" s="491"/>
      <c r="Z340" s="491"/>
      <c r="AA340" s="491"/>
      <c r="AB340" s="491"/>
      <c r="AC340" s="491"/>
      <c r="AD340" s="491"/>
      <c r="AE340" s="491"/>
      <c r="AF340" s="491"/>
      <c r="AG340" s="491"/>
      <c r="AH340" s="491"/>
      <c r="AI340" s="491"/>
      <c r="AJ340" s="491"/>
      <c r="AK340" s="491"/>
      <c r="AL340" s="491"/>
      <c r="AM340" s="491"/>
      <c r="AN340" s="491"/>
      <c r="AO340" s="491"/>
      <c r="AP340" s="491"/>
      <c r="AQ340" s="491"/>
    </row>
    <row r="341" spans="1:43" s="490" customFormat="1">
      <c r="A341" s="622" t="s">
        <v>571</v>
      </c>
      <c r="B341" s="497" t="s">
        <v>572</v>
      </c>
      <c r="C341" s="497"/>
      <c r="D341" s="497"/>
      <c r="E341" s="623">
        <f t="shared" si="53"/>
        <v>166956.95000000001</v>
      </c>
      <c r="G341" s="491"/>
      <c r="H341" s="491"/>
      <c r="I341" s="491"/>
      <c r="J341" s="491"/>
      <c r="K341" s="491"/>
      <c r="L341" s="491"/>
      <c r="M341" s="491"/>
      <c r="N341" s="491"/>
      <c r="O341" s="491"/>
      <c r="P341" s="491"/>
      <c r="Q341" s="491"/>
      <c r="R341" s="491"/>
      <c r="S341" s="491"/>
      <c r="T341" s="491"/>
      <c r="U341" s="491"/>
      <c r="V341" s="491"/>
      <c r="W341" s="491"/>
      <c r="X341" s="491"/>
      <c r="Y341" s="491"/>
      <c r="Z341" s="491"/>
      <c r="AA341" s="491"/>
      <c r="AB341" s="491"/>
      <c r="AC341" s="491"/>
      <c r="AD341" s="491"/>
      <c r="AE341" s="491"/>
      <c r="AF341" s="491"/>
      <c r="AG341" s="491"/>
      <c r="AH341" s="491"/>
      <c r="AI341" s="491"/>
      <c r="AJ341" s="491"/>
      <c r="AK341" s="491"/>
      <c r="AL341" s="491"/>
      <c r="AM341" s="491"/>
      <c r="AN341" s="491"/>
      <c r="AO341" s="491"/>
      <c r="AP341" s="491"/>
      <c r="AQ341" s="491"/>
    </row>
    <row r="342" spans="1:43" s="490" customFormat="1">
      <c r="A342" s="622" t="s">
        <v>582</v>
      </c>
      <c r="B342" s="497" t="s">
        <v>583</v>
      </c>
      <c r="C342" s="497"/>
      <c r="D342" s="497"/>
      <c r="E342" s="623">
        <f t="shared" si="53"/>
        <v>1047129.8949337261</v>
      </c>
      <c r="G342" s="491"/>
      <c r="H342" s="491"/>
      <c r="I342" s="491"/>
      <c r="J342" s="491"/>
      <c r="K342" s="491"/>
      <c r="L342" s="491"/>
      <c r="M342" s="491"/>
      <c r="N342" s="491"/>
      <c r="O342" s="491"/>
      <c r="P342" s="491"/>
      <c r="Q342" s="491"/>
      <c r="R342" s="491"/>
      <c r="S342" s="491"/>
      <c r="T342" s="491"/>
      <c r="U342" s="491"/>
      <c r="V342" s="491"/>
      <c r="W342" s="491"/>
      <c r="X342" s="491"/>
      <c r="Y342" s="491"/>
      <c r="Z342" s="491"/>
      <c r="AA342" s="491"/>
      <c r="AB342" s="491"/>
      <c r="AC342" s="491"/>
      <c r="AD342" s="491"/>
      <c r="AE342" s="491"/>
      <c r="AF342" s="491"/>
      <c r="AG342" s="491"/>
      <c r="AH342" s="491"/>
      <c r="AI342" s="491"/>
      <c r="AJ342" s="491"/>
      <c r="AK342" s="491"/>
      <c r="AL342" s="491"/>
      <c r="AM342" s="491"/>
      <c r="AN342" s="491"/>
      <c r="AO342" s="491"/>
      <c r="AP342" s="491"/>
      <c r="AQ342" s="491"/>
    </row>
    <row r="343" spans="1:43" s="490" customFormat="1">
      <c r="A343" s="622" t="s">
        <v>603</v>
      </c>
      <c r="B343" s="497" t="s">
        <v>604</v>
      </c>
      <c r="C343" s="497"/>
      <c r="D343" s="497"/>
      <c r="E343" s="623">
        <f t="shared" si="53"/>
        <v>1777422.4983884296</v>
      </c>
      <c r="G343" s="491"/>
      <c r="H343" s="491"/>
      <c r="I343" s="491"/>
      <c r="J343" s="491"/>
      <c r="K343" s="491"/>
      <c r="L343" s="491"/>
      <c r="M343" s="491"/>
      <c r="N343" s="491"/>
      <c r="O343" s="491"/>
      <c r="P343" s="491"/>
      <c r="Q343" s="491"/>
      <c r="R343" s="491"/>
      <c r="S343" s="491"/>
      <c r="T343" s="491"/>
      <c r="U343" s="491"/>
      <c r="V343" s="491"/>
      <c r="W343" s="491"/>
      <c r="X343" s="491"/>
      <c r="Y343" s="491"/>
      <c r="Z343" s="491"/>
      <c r="AA343" s="491"/>
      <c r="AB343" s="491"/>
      <c r="AC343" s="491"/>
      <c r="AD343" s="491"/>
      <c r="AE343" s="491"/>
      <c r="AF343" s="491"/>
      <c r="AG343" s="491"/>
      <c r="AH343" s="491"/>
      <c r="AI343" s="491"/>
      <c r="AJ343" s="491"/>
      <c r="AK343" s="491"/>
      <c r="AL343" s="491"/>
      <c r="AM343" s="491"/>
      <c r="AN343" s="491"/>
      <c r="AO343" s="491"/>
      <c r="AP343" s="491"/>
      <c r="AQ343" s="491"/>
    </row>
    <row r="344" spans="1:43" s="490" customFormat="1">
      <c r="A344" s="629" t="s">
        <v>679</v>
      </c>
      <c r="B344" s="515" t="s">
        <v>680</v>
      </c>
      <c r="C344" s="515"/>
      <c r="D344" s="515"/>
      <c r="E344" s="630">
        <f t="shared" si="53"/>
        <v>5896648.9249999989</v>
      </c>
      <c r="G344" s="491"/>
      <c r="H344" s="491"/>
      <c r="I344" s="491"/>
      <c r="J344" s="491"/>
      <c r="K344" s="491"/>
      <c r="L344" s="491"/>
      <c r="M344" s="491"/>
      <c r="N344" s="491"/>
      <c r="O344" s="491"/>
      <c r="P344" s="491"/>
      <c r="Q344" s="491"/>
      <c r="R344" s="491"/>
      <c r="S344" s="491"/>
      <c r="T344" s="491"/>
      <c r="U344" s="491"/>
      <c r="V344" s="491"/>
      <c r="W344" s="491"/>
      <c r="X344" s="491"/>
      <c r="Y344" s="491"/>
      <c r="Z344" s="491"/>
      <c r="AA344" s="491"/>
      <c r="AB344" s="491"/>
      <c r="AC344" s="491"/>
      <c r="AD344" s="491"/>
      <c r="AE344" s="491"/>
      <c r="AF344" s="491"/>
      <c r="AG344" s="491"/>
      <c r="AH344" s="491"/>
      <c r="AI344" s="491"/>
      <c r="AJ344" s="491"/>
      <c r="AK344" s="491"/>
      <c r="AL344" s="491"/>
      <c r="AM344" s="491"/>
      <c r="AN344" s="491"/>
      <c r="AO344" s="491"/>
      <c r="AP344" s="491"/>
      <c r="AQ344" s="491"/>
    </row>
    <row r="345" spans="1:43" s="490" customFormat="1">
      <c r="A345" s="619" t="s">
        <v>708</v>
      </c>
      <c r="B345" s="505" t="s">
        <v>709</v>
      </c>
      <c r="C345" s="505"/>
      <c r="D345" s="505"/>
      <c r="E345" s="620">
        <f t="shared" si="53"/>
        <v>2941601.83</v>
      </c>
      <c r="G345" s="491"/>
      <c r="H345" s="491"/>
      <c r="I345" s="491"/>
      <c r="J345" s="491"/>
      <c r="K345" s="491"/>
      <c r="L345" s="491"/>
      <c r="M345" s="491"/>
      <c r="N345" s="491"/>
      <c r="O345" s="491"/>
      <c r="P345" s="491"/>
      <c r="Q345" s="491"/>
      <c r="R345" s="491"/>
      <c r="S345" s="491"/>
      <c r="T345" s="491"/>
      <c r="U345" s="491"/>
      <c r="V345" s="491"/>
      <c r="W345" s="491"/>
      <c r="X345" s="491"/>
      <c r="Y345" s="491"/>
      <c r="Z345" s="491"/>
      <c r="AA345" s="491"/>
      <c r="AB345" s="491"/>
      <c r="AC345" s="491"/>
      <c r="AD345" s="491"/>
      <c r="AE345" s="491"/>
      <c r="AF345" s="491"/>
      <c r="AG345" s="491"/>
      <c r="AH345" s="491"/>
      <c r="AI345" s="491"/>
      <c r="AJ345" s="491"/>
      <c r="AK345" s="491"/>
      <c r="AL345" s="491"/>
      <c r="AM345" s="491"/>
      <c r="AN345" s="491"/>
      <c r="AO345" s="491"/>
      <c r="AP345" s="491"/>
      <c r="AQ345" s="491"/>
    </row>
    <row r="346" spans="1:43" s="490" customFormat="1">
      <c r="A346" s="622" t="s">
        <v>717</v>
      </c>
      <c r="B346" s="497" t="s">
        <v>718</v>
      </c>
      <c r="C346" s="497"/>
      <c r="D346" s="497"/>
      <c r="E346" s="623">
        <f t="shared" si="53"/>
        <v>7500</v>
      </c>
      <c r="G346" s="491"/>
      <c r="H346" s="491"/>
      <c r="I346" s="491"/>
      <c r="J346" s="491"/>
      <c r="K346" s="491"/>
      <c r="L346" s="491"/>
      <c r="M346" s="491"/>
      <c r="N346" s="491"/>
      <c r="O346" s="491"/>
      <c r="P346" s="491"/>
      <c r="Q346" s="491"/>
      <c r="R346" s="491"/>
      <c r="S346" s="491"/>
      <c r="T346" s="491"/>
      <c r="U346" s="491"/>
      <c r="V346" s="491"/>
      <c r="W346" s="491"/>
      <c r="X346" s="491"/>
      <c r="Y346" s="491"/>
      <c r="Z346" s="491"/>
      <c r="AA346" s="491"/>
      <c r="AB346" s="491"/>
      <c r="AC346" s="491"/>
      <c r="AD346" s="491"/>
      <c r="AE346" s="491"/>
      <c r="AF346" s="491"/>
      <c r="AG346" s="491"/>
      <c r="AH346" s="491"/>
      <c r="AI346" s="491"/>
      <c r="AJ346" s="491"/>
      <c r="AK346" s="491"/>
      <c r="AL346" s="491"/>
      <c r="AM346" s="491"/>
      <c r="AN346" s="491"/>
      <c r="AO346" s="491"/>
      <c r="AP346" s="491"/>
      <c r="AQ346" s="491"/>
    </row>
    <row r="347" spans="1:43" s="490" customFormat="1">
      <c r="A347" s="622" t="s">
        <v>726</v>
      </c>
      <c r="B347" s="497" t="s">
        <v>727</v>
      </c>
      <c r="C347" s="497"/>
      <c r="D347" s="497"/>
      <c r="E347" s="623">
        <f t="shared" si="53"/>
        <v>1077434</v>
      </c>
      <c r="G347" s="491"/>
      <c r="H347" s="491"/>
      <c r="I347" s="491"/>
      <c r="J347" s="491"/>
      <c r="K347" s="491"/>
      <c r="L347" s="491"/>
      <c r="M347" s="491"/>
      <c r="N347" s="491"/>
      <c r="O347" s="491"/>
      <c r="P347" s="491"/>
      <c r="Q347" s="491"/>
      <c r="R347" s="491"/>
      <c r="S347" s="491"/>
      <c r="T347" s="491"/>
      <c r="U347" s="491"/>
      <c r="V347" s="491"/>
      <c r="W347" s="491"/>
      <c r="X347" s="491"/>
      <c r="Y347" s="491"/>
      <c r="Z347" s="491"/>
      <c r="AA347" s="491"/>
      <c r="AB347" s="491"/>
      <c r="AC347" s="491"/>
      <c r="AD347" s="491"/>
      <c r="AE347" s="491"/>
      <c r="AF347" s="491"/>
      <c r="AG347" s="491"/>
      <c r="AH347" s="491"/>
      <c r="AI347" s="491"/>
      <c r="AJ347" s="491"/>
      <c r="AK347" s="491"/>
      <c r="AL347" s="491"/>
      <c r="AM347" s="491"/>
      <c r="AN347" s="491"/>
      <c r="AO347" s="491"/>
      <c r="AP347" s="491"/>
      <c r="AQ347" s="491"/>
    </row>
    <row r="348" spans="1:43" s="490" customFormat="1">
      <c r="A348" s="622" t="s">
        <v>748</v>
      </c>
      <c r="B348" s="497" t="s">
        <v>749</v>
      </c>
      <c r="C348" s="497"/>
      <c r="D348" s="497"/>
      <c r="E348" s="623">
        <f t="shared" si="53"/>
        <v>502425</v>
      </c>
      <c r="G348" s="491"/>
      <c r="H348" s="491"/>
      <c r="I348" s="491"/>
      <c r="J348" s="491"/>
      <c r="K348" s="491"/>
      <c r="L348" s="491"/>
      <c r="M348" s="491"/>
      <c r="N348" s="491"/>
      <c r="O348" s="491"/>
      <c r="P348" s="491"/>
      <c r="Q348" s="491"/>
      <c r="R348" s="491"/>
      <c r="S348" s="491"/>
      <c r="T348" s="491"/>
      <c r="U348" s="491"/>
      <c r="V348" s="491"/>
      <c r="W348" s="491"/>
      <c r="X348" s="491"/>
      <c r="Y348" s="491"/>
      <c r="Z348" s="491"/>
      <c r="AA348" s="491"/>
      <c r="AB348" s="491"/>
      <c r="AC348" s="491"/>
      <c r="AD348" s="491"/>
      <c r="AE348" s="491"/>
      <c r="AF348" s="491"/>
      <c r="AG348" s="491"/>
      <c r="AH348" s="491"/>
      <c r="AI348" s="491"/>
      <c r="AJ348" s="491"/>
      <c r="AK348" s="491"/>
      <c r="AL348" s="491"/>
      <c r="AM348" s="491"/>
      <c r="AN348" s="491"/>
      <c r="AO348" s="491"/>
      <c r="AP348" s="491"/>
      <c r="AQ348" s="491"/>
    </row>
    <row r="349" spans="1:43" s="490" customFormat="1">
      <c r="A349" s="622" t="s">
        <v>806</v>
      </c>
      <c r="B349" s="497"/>
      <c r="C349" s="497"/>
      <c r="D349" s="497"/>
      <c r="E349" s="623" t="e">
        <f t="shared" si="53"/>
        <v>#N/A</v>
      </c>
      <c r="G349" s="491"/>
      <c r="H349" s="491"/>
      <c r="I349" s="491"/>
      <c r="J349" s="491"/>
      <c r="K349" s="491"/>
      <c r="L349" s="491"/>
      <c r="M349" s="491"/>
      <c r="N349" s="491"/>
      <c r="O349" s="491"/>
      <c r="P349" s="491"/>
      <c r="Q349" s="491"/>
      <c r="R349" s="491"/>
      <c r="S349" s="491"/>
      <c r="T349" s="491"/>
      <c r="U349" s="491"/>
      <c r="V349" s="491"/>
      <c r="W349" s="491"/>
      <c r="X349" s="491"/>
      <c r="Y349" s="491"/>
      <c r="Z349" s="491"/>
      <c r="AA349" s="491"/>
      <c r="AB349" s="491"/>
      <c r="AC349" s="491"/>
      <c r="AD349" s="491"/>
      <c r="AE349" s="491"/>
      <c r="AF349" s="491"/>
      <c r="AG349" s="491"/>
      <c r="AH349" s="491"/>
      <c r="AI349" s="491"/>
      <c r="AJ349" s="491"/>
      <c r="AK349" s="491"/>
      <c r="AL349" s="491"/>
      <c r="AM349" s="491"/>
      <c r="AN349" s="491"/>
      <c r="AO349" s="491"/>
      <c r="AP349" s="491"/>
      <c r="AQ349" s="491"/>
    </row>
    <row r="350" spans="1:43" s="490" customFormat="1">
      <c r="A350" s="622" t="s">
        <v>751</v>
      </c>
      <c r="B350" s="497"/>
      <c r="C350" s="497"/>
      <c r="D350" s="497"/>
      <c r="E350" s="623">
        <f t="shared" si="53"/>
        <v>0</v>
      </c>
      <c r="G350" s="491"/>
      <c r="H350" s="491"/>
      <c r="I350" s="491"/>
      <c r="J350" s="491"/>
      <c r="K350" s="491"/>
      <c r="L350" s="491"/>
      <c r="M350" s="491"/>
      <c r="N350" s="491"/>
      <c r="O350" s="491"/>
      <c r="P350" s="491"/>
      <c r="Q350" s="491"/>
      <c r="R350" s="491"/>
      <c r="S350" s="491"/>
      <c r="T350" s="491"/>
      <c r="U350" s="491"/>
      <c r="V350" s="491"/>
      <c r="W350" s="491"/>
      <c r="X350" s="491"/>
      <c r="Y350" s="491"/>
      <c r="Z350" s="491"/>
      <c r="AA350" s="491"/>
      <c r="AB350" s="491"/>
      <c r="AC350" s="491"/>
      <c r="AD350" s="491"/>
      <c r="AE350" s="491"/>
      <c r="AF350" s="491"/>
      <c r="AG350" s="491"/>
      <c r="AH350" s="491"/>
      <c r="AI350" s="491"/>
      <c r="AJ350" s="491"/>
      <c r="AK350" s="491"/>
      <c r="AL350" s="491"/>
      <c r="AM350" s="491"/>
      <c r="AN350" s="491"/>
      <c r="AO350" s="491"/>
      <c r="AP350" s="491"/>
      <c r="AQ350" s="491"/>
    </row>
    <row r="351" spans="1:43" s="490" customFormat="1">
      <c r="A351" s="622" t="s">
        <v>781</v>
      </c>
      <c r="B351" s="497"/>
      <c r="C351" s="497"/>
      <c r="D351" s="497"/>
      <c r="E351" s="623">
        <f t="shared" si="53"/>
        <v>1681753.162</v>
      </c>
      <c r="G351" s="491"/>
      <c r="H351" s="491"/>
      <c r="I351" s="491"/>
      <c r="J351" s="491"/>
      <c r="K351" s="491"/>
      <c r="L351" s="491"/>
      <c r="M351" s="491"/>
      <c r="N351" s="491"/>
      <c r="O351" s="491"/>
      <c r="P351" s="491"/>
      <c r="Q351" s="491"/>
      <c r="R351" s="491"/>
      <c r="S351" s="491"/>
      <c r="T351" s="491"/>
      <c r="U351" s="491"/>
      <c r="V351" s="491"/>
      <c r="W351" s="491"/>
      <c r="X351" s="491"/>
      <c r="Y351" s="491"/>
      <c r="Z351" s="491"/>
      <c r="AA351" s="491"/>
      <c r="AB351" s="491"/>
      <c r="AC351" s="491"/>
      <c r="AD351" s="491"/>
      <c r="AE351" s="491"/>
      <c r="AF351" s="491"/>
      <c r="AG351" s="491"/>
      <c r="AH351" s="491"/>
      <c r="AI351" s="491"/>
      <c r="AJ351" s="491"/>
      <c r="AK351" s="491"/>
      <c r="AL351" s="491"/>
      <c r="AM351" s="491"/>
      <c r="AN351" s="491"/>
      <c r="AO351" s="491"/>
      <c r="AP351" s="491"/>
      <c r="AQ351" s="491"/>
    </row>
    <row r="352" spans="1:43" s="490" customFormat="1">
      <c r="A352" s="622" t="s">
        <v>783</v>
      </c>
      <c r="B352" s="497" t="s">
        <v>785</v>
      </c>
      <c r="C352" s="497"/>
      <c r="D352" s="497"/>
      <c r="E352" s="623">
        <f t="shared" si="53"/>
        <v>0</v>
      </c>
      <c r="G352" s="491"/>
      <c r="H352" s="491"/>
      <c r="I352" s="491"/>
      <c r="J352" s="491"/>
      <c r="K352" s="491"/>
      <c r="L352" s="491"/>
      <c r="M352" s="491"/>
      <c r="N352" s="491"/>
      <c r="O352" s="491"/>
      <c r="P352" s="491"/>
      <c r="Q352" s="491"/>
      <c r="R352" s="491"/>
      <c r="S352" s="491"/>
      <c r="T352" s="491"/>
      <c r="U352" s="491"/>
      <c r="V352" s="491"/>
      <c r="W352" s="491"/>
      <c r="X352" s="491"/>
      <c r="Y352" s="491"/>
      <c r="Z352" s="491"/>
      <c r="AA352" s="491"/>
      <c r="AB352" s="491"/>
      <c r="AC352" s="491"/>
      <c r="AD352" s="491"/>
      <c r="AE352" s="491"/>
      <c r="AF352" s="491"/>
      <c r="AG352" s="491"/>
      <c r="AH352" s="491"/>
      <c r="AI352" s="491"/>
      <c r="AJ352" s="491"/>
      <c r="AK352" s="491"/>
      <c r="AL352" s="491"/>
      <c r="AM352" s="491"/>
      <c r="AN352" s="491"/>
      <c r="AO352" s="491"/>
      <c r="AP352" s="491"/>
      <c r="AQ352" s="491"/>
    </row>
    <row r="353" spans="1:43" s="490" customFormat="1">
      <c r="A353" s="622" t="s">
        <v>786</v>
      </c>
      <c r="B353" s="497" t="s">
        <v>789</v>
      </c>
      <c r="C353" s="497"/>
      <c r="D353" s="497"/>
      <c r="E353" s="623">
        <f t="shared" si="53"/>
        <v>0</v>
      </c>
      <c r="G353" s="491"/>
      <c r="H353" s="491"/>
      <c r="I353" s="491"/>
      <c r="J353" s="491"/>
      <c r="K353" s="491"/>
      <c r="L353" s="491"/>
      <c r="M353" s="491"/>
      <c r="N353" s="491"/>
      <c r="O353" s="491"/>
      <c r="P353" s="491"/>
      <c r="Q353" s="491"/>
      <c r="R353" s="491"/>
      <c r="S353" s="491"/>
      <c r="T353" s="491"/>
      <c r="U353" s="491"/>
      <c r="V353" s="491"/>
      <c r="W353" s="491"/>
      <c r="X353" s="491"/>
      <c r="Y353" s="491"/>
      <c r="Z353" s="491"/>
      <c r="AA353" s="491"/>
      <c r="AB353" s="491"/>
      <c r="AC353" s="491"/>
      <c r="AD353" s="491"/>
      <c r="AE353" s="491"/>
      <c r="AF353" s="491"/>
      <c r="AG353" s="491"/>
      <c r="AH353" s="491"/>
      <c r="AI353" s="491"/>
      <c r="AJ353" s="491"/>
      <c r="AK353" s="491"/>
      <c r="AL353" s="491"/>
      <c r="AM353" s="491"/>
      <c r="AN353" s="491"/>
      <c r="AO353" s="491"/>
      <c r="AP353" s="491"/>
      <c r="AQ353" s="491"/>
    </row>
    <row r="354" spans="1:43" s="490" customFormat="1">
      <c r="A354" s="622" t="s">
        <v>797</v>
      </c>
      <c r="B354" s="497" t="s">
        <v>789</v>
      </c>
      <c r="C354" s="497"/>
      <c r="D354" s="497"/>
      <c r="E354" s="623">
        <f t="shared" si="53"/>
        <v>620326.18225229101</v>
      </c>
      <c r="G354" s="491"/>
      <c r="H354" s="491"/>
      <c r="I354" s="491"/>
      <c r="J354" s="491"/>
      <c r="K354" s="491"/>
      <c r="L354" s="491"/>
      <c r="M354" s="491"/>
      <c r="N354" s="491"/>
      <c r="O354" s="491"/>
      <c r="P354" s="491"/>
      <c r="Q354" s="491"/>
      <c r="R354" s="491"/>
      <c r="S354" s="491"/>
      <c r="T354" s="491"/>
      <c r="U354" s="491"/>
      <c r="V354" s="491"/>
      <c r="W354" s="491"/>
      <c r="X354" s="491"/>
      <c r="Y354" s="491"/>
      <c r="Z354" s="491"/>
      <c r="AA354" s="491"/>
      <c r="AB354" s="491"/>
      <c r="AC354" s="491"/>
      <c r="AD354" s="491"/>
      <c r="AE354" s="491"/>
      <c r="AF354" s="491"/>
      <c r="AG354" s="491"/>
      <c r="AH354" s="491"/>
      <c r="AI354" s="491"/>
      <c r="AJ354" s="491"/>
      <c r="AK354" s="491"/>
      <c r="AL354" s="491"/>
      <c r="AM354" s="491"/>
      <c r="AN354" s="491"/>
      <c r="AO354" s="491"/>
      <c r="AP354" s="491"/>
      <c r="AQ354" s="491"/>
    </row>
    <row r="355" spans="1:43" s="490" customFormat="1">
      <c r="A355" s="622" t="s">
        <v>800</v>
      </c>
      <c r="B355" s="497" t="s">
        <v>799</v>
      </c>
      <c r="C355" s="497"/>
      <c r="D355" s="497"/>
      <c r="E355" s="623">
        <f t="shared" si="53"/>
        <v>0</v>
      </c>
      <c r="G355" s="491"/>
      <c r="H355" s="491"/>
      <c r="I355" s="491"/>
      <c r="J355" s="491"/>
      <c r="K355" s="491"/>
      <c r="L355" s="491"/>
      <c r="M355" s="491"/>
      <c r="N355" s="491"/>
      <c r="O355" s="491"/>
      <c r="P355" s="491"/>
      <c r="Q355" s="491"/>
      <c r="R355" s="491"/>
      <c r="S355" s="491"/>
      <c r="T355" s="491"/>
      <c r="U355" s="491"/>
      <c r="V355" s="491"/>
      <c r="W355" s="491"/>
      <c r="X355" s="491"/>
      <c r="Y355" s="491"/>
      <c r="Z355" s="491"/>
      <c r="AA355" s="491"/>
      <c r="AB355" s="491"/>
      <c r="AC355" s="491"/>
      <c r="AD355" s="491"/>
      <c r="AE355" s="491"/>
      <c r="AF355" s="491"/>
      <c r="AG355" s="491"/>
      <c r="AH355" s="491"/>
      <c r="AI355" s="491"/>
      <c r="AJ355" s="491"/>
      <c r="AK355" s="491"/>
      <c r="AL355" s="491"/>
      <c r="AM355" s="491"/>
      <c r="AN355" s="491"/>
      <c r="AO355" s="491"/>
      <c r="AP355" s="491"/>
      <c r="AQ355" s="491"/>
    </row>
    <row r="356" spans="1:43" s="490" customFormat="1">
      <c r="A356" s="631" t="s">
        <v>802</v>
      </c>
      <c r="B356" s="515"/>
      <c r="C356" s="515"/>
      <c r="D356" s="515"/>
      <c r="E356" s="630">
        <f t="shared" si="53"/>
        <v>68767993.966582954</v>
      </c>
      <c r="G356" s="491"/>
      <c r="H356" s="491"/>
      <c r="I356" s="491"/>
      <c r="J356" s="491"/>
      <c r="K356" s="491"/>
      <c r="L356" s="491"/>
      <c r="M356" s="491"/>
      <c r="N356" s="491"/>
      <c r="O356" s="491"/>
      <c r="P356" s="491"/>
      <c r="Q356" s="491"/>
      <c r="R356" s="491"/>
      <c r="S356" s="491"/>
      <c r="T356" s="491"/>
      <c r="U356" s="491"/>
      <c r="V356" s="491"/>
      <c r="W356" s="491"/>
      <c r="X356" s="491"/>
      <c r="Y356" s="491"/>
      <c r="Z356" s="491"/>
      <c r="AA356" s="491"/>
      <c r="AB356" s="491"/>
      <c r="AC356" s="491"/>
      <c r="AD356" s="491"/>
      <c r="AE356" s="491"/>
      <c r="AF356" s="491"/>
      <c r="AG356" s="491"/>
      <c r="AH356" s="491"/>
      <c r="AI356" s="491"/>
      <c r="AJ356" s="491"/>
      <c r="AK356" s="491"/>
      <c r="AL356" s="491"/>
      <c r="AM356" s="491"/>
      <c r="AN356" s="491"/>
      <c r="AO356" s="491"/>
      <c r="AP356" s="491"/>
      <c r="AQ356" s="491"/>
    </row>
    <row r="357" spans="1:43" s="490" customFormat="1">
      <c r="A357" s="491"/>
      <c r="B357" s="491"/>
      <c r="C357" s="491"/>
      <c r="D357" s="491"/>
      <c r="E357" s="576" t="e">
        <f>SUM(E321:E332,E333:E344,E345:E355)-E356</f>
        <v>#N/A</v>
      </c>
      <c r="G357" s="491"/>
      <c r="H357" s="491"/>
      <c r="I357" s="491"/>
      <c r="J357" s="491"/>
      <c r="K357" s="491"/>
      <c r="L357" s="491"/>
      <c r="M357" s="491"/>
      <c r="N357" s="491"/>
      <c r="O357" s="491"/>
      <c r="P357" s="491"/>
      <c r="Q357" s="491"/>
      <c r="R357" s="491"/>
      <c r="S357" s="491"/>
      <c r="T357" s="491"/>
      <c r="U357" s="491"/>
      <c r="V357" s="491"/>
      <c r="W357" s="491"/>
      <c r="X357" s="491"/>
      <c r="Y357" s="491"/>
      <c r="Z357" s="491"/>
      <c r="AA357" s="491"/>
      <c r="AB357" s="491"/>
      <c r="AC357" s="491"/>
      <c r="AD357" s="491"/>
      <c r="AE357" s="491"/>
      <c r="AF357" s="491"/>
      <c r="AG357" s="491"/>
      <c r="AH357" s="491"/>
      <c r="AI357" s="491"/>
      <c r="AJ357" s="491"/>
      <c r="AK357" s="491"/>
      <c r="AL357" s="491"/>
      <c r="AM357" s="491"/>
      <c r="AN357" s="491"/>
      <c r="AO357" s="491"/>
      <c r="AP357" s="491"/>
      <c r="AQ357" s="491"/>
    </row>
    <row r="361" spans="1:43">
      <c r="F361" s="632" t="s">
        <v>56</v>
      </c>
    </row>
    <row r="362" spans="1:43">
      <c r="A362"/>
      <c r="B362" s="408"/>
      <c r="C362" s="408"/>
      <c r="D362" s="408"/>
      <c r="E362" s="408"/>
      <c r="F362" s="632" t="s">
        <v>66</v>
      </c>
    </row>
    <row r="363" spans="1:43">
      <c r="A363" t="s">
        <v>807</v>
      </c>
      <c r="B363" s="408" t="s">
        <v>69</v>
      </c>
      <c r="C363" s="408"/>
      <c r="D363" s="408"/>
      <c r="E363" s="408"/>
      <c r="F363" s="481">
        <f t="shared" ref="F363:F393" si="54">SUMIF($B$14:$B$319,B363,$L$14:$L$319)</f>
        <v>3331957.0935137458</v>
      </c>
    </row>
    <row r="364" spans="1:43">
      <c r="A364" t="s">
        <v>808</v>
      </c>
      <c r="B364" s="408" t="s">
        <v>78</v>
      </c>
      <c r="C364" s="408"/>
      <c r="D364" s="408"/>
      <c r="E364" s="408"/>
      <c r="F364" s="481">
        <f t="shared" si="54"/>
        <v>16000</v>
      </c>
    </row>
    <row r="365" spans="1:43">
      <c r="A365" t="s">
        <v>809</v>
      </c>
      <c r="B365" s="408" t="s">
        <v>122</v>
      </c>
      <c r="C365" s="408"/>
      <c r="D365" s="408"/>
      <c r="E365" s="408"/>
      <c r="F365" s="481">
        <f t="shared" si="54"/>
        <v>2775836.1714905147</v>
      </c>
    </row>
    <row r="366" spans="1:43">
      <c r="A366" t="s">
        <v>810</v>
      </c>
      <c r="B366" s="408" t="s">
        <v>147</v>
      </c>
      <c r="C366" s="408"/>
      <c r="D366" s="408"/>
      <c r="E366" s="408"/>
      <c r="F366" s="481">
        <f t="shared" si="54"/>
        <v>128000</v>
      </c>
    </row>
    <row r="367" spans="1:43">
      <c r="A367" t="s">
        <v>811</v>
      </c>
      <c r="B367" s="408" t="s">
        <v>176</v>
      </c>
      <c r="C367" s="408"/>
      <c r="D367" s="408"/>
      <c r="E367" s="408"/>
      <c r="F367" s="481">
        <f t="shared" si="54"/>
        <v>474487.5</v>
      </c>
    </row>
    <row r="368" spans="1:43">
      <c r="A368" t="s">
        <v>812</v>
      </c>
      <c r="B368" s="408" t="s">
        <v>221</v>
      </c>
      <c r="C368" s="408"/>
      <c r="D368" s="408"/>
      <c r="E368" s="408"/>
      <c r="F368" s="481">
        <f t="shared" si="54"/>
        <v>8515537.769804569</v>
      </c>
    </row>
    <row r="369" spans="1:6">
      <c r="A369" t="s">
        <v>813</v>
      </c>
      <c r="B369" s="408" t="s">
        <v>268</v>
      </c>
      <c r="C369" s="408"/>
      <c r="D369" s="408"/>
      <c r="E369" s="408"/>
      <c r="F369" s="481">
        <f t="shared" si="54"/>
        <v>2366346.0099999998</v>
      </c>
    </row>
    <row r="370" spans="1:6">
      <c r="A370" t="s">
        <v>814</v>
      </c>
      <c r="B370" s="408" t="s">
        <v>298</v>
      </c>
      <c r="C370" s="408"/>
      <c r="D370" s="408"/>
      <c r="E370" s="408"/>
      <c r="F370" s="481">
        <f t="shared" si="54"/>
        <v>679200</v>
      </c>
    </row>
    <row r="371" spans="1:6">
      <c r="A371" t="s">
        <v>815</v>
      </c>
      <c r="B371" s="408" t="s">
        <v>392</v>
      </c>
      <c r="C371" s="408"/>
      <c r="D371" s="408"/>
      <c r="E371" s="408"/>
      <c r="F371" s="481">
        <f t="shared" si="54"/>
        <v>5963501.3854374392</v>
      </c>
    </row>
    <row r="372" spans="1:6">
      <c r="A372" t="s">
        <v>816</v>
      </c>
      <c r="B372" s="408" t="s">
        <v>432</v>
      </c>
      <c r="C372" s="408"/>
      <c r="D372" s="408"/>
      <c r="E372" s="408"/>
      <c r="F372" s="481">
        <f t="shared" si="54"/>
        <v>525785</v>
      </c>
    </row>
    <row r="373" spans="1:6">
      <c r="A373" t="s">
        <v>817</v>
      </c>
      <c r="B373" s="408" t="s">
        <v>441</v>
      </c>
      <c r="C373" s="408"/>
      <c r="D373" s="408"/>
      <c r="E373" s="408"/>
      <c r="F373" s="481">
        <f t="shared" si="54"/>
        <v>1379826.1605263159</v>
      </c>
    </row>
    <row r="374" spans="1:6">
      <c r="A374" t="s">
        <v>818</v>
      </c>
      <c r="B374" s="408" t="s">
        <v>477</v>
      </c>
      <c r="C374" s="408"/>
      <c r="D374" s="408"/>
      <c r="E374" s="408"/>
      <c r="F374" s="481">
        <f t="shared" si="54"/>
        <v>1826689.3615999999</v>
      </c>
    </row>
    <row r="375" spans="1:6">
      <c r="A375" t="s">
        <v>819</v>
      </c>
      <c r="B375" s="408" t="s">
        <v>488</v>
      </c>
      <c r="C375" s="408"/>
      <c r="D375" s="408"/>
      <c r="E375" s="408"/>
      <c r="F375" s="481">
        <f t="shared" si="54"/>
        <v>953492.66666666674</v>
      </c>
    </row>
    <row r="376" spans="1:6">
      <c r="A376" t="s">
        <v>820</v>
      </c>
      <c r="B376" s="408" t="s">
        <v>497</v>
      </c>
      <c r="C376" s="408"/>
      <c r="D376" s="408"/>
      <c r="E376" s="408"/>
      <c r="F376" s="481">
        <f t="shared" si="54"/>
        <v>496797</v>
      </c>
    </row>
    <row r="377" spans="1:6">
      <c r="A377" t="s">
        <v>821</v>
      </c>
      <c r="B377" s="408" t="s">
        <v>507</v>
      </c>
      <c r="C377" s="408"/>
      <c r="D377" s="408"/>
      <c r="E377" s="408"/>
      <c r="F377" s="481">
        <f t="shared" si="54"/>
        <v>1110813.1499999999</v>
      </c>
    </row>
    <row r="378" spans="1:6">
      <c r="A378" t="s">
        <v>822</v>
      </c>
      <c r="B378" s="408" t="s">
        <v>521</v>
      </c>
      <c r="C378" s="408"/>
      <c r="D378" s="408"/>
      <c r="E378" s="408"/>
      <c r="F378" s="481">
        <f t="shared" si="54"/>
        <v>3688547</v>
      </c>
    </row>
    <row r="379" spans="1:6">
      <c r="A379" t="s">
        <v>823</v>
      </c>
      <c r="B379" s="408" t="s">
        <v>528</v>
      </c>
      <c r="C379" s="408"/>
      <c r="D379" s="408"/>
      <c r="E379" s="408"/>
      <c r="F379" s="481">
        <f t="shared" si="54"/>
        <v>3588865.979381443</v>
      </c>
    </row>
    <row r="380" spans="1:6">
      <c r="A380" t="s">
        <v>824</v>
      </c>
      <c r="B380" s="408" t="s">
        <v>562</v>
      </c>
      <c r="C380" s="408"/>
      <c r="D380" s="408"/>
      <c r="E380" s="408"/>
      <c r="F380" s="481">
        <f t="shared" si="54"/>
        <v>4455520.8099999996</v>
      </c>
    </row>
    <row r="381" spans="1:6">
      <c r="A381" t="s">
        <v>825</v>
      </c>
      <c r="B381" s="408" t="s">
        <v>572</v>
      </c>
      <c r="C381" s="408"/>
      <c r="D381" s="408"/>
      <c r="E381" s="408"/>
      <c r="F381" s="481">
        <f t="shared" si="54"/>
        <v>166956.95000000001</v>
      </c>
    </row>
    <row r="382" spans="1:6">
      <c r="A382" t="s">
        <v>826</v>
      </c>
      <c r="B382" s="408" t="s">
        <v>583</v>
      </c>
      <c r="C382" s="408"/>
      <c r="D382" s="408"/>
      <c r="E382" s="408"/>
      <c r="F382" s="481">
        <f t="shared" si="54"/>
        <v>1047129.8949337261</v>
      </c>
    </row>
    <row r="383" spans="1:6">
      <c r="A383" t="s">
        <v>827</v>
      </c>
      <c r="B383" s="408" t="s">
        <v>604</v>
      </c>
      <c r="C383" s="408"/>
      <c r="D383" s="408"/>
      <c r="E383" s="408"/>
      <c r="F383" s="481">
        <f t="shared" si="54"/>
        <v>1777422.4983884296</v>
      </c>
    </row>
    <row r="384" spans="1:6">
      <c r="A384" t="s">
        <v>828</v>
      </c>
      <c r="B384" s="408" t="s">
        <v>680</v>
      </c>
      <c r="C384" s="408"/>
      <c r="D384" s="408"/>
      <c r="E384" s="408"/>
      <c r="F384" s="481">
        <f t="shared" si="54"/>
        <v>5896648.9249999989</v>
      </c>
    </row>
    <row r="385" spans="1:7">
      <c r="A385" t="s">
        <v>829</v>
      </c>
      <c r="B385" s="408" t="s">
        <v>709</v>
      </c>
      <c r="C385" s="408"/>
      <c r="D385" s="408"/>
      <c r="E385" s="408"/>
      <c r="F385" s="481">
        <f t="shared" si="54"/>
        <v>4430101.83</v>
      </c>
    </row>
    <row r="386" spans="1:7">
      <c r="A386" t="s">
        <v>830</v>
      </c>
      <c r="B386" s="408" t="s">
        <v>718</v>
      </c>
      <c r="C386" s="408"/>
      <c r="D386" s="408"/>
      <c r="E386" s="408"/>
      <c r="F386" s="481">
        <f t="shared" si="54"/>
        <v>7500</v>
      </c>
    </row>
    <row r="387" spans="1:7">
      <c r="A387" t="s">
        <v>831</v>
      </c>
      <c r="B387" s="408" t="s">
        <v>727</v>
      </c>
      <c r="C387" s="408"/>
      <c r="D387" s="408"/>
      <c r="E387" s="408"/>
      <c r="F387" s="481">
        <f t="shared" si="54"/>
        <v>1077434</v>
      </c>
    </row>
    <row r="388" spans="1:7">
      <c r="A388" t="s">
        <v>832</v>
      </c>
      <c r="B388" s="408" t="s">
        <v>749</v>
      </c>
      <c r="C388" s="408"/>
      <c r="D388" s="408"/>
      <c r="E388" s="408"/>
      <c r="F388" s="481">
        <f t="shared" si="54"/>
        <v>502425</v>
      </c>
    </row>
    <row r="389" spans="1:7">
      <c r="A389" t="s">
        <v>751</v>
      </c>
      <c r="B389" s="408" t="s">
        <v>751</v>
      </c>
      <c r="C389" s="408"/>
      <c r="D389" s="408"/>
      <c r="E389" s="408"/>
      <c r="F389" s="481">
        <f t="shared" si="54"/>
        <v>1110652.364504582</v>
      </c>
    </row>
    <row r="390" spans="1:7">
      <c r="A390" t="s">
        <v>782</v>
      </c>
      <c r="B390" s="408" t="s">
        <v>782</v>
      </c>
      <c r="C390" s="408"/>
      <c r="D390" s="408"/>
      <c r="E390" s="408"/>
      <c r="F390" s="481">
        <f t="shared" si="54"/>
        <v>1681753.162</v>
      </c>
    </row>
    <row r="391" spans="1:7">
      <c r="A391" t="s">
        <v>833</v>
      </c>
      <c r="B391" s="408" t="s">
        <v>789</v>
      </c>
      <c r="C391" s="408"/>
      <c r="D391" s="408"/>
      <c r="E391" s="408"/>
      <c r="F391" s="481">
        <f t="shared" si="54"/>
        <v>1564380.6920811858</v>
      </c>
    </row>
    <row r="392" spans="1:7">
      <c r="A392" t="s">
        <v>834</v>
      </c>
      <c r="B392" s="408" t="s">
        <v>785</v>
      </c>
      <c r="C392" s="408"/>
      <c r="D392" s="408"/>
      <c r="E392" s="408"/>
      <c r="F392" s="481">
        <f t="shared" si="54"/>
        <v>2776630.9112614552</v>
      </c>
    </row>
    <row r="393" spans="1:7">
      <c r="A393" t="s">
        <v>835</v>
      </c>
      <c r="B393" s="408" t="s">
        <v>799</v>
      </c>
      <c r="C393" s="408"/>
      <c r="D393" s="408"/>
      <c r="E393" s="408"/>
      <c r="F393" s="481">
        <f t="shared" si="54"/>
        <v>4451754.6799928835</v>
      </c>
    </row>
    <row r="394" spans="1:7">
      <c r="A394" t="s">
        <v>66</v>
      </c>
      <c r="B394" s="408"/>
      <c r="C394" s="408"/>
      <c r="D394" s="408"/>
      <c r="E394" s="408"/>
      <c r="F394" s="633">
        <f>SUM(F363:F393)</f>
        <v>68767993.966582954</v>
      </c>
    </row>
    <row r="395" spans="1:7">
      <c r="A395" s="634" t="s">
        <v>836</v>
      </c>
      <c r="B395" s="342"/>
      <c r="C395" s="342"/>
      <c r="D395" s="342"/>
      <c r="E395" s="342"/>
      <c r="F395" s="635">
        <f>$L$319-F394</f>
        <v>0</v>
      </c>
    </row>
    <row r="397" spans="1:7">
      <c r="A397" s="484" t="s">
        <v>837</v>
      </c>
      <c r="B397" s="408"/>
      <c r="C397" s="408"/>
      <c r="D397" s="408"/>
      <c r="E397" s="408"/>
      <c r="F397" s="408"/>
      <c r="G397"/>
    </row>
    <row r="398" spans="1:7">
      <c r="A398" s="484" t="s">
        <v>838</v>
      </c>
      <c r="B398" s="408"/>
      <c r="C398" s="408"/>
      <c r="D398" s="408"/>
      <c r="E398" s="408"/>
      <c r="F398" s="408"/>
      <c r="G398"/>
    </row>
    <row r="399" spans="1:7">
      <c r="A399" t="s">
        <v>202</v>
      </c>
      <c r="B399" s="408" t="s">
        <v>350</v>
      </c>
      <c r="C399" s="408"/>
      <c r="D399" s="408"/>
      <c r="E399" s="408"/>
      <c r="F399" s="481">
        <f t="shared" ref="F399:F409" si="55">SUMIF($B$14:$B$319,B399,$K$14:$K$319)</f>
        <v>513238.18869518046</v>
      </c>
      <c r="G399" s="408" t="s">
        <v>392</v>
      </c>
    </row>
    <row r="400" spans="1:7">
      <c r="A400" t="s">
        <v>353</v>
      </c>
      <c r="B400" s="408" t="s">
        <v>354</v>
      </c>
      <c r="C400" s="408"/>
      <c r="D400" s="408"/>
      <c r="E400" s="408"/>
      <c r="F400" s="481">
        <f t="shared" si="55"/>
        <v>0</v>
      </c>
      <c r="G400" s="408" t="s">
        <v>392</v>
      </c>
    </row>
    <row r="401" spans="1:7">
      <c r="A401" t="s">
        <v>355</v>
      </c>
      <c r="B401" s="408" t="s">
        <v>356</v>
      </c>
      <c r="C401" s="408"/>
      <c r="D401" s="408"/>
      <c r="E401" s="408"/>
      <c r="F401" s="481">
        <f t="shared" si="55"/>
        <v>0</v>
      </c>
      <c r="G401" s="408" t="s">
        <v>392</v>
      </c>
    </row>
    <row r="402" spans="1:7">
      <c r="A402" t="s">
        <v>357</v>
      </c>
      <c r="B402" s="408" t="s">
        <v>358</v>
      </c>
      <c r="C402" s="408"/>
      <c r="D402" s="408"/>
      <c r="E402" s="408"/>
      <c r="F402" s="481">
        <f t="shared" si="55"/>
        <v>271928.25</v>
      </c>
      <c r="G402" s="408" t="s">
        <v>392</v>
      </c>
    </row>
    <row r="403" spans="1:7">
      <c r="A403" t="s">
        <v>360</v>
      </c>
      <c r="B403" s="408" t="s">
        <v>361</v>
      </c>
      <c r="C403" s="408"/>
      <c r="D403" s="408"/>
      <c r="E403" s="408"/>
      <c r="F403" s="481">
        <f t="shared" si="55"/>
        <v>4500</v>
      </c>
      <c r="G403" s="408" t="s">
        <v>392</v>
      </c>
    </row>
    <row r="404" spans="1:7">
      <c r="A404" t="s">
        <v>362</v>
      </c>
      <c r="B404" s="408" t="s">
        <v>363</v>
      </c>
      <c r="C404" s="408"/>
      <c r="D404" s="408"/>
      <c r="E404" s="408"/>
      <c r="F404" s="481">
        <f t="shared" si="55"/>
        <v>0</v>
      </c>
      <c r="G404" s="408" t="s">
        <v>392</v>
      </c>
    </row>
    <row r="405" spans="1:7">
      <c r="A405" t="s">
        <v>364</v>
      </c>
      <c r="B405" s="408" t="s">
        <v>365</v>
      </c>
      <c r="C405" s="408"/>
      <c r="D405" s="408"/>
      <c r="E405" s="408"/>
      <c r="F405" s="481">
        <f t="shared" si="55"/>
        <v>0</v>
      </c>
      <c r="G405" s="408" t="s">
        <v>392</v>
      </c>
    </row>
    <row r="406" spans="1:7">
      <c r="A406" t="s">
        <v>839</v>
      </c>
      <c r="B406" s="408" t="s">
        <v>367</v>
      </c>
      <c r="C406" s="408"/>
      <c r="D406" s="408"/>
      <c r="E406" s="408"/>
      <c r="F406" s="481">
        <f t="shared" si="55"/>
        <v>37163.125999999997</v>
      </c>
      <c r="G406" s="408" t="s">
        <v>392</v>
      </c>
    </row>
    <row r="407" spans="1:7">
      <c r="A407" t="s">
        <v>840</v>
      </c>
      <c r="B407" s="408" t="s">
        <v>370</v>
      </c>
      <c r="C407" s="408"/>
      <c r="D407" s="408"/>
      <c r="E407" s="408"/>
      <c r="F407" s="481">
        <f t="shared" si="55"/>
        <v>35114.714285714283</v>
      </c>
      <c r="G407" s="408" t="s">
        <v>392</v>
      </c>
    </row>
    <row r="408" spans="1:7">
      <c r="A408" t="s">
        <v>433</v>
      </c>
      <c r="B408" s="408" t="s">
        <v>434</v>
      </c>
      <c r="C408" s="408"/>
      <c r="D408" s="408"/>
      <c r="E408" s="408"/>
      <c r="F408" s="481">
        <f t="shared" si="55"/>
        <v>1379826.1605263159</v>
      </c>
      <c r="G408" s="408" t="s">
        <v>441</v>
      </c>
    </row>
    <row r="409" spans="1:7" ht="17.25">
      <c r="A409" t="s">
        <v>213</v>
      </c>
      <c r="B409" s="408" t="s">
        <v>449</v>
      </c>
      <c r="C409" s="408"/>
      <c r="D409" s="408"/>
      <c r="E409" s="408"/>
      <c r="F409" s="636">
        <f t="shared" si="55"/>
        <v>160809</v>
      </c>
      <c r="G409" s="408" t="s">
        <v>477</v>
      </c>
    </row>
    <row r="410" spans="1:7">
      <c r="A410" t="s">
        <v>841</v>
      </c>
      <c r="B410" s="408"/>
      <c r="C410" s="408"/>
      <c r="D410" s="408"/>
      <c r="E410" s="408"/>
      <c r="F410" s="633">
        <f>SUM(F399:F409)</f>
        <v>2402579.4395072106</v>
      </c>
      <c r="G410"/>
    </row>
    <row r="411" spans="1:7">
      <c r="A411"/>
      <c r="B411" s="408"/>
      <c r="C411" s="408"/>
      <c r="D411" s="408"/>
      <c r="E411" s="408"/>
      <c r="F411" s="408"/>
      <c r="G411"/>
    </row>
    <row r="412" spans="1:7">
      <c r="A412"/>
      <c r="B412" s="408"/>
      <c r="C412" s="408"/>
      <c r="D412" s="408"/>
      <c r="E412" s="408"/>
      <c r="F412"/>
      <c r="G412"/>
    </row>
    <row r="413" spans="1:7">
      <c r="A413" s="484" t="s">
        <v>842</v>
      </c>
      <c r="B413" s="408"/>
      <c r="C413" s="408"/>
      <c r="D413" s="408"/>
      <c r="E413" s="408"/>
      <c r="F413" s="408"/>
      <c r="G413"/>
    </row>
    <row r="414" spans="1:7">
      <c r="A414" s="634" t="s">
        <v>843</v>
      </c>
      <c r="B414" s="408"/>
      <c r="C414" s="408"/>
      <c r="D414" s="408"/>
      <c r="E414" s="408"/>
      <c r="F414" s="408"/>
      <c r="G414"/>
    </row>
    <row r="415" spans="1:7">
      <c r="A415" t="s">
        <v>844</v>
      </c>
      <c r="B415" s="408">
        <v>2</v>
      </c>
      <c r="C415" s="408"/>
      <c r="D415" s="408"/>
      <c r="E415" s="408"/>
      <c r="F415" s="481">
        <f t="shared" ref="F415:F420" si="56">SUMIF($B$14:$B$319,B415,$L$14:$L$319)</f>
        <v>16000</v>
      </c>
      <c r="G415"/>
    </row>
    <row r="416" spans="1:7">
      <c r="A416" t="s">
        <v>845</v>
      </c>
      <c r="B416" s="408">
        <v>31</v>
      </c>
      <c r="C416" s="408"/>
      <c r="D416" s="408"/>
      <c r="E416" s="408"/>
      <c r="F416" s="481">
        <f t="shared" si="56"/>
        <v>1777422.4983884296</v>
      </c>
      <c r="G416"/>
    </row>
    <row r="417" spans="1:7">
      <c r="A417" t="s">
        <v>846</v>
      </c>
      <c r="B417" s="408">
        <v>32</v>
      </c>
      <c r="C417" s="408"/>
      <c r="D417" s="408"/>
      <c r="E417" s="408"/>
      <c r="F417" s="481">
        <f t="shared" si="56"/>
        <v>5896648.9249999989</v>
      </c>
      <c r="G417"/>
    </row>
    <row r="418" spans="1:7">
      <c r="A418" t="s">
        <v>847</v>
      </c>
      <c r="B418" s="408">
        <v>33</v>
      </c>
      <c r="C418" s="408"/>
      <c r="D418" s="408"/>
      <c r="E418" s="408"/>
      <c r="F418" s="481">
        <f t="shared" si="56"/>
        <v>4430101.83</v>
      </c>
      <c r="G418"/>
    </row>
    <row r="419" spans="1:7">
      <c r="A419" t="s">
        <v>848</v>
      </c>
      <c r="B419" s="408">
        <v>34</v>
      </c>
      <c r="C419" s="408"/>
      <c r="D419" s="408"/>
      <c r="E419" s="408"/>
      <c r="F419" s="481">
        <f t="shared" si="56"/>
        <v>7500</v>
      </c>
      <c r="G419"/>
    </row>
    <row r="420" spans="1:7">
      <c r="A420" t="s">
        <v>849</v>
      </c>
      <c r="B420" s="408">
        <v>48</v>
      </c>
      <c r="C420" s="408"/>
      <c r="D420" s="408"/>
      <c r="E420" s="408"/>
      <c r="F420" s="481">
        <f t="shared" si="56"/>
        <v>1077434</v>
      </c>
      <c r="G420"/>
    </row>
    <row r="421" spans="1:7">
      <c r="A421"/>
      <c r="B421" s="408"/>
      <c r="C421" s="408"/>
      <c r="D421" s="408"/>
      <c r="E421" s="408"/>
      <c r="F421" s="481"/>
      <c r="G421"/>
    </row>
    <row r="422" spans="1:7">
      <c r="A422" s="634" t="s">
        <v>850</v>
      </c>
      <c r="B422" s="408"/>
      <c r="C422" s="408"/>
      <c r="D422" s="408"/>
      <c r="E422" s="408"/>
      <c r="F422" s="481"/>
      <c r="G422"/>
    </row>
    <row r="423" spans="1:7">
      <c r="A423" t="s">
        <v>482</v>
      </c>
      <c r="B423" s="408" t="s">
        <v>483</v>
      </c>
      <c r="C423" s="408"/>
      <c r="D423" s="408"/>
      <c r="E423" s="408"/>
      <c r="F423" s="481">
        <f t="shared" ref="F423:F430" si="57">SUMIF($B$14:$B$319,B423,$K$14:$K$319)</f>
        <v>655512</v>
      </c>
      <c r="G423"/>
    </row>
    <row r="424" spans="1:7">
      <c r="A424" t="s">
        <v>308</v>
      </c>
      <c r="B424" s="408" t="s">
        <v>851</v>
      </c>
      <c r="C424" s="408"/>
      <c r="D424" s="408"/>
      <c r="E424" s="408"/>
      <c r="F424" s="481">
        <f t="shared" si="57"/>
        <v>0</v>
      </c>
      <c r="G424"/>
    </row>
    <row r="425" spans="1:7">
      <c r="A425" t="s">
        <v>852</v>
      </c>
      <c r="B425" s="408"/>
      <c r="C425" s="408"/>
      <c r="D425" s="408"/>
      <c r="E425" s="408"/>
      <c r="F425" s="481">
        <f t="shared" si="57"/>
        <v>0</v>
      </c>
      <c r="G425"/>
    </row>
    <row r="426" spans="1:7">
      <c r="A426" t="s">
        <v>853</v>
      </c>
      <c r="B426" s="408"/>
      <c r="C426" s="408"/>
      <c r="D426" s="408"/>
      <c r="E426" s="408"/>
      <c r="F426" s="481">
        <f t="shared" si="57"/>
        <v>0</v>
      </c>
      <c r="G426"/>
    </row>
    <row r="427" spans="1:7">
      <c r="A427" t="s">
        <v>479</v>
      </c>
      <c r="B427" s="408" t="s">
        <v>480</v>
      </c>
      <c r="C427" s="408"/>
      <c r="D427" s="408"/>
      <c r="E427" s="408"/>
      <c r="F427" s="481">
        <f t="shared" si="57"/>
        <v>290931.66666666669</v>
      </c>
      <c r="G427"/>
    </row>
    <row r="428" spans="1:7">
      <c r="A428" t="s">
        <v>403</v>
      </c>
      <c r="B428" s="408" t="s">
        <v>854</v>
      </c>
      <c r="C428" s="408"/>
      <c r="D428" s="408"/>
      <c r="E428" s="408"/>
      <c r="F428" s="481">
        <f t="shared" si="57"/>
        <v>0</v>
      </c>
      <c r="G428"/>
    </row>
    <row r="429" spans="1:7">
      <c r="A429" t="s">
        <v>545</v>
      </c>
      <c r="B429" s="408" t="s">
        <v>855</v>
      </c>
      <c r="C429" s="408"/>
      <c r="D429" s="408"/>
      <c r="E429" s="408"/>
      <c r="F429" s="481">
        <f t="shared" si="57"/>
        <v>0</v>
      </c>
      <c r="G429"/>
    </row>
    <row r="430" spans="1:7">
      <c r="A430" t="s">
        <v>92</v>
      </c>
      <c r="B430" s="408" t="s">
        <v>80</v>
      </c>
      <c r="C430" s="408"/>
      <c r="D430" s="408"/>
      <c r="E430"/>
      <c r="F430" s="481">
        <f t="shared" si="57"/>
        <v>2141443.3199999998</v>
      </c>
      <c r="G430"/>
    </row>
    <row r="431" spans="1:7">
      <c r="A431" s="484" t="s">
        <v>856</v>
      </c>
      <c r="B431" s="632"/>
      <c r="C431" s="632"/>
      <c r="D431" s="632"/>
      <c r="E431" s="484"/>
      <c r="F431" s="637">
        <f>SUM(F415:F430)</f>
        <v>16292994.240055095</v>
      </c>
      <c r="G431"/>
    </row>
    <row r="432" spans="1:7">
      <c r="A432"/>
      <c r="B432" s="408"/>
      <c r="C432" s="408"/>
      <c r="D432" s="408"/>
      <c r="E432"/>
      <c r="F432"/>
      <c r="G432"/>
    </row>
    <row r="433" spans="1:7">
      <c r="A433"/>
      <c r="B433"/>
      <c r="C433"/>
      <c r="D433"/>
      <c r="E433"/>
      <c r="F433"/>
      <c r="G433"/>
    </row>
    <row r="434" spans="1:7">
      <c r="A434" t="s">
        <v>672</v>
      </c>
      <c r="B434" s="408" t="s">
        <v>857</v>
      </c>
      <c r="C434" s="408"/>
      <c r="D434" s="408"/>
      <c r="E434" s="638" t="s">
        <v>858</v>
      </c>
      <c r="F434" s="408"/>
      <c r="G434"/>
    </row>
    <row r="435" spans="1:7">
      <c r="A435" t="s">
        <v>674</v>
      </c>
      <c r="B435" s="408" t="s">
        <v>859</v>
      </c>
      <c r="C435" s="408"/>
      <c r="D435" s="408"/>
      <c r="E435" s="638" t="s">
        <v>858</v>
      </c>
      <c r="F435" s="408"/>
      <c r="G435"/>
    </row>
    <row r="436" spans="1:7">
      <c r="A436" t="s">
        <v>675</v>
      </c>
      <c r="B436" s="408" t="s">
        <v>860</v>
      </c>
      <c r="C436" s="408"/>
      <c r="D436" s="408"/>
      <c r="E436" s="638" t="s">
        <v>858</v>
      </c>
      <c r="F436" s="408"/>
      <c r="G436"/>
    </row>
    <row r="437" spans="1:7">
      <c r="A437" t="s">
        <v>676</v>
      </c>
      <c r="B437" s="408" t="s">
        <v>861</v>
      </c>
      <c r="C437" s="408"/>
      <c r="D437" s="408"/>
      <c r="E437" s="638" t="s">
        <v>858</v>
      </c>
      <c r="F437" s="408"/>
      <c r="G437"/>
    </row>
    <row r="438" spans="1:7">
      <c r="A438" t="s">
        <v>688</v>
      </c>
      <c r="B438" s="408" t="s">
        <v>862</v>
      </c>
      <c r="C438" s="408"/>
      <c r="D438" s="408"/>
      <c r="E438" s="638" t="s">
        <v>863</v>
      </c>
      <c r="F438" s="408"/>
      <c r="G438"/>
    </row>
    <row r="439" spans="1:7">
      <c r="A439" t="s">
        <v>704</v>
      </c>
      <c r="B439" s="408" t="s">
        <v>864</v>
      </c>
      <c r="C439" s="408"/>
      <c r="D439" s="408"/>
      <c r="E439" s="638" t="s">
        <v>863</v>
      </c>
      <c r="F439" s="408"/>
      <c r="G439"/>
    </row>
    <row r="440" spans="1:7">
      <c r="A440" t="s">
        <v>705</v>
      </c>
      <c r="B440" s="408" t="s">
        <v>865</v>
      </c>
      <c r="C440" s="408"/>
      <c r="D440" s="408"/>
      <c r="E440" s="638" t="s">
        <v>863</v>
      </c>
      <c r="F440" s="408"/>
      <c r="G440"/>
    </row>
    <row r="441" spans="1:7">
      <c r="A441" t="s">
        <v>707</v>
      </c>
      <c r="B441" s="408" t="s">
        <v>866</v>
      </c>
      <c r="C441" s="408"/>
      <c r="D441" s="408"/>
      <c r="E441" s="638" t="s">
        <v>863</v>
      </c>
      <c r="F441"/>
      <c r="G441"/>
    </row>
    <row r="442" spans="1:7">
      <c r="A442" t="s">
        <v>715</v>
      </c>
      <c r="B442" s="408" t="s">
        <v>867</v>
      </c>
      <c r="C442" s="408"/>
      <c r="D442" s="408"/>
      <c r="E442" s="638" t="s">
        <v>868</v>
      </c>
      <c r="F442"/>
      <c r="G442"/>
    </row>
    <row r="443" spans="1:7">
      <c r="A443" t="s">
        <v>92</v>
      </c>
      <c r="B443" s="408" t="s">
        <v>80</v>
      </c>
      <c r="C443" s="408"/>
      <c r="D443" s="408"/>
      <c r="E443" s="408"/>
      <c r="F443"/>
      <c r="G443"/>
    </row>
    <row r="444" spans="1:7">
      <c r="A444"/>
      <c r="B444" s="408"/>
      <c r="C444" s="408"/>
      <c r="D444" s="408"/>
      <c r="E444" s="408"/>
      <c r="F444"/>
      <c r="G444"/>
    </row>
    <row r="445" spans="1:7">
      <c r="A445" s="484" t="s">
        <v>869</v>
      </c>
      <c r="B445" s="408"/>
      <c r="C445" s="408"/>
      <c r="D445" s="408"/>
      <c r="E445" s="408"/>
      <c r="F445"/>
      <c r="G445"/>
    </row>
    <row r="446" spans="1:7">
      <c r="A446" s="484" t="s">
        <v>870</v>
      </c>
      <c r="B446" s="408"/>
      <c r="C446" s="408"/>
      <c r="D446" s="408"/>
      <c r="E446" s="408"/>
      <c r="F446"/>
      <c r="G446"/>
    </row>
    <row r="447" spans="1:7">
      <c r="A447" t="s">
        <v>403</v>
      </c>
      <c r="B447" s="408" t="s">
        <v>854</v>
      </c>
      <c r="C447" s="408"/>
      <c r="D447" s="408"/>
      <c r="E447" s="408"/>
      <c r="F447" s="481">
        <f t="shared" ref="F447:F457" si="58">SUMIF($B$14:$B$319,B447,$K$14:$K$319)</f>
        <v>0</v>
      </c>
      <c r="G447"/>
    </row>
    <row r="448" spans="1:7">
      <c r="A448" t="s">
        <v>545</v>
      </c>
      <c r="B448" s="408" t="s">
        <v>855</v>
      </c>
      <c r="C448" s="408"/>
      <c r="D448" s="408"/>
      <c r="E448" s="408"/>
      <c r="F448" s="481">
        <f t="shared" si="58"/>
        <v>0</v>
      </c>
      <c r="G448"/>
    </row>
    <row r="449" spans="1:7">
      <c r="A449" t="s">
        <v>672</v>
      </c>
      <c r="B449" s="408" t="s">
        <v>857</v>
      </c>
      <c r="C449" s="408"/>
      <c r="D449" s="408"/>
      <c r="E449" s="408"/>
      <c r="F449" s="481">
        <f t="shared" si="58"/>
        <v>0</v>
      </c>
      <c r="G449"/>
    </row>
    <row r="450" spans="1:7">
      <c r="A450" t="s">
        <v>674</v>
      </c>
      <c r="B450" s="408" t="s">
        <v>859</v>
      </c>
      <c r="C450" s="408"/>
      <c r="D450" s="408"/>
      <c r="E450" s="408"/>
      <c r="F450" s="481">
        <f t="shared" si="58"/>
        <v>0</v>
      </c>
      <c r="G450"/>
    </row>
    <row r="451" spans="1:7">
      <c r="A451" t="s">
        <v>675</v>
      </c>
      <c r="B451" s="408" t="s">
        <v>860</v>
      </c>
      <c r="C451" s="408"/>
      <c r="D451" s="408"/>
      <c r="E451" s="408"/>
      <c r="F451" s="481">
        <f t="shared" si="58"/>
        <v>0</v>
      </c>
      <c r="G451"/>
    </row>
    <row r="452" spans="1:7">
      <c r="A452" t="s">
        <v>676</v>
      </c>
      <c r="B452" s="408" t="s">
        <v>861</v>
      </c>
      <c r="C452" s="408"/>
      <c r="D452" s="408"/>
      <c r="E452" s="408"/>
      <c r="F452" s="481">
        <f t="shared" si="58"/>
        <v>0</v>
      </c>
      <c r="G452"/>
    </row>
    <row r="453" spans="1:7">
      <c r="A453" t="s">
        <v>704</v>
      </c>
      <c r="B453" s="408" t="s">
        <v>864</v>
      </c>
      <c r="C453" s="408"/>
      <c r="D453" s="408"/>
      <c r="E453" s="408"/>
      <c r="F453" s="481">
        <f t="shared" si="58"/>
        <v>0</v>
      </c>
      <c r="G453"/>
    </row>
    <row r="454" spans="1:7">
      <c r="A454" t="s">
        <v>705</v>
      </c>
      <c r="B454" s="408" t="s">
        <v>865</v>
      </c>
      <c r="C454" s="408"/>
      <c r="D454" s="408"/>
      <c r="E454" s="408"/>
      <c r="F454" s="481">
        <f t="shared" si="58"/>
        <v>0</v>
      </c>
      <c r="G454"/>
    </row>
    <row r="455" spans="1:7">
      <c r="A455" t="s">
        <v>688</v>
      </c>
      <c r="B455" s="408" t="s">
        <v>862</v>
      </c>
      <c r="C455" s="408"/>
      <c r="D455" s="408"/>
      <c r="E455" s="408"/>
      <c r="F455" s="481">
        <f t="shared" si="58"/>
        <v>0</v>
      </c>
      <c r="G455"/>
    </row>
    <row r="456" spans="1:7">
      <c r="A456" t="s">
        <v>707</v>
      </c>
      <c r="B456" s="408" t="s">
        <v>866</v>
      </c>
      <c r="C456" s="408"/>
      <c r="D456" s="408"/>
      <c r="E456" s="408"/>
      <c r="F456" s="481">
        <f t="shared" si="58"/>
        <v>0</v>
      </c>
      <c r="G456"/>
    </row>
    <row r="457" spans="1:7">
      <c r="A457" t="s">
        <v>715</v>
      </c>
      <c r="B457" s="408" t="s">
        <v>867</v>
      </c>
      <c r="C457" s="408"/>
      <c r="D457" s="408"/>
      <c r="E457" s="408"/>
      <c r="F457" s="481">
        <f t="shared" si="58"/>
        <v>0</v>
      </c>
      <c r="G457"/>
    </row>
    <row r="458" spans="1:7">
      <c r="A458"/>
      <c r="B458" s="408"/>
      <c r="C458" s="408"/>
      <c r="D458" s="408"/>
      <c r="E458" s="408"/>
      <c r="F458"/>
      <c r="G458"/>
    </row>
    <row r="459" spans="1:7">
      <c r="A459" s="484" t="s">
        <v>871</v>
      </c>
      <c r="B459" s="408"/>
      <c r="C459" s="408"/>
      <c r="D459" s="408"/>
      <c r="E459" s="408"/>
      <c r="F459"/>
      <c r="G459"/>
    </row>
    <row r="460" spans="1:7">
      <c r="A460" s="634" t="s">
        <v>843</v>
      </c>
      <c r="B460" s="408"/>
      <c r="C460" s="408"/>
      <c r="D460" s="408"/>
      <c r="E460" s="408"/>
      <c r="F460"/>
      <c r="G460"/>
    </row>
    <row r="461" spans="1:7">
      <c r="A461" t="s">
        <v>804</v>
      </c>
      <c r="B461" s="408" t="s">
        <v>805</v>
      </c>
      <c r="C461" s="408"/>
      <c r="D461" s="408"/>
      <c r="E461" s="408"/>
      <c r="F461" s="481">
        <f>SUMIF($B$14:$B$319,B461,$K$14:$K$319)</f>
        <v>0</v>
      </c>
      <c r="G461"/>
    </row>
    <row r="462" spans="1:7">
      <c r="A462"/>
      <c r="B462" s="408"/>
      <c r="C462" s="408"/>
      <c r="D462" s="408"/>
      <c r="E462" s="408"/>
      <c r="F462"/>
      <c r="G462"/>
    </row>
    <row r="463" spans="1:7">
      <c r="A463" s="634" t="s">
        <v>850</v>
      </c>
      <c r="B463" s="408"/>
      <c r="C463" s="408"/>
      <c r="D463" s="408"/>
      <c r="E463" s="408"/>
      <c r="F463"/>
      <c r="G463"/>
    </row>
    <row r="464" spans="1:7">
      <c r="A464" t="s">
        <v>92</v>
      </c>
      <c r="B464" s="408" t="s">
        <v>80</v>
      </c>
      <c r="C464" s="408"/>
      <c r="D464" s="408"/>
      <c r="E464" s="408"/>
      <c r="F464" s="481">
        <f t="shared" ref="F464:F513" si="59">SUMIF($B$14:$B$319,B464,$K$14:$K$319)</f>
        <v>2141443.3199999998</v>
      </c>
      <c r="G464"/>
    </row>
    <row r="465" spans="1:7">
      <c r="A465" t="s">
        <v>101</v>
      </c>
      <c r="B465" s="408" t="s">
        <v>102</v>
      </c>
      <c r="C465" s="408"/>
      <c r="D465" s="408"/>
      <c r="E465" s="408"/>
      <c r="F465" s="481">
        <f t="shared" si="59"/>
        <v>23959</v>
      </c>
      <c r="G465"/>
    </row>
    <row r="466" spans="1:7">
      <c r="A466" t="s">
        <v>105</v>
      </c>
      <c r="B466" s="408" t="s">
        <v>106</v>
      </c>
      <c r="C466" s="408"/>
      <c r="D466" s="408"/>
      <c r="E466" s="408"/>
      <c r="F466" s="481">
        <f t="shared" si="59"/>
        <v>6500</v>
      </c>
      <c r="G466"/>
    </row>
    <row r="467" spans="1:7">
      <c r="A467" t="s">
        <v>108</v>
      </c>
      <c r="B467" s="408" t="s">
        <v>109</v>
      </c>
      <c r="C467" s="408"/>
      <c r="D467" s="408"/>
      <c r="E467" s="408"/>
      <c r="F467" s="481">
        <f t="shared" si="59"/>
        <v>6500</v>
      </c>
      <c r="G467"/>
    </row>
    <row r="468" spans="1:7">
      <c r="A468" t="s">
        <v>117</v>
      </c>
      <c r="B468" s="408" t="s">
        <v>118</v>
      </c>
      <c r="C468" s="408"/>
      <c r="D468" s="408"/>
      <c r="E468" s="408"/>
      <c r="F468" s="481">
        <f t="shared" si="59"/>
        <v>45894.05149051491</v>
      </c>
      <c r="G468"/>
    </row>
    <row r="469" spans="1:7">
      <c r="A469" t="s">
        <v>139</v>
      </c>
      <c r="B469" s="408" t="s">
        <v>140</v>
      </c>
      <c r="C469" s="408"/>
      <c r="D469" s="408"/>
      <c r="E469" s="408"/>
      <c r="F469" s="481">
        <f t="shared" si="59"/>
        <v>15000</v>
      </c>
      <c r="G469"/>
    </row>
    <row r="470" spans="1:7">
      <c r="A470" t="s">
        <v>872</v>
      </c>
      <c r="B470" s="408" t="s">
        <v>143</v>
      </c>
      <c r="C470" s="408"/>
      <c r="D470" s="408"/>
      <c r="E470" s="408"/>
      <c r="F470" s="481">
        <f t="shared" si="59"/>
        <v>15000</v>
      </c>
      <c r="G470"/>
    </row>
    <row r="471" spans="1:7">
      <c r="A471" t="s">
        <v>161</v>
      </c>
      <c r="B471" s="408" t="s">
        <v>162</v>
      </c>
      <c r="C471" s="408"/>
      <c r="D471" s="408"/>
      <c r="E471" s="408"/>
      <c r="F471" s="481">
        <f t="shared" si="59"/>
        <v>0</v>
      </c>
      <c r="G471"/>
    </row>
    <row r="472" spans="1:7">
      <c r="A472" t="s">
        <v>164</v>
      </c>
      <c r="B472" s="408" t="s">
        <v>165</v>
      </c>
      <c r="C472" s="408"/>
      <c r="D472" s="408"/>
      <c r="E472" s="408"/>
      <c r="F472" s="481">
        <f t="shared" si="59"/>
        <v>1950</v>
      </c>
      <c r="G472"/>
    </row>
    <row r="473" spans="1:7">
      <c r="A473" t="s">
        <v>189</v>
      </c>
      <c r="B473" s="408" t="s">
        <v>190</v>
      </c>
      <c r="C473" s="408"/>
      <c r="D473" s="408"/>
      <c r="E473" s="408"/>
      <c r="F473" s="481">
        <f t="shared" si="59"/>
        <v>0</v>
      </c>
      <c r="G473"/>
    </row>
    <row r="474" spans="1:7">
      <c r="A474" t="s">
        <v>192</v>
      </c>
      <c r="B474" s="408" t="s">
        <v>193</v>
      </c>
      <c r="C474" s="408"/>
      <c r="D474" s="408"/>
      <c r="E474" s="408"/>
      <c r="F474" s="481">
        <f t="shared" si="59"/>
        <v>10000</v>
      </c>
      <c r="G474"/>
    </row>
    <row r="475" spans="1:7">
      <c r="A475" t="s">
        <v>195</v>
      </c>
      <c r="B475" s="408" t="s">
        <v>196</v>
      </c>
      <c r="C475" s="408"/>
      <c r="D475" s="408"/>
      <c r="E475" s="408"/>
      <c r="F475" s="481">
        <f t="shared" si="59"/>
        <v>0</v>
      </c>
      <c r="G475"/>
    </row>
    <row r="476" spans="1:7">
      <c r="A476" t="s">
        <v>198</v>
      </c>
      <c r="B476" s="408" t="s">
        <v>199</v>
      </c>
      <c r="C476" s="408"/>
      <c r="D476" s="408"/>
      <c r="E476" s="408"/>
      <c r="F476" s="481">
        <f t="shared" si="59"/>
        <v>0</v>
      </c>
      <c r="G476"/>
    </row>
    <row r="477" spans="1:7">
      <c r="A477" t="s">
        <v>214</v>
      </c>
      <c r="B477" s="408" t="s">
        <v>215</v>
      </c>
      <c r="C477" s="408"/>
      <c r="D477" s="408"/>
      <c r="E477" s="408"/>
      <c r="F477" s="481">
        <f t="shared" si="59"/>
        <v>5000</v>
      </c>
      <c r="G477"/>
    </row>
    <row r="478" spans="1:7">
      <c r="A478" t="s">
        <v>239</v>
      </c>
      <c r="B478" s="408" t="s">
        <v>240</v>
      </c>
      <c r="C478" s="408"/>
      <c r="D478" s="408"/>
      <c r="E478" s="408"/>
      <c r="F478" s="481">
        <f t="shared" si="59"/>
        <v>7500</v>
      </c>
      <c r="G478"/>
    </row>
    <row r="479" spans="1:7">
      <c r="A479" t="s">
        <v>244</v>
      </c>
      <c r="B479" s="408" t="s">
        <v>240</v>
      </c>
      <c r="C479" s="408"/>
      <c r="D479" s="408"/>
      <c r="E479" s="408"/>
      <c r="F479" s="481">
        <f t="shared" si="59"/>
        <v>7500</v>
      </c>
      <c r="G479"/>
    </row>
    <row r="480" spans="1:7">
      <c r="A480" t="s">
        <v>282</v>
      </c>
      <c r="B480" s="408" t="s">
        <v>283</v>
      </c>
      <c r="C480" s="408"/>
      <c r="D480" s="408"/>
      <c r="E480" s="408"/>
      <c r="F480" s="481">
        <f t="shared" si="59"/>
        <v>0</v>
      </c>
      <c r="G480"/>
    </row>
    <row r="481" spans="1:7">
      <c r="A481" t="s">
        <v>284</v>
      </c>
      <c r="B481" s="408" t="s">
        <v>285</v>
      </c>
      <c r="C481" s="408"/>
      <c r="D481" s="408"/>
      <c r="E481" s="408"/>
      <c r="F481" s="481">
        <f t="shared" si="59"/>
        <v>0</v>
      </c>
      <c r="G481"/>
    </row>
    <row r="482" spans="1:7">
      <c r="A482" t="s">
        <v>319</v>
      </c>
      <c r="B482" s="408" t="s">
        <v>316</v>
      </c>
      <c r="C482" s="408"/>
      <c r="D482" s="408"/>
      <c r="E482" s="408"/>
      <c r="F482" s="481">
        <f t="shared" si="59"/>
        <v>950639.29645654478</v>
      </c>
      <c r="G482"/>
    </row>
    <row r="483" spans="1:7">
      <c r="A483" t="s">
        <v>325</v>
      </c>
      <c r="B483" s="408" t="s">
        <v>316</v>
      </c>
      <c r="C483" s="408"/>
      <c r="D483" s="408"/>
      <c r="E483" s="408"/>
      <c r="F483" s="481">
        <f t="shared" si="59"/>
        <v>950639.29645654478</v>
      </c>
      <c r="G483"/>
    </row>
    <row r="484" spans="1:7">
      <c r="A484" t="s">
        <v>873</v>
      </c>
      <c r="B484" s="408" t="s">
        <v>316</v>
      </c>
      <c r="C484" s="408"/>
      <c r="D484" s="408"/>
      <c r="E484" s="408"/>
      <c r="F484" s="481">
        <f t="shared" si="59"/>
        <v>950639.29645654478</v>
      </c>
      <c r="G484"/>
    </row>
    <row r="485" spans="1:7">
      <c r="A485" t="s">
        <v>395</v>
      </c>
      <c r="B485" s="408" t="s">
        <v>396</v>
      </c>
      <c r="C485" s="408"/>
      <c r="D485" s="408"/>
      <c r="E485" s="408"/>
      <c r="F485" s="481">
        <f t="shared" si="59"/>
        <v>76956</v>
      </c>
      <c r="G485"/>
    </row>
    <row r="486" spans="1:7">
      <c r="A486" t="s">
        <v>414</v>
      </c>
      <c r="B486" s="408" t="s">
        <v>415</v>
      </c>
      <c r="C486" s="408"/>
      <c r="D486" s="408"/>
      <c r="E486" s="408"/>
      <c r="F486" s="481">
        <f t="shared" si="59"/>
        <v>0</v>
      </c>
      <c r="G486"/>
    </row>
    <row r="487" spans="1:7">
      <c r="A487" t="s">
        <v>416</v>
      </c>
      <c r="B487" s="408" t="s">
        <v>417</v>
      </c>
      <c r="C487" s="408"/>
      <c r="D487" s="408"/>
      <c r="E487" s="408"/>
      <c r="F487" s="481">
        <f t="shared" si="59"/>
        <v>13440</v>
      </c>
      <c r="G487"/>
    </row>
    <row r="488" spans="1:7">
      <c r="A488" t="s">
        <v>474</v>
      </c>
      <c r="B488" s="408" t="s">
        <v>475</v>
      </c>
      <c r="C488" s="408"/>
      <c r="D488" s="408"/>
      <c r="E488" s="408"/>
      <c r="F488" s="481">
        <f t="shared" si="59"/>
        <v>24000</v>
      </c>
      <c r="G488"/>
    </row>
    <row r="489" spans="1:7">
      <c r="A489" t="s">
        <v>479</v>
      </c>
      <c r="B489" s="408" t="s">
        <v>480</v>
      </c>
      <c r="C489" s="408"/>
      <c r="D489" s="408"/>
      <c r="E489" s="408"/>
      <c r="F489" s="481">
        <f t="shared" si="59"/>
        <v>290931.66666666669</v>
      </c>
      <c r="G489"/>
    </row>
    <row r="490" spans="1:7">
      <c r="A490" t="s">
        <v>482</v>
      </c>
      <c r="B490" s="408" t="s">
        <v>483</v>
      </c>
      <c r="C490" s="408"/>
      <c r="D490" s="408"/>
      <c r="E490" s="408"/>
      <c r="F490" s="481">
        <f t="shared" si="59"/>
        <v>655512</v>
      </c>
      <c r="G490"/>
    </row>
    <row r="491" spans="1:7">
      <c r="A491" t="s">
        <v>484</v>
      </c>
      <c r="B491" s="408" t="s">
        <v>485</v>
      </c>
      <c r="C491" s="408"/>
      <c r="D491" s="408"/>
      <c r="E491" s="408"/>
      <c r="F491" s="481">
        <f t="shared" si="59"/>
        <v>7049</v>
      </c>
      <c r="G491"/>
    </row>
    <row r="492" spans="1:7">
      <c r="A492" t="s">
        <v>494</v>
      </c>
      <c r="B492" s="408" t="s">
        <v>495</v>
      </c>
      <c r="C492" s="408"/>
      <c r="D492" s="408"/>
      <c r="E492" s="408"/>
      <c r="F492" s="481">
        <f t="shared" si="59"/>
        <v>13000</v>
      </c>
      <c r="G492"/>
    </row>
    <row r="493" spans="1:7">
      <c r="A493" t="s">
        <v>516</v>
      </c>
      <c r="B493" s="408" t="s">
        <v>517</v>
      </c>
      <c r="C493" s="408"/>
      <c r="D493" s="408"/>
      <c r="E493" s="408"/>
      <c r="F493" s="481">
        <f t="shared" si="59"/>
        <v>25000</v>
      </c>
      <c r="G493"/>
    </row>
    <row r="494" spans="1:7">
      <c r="A494" t="s">
        <v>518</v>
      </c>
      <c r="B494" s="408" t="s">
        <v>519</v>
      </c>
      <c r="C494" s="408"/>
      <c r="D494" s="408"/>
      <c r="E494" s="408"/>
      <c r="F494" s="481">
        <f t="shared" si="59"/>
        <v>6000</v>
      </c>
      <c r="G494"/>
    </row>
    <row r="495" spans="1:7">
      <c r="A495" t="s">
        <v>539</v>
      </c>
      <c r="B495" s="408" t="s">
        <v>529</v>
      </c>
      <c r="C495" s="408"/>
      <c r="D495" s="408"/>
      <c r="E495" s="408"/>
      <c r="F495" s="481">
        <f t="shared" si="59"/>
        <v>3934078.3099999996</v>
      </c>
      <c r="G495"/>
    </row>
    <row r="496" spans="1:7">
      <c r="A496" t="s">
        <v>541</v>
      </c>
      <c r="B496" s="408" t="s">
        <v>532</v>
      </c>
      <c r="C496" s="408"/>
      <c r="D496" s="408"/>
      <c r="E496" s="408"/>
      <c r="F496" s="481">
        <f t="shared" si="59"/>
        <v>269900</v>
      </c>
      <c r="G496"/>
    </row>
    <row r="497" spans="1:7">
      <c r="A497" t="s">
        <v>542</v>
      </c>
      <c r="B497" s="408" t="s">
        <v>529</v>
      </c>
      <c r="C497" s="408"/>
      <c r="D497" s="408"/>
      <c r="E497" s="408"/>
      <c r="F497" s="481">
        <f t="shared" si="59"/>
        <v>3934078.3099999996</v>
      </c>
      <c r="G497"/>
    </row>
    <row r="498" spans="1:7">
      <c r="A498" t="s">
        <v>543</v>
      </c>
      <c r="B498" s="408" t="s">
        <v>544</v>
      </c>
      <c r="C498" s="408"/>
      <c r="D498" s="408"/>
      <c r="E498" s="408"/>
      <c r="F498" s="481">
        <f t="shared" si="59"/>
        <v>5000</v>
      </c>
      <c r="G498"/>
    </row>
    <row r="499" spans="1:7">
      <c r="A499" t="s">
        <v>553</v>
      </c>
      <c r="B499" s="408" t="s">
        <v>554</v>
      </c>
      <c r="C499" s="408"/>
      <c r="D499" s="408"/>
      <c r="E499" s="408"/>
      <c r="F499" s="481">
        <f t="shared" si="59"/>
        <v>12500</v>
      </c>
      <c r="G499"/>
    </row>
    <row r="500" spans="1:7">
      <c r="A500" t="s">
        <v>555</v>
      </c>
      <c r="B500" s="408" t="s">
        <v>556</v>
      </c>
      <c r="C500" s="408"/>
      <c r="D500" s="408"/>
      <c r="E500" s="408"/>
      <c r="F500" s="481">
        <f t="shared" si="59"/>
        <v>12500</v>
      </c>
      <c r="G500"/>
    </row>
    <row r="501" spans="1:7">
      <c r="A501" t="s">
        <v>557</v>
      </c>
      <c r="B501" s="408" t="s">
        <v>558</v>
      </c>
      <c r="C501" s="408"/>
      <c r="D501" s="408"/>
      <c r="E501" s="408"/>
      <c r="F501" s="481">
        <f t="shared" si="59"/>
        <v>2500</v>
      </c>
      <c r="G501"/>
    </row>
    <row r="502" spans="1:7">
      <c r="A502" t="s">
        <v>559</v>
      </c>
      <c r="B502" s="408" t="s">
        <v>529</v>
      </c>
      <c r="C502" s="408"/>
      <c r="D502" s="408"/>
      <c r="E502" s="408"/>
      <c r="F502" s="481">
        <f t="shared" si="59"/>
        <v>3934078.3099999996</v>
      </c>
      <c r="G502"/>
    </row>
    <row r="503" spans="1:7">
      <c r="A503" t="s">
        <v>560</v>
      </c>
      <c r="B503" s="408" t="s">
        <v>532</v>
      </c>
      <c r="C503" s="408"/>
      <c r="D503" s="408"/>
      <c r="E503" s="408"/>
      <c r="F503" s="481">
        <f t="shared" si="59"/>
        <v>269900</v>
      </c>
      <c r="G503"/>
    </row>
    <row r="504" spans="1:7">
      <c r="A504" t="s">
        <v>619</v>
      </c>
      <c r="B504" s="408" t="s">
        <v>620</v>
      </c>
      <c r="C504" s="408"/>
      <c r="D504" s="408"/>
      <c r="E504" s="408"/>
      <c r="F504" s="481">
        <f t="shared" si="59"/>
        <v>68195.5</v>
      </c>
      <c r="G504"/>
    </row>
    <row r="505" spans="1:7">
      <c r="A505" t="s">
        <v>630</v>
      </c>
      <c r="B505" s="408" t="s">
        <v>631</v>
      </c>
      <c r="C505" s="408"/>
      <c r="D505" s="408"/>
      <c r="E505" s="408"/>
      <c r="F505" s="481">
        <f t="shared" si="59"/>
        <v>10000</v>
      </c>
      <c r="G505"/>
    </row>
    <row r="506" spans="1:7">
      <c r="A506" t="s">
        <v>642</v>
      </c>
      <c r="B506" s="408" t="s">
        <v>643</v>
      </c>
      <c r="C506" s="408"/>
      <c r="D506" s="408"/>
      <c r="E506" s="408"/>
      <c r="F506" s="481">
        <f t="shared" si="59"/>
        <v>24900</v>
      </c>
      <c r="G506"/>
    </row>
    <row r="507" spans="1:7">
      <c r="A507" t="s">
        <v>663</v>
      </c>
      <c r="B507" s="408" t="s">
        <v>664</v>
      </c>
      <c r="C507" s="408"/>
      <c r="D507" s="408"/>
      <c r="E507" s="408"/>
      <c r="F507" s="481">
        <f t="shared" si="59"/>
        <v>15000</v>
      </c>
      <c r="G507"/>
    </row>
    <row r="508" spans="1:7">
      <c r="A508" t="s">
        <v>757</v>
      </c>
      <c r="B508" s="408" t="s">
        <v>758</v>
      </c>
      <c r="C508" s="408"/>
      <c r="D508" s="408"/>
      <c r="E508" s="408"/>
      <c r="F508" s="481">
        <f t="shared" si="59"/>
        <v>0</v>
      </c>
      <c r="G508"/>
    </row>
    <row r="509" spans="1:7">
      <c r="A509" t="s">
        <v>759</v>
      </c>
      <c r="B509" s="408" t="s">
        <v>760</v>
      </c>
      <c r="C509" s="408"/>
      <c r="D509" s="408"/>
      <c r="E509" s="408"/>
      <c r="F509" s="481">
        <f t="shared" si="59"/>
        <v>20000</v>
      </c>
      <c r="G509"/>
    </row>
    <row r="510" spans="1:7">
      <c r="A510" t="s">
        <v>761</v>
      </c>
      <c r="B510" s="408" t="s">
        <v>762</v>
      </c>
      <c r="C510" s="408"/>
      <c r="D510" s="408"/>
      <c r="E510" s="408"/>
      <c r="F510" s="481">
        <f t="shared" si="59"/>
        <v>91253.161999999997</v>
      </c>
      <c r="G510"/>
    </row>
    <row r="511" spans="1:7">
      <c r="A511" t="s">
        <v>763</v>
      </c>
      <c r="B511" s="408" t="s">
        <v>764</v>
      </c>
      <c r="C511" s="408"/>
      <c r="D511" s="408"/>
      <c r="E511" s="408"/>
      <c r="F511" s="481">
        <f t="shared" si="59"/>
        <v>0</v>
      </c>
      <c r="G511"/>
    </row>
    <row r="512" spans="1:7">
      <c r="A512" t="s">
        <v>776</v>
      </c>
      <c r="B512" s="408" t="s">
        <v>564</v>
      </c>
      <c r="C512" s="408"/>
      <c r="D512" s="408"/>
      <c r="E512" s="408"/>
      <c r="F512" s="481">
        <f t="shared" si="59"/>
        <v>28000</v>
      </c>
      <c r="G512"/>
    </row>
    <row r="513" spans="1:7">
      <c r="A513" t="s">
        <v>777</v>
      </c>
      <c r="B513" s="408" t="s">
        <v>778</v>
      </c>
      <c r="C513" s="408"/>
      <c r="D513" s="408"/>
      <c r="E513" s="408"/>
      <c r="F513" s="481">
        <f t="shared" si="59"/>
        <v>2500</v>
      </c>
      <c r="G513"/>
    </row>
  </sheetData>
  <autoFilter ref="B13:K317" xr:uid="{C8A95798-AF23-4C19-883A-C25D023AB1DF}"/>
  <mergeCells count="7">
    <mergeCell ref="M115:U115"/>
    <mergeCell ref="M116:U116"/>
    <mergeCell ref="M117:U117"/>
    <mergeCell ref="M162:U162"/>
    <mergeCell ref="M149:U149"/>
    <mergeCell ref="M151:U151"/>
    <mergeCell ref="M156:U156"/>
  </mergeCells>
  <conditionalFormatting sqref="A14:K14 M14:U14 A15:U15 A16:K16 M16:U16 A17:U17 A18:K27 M18:U27 A28:U28 A29:K33 M29:U33 A34:U34 A35:K42 M35:U42 A43:U43 A44:K56 M44:U56 A57:U57 A58:K70 M58:U70 A71:U71 A72:K85 M72:U85 A86:U86 A87:K124 M87:U124 A125:U125 A126:K141 M126:U141 A142:U142 A143:K145 M143:U145 A146:U146 A147:K154 M147:U154 A155:U155 A156:K158 M156:U158 A159:U159 A160:K160 M160:U160 A161:U161 A162:K163 M162:U163 A164:U164 A165:K167 M165:U167 A168:U168 A169:K173 M169:U173 A174:U174 A175:K176 M175:U176 A177:U177 A178:K194 M178:U194 A195:U195 A196:K198 M196:U198 A199:U199 A200:K203 M200:U203 A204:U204 A205:K213 M205:U213 A214:U214 A215:K251 M215:U251 A252:U252 A253:K268 M253:U268 A269:U269 A270:K271 M270:U271 A272:U272 A273:K273 M273:U273 A274:U274 A275:K277 M275:U277 A278:U278 A279:K287 M279:U287 A288:U288 A289:K290 M289:U290 A291:U291 A292:K305 M292:U305 A306:U306 A307:K307 M307:U307 A308:U308 A309:K309 M309:U309 A310:U310 A311:K313 M311:U313 A314:U314 A315:K316 M315:U316 A317:U319">
    <cfRule type="expression" dxfId="174" priority="74">
      <formula>MOD(ROW(),2)</formula>
    </cfRule>
  </conditionalFormatting>
  <conditionalFormatting sqref="E357">
    <cfRule type="cellIs" dxfId="173" priority="70" operator="lessThan">
      <formula>0</formula>
    </cfRule>
    <cfRule type="cellIs" dxfId="172" priority="71" operator="greaterThan">
      <formula>0</formula>
    </cfRule>
  </conditionalFormatting>
  <conditionalFormatting sqref="L320:M320">
    <cfRule type="cellIs" dxfId="171" priority="69" operator="lessThan">
      <formula>0</formula>
    </cfRule>
    <cfRule type="cellIs" dxfId="170" priority="73" operator="greaterThan">
      <formula>0</formula>
    </cfRule>
  </conditionalFormatting>
  <dataValidations disablePrompts="1" count="2">
    <dataValidation type="list" allowBlank="1" showInputMessage="1" showErrorMessage="1" sqref="B4" xr:uid="{FB2AA07F-E29B-40C2-AD54-B602D940BFDB}">
      <formula1>"Urban, Market, Senior, Afforable"</formula1>
    </dataValidation>
    <dataValidation type="list" allowBlank="1" showInputMessage="1" showErrorMessage="1" sqref="B3" xr:uid="{D517562C-52C6-4F18-9841-46B588556FE6}">
      <formula1>"Level 1, Level 2, Level 3"</formula1>
    </dataValidation>
  </dataValidations>
  <printOptions horizontalCentered="1"/>
  <pageMargins left="0.25" right="0.25" top="0.7" bottom="0.5" header="0.35" footer="0.05"/>
  <pageSetup paperSize="3" scale="56" fitToHeight="0" orientation="landscape" r:id="rId1"/>
  <headerFooter>
    <oddHeader>&amp;R&amp;G</oddHeader>
  </headerFooter>
  <rowBreaks count="4" manualBreakCount="4">
    <brk id="57" max="20" man="1"/>
    <brk id="125" max="20" man="1"/>
    <brk id="195" max="20" man="1"/>
    <brk id="252" max="20"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CEBD-CFBB-422C-A560-29FD699E42AB}">
  <sheetPr>
    <tabColor theme="6" tint="0.59999389629810485"/>
    <pageSetUpPr fitToPage="1"/>
  </sheetPr>
  <dimension ref="A1:AO506"/>
  <sheetViews>
    <sheetView showGridLines="0" view="pageBreakPreview" zoomScale="85" zoomScaleNormal="100" zoomScaleSheetLayoutView="85" workbookViewId="0">
      <pane xSplit="1" ySplit="10" topLeftCell="B197" activePane="bottomRight" state="frozen"/>
      <selection pane="bottomRight" activeCell="B100" sqref="B100"/>
      <selection pane="bottomLeft" activeCell="A20" sqref="A20"/>
      <selection pane="topRight" activeCell="B1" sqref="B1"/>
    </sheetView>
  </sheetViews>
  <sheetFormatPr defaultColWidth="9.140625" defaultRowHeight="15" outlineLevelRow="1"/>
  <cols>
    <col min="1" max="1" width="42.5703125" style="3" bestFit="1" customWidth="1"/>
    <col min="2" max="2" width="17.42578125" style="3" customWidth="1"/>
    <col min="3" max="3" width="15.85546875" style="3" bestFit="1" customWidth="1"/>
    <col min="4" max="4" width="6.28515625" style="3" customWidth="1"/>
    <col min="5" max="5" width="17.42578125" style="3" customWidth="1"/>
    <col min="6" max="6" width="15.85546875" style="3" bestFit="1" customWidth="1"/>
    <col min="7" max="7" width="0.85546875" style="3" customWidth="1"/>
    <col min="8" max="8" width="17.42578125" style="3" customWidth="1"/>
    <col min="9" max="9" width="15.85546875" style="3" bestFit="1" customWidth="1"/>
    <col min="10" max="10" width="1.42578125" style="3" customWidth="1"/>
    <col min="11" max="11" width="11.5703125" style="3" customWidth="1"/>
    <col min="12" max="12" width="23.42578125" style="3" customWidth="1"/>
    <col min="13" max="13" width="13.85546875" style="3" customWidth="1"/>
    <col min="14" max="14" width="8.85546875" style="3" customWidth="1"/>
    <col min="15" max="15" width="11" style="3" customWidth="1"/>
    <col min="16" max="16" width="9.28515625" style="3" customWidth="1"/>
    <col min="17" max="17" width="15.85546875" style="3" bestFit="1" customWidth="1"/>
    <col min="18" max="18" width="7.7109375" style="3" bestFit="1" customWidth="1"/>
    <col min="19" max="19" width="10.28515625" style="3" customWidth="1"/>
    <col min="20" max="20" width="9.140625" style="3"/>
    <col min="21" max="21" width="14.28515625" style="3" bestFit="1" customWidth="1"/>
    <col min="22" max="22" width="14.85546875" style="3" bestFit="1" customWidth="1"/>
    <col min="23" max="23" width="12.5703125" style="3" bestFit="1" customWidth="1"/>
    <col min="24" max="32" width="9.140625" style="3"/>
    <col min="33" max="33" width="10.5703125" style="3" bestFit="1" customWidth="1"/>
    <col min="34" max="34" width="9.140625" style="3" customWidth="1"/>
    <col min="35" max="39" width="9.140625" style="3"/>
    <col min="40" max="40" width="12.85546875" style="3" customWidth="1"/>
    <col min="41" max="16384" width="9.140625" style="3"/>
  </cols>
  <sheetData>
    <row r="1" spans="1:41">
      <c r="B1" s="421" t="s">
        <v>964</v>
      </c>
      <c r="C1" s="421"/>
      <c r="E1" s="421" t="s">
        <v>883</v>
      </c>
      <c r="F1" s="421"/>
      <c r="H1" s="421" t="s">
        <v>875</v>
      </c>
      <c r="I1" s="421"/>
    </row>
    <row r="3" spans="1:41">
      <c r="A3" s="382" t="s">
        <v>436</v>
      </c>
      <c r="C3" s="436">
        <f>'LEVEL 1.1 BUDGET'!I7</f>
        <v>363</v>
      </c>
      <c r="D3" s="182"/>
      <c r="E3" s="182"/>
      <c r="F3" s="436">
        <f>'LEVEL 1.2 BUDGET'!N9</f>
        <v>363</v>
      </c>
      <c r="G3" s="437"/>
      <c r="H3" s="182"/>
      <c r="I3" s="436">
        <f>C3-F3</f>
        <v>0</v>
      </c>
      <c r="J3" s="419"/>
    </row>
    <row r="4" spans="1:41">
      <c r="A4" s="382" t="s">
        <v>876</v>
      </c>
      <c r="C4" s="436">
        <f>'Combined - vErik'!B8</f>
        <v>329194</v>
      </c>
      <c r="D4" s="182"/>
      <c r="E4" s="182"/>
      <c r="F4" s="436">
        <f>'LEVEL 1.2 BUDGET'!B8</f>
        <v>362571</v>
      </c>
      <c r="G4" s="182"/>
      <c r="H4" s="182"/>
      <c r="I4" s="436">
        <f>F4-C4</f>
        <v>33377</v>
      </c>
      <c r="J4" s="419"/>
    </row>
    <row r="5" spans="1:41">
      <c r="G5" s="419"/>
      <c r="J5" s="419"/>
      <c r="L5" s="235"/>
    </row>
    <row r="6" spans="1:41">
      <c r="A6" s="382" t="s">
        <v>11</v>
      </c>
      <c r="C6" s="383">
        <f>C312</f>
        <v>68871987.739389986</v>
      </c>
      <c r="F6" s="383">
        <f>F312</f>
        <v>68767993.966582954</v>
      </c>
      <c r="G6" s="420"/>
      <c r="I6" s="383">
        <f>C6-F6</f>
        <v>103993.77280703187</v>
      </c>
      <c r="J6" s="420"/>
      <c r="L6" s="235"/>
      <c r="W6" s="19" t="s">
        <v>26</v>
      </c>
      <c r="X6" s="20">
        <v>0</v>
      </c>
      <c r="Y6" s="21">
        <f>X6/$X$10</f>
        <v>0</v>
      </c>
      <c r="AC6" s="27" t="s">
        <v>46</v>
      </c>
      <c r="AD6" s="3">
        <f>21*2+14*8+8*12+7*8</f>
        <v>306</v>
      </c>
      <c r="AH6" s="28"/>
      <c r="AJ6" s="27" t="s">
        <v>46</v>
      </c>
      <c r="AK6" s="3">
        <v>19965</v>
      </c>
      <c r="AO6" s="28"/>
    </row>
    <row r="7" spans="1:41">
      <c r="A7" s="382" t="s">
        <v>25</v>
      </c>
      <c r="C7" s="383">
        <f>C6/X10</f>
        <v>189729.9937724242</v>
      </c>
      <c r="F7" s="383">
        <f>F6/X10</f>
        <v>189443.5095498153</v>
      </c>
      <c r="I7" s="383">
        <f>C7-F7</f>
        <v>286.48422260890948</v>
      </c>
      <c r="L7" s="235"/>
      <c r="R7" s="47"/>
      <c r="W7" s="25" t="s">
        <v>30</v>
      </c>
      <c r="X7" s="18">
        <f>'Assumptions &amp; Takeoffs'!B4+'Assumptions &amp; Takeoffs'!B5</f>
        <v>218</v>
      </c>
      <c r="Y7" s="26">
        <f>X7/$X$10</f>
        <v>0.60055096418732778</v>
      </c>
      <c r="AC7" s="27" t="s">
        <v>50</v>
      </c>
      <c r="AD7" s="3">
        <f>21*4+8*6</f>
        <v>132</v>
      </c>
      <c r="AE7" s="3">
        <f>SUM(AD6:AD7)</f>
        <v>438</v>
      </c>
      <c r="AH7" s="28"/>
      <c r="AJ7" s="27" t="s">
        <v>50</v>
      </c>
      <c r="AK7" s="3">
        <f>5870+6250+6290+5915</f>
        <v>24325</v>
      </c>
      <c r="AL7" s="3">
        <f>SUM(AK6:AK7)</f>
        <v>44290</v>
      </c>
      <c r="AO7" s="28"/>
    </row>
    <row r="8" spans="1:41">
      <c r="A8" s="382" t="s">
        <v>34</v>
      </c>
      <c r="C8" s="383">
        <f>C6/'LEVEL 1.2 BUDGET'!$B$8</f>
        <v>189.95448543703159</v>
      </c>
      <c r="F8" s="383">
        <f>F6/X23</f>
        <v>189.66766224155532</v>
      </c>
      <c r="I8" s="383">
        <f>C8-F8</f>
        <v>0.28682319547627344</v>
      </c>
      <c r="R8" s="47"/>
      <c r="W8" s="25" t="s">
        <v>35</v>
      </c>
      <c r="X8" s="18">
        <f>'Assumptions &amp; Takeoffs'!B6+'Assumptions &amp; Takeoffs'!B7</f>
        <v>145</v>
      </c>
      <c r="Y8" s="26">
        <f>X8/$X$10</f>
        <v>0.39944903581267216</v>
      </c>
      <c r="AC8" s="27"/>
      <c r="AH8" s="28"/>
      <c r="AJ8" s="27"/>
      <c r="AO8" s="28"/>
    </row>
    <row r="9" spans="1:41">
      <c r="R9" s="47"/>
      <c r="W9" s="25" t="s">
        <v>39</v>
      </c>
      <c r="X9" s="18">
        <v>0</v>
      </c>
      <c r="Y9" s="26">
        <f>X9/$X$10</f>
        <v>0</v>
      </c>
      <c r="AC9" s="27" t="s">
        <v>53</v>
      </c>
      <c r="AG9" s="3" t="s">
        <v>54</v>
      </c>
      <c r="AH9" s="28">
        <f>14*8</f>
        <v>112</v>
      </c>
      <c r="AJ9" s="27" t="s">
        <v>53</v>
      </c>
      <c r="AN9" s="3" t="s">
        <v>54</v>
      </c>
      <c r="AO9" s="28">
        <f>5782+5760+8825+9150</f>
        <v>29517</v>
      </c>
    </row>
    <row r="10" spans="1:41" ht="30.75" customHeight="1" thickBot="1">
      <c r="A10" s="77" t="s">
        <v>55</v>
      </c>
      <c r="B10" s="78" t="s">
        <v>65</v>
      </c>
      <c r="C10" s="77" t="s">
        <v>66</v>
      </c>
      <c r="E10" s="78" t="s">
        <v>65</v>
      </c>
      <c r="F10" s="77" t="s">
        <v>66</v>
      </c>
      <c r="G10" s="2"/>
      <c r="H10" s="78" t="s">
        <v>875</v>
      </c>
      <c r="I10" s="77" t="s">
        <v>877</v>
      </c>
      <c r="J10" s="2"/>
      <c r="K10" s="80" t="s">
        <v>67</v>
      </c>
      <c r="L10" s="81"/>
      <c r="M10" s="81"/>
      <c r="N10" s="81"/>
      <c r="O10" s="81"/>
      <c r="P10" s="81"/>
      <c r="Q10" s="81"/>
      <c r="R10" s="81"/>
      <c r="S10" s="81"/>
      <c r="W10" s="40" t="s">
        <v>48</v>
      </c>
      <c r="X10" s="41">
        <f>SUM(X6:X9)</f>
        <v>363</v>
      </c>
      <c r="Y10" s="42">
        <f>X10/$X$10</f>
        <v>1</v>
      </c>
    </row>
    <row r="11" spans="1:41" ht="14.25" hidden="1" customHeight="1" outlineLevel="1">
      <c r="A11" s="349" t="s">
        <v>68</v>
      </c>
      <c r="B11" s="353">
        <f>VLOOKUP($A11,'LEVEL 1.2 BUDGET'!$A$13:$K$316,11,FALSE)</f>
        <v>3338816.0099946638</v>
      </c>
      <c r="C11" s="459"/>
      <c r="E11" s="353">
        <f>VLOOKUP($A11,'LEVEL 2'!$A$13:$K$317,11,FALSE)</f>
        <v>3331957.0935137458</v>
      </c>
      <c r="F11" s="430"/>
      <c r="G11" s="2"/>
      <c r="H11" s="353">
        <f>B11-E11</f>
        <v>6858.9164809179492</v>
      </c>
      <c r="I11" s="431">
        <f>H11/B11</f>
        <v>2.054296032002348E-3</v>
      </c>
      <c r="J11" s="2"/>
      <c r="K11" s="46"/>
      <c r="L11" s="46"/>
      <c r="M11" s="46"/>
      <c r="N11" s="46"/>
      <c r="O11" s="46"/>
      <c r="P11" s="46"/>
      <c r="Q11" s="46"/>
      <c r="R11" s="46"/>
      <c r="S11" s="46"/>
    </row>
    <row r="12" spans="1:41" collapsed="1">
      <c r="A12" s="347" t="s">
        <v>72</v>
      </c>
      <c r="B12" s="460"/>
      <c r="C12" s="130">
        <v>3338816.0099946638</v>
      </c>
      <c r="E12" s="110"/>
      <c r="F12" s="130">
        <f>E11</f>
        <v>3331957.0935137458</v>
      </c>
      <c r="G12" s="2"/>
      <c r="H12" s="427">
        <f>C12-F12</f>
        <v>6858.9164809179492</v>
      </c>
      <c r="I12" s="422">
        <f>H12/C12</f>
        <v>2.054296032002348E-3</v>
      </c>
      <c r="J12" s="2"/>
      <c r="K12" s="373"/>
      <c r="L12" s="373"/>
      <c r="M12" s="373"/>
      <c r="N12" s="373"/>
      <c r="O12" s="373"/>
      <c r="P12" s="373"/>
      <c r="Q12" s="373"/>
      <c r="R12" s="373"/>
      <c r="S12" s="373"/>
    </row>
    <row r="13" spans="1:41" hidden="1" outlineLevel="1">
      <c r="A13" s="111" t="s">
        <v>73</v>
      </c>
      <c r="B13" s="117">
        <f>VLOOKUP(A13,'LEVEL 1.2 BUDGET'!$A$13:$K$316,11,FALSE)</f>
        <v>16000</v>
      </c>
      <c r="C13" s="428"/>
      <c r="E13" s="117">
        <f>VLOOKUP($A13,'LEVEL 2'!$A$13:$K$317,11,FALSE)</f>
        <v>16000</v>
      </c>
      <c r="F13" s="428"/>
      <c r="G13" s="2"/>
      <c r="H13" s="443">
        <f>B13-E13</f>
        <v>0</v>
      </c>
      <c r="I13" s="429">
        <f>H13/B13</f>
        <v>0</v>
      </c>
      <c r="J13" s="2"/>
      <c r="K13" s="88"/>
      <c r="L13" s="88"/>
      <c r="M13" s="88"/>
      <c r="N13" s="88"/>
      <c r="O13" s="88"/>
      <c r="P13" s="88"/>
      <c r="Q13" s="88"/>
      <c r="R13" s="88"/>
      <c r="S13" s="88"/>
    </row>
    <row r="14" spans="1:41" collapsed="1">
      <c r="A14" s="347" t="s">
        <v>77</v>
      </c>
      <c r="B14" s="110"/>
      <c r="C14" s="130">
        <v>16000</v>
      </c>
      <c r="E14" s="110"/>
      <c r="F14" s="130">
        <f>E13</f>
        <v>16000</v>
      </c>
      <c r="G14" s="2"/>
      <c r="H14" s="427">
        <f>C14-F14</f>
        <v>0</v>
      </c>
      <c r="I14" s="422">
        <f>H14/C14</f>
        <v>0</v>
      </c>
      <c r="J14" s="2"/>
      <c r="K14" s="373"/>
      <c r="L14" s="373"/>
      <c r="M14" s="373"/>
      <c r="N14" s="373"/>
      <c r="O14" s="373"/>
      <c r="P14" s="373"/>
      <c r="Q14" s="373"/>
      <c r="R14" s="373"/>
      <c r="S14" s="373"/>
    </row>
    <row r="15" spans="1:41" ht="15.75" hidden="1" outlineLevel="1" thickBot="1">
      <c r="A15" s="111" t="s">
        <v>79</v>
      </c>
      <c r="B15" s="117">
        <f>VLOOKUP(A15,'LEVEL 1.2 BUDGET'!$A$13:$K$316,11,FALSE)</f>
        <v>2130124.3359000003</v>
      </c>
      <c r="E15" s="117">
        <f>VLOOKUP($A15,'LEVEL 2'!$A$13:$K$317,11,FALSE)</f>
        <v>2125443.3199999998</v>
      </c>
      <c r="G15" s="2"/>
      <c r="H15" s="117">
        <f t="shared" ref="H15:H23" si="0">B15-E15</f>
        <v>4681.0159000004642</v>
      </c>
      <c r="I15" s="423">
        <f>H15/B15</f>
        <v>2.19753176897192E-3</v>
      </c>
      <c r="J15" s="2"/>
      <c r="K15" s="88"/>
      <c r="L15" s="88"/>
      <c r="M15" s="88"/>
      <c r="N15" s="88"/>
      <c r="O15" s="88"/>
      <c r="P15" s="88"/>
      <c r="Q15" s="88"/>
      <c r="R15" s="88"/>
      <c r="S15" s="88"/>
      <c r="T15" s="2"/>
    </row>
    <row r="16" spans="1:41" ht="15.75" hidden="1" outlineLevel="1" thickBot="1">
      <c r="A16" s="118" t="s">
        <v>89</v>
      </c>
      <c r="B16" s="117">
        <f>VLOOKUP(A16,'LEVEL 1.2 BUDGET'!$A$13:$K$316,11,FALSE)</f>
        <v>7500</v>
      </c>
      <c r="E16" s="117">
        <f>VLOOKUP($A16,'LEVEL 2'!$A$13:$K$317,11,FALSE)</f>
        <v>7500</v>
      </c>
      <c r="G16" s="2"/>
      <c r="H16" s="117">
        <f t="shared" si="0"/>
        <v>0</v>
      </c>
      <c r="I16" s="423">
        <f>H16/B16</f>
        <v>0</v>
      </c>
      <c r="J16" s="2"/>
      <c r="K16" s="46"/>
      <c r="L16" s="46"/>
      <c r="M16" s="46"/>
      <c r="N16" s="46"/>
      <c r="O16" s="46"/>
      <c r="P16" s="46"/>
      <c r="Q16" s="46"/>
      <c r="R16" s="46"/>
      <c r="S16" s="46"/>
      <c r="T16" s="2"/>
      <c r="W16" s="1" t="s">
        <v>8</v>
      </c>
      <c r="X16" s="1"/>
    </row>
    <row r="17" spans="1:24" hidden="1" outlineLevel="1">
      <c r="A17" s="118" t="s">
        <v>92</v>
      </c>
      <c r="B17" s="117">
        <f>VLOOKUP(A17,'LEVEL 1.2 BUDGET'!$A$13:$K$316,11,FALSE)</f>
        <v>8500</v>
      </c>
      <c r="E17" s="117">
        <f>VLOOKUP($A17,'LEVEL 2'!$A$13:$K$317,11,FALSE)</f>
        <v>8500</v>
      </c>
      <c r="G17" s="2"/>
      <c r="H17" s="117">
        <f t="shared" si="0"/>
        <v>0</v>
      </c>
      <c r="I17" s="423">
        <f>H17/B17</f>
        <v>0</v>
      </c>
      <c r="J17" s="2"/>
      <c r="K17" s="46"/>
      <c r="L17" s="46"/>
      <c r="M17" s="46"/>
      <c r="N17" s="46"/>
      <c r="O17" s="46"/>
      <c r="P17" s="46"/>
      <c r="Q17" s="46"/>
      <c r="R17" s="46"/>
      <c r="S17" s="46"/>
      <c r="T17" s="2"/>
      <c r="W17" s="7" t="s">
        <v>9</v>
      </c>
      <c r="X17" s="8" t="s">
        <v>879</v>
      </c>
    </row>
    <row r="18" spans="1:24" hidden="1" outlineLevel="1">
      <c r="A18" s="118" t="s">
        <v>95</v>
      </c>
      <c r="B18" s="117">
        <f>VLOOKUP(A18,'LEVEL 1.2 BUDGET'!$A$13:$K$316,11,FALSE)</f>
        <v>70000</v>
      </c>
      <c r="E18" s="117">
        <f>VLOOKUP($A18,'LEVEL 2'!$A$13:$K$317,11,FALSE)</f>
        <v>70000</v>
      </c>
      <c r="G18" s="2"/>
      <c r="H18" s="117">
        <f t="shared" si="0"/>
        <v>0</v>
      </c>
      <c r="I18" s="423">
        <f>H18/B18</f>
        <v>0</v>
      </c>
      <c r="J18" s="2"/>
      <c r="K18" s="46"/>
      <c r="L18" s="46"/>
      <c r="M18" s="46"/>
      <c r="N18" s="46"/>
      <c r="O18" s="46"/>
      <c r="P18" s="46"/>
      <c r="Q18" s="46"/>
      <c r="R18" s="46"/>
      <c r="S18" s="46"/>
      <c r="T18" s="2"/>
      <c r="W18" s="17" t="s">
        <v>14</v>
      </c>
      <c r="X18" s="18" t="s">
        <v>880</v>
      </c>
    </row>
    <row r="19" spans="1:24" hidden="1" outlineLevel="1">
      <c r="A19" s="118" t="s">
        <v>101</v>
      </c>
      <c r="B19" s="117">
        <f>VLOOKUP(A19,'LEVEL 1.2 BUDGET'!$A$13:$K$316,11,FALSE)</f>
        <v>20200</v>
      </c>
      <c r="E19" s="117">
        <f>VLOOKUP($A19,'LEVEL 2'!$A$13:$K$317,11,FALSE)</f>
        <v>23959</v>
      </c>
      <c r="G19" s="2"/>
      <c r="H19" s="117">
        <f t="shared" si="0"/>
        <v>-3759</v>
      </c>
      <c r="I19" s="423">
        <f>H19/B19</f>
        <v>-0.18608910891089109</v>
      </c>
      <c r="J19" s="2"/>
      <c r="K19" s="46"/>
      <c r="L19" s="46"/>
      <c r="M19" s="46"/>
      <c r="N19" s="46"/>
      <c r="O19" s="46"/>
      <c r="P19" s="46"/>
      <c r="Q19" s="46"/>
      <c r="R19" s="46"/>
      <c r="S19" s="46"/>
      <c r="T19" s="2"/>
      <c r="W19" s="17" t="s">
        <v>23</v>
      </c>
      <c r="X19" s="18" t="s">
        <v>24</v>
      </c>
    </row>
    <row r="20" spans="1:24" hidden="1" outlineLevel="1">
      <c r="A20" s="118" t="s">
        <v>105</v>
      </c>
      <c r="B20" s="117">
        <f>VLOOKUP(A20,'LEVEL 1.2 BUDGET'!$A$13:$K$316,11,FALSE)</f>
        <v>0</v>
      </c>
      <c r="E20" s="117">
        <f>VLOOKUP($A20,'LEVEL 2'!$A$13:$K$317,11,FALSE)</f>
        <v>6500</v>
      </c>
      <c r="G20" s="2"/>
      <c r="H20" s="117">
        <f t="shared" ref="H20" si="1">B20-E20</f>
        <v>-6500</v>
      </c>
      <c r="I20" s="423">
        <v>0</v>
      </c>
      <c r="J20" s="2"/>
      <c r="K20" s="46"/>
      <c r="L20" s="46"/>
      <c r="M20" s="46"/>
      <c r="N20" s="46"/>
      <c r="O20" s="46"/>
      <c r="P20" s="46"/>
      <c r="Q20" s="46"/>
      <c r="R20" s="46"/>
      <c r="S20" s="46"/>
      <c r="T20" s="2"/>
      <c r="W20" s="17"/>
      <c r="X20" s="18"/>
    </row>
    <row r="21" spans="1:24" hidden="1" outlineLevel="1">
      <c r="A21" s="118" t="s">
        <v>108</v>
      </c>
      <c r="B21" s="117">
        <f>VLOOKUP(A21,'LEVEL 1.2 BUDGET'!$A$13:$K$316,11,FALSE)</f>
        <v>10000</v>
      </c>
      <c r="E21" s="117">
        <f>VLOOKUP($A21,'LEVEL 2'!$A$13:$K$317,11,FALSE)</f>
        <v>6500</v>
      </c>
      <c r="G21" s="2"/>
      <c r="H21" s="117">
        <f t="shared" si="0"/>
        <v>3500</v>
      </c>
      <c r="I21" s="425">
        <f>IF(B21=0,"n/a",H21/B21)</f>
        <v>0.35</v>
      </c>
      <c r="J21" s="2"/>
      <c r="K21" s="46"/>
      <c r="L21" s="46"/>
      <c r="M21" s="46"/>
      <c r="N21" s="46"/>
      <c r="O21" s="46"/>
      <c r="P21" s="46"/>
      <c r="Q21" s="46"/>
      <c r="R21" s="46"/>
      <c r="S21" s="46"/>
      <c r="T21" s="2"/>
      <c r="W21" s="17" t="s">
        <v>33</v>
      </c>
      <c r="X21" s="15">
        <v>30</v>
      </c>
    </row>
    <row r="22" spans="1:24" hidden="1" outlineLevel="1">
      <c r="A22" s="354" t="s">
        <v>112</v>
      </c>
      <c r="B22" s="117">
        <f>VLOOKUP(A22,'LEVEL 1.2 BUDGET'!$A$13:$K$316,11,FALSE)</f>
        <v>496015.54799999995</v>
      </c>
      <c r="E22" s="117">
        <f>VLOOKUP($A22,'LEVEL 2'!$A$13:$K$317,11,FALSE)</f>
        <v>481539.8</v>
      </c>
      <c r="G22" s="2"/>
      <c r="H22" s="117">
        <f t="shared" si="0"/>
        <v>14475.747999999963</v>
      </c>
      <c r="I22" s="423">
        <f>H22/B22</f>
        <v>2.9184060980281944E-2</v>
      </c>
      <c r="J22" s="2"/>
      <c r="K22" s="46" t="s">
        <v>965</v>
      </c>
      <c r="L22" s="46"/>
      <c r="M22" s="46"/>
      <c r="N22" s="46"/>
      <c r="O22" s="46"/>
      <c r="P22" s="46"/>
      <c r="Q22" s="46"/>
      <c r="R22" s="46"/>
      <c r="S22" s="46"/>
      <c r="T22" s="2"/>
      <c r="W22" s="17" t="s">
        <v>38</v>
      </c>
      <c r="X22" s="18">
        <v>2</v>
      </c>
    </row>
    <row r="23" spans="1:24" hidden="1" outlineLevel="1">
      <c r="A23" s="118" t="s">
        <v>117</v>
      </c>
      <c r="B23" s="117">
        <f>VLOOKUP(A23,'LEVEL 1.2 BUDGET'!$A$13:$K$316,11,FALSE)</f>
        <v>43318</v>
      </c>
      <c r="C23" s="428"/>
      <c r="E23" s="117">
        <f>VLOOKUP($A23,'LEVEL 2'!$A$13:$K$317,11,FALSE)</f>
        <v>45894.05149051491</v>
      </c>
      <c r="F23" s="428"/>
      <c r="G23" s="2"/>
      <c r="H23" s="117">
        <f t="shared" si="0"/>
        <v>-2576.0514905149103</v>
      </c>
      <c r="I23" s="429">
        <f>H23/B23</f>
        <v>-5.9468384748024156E-2</v>
      </c>
      <c r="J23" s="2"/>
      <c r="K23" s="46"/>
      <c r="L23" s="46"/>
      <c r="M23" s="46"/>
      <c r="N23" s="46"/>
      <c r="O23" s="46"/>
      <c r="P23" s="46"/>
      <c r="Q23" s="46"/>
      <c r="R23" s="46"/>
      <c r="S23" s="46"/>
      <c r="T23" s="2"/>
      <c r="W23" s="17" t="s">
        <v>42</v>
      </c>
      <c r="X23" s="15">
        <f>98509+136604+127458</f>
        <v>362571</v>
      </c>
    </row>
    <row r="24" spans="1:24" collapsed="1">
      <c r="A24" s="347" t="s">
        <v>121</v>
      </c>
      <c r="B24" s="110"/>
      <c r="C24" s="130">
        <f>SUM(B15:B23)</f>
        <v>2785657.8839000002</v>
      </c>
      <c r="E24" s="110"/>
      <c r="F24" s="130">
        <f>SUM(E15:E23)</f>
        <v>2775836.1714905147</v>
      </c>
      <c r="G24" s="2"/>
      <c r="H24" s="427">
        <f>C24-F24</f>
        <v>9821.7124094855972</v>
      </c>
      <c r="I24" s="422">
        <f>H24/C24</f>
        <v>3.5258143027007039E-3</v>
      </c>
      <c r="J24" s="2"/>
      <c r="K24" s="373"/>
      <c r="L24" s="373"/>
      <c r="M24" s="373"/>
      <c r="N24" s="373"/>
      <c r="O24" s="373"/>
      <c r="P24" s="373"/>
      <c r="Q24" s="373"/>
      <c r="R24" s="373"/>
      <c r="S24" s="373"/>
      <c r="T24" s="2"/>
      <c r="W24" s="17" t="s">
        <v>47</v>
      </c>
      <c r="X24" s="44">
        <v>17.350000000000001</v>
      </c>
    </row>
    <row r="25" spans="1:24" hidden="1" outlineLevel="1">
      <c r="A25" s="111" t="s">
        <v>124</v>
      </c>
      <c r="B25" s="117">
        <f>VLOOKUP(A25,'LEVEL 1.2 BUDGET'!$A$13:$K$316,11,FALSE)</f>
        <v>138000</v>
      </c>
      <c r="E25" s="117">
        <f>VLOOKUP($A25,'LEVEL 2'!$A$13:$K$317,11,FALSE)</f>
        <v>0</v>
      </c>
      <c r="G25" s="2"/>
      <c r="H25" s="117">
        <f>B25-E25</f>
        <v>138000</v>
      </c>
      <c r="I25" s="423">
        <f>H25/B25</f>
        <v>1</v>
      </c>
      <c r="J25" s="2"/>
      <c r="K25" s="88" t="s">
        <v>966</v>
      </c>
      <c r="L25" s="88"/>
      <c r="M25" s="88"/>
      <c r="N25" s="88"/>
      <c r="O25" s="88"/>
      <c r="P25" s="88"/>
      <c r="Q25" s="88"/>
      <c r="R25" s="88"/>
      <c r="S25" s="88"/>
      <c r="T25" s="2"/>
      <c r="W25" s="17" t="s">
        <v>51</v>
      </c>
      <c r="X25" s="15">
        <f>X24*43560</f>
        <v>755766.00000000012</v>
      </c>
    </row>
    <row r="26" spans="1:24" ht="15.75" hidden="1" outlineLevel="1" thickBot="1">
      <c r="A26" s="118" t="s">
        <v>129</v>
      </c>
      <c r="B26" s="117">
        <f>VLOOKUP(A26,'LEVEL 1.2 BUDGET'!$A$13:$K$316,11,FALSE)</f>
        <v>102200</v>
      </c>
      <c r="E26" s="117">
        <f>VLOOKUP($A26,'LEVEL 2'!$A$13:$K$317,11,FALSE)</f>
        <v>98000</v>
      </c>
      <c r="G26" s="2"/>
      <c r="H26" s="117">
        <f>B26-E26</f>
        <v>4200</v>
      </c>
      <c r="I26" s="423">
        <f>H26/B26</f>
        <v>4.1095890410958902E-2</v>
      </c>
      <c r="J26" s="2"/>
      <c r="K26" s="46"/>
      <c r="L26" s="46"/>
      <c r="M26" s="46"/>
      <c r="N26" s="46"/>
      <c r="O26" s="46"/>
      <c r="P26" s="46"/>
      <c r="Q26" s="46"/>
      <c r="R26" s="46"/>
      <c r="S26" s="46"/>
      <c r="T26" s="2"/>
      <c r="W26" s="63" t="s">
        <v>52</v>
      </c>
      <c r="X26" s="75">
        <v>3</v>
      </c>
    </row>
    <row r="27" spans="1:24" hidden="1" outlineLevel="1">
      <c r="A27" s="118" t="s">
        <v>139</v>
      </c>
      <c r="B27" s="117">
        <f>VLOOKUP(A27,'LEVEL 1.2 BUDGET'!$A$13:$K$316,11,FALSE)</f>
        <v>5000</v>
      </c>
      <c r="E27" s="117">
        <f>VLOOKUP($A27,'LEVEL 2'!$A$13:$K$317,11,FALSE)</f>
        <v>15000</v>
      </c>
      <c r="G27" s="2"/>
      <c r="H27" s="117">
        <f>B27-E27</f>
        <v>-10000</v>
      </c>
      <c r="I27" s="425">
        <f>IF(B27=0,"n/a",H27/B27)</f>
        <v>-2</v>
      </c>
      <c r="J27" s="2"/>
      <c r="K27" s="46"/>
      <c r="L27" s="46"/>
      <c r="M27" s="46"/>
      <c r="N27" s="46"/>
      <c r="O27" s="46"/>
      <c r="P27" s="46"/>
      <c r="Q27" s="46"/>
      <c r="R27" s="46"/>
      <c r="S27" s="46"/>
      <c r="T27" s="2"/>
    </row>
    <row r="28" spans="1:24" hidden="1" outlineLevel="1">
      <c r="A28" s="118" t="s">
        <v>142</v>
      </c>
      <c r="B28" s="117">
        <f>VLOOKUP(A28,'LEVEL 1.2 BUDGET'!$A$13:$K$316,11,FALSE)</f>
        <v>10000</v>
      </c>
      <c r="C28" s="432"/>
      <c r="E28" s="117">
        <f>VLOOKUP($A28,'LEVEL 2'!$A$13:$K$317,11,FALSE)</f>
        <v>15000</v>
      </c>
      <c r="F28" s="432"/>
      <c r="G28" s="2"/>
      <c r="H28" s="442">
        <f>B28-E28</f>
        <v>-5000</v>
      </c>
      <c r="I28" s="425">
        <f>IF(B28=0,"n/a",H28/B28)</f>
        <v>-0.5</v>
      </c>
      <c r="J28" s="2"/>
      <c r="K28" s="46"/>
      <c r="L28" s="46"/>
      <c r="M28" s="46"/>
      <c r="N28" s="46"/>
      <c r="O28" s="46"/>
      <c r="P28" s="46"/>
      <c r="Q28" s="46"/>
      <c r="R28" s="46"/>
      <c r="S28" s="46"/>
      <c r="T28" s="2"/>
    </row>
    <row r="29" spans="1:24" collapsed="1">
      <c r="A29" s="347" t="s">
        <v>146</v>
      </c>
      <c r="B29" s="110"/>
      <c r="C29" s="130">
        <f>SUM(B25:B28)</f>
        <v>255200</v>
      </c>
      <c r="E29" s="110"/>
      <c r="F29" s="130">
        <f>SUM(E25:E28)</f>
        <v>128000</v>
      </c>
      <c r="G29" s="2"/>
      <c r="H29" s="427">
        <f>C29-F29</f>
        <v>127200</v>
      </c>
      <c r="I29" s="422">
        <f>H29/C29</f>
        <v>0.49843260188087773</v>
      </c>
      <c r="J29" s="2"/>
      <c r="K29" s="373"/>
      <c r="L29" s="373"/>
      <c r="M29" s="373"/>
      <c r="N29" s="373"/>
      <c r="O29" s="373"/>
      <c r="P29" s="373"/>
      <c r="Q29" s="373"/>
      <c r="R29" s="373"/>
      <c r="S29" s="373"/>
      <c r="T29" s="2"/>
    </row>
    <row r="30" spans="1:24" hidden="1" outlineLevel="1">
      <c r="A30" s="111" t="s">
        <v>128</v>
      </c>
      <c r="B30" s="117">
        <f>VLOOKUP(A30,'LEVEL 1.2 BUDGET'!$A$13:$K$316,11,FALSE)</f>
        <v>150000</v>
      </c>
      <c r="E30" s="117">
        <f>VLOOKUP($A30,'LEVEL 2'!$A$13:$K$317,11,FALSE)</f>
        <v>150000</v>
      </c>
      <c r="G30" s="2"/>
      <c r="H30" s="117">
        <f t="shared" ref="H30:H35" si="2">B30-E30</f>
        <v>0</v>
      </c>
      <c r="I30" s="425">
        <f>IF(B30=0,"n/a",H30/B30)</f>
        <v>0</v>
      </c>
      <c r="J30" s="2"/>
      <c r="K30" s="444"/>
      <c r="L30" s="88"/>
      <c r="M30" s="88"/>
      <c r="N30" s="88"/>
      <c r="O30" s="88"/>
      <c r="P30" s="88"/>
      <c r="Q30" s="88"/>
      <c r="R30" s="88"/>
      <c r="S30" s="88"/>
      <c r="T30" s="2"/>
    </row>
    <row r="31" spans="1:24" hidden="1" outlineLevel="1">
      <c r="A31" s="118" t="s">
        <v>151</v>
      </c>
      <c r="B31" s="117">
        <f>VLOOKUP(A31,'LEVEL 1.2 BUDGET'!$A$13:$K$316,11,FALSE)</f>
        <v>24540</v>
      </c>
      <c r="E31" s="117">
        <f>VLOOKUP($A31,'LEVEL 2'!$A$13:$K$317,11,FALSE)</f>
        <v>25500</v>
      </c>
      <c r="G31" s="2"/>
      <c r="H31" s="117">
        <f t="shared" si="2"/>
        <v>-960</v>
      </c>
      <c r="I31" s="423">
        <f>H31/B31</f>
        <v>-3.9119804400977995E-2</v>
      </c>
      <c r="J31" s="2"/>
      <c r="K31" s="46"/>
      <c r="L31" s="46"/>
      <c r="M31" s="46"/>
      <c r="N31" s="46"/>
      <c r="O31" s="46"/>
      <c r="P31" s="46"/>
      <c r="Q31" s="46"/>
      <c r="R31" s="46"/>
      <c r="S31" s="46"/>
      <c r="T31" s="2"/>
    </row>
    <row r="32" spans="1:24" hidden="1" outlineLevel="1">
      <c r="A32" s="118" t="s">
        <v>154</v>
      </c>
      <c r="B32" s="117">
        <f>VLOOKUP(A32,'LEVEL 1.2 BUDGET'!$A$13:$K$316,11,FALSE)</f>
        <v>45000</v>
      </c>
      <c r="E32" s="117">
        <f>VLOOKUP($A32,'LEVEL 2'!$A$13:$K$317,11,FALSE)</f>
        <v>57000</v>
      </c>
      <c r="G32" s="2"/>
      <c r="H32" s="117">
        <f t="shared" si="2"/>
        <v>-12000</v>
      </c>
      <c r="I32" s="423">
        <f>H32/B32</f>
        <v>-0.26666666666666666</v>
      </c>
      <c r="J32" s="2"/>
      <c r="K32" s="46"/>
      <c r="L32" s="46"/>
      <c r="M32" s="46"/>
      <c r="N32" s="46"/>
      <c r="O32" s="46"/>
      <c r="P32" s="46"/>
      <c r="Q32" s="46"/>
      <c r="R32" s="46"/>
      <c r="S32" s="46"/>
      <c r="T32" s="2"/>
    </row>
    <row r="33" spans="1:23" hidden="1" outlineLevel="1">
      <c r="A33" s="118" t="s">
        <v>164</v>
      </c>
      <c r="B33" s="117">
        <f>VLOOKUP(A33,'LEVEL 1.2 BUDGET'!$A$13:$K$316,11,FALSE)</f>
        <v>1950</v>
      </c>
      <c r="E33" s="117">
        <f>VLOOKUP($A33,'LEVEL 2'!$A$13:$K$317,11,FALSE)</f>
        <v>1950</v>
      </c>
      <c r="G33" s="2"/>
      <c r="H33" s="117">
        <f t="shared" si="2"/>
        <v>0</v>
      </c>
      <c r="I33" s="423">
        <f>H33/B33</f>
        <v>0</v>
      </c>
      <c r="J33" s="2"/>
      <c r="K33" s="46"/>
      <c r="L33" s="46"/>
      <c r="M33" s="46"/>
      <c r="N33" s="46"/>
      <c r="O33" s="46"/>
      <c r="P33" s="46"/>
      <c r="Q33" s="46"/>
      <c r="R33" s="46"/>
      <c r="S33" s="46"/>
      <c r="T33" s="2"/>
    </row>
    <row r="34" spans="1:23" hidden="1" outlineLevel="1">
      <c r="A34" s="118" t="s">
        <v>167</v>
      </c>
      <c r="B34" s="117">
        <f>VLOOKUP(A34,'LEVEL 1.2 BUDGET'!$A$13:$K$316,11,FALSE)</f>
        <v>238464</v>
      </c>
      <c r="E34" s="117">
        <f>VLOOKUP($A34,'LEVEL 2'!$A$13:$K$317,11,FALSE)</f>
        <v>240037.5</v>
      </c>
      <c r="G34" s="2"/>
      <c r="H34" s="117">
        <f t="shared" si="2"/>
        <v>-1573.5</v>
      </c>
      <c r="I34" s="423">
        <f>H34/B34</f>
        <v>-6.5984802737520127E-3</v>
      </c>
      <c r="J34" s="2"/>
      <c r="K34" s="46"/>
      <c r="L34" s="46"/>
      <c r="M34" s="46"/>
      <c r="N34" s="46"/>
      <c r="O34" s="46"/>
      <c r="P34" s="46"/>
      <c r="Q34" s="46"/>
      <c r="R34" s="46"/>
      <c r="S34" s="46"/>
      <c r="T34" s="2"/>
    </row>
    <row r="35" spans="1:23" hidden="1" outlineLevel="1">
      <c r="A35" s="118" t="s">
        <v>171</v>
      </c>
      <c r="B35" s="117">
        <f>VLOOKUP(A35,'LEVEL 1.2 BUDGET'!$A$13:$K$316,11,FALSE)</f>
        <v>0</v>
      </c>
      <c r="C35" s="433"/>
      <c r="E35" s="117">
        <f>VLOOKUP($A35,'LEVEL 2'!$A$13:$K$317,11,FALSE)</f>
        <v>0</v>
      </c>
      <c r="F35" s="433"/>
      <c r="G35" s="2"/>
      <c r="H35" s="442">
        <f t="shared" si="2"/>
        <v>0</v>
      </c>
      <c r="I35" s="434" t="str">
        <f>IF(B35=0,"n/a",H35/B35)</f>
        <v>n/a</v>
      </c>
      <c r="J35" s="2"/>
      <c r="K35" s="46"/>
      <c r="L35" s="46"/>
      <c r="M35" s="46"/>
      <c r="N35" s="46"/>
      <c r="O35" s="46"/>
      <c r="P35" s="46"/>
      <c r="Q35" s="46"/>
      <c r="R35" s="46"/>
      <c r="S35" s="46"/>
      <c r="T35" s="2"/>
    </row>
    <row r="36" spans="1:23" collapsed="1">
      <c r="A36" s="347" t="s">
        <v>175</v>
      </c>
      <c r="B36" s="110"/>
      <c r="C36" s="130">
        <f>SUM(B30:B35)</f>
        <v>459954</v>
      </c>
      <c r="E36" s="110"/>
      <c r="F36" s="130">
        <f>SUM(E30:E35)</f>
        <v>474487.5</v>
      </c>
      <c r="G36" s="2"/>
      <c r="H36" s="427">
        <f>C36-F36</f>
        <v>-14533.5</v>
      </c>
      <c r="I36" s="422">
        <f>H36/C36</f>
        <v>-3.1597724989890295E-2</v>
      </c>
      <c r="J36" s="2"/>
      <c r="K36" s="373"/>
      <c r="L36" s="373"/>
      <c r="M36" s="373"/>
      <c r="N36" s="373"/>
      <c r="O36" s="373"/>
      <c r="P36" s="373"/>
      <c r="Q36" s="373"/>
      <c r="R36" s="373"/>
      <c r="S36" s="373"/>
      <c r="T36" s="2"/>
      <c r="U36" s="229"/>
      <c r="V36" s="438"/>
      <c r="W36" s="441"/>
    </row>
    <row r="37" spans="1:23" hidden="1" outlineLevel="1">
      <c r="A37" s="118" t="s">
        <v>178</v>
      </c>
      <c r="B37" s="117">
        <f>VLOOKUP(A37,'LEVEL 1.2 BUDGET'!$A$13:$K$316,11,FALSE)</f>
        <v>6772826.2800000003</v>
      </c>
      <c r="E37" s="117">
        <f>VLOOKUP($A37,'LEVEL 2'!$A$13:$K$317,11,FALSE)</f>
        <v>6772826.2800000003</v>
      </c>
      <c r="G37" s="2"/>
      <c r="H37" s="117">
        <f t="shared" ref="H37:H49" si="3">B37-E37</f>
        <v>0</v>
      </c>
      <c r="I37" s="423">
        <f>H37/B37</f>
        <v>0</v>
      </c>
      <c r="J37" s="2"/>
      <c r="K37" s="440"/>
      <c r="L37" s="46"/>
      <c r="M37" s="46"/>
      <c r="N37" s="46"/>
      <c r="O37" s="46"/>
      <c r="P37" s="46"/>
      <c r="Q37" s="46"/>
      <c r="R37" s="46"/>
      <c r="S37" s="46"/>
      <c r="T37" s="2"/>
      <c r="U37" s="229"/>
    </row>
    <row r="38" spans="1:23" hidden="1" outlineLevel="1">
      <c r="A38" s="118" t="s">
        <v>183</v>
      </c>
      <c r="B38" s="117">
        <f>VLOOKUP(A38,'LEVEL 1.2 BUDGET'!$A$13:$K$316,11,FALSE)</f>
        <v>11208</v>
      </c>
      <c r="E38" s="117">
        <f>VLOOKUP($A38,'LEVEL 2'!$A$13:$K$317,11,FALSE)</f>
        <v>11208</v>
      </c>
      <c r="G38" s="2"/>
      <c r="H38" s="117">
        <f t="shared" si="3"/>
        <v>0</v>
      </c>
      <c r="I38" s="425">
        <f>IF(B38=0,"n/a",H38/B38)</f>
        <v>0</v>
      </c>
      <c r="J38" s="2"/>
      <c r="K38" s="46"/>
      <c r="L38" s="46"/>
      <c r="M38" s="46"/>
      <c r="N38" s="46"/>
      <c r="O38" s="46"/>
      <c r="P38" s="46"/>
      <c r="Q38" s="46"/>
      <c r="R38" s="46"/>
      <c r="S38" s="46"/>
      <c r="T38" s="2"/>
    </row>
    <row r="39" spans="1:23" hidden="1" outlineLevel="1">
      <c r="A39" s="118" t="s">
        <v>187</v>
      </c>
      <c r="B39" s="117">
        <f>VLOOKUP(A39,'LEVEL 1.2 BUDGET'!$A$13:$K$316,11,FALSE)</f>
        <v>0</v>
      </c>
      <c r="E39" s="117">
        <f>VLOOKUP($A39,'LEVEL 2'!$A$13:$K$317,11,FALSE)</f>
        <v>0</v>
      </c>
      <c r="G39" s="2"/>
      <c r="H39" s="117">
        <f t="shared" si="3"/>
        <v>0</v>
      </c>
      <c r="I39" s="425" t="str">
        <f>IF(B39=0,"n/a",H39/B39)</f>
        <v>n/a</v>
      </c>
      <c r="J39" s="2"/>
      <c r="K39" s="46"/>
      <c r="L39" s="46"/>
      <c r="M39" s="46"/>
      <c r="N39" s="46"/>
      <c r="O39" s="46"/>
      <c r="P39" s="46"/>
      <c r="Q39" s="46"/>
      <c r="R39" s="46"/>
      <c r="S39" s="46"/>
      <c r="T39" s="2"/>
    </row>
    <row r="40" spans="1:23" hidden="1" outlineLevel="1">
      <c r="A40" s="118" t="s">
        <v>189</v>
      </c>
      <c r="B40" s="117">
        <f>VLOOKUP(A40,'LEVEL 1.2 BUDGET'!$A$13:$K$316,11,FALSE)</f>
        <v>0</v>
      </c>
      <c r="E40" s="117">
        <f>VLOOKUP($A40,'LEVEL 2'!$A$13:$K$317,11,FALSE)</f>
        <v>0</v>
      </c>
      <c r="G40" s="2"/>
      <c r="H40" s="117">
        <f t="shared" si="3"/>
        <v>0</v>
      </c>
      <c r="I40" s="425" t="str">
        <f>IF(B40=0,"n/a",H40/B40)</f>
        <v>n/a</v>
      </c>
      <c r="J40" s="2"/>
      <c r="K40" s="46"/>
      <c r="L40" s="46"/>
      <c r="M40" s="46"/>
      <c r="N40" s="46"/>
      <c r="O40" s="46"/>
      <c r="P40" s="46"/>
      <c r="Q40" s="46"/>
      <c r="R40" s="46"/>
      <c r="S40" s="46"/>
      <c r="T40" s="2"/>
    </row>
    <row r="41" spans="1:23" hidden="1" outlineLevel="1">
      <c r="A41" s="118" t="s">
        <v>192</v>
      </c>
      <c r="B41" s="117">
        <f>VLOOKUP(A41,'LEVEL 1.2 BUDGET'!$A$13:$K$316,11,FALSE)</f>
        <v>10000</v>
      </c>
      <c r="E41" s="117">
        <f>VLOOKUP($A41,'LEVEL 2'!$A$13:$K$317,11,FALSE)</f>
        <v>10000</v>
      </c>
      <c r="G41" s="2"/>
      <c r="H41" s="117">
        <f t="shared" si="3"/>
        <v>0</v>
      </c>
      <c r="I41" s="423">
        <f>H41/B41</f>
        <v>0</v>
      </c>
      <c r="J41" s="2"/>
      <c r="K41" s="46"/>
      <c r="L41" s="46"/>
      <c r="M41" s="46"/>
      <c r="N41" s="46"/>
      <c r="O41" s="46"/>
      <c r="P41" s="46"/>
      <c r="Q41" s="46"/>
      <c r="R41" s="46"/>
      <c r="S41" s="46"/>
      <c r="T41" s="2"/>
    </row>
    <row r="42" spans="1:23" hidden="1" outlineLevel="1">
      <c r="A42" s="118" t="s">
        <v>195</v>
      </c>
      <c r="B42" s="117">
        <f>VLOOKUP(A42,'LEVEL 1.2 BUDGET'!$A$13:$K$316,11,FALSE)</f>
        <v>0</v>
      </c>
      <c r="E42" s="117">
        <f>VLOOKUP($A42,'LEVEL 2'!$A$13:$K$317,11,FALSE)</f>
        <v>0</v>
      </c>
      <c r="G42" s="2"/>
      <c r="H42" s="117">
        <f t="shared" si="3"/>
        <v>0</v>
      </c>
      <c r="I42" s="425" t="str">
        <f>IF(B42=0,"n/a",H42/B42)</f>
        <v>n/a</v>
      </c>
      <c r="J42" s="2"/>
      <c r="K42" s="46"/>
      <c r="L42" s="46"/>
      <c r="M42" s="46"/>
      <c r="N42" s="46"/>
      <c r="O42" s="46"/>
      <c r="P42" s="46"/>
      <c r="Q42" s="46"/>
      <c r="R42" s="46"/>
      <c r="S42" s="46"/>
      <c r="T42" s="2"/>
    </row>
    <row r="43" spans="1:23" hidden="1" outlineLevel="1">
      <c r="A43" s="118" t="s">
        <v>198</v>
      </c>
      <c r="B43" s="117">
        <f>VLOOKUP(A43,'LEVEL 1.2 BUDGET'!$A$13:$K$316,11,FALSE)</f>
        <v>0</v>
      </c>
      <c r="E43" s="117">
        <f>VLOOKUP($A43,'LEVEL 2'!$A$13:$K$317,11,FALSE)</f>
        <v>0</v>
      </c>
      <c r="G43" s="2"/>
      <c r="H43" s="117">
        <f t="shared" si="3"/>
        <v>0</v>
      </c>
      <c r="I43" s="425" t="str">
        <f>IF(B43=0,"n/a",H43/B43)</f>
        <v>n/a</v>
      </c>
      <c r="J43" s="2"/>
      <c r="K43" s="46"/>
      <c r="L43" s="46"/>
      <c r="M43" s="46"/>
      <c r="N43" s="46"/>
      <c r="O43" s="46"/>
      <c r="P43" s="46"/>
      <c r="Q43" s="46"/>
      <c r="R43" s="46"/>
      <c r="S43" s="46"/>
      <c r="T43" s="2"/>
    </row>
    <row r="44" spans="1:23" hidden="1" outlineLevel="1">
      <c r="A44" s="118" t="s">
        <v>201</v>
      </c>
      <c r="B44" s="117">
        <f>VLOOKUP(A44,'LEVEL 1.2 BUDGET'!$A$13:$K$316,11,FALSE)</f>
        <v>0</v>
      </c>
      <c r="E44" s="117">
        <f>VLOOKUP($A44,'LEVEL 2'!$A$13:$K$317,11,FALSE)</f>
        <v>0</v>
      </c>
      <c r="G44" s="2"/>
      <c r="H44" s="117">
        <f t="shared" si="3"/>
        <v>0</v>
      </c>
      <c r="I44" s="425" t="str">
        <f>IF(B44=0,"n/a",H44/B44)</f>
        <v>n/a</v>
      </c>
      <c r="J44" s="2"/>
      <c r="K44" s="46"/>
      <c r="L44" s="46"/>
      <c r="M44" s="46"/>
      <c r="N44" s="46"/>
      <c r="O44" s="46"/>
      <c r="P44" s="46"/>
      <c r="Q44" s="46"/>
      <c r="R44" s="46"/>
      <c r="S44" s="46"/>
      <c r="T44" s="2"/>
    </row>
    <row r="45" spans="1:23" hidden="1" outlineLevel="1">
      <c r="A45" s="137" t="s">
        <v>203</v>
      </c>
      <c r="B45" s="117">
        <f>VLOOKUP(A45,'LEVEL 1.2 BUDGET'!$A$13:$K$316,11,FALSE)</f>
        <v>1125300</v>
      </c>
      <c r="E45" s="117">
        <f>VLOOKUP($A45,'LEVEL 2'!$A$13:$K$317,11,FALSE)</f>
        <v>1281767.3537842105</v>
      </c>
      <c r="G45" s="2"/>
      <c r="H45" s="117">
        <f t="shared" si="3"/>
        <v>-156467.35378421051</v>
      </c>
      <c r="I45" s="423">
        <f>H45/B45</f>
        <v>-0.13904501358234295</v>
      </c>
      <c r="J45" s="2"/>
      <c r="K45" s="46" t="s">
        <v>209</v>
      </c>
      <c r="L45" s="46"/>
      <c r="M45" s="46"/>
      <c r="N45" s="46"/>
      <c r="O45" s="46"/>
      <c r="P45" s="46"/>
      <c r="Q45" s="46"/>
      <c r="R45" s="46"/>
      <c r="S45" s="46"/>
      <c r="T45" s="2"/>
    </row>
    <row r="46" spans="1:23" hidden="1" outlineLevel="1">
      <c r="A46" s="118" t="s">
        <v>208</v>
      </c>
      <c r="B46" s="117">
        <f>VLOOKUP(A46,'LEVEL 1.2 BUDGET'!$A$13:$K$316,11,FALSE)</f>
        <v>398828.10000000003</v>
      </c>
      <c r="E46" s="117">
        <f>VLOOKUP($A46,'LEVEL 2'!$A$13:$K$317,11,FALSE)</f>
        <v>430736.13602035778</v>
      </c>
      <c r="G46" s="2"/>
      <c r="H46" s="117">
        <f t="shared" si="3"/>
        <v>-31908.036020357744</v>
      </c>
      <c r="I46" s="423">
        <f>H46/B46</f>
        <v>-8.0004483185507097E-2</v>
      </c>
      <c r="J46" s="2"/>
      <c r="K46" s="46" t="s">
        <v>209</v>
      </c>
      <c r="L46" s="46"/>
      <c r="M46" s="46"/>
      <c r="N46" s="46"/>
      <c r="O46" s="46"/>
      <c r="P46" s="46"/>
      <c r="Q46" s="46"/>
      <c r="R46" s="46"/>
      <c r="S46" s="46"/>
      <c r="T46" s="2"/>
      <c r="V46" s="229">
        <v>920930.34</v>
      </c>
    </row>
    <row r="47" spans="1:23" hidden="1" outlineLevel="1">
      <c r="A47" s="118" t="s">
        <v>211</v>
      </c>
      <c r="B47" s="117">
        <f>VLOOKUP(A47,'LEVEL 1.2 BUDGET'!$A$13:$K$316,11,FALSE)</f>
        <v>4000</v>
      </c>
      <c r="E47" s="117">
        <f>VLOOKUP($A47,'LEVEL 2'!$A$13:$K$317,11,FALSE)</f>
        <v>4000</v>
      </c>
      <c r="G47" s="2"/>
      <c r="H47" s="117">
        <f t="shared" si="3"/>
        <v>0</v>
      </c>
      <c r="I47" s="425">
        <f>IF(B47=0,"n/a",H47/B47)</f>
        <v>0</v>
      </c>
      <c r="J47" s="2"/>
      <c r="K47" s="46"/>
      <c r="L47" s="46"/>
      <c r="M47" s="46"/>
      <c r="N47" s="46"/>
      <c r="O47" s="46"/>
      <c r="P47" s="46"/>
      <c r="Q47" s="46"/>
      <c r="R47" s="46"/>
      <c r="S47" s="46"/>
      <c r="T47" s="2"/>
      <c r="V47" s="182">
        <f>E51</f>
        <v>906427.5</v>
      </c>
    </row>
    <row r="48" spans="1:23" hidden="1" outlineLevel="1">
      <c r="A48" s="118" t="s">
        <v>214</v>
      </c>
      <c r="B48" s="117">
        <f>VLOOKUP(A48,'LEVEL 1.2 BUDGET'!$A$13:$K$316,11,FALSE)</f>
        <v>5000</v>
      </c>
      <c r="E48" s="117">
        <f>VLOOKUP($A48,'LEVEL 2'!$A$13:$K$317,11,FALSE)</f>
        <v>5000</v>
      </c>
      <c r="G48" s="2"/>
      <c r="H48" s="117">
        <f t="shared" si="3"/>
        <v>0</v>
      </c>
      <c r="I48" s="423">
        <f>H48/B48</f>
        <v>0</v>
      </c>
      <c r="J48" s="2"/>
      <c r="K48" s="46"/>
      <c r="L48" s="46"/>
      <c r="M48" s="46"/>
      <c r="N48" s="46"/>
      <c r="O48" s="46"/>
      <c r="P48" s="46"/>
      <c r="Q48" s="46"/>
      <c r="R48" s="46"/>
      <c r="S48" s="46"/>
      <c r="T48" s="2"/>
      <c r="V48" s="230">
        <f>V47-V46</f>
        <v>-14502.839999999967</v>
      </c>
    </row>
    <row r="49" spans="1:22" hidden="1" outlineLevel="1">
      <c r="A49" s="118" t="s">
        <v>217</v>
      </c>
      <c r="B49" s="117">
        <f>VLOOKUP(A49,'LEVEL 1.2 BUDGET'!$A$13:$K$316,11,FALSE)</f>
        <v>0</v>
      </c>
      <c r="C49" s="360"/>
      <c r="E49" s="117">
        <f>VLOOKUP($A49,'LEVEL 2'!$A$13:$K$317,11,FALSE)</f>
        <v>0</v>
      </c>
      <c r="F49" s="360"/>
      <c r="G49" s="2"/>
      <c r="H49" s="95">
        <f t="shared" si="3"/>
        <v>0</v>
      </c>
      <c r="I49" s="425" t="str">
        <f>IF(B49=0,"n/a",H49/B49)</f>
        <v>n/a</v>
      </c>
      <c r="J49" s="2"/>
      <c r="K49" s="46"/>
      <c r="L49" s="46"/>
      <c r="M49" s="46"/>
      <c r="N49" s="46"/>
      <c r="O49" s="46"/>
      <c r="P49" s="46"/>
      <c r="Q49" s="46"/>
      <c r="R49" s="46"/>
      <c r="S49" s="46"/>
      <c r="T49" s="2"/>
    </row>
    <row r="50" spans="1:22" collapsed="1">
      <c r="A50" s="347" t="s">
        <v>220</v>
      </c>
      <c r="B50" s="110"/>
      <c r="C50" s="445">
        <f>SUM(B37:B49)</f>
        <v>8327162.3799999999</v>
      </c>
      <c r="E50" s="110"/>
      <c r="F50" s="445">
        <f>SUM(E37:E49)</f>
        <v>8515537.769804569</v>
      </c>
      <c r="G50" s="2"/>
      <c r="H50" s="448">
        <f>C50-F50</f>
        <v>-188375.38980456907</v>
      </c>
      <c r="I50" s="446">
        <f>H50/C50</f>
        <v>-2.2621798544124112E-2</v>
      </c>
      <c r="J50" s="2"/>
      <c r="K50" s="373"/>
      <c r="L50" s="373"/>
      <c r="M50" s="373"/>
      <c r="N50" s="373"/>
      <c r="O50" s="373"/>
      <c r="P50" s="373"/>
      <c r="Q50" s="373"/>
      <c r="R50" s="373"/>
      <c r="S50" s="373"/>
      <c r="T50" s="2"/>
      <c r="V50" s="3">
        <v>2.33</v>
      </c>
    </row>
    <row r="51" spans="1:22" hidden="1" outlineLevel="1">
      <c r="A51" s="111" t="s">
        <v>223</v>
      </c>
      <c r="B51" s="117">
        <f>VLOOKUP(A51,'LEVEL 1.2 BUDGET'!$A$13:$K$316,11,FALSE)</f>
        <v>906427.5</v>
      </c>
      <c r="E51" s="117">
        <f>VLOOKUP($A51,'LEVEL 2'!$A$13:$K$317,11,FALSE)</f>
        <v>906427.5</v>
      </c>
      <c r="G51" s="2"/>
      <c r="H51" s="117">
        <f t="shared" ref="H51:H63" si="4">B51-E51</f>
        <v>0</v>
      </c>
      <c r="I51" s="423">
        <f>H51/B51</f>
        <v>0</v>
      </c>
      <c r="J51" s="2"/>
      <c r="K51" s="46"/>
      <c r="L51" s="88"/>
      <c r="M51" s="88"/>
      <c r="N51" s="88"/>
      <c r="O51" s="88"/>
      <c r="P51" s="88"/>
      <c r="Q51" s="88"/>
      <c r="R51" s="88"/>
      <c r="S51" s="88"/>
      <c r="T51" s="2"/>
      <c r="V51" s="3">
        <v>2.59</v>
      </c>
    </row>
    <row r="52" spans="1:22" hidden="1" outlineLevel="1">
      <c r="A52" s="111" t="s">
        <v>229</v>
      </c>
      <c r="B52" s="117">
        <f>VLOOKUP(A52,'LEVEL 1.2 BUDGET'!$A$13:$K$316,11,FALSE)</f>
        <v>2000</v>
      </c>
      <c r="E52" s="117">
        <f>VLOOKUP($A52,'LEVEL 2'!$A$13:$K$317,11,FALSE)</f>
        <v>2000</v>
      </c>
      <c r="G52" s="2"/>
      <c r="H52" s="117">
        <f t="shared" si="4"/>
        <v>0</v>
      </c>
      <c r="I52" s="425">
        <f>IF(B52=0,"n/a",H52/B52)</f>
        <v>0</v>
      </c>
      <c r="J52" s="2"/>
      <c r="K52" s="46"/>
      <c r="L52" s="88"/>
      <c r="M52" s="88"/>
      <c r="N52" s="88"/>
      <c r="O52" s="88"/>
      <c r="P52" s="88"/>
      <c r="Q52" s="88"/>
      <c r="R52" s="88"/>
      <c r="S52" s="88"/>
      <c r="T52" s="2"/>
      <c r="V52" s="3">
        <v>2.7</v>
      </c>
    </row>
    <row r="53" spans="1:22" hidden="1" outlineLevel="1">
      <c r="A53" s="118" t="s">
        <v>153</v>
      </c>
      <c r="B53" s="138">
        <f>VLOOKUP(A53,'LEVEL 1.2 BUDGET'!$A$13:$K$316,11,FALSE)</f>
        <v>1071280.2123</v>
      </c>
      <c r="E53" s="138">
        <f>VLOOKUP($A53,'LEVEL 2'!$A$13:$K$317,11,FALSE)</f>
        <v>1277484.2799999998</v>
      </c>
      <c r="G53" s="2"/>
      <c r="H53" s="138">
        <f t="shared" si="4"/>
        <v>-206204.06769999978</v>
      </c>
      <c r="I53" s="423">
        <f>H53/B53</f>
        <v>-0.19248378279786116</v>
      </c>
      <c r="J53" s="2"/>
      <c r="K53" s="46" t="s">
        <v>967</v>
      </c>
      <c r="L53" s="46"/>
      <c r="M53" s="46"/>
      <c r="N53" s="46"/>
      <c r="O53" s="46"/>
      <c r="P53" s="46"/>
      <c r="Q53" s="46"/>
      <c r="R53" s="46"/>
      <c r="S53" s="46"/>
      <c r="T53" s="2"/>
    </row>
    <row r="54" spans="1:22" hidden="1" outlineLevel="1">
      <c r="A54" s="118" t="s">
        <v>236</v>
      </c>
      <c r="B54" s="138">
        <f>VLOOKUP(A54,'LEVEL 1.2 BUDGET'!$A$13:$K$316,11,FALSE)</f>
        <v>10000</v>
      </c>
      <c r="E54" s="138">
        <f>VLOOKUP($A54,'LEVEL 2'!$A$13:$K$317,11,FALSE)</f>
        <v>10000</v>
      </c>
      <c r="G54" s="2"/>
      <c r="H54" s="138">
        <f t="shared" si="4"/>
        <v>0</v>
      </c>
      <c r="I54" s="425">
        <f>IF(B54=0,"n/a",H54/B54)</f>
        <v>0</v>
      </c>
      <c r="J54" s="2"/>
      <c r="K54" s="46"/>
      <c r="L54" s="46"/>
      <c r="M54" s="46"/>
      <c r="N54" s="46"/>
      <c r="O54" s="46"/>
      <c r="P54" s="46"/>
      <c r="Q54" s="46"/>
      <c r="R54" s="46"/>
      <c r="S54" s="46"/>
      <c r="T54" s="2"/>
    </row>
    <row r="55" spans="1:22" hidden="1" outlineLevel="1">
      <c r="A55" s="118" t="s">
        <v>239</v>
      </c>
      <c r="B55" s="138">
        <f>VLOOKUP(A55,'LEVEL 1.2 BUDGET'!$A$13:$K$316,11,FALSE)</f>
        <v>0</v>
      </c>
      <c r="E55" s="138">
        <f>VLOOKUP($A55,'LEVEL 2'!$A$13:$K$317,11,FALSE)</f>
        <v>0</v>
      </c>
      <c r="G55" s="2"/>
      <c r="H55" s="138">
        <f t="shared" si="4"/>
        <v>0</v>
      </c>
      <c r="I55" s="425" t="str">
        <f>IF(B55=0,"n/a",H55/B55)</f>
        <v>n/a</v>
      </c>
      <c r="J55" s="2"/>
      <c r="K55" s="46"/>
      <c r="L55" s="46"/>
      <c r="M55" s="46"/>
      <c r="N55" s="46"/>
      <c r="O55" s="46"/>
      <c r="P55" s="46"/>
      <c r="Q55" s="46"/>
      <c r="R55" s="46"/>
      <c r="S55" s="46"/>
      <c r="T55" s="2"/>
    </row>
    <row r="56" spans="1:22" hidden="1" outlineLevel="1">
      <c r="A56" s="118" t="s">
        <v>244</v>
      </c>
      <c r="B56" s="138">
        <f>VLOOKUP(A56,'LEVEL 1.2 BUDGET'!$A$13:$K$316,11,FALSE)</f>
        <v>7500</v>
      </c>
      <c r="E56" s="138">
        <f>VLOOKUP($A56,'LEVEL 2'!$A$13:$K$317,11,FALSE)</f>
        <v>7500</v>
      </c>
      <c r="G56" s="2"/>
      <c r="H56" s="138">
        <f t="shared" si="4"/>
        <v>0</v>
      </c>
      <c r="I56" s="423">
        <f>H56/B56</f>
        <v>0</v>
      </c>
      <c r="J56" s="2"/>
      <c r="K56" s="46"/>
      <c r="L56" s="46"/>
      <c r="M56" s="46"/>
      <c r="N56" s="46"/>
      <c r="O56" s="46"/>
      <c r="P56" s="46"/>
      <c r="Q56" s="46"/>
      <c r="R56" s="46"/>
      <c r="S56" s="46"/>
      <c r="T56" s="2"/>
    </row>
    <row r="57" spans="1:22" hidden="1" outlineLevel="1">
      <c r="A57" s="118" t="s">
        <v>246</v>
      </c>
      <c r="B57" s="138">
        <f>VLOOKUP(A57,'LEVEL 1.2 BUDGET'!$A$13:$K$316,11,FALSE)</f>
        <v>7500</v>
      </c>
      <c r="E57" s="138">
        <f>VLOOKUP($A57,'LEVEL 2'!$A$13:$K$317,11,FALSE)</f>
        <v>7500</v>
      </c>
      <c r="G57" s="2"/>
      <c r="H57" s="138">
        <f t="shared" si="4"/>
        <v>0</v>
      </c>
      <c r="I57" s="425">
        <f>IF(B57=0,"n/a",H57/B57)</f>
        <v>0</v>
      </c>
      <c r="J57" s="2"/>
      <c r="K57" s="46"/>
      <c r="L57" s="46"/>
      <c r="M57" s="46"/>
      <c r="N57" s="46"/>
      <c r="O57" s="46"/>
      <c r="P57" s="46"/>
      <c r="Q57" s="46"/>
      <c r="R57" s="46"/>
      <c r="S57" s="46"/>
      <c r="T57" s="2"/>
    </row>
    <row r="58" spans="1:22" hidden="1" outlineLevel="1">
      <c r="A58" s="118" t="s">
        <v>249</v>
      </c>
      <c r="B58" s="138">
        <f>VLOOKUP(A58,'LEVEL 1.2 BUDGET'!$A$13:$K$316,11,FALSE)</f>
        <v>81200</v>
      </c>
      <c r="E58" s="138">
        <f>VLOOKUP($A58,'LEVEL 2'!$A$13:$K$317,11,FALSE)</f>
        <v>84000</v>
      </c>
      <c r="G58" s="2"/>
      <c r="H58" s="138">
        <f t="shared" si="4"/>
        <v>-2800</v>
      </c>
      <c r="I58" s="423">
        <f>H58/B58</f>
        <v>-3.4482758620689655E-2</v>
      </c>
      <c r="J58" s="2"/>
      <c r="K58" s="46"/>
      <c r="L58" s="46"/>
      <c r="M58" s="46"/>
      <c r="N58" s="46"/>
      <c r="O58" s="46"/>
      <c r="P58" s="46"/>
      <c r="Q58" s="46"/>
      <c r="R58" s="46"/>
      <c r="S58" s="46"/>
      <c r="T58" s="2"/>
    </row>
    <row r="59" spans="1:22" hidden="1" outlineLevel="1">
      <c r="A59" s="118" t="s">
        <v>253</v>
      </c>
      <c r="B59" s="138">
        <f>VLOOKUP(A59,'LEVEL 1.2 BUDGET'!$A$13:$K$316,11,FALSE)</f>
        <v>29005.68</v>
      </c>
      <c r="E59" s="138">
        <f>VLOOKUP($A59,'LEVEL 2'!$A$13:$K$317,11,FALSE)</f>
        <v>29005.68</v>
      </c>
      <c r="G59" s="2"/>
      <c r="H59" s="138">
        <f t="shared" si="4"/>
        <v>0</v>
      </c>
      <c r="I59" s="423">
        <f>H59/B59</f>
        <v>0</v>
      </c>
      <c r="J59" s="2"/>
      <c r="K59" s="46"/>
      <c r="L59" s="46"/>
      <c r="M59" s="46"/>
      <c r="N59" s="46"/>
      <c r="O59" s="46"/>
      <c r="P59" s="46"/>
      <c r="Q59" s="46"/>
      <c r="R59" s="46"/>
      <c r="S59" s="46"/>
      <c r="T59" s="2"/>
    </row>
    <row r="60" spans="1:22" hidden="1" outlineLevel="1">
      <c r="A60" s="118" t="s">
        <v>256</v>
      </c>
      <c r="B60" s="138">
        <f>VLOOKUP(A60,'LEVEL 1.2 BUDGET'!$A$13:$K$316,11,FALSE)</f>
        <v>18128.55</v>
      </c>
      <c r="E60" s="138">
        <f>VLOOKUP($A60,'LEVEL 2'!$A$13:$K$317,11,FALSE)</f>
        <v>18128.55</v>
      </c>
      <c r="G60" s="2"/>
      <c r="H60" s="138">
        <f t="shared" si="4"/>
        <v>0</v>
      </c>
      <c r="I60" s="423">
        <f>H60/B60</f>
        <v>0</v>
      </c>
      <c r="J60" s="2"/>
      <c r="K60" s="46"/>
      <c r="L60" s="46"/>
      <c r="M60" s="46"/>
      <c r="N60" s="46"/>
      <c r="O60" s="46"/>
      <c r="P60" s="46"/>
      <c r="Q60" s="46"/>
      <c r="R60" s="46"/>
      <c r="S60" s="46"/>
      <c r="T60" s="2"/>
    </row>
    <row r="61" spans="1:22" hidden="1" outlineLevel="1">
      <c r="A61" s="118" t="s">
        <v>259</v>
      </c>
      <c r="B61" s="138">
        <f>VLOOKUP(A61,'LEVEL 1.2 BUDGET'!$A$13:$K$316,11,FALSE)</f>
        <v>9300</v>
      </c>
      <c r="E61" s="138">
        <f>VLOOKUP($A61,'LEVEL 2'!$A$13:$K$317,11,FALSE)</f>
        <v>9300</v>
      </c>
      <c r="G61" s="2"/>
      <c r="H61" s="138">
        <f t="shared" si="4"/>
        <v>0</v>
      </c>
      <c r="I61" s="423">
        <f>H61/B61</f>
        <v>0</v>
      </c>
      <c r="J61" s="2"/>
      <c r="K61" s="46"/>
      <c r="L61" s="46"/>
      <c r="M61" s="46"/>
      <c r="N61" s="46"/>
      <c r="O61" s="46"/>
      <c r="P61" s="46"/>
      <c r="Q61" s="46"/>
      <c r="R61" s="46"/>
      <c r="S61" s="46"/>
      <c r="T61" s="2"/>
    </row>
    <row r="62" spans="1:22" hidden="1" outlineLevel="1">
      <c r="A62" s="118" t="s">
        <v>263</v>
      </c>
      <c r="B62" s="138">
        <f>VLOOKUP(A62,'LEVEL 1.2 BUDGET'!$A$13:$K$316,11,FALSE)</f>
        <v>15000</v>
      </c>
      <c r="E62" s="138">
        <f>VLOOKUP($A62,'LEVEL 2'!$A$13:$K$317,11,FALSE)</f>
        <v>15000</v>
      </c>
      <c r="G62" s="2"/>
      <c r="H62" s="138">
        <f t="shared" si="4"/>
        <v>0</v>
      </c>
      <c r="I62" s="423">
        <f>H62/B62</f>
        <v>0</v>
      </c>
      <c r="J62" s="2"/>
      <c r="K62" s="46"/>
      <c r="L62" s="46"/>
      <c r="M62" s="46"/>
      <c r="N62" s="46"/>
      <c r="O62" s="46"/>
      <c r="P62" s="46"/>
      <c r="Q62" s="46"/>
      <c r="R62" s="46"/>
      <c r="S62" s="46"/>
      <c r="T62" s="2"/>
    </row>
    <row r="63" spans="1:22" hidden="1" outlineLevel="1">
      <c r="A63" s="118" t="s">
        <v>265</v>
      </c>
      <c r="B63" s="117">
        <f>VLOOKUP(A63,'LEVEL 1.2 BUDGET'!$A$13:$K$316,11,FALSE)</f>
        <v>0</v>
      </c>
      <c r="C63" s="360"/>
      <c r="E63" s="117">
        <f>VLOOKUP($A63,'LEVEL 2'!$A$13:$K$317,11,FALSE)</f>
        <v>0</v>
      </c>
      <c r="F63" s="360"/>
      <c r="G63" s="2"/>
      <c r="H63" s="117">
        <f t="shared" si="4"/>
        <v>0</v>
      </c>
      <c r="I63" s="425" t="str">
        <f>IF(B63=0,"n/a",H63/B63)</f>
        <v>n/a</v>
      </c>
      <c r="J63" s="2"/>
      <c r="K63" s="46"/>
      <c r="L63" s="46"/>
      <c r="M63" s="46"/>
      <c r="N63" s="46"/>
      <c r="O63" s="46"/>
      <c r="P63" s="46"/>
      <c r="Q63" s="46"/>
      <c r="R63" s="46"/>
      <c r="S63" s="46"/>
      <c r="T63" s="2"/>
    </row>
    <row r="64" spans="1:22" collapsed="1">
      <c r="A64" s="347" t="s">
        <v>267</v>
      </c>
      <c r="B64" s="110"/>
      <c r="C64" s="130">
        <f>SUM(B51:B63)</f>
        <v>2157341.9422999998</v>
      </c>
      <c r="E64" s="110"/>
      <c r="F64" s="130">
        <f>SUM(E51:E63)</f>
        <v>2366346.0099999998</v>
      </c>
      <c r="G64" s="2"/>
      <c r="H64" s="427">
        <f>C64-F64</f>
        <v>-209004.06770000001</v>
      </c>
      <c r="I64" s="422">
        <f>H64/C64</f>
        <v>-9.6880361708990462E-2</v>
      </c>
      <c r="J64" s="2"/>
      <c r="K64" s="373"/>
      <c r="L64" s="373"/>
      <c r="M64" s="373"/>
      <c r="N64" s="373"/>
      <c r="O64" s="373"/>
      <c r="P64" s="373"/>
      <c r="Q64" s="373"/>
      <c r="R64" s="373"/>
      <c r="S64" s="373"/>
      <c r="T64" s="2"/>
    </row>
    <row r="65" spans="1:20" hidden="1" outlineLevel="1">
      <c r="A65" s="118" t="s">
        <v>269</v>
      </c>
      <c r="B65" s="138">
        <f>VLOOKUP(A65,'LEVEL 1.2 BUDGET'!$A$13:$K$316,11,FALSE)</f>
        <v>8000</v>
      </c>
      <c r="E65" s="138">
        <f>VLOOKUP($A65,'LEVEL 2'!$A$13:$K$317,11,FALSE)</f>
        <v>24000</v>
      </c>
      <c r="G65" s="2"/>
      <c r="H65" s="138">
        <f t="shared" ref="H65:H78" si="5">B65-E65</f>
        <v>-16000</v>
      </c>
      <c r="I65" s="425">
        <f>IF(B65=0,"n/a",H65/B65)</f>
        <v>-2</v>
      </c>
      <c r="J65" s="2"/>
      <c r="K65" s="46"/>
      <c r="L65" s="46"/>
      <c r="M65" s="46"/>
      <c r="N65" s="46"/>
      <c r="O65" s="46"/>
      <c r="P65" s="46"/>
      <c r="Q65" s="46"/>
      <c r="R65" s="46"/>
      <c r="S65" s="46"/>
      <c r="T65" s="2"/>
    </row>
    <row r="66" spans="1:20" hidden="1" outlineLevel="1">
      <c r="A66" s="118" t="s">
        <v>271</v>
      </c>
      <c r="B66" s="138">
        <f>VLOOKUP(A66,'LEVEL 1.2 BUDGET'!$A$13:$K$316,11,FALSE)</f>
        <v>0</v>
      </c>
      <c r="E66" s="138">
        <f>VLOOKUP($A66,'LEVEL 2'!$A$13:$K$317,11,FALSE)</f>
        <v>0</v>
      </c>
      <c r="G66" s="2"/>
      <c r="H66" s="138">
        <f t="shared" si="5"/>
        <v>0</v>
      </c>
      <c r="I66" s="425" t="str">
        <f>IF(B66=0,"n/a",H66/B66)</f>
        <v>n/a</v>
      </c>
      <c r="J66" s="2"/>
      <c r="K66" s="46"/>
      <c r="L66" s="46"/>
      <c r="M66" s="46"/>
      <c r="N66" s="46"/>
      <c r="O66" s="46"/>
      <c r="P66" s="46"/>
      <c r="Q66" s="46"/>
      <c r="R66" s="46"/>
      <c r="S66" s="46"/>
      <c r="T66" s="2"/>
    </row>
    <row r="67" spans="1:20" hidden="1" outlineLevel="1">
      <c r="A67" s="118" t="s">
        <v>274</v>
      </c>
      <c r="B67" s="138">
        <f>VLOOKUP(A67,'LEVEL 1.2 BUDGET'!$A$13:$K$316,11,FALSE)</f>
        <v>0</v>
      </c>
      <c r="E67" s="138">
        <f>VLOOKUP($A67,'LEVEL 2'!$A$13:$K$317,11,FALSE)</f>
        <v>0</v>
      </c>
      <c r="G67" s="2"/>
      <c r="H67" s="138">
        <f t="shared" si="5"/>
        <v>0</v>
      </c>
      <c r="I67" s="425" t="str">
        <f>IF(B67=0,"n/a",H67/B67)</f>
        <v>n/a</v>
      </c>
      <c r="J67" s="2"/>
      <c r="K67" s="46"/>
      <c r="L67" s="46"/>
      <c r="M67" s="46"/>
      <c r="N67" s="46"/>
      <c r="O67" s="46"/>
      <c r="P67" s="46"/>
      <c r="Q67" s="46"/>
      <c r="R67" s="46"/>
      <c r="S67" s="46"/>
      <c r="T67" s="2"/>
    </row>
    <row r="68" spans="1:20" hidden="1" outlineLevel="1">
      <c r="A68" s="118" t="s">
        <v>275</v>
      </c>
      <c r="B68" s="138">
        <f>VLOOKUP(A68,'LEVEL 1.2 BUDGET'!$A$13:$K$316,11,FALSE)</f>
        <v>0</v>
      </c>
      <c r="E68" s="138">
        <f>VLOOKUP($A68,'LEVEL 2'!$A$13:$K$317,11,FALSE)</f>
        <v>0</v>
      </c>
      <c r="G68" s="2"/>
      <c r="H68" s="138">
        <f t="shared" si="5"/>
        <v>0</v>
      </c>
      <c r="I68" s="425" t="str">
        <f>IF(B68=0,"n/a",H68/B68)</f>
        <v>n/a</v>
      </c>
      <c r="J68" s="2"/>
      <c r="K68" s="46"/>
      <c r="L68" s="46"/>
      <c r="M68" s="46"/>
      <c r="N68" s="46"/>
      <c r="O68" s="46"/>
      <c r="P68" s="46"/>
      <c r="Q68" s="46"/>
      <c r="R68" s="46"/>
      <c r="S68" s="46"/>
      <c r="T68" s="2"/>
    </row>
    <row r="69" spans="1:20" hidden="1" outlineLevel="1">
      <c r="A69" s="118" t="s">
        <v>277</v>
      </c>
      <c r="B69" s="138">
        <f>VLOOKUP(A69,'LEVEL 1.2 BUDGET'!$A$13:$K$316,11,FALSE)</f>
        <v>501303</v>
      </c>
      <c r="E69" s="138">
        <f>VLOOKUP($A69,'LEVEL 2'!$A$13:$K$317,11,FALSE)</f>
        <v>562650</v>
      </c>
      <c r="G69" s="2"/>
      <c r="H69" s="138">
        <f t="shared" si="5"/>
        <v>-61347</v>
      </c>
      <c r="I69" s="423">
        <f>H69/B69</f>
        <v>-0.1223750905141202</v>
      </c>
      <c r="J69" s="2"/>
      <c r="K69" s="46" t="s">
        <v>968</v>
      </c>
      <c r="L69" s="46"/>
      <c r="M69" s="46"/>
      <c r="N69" s="46"/>
      <c r="O69" s="46"/>
      <c r="P69" s="46"/>
      <c r="Q69" s="46"/>
      <c r="R69" s="46"/>
      <c r="S69" s="46"/>
      <c r="T69" s="2"/>
    </row>
    <row r="70" spans="1:20" hidden="1" outlineLevel="1">
      <c r="A70" s="118" t="s">
        <v>281</v>
      </c>
      <c r="B70" s="138">
        <f>VLOOKUP(A70,'LEVEL 1.2 BUDGET'!$A$13:$K$316,11,FALSE)</f>
        <v>27225</v>
      </c>
      <c r="E70" s="138">
        <f>VLOOKUP($A70,'LEVEL 2'!$A$13:$K$317,11,FALSE)</f>
        <v>27225</v>
      </c>
      <c r="G70" s="2"/>
      <c r="H70" s="138">
        <f t="shared" si="5"/>
        <v>0</v>
      </c>
      <c r="I70" s="423">
        <f>H70/B70</f>
        <v>0</v>
      </c>
      <c r="J70" s="2"/>
      <c r="K70" s="46"/>
      <c r="L70" s="46"/>
      <c r="M70" s="46"/>
      <c r="N70" s="46"/>
      <c r="O70" s="46"/>
      <c r="P70" s="46"/>
      <c r="Q70" s="46"/>
      <c r="R70" s="46"/>
      <c r="S70" s="46"/>
      <c r="T70" s="2"/>
    </row>
    <row r="71" spans="1:20" hidden="1" outlineLevel="1">
      <c r="A71" s="118" t="s">
        <v>282</v>
      </c>
      <c r="B71" s="138">
        <f>VLOOKUP(A71,'LEVEL 1.2 BUDGET'!$A$13:$K$316,11,FALSE)</f>
        <v>0</v>
      </c>
      <c r="E71" s="138">
        <f>VLOOKUP($A71,'LEVEL 2'!$A$13:$K$317,11,FALSE)</f>
        <v>0</v>
      </c>
      <c r="G71" s="2"/>
      <c r="H71" s="138">
        <f t="shared" si="5"/>
        <v>0</v>
      </c>
      <c r="I71" s="425" t="str">
        <f t="shared" ref="I71:I76" si="6">IF(B71=0,"n/a",H71/B71)</f>
        <v>n/a</v>
      </c>
      <c r="J71" s="2"/>
      <c r="K71" s="46"/>
      <c r="L71" s="46"/>
      <c r="M71" s="46"/>
      <c r="N71" s="46"/>
      <c r="O71" s="46"/>
      <c r="P71" s="46"/>
      <c r="Q71" s="46"/>
      <c r="R71" s="46"/>
      <c r="S71" s="46"/>
      <c r="T71" s="2"/>
    </row>
    <row r="72" spans="1:20" hidden="1" outlineLevel="1">
      <c r="A72" s="118" t="s">
        <v>284</v>
      </c>
      <c r="B72" s="138">
        <f>VLOOKUP(A72,'LEVEL 1.2 BUDGET'!$A$13:$K$316,11,FALSE)</f>
        <v>0</v>
      </c>
      <c r="E72" s="138">
        <f>VLOOKUP($A72,'LEVEL 2'!$A$13:$K$317,11,FALSE)</f>
        <v>0</v>
      </c>
      <c r="G72" s="2"/>
      <c r="H72" s="138">
        <f t="shared" si="5"/>
        <v>0</v>
      </c>
      <c r="I72" s="425" t="str">
        <f t="shared" si="6"/>
        <v>n/a</v>
      </c>
      <c r="J72" s="2"/>
      <c r="K72" s="46"/>
      <c r="L72" s="46"/>
      <c r="M72" s="46"/>
      <c r="N72" s="46"/>
      <c r="O72" s="46"/>
      <c r="P72" s="46"/>
      <c r="Q72" s="46"/>
      <c r="R72" s="46"/>
      <c r="S72" s="46"/>
      <c r="T72" s="2"/>
    </row>
    <row r="73" spans="1:20" hidden="1" outlineLevel="1">
      <c r="A73" s="118" t="s">
        <v>286</v>
      </c>
      <c r="B73" s="138">
        <f>VLOOKUP(A73,'LEVEL 1.2 BUDGET'!$A$13:$K$316,11,FALSE)</f>
        <v>0</v>
      </c>
      <c r="E73" s="138">
        <f>VLOOKUP($A73,'LEVEL 2'!$A$13:$K$317,11,FALSE)</f>
        <v>0</v>
      </c>
      <c r="G73" s="2"/>
      <c r="H73" s="138">
        <f t="shared" si="5"/>
        <v>0</v>
      </c>
      <c r="I73" s="425" t="str">
        <f t="shared" si="6"/>
        <v>n/a</v>
      </c>
      <c r="J73" s="2"/>
      <c r="K73" s="46"/>
      <c r="L73" s="46"/>
      <c r="M73" s="46"/>
      <c r="N73" s="46"/>
      <c r="O73" s="46"/>
      <c r="P73" s="46"/>
      <c r="Q73" s="46"/>
      <c r="R73" s="46"/>
      <c r="S73" s="46"/>
      <c r="T73" s="2"/>
    </row>
    <row r="74" spans="1:20" hidden="1" outlineLevel="1">
      <c r="A74" s="118" t="s">
        <v>288</v>
      </c>
      <c r="B74" s="138">
        <f>VLOOKUP(A74,'LEVEL 1.2 BUDGET'!$A$13:$K$316,11,FALSE)</f>
        <v>0</v>
      </c>
      <c r="E74" s="138">
        <f>VLOOKUP($A74,'LEVEL 2'!$A$13:$K$317,11,FALSE)</f>
        <v>0</v>
      </c>
      <c r="G74" s="2"/>
      <c r="H74" s="138">
        <f t="shared" si="5"/>
        <v>0</v>
      </c>
      <c r="I74" s="425" t="str">
        <f t="shared" si="6"/>
        <v>n/a</v>
      </c>
      <c r="J74" s="2"/>
      <c r="K74" s="46"/>
      <c r="L74" s="46"/>
      <c r="M74" s="46"/>
      <c r="N74" s="46"/>
      <c r="O74" s="46"/>
      <c r="P74" s="46"/>
      <c r="Q74" s="46"/>
      <c r="R74" s="46"/>
      <c r="S74" s="46"/>
      <c r="T74" s="2"/>
    </row>
    <row r="75" spans="1:20" hidden="1" outlineLevel="1">
      <c r="A75" s="118" t="s">
        <v>290</v>
      </c>
      <c r="B75" s="138">
        <f>VLOOKUP(A75,'LEVEL 1.2 BUDGET'!$A$13:$K$316,11,FALSE)</f>
        <v>0</v>
      </c>
      <c r="E75" s="138">
        <f>VLOOKUP($A75,'LEVEL 2'!$A$13:$K$317,11,FALSE)</f>
        <v>0</v>
      </c>
      <c r="G75" s="2"/>
      <c r="H75" s="138">
        <f t="shared" si="5"/>
        <v>0</v>
      </c>
      <c r="I75" s="425" t="str">
        <f t="shared" si="6"/>
        <v>n/a</v>
      </c>
      <c r="J75" s="2"/>
      <c r="K75" s="46"/>
      <c r="L75" s="46"/>
      <c r="M75" s="46"/>
      <c r="N75" s="46"/>
      <c r="O75" s="46"/>
      <c r="P75" s="46"/>
      <c r="Q75" s="46"/>
      <c r="R75" s="46"/>
      <c r="S75" s="46"/>
      <c r="T75" s="2"/>
    </row>
    <row r="76" spans="1:20" hidden="1" outlineLevel="1">
      <c r="A76" s="118" t="s">
        <v>292</v>
      </c>
      <c r="B76" s="138">
        <f>VLOOKUP(A76,'LEVEL 1.2 BUDGET'!$A$13:$K$316,11,FALSE)</f>
        <v>0</v>
      </c>
      <c r="E76" s="138">
        <f>VLOOKUP($A76,'LEVEL 2'!$A$13:$K$317,11,FALSE)</f>
        <v>0</v>
      </c>
      <c r="G76" s="2"/>
      <c r="H76" s="138">
        <f t="shared" si="5"/>
        <v>0</v>
      </c>
      <c r="I76" s="425" t="str">
        <f t="shared" si="6"/>
        <v>n/a</v>
      </c>
      <c r="J76" s="2"/>
      <c r="K76" s="46"/>
      <c r="L76" s="46"/>
      <c r="M76" s="46"/>
      <c r="N76" s="46"/>
      <c r="O76" s="46"/>
      <c r="P76" s="46"/>
      <c r="Q76" s="46"/>
      <c r="R76" s="46"/>
      <c r="S76" s="46"/>
      <c r="T76" s="2"/>
    </row>
    <row r="77" spans="1:20" hidden="1" outlineLevel="1">
      <c r="A77" s="118" t="s">
        <v>293</v>
      </c>
      <c r="B77" s="138">
        <f>VLOOKUP(A77,'LEVEL 1.2 BUDGET'!$A$13:$K$316,11,FALSE)</f>
        <v>59895</v>
      </c>
      <c r="E77" s="138">
        <f>VLOOKUP($A77,'LEVEL 2'!$A$13:$K$317,11,FALSE)</f>
        <v>63525</v>
      </c>
      <c r="G77" s="2"/>
      <c r="H77" s="138">
        <f t="shared" si="5"/>
        <v>-3630</v>
      </c>
      <c r="I77" s="423">
        <f>H77/B77</f>
        <v>-6.0606060606060608E-2</v>
      </c>
      <c r="J77" s="2"/>
      <c r="K77" s="46"/>
      <c r="L77" s="46"/>
      <c r="M77" s="46"/>
      <c r="N77" s="46"/>
      <c r="O77" s="46"/>
      <c r="P77" s="46"/>
      <c r="Q77" s="46"/>
      <c r="R77" s="46"/>
      <c r="S77" s="46"/>
      <c r="T77" s="2"/>
    </row>
    <row r="78" spans="1:20" hidden="1" outlineLevel="1">
      <c r="A78" s="118" t="s">
        <v>296</v>
      </c>
      <c r="B78" s="117">
        <f>VLOOKUP(A78,'LEVEL 1.2 BUDGET'!$A$13:$K$316,11,FALSE)</f>
        <v>1500</v>
      </c>
      <c r="C78" s="182"/>
      <c r="E78" s="117">
        <f>VLOOKUP($A78,'LEVEL 2'!$A$13:$K$317,11,FALSE)</f>
        <v>1800</v>
      </c>
      <c r="F78" s="182"/>
      <c r="G78" s="2"/>
      <c r="H78" s="117">
        <f t="shared" si="5"/>
        <v>-300</v>
      </c>
      <c r="I78" s="423">
        <f>H78/B78</f>
        <v>-0.2</v>
      </c>
      <c r="J78" s="2"/>
      <c r="K78" s="46"/>
      <c r="L78" s="46"/>
      <c r="M78" s="46"/>
      <c r="N78" s="46"/>
      <c r="O78" s="46"/>
      <c r="P78" s="46"/>
      <c r="Q78" s="46"/>
      <c r="R78" s="46"/>
      <c r="S78" s="46"/>
      <c r="T78" s="2"/>
    </row>
    <row r="79" spans="1:20" collapsed="1">
      <c r="A79" s="347" t="s">
        <v>297</v>
      </c>
      <c r="B79" s="110"/>
      <c r="C79" s="130">
        <f>SUM(B65:B78)</f>
        <v>597923</v>
      </c>
      <c r="E79" s="110"/>
      <c r="F79" s="130">
        <f>SUM(E65:E78)</f>
        <v>679200</v>
      </c>
      <c r="G79" s="2"/>
      <c r="H79" s="427">
        <f>C79-F79</f>
        <v>-81277</v>
      </c>
      <c r="I79" s="422">
        <f>H79/C79</f>
        <v>-0.13593221869705632</v>
      </c>
      <c r="J79" s="2"/>
      <c r="K79" s="373"/>
      <c r="L79" s="373"/>
      <c r="M79" s="373"/>
      <c r="N79" s="373"/>
      <c r="O79" s="373"/>
      <c r="P79" s="373"/>
      <c r="Q79" s="373"/>
      <c r="R79" s="373"/>
      <c r="S79" s="373"/>
      <c r="T79" s="2"/>
    </row>
    <row r="80" spans="1:20" outlineLevel="1">
      <c r="A80" s="111" t="s">
        <v>299</v>
      </c>
      <c r="B80" s="117">
        <f>VLOOKUP(A80,'LEVEL 1.2 BUDGET'!$A$13:$K$316,11,FALSE)</f>
        <v>0</v>
      </c>
      <c r="E80" s="117">
        <f>VLOOKUP($A80,'LEVEL 2'!$A$13:$K$317,11,FALSE)</f>
        <v>0</v>
      </c>
      <c r="G80" s="2"/>
      <c r="H80" s="117">
        <f t="shared" ref="H80:H117" si="7">B80-E80</f>
        <v>0</v>
      </c>
      <c r="I80" s="423" t="e">
        <f t="shared" ref="I80:I87" si="8">H80/B80</f>
        <v>#DIV/0!</v>
      </c>
      <c r="J80" s="2"/>
      <c r="K80" s="88"/>
      <c r="L80" s="88"/>
      <c r="M80" s="88"/>
      <c r="N80" s="88"/>
      <c r="O80" s="88"/>
      <c r="P80" s="88"/>
      <c r="Q80" s="88"/>
      <c r="R80" s="88"/>
      <c r="S80" s="88"/>
      <c r="T80" s="2"/>
    </row>
    <row r="81" spans="1:22" outlineLevel="1">
      <c r="A81" s="118" t="s">
        <v>301</v>
      </c>
      <c r="B81" s="138">
        <f>VLOOKUP(A81,'LEVEL 1.2 BUDGET'!$A$13:$K$316,11,FALSE)</f>
        <v>10000</v>
      </c>
      <c r="E81" s="138">
        <f>VLOOKUP($A81,'LEVEL 2'!$A$13:$K$317,11,FALSE)</f>
        <v>10000</v>
      </c>
      <c r="G81" s="2"/>
      <c r="H81" s="138">
        <f t="shared" si="7"/>
        <v>0</v>
      </c>
      <c r="I81" s="423">
        <f t="shared" si="8"/>
        <v>0</v>
      </c>
      <c r="J81" s="2"/>
      <c r="K81" s="46"/>
      <c r="L81" s="46"/>
      <c r="M81" s="46"/>
      <c r="N81" s="46"/>
      <c r="O81" s="46"/>
      <c r="P81" s="46"/>
      <c r="Q81" s="46"/>
      <c r="R81" s="46"/>
      <c r="S81" s="46"/>
      <c r="T81" s="2"/>
    </row>
    <row r="82" spans="1:22" outlineLevel="1">
      <c r="A82" s="118" t="s">
        <v>303</v>
      </c>
      <c r="B82" s="138">
        <f>VLOOKUP(A82,'LEVEL 1.2 BUDGET'!$A$13:$K$316,11,FALSE)</f>
        <v>308185.34999999998</v>
      </c>
      <c r="E82" s="138">
        <f>VLOOKUP($A82,'LEVEL 2'!$A$13:$K$317,11,FALSE)</f>
        <v>308185.34999999998</v>
      </c>
      <c r="G82" s="2"/>
      <c r="H82" s="138">
        <f t="shared" si="7"/>
        <v>0</v>
      </c>
      <c r="I82" s="423">
        <f t="shared" si="8"/>
        <v>0</v>
      </c>
      <c r="J82" s="2"/>
      <c r="K82" s="46"/>
      <c r="L82" s="46"/>
      <c r="M82" s="46"/>
      <c r="N82" s="46"/>
      <c r="O82" s="46"/>
      <c r="P82" s="46"/>
      <c r="Q82" s="46"/>
      <c r="R82" s="46"/>
      <c r="S82" s="46"/>
      <c r="T82" s="2"/>
    </row>
    <row r="83" spans="1:22" outlineLevel="1">
      <c r="A83" s="118" t="s">
        <v>306</v>
      </c>
      <c r="B83" s="138">
        <f>VLOOKUP(A83,'LEVEL 1.2 BUDGET'!$A$13:$K$316,11,FALSE)</f>
        <v>75000</v>
      </c>
      <c r="E83" s="138">
        <f>VLOOKUP($A83,'LEVEL 2'!$A$13:$K$317,11,FALSE)</f>
        <v>75000</v>
      </c>
      <c r="G83" s="2"/>
      <c r="H83" s="138">
        <f t="shared" si="7"/>
        <v>0</v>
      </c>
      <c r="I83" s="423">
        <f t="shared" si="8"/>
        <v>0</v>
      </c>
      <c r="J83" s="2"/>
      <c r="K83" s="46"/>
      <c r="L83" s="46"/>
      <c r="M83" s="46"/>
      <c r="N83" s="46"/>
      <c r="O83" s="46"/>
      <c r="P83" s="46"/>
      <c r="Q83" s="46"/>
      <c r="R83" s="46"/>
      <c r="S83" s="46"/>
      <c r="T83" s="2"/>
    </row>
    <row r="84" spans="1:22" outlineLevel="1">
      <c r="A84" s="118" t="s">
        <v>308</v>
      </c>
      <c r="B84" s="138">
        <f>VLOOKUP(A84,'LEVEL 1.2 BUDGET'!$A$13:$K$316,11,FALSE)</f>
        <v>28677</v>
      </c>
      <c r="E84" s="138">
        <f>VLOOKUP($A84,'LEVEL 2'!$A$13:$K$317,11,FALSE)</f>
        <v>28677</v>
      </c>
      <c r="G84" s="2"/>
      <c r="H84" s="138">
        <f t="shared" si="7"/>
        <v>0</v>
      </c>
      <c r="I84" s="423">
        <f t="shared" si="8"/>
        <v>0</v>
      </c>
      <c r="J84" s="2"/>
      <c r="K84" s="46"/>
      <c r="L84" s="46"/>
      <c r="M84" s="46"/>
      <c r="N84" s="46"/>
      <c r="O84" s="46"/>
      <c r="P84" s="46"/>
      <c r="Q84" s="46"/>
      <c r="R84" s="46"/>
      <c r="S84" s="46"/>
      <c r="T84" s="2"/>
    </row>
    <row r="85" spans="1:22" outlineLevel="1">
      <c r="A85" s="118" t="s">
        <v>312</v>
      </c>
      <c r="B85" s="138">
        <f>VLOOKUP(A85,'LEVEL 1.2 BUDGET'!$A$13:$K$316,11,FALSE)</f>
        <v>10000</v>
      </c>
      <c r="E85" s="138">
        <f>VLOOKUP($A85,'LEVEL 2'!$A$13:$K$317,11,FALSE)</f>
        <v>10000</v>
      </c>
      <c r="G85" s="2"/>
      <c r="H85" s="138">
        <f t="shared" si="7"/>
        <v>0</v>
      </c>
      <c r="I85" s="423">
        <f t="shared" si="8"/>
        <v>0</v>
      </c>
      <c r="J85" s="2"/>
      <c r="K85" s="46"/>
      <c r="L85" s="46"/>
      <c r="M85" s="46"/>
      <c r="N85" s="46"/>
      <c r="O85" s="46"/>
      <c r="P85" s="46"/>
      <c r="Q85" s="46"/>
      <c r="R85" s="46"/>
      <c r="S85" s="46"/>
      <c r="T85" s="2"/>
    </row>
    <row r="86" spans="1:22" outlineLevel="1">
      <c r="A86" s="118" t="s">
        <v>315</v>
      </c>
      <c r="B86" s="138">
        <f>VLOOKUP(A86,'LEVEL 1.2 BUDGET'!$A$13:$K$316,11,FALSE)</f>
        <v>842819.61111111112</v>
      </c>
      <c r="E86" s="138">
        <f>VLOOKUP($A86,'LEVEL 2'!$A$13:$K$317,11,FALSE)</f>
        <v>950639.29645654478</v>
      </c>
      <c r="G86" s="2"/>
      <c r="H86" s="138">
        <f t="shared" si="7"/>
        <v>-107819.68534543365</v>
      </c>
      <c r="I86" s="423">
        <f t="shared" si="8"/>
        <v>-0.12792735708094422</v>
      </c>
      <c r="J86" s="2"/>
      <c r="K86" s="46" t="s">
        <v>969</v>
      </c>
      <c r="L86" s="46"/>
      <c r="M86" s="46"/>
      <c r="N86" s="46"/>
      <c r="O86" s="46"/>
      <c r="P86" s="46"/>
      <c r="Q86" s="46"/>
      <c r="R86" s="46"/>
      <c r="S86" s="46"/>
      <c r="T86" s="2"/>
    </row>
    <row r="87" spans="1:22" outlineLevel="1">
      <c r="A87" s="118" t="s">
        <v>319</v>
      </c>
      <c r="B87" s="138">
        <f>VLOOKUP(A87,'LEVEL 1.2 BUDGET'!$A$13:$K$316,11,FALSE)</f>
        <v>6000</v>
      </c>
      <c r="E87" s="138">
        <f>VLOOKUP($A87,'LEVEL 2'!$A$13:$K$317,11,FALSE)</f>
        <v>6000</v>
      </c>
      <c r="G87" s="2"/>
      <c r="H87" s="138">
        <f t="shared" si="7"/>
        <v>0</v>
      </c>
      <c r="I87" s="423">
        <f t="shared" si="8"/>
        <v>0</v>
      </c>
      <c r="J87" s="2"/>
      <c r="K87" s="46"/>
      <c r="L87" s="46"/>
      <c r="M87" s="46"/>
      <c r="N87" s="46"/>
      <c r="O87" s="46"/>
      <c r="P87" s="46"/>
      <c r="Q87" s="46"/>
      <c r="R87" s="46"/>
      <c r="S87" s="46"/>
      <c r="T87" s="2"/>
    </row>
    <row r="88" spans="1:22" outlineLevel="1">
      <c r="A88" s="118" t="s">
        <v>321</v>
      </c>
      <c r="B88" s="138">
        <f>VLOOKUP(A88,'LEVEL 1.2 BUDGET'!$A$13:$K$316,11,FALSE)</f>
        <v>0</v>
      </c>
      <c r="E88" s="138">
        <f>VLOOKUP($A88,'LEVEL 2'!$A$13:$K$317,11,FALSE)</f>
        <v>0</v>
      </c>
      <c r="G88" s="2"/>
      <c r="H88" s="138">
        <f t="shared" si="7"/>
        <v>0</v>
      </c>
      <c r="I88" s="425" t="str">
        <f>IF(B88=0,"n/a",H88/B88)</f>
        <v>n/a</v>
      </c>
      <c r="J88" s="2"/>
      <c r="K88" s="46"/>
      <c r="L88" s="46"/>
      <c r="M88" s="46"/>
      <c r="N88" s="46"/>
      <c r="O88" s="46"/>
      <c r="P88" s="46"/>
      <c r="Q88" s="46"/>
      <c r="R88" s="46"/>
      <c r="S88" s="46"/>
      <c r="T88" s="2"/>
    </row>
    <row r="89" spans="1:22" outlineLevel="1">
      <c r="A89" s="118" t="s">
        <v>323</v>
      </c>
      <c r="B89" s="138">
        <f>VLOOKUP(A89,'LEVEL 1.2 BUDGET'!$A$13:$K$316,11,FALSE)</f>
        <v>2000</v>
      </c>
      <c r="E89" s="138">
        <f>VLOOKUP($A89,'LEVEL 2'!$A$13:$K$317,11,FALSE)</f>
        <v>2000</v>
      </c>
      <c r="G89" s="2"/>
      <c r="H89" s="138">
        <f t="shared" si="7"/>
        <v>0</v>
      </c>
      <c r="I89" s="423">
        <f>H89/B89</f>
        <v>0</v>
      </c>
      <c r="J89" s="2"/>
      <c r="K89" s="46"/>
      <c r="L89" s="46"/>
      <c r="M89" s="46"/>
      <c r="N89" s="46"/>
      <c r="O89" s="46"/>
      <c r="P89" s="46"/>
      <c r="Q89" s="46"/>
      <c r="R89" s="46"/>
      <c r="S89" s="46"/>
      <c r="T89" s="2"/>
      <c r="V89" s="229"/>
    </row>
    <row r="90" spans="1:22" outlineLevel="1">
      <c r="A90" s="118" t="s">
        <v>325</v>
      </c>
      <c r="B90" s="138">
        <f>VLOOKUP(A90,'LEVEL 1.2 BUDGET'!$A$13:$K$316,11,FALSE)</f>
        <v>0</v>
      </c>
      <c r="E90" s="138">
        <f>VLOOKUP($A90,'LEVEL 2'!$A$13:$K$317,11,FALSE)</f>
        <v>0</v>
      </c>
      <c r="G90" s="2"/>
      <c r="H90" s="138">
        <f t="shared" si="7"/>
        <v>0</v>
      </c>
      <c r="I90" s="425" t="str">
        <f>IF(B90=0,"n/a",H90/B90)</f>
        <v>n/a</v>
      </c>
      <c r="J90" s="2"/>
      <c r="K90" s="46"/>
      <c r="L90" s="46"/>
      <c r="M90" s="46"/>
      <c r="N90" s="46"/>
      <c r="O90" s="46"/>
      <c r="P90" s="46"/>
      <c r="Q90" s="46"/>
      <c r="R90" s="46"/>
      <c r="S90" s="46"/>
      <c r="T90" s="2"/>
      <c r="V90" s="229"/>
    </row>
    <row r="91" spans="1:22" outlineLevel="1">
      <c r="A91" s="118" t="s">
        <v>327</v>
      </c>
      <c r="B91" s="138">
        <f>VLOOKUP(A91,'LEVEL 1.2 BUDGET'!$A$13:$K$316,11,FALSE)</f>
        <v>5000</v>
      </c>
      <c r="E91" s="138">
        <f>VLOOKUP($A91,'LEVEL 2'!$A$13:$K$317,11,FALSE)</f>
        <v>5000</v>
      </c>
      <c r="G91" s="2"/>
      <c r="H91" s="138">
        <f t="shared" si="7"/>
        <v>0</v>
      </c>
      <c r="I91" s="425">
        <f>IF(B91=0,"n/a",H91/B91)</f>
        <v>0</v>
      </c>
      <c r="J91" s="2"/>
      <c r="K91" s="46"/>
      <c r="L91" s="46"/>
      <c r="M91" s="46"/>
      <c r="N91" s="46"/>
      <c r="O91" s="46"/>
      <c r="P91" s="46"/>
      <c r="Q91" s="46"/>
      <c r="R91" s="46"/>
      <c r="S91" s="46"/>
      <c r="T91" s="2"/>
      <c r="V91" s="229">
        <v>2875188.03</v>
      </c>
    </row>
    <row r="92" spans="1:22" outlineLevel="1">
      <c r="A92" s="118" t="s">
        <v>330</v>
      </c>
      <c r="B92" s="138">
        <f>VLOOKUP(A92,'LEVEL 1.2 BUDGET'!$A$13:$K$316,11,FALSE)</f>
        <v>1500</v>
      </c>
      <c r="E92" s="138">
        <f>VLOOKUP($A92,'LEVEL 2'!$A$13:$K$317,11,FALSE)</f>
        <v>1500</v>
      </c>
      <c r="G92" s="2"/>
      <c r="H92" s="138">
        <f t="shared" si="7"/>
        <v>0</v>
      </c>
      <c r="I92" s="423">
        <f>H92/B92</f>
        <v>0</v>
      </c>
      <c r="J92" s="2"/>
      <c r="K92" s="46"/>
      <c r="L92" s="46"/>
      <c r="M92" s="46"/>
      <c r="N92" s="46"/>
      <c r="O92" s="46"/>
      <c r="P92" s="46"/>
      <c r="Q92" s="46"/>
      <c r="R92" s="46"/>
      <c r="S92" s="46"/>
      <c r="T92" s="2"/>
      <c r="V92" s="229">
        <f>E93</f>
        <v>2773668.15</v>
      </c>
    </row>
    <row r="93" spans="1:22" outlineLevel="1">
      <c r="A93" s="118" t="s">
        <v>332</v>
      </c>
      <c r="B93" s="138">
        <f>VLOOKUP(A93,'LEVEL 1.2 BUDGET'!$A$13:$K$316,11,FALSE)</f>
        <v>2791796.7</v>
      </c>
      <c r="E93" s="138">
        <f>VLOOKUP($A93,'LEVEL 2'!$A$13:$K$317,11,FALSE)</f>
        <v>2773668.15</v>
      </c>
      <c r="G93" s="2"/>
      <c r="H93" s="138">
        <f t="shared" si="7"/>
        <v>18128.550000000279</v>
      </c>
      <c r="I93" s="423">
        <f>H93/B93</f>
        <v>6.4935064935065928E-3</v>
      </c>
      <c r="J93" s="2"/>
      <c r="K93" s="46"/>
      <c r="L93" s="46"/>
      <c r="M93" s="46"/>
      <c r="N93" s="46"/>
      <c r="O93" s="46"/>
      <c r="P93" s="46"/>
      <c r="Q93" s="46"/>
      <c r="R93" s="46"/>
      <c r="S93" s="46"/>
      <c r="T93" s="2"/>
      <c r="V93" s="229">
        <f>V92-V91</f>
        <v>-101519.87999999989</v>
      </c>
    </row>
    <row r="94" spans="1:22" outlineLevel="1">
      <c r="A94" s="118" t="s">
        <v>335</v>
      </c>
      <c r="B94" s="138">
        <f>VLOOKUP(A94,'LEVEL 1.2 BUDGET'!$A$13:$K$316,11,FALSE)</f>
        <v>30855</v>
      </c>
      <c r="E94" s="138">
        <f>VLOOKUP($A94,'LEVEL 2'!$A$13:$K$317,11,FALSE)</f>
        <v>30855</v>
      </c>
      <c r="G94" s="2"/>
      <c r="H94" s="138">
        <f t="shared" si="7"/>
        <v>0</v>
      </c>
      <c r="I94" s="423">
        <f>H94/B94</f>
        <v>0</v>
      </c>
      <c r="J94" s="2"/>
      <c r="K94" s="46"/>
      <c r="L94" s="46"/>
      <c r="M94" s="46"/>
      <c r="N94" s="46"/>
      <c r="O94" s="46"/>
      <c r="P94" s="46"/>
      <c r="Q94" s="46"/>
      <c r="R94" s="46"/>
      <c r="S94" s="46"/>
      <c r="T94" s="2"/>
      <c r="V94" s="229"/>
    </row>
    <row r="95" spans="1:22" outlineLevel="1">
      <c r="A95" s="118" t="s">
        <v>337</v>
      </c>
      <c r="B95" s="138">
        <f>VLOOKUP(A95,'LEVEL 1.2 BUDGET'!$A$13:$K$316,11,FALSE)</f>
        <v>1000</v>
      </c>
      <c r="E95" s="138">
        <f>VLOOKUP($A95,'LEVEL 2'!$A$13:$K$317,11,FALSE)</f>
        <v>1000</v>
      </c>
      <c r="G95" s="2"/>
      <c r="H95" s="138">
        <f t="shared" si="7"/>
        <v>0</v>
      </c>
      <c r="I95" s="425">
        <f>IF(B95=0,"n/a",H95/B95)</f>
        <v>0</v>
      </c>
      <c r="J95" s="2"/>
      <c r="K95" s="46"/>
      <c r="L95" s="46"/>
      <c r="M95" s="46"/>
      <c r="N95" s="46"/>
      <c r="O95" s="46"/>
      <c r="P95" s="46"/>
      <c r="Q95" s="46"/>
      <c r="R95" s="46"/>
      <c r="S95" s="46"/>
      <c r="T95" s="2"/>
      <c r="V95" s="229"/>
    </row>
    <row r="96" spans="1:22" outlineLevel="1">
      <c r="A96" s="118" t="s">
        <v>339</v>
      </c>
      <c r="B96" s="138">
        <f>VLOOKUP(A96,'LEVEL 1.2 BUDGET'!$A$13:$K$316,11,FALSE)</f>
        <v>0</v>
      </c>
      <c r="E96" s="138">
        <f>VLOOKUP($A96,'LEVEL 2'!$A$13:$K$317,11,FALSE)</f>
        <v>0</v>
      </c>
      <c r="G96" s="2"/>
      <c r="H96" s="138">
        <f t="shared" si="7"/>
        <v>0</v>
      </c>
      <c r="I96" s="425" t="str">
        <f>IF(B96=0,"n/a",H96/B96)</f>
        <v>n/a</v>
      </c>
      <c r="J96" s="2"/>
      <c r="K96" s="46"/>
      <c r="L96" s="46"/>
      <c r="M96" s="46"/>
      <c r="N96" s="46"/>
      <c r="O96" s="46"/>
      <c r="P96" s="46"/>
      <c r="Q96" s="46"/>
      <c r="R96" s="46"/>
      <c r="S96" s="46"/>
      <c r="T96" s="2"/>
      <c r="V96" s="229"/>
    </row>
    <row r="97" spans="1:22" outlineLevel="1">
      <c r="A97" s="118" t="s">
        <v>341</v>
      </c>
      <c r="B97" s="138">
        <f>VLOOKUP(A97,'LEVEL 1.2 BUDGET'!$A$13:$K$316,11,FALSE)</f>
        <v>75000</v>
      </c>
      <c r="E97" s="138">
        <f>VLOOKUP($A97,'LEVEL 2'!$A$13:$K$317,11,FALSE)</f>
        <v>170141.72999999998</v>
      </c>
      <c r="G97" s="2"/>
      <c r="H97" s="138">
        <f t="shared" si="7"/>
        <v>-95141.729999999981</v>
      </c>
      <c r="I97" s="423">
        <f>H97/B97</f>
        <v>-1.2685563999999998</v>
      </c>
      <c r="J97" s="2"/>
      <c r="K97" s="46" t="s">
        <v>970</v>
      </c>
      <c r="L97" s="46"/>
      <c r="M97" s="46"/>
      <c r="N97" s="46"/>
      <c r="O97" s="46"/>
      <c r="P97" s="46"/>
      <c r="Q97" s="46"/>
      <c r="R97" s="46"/>
      <c r="S97" s="46"/>
      <c r="T97" s="2"/>
      <c r="V97" s="229"/>
    </row>
    <row r="98" spans="1:22" outlineLevel="1">
      <c r="A98" s="118" t="s">
        <v>346</v>
      </c>
      <c r="B98" s="138">
        <f>VLOOKUP(A98,'LEVEL 1.2 BUDGET'!$A$13:$K$316,11,FALSE)</f>
        <v>0</v>
      </c>
      <c r="E98" s="138">
        <f>VLOOKUP($A98,'LEVEL 2'!$A$13:$K$317,11,FALSE)</f>
        <v>0</v>
      </c>
      <c r="G98" s="2"/>
      <c r="H98" s="138">
        <f t="shared" si="7"/>
        <v>0</v>
      </c>
      <c r="I98" s="425" t="str">
        <f>IF(B98=0,"n/a",H98/B98)</f>
        <v>n/a</v>
      </c>
      <c r="J98" s="2"/>
      <c r="K98" s="46"/>
      <c r="L98" s="46"/>
      <c r="M98" s="46"/>
      <c r="N98" s="46"/>
      <c r="O98" s="46"/>
      <c r="P98" s="46"/>
      <c r="Q98" s="46"/>
      <c r="R98" s="46"/>
      <c r="S98" s="46"/>
      <c r="T98" s="2"/>
      <c r="V98" s="229"/>
    </row>
    <row r="99" spans="1:22" outlineLevel="1">
      <c r="A99" s="118" t="s">
        <v>348</v>
      </c>
      <c r="B99" s="138">
        <f>VLOOKUP(A99,'LEVEL 1.2 BUDGET'!$A$13:$K$316,11,FALSE)</f>
        <v>0</v>
      </c>
      <c r="E99" s="138">
        <f>VLOOKUP($A99,'LEVEL 2'!$A$13:$K$317,11,FALSE)</f>
        <v>0</v>
      </c>
      <c r="G99" s="2"/>
      <c r="H99" s="138">
        <f t="shared" si="7"/>
        <v>0</v>
      </c>
      <c r="I99" s="425" t="str">
        <f>IF(B99=0,"n/a",H99/B99)</f>
        <v>n/a</v>
      </c>
      <c r="J99" s="2"/>
      <c r="K99" s="46"/>
      <c r="L99" s="46"/>
      <c r="M99" s="46"/>
      <c r="N99" s="46"/>
      <c r="O99" s="46"/>
      <c r="P99" s="46"/>
      <c r="Q99" s="46"/>
      <c r="R99" s="46"/>
      <c r="S99" s="46"/>
      <c r="T99" s="2"/>
      <c r="V99" s="229"/>
    </row>
    <row r="100" spans="1:22" outlineLevel="1">
      <c r="A100" s="118" t="s">
        <v>202</v>
      </c>
      <c r="B100" s="138">
        <f>VLOOKUP(A100,'LEVEL 1.2 BUDGET'!$A$13:$K$316,11,FALSE)</f>
        <v>538541.69999999995</v>
      </c>
      <c r="E100" s="138">
        <f>VLOOKUP($A100,'LEVEL 2'!$A$13:$K$317,11,FALSE)</f>
        <v>513238.18869518046</v>
      </c>
      <c r="G100" s="2"/>
      <c r="H100" s="138">
        <f t="shared" si="7"/>
        <v>25303.511304819491</v>
      </c>
      <c r="I100" s="423">
        <f t="shared" ref="I100:I112" si="9">H100/B100</f>
        <v>4.6985240520501001E-2</v>
      </c>
      <c r="J100" s="2"/>
      <c r="K100" s="46"/>
      <c r="L100" s="46"/>
      <c r="M100" s="46"/>
      <c r="N100" s="46"/>
      <c r="O100" s="46"/>
      <c r="P100" s="46"/>
      <c r="Q100" s="46"/>
      <c r="R100" s="46"/>
      <c r="S100" s="46"/>
      <c r="T100" s="2"/>
    </row>
    <row r="101" spans="1:22" outlineLevel="1">
      <c r="A101" s="118" t="s">
        <v>353</v>
      </c>
      <c r="B101" s="138">
        <f>VLOOKUP(A101,'LEVEL 1.2 BUDGET'!$A$13:$K$316,11,FALSE)</f>
        <v>0</v>
      </c>
      <c r="E101" s="138">
        <f>VLOOKUP($A101,'LEVEL 2'!$A$13:$K$317,11,FALSE)</f>
        <v>0</v>
      </c>
      <c r="G101" s="2"/>
      <c r="H101" s="138">
        <f t="shared" si="7"/>
        <v>0</v>
      </c>
      <c r="I101" s="423">
        <v>0</v>
      </c>
      <c r="J101" s="2"/>
      <c r="K101" s="46"/>
      <c r="L101" s="46"/>
      <c r="M101" s="46"/>
      <c r="N101" s="46"/>
      <c r="O101" s="46"/>
      <c r="P101" s="46"/>
      <c r="Q101" s="46"/>
      <c r="R101" s="46"/>
      <c r="S101" s="46"/>
      <c r="T101" s="2"/>
    </row>
    <row r="102" spans="1:22" outlineLevel="1">
      <c r="A102" s="118" t="s">
        <v>355</v>
      </c>
      <c r="B102" s="138">
        <f>VLOOKUP(A102,'LEVEL 1.2 BUDGET'!$A$13:$K$316,11,FALSE)</f>
        <v>0</v>
      </c>
      <c r="E102" s="138">
        <f>VLOOKUP($A102,'LEVEL 2'!$A$13:$K$317,11,FALSE)</f>
        <v>0</v>
      </c>
      <c r="G102" s="2"/>
      <c r="H102" s="138">
        <f t="shared" si="7"/>
        <v>0</v>
      </c>
      <c r="I102" s="423">
        <v>0</v>
      </c>
      <c r="J102" s="2"/>
      <c r="K102" s="46"/>
      <c r="L102" s="46"/>
      <c r="M102" s="46"/>
      <c r="N102" s="46"/>
      <c r="O102" s="46"/>
      <c r="P102" s="46"/>
      <c r="Q102" s="46"/>
      <c r="R102" s="46"/>
      <c r="S102" s="46"/>
      <c r="T102" s="2"/>
    </row>
    <row r="103" spans="1:22" outlineLevel="1">
      <c r="A103" s="118" t="s">
        <v>357</v>
      </c>
      <c r="B103" s="138">
        <f>VLOOKUP(A103,'LEVEL 1.2 BUDGET'!$A$13:$K$316,11,FALSE)</f>
        <v>170408.37</v>
      </c>
      <c r="E103" s="138">
        <f>VLOOKUP($A103,'LEVEL 2'!$A$13:$K$317,11,FALSE)</f>
        <v>271928.25</v>
      </c>
      <c r="G103" s="2"/>
      <c r="H103" s="138">
        <f t="shared" si="7"/>
        <v>-101519.88</v>
      </c>
      <c r="I103" s="423">
        <f t="shared" si="9"/>
        <v>-0.59574468085106391</v>
      </c>
      <c r="J103" s="2"/>
      <c r="K103" s="46" t="s">
        <v>971</v>
      </c>
      <c r="L103" s="46"/>
      <c r="M103" s="46"/>
      <c r="N103" s="46"/>
      <c r="O103" s="46"/>
      <c r="P103" s="46"/>
      <c r="Q103" s="46"/>
      <c r="R103" s="46"/>
      <c r="S103" s="46"/>
      <c r="T103" s="2"/>
    </row>
    <row r="104" spans="1:22" outlineLevel="1">
      <c r="A104" s="118" t="s">
        <v>360</v>
      </c>
      <c r="B104" s="138">
        <f>VLOOKUP(A104,'LEVEL 1.2 BUDGET'!$A$13:$K$316,11,FALSE)</f>
        <v>4500</v>
      </c>
      <c r="E104" s="138">
        <f>VLOOKUP($A104,'LEVEL 2'!$A$13:$K$317,11,FALSE)</f>
        <v>4500</v>
      </c>
      <c r="G104" s="2"/>
      <c r="H104" s="138">
        <f t="shared" si="7"/>
        <v>0</v>
      </c>
      <c r="I104" s="423">
        <f t="shared" si="9"/>
        <v>0</v>
      </c>
      <c r="J104" s="2"/>
      <c r="K104" s="46"/>
      <c r="L104" s="46"/>
      <c r="M104" s="46"/>
      <c r="N104" s="46"/>
      <c r="O104" s="46"/>
      <c r="P104" s="46"/>
      <c r="Q104" s="46"/>
      <c r="R104" s="46"/>
      <c r="S104" s="46"/>
      <c r="T104" s="2"/>
    </row>
    <row r="105" spans="1:22" outlineLevel="1">
      <c r="A105" s="118" t="s">
        <v>362</v>
      </c>
      <c r="B105" s="138">
        <f>VLOOKUP(A105,'LEVEL 1.2 BUDGET'!$A$13:$K$316,11,FALSE)</f>
        <v>0</v>
      </c>
      <c r="E105" s="138">
        <f>VLOOKUP($A105,'LEVEL 2'!$A$13:$K$317,11,FALSE)</f>
        <v>0</v>
      </c>
      <c r="G105" s="2"/>
      <c r="H105" s="138">
        <f t="shared" si="7"/>
        <v>0</v>
      </c>
      <c r="I105" s="423">
        <v>0</v>
      </c>
      <c r="J105" s="2"/>
      <c r="K105" s="46"/>
      <c r="L105" s="46"/>
      <c r="M105" s="46"/>
      <c r="N105" s="46"/>
      <c r="O105" s="46"/>
      <c r="P105" s="46"/>
      <c r="Q105" s="46"/>
      <c r="R105" s="46"/>
      <c r="S105" s="46"/>
      <c r="T105" s="2"/>
    </row>
    <row r="106" spans="1:22" outlineLevel="1">
      <c r="A106" s="118" t="s">
        <v>364</v>
      </c>
      <c r="B106" s="138">
        <f>VLOOKUP(A106,'LEVEL 1.2 BUDGET'!$A$13:$K$316,11,FALSE)</f>
        <v>0</v>
      </c>
      <c r="E106" s="138">
        <f>VLOOKUP($A106,'LEVEL 2'!$A$13:$K$317,11,FALSE)</f>
        <v>0</v>
      </c>
      <c r="G106" s="2"/>
      <c r="H106" s="138">
        <f t="shared" si="7"/>
        <v>0</v>
      </c>
      <c r="I106" s="423">
        <v>0</v>
      </c>
      <c r="J106" s="2"/>
      <c r="K106" s="46"/>
      <c r="L106" s="46"/>
      <c r="M106" s="46"/>
      <c r="N106" s="46"/>
      <c r="O106" s="46"/>
      <c r="P106" s="46"/>
      <c r="Q106" s="46"/>
      <c r="R106" s="46"/>
      <c r="S106" s="46"/>
      <c r="T106" s="2"/>
    </row>
    <row r="107" spans="1:22" outlineLevel="1">
      <c r="A107" s="118" t="s">
        <v>366</v>
      </c>
      <c r="B107" s="138">
        <f>VLOOKUP(A107,'LEVEL 1.2 BUDGET'!$A$13:$K$316,11,FALSE)</f>
        <v>0</v>
      </c>
      <c r="E107" s="138">
        <f>VLOOKUP($A107,'LEVEL 2'!$A$13:$K$317,11,FALSE)</f>
        <v>37163.125999999997</v>
      </c>
      <c r="G107" s="2"/>
      <c r="H107" s="138">
        <f t="shared" si="7"/>
        <v>-37163.125999999997</v>
      </c>
      <c r="I107" s="423">
        <v>0</v>
      </c>
      <c r="J107" s="2"/>
      <c r="K107" s="46"/>
      <c r="L107" s="46"/>
      <c r="M107" s="46"/>
      <c r="N107" s="46"/>
      <c r="O107" s="46"/>
      <c r="P107" s="46"/>
      <c r="Q107" s="46"/>
      <c r="R107" s="46"/>
      <c r="S107" s="46"/>
      <c r="T107" s="2"/>
    </row>
    <row r="108" spans="1:22" outlineLevel="1">
      <c r="A108" s="118" t="s">
        <v>369</v>
      </c>
      <c r="B108" s="138">
        <f>VLOOKUP(A108,'LEVEL 1.2 BUDGET'!$A$13:$K$316,11,FALSE)</f>
        <v>33266.571428571428</v>
      </c>
      <c r="E108" s="138">
        <f>VLOOKUP($A108,'LEVEL 2'!$A$13:$K$317,11,FALSE)</f>
        <v>35114.714285714283</v>
      </c>
      <c r="G108" s="2"/>
      <c r="H108" s="138">
        <f t="shared" si="7"/>
        <v>-1848.1428571428551</v>
      </c>
      <c r="I108" s="423">
        <f t="shared" si="9"/>
        <v>-5.5555555555555497E-2</v>
      </c>
      <c r="J108" s="2"/>
      <c r="K108" s="46"/>
      <c r="L108" s="46"/>
      <c r="M108" s="46"/>
      <c r="N108" s="46"/>
      <c r="O108" s="46"/>
      <c r="P108" s="46"/>
      <c r="Q108" s="46"/>
      <c r="R108" s="46"/>
      <c r="S108" s="46"/>
      <c r="T108" s="2"/>
    </row>
    <row r="109" spans="1:22" outlineLevel="1">
      <c r="A109" s="118" t="s">
        <v>372</v>
      </c>
      <c r="B109" s="138">
        <f>VLOOKUP(A109,'LEVEL 1.2 BUDGET'!$A$13:$K$316,11,FALSE)</f>
        <v>18566.924783279381</v>
      </c>
      <c r="E109" s="138">
        <f>VLOOKUP($A109,'LEVEL 2'!$A$13:$K$317,11,FALSE)</f>
        <v>0</v>
      </c>
      <c r="G109" s="2"/>
      <c r="H109" s="138">
        <f t="shared" si="7"/>
        <v>18566.924783279381</v>
      </c>
      <c r="I109" s="423">
        <f t="shared" si="9"/>
        <v>1</v>
      </c>
      <c r="J109" s="2"/>
      <c r="K109" s="46" t="s">
        <v>972</v>
      </c>
      <c r="L109" s="46"/>
      <c r="M109" s="46"/>
      <c r="N109" s="46"/>
      <c r="O109" s="46"/>
      <c r="P109" s="46"/>
      <c r="Q109" s="46"/>
      <c r="R109" s="46"/>
      <c r="S109" s="46"/>
      <c r="T109" s="2"/>
    </row>
    <row r="110" spans="1:22" outlineLevel="1">
      <c r="A110" s="118" t="s">
        <v>375</v>
      </c>
      <c r="B110" s="138">
        <f>VLOOKUP(A110,'LEVEL 1.2 BUDGET'!$A$13:$K$316,11,FALSE)</f>
        <v>107683.43733026268</v>
      </c>
      <c r="E110" s="138">
        <f>VLOOKUP($A110,'LEVEL 2'!$A$13:$K$317,11,FALSE)</f>
        <v>0</v>
      </c>
      <c r="G110" s="2"/>
      <c r="H110" s="138">
        <f t="shared" si="7"/>
        <v>107683.43733026268</v>
      </c>
      <c r="I110" s="423">
        <f t="shared" si="9"/>
        <v>1</v>
      </c>
      <c r="J110" s="2"/>
      <c r="K110" s="46" t="s">
        <v>972</v>
      </c>
      <c r="L110" s="46"/>
      <c r="M110" s="46"/>
      <c r="N110" s="46"/>
      <c r="O110" s="46"/>
      <c r="P110" s="46"/>
      <c r="Q110" s="46"/>
      <c r="R110" s="46"/>
      <c r="S110" s="46"/>
      <c r="T110" s="2"/>
    </row>
    <row r="111" spans="1:22" outlineLevel="1">
      <c r="A111" s="118" t="s">
        <v>378</v>
      </c>
      <c r="B111" s="138">
        <f>VLOOKUP(A111,'LEVEL 1.2 BUDGET'!$A$13:$K$316,11,FALSE)</f>
        <v>10000</v>
      </c>
      <c r="E111" s="138">
        <f>VLOOKUP($A111,'LEVEL 2'!$A$13:$K$317,11,FALSE)</f>
        <v>10000</v>
      </c>
      <c r="G111" s="2"/>
      <c r="H111" s="138">
        <f t="shared" si="7"/>
        <v>0</v>
      </c>
      <c r="I111" s="423">
        <f t="shared" si="9"/>
        <v>0</v>
      </c>
      <c r="J111" s="2"/>
      <c r="K111" s="46"/>
      <c r="L111" s="46"/>
      <c r="M111" s="46"/>
      <c r="N111" s="46"/>
      <c r="O111" s="46"/>
      <c r="P111" s="46"/>
      <c r="Q111" s="46"/>
      <c r="R111" s="46"/>
      <c r="S111" s="46"/>
      <c r="T111" s="2"/>
    </row>
    <row r="112" spans="1:22" outlineLevel="1">
      <c r="A112" s="118" t="s">
        <v>380</v>
      </c>
      <c r="B112" s="138">
        <f>VLOOKUP(A112,'LEVEL 1.2 BUDGET'!$A$13:$K$316,11,FALSE)</f>
        <v>572862.18000000005</v>
      </c>
      <c r="E112" s="138">
        <f>VLOOKUP($A112,'LEVEL 2'!$A$13:$K$317,11,FALSE)</f>
        <v>717890.58</v>
      </c>
      <c r="G112" s="2"/>
      <c r="H112" s="138">
        <f t="shared" si="7"/>
        <v>-145028.39999999991</v>
      </c>
      <c r="I112" s="423">
        <f t="shared" si="9"/>
        <v>-0.25316455696202511</v>
      </c>
      <c r="J112" s="2"/>
      <c r="K112" s="46" t="s">
        <v>973</v>
      </c>
      <c r="L112" s="46"/>
      <c r="M112" s="46"/>
      <c r="N112" s="46"/>
      <c r="O112" s="46"/>
      <c r="P112" s="46"/>
      <c r="Q112" s="46"/>
      <c r="R112" s="46"/>
      <c r="S112" s="46"/>
      <c r="T112" s="2"/>
    </row>
    <row r="113" spans="1:20" outlineLevel="1">
      <c r="A113" s="118" t="s">
        <v>382</v>
      </c>
      <c r="B113" s="138">
        <f>VLOOKUP(A113,'LEVEL 1.2 BUDGET'!$A$13:$K$316,11,FALSE)</f>
        <v>1000</v>
      </c>
      <c r="E113" s="138">
        <f>VLOOKUP($A113,'LEVEL 2'!$A$13:$K$317,11,FALSE)</f>
        <v>1000</v>
      </c>
      <c r="G113" s="2"/>
      <c r="H113" s="138">
        <f t="shared" si="7"/>
        <v>0</v>
      </c>
      <c r="I113" s="425">
        <f>IF(B113=0,"n/a",H113/B113)</f>
        <v>0</v>
      </c>
      <c r="J113" s="2"/>
      <c r="K113" s="46"/>
      <c r="L113" s="46"/>
      <c r="M113" s="46"/>
      <c r="N113" s="46"/>
      <c r="O113" s="46"/>
      <c r="P113" s="46"/>
      <c r="Q113" s="46"/>
      <c r="R113" s="46"/>
      <c r="S113" s="46"/>
      <c r="T113" s="2"/>
    </row>
    <row r="114" spans="1:20" outlineLevel="1">
      <c r="A114" s="118" t="s">
        <v>384</v>
      </c>
      <c r="B114" s="138">
        <f>VLOOKUP(A114,'LEVEL 1.2 BUDGET'!$A$13:$K$316,11,FALSE)</f>
        <v>0</v>
      </c>
      <c r="E114" s="138">
        <f>VLOOKUP($A114,'LEVEL 2'!$A$13:$K$317,11,FALSE)</f>
        <v>0</v>
      </c>
      <c r="G114" s="2"/>
      <c r="H114" s="138">
        <f t="shared" si="7"/>
        <v>0</v>
      </c>
      <c r="I114" s="425" t="str">
        <f>IF(B114=0,"n/a",H114/B114)</f>
        <v>n/a</v>
      </c>
      <c r="J114" s="2"/>
      <c r="K114" s="46"/>
      <c r="L114" s="46"/>
      <c r="M114" s="46"/>
      <c r="N114" s="46"/>
      <c r="O114" s="46"/>
      <c r="P114" s="46"/>
      <c r="Q114" s="46"/>
      <c r="R114" s="46"/>
      <c r="S114" s="46"/>
      <c r="T114" s="2"/>
    </row>
    <row r="115" spans="1:20" outlineLevel="1">
      <c r="A115" s="118" t="s">
        <v>386</v>
      </c>
      <c r="B115" s="138">
        <f>VLOOKUP(A115,'LEVEL 1.2 BUDGET'!$A$13:$K$316,11,FALSE)</f>
        <v>0</v>
      </c>
      <c r="E115" s="138">
        <f>VLOOKUP($A115,'LEVEL 2'!$A$13:$K$317,11,FALSE)</f>
        <v>0</v>
      </c>
      <c r="G115" s="2"/>
      <c r="H115" s="138">
        <f t="shared" si="7"/>
        <v>0</v>
      </c>
      <c r="I115" s="425" t="str">
        <f>IF(B115=0,"n/a",H115/B115)</f>
        <v>n/a</v>
      </c>
      <c r="J115" s="2"/>
      <c r="K115" s="46"/>
      <c r="L115" s="46"/>
      <c r="M115" s="46"/>
      <c r="N115" s="46"/>
      <c r="O115" s="46"/>
      <c r="P115" s="46"/>
      <c r="Q115" s="46"/>
      <c r="R115" s="46"/>
      <c r="S115" s="46"/>
      <c r="T115" s="2"/>
    </row>
    <row r="116" spans="1:20" outlineLevel="1">
      <c r="A116" s="118" t="s">
        <v>388</v>
      </c>
      <c r="B116" s="138">
        <f>VLOOKUP(A116,'LEVEL 1.2 BUDGET'!$A$13:$K$316,11,FALSE)</f>
        <v>0</v>
      </c>
      <c r="E116" s="138">
        <f>VLOOKUP($A116,'LEVEL 2'!$A$13:$K$317,11,FALSE)</f>
        <v>0</v>
      </c>
      <c r="G116" s="2"/>
      <c r="H116" s="138">
        <f t="shared" si="7"/>
        <v>0</v>
      </c>
      <c r="I116" s="425" t="str">
        <f>IF(B116=0,"n/a",H116/B116)</f>
        <v>n/a</v>
      </c>
      <c r="J116" s="2"/>
      <c r="K116" s="46"/>
      <c r="L116" s="46"/>
      <c r="M116" s="46"/>
      <c r="N116" s="46"/>
      <c r="O116" s="46"/>
      <c r="P116" s="46"/>
      <c r="Q116" s="46"/>
      <c r="R116" s="46"/>
      <c r="S116" s="46"/>
      <c r="T116" s="2"/>
    </row>
    <row r="117" spans="1:20" outlineLevel="1">
      <c r="A117" s="118" t="s">
        <v>389</v>
      </c>
      <c r="B117" s="117">
        <f>VLOOKUP(A117,'LEVEL 1.2 BUDGET'!$A$13:$K$316,11,FALSE)</f>
        <v>0</v>
      </c>
      <c r="C117" s="428"/>
      <c r="E117" s="117">
        <f>VLOOKUP($A117,'LEVEL 2'!$A$13:$K$317,11,FALSE)</f>
        <v>0</v>
      </c>
      <c r="F117" s="428"/>
      <c r="G117" s="2"/>
      <c r="H117" s="117">
        <f t="shared" si="7"/>
        <v>0</v>
      </c>
      <c r="I117" s="434" t="str">
        <f>IF(B117=0,"n/a",H117/B117)</f>
        <v>n/a</v>
      </c>
      <c r="J117" s="2"/>
      <c r="K117" s="46"/>
      <c r="L117" s="46"/>
      <c r="M117" s="46"/>
      <c r="N117" s="46"/>
      <c r="O117" s="46"/>
      <c r="P117" s="46"/>
      <c r="Q117" s="46"/>
      <c r="R117" s="46"/>
      <c r="S117" s="46"/>
      <c r="T117" s="2"/>
    </row>
    <row r="118" spans="1:20">
      <c r="A118" s="347" t="s">
        <v>391</v>
      </c>
      <c r="B118" s="110"/>
      <c r="C118" s="130">
        <f>SUM(B80:B117)</f>
        <v>5644662.8446532246</v>
      </c>
      <c r="E118" s="110"/>
      <c r="F118" s="130">
        <f>SUM(E80:E117)</f>
        <v>5963501.3854374392</v>
      </c>
      <c r="G118" s="2"/>
      <c r="H118" s="427">
        <f>C118-F118</f>
        <v>-318838.54078421462</v>
      </c>
      <c r="I118" s="422">
        <f>H118/C118</f>
        <v>-5.6484957482664709E-2</v>
      </c>
      <c r="J118" s="2"/>
      <c r="K118" s="373"/>
      <c r="L118" s="373"/>
      <c r="M118" s="373"/>
      <c r="N118" s="373"/>
      <c r="O118" s="373"/>
      <c r="P118" s="373"/>
      <c r="Q118" s="373"/>
      <c r="R118" s="373"/>
      <c r="S118" s="373"/>
      <c r="T118" s="2"/>
    </row>
    <row r="119" spans="1:20" hidden="1" outlineLevel="1">
      <c r="A119" s="111" t="s">
        <v>393</v>
      </c>
      <c r="B119" s="117">
        <f>VLOOKUP(A119,'LEVEL 1.2 BUDGET'!$A$13:$K$316,11,FALSE)</f>
        <v>0</v>
      </c>
      <c r="E119" s="117">
        <f>VLOOKUP($A119,'LEVEL 2'!$A$13:$K$317,11,FALSE)</f>
        <v>0</v>
      </c>
      <c r="G119" s="2"/>
      <c r="H119" s="117">
        <f t="shared" ref="H119:H134" si="10">B119-E119</f>
        <v>0</v>
      </c>
      <c r="I119" s="425" t="str">
        <f>IF(B119=0,"n/a",H119/B119)</f>
        <v>n/a</v>
      </c>
      <c r="J119" s="2"/>
      <c r="K119" s="88"/>
      <c r="L119" s="88"/>
      <c r="M119" s="88"/>
      <c r="N119" s="88"/>
      <c r="O119" s="88"/>
      <c r="P119" s="88"/>
      <c r="Q119" s="88"/>
      <c r="R119" s="88"/>
      <c r="S119" s="88"/>
      <c r="T119" s="2"/>
    </row>
    <row r="120" spans="1:20" hidden="1" outlineLevel="1">
      <c r="A120" s="118" t="s">
        <v>395</v>
      </c>
      <c r="B120" s="138">
        <f>VLOOKUP(A120,'LEVEL 1.2 BUDGET'!$A$13:$K$316,11,FALSE)</f>
        <v>56265</v>
      </c>
      <c r="E120" s="138">
        <f>VLOOKUP($A120,'LEVEL 2'!$A$13:$K$317,11,FALSE)</f>
        <v>76956</v>
      </c>
      <c r="G120" s="2"/>
      <c r="H120" s="138">
        <f t="shared" si="10"/>
        <v>-20691</v>
      </c>
      <c r="I120" s="423">
        <f>H120/B120</f>
        <v>-0.36774193548387096</v>
      </c>
      <c r="J120" s="2"/>
      <c r="K120" s="46"/>
      <c r="L120" s="46"/>
      <c r="M120" s="46"/>
      <c r="N120" s="46"/>
      <c r="O120" s="46"/>
      <c r="P120" s="46"/>
      <c r="Q120" s="46"/>
      <c r="R120" s="46"/>
      <c r="S120" s="46"/>
      <c r="T120" s="2"/>
    </row>
    <row r="121" spans="1:20" hidden="1" outlineLevel="1">
      <c r="A121" s="118" t="s">
        <v>399</v>
      </c>
      <c r="B121" s="138">
        <f>VLOOKUP(A121,'LEVEL 1.2 BUDGET'!$A$13:$K$316,11,FALSE)</f>
        <v>7500</v>
      </c>
      <c r="E121" s="138">
        <f>VLOOKUP($A121,'LEVEL 2'!$A$13:$K$317,11,FALSE)</f>
        <v>7500</v>
      </c>
      <c r="G121" s="2"/>
      <c r="H121" s="138">
        <f t="shared" si="10"/>
        <v>0</v>
      </c>
      <c r="I121" s="423">
        <f>H121/B121</f>
        <v>0</v>
      </c>
      <c r="J121" s="2"/>
      <c r="K121" s="46"/>
      <c r="L121" s="46"/>
      <c r="M121" s="46"/>
      <c r="N121" s="46"/>
      <c r="O121" s="46"/>
      <c r="P121" s="46"/>
      <c r="Q121" s="46"/>
      <c r="R121" s="46"/>
      <c r="S121" s="46"/>
      <c r="T121" s="2"/>
    </row>
    <row r="122" spans="1:20" hidden="1" outlineLevel="1">
      <c r="A122" s="118" t="s">
        <v>401</v>
      </c>
      <c r="B122" s="138">
        <f>VLOOKUP(A122,'LEVEL 1.2 BUDGET'!$A$13:$K$316,11,FALSE)</f>
        <v>6500</v>
      </c>
      <c r="E122" s="138">
        <f>VLOOKUP($A122,'LEVEL 2'!$A$13:$K$317,11,FALSE)</f>
        <v>6500</v>
      </c>
      <c r="G122" s="2"/>
      <c r="H122" s="138">
        <f t="shared" si="10"/>
        <v>0</v>
      </c>
      <c r="I122" s="423">
        <f>H122/B122</f>
        <v>0</v>
      </c>
      <c r="J122" s="2"/>
      <c r="K122" s="46"/>
      <c r="L122" s="46"/>
      <c r="M122" s="46"/>
      <c r="N122" s="46"/>
      <c r="O122" s="46"/>
      <c r="P122" s="46"/>
      <c r="Q122" s="46"/>
      <c r="R122" s="46"/>
      <c r="S122" s="46"/>
      <c r="T122" s="2"/>
    </row>
    <row r="123" spans="1:20" hidden="1" outlineLevel="1">
      <c r="A123" s="118" t="s">
        <v>403</v>
      </c>
      <c r="B123" s="138">
        <f>VLOOKUP(A123,'LEVEL 1.2 BUDGET'!$A$13:$K$316,11,FALSE)</f>
        <v>7500</v>
      </c>
      <c r="E123" s="138">
        <f>VLOOKUP($A123,'LEVEL 2'!$A$13:$K$317,11,FALSE)</f>
        <v>7500</v>
      </c>
      <c r="G123" s="2"/>
      <c r="H123" s="138">
        <f t="shared" si="10"/>
        <v>0</v>
      </c>
      <c r="I123" s="423">
        <f>H123/B123</f>
        <v>0</v>
      </c>
      <c r="J123" s="2"/>
      <c r="K123" s="46"/>
      <c r="L123" s="46"/>
      <c r="M123" s="46"/>
      <c r="N123" s="46"/>
      <c r="O123" s="46"/>
      <c r="P123" s="46"/>
      <c r="Q123" s="46"/>
      <c r="R123" s="46"/>
      <c r="S123" s="46"/>
      <c r="T123" s="2"/>
    </row>
    <row r="124" spans="1:20" hidden="1" outlineLevel="1">
      <c r="A124" s="118" t="s">
        <v>406</v>
      </c>
      <c r="B124" s="138">
        <f>VLOOKUP(A124,'LEVEL 1.2 BUDGET'!$A$13:$K$316,11,FALSE)</f>
        <v>6171</v>
      </c>
      <c r="E124" s="138">
        <f>VLOOKUP($A124,'LEVEL 2'!$A$13:$K$317,11,FALSE)</f>
        <v>14883</v>
      </c>
      <c r="G124" s="2"/>
      <c r="H124" s="138">
        <f t="shared" si="10"/>
        <v>-8712</v>
      </c>
      <c r="I124" s="423">
        <f>H124/B124</f>
        <v>-1.411764705882353</v>
      </c>
      <c r="J124" s="2"/>
      <c r="K124" s="46"/>
      <c r="L124" s="46"/>
      <c r="M124" s="46"/>
      <c r="N124" s="46"/>
      <c r="O124" s="46"/>
      <c r="P124" s="46"/>
      <c r="Q124" s="46"/>
      <c r="R124" s="46"/>
      <c r="S124" s="46"/>
      <c r="T124" s="2"/>
    </row>
    <row r="125" spans="1:20" hidden="1" outlineLevel="1">
      <c r="A125" s="118" t="s">
        <v>410</v>
      </c>
      <c r="B125" s="138">
        <f>VLOOKUP(A125,'LEVEL 1.2 BUDGET'!$A$13:$K$316,11,FALSE)</f>
        <v>0</v>
      </c>
      <c r="E125" s="138">
        <f>VLOOKUP($A125,'LEVEL 2'!$A$13:$K$317,11,FALSE)</f>
        <v>0</v>
      </c>
      <c r="G125" s="2"/>
      <c r="H125" s="138">
        <f t="shared" si="10"/>
        <v>0</v>
      </c>
      <c r="I125" s="425" t="str">
        <f>IF(B125=0,"n/a",H125/B125)</f>
        <v>n/a</v>
      </c>
      <c r="J125" s="2"/>
      <c r="K125" s="46"/>
      <c r="L125" s="46"/>
      <c r="M125" s="46"/>
      <c r="N125" s="46"/>
      <c r="O125" s="46"/>
      <c r="P125" s="46"/>
      <c r="Q125" s="46"/>
      <c r="R125" s="46"/>
      <c r="S125" s="46"/>
      <c r="T125" s="2"/>
    </row>
    <row r="126" spans="1:20" hidden="1" outlineLevel="1">
      <c r="A126" s="118" t="s">
        <v>412</v>
      </c>
      <c r="B126" s="138">
        <f>VLOOKUP(A126,'LEVEL 1.2 BUDGET'!$A$13:$K$316,11,FALSE)</f>
        <v>0</v>
      </c>
      <c r="E126" s="138">
        <f>VLOOKUP($A126,'LEVEL 2'!$A$13:$K$317,11,FALSE)</f>
        <v>0</v>
      </c>
      <c r="G126" s="2"/>
      <c r="H126" s="138">
        <f t="shared" si="10"/>
        <v>0</v>
      </c>
      <c r="I126" s="425" t="str">
        <f>IF(B126=0,"n/a",H126/B126)</f>
        <v>n/a</v>
      </c>
      <c r="J126" s="2"/>
      <c r="K126" s="46"/>
      <c r="L126" s="46"/>
      <c r="M126" s="46"/>
      <c r="N126" s="46"/>
      <c r="O126" s="46"/>
      <c r="P126" s="46"/>
      <c r="Q126" s="46"/>
      <c r="R126" s="46"/>
      <c r="S126" s="46"/>
      <c r="T126" s="2"/>
    </row>
    <row r="127" spans="1:20" hidden="1" outlineLevel="1">
      <c r="A127" s="118" t="s">
        <v>414</v>
      </c>
      <c r="B127" s="138">
        <f>VLOOKUP(A127,'LEVEL 1.2 BUDGET'!$A$13:$K$316,11,FALSE)</f>
        <v>0</v>
      </c>
      <c r="E127" s="138">
        <f>VLOOKUP($A127,'LEVEL 2'!$A$13:$K$317,11,FALSE)</f>
        <v>0</v>
      </c>
      <c r="G127" s="2"/>
      <c r="H127" s="138">
        <f t="shared" si="10"/>
        <v>0</v>
      </c>
      <c r="I127" s="425" t="str">
        <f>IF(B127=0,"n/a",H127/B127)</f>
        <v>n/a</v>
      </c>
      <c r="J127" s="2"/>
      <c r="K127" s="46"/>
      <c r="L127" s="46"/>
      <c r="M127" s="46"/>
      <c r="N127" s="46"/>
      <c r="O127" s="46"/>
      <c r="P127" s="46"/>
      <c r="Q127" s="46"/>
      <c r="R127" s="46"/>
      <c r="S127" s="46"/>
      <c r="T127" s="2"/>
    </row>
    <row r="128" spans="1:20" hidden="1" outlineLevel="1">
      <c r="A128" s="118" t="s">
        <v>416</v>
      </c>
      <c r="B128" s="138">
        <f>VLOOKUP(A128,'LEVEL 1.2 BUDGET'!$A$13:$K$316,11,FALSE)</f>
        <v>13440</v>
      </c>
      <c r="E128" s="138">
        <f>VLOOKUP($A128,'LEVEL 2'!$A$13:$K$317,11,FALSE)</f>
        <v>13440</v>
      </c>
      <c r="G128" s="2"/>
      <c r="H128" s="138">
        <f t="shared" si="10"/>
        <v>0</v>
      </c>
      <c r="I128" s="423">
        <f t="shared" ref="I128:I134" si="11">H128/B128</f>
        <v>0</v>
      </c>
      <c r="J128" s="2"/>
      <c r="K128" s="46"/>
      <c r="L128" s="46"/>
      <c r="M128" s="46"/>
      <c r="N128" s="46"/>
      <c r="O128" s="46"/>
      <c r="P128" s="46"/>
      <c r="Q128" s="46"/>
      <c r="R128" s="46"/>
      <c r="S128" s="46"/>
      <c r="T128" s="2"/>
    </row>
    <row r="129" spans="1:20" hidden="1" outlineLevel="1">
      <c r="A129" s="118" t="s">
        <v>419</v>
      </c>
      <c r="B129" s="138">
        <f>VLOOKUP(A129,'LEVEL 1.2 BUDGET'!$A$13:$K$316,11,FALSE)</f>
        <v>5000</v>
      </c>
      <c r="E129" s="138">
        <f>VLOOKUP($A129,'LEVEL 2'!$A$13:$K$317,11,FALSE)</f>
        <v>5000</v>
      </c>
      <c r="G129" s="2"/>
      <c r="H129" s="138">
        <f t="shared" si="10"/>
        <v>0</v>
      </c>
      <c r="I129" s="423">
        <f t="shared" si="11"/>
        <v>0</v>
      </c>
      <c r="J129" s="2"/>
      <c r="K129" s="46"/>
      <c r="L129" s="46"/>
      <c r="M129" s="46"/>
      <c r="N129" s="46"/>
      <c r="O129" s="46"/>
      <c r="P129" s="46"/>
      <c r="Q129" s="46"/>
      <c r="R129" s="46"/>
      <c r="S129" s="46"/>
      <c r="T129" s="2"/>
    </row>
    <row r="130" spans="1:20" hidden="1" outlineLevel="1">
      <c r="A130" s="118" t="s">
        <v>421</v>
      </c>
      <c r="B130" s="138">
        <f>VLOOKUP(A130,'LEVEL 1.2 BUDGET'!$A$13:$K$316,11,FALSE)</f>
        <v>30000</v>
      </c>
      <c r="E130" s="138">
        <f>VLOOKUP($A130,'LEVEL 2'!$A$13:$K$317,11,FALSE)</f>
        <v>30000</v>
      </c>
      <c r="G130" s="2"/>
      <c r="H130" s="138">
        <f t="shared" si="10"/>
        <v>0</v>
      </c>
      <c r="I130" s="423">
        <f t="shared" si="11"/>
        <v>0</v>
      </c>
      <c r="J130" s="2"/>
      <c r="K130" s="46"/>
      <c r="L130" s="46"/>
      <c r="M130" s="46"/>
      <c r="N130" s="46"/>
      <c r="O130" s="46"/>
      <c r="P130" s="46"/>
      <c r="Q130" s="46"/>
      <c r="R130" s="46"/>
      <c r="S130" s="46"/>
      <c r="T130" s="2"/>
    </row>
    <row r="131" spans="1:20" hidden="1" outlineLevel="1">
      <c r="A131" s="118" t="s">
        <v>424</v>
      </c>
      <c r="B131" s="138">
        <f>VLOOKUP(A131,'LEVEL 1.2 BUDGET'!$A$13:$K$316,11,FALSE)</f>
        <v>55539</v>
      </c>
      <c r="E131" s="138">
        <f>VLOOKUP($A131,'LEVEL 2'!$A$13:$K$317,11,FALSE)</f>
        <v>83490</v>
      </c>
      <c r="G131" s="2"/>
      <c r="H131" s="138">
        <f t="shared" si="10"/>
        <v>-27951</v>
      </c>
      <c r="I131" s="423">
        <f t="shared" si="11"/>
        <v>-0.50326797385620914</v>
      </c>
      <c r="J131" s="2"/>
      <c r="K131" s="46"/>
      <c r="L131" s="46"/>
      <c r="M131" s="46"/>
      <c r="N131" s="46"/>
      <c r="O131" s="46"/>
      <c r="P131" s="46"/>
      <c r="Q131" s="46"/>
      <c r="R131" s="46"/>
      <c r="S131" s="46"/>
      <c r="T131" s="2"/>
    </row>
    <row r="132" spans="1:20" hidden="1" outlineLevel="1">
      <c r="A132" s="118" t="s">
        <v>426</v>
      </c>
      <c r="B132" s="138">
        <f>VLOOKUP(A132,'LEVEL 1.2 BUDGET'!$A$13:$K$316,11,FALSE)</f>
        <v>120516</v>
      </c>
      <c r="E132" s="138">
        <f>VLOOKUP($A132,'LEVEL 2'!$A$13:$K$317,11,FALSE)</f>
        <v>120516</v>
      </c>
      <c r="G132" s="2"/>
      <c r="H132" s="138">
        <f t="shared" si="10"/>
        <v>0</v>
      </c>
      <c r="I132" s="423">
        <f t="shared" si="11"/>
        <v>0</v>
      </c>
      <c r="J132" s="2"/>
      <c r="K132" s="46"/>
      <c r="L132" s="46"/>
      <c r="M132" s="46"/>
      <c r="N132" s="46"/>
      <c r="O132" s="46"/>
      <c r="P132" s="46"/>
      <c r="Q132" s="46"/>
      <c r="R132" s="46"/>
      <c r="S132" s="46"/>
      <c r="T132" s="2"/>
    </row>
    <row r="133" spans="1:20" hidden="1" outlineLevel="1">
      <c r="A133" s="118" t="s">
        <v>428</v>
      </c>
      <c r="B133" s="138">
        <f>VLOOKUP(A133,'LEVEL 1.2 BUDGET'!$A$13:$K$316,11,FALSE)</f>
        <v>75000</v>
      </c>
      <c r="E133" s="138">
        <f>VLOOKUP($A133,'LEVEL 2'!$A$13:$K$317,11,FALSE)</f>
        <v>75000</v>
      </c>
      <c r="G133" s="2"/>
      <c r="H133" s="138">
        <f t="shared" si="10"/>
        <v>0</v>
      </c>
      <c r="I133" s="423">
        <f t="shared" si="11"/>
        <v>0</v>
      </c>
      <c r="J133" s="2"/>
      <c r="K133" s="46"/>
      <c r="L133" s="46"/>
      <c r="M133" s="46"/>
      <c r="N133" s="46"/>
      <c r="O133" s="46"/>
      <c r="P133" s="46"/>
      <c r="Q133" s="46"/>
      <c r="R133" s="46"/>
      <c r="S133" s="46"/>
      <c r="T133" s="2"/>
    </row>
    <row r="134" spans="1:20" hidden="1" outlineLevel="1">
      <c r="A134" s="118" t="s">
        <v>430</v>
      </c>
      <c r="B134" s="117">
        <f>VLOOKUP(A134,'LEVEL 1.2 BUDGET'!$A$13:$K$316,11,FALSE)</f>
        <v>85000</v>
      </c>
      <c r="E134" s="117">
        <f>VLOOKUP($A134,'LEVEL 2'!$A$13:$K$317,11,FALSE)</f>
        <v>85000</v>
      </c>
      <c r="G134" s="2"/>
      <c r="H134" s="95">
        <f t="shared" si="10"/>
        <v>0</v>
      </c>
      <c r="I134" s="423">
        <f t="shared" si="11"/>
        <v>0</v>
      </c>
      <c r="J134" s="2"/>
      <c r="K134" s="46"/>
      <c r="L134" s="46"/>
      <c r="M134" s="46"/>
      <c r="N134" s="46"/>
      <c r="O134" s="46"/>
      <c r="P134" s="46"/>
      <c r="Q134" s="46"/>
      <c r="R134" s="46"/>
      <c r="S134" s="46"/>
      <c r="T134" s="2"/>
    </row>
    <row r="135" spans="1:20" collapsed="1">
      <c r="A135" s="347" t="s">
        <v>431</v>
      </c>
      <c r="B135" s="110"/>
      <c r="C135" s="445">
        <f>SUM(B119:B134)</f>
        <v>468431</v>
      </c>
      <c r="E135" s="110"/>
      <c r="F135" s="445">
        <f>SUM(E119:E134)</f>
        <v>525785</v>
      </c>
      <c r="G135" s="2"/>
      <c r="H135" s="448">
        <f>C135-F135</f>
        <v>-57354</v>
      </c>
      <c r="I135" s="446">
        <f>H135/C135</f>
        <v>-0.1224385234965235</v>
      </c>
      <c r="J135" s="2"/>
      <c r="K135" s="373"/>
      <c r="L135" s="373"/>
      <c r="M135" s="373"/>
      <c r="N135" s="373"/>
      <c r="O135" s="373"/>
      <c r="P135" s="373"/>
      <c r="Q135" s="373"/>
      <c r="R135" s="373"/>
      <c r="S135" s="373"/>
      <c r="T135" s="2"/>
    </row>
    <row r="136" spans="1:20" hidden="1" outlineLevel="1">
      <c r="A136" s="118" t="s">
        <v>433</v>
      </c>
      <c r="B136" s="117">
        <f>VLOOKUP(A136,'LEVEL 1.2 BUDGET'!$A$13:$K$316,11,FALSE)</f>
        <v>1009140</v>
      </c>
      <c r="C136" s="182"/>
      <c r="E136" s="117">
        <f>VLOOKUP($A136,'LEVEL 2'!$A$13:$K$317,11,FALSE)</f>
        <v>1220061.1500000001</v>
      </c>
      <c r="F136" s="182"/>
      <c r="G136" s="2"/>
      <c r="H136" s="117">
        <f>B136-E136</f>
        <v>-210921.15000000014</v>
      </c>
      <c r="I136" s="423">
        <f>H136/B136</f>
        <v>-0.20901079136690662</v>
      </c>
      <c r="J136" s="2"/>
      <c r="K136" s="88" t="s">
        <v>974</v>
      </c>
      <c r="L136" s="88"/>
      <c r="M136" s="88"/>
      <c r="N136" s="88"/>
      <c r="O136" s="88"/>
      <c r="P136" s="88"/>
      <c r="Q136" s="88"/>
      <c r="R136" s="88"/>
      <c r="S136" s="88"/>
      <c r="T136" s="2"/>
    </row>
    <row r="137" spans="1:20" hidden="1" outlineLevel="1">
      <c r="A137" s="118" t="s">
        <v>435</v>
      </c>
      <c r="B137" s="138">
        <f>VLOOKUP(A137,'LEVEL 1.2 BUDGET'!$A$13:$K$316,11,FALSE)</f>
        <v>124765.0105263158</v>
      </c>
      <c r="C137" s="182"/>
      <c r="E137" s="138">
        <f>VLOOKUP($A137,'LEVEL 2'!$A$13:$K$317,11,FALSE)</f>
        <v>124765.0105263158</v>
      </c>
      <c r="F137" s="182"/>
      <c r="G137" s="2"/>
      <c r="H137" s="138">
        <f>B137-E137</f>
        <v>0</v>
      </c>
      <c r="I137" s="425">
        <f>IF(B137=0,"n/a",H137/B137)</f>
        <v>0</v>
      </c>
      <c r="J137" s="2"/>
      <c r="K137" s="438"/>
      <c r="T137" s="2"/>
    </row>
    <row r="138" spans="1:20" hidden="1" outlineLevel="1">
      <c r="A138" s="118" t="s">
        <v>438</v>
      </c>
      <c r="B138" s="117">
        <f>VLOOKUP(A138,'LEVEL 1.2 BUDGET'!$A$13:$K$316,11,FALSE)</f>
        <v>35000</v>
      </c>
      <c r="C138" s="360"/>
      <c r="E138" s="117">
        <f>VLOOKUP($A138,'LEVEL 2'!$A$13:$K$317,11,FALSE)</f>
        <v>35000</v>
      </c>
      <c r="F138" s="360"/>
      <c r="G138" s="2"/>
      <c r="H138" s="117">
        <f>B138-E138</f>
        <v>0</v>
      </c>
      <c r="I138" s="425">
        <f>IF(B138=0,"n/a",H138/B138)</f>
        <v>0</v>
      </c>
      <c r="J138" s="2"/>
      <c r="T138" s="2"/>
    </row>
    <row r="139" spans="1:20" collapsed="1">
      <c r="A139" s="347" t="s">
        <v>440</v>
      </c>
      <c r="B139" s="110"/>
      <c r="C139" s="130">
        <f>SUM(B136:B138)</f>
        <v>1168905.0105263158</v>
      </c>
      <c r="E139" s="110"/>
      <c r="F139" s="130">
        <f>SUM(E136:E138)</f>
        <v>1379826.1605263159</v>
      </c>
      <c r="G139" s="2"/>
      <c r="H139" s="427">
        <f>C139-F139</f>
        <v>-210921.15000000014</v>
      </c>
      <c r="I139" s="422">
        <f>H139/C139</f>
        <v>-0.18044336203591937</v>
      </c>
      <c r="J139" s="2"/>
      <c r="K139" s="373"/>
      <c r="L139" s="373"/>
      <c r="M139" s="373"/>
      <c r="N139" s="373"/>
      <c r="O139" s="373"/>
      <c r="P139" s="373"/>
      <c r="Q139" s="373"/>
      <c r="R139" s="373"/>
      <c r="S139" s="373"/>
      <c r="T139" s="2"/>
    </row>
    <row r="140" spans="1:20" hidden="1" outlineLevel="1">
      <c r="A140" s="111" t="s">
        <v>308</v>
      </c>
      <c r="B140" s="117">
        <v>0</v>
      </c>
      <c r="E140" s="117">
        <v>0</v>
      </c>
      <c r="G140" s="2"/>
      <c r="H140" s="117">
        <f t="shared" ref="H140:H147" si="12">B140-E140</f>
        <v>0</v>
      </c>
      <c r="I140" s="423">
        <v>0</v>
      </c>
      <c r="J140" s="2"/>
      <c r="K140" s="88"/>
      <c r="L140" s="88"/>
      <c r="M140" s="88"/>
      <c r="N140" s="88"/>
      <c r="O140" s="88"/>
      <c r="P140" s="88"/>
      <c r="Q140" s="88"/>
      <c r="R140" s="88"/>
      <c r="S140" s="88"/>
      <c r="T140" s="2"/>
    </row>
    <row r="141" spans="1:20" hidden="1" outlineLevel="1">
      <c r="A141" s="118" t="s">
        <v>213</v>
      </c>
      <c r="B141" s="138">
        <f>VLOOKUP(A141,'LEVEL 1.2 BUDGET'!$A$13:$K$316,11,FALSE)</f>
        <v>160809</v>
      </c>
      <c r="E141" s="138">
        <f>VLOOKUP($A141,'LEVEL 2'!$A$13:$K$317,11,FALSE)</f>
        <v>160809</v>
      </c>
      <c r="G141" s="2"/>
      <c r="H141" s="138">
        <f t="shared" si="12"/>
        <v>0</v>
      </c>
      <c r="I141" s="423">
        <f t="shared" ref="I141:I145" si="13">H141/B141</f>
        <v>0</v>
      </c>
      <c r="J141" s="2"/>
      <c r="K141" s="46"/>
      <c r="L141" s="46"/>
      <c r="M141" s="46"/>
      <c r="N141" s="46"/>
      <c r="O141" s="46"/>
      <c r="P141" s="46"/>
      <c r="Q141" s="46"/>
      <c r="R141" s="46"/>
      <c r="S141" s="46"/>
      <c r="T141" s="2"/>
    </row>
    <row r="142" spans="1:20" hidden="1" outlineLevel="1">
      <c r="A142" s="118" t="s">
        <v>453</v>
      </c>
      <c r="B142" s="138">
        <f>VLOOKUP(A142,'LEVEL 1.2 BUDGET'!$A$13:$K$316,11,FALSE)</f>
        <v>1143813</v>
      </c>
      <c r="C142" s="182"/>
      <c r="E142" s="138">
        <f>VLOOKUP($A142,'LEVEL 2'!$A$13:$K$317,11,FALSE)</f>
        <v>941174.00000000012</v>
      </c>
      <c r="F142" s="182"/>
      <c r="G142" s="2"/>
      <c r="H142" s="138">
        <f t="shared" si="12"/>
        <v>202638.99999999988</v>
      </c>
      <c r="I142" s="423">
        <f t="shared" si="13"/>
        <v>0.17716095200876356</v>
      </c>
      <c r="J142" s="2"/>
      <c r="K142" s="46" t="s">
        <v>975</v>
      </c>
      <c r="L142" s="46"/>
      <c r="M142" s="46"/>
      <c r="N142" s="46"/>
      <c r="O142" s="46"/>
      <c r="P142" s="46"/>
      <c r="Q142" s="46"/>
      <c r="R142" s="46"/>
      <c r="S142" s="46"/>
      <c r="T142" s="2"/>
    </row>
    <row r="143" spans="1:20" hidden="1" outlineLevel="1">
      <c r="A143" s="118" t="s">
        <v>460</v>
      </c>
      <c r="B143" s="138">
        <f>VLOOKUP(A143,'LEVEL 1.2 BUDGET'!$A$13:$K$316,11,FALSE)</f>
        <v>75000</v>
      </c>
      <c r="C143" s="182"/>
      <c r="E143" s="138">
        <f>VLOOKUP($A143,'LEVEL 2'!$A$13:$K$317,11,FALSE)</f>
        <v>75000</v>
      </c>
      <c r="F143" s="182"/>
      <c r="G143" s="2"/>
      <c r="H143" s="138">
        <f t="shared" si="12"/>
        <v>0</v>
      </c>
      <c r="I143" s="423">
        <f t="shared" si="13"/>
        <v>0</v>
      </c>
      <c r="J143" s="2"/>
      <c r="K143" s="46"/>
      <c r="L143" s="46"/>
      <c r="M143" s="46"/>
      <c r="N143" s="46"/>
      <c r="O143" s="46"/>
      <c r="P143" s="46"/>
      <c r="Q143" s="46"/>
      <c r="R143" s="46"/>
      <c r="S143" s="46"/>
      <c r="T143" s="2"/>
    </row>
    <row r="144" spans="1:20" hidden="1" outlineLevel="1">
      <c r="A144" s="118" t="s">
        <v>464</v>
      </c>
      <c r="B144" s="138">
        <f>VLOOKUP(A144,'LEVEL 1.2 BUDGET'!$A$13:$K$316,11,FALSE)</f>
        <v>591327</v>
      </c>
      <c r="C144" s="182"/>
      <c r="E144" s="138">
        <f>VLOOKUP($A144,'LEVEL 2'!$A$13:$K$317,11,FALSE)</f>
        <v>560706.36159999995</v>
      </c>
      <c r="F144" s="182"/>
      <c r="G144" s="2"/>
      <c r="H144" s="138">
        <f t="shared" si="12"/>
        <v>30620.638400000054</v>
      </c>
      <c r="I144" s="423">
        <f t="shared" si="13"/>
        <v>5.1782919433748256E-2</v>
      </c>
      <c r="J144" s="2"/>
      <c r="K144" s="46"/>
      <c r="L144" s="46"/>
      <c r="M144" s="46"/>
      <c r="N144" s="46"/>
      <c r="O144" s="46"/>
      <c r="P144" s="46"/>
      <c r="Q144" s="46"/>
      <c r="R144" s="46"/>
      <c r="S144" s="46"/>
      <c r="T144" s="2"/>
    </row>
    <row r="145" spans="1:20" hidden="1" outlineLevel="1">
      <c r="A145" s="118" t="s">
        <v>470</v>
      </c>
      <c r="B145" s="138">
        <f>VLOOKUP(A145,'LEVEL 1.2 BUDGET'!$A$13:$K$316,11,FALSE)</f>
        <v>65000</v>
      </c>
      <c r="E145" s="138">
        <f>VLOOKUP($A145,'LEVEL 2'!$A$13:$K$317,11,FALSE)</f>
        <v>65000</v>
      </c>
      <c r="G145" s="2"/>
      <c r="H145" s="138">
        <f t="shared" si="12"/>
        <v>0</v>
      </c>
      <c r="I145" s="423">
        <f t="shared" si="13"/>
        <v>0</v>
      </c>
      <c r="J145" s="2"/>
      <c r="K145" s="46"/>
      <c r="L145" s="46"/>
      <c r="M145" s="46"/>
      <c r="N145" s="46"/>
      <c r="O145" s="46"/>
      <c r="P145" s="46"/>
      <c r="Q145" s="46"/>
      <c r="R145" s="46"/>
      <c r="S145" s="46"/>
      <c r="T145" s="2"/>
    </row>
    <row r="146" spans="1:20" hidden="1" outlineLevel="1">
      <c r="A146" s="118" t="s">
        <v>472</v>
      </c>
      <c r="B146" s="138">
        <f>VLOOKUP(A146,'LEVEL 1.2 BUDGET'!$A$13:$K$316,11,FALSE)</f>
        <v>0</v>
      </c>
      <c r="E146" s="138">
        <f>VLOOKUP($A146,'LEVEL 2'!$A$13:$K$317,11,FALSE)</f>
        <v>0</v>
      </c>
      <c r="G146" s="2"/>
      <c r="H146" s="138">
        <f t="shared" si="12"/>
        <v>0</v>
      </c>
      <c r="I146" s="425" t="str">
        <f>IF(B146=0,"n/a",H146/B146)</f>
        <v>n/a</v>
      </c>
      <c r="J146" s="2"/>
      <c r="K146" s="46"/>
      <c r="L146" s="46"/>
      <c r="M146" s="46"/>
      <c r="N146" s="46"/>
      <c r="O146" s="46"/>
      <c r="P146" s="46"/>
      <c r="Q146" s="46"/>
      <c r="R146" s="46"/>
      <c r="S146" s="46"/>
      <c r="T146" s="2"/>
    </row>
    <row r="147" spans="1:20" hidden="1" outlineLevel="1">
      <c r="A147" s="118" t="s">
        <v>474</v>
      </c>
      <c r="B147" s="117">
        <f>VLOOKUP(A147,'LEVEL 1.2 BUDGET'!$A$13:$K$316,11,FALSE)</f>
        <v>24000</v>
      </c>
      <c r="C147" s="182"/>
      <c r="E147" s="117">
        <f>VLOOKUP($A147,'LEVEL 2'!$A$13:$K$317,11,FALSE)</f>
        <v>24000</v>
      </c>
      <c r="F147" s="182"/>
      <c r="G147" s="2"/>
      <c r="H147" s="95">
        <f t="shared" si="12"/>
        <v>0</v>
      </c>
      <c r="I147" s="423">
        <f>H147/B147</f>
        <v>0</v>
      </c>
      <c r="J147" s="2"/>
      <c r="K147" s="46"/>
      <c r="L147" s="46"/>
      <c r="M147" s="46"/>
      <c r="N147" s="46"/>
      <c r="O147" s="46"/>
      <c r="P147" s="46"/>
      <c r="Q147" s="46"/>
      <c r="R147" s="46"/>
      <c r="S147" s="46"/>
      <c r="T147" s="2"/>
    </row>
    <row r="148" spans="1:20" collapsed="1">
      <c r="A148" s="347" t="s">
        <v>476</v>
      </c>
      <c r="B148" s="110"/>
      <c r="C148" s="445">
        <f>SUM(B140:B147)</f>
        <v>2059949</v>
      </c>
      <c r="E148" s="110"/>
      <c r="F148" s="445">
        <f>SUM(E140:E147)</f>
        <v>1826689.3615999999</v>
      </c>
      <c r="G148" s="2"/>
      <c r="H148" s="448">
        <f>C148-F148</f>
        <v>233259.63840000005</v>
      </c>
      <c r="I148" s="446">
        <f>H148/C148</f>
        <v>0.11323563758131878</v>
      </c>
      <c r="J148" s="2"/>
      <c r="K148" s="373"/>
      <c r="L148" s="373"/>
      <c r="M148" s="373"/>
      <c r="N148" s="373"/>
      <c r="O148" s="373"/>
      <c r="P148" s="373"/>
      <c r="Q148" s="373"/>
      <c r="R148" s="373"/>
      <c r="S148" s="373"/>
      <c r="T148" s="2"/>
    </row>
    <row r="149" spans="1:20" hidden="1" outlineLevel="1">
      <c r="A149" s="118" t="s">
        <v>479</v>
      </c>
      <c r="B149" s="138">
        <f>VLOOKUP(A149,'LEVEL 1.2 BUDGET'!$A$13:$K$316,11,FALSE)</f>
        <v>245000</v>
      </c>
      <c r="C149" s="360"/>
      <c r="E149" s="117">
        <f>VLOOKUP($A149,'LEVEL 2'!$A$13:$K$317,11,FALSE)</f>
        <v>290931.66666666669</v>
      </c>
      <c r="F149" s="360"/>
      <c r="G149" s="2"/>
      <c r="H149" s="117">
        <f>B149-E149</f>
        <v>-45931.666666666686</v>
      </c>
      <c r="I149" s="424">
        <f>H149/B149</f>
        <v>-0.18747619047619055</v>
      </c>
      <c r="J149" s="2"/>
      <c r="K149" s="88"/>
      <c r="L149" s="88"/>
      <c r="M149" s="88"/>
      <c r="N149" s="88"/>
      <c r="O149" s="88"/>
      <c r="P149" s="88"/>
      <c r="Q149" s="88"/>
      <c r="R149" s="88"/>
      <c r="S149" s="88"/>
      <c r="T149" s="2"/>
    </row>
    <row r="150" spans="1:20" hidden="1" outlineLevel="1">
      <c r="A150" s="118" t="s">
        <v>482</v>
      </c>
      <c r="B150" s="138">
        <f>VLOOKUP(A150,'LEVEL 1.2 BUDGET'!$A$13:$K$316,11,FALSE)</f>
        <v>655512</v>
      </c>
      <c r="E150" s="138">
        <f>VLOOKUP($A150,'LEVEL 2'!$A$13:$K$317,11,FALSE)</f>
        <v>655512</v>
      </c>
      <c r="G150" s="2"/>
      <c r="H150" s="138">
        <f>B150-E150</f>
        <v>0</v>
      </c>
      <c r="I150" s="423">
        <f>H150/B150</f>
        <v>0</v>
      </c>
      <c r="J150" s="2"/>
      <c r="K150" s="46"/>
      <c r="L150" s="46"/>
      <c r="M150" s="46"/>
      <c r="N150" s="46"/>
      <c r="O150" s="46"/>
      <c r="P150" s="46"/>
      <c r="Q150" s="46"/>
      <c r="R150" s="46"/>
      <c r="S150" s="46"/>
      <c r="T150" s="2"/>
    </row>
    <row r="151" spans="1:20" hidden="1" outlineLevel="1">
      <c r="A151" s="118" t="s">
        <v>484</v>
      </c>
      <c r="B151" s="138">
        <f>VLOOKUP(A151,'LEVEL 1.2 BUDGET'!$A$13:$K$316,11,FALSE)</f>
        <v>7049</v>
      </c>
      <c r="C151" s="182"/>
      <c r="E151" s="117">
        <f>VLOOKUP($A151,'LEVEL 2'!$A$13:$K$317,11,FALSE)</f>
        <v>7049</v>
      </c>
      <c r="F151" s="182"/>
      <c r="G151" s="2"/>
      <c r="H151" s="95">
        <f>B151-E151</f>
        <v>0</v>
      </c>
      <c r="I151" s="423">
        <f>H151/B151</f>
        <v>0</v>
      </c>
      <c r="J151" s="2"/>
      <c r="K151" s="46"/>
      <c r="L151" s="46"/>
      <c r="M151" s="46"/>
      <c r="N151" s="46"/>
      <c r="O151" s="46"/>
      <c r="P151" s="46"/>
      <c r="Q151" s="46"/>
      <c r="R151" s="46"/>
      <c r="S151" s="46"/>
      <c r="T151" s="2"/>
    </row>
    <row r="152" spans="1:20" collapsed="1">
      <c r="A152" s="347" t="s">
        <v>487</v>
      </c>
      <c r="B152" s="110"/>
      <c r="C152" s="445">
        <f>SUM(B149:B151)</f>
        <v>907561</v>
      </c>
      <c r="E152" s="110"/>
      <c r="F152" s="445">
        <f>SUM(E149:E151)</f>
        <v>953492.66666666674</v>
      </c>
      <c r="G152" s="2"/>
      <c r="H152" s="448">
        <f>C152-F152</f>
        <v>-45931.666666666744</v>
      </c>
      <c r="I152" s="446">
        <f>H152/C152</f>
        <v>-5.0610004910597466E-2</v>
      </c>
      <c r="J152" s="2"/>
      <c r="K152" s="373"/>
      <c r="L152" s="373"/>
      <c r="M152" s="373"/>
      <c r="N152" s="373"/>
      <c r="O152" s="373"/>
      <c r="P152" s="373"/>
      <c r="Q152" s="373"/>
      <c r="R152" s="373"/>
      <c r="S152" s="373"/>
      <c r="T152" s="2"/>
    </row>
    <row r="153" spans="1:20" hidden="1" outlineLevel="1">
      <c r="A153" s="118" t="s">
        <v>489</v>
      </c>
      <c r="B153" s="117">
        <f>VLOOKUP(A153,'LEVEL 1.2 BUDGET'!$A$13:$K$316,11,FALSE)</f>
        <v>0</v>
      </c>
      <c r="C153" s="360"/>
      <c r="E153" s="117">
        <f>VLOOKUP($A153,'LEVEL 2'!$A$13:$K$317,11,FALSE)</f>
        <v>0</v>
      </c>
      <c r="F153" s="360"/>
      <c r="G153" s="2"/>
      <c r="H153" s="95">
        <f>B153-E153</f>
        <v>0</v>
      </c>
      <c r="I153" s="425" t="str">
        <f>IF(B153=0,"n/a",H153/B153)</f>
        <v>n/a</v>
      </c>
      <c r="J153" s="2"/>
      <c r="K153" s="88"/>
      <c r="L153" s="88"/>
      <c r="M153" s="88"/>
      <c r="N153" s="88"/>
      <c r="O153" s="88"/>
      <c r="P153" s="88"/>
      <c r="Q153" s="88"/>
      <c r="R153" s="88"/>
      <c r="S153" s="88"/>
      <c r="T153" s="2"/>
    </row>
    <row r="154" spans="1:20" collapsed="1">
      <c r="A154" s="347" t="s">
        <v>489</v>
      </c>
      <c r="B154" s="348"/>
      <c r="C154" s="445">
        <f>SUM(B153)</f>
        <v>0</v>
      </c>
      <c r="E154" s="348"/>
      <c r="F154" s="445">
        <f>SUM(E153)</f>
        <v>0</v>
      </c>
      <c r="G154" s="2"/>
      <c r="H154" s="449">
        <f>C154-F154</f>
        <v>0</v>
      </c>
      <c r="I154" s="447">
        <v>0</v>
      </c>
      <c r="J154" s="2"/>
      <c r="K154" s="373"/>
      <c r="L154" s="373"/>
      <c r="M154" s="373"/>
      <c r="N154" s="373"/>
      <c r="O154" s="373"/>
      <c r="P154" s="373"/>
      <c r="Q154" s="373"/>
      <c r="R154" s="373"/>
      <c r="S154" s="373"/>
      <c r="T154" s="2"/>
    </row>
    <row r="155" spans="1:20" hidden="1" outlineLevel="1">
      <c r="A155" s="111" t="s">
        <v>491</v>
      </c>
      <c r="B155" s="117">
        <f>VLOOKUP(A155,'LEVEL 1.2 BUDGET'!$A$13:$K$316,11,FALSE)</f>
        <v>426560</v>
      </c>
      <c r="E155" s="117">
        <f>VLOOKUP($A155,'LEVEL 2'!$A$13:$K$317,11,FALSE)</f>
        <v>483797</v>
      </c>
      <c r="G155" s="2"/>
      <c r="H155" s="117">
        <f>B155-E155</f>
        <v>-57237</v>
      </c>
      <c r="I155" s="423">
        <f>H155/B155</f>
        <v>-0.13418276444111027</v>
      </c>
      <c r="J155" s="2"/>
      <c r="K155" s="88" t="s">
        <v>976</v>
      </c>
      <c r="L155" s="88"/>
      <c r="M155" s="88"/>
      <c r="N155" s="88"/>
      <c r="O155" s="88"/>
      <c r="P155" s="88"/>
      <c r="Q155" s="88"/>
      <c r="R155" s="88"/>
      <c r="S155" s="88"/>
      <c r="T155" s="2"/>
    </row>
    <row r="156" spans="1:20" hidden="1" outlineLevel="1">
      <c r="A156" s="118" t="s">
        <v>494</v>
      </c>
      <c r="B156" s="117">
        <f>VLOOKUP(A156,'LEVEL 1.2 BUDGET'!$A$13:$K$316,11,FALSE)</f>
        <v>13000</v>
      </c>
      <c r="C156" s="360"/>
      <c r="E156" s="117">
        <f>VLOOKUP($A156,'LEVEL 2'!$A$13:$K$317,11,FALSE)</f>
        <v>13000</v>
      </c>
      <c r="F156" s="360"/>
      <c r="G156" s="2"/>
      <c r="H156" s="95">
        <f>B156-E156</f>
        <v>0</v>
      </c>
      <c r="I156" s="423">
        <f>H156/B156</f>
        <v>0</v>
      </c>
      <c r="J156" s="2"/>
      <c r="K156" s="46"/>
      <c r="L156" s="46"/>
      <c r="M156" s="46"/>
      <c r="N156" s="46"/>
      <c r="O156" s="46"/>
      <c r="P156" s="46"/>
      <c r="Q156" s="46"/>
      <c r="R156" s="46"/>
      <c r="S156" s="46"/>
      <c r="T156" s="2"/>
    </row>
    <row r="157" spans="1:20" collapsed="1">
      <c r="A157" s="347" t="s">
        <v>496</v>
      </c>
      <c r="B157" s="110"/>
      <c r="C157" s="445">
        <f>SUM(B155:B156)</f>
        <v>439560</v>
      </c>
      <c r="E157" s="110"/>
      <c r="F157" s="445">
        <f>SUM(E155:E156)</f>
        <v>496797</v>
      </c>
      <c r="G157" s="2"/>
      <c r="H157" s="448">
        <f>C157-F157</f>
        <v>-57237</v>
      </c>
      <c r="I157" s="446">
        <f>H157/C157</f>
        <v>-0.13021430521430521</v>
      </c>
      <c r="J157" s="2"/>
      <c r="K157" s="373"/>
      <c r="L157" s="373"/>
      <c r="M157" s="373"/>
      <c r="N157" s="373"/>
      <c r="O157" s="373"/>
      <c r="P157" s="373"/>
      <c r="Q157" s="373"/>
      <c r="R157" s="373"/>
      <c r="S157" s="373"/>
      <c r="T157" s="2"/>
    </row>
    <row r="158" spans="1:20" hidden="1" outlineLevel="1">
      <c r="A158" s="118" t="s">
        <v>498</v>
      </c>
      <c r="B158" s="117">
        <f>VLOOKUP(A158,'LEVEL 1.2 BUDGET'!$A$13:$K$316,11,FALSE)</f>
        <v>25000</v>
      </c>
      <c r="C158" s="360"/>
      <c r="E158" s="117">
        <f>VLOOKUP($A158,'LEVEL 2'!$A$13:$K$317,11,FALSE)</f>
        <v>25000</v>
      </c>
      <c r="F158" s="360"/>
      <c r="G158" s="2"/>
      <c r="H158" s="117">
        <f>B158-E158</f>
        <v>0</v>
      </c>
      <c r="I158" s="423">
        <f>H158/B158</f>
        <v>0</v>
      </c>
      <c r="J158" s="2"/>
      <c r="K158" s="88"/>
      <c r="L158" s="88"/>
      <c r="M158" s="88"/>
      <c r="N158" s="88"/>
      <c r="O158" s="88"/>
      <c r="P158" s="88"/>
      <c r="Q158" s="88"/>
      <c r="R158" s="88"/>
      <c r="S158" s="88"/>
      <c r="T158" s="2"/>
    </row>
    <row r="159" spans="1:20" hidden="1" outlineLevel="1">
      <c r="A159" s="118" t="s">
        <v>500</v>
      </c>
      <c r="B159" s="138">
        <f>VLOOKUP(A159,'LEVEL 1.2 BUDGET'!$A$13:$K$316,11,FALSE)</f>
        <v>960813.15</v>
      </c>
      <c r="E159" s="138">
        <f>VLOOKUP($A159,'LEVEL 2'!$A$13:$K$317,11,FALSE)</f>
        <v>960813.15</v>
      </c>
      <c r="G159" s="2"/>
      <c r="H159" s="138">
        <f>B159-E159</f>
        <v>0</v>
      </c>
      <c r="I159" s="423">
        <f>H159/B159</f>
        <v>0</v>
      </c>
      <c r="J159" s="2"/>
      <c r="K159" s="46"/>
      <c r="L159" s="46"/>
      <c r="M159" s="46"/>
      <c r="N159" s="46"/>
      <c r="O159" s="46"/>
      <c r="P159" s="46"/>
      <c r="Q159" s="46"/>
      <c r="R159" s="46"/>
      <c r="S159" s="46"/>
      <c r="T159" s="2"/>
    </row>
    <row r="160" spans="1:20" hidden="1" outlineLevel="1">
      <c r="A160" s="118" t="s">
        <v>503</v>
      </c>
      <c r="B160" s="117">
        <f>VLOOKUP(A160,'LEVEL 1.2 BUDGET'!$A$13:$K$316,11,FALSE)</f>
        <v>125000</v>
      </c>
      <c r="C160" s="360"/>
      <c r="E160" s="117">
        <f>VLOOKUP($A160,'LEVEL 2'!$A$13:$K$317,11,FALSE)</f>
        <v>125000</v>
      </c>
      <c r="F160" s="360"/>
      <c r="G160" s="2"/>
      <c r="H160" s="95">
        <f>B160-E160</f>
        <v>0</v>
      </c>
      <c r="I160" s="424">
        <f>H160/B160</f>
        <v>0</v>
      </c>
      <c r="J160" s="2"/>
      <c r="K160" s="46"/>
      <c r="L160" s="46"/>
      <c r="M160" s="46"/>
      <c r="N160" s="46"/>
      <c r="O160" s="46"/>
      <c r="P160" s="46"/>
      <c r="Q160" s="46"/>
      <c r="R160" s="46"/>
      <c r="S160" s="46"/>
      <c r="T160" s="2"/>
    </row>
    <row r="161" spans="1:20" collapsed="1">
      <c r="A161" s="347" t="s">
        <v>506</v>
      </c>
      <c r="B161" s="110"/>
      <c r="C161" s="445">
        <f>SUM(B158:B160)</f>
        <v>1110813.1499999999</v>
      </c>
      <c r="E161" s="110"/>
      <c r="F161" s="445">
        <f>SUM(E158:E160)</f>
        <v>1110813.1499999999</v>
      </c>
      <c r="G161" s="2"/>
      <c r="H161" s="448">
        <f>C161-F161</f>
        <v>0</v>
      </c>
      <c r="I161" s="446">
        <f>H161/C161</f>
        <v>0</v>
      </c>
      <c r="J161" s="2"/>
      <c r="K161" s="373"/>
      <c r="L161" s="373"/>
      <c r="M161" s="373"/>
      <c r="N161" s="373"/>
      <c r="O161" s="373"/>
      <c r="P161" s="373"/>
      <c r="Q161" s="373"/>
      <c r="R161" s="373"/>
      <c r="S161" s="373"/>
      <c r="T161" s="2"/>
    </row>
    <row r="162" spans="1:20" hidden="1" outlineLevel="1">
      <c r="A162" s="118" t="s">
        <v>508</v>
      </c>
      <c r="B162" s="117">
        <f>VLOOKUP(A162,'LEVEL 1.2 BUDGET'!$A$13:$K$316,11,FALSE)</f>
        <v>3655047</v>
      </c>
      <c r="C162" s="360"/>
      <c r="E162" s="117">
        <f>VLOOKUP($A162,'LEVEL 2'!$A$13:$K$317,11,FALSE)</f>
        <v>3655047</v>
      </c>
      <c r="F162" s="360"/>
      <c r="G162" s="2"/>
      <c r="H162" s="117">
        <f>B162-E162</f>
        <v>0</v>
      </c>
      <c r="I162" s="424">
        <f>H162/B162</f>
        <v>0</v>
      </c>
      <c r="J162" s="2"/>
      <c r="K162" s="88"/>
      <c r="L162" s="88"/>
      <c r="M162" s="88"/>
      <c r="N162" s="88"/>
      <c r="O162" s="88"/>
      <c r="P162" s="88"/>
      <c r="Q162" s="88"/>
      <c r="R162" s="88"/>
      <c r="S162" s="88"/>
      <c r="T162" s="2"/>
    </row>
    <row r="163" spans="1:20" hidden="1" outlineLevel="1">
      <c r="A163" s="118" t="s">
        <v>513</v>
      </c>
      <c r="B163" s="138">
        <f>VLOOKUP(A163,'LEVEL 1.2 BUDGET'!$A$13:$K$316,11,FALSE)</f>
        <v>0</v>
      </c>
      <c r="E163" s="138">
        <f>VLOOKUP($A163,'LEVEL 2'!$A$13:$K$317,11,FALSE)</f>
        <v>0</v>
      </c>
      <c r="G163" s="2"/>
      <c r="H163" s="138">
        <f>B163-E163</f>
        <v>0</v>
      </c>
      <c r="I163" s="425" t="str">
        <f>IF(B163=0,"n/a",H163/B163)</f>
        <v>n/a</v>
      </c>
      <c r="J163" s="2"/>
      <c r="K163" s="46"/>
      <c r="L163" s="46"/>
      <c r="M163" s="46"/>
      <c r="N163" s="46"/>
      <c r="O163" s="46"/>
      <c r="P163" s="46"/>
      <c r="Q163" s="46"/>
      <c r="R163" s="46"/>
      <c r="S163" s="46"/>
      <c r="T163" s="2"/>
    </row>
    <row r="164" spans="1:20" hidden="1" outlineLevel="1">
      <c r="A164" s="118" t="s">
        <v>514</v>
      </c>
      <c r="B164" s="138">
        <f>VLOOKUP(A164,'LEVEL 1.2 BUDGET'!$A$13:$K$316,11,FALSE)</f>
        <v>2500</v>
      </c>
      <c r="E164" s="138">
        <f>VLOOKUP($A164,'LEVEL 2'!$A$13:$K$317,11,FALSE)</f>
        <v>2500</v>
      </c>
      <c r="G164" s="2"/>
      <c r="H164" s="138">
        <f>B164-E164</f>
        <v>0</v>
      </c>
      <c r="I164" s="425">
        <f>IF(B164=0,"n/a",H164/B164)</f>
        <v>0</v>
      </c>
      <c r="J164" s="2"/>
      <c r="K164" s="46"/>
      <c r="L164" s="46"/>
      <c r="M164" s="46"/>
      <c r="N164" s="46"/>
      <c r="O164" s="46"/>
      <c r="P164" s="46"/>
      <c r="Q164" s="46"/>
      <c r="R164" s="46"/>
      <c r="S164" s="46"/>
      <c r="T164" s="2"/>
    </row>
    <row r="165" spans="1:20" hidden="1" outlineLevel="1">
      <c r="A165" s="118" t="s">
        <v>516</v>
      </c>
      <c r="B165" s="138">
        <f>VLOOKUP(A165,'LEVEL 1.2 BUDGET'!$A$13:$K$316,11,FALSE)</f>
        <v>25000</v>
      </c>
      <c r="E165" s="138">
        <f>VLOOKUP($A165,'LEVEL 2'!$A$13:$K$317,11,FALSE)</f>
        <v>25000</v>
      </c>
      <c r="G165" s="2"/>
      <c r="H165" s="138">
        <f>B165-E165</f>
        <v>0</v>
      </c>
      <c r="I165" s="423">
        <f>H165/B165</f>
        <v>0</v>
      </c>
      <c r="J165" s="2"/>
      <c r="K165" s="46"/>
      <c r="L165" s="46"/>
      <c r="M165" s="46"/>
      <c r="N165" s="46"/>
      <c r="O165" s="46"/>
      <c r="P165" s="46"/>
      <c r="Q165" s="46"/>
      <c r="R165" s="46"/>
      <c r="S165" s="46"/>
      <c r="T165" s="2"/>
    </row>
    <row r="166" spans="1:20" hidden="1" outlineLevel="1">
      <c r="A166" s="118" t="s">
        <v>518</v>
      </c>
      <c r="B166" s="117">
        <f>VLOOKUP(A166,'LEVEL 1.2 BUDGET'!$A$13:$K$316,11,FALSE)</f>
        <v>6000</v>
      </c>
      <c r="C166" s="360"/>
      <c r="E166" s="117">
        <f>VLOOKUP($A166,'LEVEL 2'!$A$13:$K$317,11,FALSE)</f>
        <v>6000</v>
      </c>
      <c r="F166" s="360"/>
      <c r="G166" s="2"/>
      <c r="H166" s="95">
        <f>B166-E166</f>
        <v>0</v>
      </c>
      <c r="I166" s="423">
        <f>H166/B166</f>
        <v>0</v>
      </c>
      <c r="J166" s="2"/>
      <c r="K166" s="46"/>
      <c r="L166" s="46"/>
      <c r="M166" s="46"/>
      <c r="N166" s="46"/>
      <c r="O166" s="46"/>
      <c r="P166" s="46"/>
      <c r="Q166" s="46"/>
      <c r="R166" s="46"/>
      <c r="S166" s="46"/>
      <c r="T166" s="2"/>
    </row>
    <row r="167" spans="1:20" collapsed="1">
      <c r="A167" s="347" t="s">
        <v>520</v>
      </c>
      <c r="B167" s="110"/>
      <c r="C167" s="445">
        <f>SUM(B162:B166)</f>
        <v>3688547</v>
      </c>
      <c r="E167" s="110"/>
      <c r="F167" s="445">
        <f>SUM(E162:E166)</f>
        <v>3688547</v>
      </c>
      <c r="G167" s="2"/>
      <c r="H167" s="448">
        <f>C167-F167</f>
        <v>0</v>
      </c>
      <c r="I167" s="446">
        <f>H167/C167</f>
        <v>0</v>
      </c>
      <c r="J167" s="2"/>
      <c r="K167" s="374"/>
      <c r="L167" s="373"/>
      <c r="M167" s="373"/>
      <c r="N167" s="373"/>
      <c r="O167" s="373"/>
      <c r="P167" s="373"/>
      <c r="Q167" s="373"/>
      <c r="R167" s="373"/>
      <c r="S167" s="373"/>
      <c r="T167" s="2"/>
    </row>
    <row r="168" spans="1:20" hidden="1" outlineLevel="1">
      <c r="A168" s="118" t="s">
        <v>522</v>
      </c>
      <c r="B168" s="117">
        <f>VLOOKUP(A168,'LEVEL 1.2 BUDGET'!$A$13:$K$316,11,FALSE)</f>
        <v>3573865.979381443</v>
      </c>
      <c r="C168" s="360"/>
      <c r="E168" s="117">
        <f>VLOOKUP($A168,'LEVEL 2'!$A$13:$K$317,11,FALSE)</f>
        <v>3573865.979381443</v>
      </c>
      <c r="F168" s="360"/>
      <c r="G168" s="2"/>
      <c r="H168" s="117">
        <f>B168-E168</f>
        <v>0</v>
      </c>
      <c r="I168" s="424">
        <f>H168/B168</f>
        <v>0</v>
      </c>
      <c r="J168" s="2"/>
      <c r="K168" s="88"/>
      <c r="L168" s="88"/>
      <c r="M168" s="88"/>
      <c r="N168" s="88"/>
      <c r="O168" s="88"/>
      <c r="P168" s="88"/>
      <c r="Q168" s="88"/>
      <c r="R168" s="88"/>
      <c r="S168" s="88"/>
      <c r="T168" s="2"/>
    </row>
    <row r="169" spans="1:20" hidden="1" outlineLevel="1">
      <c r="A169" s="118" t="s">
        <v>525</v>
      </c>
      <c r="B169" s="117">
        <f>VLOOKUP(A169,'LEVEL 1.2 BUDGET'!$A$13:$K$316,11,FALSE)</f>
        <v>15000</v>
      </c>
      <c r="C169" s="182"/>
      <c r="E169" s="117">
        <f>VLOOKUP($A169,'LEVEL 2'!$A$13:$K$317,11,FALSE)</f>
        <v>15000</v>
      </c>
      <c r="F169" s="182"/>
      <c r="G169" s="2"/>
      <c r="H169" s="95">
        <f>B169-E169</f>
        <v>0</v>
      </c>
      <c r="I169" s="425">
        <f>IF(B169=0,"n/a",H169/B169)</f>
        <v>0</v>
      </c>
      <c r="J169" s="2"/>
      <c r="K169" s="46"/>
      <c r="L169" s="46"/>
      <c r="M169" s="46"/>
      <c r="N169" s="46"/>
      <c r="O169" s="46"/>
      <c r="P169" s="46"/>
      <c r="Q169" s="46"/>
      <c r="R169" s="46"/>
      <c r="S169" s="46"/>
      <c r="T169" s="2"/>
    </row>
    <row r="170" spans="1:20" collapsed="1">
      <c r="A170" s="347" t="s">
        <v>527</v>
      </c>
      <c r="B170" s="110"/>
      <c r="C170" s="445">
        <f>SUM(B168:B169)</f>
        <v>3588865.979381443</v>
      </c>
      <c r="E170" s="110"/>
      <c r="F170" s="445">
        <f>SUM(E168:E169)</f>
        <v>3588865.979381443</v>
      </c>
      <c r="G170" s="2"/>
      <c r="H170" s="448">
        <f>C170-F170</f>
        <v>0</v>
      </c>
      <c r="I170" s="446">
        <f>H170/C170</f>
        <v>0</v>
      </c>
      <c r="J170" s="2"/>
      <c r="K170" s="373"/>
      <c r="L170" s="373"/>
      <c r="M170" s="373"/>
      <c r="N170" s="373"/>
      <c r="O170" s="373"/>
      <c r="P170" s="373"/>
      <c r="Q170" s="373"/>
      <c r="R170" s="373"/>
      <c r="S170" s="373"/>
      <c r="T170" s="2"/>
    </row>
    <row r="171" spans="1:20" hidden="1" outlineLevel="1">
      <c r="A171" s="118" t="s">
        <v>107</v>
      </c>
      <c r="B171" s="117">
        <f>VLOOKUP(A171,'LEVEL 1.2 BUDGET'!$A$13:$K$316,11,FALSE)</f>
        <v>3651772.982693885</v>
      </c>
      <c r="C171" s="182"/>
      <c r="E171" s="117">
        <f>VLOOKUP($A171,'LEVEL 2'!$A$13:$K$317,11,FALSE)</f>
        <v>3846878.3099999996</v>
      </c>
      <c r="F171" s="182"/>
      <c r="G171" s="2"/>
      <c r="H171" s="117">
        <f t="shared" ref="H171:H187" si="14">B171-E171</f>
        <v>-195105.3273061146</v>
      </c>
      <c r="I171" s="423">
        <f t="shared" ref="I171:I177" si="15">H171/B171</f>
        <v>-5.3427561962569453E-2</v>
      </c>
      <c r="J171" s="2"/>
      <c r="K171" s="375" t="s">
        <v>977</v>
      </c>
      <c r="L171" s="88"/>
      <c r="M171" s="88"/>
      <c r="N171" s="88"/>
      <c r="O171" s="88"/>
      <c r="P171" s="88"/>
      <c r="Q171" s="88"/>
      <c r="R171" s="88"/>
      <c r="S171" s="88"/>
      <c r="T171" s="2"/>
    </row>
    <row r="172" spans="1:20" hidden="1" outlineLevel="1">
      <c r="A172" s="118" t="s">
        <v>531</v>
      </c>
      <c r="B172" s="117">
        <v>0</v>
      </c>
      <c r="C172" s="182"/>
      <c r="E172" s="117">
        <f>VLOOKUP($A172,'LEVEL 2'!$A$13:$K$317,11,FALSE)</f>
        <v>10000</v>
      </c>
      <c r="F172" s="182"/>
      <c r="G172" s="2"/>
      <c r="H172" s="117"/>
      <c r="I172" s="423"/>
      <c r="J172" s="2"/>
      <c r="K172" s="375"/>
      <c r="L172" s="88"/>
      <c r="M172" s="88"/>
      <c r="N172" s="88"/>
      <c r="O172" s="88"/>
      <c r="P172" s="88"/>
      <c r="Q172" s="88"/>
      <c r="R172" s="88"/>
      <c r="S172" s="88"/>
      <c r="T172" s="2"/>
    </row>
    <row r="173" spans="1:20" hidden="1" outlineLevel="1">
      <c r="A173" s="118" t="s">
        <v>252</v>
      </c>
      <c r="B173" s="138">
        <f>VLOOKUP(A173,'LEVEL 1.2 BUDGET'!$A$13:$K$316,11,FALSE)</f>
        <v>217800</v>
      </c>
      <c r="E173" s="138">
        <f>VLOOKUP($A173,'LEVEL 2'!$A$13:$K$317,11,FALSE)</f>
        <v>254100</v>
      </c>
      <c r="G173" s="2"/>
      <c r="H173" s="138">
        <f t="shared" si="14"/>
        <v>-36300</v>
      </c>
      <c r="I173" s="423">
        <f t="shared" si="15"/>
        <v>-0.16666666666666666</v>
      </c>
      <c r="J173" s="2"/>
      <c r="K173" s="46"/>
      <c r="L173" s="46"/>
      <c r="M173" s="46"/>
      <c r="N173" s="46"/>
      <c r="O173" s="46"/>
      <c r="P173" s="46"/>
      <c r="Q173" s="46"/>
      <c r="R173" s="46"/>
      <c r="S173" s="46"/>
      <c r="T173" s="2"/>
    </row>
    <row r="174" spans="1:20" hidden="1" outlineLevel="1">
      <c r="A174" s="118" t="s">
        <v>533</v>
      </c>
      <c r="B174" s="138">
        <f>VLOOKUP(A174,'LEVEL 1.2 BUDGET'!$A$13:$K$316,11,FALSE)</f>
        <v>43197</v>
      </c>
      <c r="E174" s="138">
        <f>VLOOKUP($A174,'LEVEL 2'!$A$13:$K$317,11,FALSE)</f>
        <v>43560</v>
      </c>
      <c r="G174" s="2"/>
      <c r="H174" s="138">
        <f t="shared" si="14"/>
        <v>-363</v>
      </c>
      <c r="I174" s="423">
        <f t="shared" si="15"/>
        <v>-8.4033613445378148E-3</v>
      </c>
      <c r="J174" s="2"/>
      <c r="K174" s="46"/>
      <c r="L174" s="46"/>
      <c r="M174" s="46"/>
      <c r="N174" s="46"/>
      <c r="O174" s="46"/>
      <c r="P174" s="46"/>
      <c r="Q174" s="46"/>
      <c r="R174" s="46"/>
      <c r="S174" s="46"/>
      <c r="T174" s="2"/>
    </row>
    <row r="175" spans="1:20" hidden="1" outlineLevel="1">
      <c r="A175" s="118" t="s">
        <v>536</v>
      </c>
      <c r="B175" s="138">
        <f>VLOOKUP(A175,'LEVEL 1.2 BUDGET'!$A$13:$K$316,11,FALSE)</f>
        <v>40656</v>
      </c>
      <c r="E175" s="138">
        <f>VLOOKUP($A175,'LEVEL 2'!$A$13:$K$317,11,FALSE)</f>
        <v>41745</v>
      </c>
      <c r="G175" s="2"/>
      <c r="H175" s="138">
        <f t="shared" si="14"/>
        <v>-1089</v>
      </c>
      <c r="I175" s="423">
        <f t="shared" si="15"/>
        <v>-2.6785714285714284E-2</v>
      </c>
      <c r="J175" s="2"/>
      <c r="K175" s="46"/>
      <c r="L175" s="46"/>
      <c r="M175" s="46"/>
      <c r="N175" s="46"/>
      <c r="O175" s="46"/>
      <c r="P175" s="46"/>
      <c r="Q175" s="46"/>
      <c r="R175" s="46"/>
      <c r="S175" s="46"/>
      <c r="T175" s="2"/>
    </row>
    <row r="176" spans="1:20" hidden="1" outlineLevel="1">
      <c r="A176" s="118" t="s">
        <v>539</v>
      </c>
      <c r="B176" s="138">
        <f>VLOOKUP(A176,'LEVEL 1.2 BUDGET'!$A$13:$K$316,11,FALSE)</f>
        <v>39468</v>
      </c>
      <c r="E176" s="138">
        <f>VLOOKUP($A176,'LEVEL 2'!$A$13:$K$317,11,FALSE)</f>
        <v>57200</v>
      </c>
      <c r="G176" s="2"/>
      <c r="H176" s="138">
        <f t="shared" si="14"/>
        <v>-17732</v>
      </c>
      <c r="I176" s="423">
        <f t="shared" si="15"/>
        <v>-0.44927536231884058</v>
      </c>
      <c r="J176" s="2"/>
      <c r="K176" s="46"/>
      <c r="L176" s="46"/>
      <c r="M176" s="46"/>
      <c r="N176" s="46"/>
      <c r="O176" s="46"/>
      <c r="P176" s="46"/>
      <c r="Q176" s="46"/>
      <c r="R176" s="46"/>
      <c r="S176" s="46"/>
      <c r="T176" s="2"/>
    </row>
    <row r="177" spans="1:20" hidden="1" outlineLevel="1">
      <c r="A177" s="118" t="s">
        <v>541</v>
      </c>
      <c r="B177" s="138">
        <f>VLOOKUP(A177,'LEVEL 1.2 BUDGET'!$A$13:$K$316,11,FALSE)</f>
        <v>7150</v>
      </c>
      <c r="E177" s="138">
        <f>VLOOKUP($A177,'LEVEL 2'!$A$13:$K$317,11,FALSE)</f>
        <v>14300</v>
      </c>
      <c r="G177" s="2"/>
      <c r="H177" s="138">
        <f t="shared" si="14"/>
        <v>-7150</v>
      </c>
      <c r="I177" s="423">
        <f t="shared" si="15"/>
        <v>-1</v>
      </c>
      <c r="J177" s="2"/>
      <c r="K177" s="46"/>
      <c r="L177" s="46"/>
      <c r="M177" s="46"/>
      <c r="N177" s="46"/>
      <c r="O177" s="46"/>
      <c r="P177" s="46"/>
      <c r="Q177" s="46"/>
      <c r="R177" s="46"/>
      <c r="S177" s="46"/>
      <c r="T177" s="2"/>
    </row>
    <row r="178" spans="1:20" hidden="1" outlineLevel="1">
      <c r="A178" s="118" t="s">
        <v>542</v>
      </c>
      <c r="B178" s="138">
        <f>VLOOKUP(A178,'LEVEL 1.2 BUDGET'!$A$13:$K$316,11,FALSE)</f>
        <v>0</v>
      </c>
      <c r="E178" s="138">
        <f>VLOOKUP($A178,'LEVEL 2'!$A$13:$K$317,11,FALSE)</f>
        <v>5000</v>
      </c>
      <c r="G178" s="2"/>
      <c r="H178" s="138">
        <f t="shared" si="14"/>
        <v>-5000</v>
      </c>
      <c r="I178" s="425" t="str">
        <f>IF(B178=0,"n/a",H178/B178)</f>
        <v>n/a</v>
      </c>
      <c r="J178" s="2"/>
      <c r="K178" s="46"/>
      <c r="L178" s="46"/>
      <c r="M178" s="46"/>
      <c r="N178" s="46"/>
      <c r="O178" s="46"/>
      <c r="P178" s="46"/>
      <c r="Q178" s="46"/>
      <c r="R178" s="46"/>
      <c r="S178" s="46"/>
      <c r="T178" s="2"/>
    </row>
    <row r="179" spans="1:20" hidden="1" outlineLevel="1">
      <c r="A179" s="118" t="s">
        <v>543</v>
      </c>
      <c r="B179" s="138">
        <f>VLOOKUP(A179,'LEVEL 1.2 BUDGET'!$A$13:$K$316,11,FALSE)</f>
        <v>0</v>
      </c>
      <c r="E179" s="138">
        <f>VLOOKUP($A179,'LEVEL 2'!$A$13:$K$317,11,FALSE)</f>
        <v>5000</v>
      </c>
      <c r="G179" s="2"/>
      <c r="H179" s="138">
        <f t="shared" si="14"/>
        <v>-5000</v>
      </c>
      <c r="I179" s="425" t="str">
        <f>IF(B179=0,"n/a",H179/B179)</f>
        <v>n/a</v>
      </c>
      <c r="J179" s="2"/>
      <c r="K179" s="46"/>
      <c r="L179" s="46"/>
      <c r="M179" s="46"/>
      <c r="N179" s="46"/>
      <c r="O179" s="46"/>
      <c r="P179" s="46"/>
      <c r="Q179" s="46"/>
      <c r="R179" s="46"/>
      <c r="S179" s="46"/>
      <c r="T179" s="2"/>
    </row>
    <row r="180" spans="1:20" hidden="1" outlineLevel="1">
      <c r="A180" s="118" t="s">
        <v>545</v>
      </c>
      <c r="B180" s="138">
        <f>VLOOKUP(A180,'LEVEL 1.2 BUDGET'!$A$13:$K$316,11,FALSE)</f>
        <v>100000</v>
      </c>
      <c r="E180" s="138">
        <f>VLOOKUP($A180,'LEVEL 2'!$A$13:$K$317,11,FALSE)</f>
        <v>60000</v>
      </c>
      <c r="G180" s="2"/>
      <c r="H180" s="138">
        <f t="shared" si="14"/>
        <v>40000</v>
      </c>
      <c r="I180" s="423">
        <f t="shared" ref="I180:I187" si="16">H180/B180</f>
        <v>0.4</v>
      </c>
      <c r="J180" s="2"/>
      <c r="K180" s="46"/>
      <c r="L180" s="46"/>
      <c r="M180" s="46"/>
      <c r="N180" s="46"/>
      <c r="O180" s="46"/>
      <c r="P180" s="46"/>
      <c r="Q180" s="46"/>
      <c r="R180" s="46"/>
      <c r="S180" s="46"/>
      <c r="T180" s="2"/>
    </row>
    <row r="181" spans="1:20" hidden="1" outlineLevel="1">
      <c r="A181" s="118" t="s">
        <v>548</v>
      </c>
      <c r="B181" s="138">
        <f>VLOOKUP(A181,'LEVEL 1.2 BUDGET'!$A$13:$K$316,11,FALSE)</f>
        <v>20820</v>
      </c>
      <c r="E181" s="138">
        <f>VLOOKUP($A181,'LEVEL 2'!$A$13:$K$317,11,FALSE)</f>
        <v>43375</v>
      </c>
      <c r="G181" s="2"/>
      <c r="H181" s="138">
        <f t="shared" si="14"/>
        <v>-22555</v>
      </c>
      <c r="I181" s="423">
        <f t="shared" si="16"/>
        <v>-1.0833333333333333</v>
      </c>
      <c r="J181" s="2"/>
      <c r="K181" s="150"/>
      <c r="L181" s="46"/>
      <c r="M181" s="46"/>
      <c r="N181" s="46"/>
      <c r="O181" s="46"/>
      <c r="P181" s="46"/>
      <c r="Q181" s="46"/>
      <c r="R181" s="46"/>
      <c r="S181" s="46"/>
      <c r="T181" s="2"/>
    </row>
    <row r="182" spans="1:20" hidden="1" outlineLevel="1">
      <c r="A182" s="118" t="s">
        <v>550</v>
      </c>
      <c r="B182" s="138">
        <f>VLOOKUP(A182,'LEVEL 1.2 BUDGET'!$A$13:$K$316,11,FALSE)</f>
        <v>20820</v>
      </c>
      <c r="E182" s="138">
        <f>VLOOKUP($A182,'LEVEL 2'!$A$13:$K$317,11,FALSE)</f>
        <v>30362.500000000004</v>
      </c>
      <c r="G182" s="2"/>
      <c r="H182" s="138">
        <f t="shared" si="14"/>
        <v>-9542.5000000000036</v>
      </c>
      <c r="I182" s="423">
        <f t="shared" si="16"/>
        <v>-0.45833333333333348</v>
      </c>
      <c r="J182" s="2"/>
      <c r="K182" s="46"/>
      <c r="L182" s="46"/>
      <c r="M182" s="46"/>
      <c r="N182" s="46"/>
      <c r="O182" s="46"/>
      <c r="P182" s="46"/>
      <c r="Q182" s="46"/>
      <c r="R182" s="46"/>
      <c r="S182" s="46"/>
      <c r="T182" s="2"/>
    </row>
    <row r="183" spans="1:20" hidden="1" outlineLevel="1">
      <c r="A183" s="118" t="s">
        <v>553</v>
      </c>
      <c r="B183" s="138">
        <f>VLOOKUP(A183,'LEVEL 1.2 BUDGET'!$A$13:$K$316,11,FALSE)</f>
        <v>20000</v>
      </c>
      <c r="E183" s="138">
        <f>VLOOKUP($A183,'LEVEL 2'!$A$13:$K$317,11,FALSE)</f>
        <v>12500</v>
      </c>
      <c r="G183" s="2"/>
      <c r="H183" s="138">
        <f t="shared" si="14"/>
        <v>7500</v>
      </c>
      <c r="I183" s="423">
        <f t="shared" si="16"/>
        <v>0.375</v>
      </c>
      <c r="J183" s="2"/>
      <c r="K183" s="150"/>
      <c r="L183" s="46"/>
      <c r="M183" s="46"/>
      <c r="N183" s="46"/>
      <c r="O183" s="46"/>
      <c r="P183" s="46"/>
      <c r="Q183" s="46"/>
      <c r="R183" s="46"/>
      <c r="S183" s="46"/>
      <c r="T183" s="2"/>
    </row>
    <row r="184" spans="1:20" hidden="1" outlineLevel="1">
      <c r="A184" s="118" t="s">
        <v>555</v>
      </c>
      <c r="B184" s="138">
        <f>VLOOKUP(A184,'LEVEL 1.2 BUDGET'!$A$13:$K$316,11,FALSE)</f>
        <v>12500</v>
      </c>
      <c r="E184" s="138">
        <f>VLOOKUP($A184,'LEVEL 2'!$A$13:$K$317,11,FALSE)</f>
        <v>12500</v>
      </c>
      <c r="G184" s="2"/>
      <c r="H184" s="138">
        <f t="shared" si="14"/>
        <v>0</v>
      </c>
      <c r="I184" s="423">
        <f t="shared" si="16"/>
        <v>0</v>
      </c>
      <c r="J184" s="2"/>
      <c r="K184" s="46"/>
      <c r="L184" s="46"/>
      <c r="M184" s="46"/>
      <c r="N184" s="46"/>
      <c r="O184" s="46"/>
      <c r="P184" s="46"/>
      <c r="Q184" s="46"/>
      <c r="R184" s="46"/>
      <c r="S184" s="46"/>
      <c r="T184" s="2"/>
    </row>
    <row r="185" spans="1:20" hidden="1" outlineLevel="1">
      <c r="A185" s="118" t="s">
        <v>557</v>
      </c>
      <c r="B185" s="138">
        <f>VLOOKUP(A185,'LEVEL 1.2 BUDGET'!$A$13:$K$316,11,FALSE)</f>
        <v>2500</v>
      </c>
      <c r="E185" s="138">
        <f>VLOOKUP($A185,'LEVEL 2'!$A$13:$K$317,11,FALSE)</f>
        <v>2500</v>
      </c>
      <c r="G185" s="2"/>
      <c r="H185" s="138">
        <f t="shared" si="14"/>
        <v>0</v>
      </c>
      <c r="I185" s="423">
        <f t="shared" si="16"/>
        <v>0</v>
      </c>
      <c r="J185" s="2"/>
      <c r="K185" s="46"/>
      <c r="L185" s="46"/>
      <c r="M185" s="46"/>
      <c r="N185" s="46"/>
      <c r="O185" s="46"/>
      <c r="P185" s="46"/>
      <c r="Q185" s="46"/>
      <c r="R185" s="46"/>
      <c r="S185" s="46"/>
      <c r="T185" s="2"/>
    </row>
    <row r="186" spans="1:20" hidden="1" outlineLevel="1">
      <c r="A186" s="118" t="s">
        <v>559</v>
      </c>
      <c r="B186" s="138">
        <f>VLOOKUP(A186,'LEVEL 1.2 BUDGET'!$A$13:$K$316,11,FALSE)</f>
        <v>17500</v>
      </c>
      <c r="E186" s="138">
        <f>VLOOKUP($A186,'LEVEL 2'!$A$13:$K$317,11,FALSE)</f>
        <v>15000</v>
      </c>
      <c r="G186" s="2"/>
      <c r="H186" s="138">
        <f t="shared" si="14"/>
        <v>2500</v>
      </c>
      <c r="I186" s="423">
        <f t="shared" si="16"/>
        <v>0.14285714285714285</v>
      </c>
      <c r="J186" s="2"/>
      <c r="K186" s="150"/>
      <c r="L186" s="46"/>
      <c r="M186" s="46"/>
      <c r="N186" s="46"/>
      <c r="O186" s="46"/>
      <c r="P186" s="46"/>
      <c r="Q186" s="46"/>
      <c r="R186" s="46"/>
      <c r="S186" s="46"/>
      <c r="T186" s="2"/>
    </row>
    <row r="187" spans="1:20" hidden="1" outlineLevel="1">
      <c r="A187" s="118" t="s">
        <v>560</v>
      </c>
      <c r="B187" s="117">
        <f>VLOOKUP(A187,'LEVEL 1.2 BUDGET'!$A$13:$K$316,11,FALSE)</f>
        <v>750</v>
      </c>
      <c r="C187" s="182"/>
      <c r="E187" s="117">
        <f>VLOOKUP($A187,'LEVEL 2'!$A$13:$K$317,11,FALSE)</f>
        <v>1500</v>
      </c>
      <c r="G187" s="2"/>
      <c r="H187" s="95">
        <f t="shared" si="14"/>
        <v>-750</v>
      </c>
      <c r="I187" s="423">
        <f t="shared" si="16"/>
        <v>-1</v>
      </c>
      <c r="J187" s="2"/>
      <c r="K187" s="46"/>
      <c r="L187" s="46"/>
      <c r="M187" s="46"/>
      <c r="N187" s="46"/>
      <c r="O187" s="46"/>
      <c r="P187" s="46"/>
      <c r="Q187" s="46"/>
      <c r="R187" s="46"/>
      <c r="S187" s="46"/>
      <c r="T187" s="2"/>
    </row>
    <row r="188" spans="1:20" collapsed="1">
      <c r="A188" s="347" t="s">
        <v>561</v>
      </c>
      <c r="B188" s="110"/>
      <c r="C188" s="445">
        <f>SUM(B171:B187)</f>
        <v>4194933.9826938845</v>
      </c>
      <c r="E188" s="110"/>
      <c r="F188" s="445">
        <f>SUM(E171:E187)</f>
        <v>4455520.8099999996</v>
      </c>
      <c r="G188" s="2"/>
      <c r="H188" s="448">
        <f>C188-F188</f>
        <v>-260586.82730611507</v>
      </c>
      <c r="I188" s="446">
        <f>H188/C188</f>
        <v>-6.2119410789576369E-2</v>
      </c>
      <c r="J188" s="2"/>
      <c r="K188" s="373"/>
      <c r="L188" s="373"/>
      <c r="M188" s="373"/>
      <c r="N188" s="373"/>
      <c r="O188" s="373"/>
      <c r="P188" s="373"/>
      <c r="Q188" s="373"/>
      <c r="R188" s="373"/>
      <c r="S188" s="373"/>
      <c r="T188" s="2"/>
    </row>
    <row r="189" spans="1:20" hidden="1" outlineLevel="1">
      <c r="A189" s="118" t="s">
        <v>563</v>
      </c>
      <c r="B189" s="117">
        <f>VLOOKUP(A189,'LEVEL 1.2 BUDGET'!$A$13:$K$316,11,FALSE)</f>
        <v>3000</v>
      </c>
      <c r="C189" s="360"/>
      <c r="E189" s="117">
        <f>VLOOKUP($A189,'LEVEL 2'!$A$13:$K$317,11,FALSE)</f>
        <v>3000</v>
      </c>
      <c r="F189" s="360"/>
      <c r="G189" s="2"/>
      <c r="H189" s="117">
        <f>B189-E189</f>
        <v>0</v>
      </c>
      <c r="I189" s="424">
        <f>H189/B189</f>
        <v>0</v>
      </c>
      <c r="J189" s="2"/>
      <c r="K189" s="88"/>
      <c r="L189" s="88"/>
      <c r="M189" s="88"/>
      <c r="N189" s="88"/>
      <c r="O189" s="88"/>
      <c r="P189" s="88"/>
      <c r="Q189" s="88"/>
      <c r="R189" s="88"/>
      <c r="S189" s="88"/>
      <c r="T189" s="2"/>
    </row>
    <row r="190" spans="1:20" hidden="1" outlineLevel="1">
      <c r="A190" s="118" t="s">
        <v>566</v>
      </c>
      <c r="B190" s="138">
        <f>VLOOKUP(A190,'LEVEL 1.2 BUDGET'!$A$13:$K$316,11,FALSE)</f>
        <v>163156.95000000001</v>
      </c>
      <c r="E190" s="138">
        <f>VLOOKUP($A190,'LEVEL 2'!$A$13:$K$317,11,FALSE)</f>
        <v>163156.95000000001</v>
      </c>
      <c r="G190" s="2"/>
      <c r="H190" s="138">
        <f>B190-E190</f>
        <v>0</v>
      </c>
      <c r="I190" s="423">
        <f>H190/B190</f>
        <v>0</v>
      </c>
      <c r="J190" s="2"/>
      <c r="K190" s="46"/>
      <c r="L190" s="46"/>
      <c r="M190" s="46"/>
      <c r="N190" s="46"/>
      <c r="O190" s="46"/>
      <c r="P190" s="46"/>
      <c r="Q190" s="46"/>
      <c r="R190" s="46"/>
      <c r="S190" s="46"/>
      <c r="T190" s="2"/>
    </row>
    <row r="191" spans="1:20" hidden="1" outlineLevel="1">
      <c r="A191" s="118" t="s">
        <v>568</v>
      </c>
      <c r="B191" s="117">
        <f>VLOOKUP(A191,'LEVEL 1.2 BUDGET'!$A$13:$K$316,11,FALSE)</f>
        <v>800</v>
      </c>
      <c r="C191" s="360"/>
      <c r="E191" s="117">
        <f>VLOOKUP($A191,'LEVEL 2'!$A$13:$K$317,11,FALSE)</f>
        <v>800</v>
      </c>
      <c r="F191" s="360"/>
      <c r="G191" s="2"/>
      <c r="H191" s="95">
        <f>B191-E191</f>
        <v>0</v>
      </c>
      <c r="I191" s="423">
        <f>H191/B191</f>
        <v>0</v>
      </c>
      <c r="J191" s="2"/>
      <c r="K191" s="46"/>
      <c r="L191" s="46"/>
      <c r="M191" s="46"/>
      <c r="N191" s="46"/>
      <c r="O191" s="46"/>
      <c r="P191" s="46"/>
      <c r="Q191" s="46"/>
      <c r="R191" s="46"/>
      <c r="S191" s="46"/>
      <c r="T191" s="2"/>
    </row>
    <row r="192" spans="1:20" collapsed="1">
      <c r="A192" s="347" t="s">
        <v>571</v>
      </c>
      <c r="B192" s="110"/>
      <c r="C192" s="445">
        <f>SUM(B189:B191)</f>
        <v>166956.95000000001</v>
      </c>
      <c r="E192" s="110"/>
      <c r="F192" s="445">
        <f>SUM(E189:E191)</f>
        <v>166956.95000000001</v>
      </c>
      <c r="G192" s="2"/>
      <c r="H192" s="448">
        <f>C192-F192</f>
        <v>0</v>
      </c>
      <c r="I192" s="446">
        <f>H192/C192</f>
        <v>0</v>
      </c>
      <c r="J192" s="2"/>
      <c r="K192" s="373"/>
      <c r="L192" s="373"/>
      <c r="M192" s="373"/>
      <c r="N192" s="373"/>
      <c r="O192" s="373"/>
      <c r="P192" s="373"/>
      <c r="Q192" s="373"/>
      <c r="R192" s="373"/>
      <c r="S192" s="373"/>
      <c r="T192" s="2"/>
    </row>
    <row r="193" spans="1:20" hidden="1" outlineLevel="1">
      <c r="A193" s="118" t="s">
        <v>573</v>
      </c>
      <c r="B193" s="117">
        <f>VLOOKUP(A193,'LEVEL 1.2 BUDGET'!$A$13:$K$316,11,FALSE)</f>
        <v>162624</v>
      </c>
      <c r="C193" s="360"/>
      <c r="E193" s="117">
        <f>VLOOKUP($A193,'LEVEL 2'!$A$13:$K$317,11,FALSE)</f>
        <v>200117.78350515463</v>
      </c>
      <c r="F193" s="360"/>
      <c r="G193" s="2"/>
      <c r="H193" s="117">
        <f>B193-E193</f>
        <v>-37493.783505154628</v>
      </c>
      <c r="I193" s="423">
        <f>H193/B193</f>
        <v>-0.23055504418262143</v>
      </c>
      <c r="J193" s="2"/>
      <c r="K193" s="88"/>
      <c r="L193" s="88"/>
      <c r="M193" s="88"/>
      <c r="N193" s="88"/>
      <c r="O193" s="88"/>
      <c r="P193" s="88"/>
      <c r="Q193" s="88"/>
      <c r="R193" s="88"/>
      <c r="S193" s="88"/>
      <c r="T193" s="2"/>
    </row>
    <row r="194" spans="1:20" hidden="1" outlineLevel="1">
      <c r="A194" s="118" t="s">
        <v>575</v>
      </c>
      <c r="B194" s="138">
        <f>VLOOKUP(A194,'LEVEL 1.2 BUDGET'!$A$13:$K$316,11,FALSE)</f>
        <v>169285.71428571429</v>
      </c>
      <c r="E194" s="138">
        <f>VLOOKUP($A194,'LEVEL 2'!$A$13:$K$317,11,FALSE)</f>
        <v>135428.57142857142</v>
      </c>
      <c r="G194" s="2"/>
      <c r="H194" s="138">
        <f>B194-E194</f>
        <v>33857.14285714287</v>
      </c>
      <c r="I194" s="423">
        <f>H194/B194</f>
        <v>0.20000000000000007</v>
      </c>
      <c r="J194" s="2"/>
      <c r="K194" s="46"/>
      <c r="L194" s="46"/>
      <c r="M194" s="46"/>
      <c r="N194" s="46"/>
      <c r="O194" s="46"/>
      <c r="P194" s="46"/>
      <c r="Q194" s="46"/>
      <c r="R194" s="46"/>
      <c r="S194" s="46"/>
      <c r="T194" s="2"/>
    </row>
    <row r="195" spans="1:20" hidden="1" outlineLevel="1">
      <c r="A195" s="118" t="s">
        <v>578</v>
      </c>
      <c r="B195" s="138">
        <f>VLOOKUP(A195,'LEVEL 1.2 BUDGET'!$A$13:$K$316,11,FALSE)</f>
        <v>506841.64217047312</v>
      </c>
      <c r="E195" s="138">
        <f>VLOOKUP($A195,'LEVEL 2'!$A$13:$K$317,11,FALSE)</f>
        <v>701583.54</v>
      </c>
      <c r="G195" s="2"/>
      <c r="H195" s="138">
        <f>B195-E195</f>
        <v>-194741.89782952692</v>
      </c>
      <c r="I195" s="423">
        <f>H195/B195</f>
        <v>-0.3842263177026537</v>
      </c>
      <c r="J195" s="2"/>
      <c r="K195" s="46" t="s">
        <v>978</v>
      </c>
      <c r="L195" s="46"/>
      <c r="M195" s="46"/>
      <c r="N195" s="46"/>
      <c r="O195" s="46"/>
      <c r="P195" s="46"/>
      <c r="Q195" s="46"/>
      <c r="R195" s="46"/>
      <c r="S195" s="46"/>
      <c r="T195" s="2"/>
    </row>
    <row r="196" spans="1:20" hidden="1" outlineLevel="1">
      <c r="A196" s="118" t="s">
        <v>580</v>
      </c>
      <c r="B196" s="117">
        <f>VLOOKUP(A196,'LEVEL 1.2 BUDGET'!$A$13:$K$316,11,FALSE)</f>
        <v>10000</v>
      </c>
      <c r="E196" s="117">
        <f>VLOOKUP($A196,'LEVEL 2'!$A$13:$K$317,11,FALSE)</f>
        <v>10000</v>
      </c>
      <c r="G196" s="2"/>
      <c r="H196" s="117">
        <f>B196-E196</f>
        <v>0</v>
      </c>
      <c r="I196" s="425">
        <f>IF(B196=0,"n/a",H196/B196)</f>
        <v>0</v>
      </c>
      <c r="J196" s="2"/>
      <c r="K196" s="46"/>
      <c r="L196" s="46"/>
      <c r="M196" s="46"/>
      <c r="N196" s="46"/>
      <c r="O196" s="46"/>
      <c r="P196" s="46"/>
      <c r="Q196" s="46"/>
      <c r="R196" s="46"/>
      <c r="S196" s="46"/>
      <c r="T196" s="2"/>
    </row>
    <row r="197" spans="1:20" collapsed="1">
      <c r="A197" s="347" t="s">
        <v>582</v>
      </c>
      <c r="B197" s="110"/>
      <c r="C197" s="445">
        <f>SUM(B193:B196)</f>
        <v>848751.35645618744</v>
      </c>
      <c r="E197" s="110"/>
      <c r="F197" s="445">
        <f>SUM(E193:E196)</f>
        <v>1047129.8949337261</v>
      </c>
      <c r="G197" s="2"/>
      <c r="H197" s="448">
        <f>C197-F197</f>
        <v>-198378.53847753862</v>
      </c>
      <c r="I197" s="446">
        <f>H197/C197</f>
        <v>-0.23372986324974307</v>
      </c>
      <c r="J197" s="2"/>
      <c r="K197" s="373"/>
      <c r="L197" s="373"/>
      <c r="M197" s="373"/>
      <c r="N197" s="373"/>
      <c r="O197" s="373"/>
      <c r="P197" s="373"/>
      <c r="Q197" s="373"/>
      <c r="R197" s="373"/>
      <c r="S197" s="373"/>
      <c r="T197" s="2"/>
    </row>
    <row r="198" spans="1:20" hidden="1" outlineLevel="1">
      <c r="A198" s="118" t="s">
        <v>584</v>
      </c>
      <c r="B198" s="117">
        <f>VLOOKUP(A198,'LEVEL 1.2 BUDGET'!$A$13:$K$316,11,FALSE)</f>
        <v>112775.00000000001</v>
      </c>
      <c r="C198" s="360"/>
      <c r="E198" s="117">
        <f>VLOOKUP($A198,'LEVEL 2'!$A$13:$K$317,11,FALSE)</f>
        <v>112775.00000000001</v>
      </c>
      <c r="F198" s="360"/>
      <c r="G198" s="2"/>
      <c r="H198" s="117">
        <f t="shared" ref="H198:H206" si="17">B198-E198</f>
        <v>0</v>
      </c>
      <c r="I198" s="424">
        <f>H198/B198</f>
        <v>0</v>
      </c>
      <c r="J198" s="2"/>
      <c r="K198" s="88"/>
      <c r="L198" s="88"/>
      <c r="M198" s="88"/>
      <c r="N198" s="88"/>
      <c r="O198" s="88"/>
      <c r="P198" s="88"/>
      <c r="Q198" s="88"/>
      <c r="R198" s="88"/>
      <c r="S198" s="88"/>
      <c r="T198" s="2"/>
    </row>
    <row r="199" spans="1:20" hidden="1" outlineLevel="1">
      <c r="A199" s="118" t="s">
        <v>586</v>
      </c>
      <c r="B199" s="138">
        <f>VLOOKUP(A199,'LEVEL 1.2 BUDGET'!$A$13:$K$316,11,FALSE)</f>
        <v>60725.000000000007</v>
      </c>
      <c r="E199" s="138">
        <f>VLOOKUP($A199,'LEVEL 2'!$A$13:$K$317,11,FALSE)</f>
        <v>60725.000000000007</v>
      </c>
      <c r="G199" s="2"/>
      <c r="H199" s="138">
        <f t="shared" si="17"/>
        <v>0</v>
      </c>
      <c r="I199" s="423">
        <f>H199/B199</f>
        <v>0</v>
      </c>
      <c r="J199" s="2"/>
      <c r="K199" s="46"/>
      <c r="L199" s="46"/>
      <c r="M199" s="46"/>
      <c r="N199" s="46"/>
      <c r="O199" s="46"/>
      <c r="P199" s="46"/>
      <c r="Q199" s="46"/>
      <c r="R199" s="46"/>
      <c r="S199" s="46"/>
      <c r="T199" s="2"/>
    </row>
    <row r="200" spans="1:20" hidden="1" outlineLevel="1">
      <c r="A200" s="118" t="s">
        <v>588</v>
      </c>
      <c r="B200" s="138">
        <f>VLOOKUP(A200,'LEVEL 1.2 BUDGET'!$A$13:$K$316,11,FALSE)</f>
        <v>25000</v>
      </c>
      <c r="E200" s="138">
        <f>VLOOKUP($A200,'LEVEL 2'!$A$13:$K$317,11,FALSE)</f>
        <v>100000</v>
      </c>
      <c r="G200" s="2"/>
      <c r="H200" s="138">
        <f t="shared" si="17"/>
        <v>-75000</v>
      </c>
      <c r="I200" s="425">
        <f>IF(B200=0,"n/a",H200/B200)</f>
        <v>-3</v>
      </c>
      <c r="J200" s="2"/>
      <c r="K200" s="46"/>
      <c r="L200" s="46"/>
      <c r="M200" s="46"/>
      <c r="N200" s="46"/>
      <c r="O200" s="46"/>
      <c r="P200" s="46"/>
      <c r="Q200" s="46"/>
      <c r="R200" s="46"/>
      <c r="S200" s="46"/>
      <c r="T200" s="2"/>
    </row>
    <row r="201" spans="1:20" hidden="1" outlineLevel="1">
      <c r="A201" s="118" t="s">
        <v>590</v>
      </c>
      <c r="B201" s="138">
        <f>VLOOKUP(A201,'LEVEL 1.2 BUDGET'!$A$13:$K$316,11,FALSE)</f>
        <v>50000</v>
      </c>
      <c r="E201" s="138">
        <f>VLOOKUP($A201,'LEVEL 2'!$A$13:$K$317,11,FALSE)</f>
        <v>50000</v>
      </c>
      <c r="G201" s="2"/>
      <c r="H201" s="138">
        <f t="shared" si="17"/>
        <v>0</v>
      </c>
      <c r="I201" s="423">
        <f>H201/B201</f>
        <v>0</v>
      </c>
      <c r="J201" s="2"/>
      <c r="K201" s="46"/>
      <c r="L201" s="46"/>
      <c r="M201" s="46"/>
      <c r="N201" s="46"/>
      <c r="O201" s="46"/>
      <c r="P201" s="46"/>
      <c r="Q201" s="46"/>
      <c r="R201" s="46"/>
      <c r="S201" s="46"/>
      <c r="T201" s="2"/>
    </row>
    <row r="202" spans="1:20" hidden="1" outlineLevel="1">
      <c r="A202" s="118" t="s">
        <v>592</v>
      </c>
      <c r="B202" s="138">
        <f>VLOOKUP(A202,'LEVEL 1.2 BUDGET'!$A$13:$K$316,11,FALSE)</f>
        <v>1067126</v>
      </c>
      <c r="E202" s="138">
        <f>VLOOKUP($A202,'LEVEL 2'!$A$13:$K$317,11,FALSE)</f>
        <v>1257581.3633884296</v>
      </c>
      <c r="G202" s="2"/>
      <c r="H202" s="138">
        <f t="shared" si="17"/>
        <v>-190455.36338842963</v>
      </c>
      <c r="I202" s="423">
        <f>H202/B202</f>
        <v>-0.17847504735938363</v>
      </c>
      <c r="J202" s="2"/>
      <c r="K202" s="46" t="s">
        <v>979</v>
      </c>
      <c r="L202" s="46"/>
      <c r="M202" s="46"/>
      <c r="N202" s="46"/>
      <c r="O202" s="46"/>
      <c r="P202" s="46"/>
      <c r="Q202" s="46"/>
      <c r="R202" s="46"/>
      <c r="S202" s="46"/>
      <c r="T202" s="2"/>
    </row>
    <row r="203" spans="1:20" hidden="1" outlineLevel="1">
      <c r="A203" s="118" t="s">
        <v>595</v>
      </c>
      <c r="B203" s="138">
        <f>VLOOKUP(A203,'LEVEL 1.2 BUDGET'!$A$13:$K$316,11,FALSE)</f>
        <v>37727</v>
      </c>
      <c r="E203" s="138">
        <f>VLOOKUP($A203,'LEVEL 2'!$A$13:$K$317,11,FALSE)</f>
        <v>52966.135000000002</v>
      </c>
      <c r="G203" s="2"/>
      <c r="H203" s="138">
        <f t="shared" si="17"/>
        <v>-15239.135000000002</v>
      </c>
      <c r="I203" s="423">
        <f>H203/B203</f>
        <v>-0.40393179950698443</v>
      </c>
      <c r="J203" s="2"/>
      <c r="K203" s="46"/>
      <c r="L203" s="46"/>
      <c r="M203" s="46"/>
      <c r="N203" s="46"/>
      <c r="O203" s="46"/>
      <c r="P203" s="46"/>
      <c r="Q203" s="46"/>
      <c r="R203" s="46"/>
      <c r="S203" s="46"/>
      <c r="T203" s="2"/>
    </row>
    <row r="204" spans="1:20" hidden="1" outlineLevel="1">
      <c r="A204" s="118" t="s">
        <v>597</v>
      </c>
      <c r="B204" s="138">
        <f>VLOOKUP(A204,'LEVEL 1.2 BUDGET'!$A$13:$K$316,11,FALSE)</f>
        <v>150000</v>
      </c>
      <c r="E204" s="138">
        <f>VLOOKUP($A204,'LEVEL 2'!$A$13:$K$317,11,FALSE)</f>
        <v>100000</v>
      </c>
      <c r="G204" s="2"/>
      <c r="H204" s="138">
        <f t="shared" si="17"/>
        <v>50000</v>
      </c>
      <c r="I204" s="423">
        <f>H204/B204</f>
        <v>0.33333333333333331</v>
      </c>
      <c r="J204" s="2"/>
      <c r="K204" s="46"/>
      <c r="L204" s="46"/>
      <c r="M204" s="46"/>
      <c r="N204" s="46"/>
      <c r="O204" s="46"/>
      <c r="P204" s="46"/>
      <c r="Q204" s="46"/>
      <c r="R204" s="46"/>
      <c r="S204" s="46"/>
      <c r="T204" s="2"/>
    </row>
    <row r="205" spans="1:20" hidden="1" outlineLevel="1">
      <c r="A205" s="118" t="s">
        <v>599</v>
      </c>
      <c r="B205" s="138">
        <f>VLOOKUP(A205,'LEVEL 1.2 BUDGET'!$A$13:$K$316,11,FALSE)</f>
        <v>0</v>
      </c>
      <c r="E205" s="138">
        <f>VLOOKUP($A205,'LEVEL 2'!$A$13:$K$317,11,FALSE)</f>
        <v>0</v>
      </c>
      <c r="G205" s="2"/>
      <c r="H205" s="138">
        <f t="shared" si="17"/>
        <v>0</v>
      </c>
      <c r="I205" s="425" t="str">
        <f>IF(B205=0,"n/a",H205/B205)</f>
        <v>n/a</v>
      </c>
      <c r="J205" s="2"/>
      <c r="K205" s="46"/>
      <c r="L205" s="46"/>
      <c r="M205" s="46"/>
      <c r="N205" s="46"/>
      <c r="O205" s="46"/>
      <c r="P205" s="46"/>
      <c r="Q205" s="46"/>
      <c r="R205" s="46"/>
      <c r="S205" s="46"/>
      <c r="T205" s="2"/>
    </row>
    <row r="206" spans="1:20" hidden="1" outlineLevel="1">
      <c r="A206" s="118" t="s">
        <v>601</v>
      </c>
      <c r="B206" s="117">
        <f>VLOOKUP(A206,'LEVEL 1.2 BUDGET'!$A$13:$K$316,11,FALSE)</f>
        <v>43375</v>
      </c>
      <c r="E206" s="117">
        <f>VLOOKUP($A206,'LEVEL 2'!$A$13:$K$317,11,FALSE)</f>
        <v>43375</v>
      </c>
      <c r="G206" s="2"/>
      <c r="H206" s="117">
        <f t="shared" si="17"/>
        <v>0</v>
      </c>
      <c r="I206" s="423">
        <f>H206/B206</f>
        <v>0</v>
      </c>
      <c r="J206" s="2"/>
      <c r="K206" s="46"/>
      <c r="L206" s="46"/>
      <c r="M206" s="46"/>
      <c r="N206" s="46"/>
      <c r="O206" s="46"/>
      <c r="P206" s="46"/>
      <c r="Q206" s="46"/>
      <c r="R206" s="46"/>
      <c r="S206" s="46"/>
      <c r="T206" s="2"/>
    </row>
    <row r="207" spans="1:20" collapsed="1">
      <c r="A207" s="347" t="s">
        <v>603</v>
      </c>
      <c r="B207" s="110"/>
      <c r="C207" s="445">
        <f>SUM(B198:B206)</f>
        <v>1546728</v>
      </c>
      <c r="E207" s="110"/>
      <c r="F207" s="445">
        <f>SUM(E198:E206)</f>
        <v>1777422.4983884296</v>
      </c>
      <c r="G207" s="2"/>
      <c r="H207" s="448">
        <f>C207-F207</f>
        <v>-230694.49838842964</v>
      </c>
      <c r="I207" s="446">
        <f>H207/C207</f>
        <v>-0.14915001111276813</v>
      </c>
      <c r="J207" s="2"/>
      <c r="K207" s="373"/>
      <c r="L207" s="373"/>
      <c r="M207" s="373"/>
      <c r="N207" s="373"/>
      <c r="O207" s="373"/>
      <c r="P207" s="373"/>
      <c r="Q207" s="373"/>
      <c r="R207" s="373"/>
      <c r="S207" s="373"/>
      <c r="T207" s="2"/>
    </row>
    <row r="208" spans="1:20" hidden="1" outlineLevel="1">
      <c r="A208" s="118" t="s">
        <v>605</v>
      </c>
      <c r="B208" s="117">
        <f>VLOOKUP(A208,'LEVEL 1.2 BUDGET'!$A$13:$K$316,11,FALSE)</f>
        <v>5000</v>
      </c>
      <c r="C208" s="182"/>
      <c r="E208" s="117">
        <f>VLOOKUP($A208,'LEVEL 2'!$A$13:$K$317,11,FALSE)</f>
        <v>5000</v>
      </c>
      <c r="F208" s="182"/>
      <c r="G208" s="2"/>
      <c r="H208" s="117">
        <f t="shared" ref="H208:H244" si="18">B208-E208</f>
        <v>0</v>
      </c>
      <c r="I208" s="423">
        <f>H208/B208</f>
        <v>0</v>
      </c>
      <c r="J208" s="2"/>
      <c r="K208" s="88"/>
      <c r="L208" s="88"/>
      <c r="M208" s="88"/>
      <c r="N208" s="88"/>
      <c r="O208" s="88"/>
      <c r="P208" s="88"/>
      <c r="Q208" s="88"/>
      <c r="R208" s="88"/>
      <c r="S208" s="88"/>
      <c r="T208" s="2"/>
    </row>
    <row r="209" spans="1:20" hidden="1" outlineLevel="1">
      <c r="A209" s="118" t="s">
        <v>607</v>
      </c>
      <c r="B209" s="138">
        <f>VLOOKUP(A209,'LEVEL 1.2 BUDGET'!$A$13:$K$316,11,FALSE)</f>
        <v>5000</v>
      </c>
      <c r="E209" s="138">
        <f>VLOOKUP($A209,'LEVEL 2'!$A$13:$K$317,11,FALSE)</f>
        <v>5000</v>
      </c>
      <c r="G209" s="2"/>
      <c r="H209" s="138">
        <f t="shared" si="18"/>
        <v>0</v>
      </c>
      <c r="I209" s="423">
        <f>H209/B209</f>
        <v>0</v>
      </c>
      <c r="J209" s="2"/>
      <c r="K209" s="46"/>
      <c r="L209" s="46"/>
      <c r="M209" s="46"/>
      <c r="N209" s="46"/>
      <c r="O209" s="46"/>
      <c r="P209" s="46"/>
      <c r="Q209" s="46"/>
      <c r="R209" s="46"/>
      <c r="S209" s="46"/>
      <c r="T209" s="2"/>
    </row>
    <row r="210" spans="1:20" hidden="1" outlineLevel="1">
      <c r="A210" s="118" t="s">
        <v>609</v>
      </c>
      <c r="B210" s="138">
        <f>VLOOKUP(A210,'LEVEL 1.2 BUDGET'!$A$13:$K$316,11,FALSE)</f>
        <v>30000</v>
      </c>
      <c r="E210" s="138">
        <f>VLOOKUP($A210,'LEVEL 2'!$A$13:$K$317,11,FALSE)</f>
        <v>25000</v>
      </c>
      <c r="G210" s="2"/>
      <c r="H210" s="138">
        <f t="shared" si="18"/>
        <v>5000</v>
      </c>
      <c r="I210" s="423">
        <f>H210/B210</f>
        <v>0.16666666666666666</v>
      </c>
      <c r="J210" s="2"/>
      <c r="K210" s="46"/>
      <c r="L210" s="46"/>
      <c r="M210" s="46"/>
      <c r="N210" s="46"/>
      <c r="O210" s="46"/>
      <c r="P210" s="46"/>
      <c r="Q210" s="46"/>
      <c r="R210" s="46"/>
      <c r="S210" s="46"/>
      <c r="T210" s="2"/>
    </row>
    <row r="211" spans="1:20" hidden="1" outlineLevel="1">
      <c r="A211" s="118" t="s">
        <v>612</v>
      </c>
      <c r="B211" s="138">
        <f>VLOOKUP(A211,'LEVEL 1.2 BUDGET'!$A$13:$K$316,11,FALSE)</f>
        <v>670743</v>
      </c>
      <c r="C211" s="182"/>
      <c r="E211" s="138">
        <f>VLOOKUP($A211,'LEVEL 2'!$A$13:$K$317,11,FALSE)</f>
        <v>601630.92999999993</v>
      </c>
      <c r="F211" s="182"/>
      <c r="G211" s="2"/>
      <c r="H211" s="138">
        <f t="shared" si="18"/>
        <v>69112.070000000065</v>
      </c>
      <c r="I211" s="423">
        <f>H211/B211</f>
        <v>0.1030380786679847</v>
      </c>
      <c r="J211" s="2"/>
      <c r="K211" s="46"/>
      <c r="L211" s="46"/>
      <c r="M211" s="46"/>
      <c r="N211" s="46"/>
      <c r="O211" s="46"/>
      <c r="P211" s="46"/>
      <c r="Q211" s="46"/>
      <c r="R211" s="46"/>
      <c r="S211" s="46"/>
      <c r="T211" s="2"/>
    </row>
    <row r="212" spans="1:20" hidden="1" outlineLevel="1">
      <c r="A212" s="118" t="s">
        <v>615</v>
      </c>
      <c r="B212" s="138">
        <f>VLOOKUP(A212,'LEVEL 1.2 BUDGET'!$A$13:$K$316,11,FALSE)</f>
        <v>53763.25</v>
      </c>
      <c r="E212" s="138">
        <f>VLOOKUP($A212,'LEVEL 2'!$A$13:$K$317,11,FALSE)</f>
        <v>53763.25</v>
      </c>
      <c r="G212" s="2"/>
      <c r="H212" s="138">
        <f t="shared" si="18"/>
        <v>0</v>
      </c>
      <c r="I212" s="423">
        <f>H212/B212</f>
        <v>0</v>
      </c>
      <c r="J212" s="2"/>
      <c r="K212" s="46"/>
      <c r="L212" s="46"/>
      <c r="M212" s="46"/>
      <c r="N212" s="46"/>
      <c r="O212" s="46"/>
      <c r="P212" s="46"/>
      <c r="Q212" s="46"/>
      <c r="R212" s="46"/>
      <c r="S212" s="46"/>
      <c r="T212" s="2"/>
    </row>
    <row r="213" spans="1:20" hidden="1" outlineLevel="1">
      <c r="A213" s="118" t="s">
        <v>617</v>
      </c>
      <c r="B213" s="138">
        <f>VLOOKUP(A213,'LEVEL 1.2 BUDGET'!$A$13:$K$316,11,FALSE)</f>
        <v>25500</v>
      </c>
      <c r="E213" s="138">
        <f>VLOOKUP($A213,'LEVEL 2'!$A$13:$K$317,11,FALSE)</f>
        <v>25500</v>
      </c>
      <c r="G213" s="2"/>
      <c r="H213" s="138">
        <f t="shared" si="18"/>
        <v>0</v>
      </c>
      <c r="I213" s="425">
        <f>IF(B213=0,"n/a",H213/B213)</f>
        <v>0</v>
      </c>
      <c r="J213" s="2"/>
      <c r="K213" s="46"/>
      <c r="L213" s="46"/>
      <c r="M213" s="46"/>
      <c r="N213" s="46"/>
      <c r="O213" s="46"/>
      <c r="P213" s="46"/>
      <c r="Q213" s="46"/>
      <c r="R213" s="46"/>
      <c r="S213" s="46"/>
      <c r="T213" s="2"/>
    </row>
    <row r="214" spans="1:20" hidden="1" outlineLevel="1">
      <c r="A214" s="118" t="s">
        <v>619</v>
      </c>
      <c r="B214" s="138">
        <f>VLOOKUP(A214,'LEVEL 1.2 BUDGET'!$A$13:$K$316,11,FALSE)</f>
        <v>68195.5</v>
      </c>
      <c r="E214" s="138">
        <f>VLOOKUP($A214,'LEVEL 2'!$A$13:$K$317,11,FALSE)</f>
        <v>68195.5</v>
      </c>
      <c r="G214" s="2"/>
      <c r="H214" s="138">
        <f t="shared" si="18"/>
        <v>0</v>
      </c>
      <c r="I214" s="423">
        <f>H214/B214</f>
        <v>0</v>
      </c>
      <c r="J214" s="2"/>
      <c r="K214" s="46"/>
      <c r="L214" s="46"/>
      <c r="M214" s="46"/>
      <c r="N214" s="46"/>
      <c r="O214" s="46"/>
      <c r="P214" s="46"/>
      <c r="Q214" s="46"/>
      <c r="R214" s="46"/>
      <c r="S214" s="46"/>
      <c r="T214" s="2"/>
    </row>
    <row r="215" spans="1:20" hidden="1" outlineLevel="1">
      <c r="A215" s="118" t="s">
        <v>622</v>
      </c>
      <c r="B215" s="138">
        <f>VLOOKUP(A215,'LEVEL 1.2 BUDGET'!$A$13:$K$316,11,FALSE)</f>
        <v>112240</v>
      </c>
      <c r="E215" s="138">
        <f>VLOOKUP($A215,'LEVEL 2'!$A$13:$K$317,11,FALSE)</f>
        <v>114991.74</v>
      </c>
      <c r="G215" s="2"/>
      <c r="H215" s="138">
        <f t="shared" si="18"/>
        <v>-2751.7400000000052</v>
      </c>
      <c r="I215" s="423">
        <f>H215/B215</f>
        <v>-2.4516571632216724E-2</v>
      </c>
      <c r="J215" s="2"/>
      <c r="K215" s="46"/>
      <c r="L215" s="46"/>
      <c r="M215" s="46"/>
      <c r="N215" s="46"/>
      <c r="O215" s="46"/>
      <c r="P215" s="46"/>
      <c r="Q215" s="46"/>
      <c r="R215" s="46"/>
      <c r="S215" s="46"/>
      <c r="T215" s="2"/>
    </row>
    <row r="216" spans="1:20" hidden="1" outlineLevel="1">
      <c r="A216" s="118" t="s">
        <v>624</v>
      </c>
      <c r="B216" s="138">
        <f>VLOOKUP(A216,'LEVEL 1.2 BUDGET'!$A$13:$K$316,11,FALSE)</f>
        <v>140670</v>
      </c>
      <c r="E216" s="138">
        <f>VLOOKUP($A216,'LEVEL 2'!$A$13:$K$317,11,FALSE)</f>
        <v>134729.4</v>
      </c>
      <c r="G216" s="2"/>
      <c r="H216" s="138">
        <f t="shared" si="18"/>
        <v>5940.6000000000058</v>
      </c>
      <c r="I216" s="423">
        <f>H216/B216</f>
        <v>4.2230752825762462E-2</v>
      </c>
      <c r="J216" s="2"/>
      <c r="K216" s="46"/>
      <c r="L216" s="46"/>
      <c r="M216" s="46"/>
      <c r="N216" s="46"/>
      <c r="O216" s="46"/>
      <c r="P216" s="46"/>
      <c r="Q216" s="46"/>
      <c r="R216" s="46"/>
      <c r="S216" s="46"/>
      <c r="T216" s="2"/>
    </row>
    <row r="217" spans="1:20" hidden="1" outlineLevel="1">
      <c r="A217" s="137" t="s">
        <v>626</v>
      </c>
      <c r="B217" s="138">
        <f>VLOOKUP(A217,'LEVEL 1.2 BUDGET'!$A$13:$K$316,11,FALSE)</f>
        <v>273468</v>
      </c>
      <c r="E217" s="138">
        <f>VLOOKUP($A217,'LEVEL 2'!$A$13:$K$317,11,FALSE)</f>
        <v>338206.88750000001</v>
      </c>
      <c r="G217" s="2"/>
      <c r="H217" s="138">
        <f t="shared" si="18"/>
        <v>-64738.887500000012</v>
      </c>
      <c r="I217" s="423">
        <f>H217/B217</f>
        <v>-0.23673295412991652</v>
      </c>
      <c r="J217" s="2"/>
      <c r="K217" s="46" t="s">
        <v>980</v>
      </c>
      <c r="L217" s="46"/>
      <c r="M217" s="46"/>
      <c r="N217" s="46"/>
      <c r="O217" s="46"/>
      <c r="P217" s="46"/>
      <c r="Q217" s="46"/>
      <c r="R217" s="46"/>
      <c r="S217" s="46"/>
      <c r="T217" s="2"/>
    </row>
    <row r="218" spans="1:20" hidden="1" outlineLevel="1">
      <c r="A218" s="118" t="s">
        <v>628</v>
      </c>
      <c r="B218" s="138">
        <f>VLOOKUP(A218,'LEVEL 1.2 BUDGET'!$A$13:$K$316,11,FALSE)</f>
        <v>0</v>
      </c>
      <c r="E218" s="138">
        <f>VLOOKUP($A218,'LEVEL 2'!$A$13:$K$317,11,FALSE)</f>
        <v>0</v>
      </c>
      <c r="G218" s="2"/>
      <c r="H218" s="138">
        <f t="shared" si="18"/>
        <v>0</v>
      </c>
      <c r="I218" s="425" t="str">
        <f>IF(B218=0,"n/a",H218/B218)</f>
        <v>n/a</v>
      </c>
      <c r="J218" s="2"/>
      <c r="K218" s="46"/>
      <c r="L218" s="46"/>
      <c r="M218" s="46"/>
      <c r="N218" s="46"/>
      <c r="O218" s="46"/>
      <c r="P218" s="46"/>
      <c r="Q218" s="46"/>
      <c r="R218" s="46"/>
      <c r="S218" s="46"/>
      <c r="T218" s="2"/>
    </row>
    <row r="219" spans="1:20" hidden="1" outlineLevel="1">
      <c r="A219" s="118" t="s">
        <v>630</v>
      </c>
      <c r="B219" s="138">
        <f>VLOOKUP(A219,'LEVEL 1.2 BUDGET'!$A$13:$K$316,11,FALSE)</f>
        <v>10000</v>
      </c>
      <c r="E219" s="138">
        <f>VLOOKUP($A219,'LEVEL 2'!$A$13:$K$317,11,FALSE)</f>
        <v>10000</v>
      </c>
      <c r="G219" s="2"/>
      <c r="H219" s="138">
        <f t="shared" si="18"/>
        <v>0</v>
      </c>
      <c r="I219" s="423">
        <f t="shared" ref="I219:I226" si="19">H219/B219</f>
        <v>0</v>
      </c>
      <c r="J219" s="2"/>
      <c r="K219" s="46"/>
      <c r="L219" s="46"/>
      <c r="M219" s="46"/>
      <c r="N219" s="46"/>
      <c r="O219" s="46"/>
      <c r="P219" s="46"/>
      <c r="Q219" s="46"/>
      <c r="R219" s="46"/>
      <c r="S219" s="46"/>
      <c r="T219" s="2"/>
    </row>
    <row r="220" spans="1:20" hidden="1" outlineLevel="1">
      <c r="A220" s="118" t="s">
        <v>632</v>
      </c>
      <c r="B220" s="138">
        <f>VLOOKUP(A220,'LEVEL 1.2 BUDGET'!$A$13:$K$316,11,FALSE)</f>
        <v>52050.000000000007</v>
      </c>
      <c r="E220" s="138">
        <f>VLOOKUP($A220,'LEVEL 2'!$A$13:$K$317,11,FALSE)</f>
        <v>52050.000000000007</v>
      </c>
      <c r="G220" s="2"/>
      <c r="H220" s="138">
        <f t="shared" si="18"/>
        <v>0</v>
      </c>
      <c r="I220" s="423">
        <f t="shared" si="19"/>
        <v>0</v>
      </c>
      <c r="J220" s="2"/>
      <c r="K220" s="46"/>
      <c r="L220" s="46"/>
      <c r="M220" s="46"/>
      <c r="N220" s="46"/>
      <c r="O220" s="46"/>
      <c r="P220" s="46"/>
      <c r="Q220" s="46"/>
      <c r="R220" s="46"/>
      <c r="S220" s="46"/>
      <c r="T220" s="2"/>
    </row>
    <row r="221" spans="1:20" hidden="1" outlineLevel="1">
      <c r="A221" s="118" t="s">
        <v>634</v>
      </c>
      <c r="B221" s="138">
        <f>VLOOKUP(A221,'LEVEL 1.2 BUDGET'!$A$13:$K$316,11,FALSE)</f>
        <v>91085</v>
      </c>
      <c r="E221" s="138">
        <f>VLOOKUP($A221,'LEVEL 2'!$A$13:$K$317,11,FALSE)</f>
        <v>164035.4</v>
      </c>
      <c r="G221" s="2"/>
      <c r="H221" s="138">
        <f t="shared" si="18"/>
        <v>-72950.399999999994</v>
      </c>
      <c r="I221" s="423">
        <f t="shared" si="19"/>
        <v>-0.80090464950321127</v>
      </c>
      <c r="J221" s="2"/>
      <c r="K221" s="46" t="s">
        <v>980</v>
      </c>
      <c r="L221" s="46"/>
      <c r="M221" s="46"/>
      <c r="N221" s="46"/>
      <c r="O221" s="46"/>
      <c r="P221" s="46"/>
      <c r="Q221" s="46"/>
      <c r="R221" s="46"/>
      <c r="S221" s="46"/>
      <c r="T221" s="2"/>
    </row>
    <row r="222" spans="1:20" hidden="1" outlineLevel="1">
      <c r="A222" s="118" t="s">
        <v>636</v>
      </c>
      <c r="B222" s="138">
        <f>VLOOKUP(A222,'LEVEL 1.2 BUDGET'!$A$13:$K$316,11,FALSE)</f>
        <v>34790</v>
      </c>
      <c r="E222" s="138">
        <f>VLOOKUP($A222,'LEVEL 2'!$A$13:$K$317,11,FALSE)</f>
        <v>34790</v>
      </c>
      <c r="G222" s="2"/>
      <c r="H222" s="138">
        <f t="shared" si="18"/>
        <v>0</v>
      </c>
      <c r="I222" s="423">
        <f t="shared" si="19"/>
        <v>0</v>
      </c>
      <c r="J222" s="2"/>
      <c r="K222" s="46"/>
      <c r="L222" s="46"/>
      <c r="M222" s="46"/>
      <c r="N222" s="46"/>
      <c r="O222" s="46"/>
      <c r="P222" s="46"/>
      <c r="Q222" s="46"/>
      <c r="R222" s="46"/>
      <c r="S222" s="46"/>
      <c r="T222" s="2"/>
    </row>
    <row r="223" spans="1:20" hidden="1" outlineLevel="1">
      <c r="A223" s="118" t="s">
        <v>638</v>
      </c>
      <c r="B223" s="138">
        <f>VLOOKUP(A223,'LEVEL 1.2 BUDGET'!$A$13:$K$316,11,FALSE)</f>
        <v>15000</v>
      </c>
      <c r="E223" s="138">
        <f>VLOOKUP($A223,'LEVEL 2'!$A$13:$K$317,11,FALSE)</f>
        <v>15000</v>
      </c>
      <c r="G223" s="2"/>
      <c r="H223" s="138">
        <f t="shared" si="18"/>
        <v>0</v>
      </c>
      <c r="I223" s="423">
        <f t="shared" si="19"/>
        <v>0</v>
      </c>
      <c r="J223" s="2"/>
      <c r="K223" s="46"/>
      <c r="L223" s="46"/>
      <c r="M223" s="46"/>
      <c r="N223" s="46"/>
      <c r="O223" s="46"/>
      <c r="P223" s="46"/>
      <c r="Q223" s="46"/>
      <c r="R223" s="46"/>
      <c r="S223" s="46"/>
      <c r="T223" s="2"/>
    </row>
    <row r="224" spans="1:20" hidden="1" outlineLevel="1">
      <c r="A224" s="118" t="s">
        <v>640</v>
      </c>
      <c r="B224" s="138">
        <f>VLOOKUP(A224,'LEVEL 1.2 BUDGET'!$A$13:$K$316,11,FALSE)</f>
        <v>22500</v>
      </c>
      <c r="E224" s="138">
        <f>VLOOKUP($A224,'LEVEL 2'!$A$13:$K$317,11,FALSE)</f>
        <v>16500</v>
      </c>
      <c r="G224" s="2"/>
      <c r="H224" s="138">
        <f t="shared" si="18"/>
        <v>6000</v>
      </c>
      <c r="I224" s="423">
        <f t="shared" si="19"/>
        <v>0.26666666666666666</v>
      </c>
      <c r="J224" s="2"/>
      <c r="K224" s="46"/>
      <c r="L224" s="46"/>
      <c r="M224" s="46"/>
      <c r="N224" s="46"/>
      <c r="O224" s="46"/>
      <c r="P224" s="46"/>
      <c r="Q224" s="46"/>
      <c r="R224" s="46"/>
      <c r="S224" s="46"/>
      <c r="T224" s="2"/>
    </row>
    <row r="225" spans="1:20" hidden="1" outlineLevel="1">
      <c r="A225" s="118" t="s">
        <v>642</v>
      </c>
      <c r="B225" s="138">
        <f>VLOOKUP(A225,'LEVEL 1.2 BUDGET'!$A$13:$K$316,11,FALSE)</f>
        <v>27900</v>
      </c>
      <c r="E225" s="138">
        <f>VLOOKUP($A225,'LEVEL 2'!$A$13:$K$317,11,FALSE)</f>
        <v>21000</v>
      </c>
      <c r="G225" s="2"/>
      <c r="H225" s="138">
        <f t="shared" si="18"/>
        <v>6900</v>
      </c>
      <c r="I225" s="423">
        <f t="shared" si="19"/>
        <v>0.24731182795698925</v>
      </c>
      <c r="J225" s="2"/>
      <c r="K225" s="46"/>
      <c r="L225" s="46"/>
      <c r="M225" s="46"/>
      <c r="N225" s="46"/>
      <c r="O225" s="46"/>
      <c r="P225" s="46"/>
      <c r="Q225" s="46"/>
      <c r="R225" s="46"/>
      <c r="S225" s="46"/>
      <c r="T225" s="2"/>
    </row>
    <row r="226" spans="1:20" hidden="1" outlineLevel="1">
      <c r="A226" s="118" t="s">
        <v>644</v>
      </c>
      <c r="B226" s="138">
        <f>VLOOKUP(A226,'LEVEL 1.2 BUDGET'!$A$13:$K$316,11,FALSE)</f>
        <v>3900</v>
      </c>
      <c r="E226" s="138">
        <f>VLOOKUP($A226,'LEVEL 2'!$A$13:$K$317,11,FALSE)</f>
        <v>3900</v>
      </c>
      <c r="G226" s="2"/>
      <c r="H226" s="138">
        <f t="shared" si="18"/>
        <v>0</v>
      </c>
      <c r="I226" s="423">
        <f t="shared" si="19"/>
        <v>0</v>
      </c>
      <c r="J226" s="2"/>
      <c r="K226" s="46"/>
      <c r="L226" s="46"/>
      <c r="M226" s="46"/>
      <c r="N226" s="46"/>
      <c r="O226" s="46"/>
      <c r="P226" s="46"/>
      <c r="Q226" s="46"/>
      <c r="R226" s="46"/>
      <c r="S226" s="46"/>
      <c r="T226" s="2"/>
    </row>
    <row r="227" spans="1:20" hidden="1" outlineLevel="1">
      <c r="A227" s="118" t="s">
        <v>645</v>
      </c>
      <c r="B227" s="138">
        <f>VLOOKUP(A227,'LEVEL 1.2 BUDGET'!$A$13:$K$316,11,FALSE)</f>
        <v>6000</v>
      </c>
      <c r="E227" s="138">
        <f>VLOOKUP($A227,'LEVEL 2'!$A$13:$K$317,11,FALSE)</f>
        <v>6000</v>
      </c>
      <c r="G227" s="2"/>
      <c r="H227" s="138">
        <f t="shared" si="18"/>
        <v>0</v>
      </c>
      <c r="I227" s="425">
        <f>IF(B227=0,"n/a",H227/B227)</f>
        <v>0</v>
      </c>
      <c r="J227" s="2"/>
      <c r="K227" s="46"/>
      <c r="L227" s="46"/>
      <c r="M227" s="46"/>
      <c r="N227" s="46"/>
      <c r="O227" s="46"/>
      <c r="P227" s="46"/>
      <c r="Q227" s="46"/>
      <c r="R227" s="46"/>
      <c r="S227" s="46"/>
      <c r="T227" s="2"/>
    </row>
    <row r="228" spans="1:20" hidden="1" outlineLevel="1">
      <c r="A228" s="118" t="s">
        <v>648</v>
      </c>
      <c r="B228" s="138">
        <f>VLOOKUP(A228,'LEVEL 1.2 BUDGET'!$A$13:$K$316,11,FALSE)</f>
        <v>0</v>
      </c>
      <c r="E228" s="138">
        <f>VLOOKUP($A228,'LEVEL 2'!$A$13:$K$317,11,FALSE)</f>
        <v>0</v>
      </c>
      <c r="G228" s="2"/>
      <c r="H228" s="138">
        <f t="shared" si="18"/>
        <v>0</v>
      </c>
      <c r="I228" s="425" t="str">
        <f>IF(B228=0,"n/a",H228/B228)</f>
        <v>n/a</v>
      </c>
      <c r="J228" s="2"/>
      <c r="K228" s="46"/>
      <c r="L228" s="46"/>
      <c r="M228" s="46"/>
      <c r="N228" s="46"/>
      <c r="O228" s="46"/>
      <c r="P228" s="46"/>
      <c r="Q228" s="46"/>
      <c r="R228" s="46"/>
      <c r="S228" s="46"/>
      <c r="T228" s="2"/>
    </row>
    <row r="229" spans="1:20" hidden="1" outlineLevel="1">
      <c r="A229" s="118" t="s">
        <v>650</v>
      </c>
      <c r="B229" s="138">
        <f>VLOOKUP(A229,'LEVEL 1.2 BUDGET'!$A$13:$K$316,11,FALSE)</f>
        <v>0</v>
      </c>
      <c r="E229" s="138">
        <f>VLOOKUP($A229,'LEVEL 2'!$A$13:$K$317,11,FALSE)</f>
        <v>0</v>
      </c>
      <c r="G229" s="2"/>
      <c r="H229" s="138">
        <f t="shared" si="18"/>
        <v>0</v>
      </c>
      <c r="I229" s="425" t="str">
        <f>IF(B229=0,"n/a",H229/B229)</f>
        <v>n/a</v>
      </c>
      <c r="J229" s="2"/>
      <c r="K229" s="46"/>
      <c r="L229" s="46"/>
      <c r="M229" s="46"/>
      <c r="N229" s="46"/>
      <c r="O229" s="46"/>
      <c r="P229" s="46"/>
      <c r="Q229" s="46"/>
      <c r="R229" s="46"/>
      <c r="S229" s="46"/>
      <c r="T229" s="2"/>
    </row>
    <row r="230" spans="1:20" hidden="1" outlineLevel="1">
      <c r="A230" s="118" t="s">
        <v>652</v>
      </c>
      <c r="B230" s="138">
        <f>VLOOKUP(A230,'LEVEL 1.2 BUDGET'!$A$13:$K$316,11,FALSE)</f>
        <v>3900</v>
      </c>
      <c r="E230" s="138">
        <f>VLOOKUP($A230,'LEVEL 2'!$A$13:$K$317,11,FALSE)</f>
        <v>0</v>
      </c>
      <c r="G230" s="2"/>
      <c r="H230" s="138">
        <f t="shared" si="18"/>
        <v>3900</v>
      </c>
      <c r="I230" s="425">
        <f>IF(B230=0,"n/a",H230/B230)</f>
        <v>1</v>
      </c>
      <c r="J230" s="2"/>
      <c r="K230" s="46"/>
      <c r="L230" s="46"/>
      <c r="M230" s="46"/>
      <c r="N230" s="46"/>
      <c r="O230" s="46"/>
      <c r="P230" s="46"/>
      <c r="Q230" s="46"/>
      <c r="R230" s="46"/>
      <c r="S230" s="46"/>
      <c r="T230" s="2"/>
    </row>
    <row r="231" spans="1:20" hidden="1" outlineLevel="1">
      <c r="A231" s="118" t="s">
        <v>654</v>
      </c>
      <c r="B231" s="138">
        <f>VLOOKUP(A231,'LEVEL 1.2 BUDGET'!$A$13:$K$316,11,FALSE)</f>
        <v>30000</v>
      </c>
      <c r="E231" s="138">
        <f>VLOOKUP($A231,'LEVEL 2'!$A$13:$K$317,11,FALSE)</f>
        <v>86750</v>
      </c>
      <c r="G231" s="2"/>
      <c r="H231" s="138">
        <f t="shared" si="18"/>
        <v>-56750</v>
      </c>
      <c r="I231" s="423">
        <f>H231/B231</f>
        <v>-1.8916666666666666</v>
      </c>
      <c r="J231" s="2"/>
      <c r="K231" s="46"/>
      <c r="L231" s="46"/>
      <c r="M231" s="46"/>
      <c r="N231" s="46"/>
      <c r="O231" s="46"/>
      <c r="P231" s="46"/>
      <c r="Q231" s="46"/>
      <c r="R231" s="46"/>
      <c r="S231" s="46"/>
      <c r="T231" s="2"/>
    </row>
    <row r="232" spans="1:20" hidden="1" outlineLevel="1">
      <c r="A232" s="118" t="s">
        <v>656</v>
      </c>
      <c r="B232" s="138">
        <f>VLOOKUP(A232,'LEVEL 1.2 BUDGET'!$A$13:$K$316,11,FALSE)</f>
        <v>376743</v>
      </c>
      <c r="E232" s="138">
        <f>VLOOKUP($A232,'LEVEL 2'!$A$13:$K$317,11,FALSE)</f>
        <v>493481.67499999999</v>
      </c>
      <c r="G232" s="2"/>
      <c r="H232" s="138">
        <f t="shared" si="18"/>
        <v>-116738.67499999999</v>
      </c>
      <c r="I232" s="423">
        <f>H232/B232</f>
        <v>-0.30986289061774203</v>
      </c>
      <c r="J232" s="2"/>
      <c r="K232" s="46" t="s">
        <v>980</v>
      </c>
      <c r="L232" s="46"/>
      <c r="M232" s="46"/>
      <c r="N232" s="46"/>
      <c r="O232" s="46"/>
      <c r="P232" s="46"/>
      <c r="Q232" s="46"/>
      <c r="R232" s="46"/>
      <c r="S232" s="46"/>
      <c r="T232" s="2"/>
    </row>
    <row r="233" spans="1:20" hidden="1" outlineLevel="1">
      <c r="A233" s="118" t="s">
        <v>658</v>
      </c>
      <c r="B233" s="138">
        <f>VLOOKUP(A233,'LEVEL 1.2 BUDGET'!$A$13:$K$316,11,FALSE)</f>
        <v>31250</v>
      </c>
      <c r="E233" s="138">
        <f>VLOOKUP($A233,'LEVEL 2'!$A$13:$K$317,11,FALSE)</f>
        <v>31250</v>
      </c>
      <c r="G233" s="2"/>
      <c r="H233" s="138">
        <f t="shared" si="18"/>
        <v>0</v>
      </c>
      <c r="I233" s="425">
        <f>IF(B233=0,"n/a",H233/B233)</f>
        <v>0</v>
      </c>
      <c r="J233" s="2"/>
      <c r="K233" s="46"/>
      <c r="L233" s="46"/>
      <c r="M233" s="46"/>
      <c r="N233" s="46"/>
      <c r="O233" s="46"/>
      <c r="P233" s="46"/>
      <c r="Q233" s="46"/>
      <c r="R233" s="46"/>
      <c r="S233" s="46"/>
      <c r="T233" s="2"/>
    </row>
    <row r="234" spans="1:20" hidden="1" outlineLevel="1">
      <c r="A234" s="118" t="s">
        <v>661</v>
      </c>
      <c r="B234" s="138">
        <f>VLOOKUP(A234,'LEVEL 1.2 BUDGET'!$A$13:$K$316,11,FALSE)</f>
        <v>331457</v>
      </c>
      <c r="E234" s="138">
        <f>VLOOKUP($A234,'LEVEL 2'!$A$13:$K$317,11,FALSE)</f>
        <v>303105.8</v>
      </c>
      <c r="G234" s="2"/>
      <c r="H234" s="138">
        <f t="shared" si="18"/>
        <v>28351.200000000012</v>
      </c>
      <c r="I234" s="423">
        <f>H234/B234</f>
        <v>8.5535076948141123E-2</v>
      </c>
      <c r="J234" s="2"/>
      <c r="K234" s="46"/>
      <c r="L234" s="46"/>
      <c r="M234" s="46"/>
      <c r="N234" s="46"/>
      <c r="O234" s="46"/>
      <c r="P234" s="46"/>
      <c r="Q234" s="46"/>
      <c r="R234" s="46"/>
      <c r="S234" s="46"/>
      <c r="T234" s="2"/>
    </row>
    <row r="235" spans="1:20" hidden="1" outlineLevel="1">
      <c r="A235" s="118" t="s">
        <v>663</v>
      </c>
      <c r="B235" s="138">
        <f>VLOOKUP(A235,'LEVEL 1.2 BUDGET'!$A$13:$K$316,11,FALSE)</f>
        <v>15000</v>
      </c>
      <c r="E235" s="138">
        <f>VLOOKUP($A235,'LEVEL 2'!$A$13:$K$317,11,FALSE)</f>
        <v>15000</v>
      </c>
      <c r="G235" s="2"/>
      <c r="H235" s="138">
        <f t="shared" si="18"/>
        <v>0</v>
      </c>
      <c r="I235" s="423">
        <f>H235/B235</f>
        <v>0</v>
      </c>
      <c r="J235" s="2"/>
      <c r="K235" s="46"/>
      <c r="L235" s="46"/>
      <c r="M235" s="46"/>
      <c r="N235" s="46"/>
      <c r="O235" s="46"/>
      <c r="P235" s="46"/>
      <c r="Q235" s="46"/>
      <c r="R235" s="46"/>
      <c r="S235" s="46"/>
      <c r="T235" s="2"/>
    </row>
    <row r="236" spans="1:20" hidden="1" outlineLevel="1">
      <c r="A236" s="118" t="s">
        <v>665</v>
      </c>
      <c r="B236" s="138">
        <f>VLOOKUP(A236,'LEVEL 1.2 BUDGET'!$A$13:$K$316,11,FALSE)</f>
        <v>7000</v>
      </c>
      <c r="E236" s="138">
        <f>VLOOKUP($A236,'LEVEL 2'!$A$13:$K$317,11,FALSE)</f>
        <v>7000</v>
      </c>
      <c r="G236" s="2"/>
      <c r="H236" s="138">
        <f t="shared" si="18"/>
        <v>0</v>
      </c>
      <c r="I236" s="423">
        <f>H236/B236</f>
        <v>0</v>
      </c>
      <c r="J236" s="2"/>
      <c r="K236" s="46"/>
      <c r="L236" s="46"/>
      <c r="M236" s="46"/>
      <c r="N236" s="46"/>
      <c r="O236" s="46"/>
      <c r="P236" s="46"/>
      <c r="Q236" s="46"/>
      <c r="R236" s="46"/>
      <c r="S236" s="46"/>
      <c r="T236" s="2"/>
    </row>
    <row r="237" spans="1:20" hidden="1" outlineLevel="1">
      <c r="A237" s="118" t="s">
        <v>210</v>
      </c>
      <c r="B237" s="138">
        <f>VLOOKUP(A237,'LEVEL 1.2 BUDGET'!$A$13:$K$316,11,FALSE)</f>
        <v>3976294.82</v>
      </c>
      <c r="C237" s="182"/>
      <c r="E237" s="138">
        <f>VLOOKUP($A237,'LEVEL 2'!$A$13:$K$317,11,FALSE)</f>
        <v>2847338.28</v>
      </c>
      <c r="F237" s="182"/>
      <c r="G237" s="2"/>
      <c r="H237" s="138">
        <f t="shared" si="18"/>
        <v>1128956.54</v>
      </c>
      <c r="I237" s="423">
        <f>H237/B237</f>
        <v>0.28392173898212109</v>
      </c>
      <c r="J237" s="2"/>
      <c r="K237" s="46" t="s">
        <v>981</v>
      </c>
      <c r="L237" s="46"/>
      <c r="M237" s="46"/>
      <c r="N237" s="46"/>
      <c r="O237" s="46"/>
      <c r="P237" s="46"/>
      <c r="Q237" s="46"/>
      <c r="R237" s="46"/>
      <c r="S237" s="46"/>
      <c r="T237" s="2"/>
    </row>
    <row r="238" spans="1:20" hidden="1" outlineLevel="1">
      <c r="A238" s="118" t="s">
        <v>669</v>
      </c>
      <c r="B238" s="138">
        <f>VLOOKUP(A238,'LEVEL 1.2 BUDGET'!$A$13:$K$316,11,FALSE)</f>
        <v>0</v>
      </c>
      <c r="E238" s="138">
        <f>VLOOKUP($A238,'LEVEL 2'!$A$13:$K$317,11,FALSE)</f>
        <v>0</v>
      </c>
      <c r="G238" s="2"/>
      <c r="H238" s="138">
        <f t="shared" si="18"/>
        <v>0</v>
      </c>
      <c r="I238" s="425" t="str">
        <f>IF(B238=0,"n/a",H238/B238)</f>
        <v>n/a</v>
      </c>
      <c r="J238" s="2"/>
      <c r="K238" s="46"/>
      <c r="L238" s="46"/>
      <c r="M238" s="46"/>
      <c r="N238" s="46"/>
      <c r="O238" s="46"/>
      <c r="P238" s="46"/>
      <c r="Q238" s="46"/>
      <c r="R238" s="46"/>
      <c r="S238" s="46"/>
      <c r="T238" s="2"/>
    </row>
    <row r="239" spans="1:20" hidden="1" outlineLevel="1">
      <c r="A239" s="118" t="s">
        <v>670</v>
      </c>
      <c r="B239" s="138">
        <f>VLOOKUP(A239,'LEVEL 1.2 BUDGET'!$A$13:$K$316,11,FALSE)</f>
        <v>0</v>
      </c>
      <c r="E239" s="138">
        <f>VLOOKUP($A239,'LEVEL 2'!$A$13:$K$317,11,FALSE)</f>
        <v>0</v>
      </c>
      <c r="G239" s="2"/>
      <c r="H239" s="138">
        <f t="shared" si="18"/>
        <v>0</v>
      </c>
      <c r="I239" s="425" t="str">
        <f>IF(B239=0,"n/a",H239/B239)</f>
        <v>n/a</v>
      </c>
      <c r="J239" s="2"/>
      <c r="K239" s="46"/>
      <c r="L239" s="46"/>
      <c r="M239" s="46"/>
      <c r="N239" s="46"/>
      <c r="O239" s="46"/>
      <c r="P239" s="46"/>
      <c r="Q239" s="46"/>
      <c r="R239" s="46"/>
      <c r="S239" s="46"/>
      <c r="T239" s="2"/>
    </row>
    <row r="240" spans="1:20" hidden="1" outlineLevel="1">
      <c r="A240" s="118" t="s">
        <v>672</v>
      </c>
      <c r="B240" s="138">
        <f>VLOOKUP(A240,'LEVEL 1.2 BUDGET'!$A$13:$K$316,11,FALSE)</f>
        <v>5000</v>
      </c>
      <c r="E240" s="138">
        <f>VLOOKUP($A240,'LEVEL 2'!$A$13:$K$317,11,FALSE)</f>
        <v>5000</v>
      </c>
      <c r="G240" s="2"/>
      <c r="H240" s="138">
        <f t="shared" si="18"/>
        <v>0</v>
      </c>
      <c r="I240" s="423">
        <f>H240/B240</f>
        <v>0</v>
      </c>
      <c r="J240" s="2"/>
      <c r="K240" s="46"/>
      <c r="L240" s="46"/>
      <c r="M240" s="46"/>
      <c r="N240" s="46"/>
      <c r="O240" s="46"/>
      <c r="P240" s="46"/>
      <c r="Q240" s="46"/>
      <c r="R240" s="46"/>
      <c r="S240" s="46"/>
      <c r="T240" s="2"/>
    </row>
    <row r="241" spans="1:23" hidden="1" outlineLevel="1">
      <c r="A241" s="118" t="s">
        <v>674</v>
      </c>
      <c r="B241" s="138">
        <f>VLOOKUP(A241,'LEVEL 1.2 BUDGET'!$A$13:$K$316,11,FALSE)</f>
        <v>413660</v>
      </c>
      <c r="E241" s="138">
        <f>VLOOKUP($A241,'LEVEL 2'!$A$13:$K$317,11,FALSE)</f>
        <v>341251.0625</v>
      </c>
      <c r="G241" s="2"/>
      <c r="H241" s="138">
        <f t="shared" si="18"/>
        <v>72408.9375</v>
      </c>
      <c r="I241" s="423">
        <f>H241/B241</f>
        <v>0.17504457162887396</v>
      </c>
      <c r="J241" s="2"/>
      <c r="K241" s="46" t="s">
        <v>982</v>
      </c>
      <c r="L241" s="46"/>
      <c r="M241" s="46"/>
      <c r="N241" s="46"/>
      <c r="O241" s="46"/>
      <c r="P241" s="46"/>
      <c r="Q241" s="46"/>
      <c r="R241" s="46"/>
      <c r="S241" s="46"/>
      <c r="T241" s="2"/>
    </row>
    <row r="242" spans="1:23" hidden="1" outlineLevel="1">
      <c r="A242" s="118" t="s">
        <v>675</v>
      </c>
      <c r="B242" s="138">
        <f>VLOOKUP(A242,'LEVEL 1.2 BUDGET'!$A$13:$K$316,11,FALSE)</f>
        <v>32717</v>
      </c>
      <c r="E242" s="138">
        <f>VLOOKUP($A242,'LEVEL 2'!$A$13:$K$317,11,FALSE)</f>
        <v>45316</v>
      </c>
      <c r="G242" s="2"/>
      <c r="H242" s="138">
        <f t="shared" si="18"/>
        <v>-12599</v>
      </c>
      <c r="I242" s="423">
        <f>H242/B242</f>
        <v>-0.38509032001711646</v>
      </c>
      <c r="J242" s="2"/>
      <c r="K242" s="46"/>
      <c r="L242" s="46"/>
      <c r="M242" s="46"/>
      <c r="N242" s="46"/>
      <c r="O242" s="46"/>
      <c r="P242" s="46"/>
      <c r="Q242" s="46"/>
      <c r="R242" s="46"/>
      <c r="S242" s="46"/>
      <c r="T242" s="2"/>
    </row>
    <row r="243" spans="1:23" hidden="1" outlineLevel="1">
      <c r="A243" s="118" t="s">
        <v>676</v>
      </c>
      <c r="B243" s="138">
        <f>VLOOKUP(A243,'LEVEL 1.2 BUDGET'!$A$13:$K$316,11,FALSE)</f>
        <v>37000</v>
      </c>
      <c r="E243" s="138">
        <f>VLOOKUP($A243,'LEVEL 2'!$A$13:$K$317,11,FALSE)</f>
        <v>25863</v>
      </c>
      <c r="G243" s="2"/>
      <c r="H243" s="138">
        <f t="shared" si="18"/>
        <v>11137</v>
      </c>
      <c r="I243" s="423">
        <f>H243/B243</f>
        <v>0.30099999999999999</v>
      </c>
      <c r="J243" s="2"/>
      <c r="K243" s="46"/>
      <c r="L243" s="46"/>
      <c r="M243" s="46"/>
      <c r="N243" s="46"/>
      <c r="O243" s="46"/>
      <c r="P243" s="46"/>
      <c r="Q243" s="46"/>
      <c r="R243" s="46"/>
      <c r="S243" s="46"/>
      <c r="T243" s="2"/>
    </row>
    <row r="244" spans="1:23" s="155" customFormat="1" hidden="1" outlineLevel="1">
      <c r="A244" s="118" t="s">
        <v>677</v>
      </c>
      <c r="B244" s="117">
        <f>VLOOKUP(A244,'LEVEL 1.2 BUDGET'!$A$13:$K$316,11,FALSE)</f>
        <v>0</v>
      </c>
      <c r="C244" s="3"/>
      <c r="D244" s="3"/>
      <c r="E244" s="117">
        <f>VLOOKUP($A244,'LEVEL 2'!$A$13:$K$317,11,FALSE)</f>
        <v>0</v>
      </c>
      <c r="F244" s="3"/>
      <c r="G244" s="2"/>
      <c r="H244" s="117">
        <f t="shared" si="18"/>
        <v>0</v>
      </c>
      <c r="I244" s="425" t="str">
        <f>IF(B244=0,"n/a",H244/B244)</f>
        <v>n/a</v>
      </c>
      <c r="J244" s="2"/>
      <c r="K244" s="46"/>
      <c r="L244" s="46"/>
      <c r="M244" s="150"/>
      <c r="N244" s="150"/>
      <c r="O244" s="150"/>
      <c r="P244" s="150"/>
      <c r="Q244" s="150"/>
      <c r="R244" s="150"/>
      <c r="S244" s="150"/>
      <c r="T244" s="154"/>
    </row>
    <row r="245" spans="1:23" collapsed="1">
      <c r="A245" s="347" t="s">
        <v>679</v>
      </c>
      <c r="B245" s="110"/>
      <c r="C245" s="445">
        <f>SUM(B208:B244)</f>
        <v>6907826.5700000003</v>
      </c>
      <c r="E245" s="110"/>
      <c r="F245" s="445">
        <f>SUM(E208:E244)</f>
        <v>5896648.9249999989</v>
      </c>
      <c r="G245" s="2"/>
      <c r="H245" s="448">
        <f>C245-F245</f>
        <v>1011177.6450000014</v>
      </c>
      <c r="I245" s="446">
        <f>H245/C245</f>
        <v>0.14638144642939427</v>
      </c>
      <c r="J245" s="2"/>
      <c r="K245" s="373"/>
      <c r="L245" s="373"/>
      <c r="M245" s="373"/>
      <c r="N245" s="373"/>
      <c r="O245" s="373"/>
      <c r="P245" s="373"/>
      <c r="Q245" s="373"/>
      <c r="R245" s="373"/>
      <c r="S245" s="373"/>
      <c r="T245" s="2"/>
    </row>
    <row r="246" spans="1:23" hidden="1" outlineLevel="1">
      <c r="A246" s="118" t="s">
        <v>238</v>
      </c>
      <c r="B246" s="117">
        <f>VLOOKUP(A246,'LEVEL 1.2 BUDGET'!$A$13:$K$316,11,FALSE)</f>
        <v>136125</v>
      </c>
      <c r="C246" s="182"/>
      <c r="E246" s="117">
        <f>VLOOKUP($A246,'LEVEL 2'!$A$13:$K$317,11,FALSE)</f>
        <v>136125</v>
      </c>
      <c r="F246" s="182"/>
      <c r="G246" s="2"/>
      <c r="H246" s="117">
        <f t="shared" ref="H246:H261" si="20">B246-E246</f>
        <v>0</v>
      </c>
      <c r="I246" s="423">
        <f>H246/B246</f>
        <v>0</v>
      </c>
      <c r="J246" s="2"/>
      <c r="K246" s="88"/>
      <c r="L246" s="88"/>
      <c r="M246" s="88"/>
      <c r="N246" s="88"/>
      <c r="O246" s="88"/>
      <c r="P246" s="88"/>
      <c r="Q246" s="88"/>
      <c r="R246" s="88"/>
      <c r="S246" s="88"/>
      <c r="T246" s="2"/>
      <c r="U246" s="3">
        <v>136125</v>
      </c>
      <c r="V246" s="182">
        <f>B246-U246</f>
        <v>0</v>
      </c>
    </row>
    <row r="247" spans="1:23" hidden="1" outlineLevel="1">
      <c r="A247" s="137" t="s">
        <v>682</v>
      </c>
      <c r="B247" s="138">
        <f>VLOOKUP(A247,'LEVEL 1.2 BUDGET'!$A$13:$K$316,11,FALSE)</f>
        <v>10000</v>
      </c>
      <c r="C247" s="182"/>
      <c r="E247" s="138">
        <f>VLOOKUP($A247,'LEVEL 2'!$A$13:$K$317,11,FALSE)</f>
        <v>10000</v>
      </c>
      <c r="F247" s="182"/>
      <c r="G247" s="2"/>
      <c r="H247" s="138">
        <f t="shared" si="20"/>
        <v>0</v>
      </c>
      <c r="I247" s="425">
        <f>IF(B247=0,"n/a",H247/B247)</f>
        <v>0</v>
      </c>
      <c r="J247" s="2"/>
      <c r="K247" s="46"/>
      <c r="L247" s="46"/>
      <c r="M247" s="46"/>
      <c r="N247" s="46"/>
      <c r="O247" s="46"/>
      <c r="P247" s="46"/>
      <c r="Q247" s="46"/>
      <c r="R247" s="46"/>
      <c r="S247" s="46"/>
      <c r="T247" s="2"/>
      <c r="U247" s="3">
        <v>10000</v>
      </c>
      <c r="V247" s="182">
        <f t="shared" ref="V247:V261" si="21">B247-U247</f>
        <v>0</v>
      </c>
    </row>
    <row r="248" spans="1:23" hidden="1" outlineLevel="1">
      <c r="A248" s="137" t="s">
        <v>684</v>
      </c>
      <c r="B248" s="138">
        <f>VLOOKUP(A248,'LEVEL 1.2 BUDGET'!$A$13:$K$316,11,FALSE)</f>
        <v>1306636</v>
      </c>
      <c r="C248" s="182"/>
      <c r="E248" s="138">
        <f>VLOOKUP($A248,'LEVEL 2'!$A$13:$K$317,11,FALSE)</f>
        <v>1292500.98</v>
      </c>
      <c r="F248" s="182"/>
      <c r="G248" s="2"/>
      <c r="H248" s="138">
        <f t="shared" si="20"/>
        <v>14135.020000000019</v>
      </c>
      <c r="I248" s="423">
        <f>H248/B248</f>
        <v>1.0817871235753507E-2</v>
      </c>
      <c r="J248" s="2"/>
      <c r="K248" s="46"/>
      <c r="L248" s="46"/>
      <c r="M248" s="46"/>
      <c r="N248" s="46"/>
      <c r="O248" s="46"/>
      <c r="P248" s="46"/>
      <c r="Q248" s="46"/>
      <c r="R248" s="46"/>
      <c r="S248" s="46"/>
      <c r="T248" s="2"/>
      <c r="U248" s="3">
        <v>1306636</v>
      </c>
      <c r="V248" s="182">
        <f t="shared" si="21"/>
        <v>0</v>
      </c>
    </row>
    <row r="249" spans="1:23" hidden="1" outlineLevel="1">
      <c r="A249" s="137" t="s">
        <v>686</v>
      </c>
      <c r="B249" s="138">
        <f>VLOOKUP(A249,'LEVEL 1.2 BUDGET'!$A$13:$K$316,11,FALSE)</f>
        <v>823398</v>
      </c>
      <c r="C249" s="182"/>
      <c r="E249" s="138">
        <f>VLOOKUP($A249,'LEVEL 2'!$A$13:$K$317,11,FALSE)</f>
        <v>516087</v>
      </c>
      <c r="F249" s="182"/>
      <c r="G249" s="2"/>
      <c r="H249" s="138">
        <f t="shared" si="20"/>
        <v>307311</v>
      </c>
      <c r="I249" s="423">
        <f>H249/B249</f>
        <v>0.37322291285623721</v>
      </c>
      <c r="J249" s="2"/>
      <c r="K249" s="46" t="s">
        <v>983</v>
      </c>
      <c r="L249" s="46"/>
      <c r="M249" s="46"/>
      <c r="N249" s="46"/>
      <c r="O249" s="46"/>
      <c r="P249" s="46"/>
      <c r="Q249" s="46"/>
      <c r="R249" s="46"/>
      <c r="S249" s="46"/>
      <c r="T249" s="2"/>
      <c r="U249" s="3">
        <v>823398</v>
      </c>
      <c r="V249" s="182">
        <f t="shared" si="21"/>
        <v>0</v>
      </c>
      <c r="W249" s="69"/>
    </row>
    <row r="250" spans="1:23" hidden="1" outlineLevel="1">
      <c r="A250" s="137" t="s">
        <v>688</v>
      </c>
      <c r="B250" s="138">
        <f>VLOOKUP(A250,'LEVEL 1.2 BUDGET'!$A$13:$K$316,11,FALSE)</f>
        <v>50000</v>
      </c>
      <c r="C250" s="182"/>
      <c r="E250" s="138">
        <f>VLOOKUP($A250,'LEVEL 2'!$A$13:$K$317,11,FALSE)</f>
        <v>25000</v>
      </c>
      <c r="F250" s="182"/>
      <c r="G250" s="2"/>
      <c r="H250" s="138">
        <f t="shared" si="20"/>
        <v>25000</v>
      </c>
      <c r="I250" s="425">
        <f>IF(B250=0,"n/a",H250/B250)</f>
        <v>0.5</v>
      </c>
      <c r="J250" s="2"/>
      <c r="K250" s="46"/>
      <c r="L250" s="46"/>
      <c r="M250" s="46"/>
      <c r="N250" s="46"/>
      <c r="O250" s="46"/>
      <c r="P250" s="46"/>
      <c r="Q250" s="46"/>
      <c r="R250" s="46"/>
      <c r="S250" s="46"/>
      <c r="T250" s="2"/>
      <c r="U250" s="3">
        <v>50000</v>
      </c>
      <c r="V250" s="182">
        <f t="shared" si="21"/>
        <v>0</v>
      </c>
    </row>
    <row r="251" spans="1:23" hidden="1" outlineLevel="1">
      <c r="A251" s="137" t="s">
        <v>690</v>
      </c>
      <c r="B251" s="138">
        <f>VLOOKUP(A251,'LEVEL 1.2 BUDGET'!$A$13:$K$316,11,FALSE)</f>
        <v>5000</v>
      </c>
      <c r="C251" s="182"/>
      <c r="E251" s="138">
        <f>VLOOKUP($A251,'LEVEL 2'!$A$13:$K$317,11,FALSE)</f>
        <v>5000</v>
      </c>
      <c r="F251" s="182"/>
      <c r="G251" s="2"/>
      <c r="H251" s="138">
        <f t="shared" si="20"/>
        <v>0</v>
      </c>
      <c r="I251" s="423">
        <f>H251/B251</f>
        <v>0</v>
      </c>
      <c r="J251" s="2"/>
      <c r="K251" s="46"/>
      <c r="L251" s="46"/>
      <c r="M251" s="46"/>
      <c r="N251" s="46"/>
      <c r="O251" s="46"/>
      <c r="P251" s="46"/>
      <c r="Q251" s="46"/>
      <c r="R251" s="46"/>
      <c r="S251" s="46"/>
      <c r="T251" s="2"/>
      <c r="U251" s="3">
        <v>5000</v>
      </c>
      <c r="V251" s="182">
        <f t="shared" si="21"/>
        <v>0</v>
      </c>
    </row>
    <row r="252" spans="1:23" s="155" customFormat="1" hidden="1" outlineLevel="1">
      <c r="A252" s="137" t="s">
        <v>692</v>
      </c>
      <c r="B252" s="138">
        <f>VLOOKUP(A252,'LEVEL 1.2 BUDGET'!$A$13:$K$316,11,FALSE)</f>
        <v>0</v>
      </c>
      <c r="C252" s="182"/>
      <c r="D252" s="3"/>
      <c r="E252" s="138">
        <f>VLOOKUP($A252,'LEVEL 2'!$A$13:$K$317,11,FALSE)</f>
        <v>0</v>
      </c>
      <c r="F252" s="182"/>
      <c r="G252" s="2"/>
      <c r="H252" s="138">
        <f t="shared" si="20"/>
        <v>0</v>
      </c>
      <c r="I252" s="425" t="str">
        <f>IF(B252=0,"n/a",H252/B252)</f>
        <v>n/a</v>
      </c>
      <c r="J252" s="2"/>
      <c r="K252" s="46"/>
      <c r="L252" s="150"/>
      <c r="M252" s="150"/>
      <c r="N252" s="150"/>
      <c r="O252" s="150"/>
      <c r="P252" s="150"/>
      <c r="Q252" s="150"/>
      <c r="R252" s="150"/>
      <c r="S252" s="150"/>
      <c r="T252" s="154"/>
      <c r="U252" s="155">
        <v>0</v>
      </c>
      <c r="V252" s="182">
        <f t="shared" si="21"/>
        <v>0</v>
      </c>
    </row>
    <row r="253" spans="1:23" hidden="1" outlineLevel="1">
      <c r="A253" s="118" t="s">
        <v>694</v>
      </c>
      <c r="B253" s="138">
        <f>VLOOKUP(A253,'LEVEL 1.2 BUDGET'!$A$13:$K$316,11,FALSE)</f>
        <v>452076</v>
      </c>
      <c r="C253" s="182"/>
      <c r="E253" s="138">
        <f>VLOOKUP($A253,'LEVEL 2'!$A$13:$K$317,11,FALSE)</f>
        <v>350575.2</v>
      </c>
      <c r="F253" s="182"/>
      <c r="G253" s="2"/>
      <c r="H253" s="138">
        <f t="shared" si="20"/>
        <v>101500.79999999999</v>
      </c>
      <c r="I253" s="423">
        <f>H253/B253</f>
        <v>0.22452154062591242</v>
      </c>
      <c r="J253" s="2"/>
      <c r="K253" s="46" t="s">
        <v>984</v>
      </c>
      <c r="L253" s="46"/>
      <c r="M253" s="46"/>
      <c r="N253" s="46"/>
      <c r="O253" s="46"/>
      <c r="P253" s="46"/>
      <c r="Q253" s="46"/>
      <c r="R253" s="46"/>
      <c r="S253" s="46"/>
      <c r="T253" s="2"/>
      <c r="U253" s="3">
        <v>452076</v>
      </c>
      <c r="V253" s="182">
        <f t="shared" si="21"/>
        <v>0</v>
      </c>
    </row>
    <row r="254" spans="1:23" hidden="1" outlineLevel="1">
      <c r="A254" s="118" t="s">
        <v>696</v>
      </c>
      <c r="B254" s="138">
        <f>VLOOKUP(A254,'LEVEL 1.2 BUDGET'!$A$13:$K$316,11,FALSE)</f>
        <v>0</v>
      </c>
      <c r="E254" s="138">
        <f>VLOOKUP($A254,'LEVEL 2'!$A$13:$K$317,11,FALSE)</f>
        <v>25000</v>
      </c>
      <c r="G254" s="2"/>
      <c r="H254" s="138">
        <f t="shared" si="20"/>
        <v>-25000</v>
      </c>
      <c r="I254" s="425" t="str">
        <f>IF(B254=0,"n/a",H254/B254)</f>
        <v>n/a</v>
      </c>
      <c r="J254" s="2"/>
      <c r="K254" s="46"/>
      <c r="L254" s="46"/>
      <c r="M254" s="46"/>
      <c r="N254" s="46"/>
      <c r="O254" s="46"/>
      <c r="P254" s="46"/>
      <c r="Q254" s="46"/>
      <c r="R254" s="46"/>
      <c r="S254" s="46"/>
      <c r="T254" s="2"/>
      <c r="U254" s="3">
        <v>0</v>
      </c>
      <c r="V254" s="182">
        <f t="shared" si="21"/>
        <v>0</v>
      </c>
    </row>
    <row r="255" spans="1:23" hidden="1" outlineLevel="1">
      <c r="A255" s="118" t="s">
        <v>698</v>
      </c>
      <c r="B255" s="138">
        <f>VLOOKUP(A255,'LEVEL 1.2 BUDGET'!$A$13:$K$316,11,FALSE)</f>
        <v>15600</v>
      </c>
      <c r="E255" s="138">
        <f>VLOOKUP($A255,'LEVEL 2'!$A$13:$K$317,11,FALSE)</f>
        <v>15600</v>
      </c>
      <c r="G255" s="2"/>
      <c r="H255" s="138">
        <f t="shared" si="20"/>
        <v>0</v>
      </c>
      <c r="I255" s="425">
        <f>IF(B255=0,"n/a",H255/B255)</f>
        <v>0</v>
      </c>
      <c r="J255" s="2"/>
      <c r="K255" s="46"/>
      <c r="L255" s="46"/>
      <c r="M255" s="46"/>
      <c r="N255" s="46"/>
      <c r="O255" s="46"/>
      <c r="P255" s="46"/>
      <c r="Q255" s="46"/>
      <c r="R255" s="46"/>
      <c r="S255" s="46"/>
      <c r="T255" s="2"/>
      <c r="U255" s="3">
        <v>15600</v>
      </c>
      <c r="V255" s="182">
        <f t="shared" si="21"/>
        <v>0</v>
      </c>
    </row>
    <row r="256" spans="1:23" hidden="1" outlineLevel="1">
      <c r="A256" s="118" t="s">
        <v>700</v>
      </c>
      <c r="B256" s="138">
        <f>VLOOKUP(A256,'LEVEL 1.2 BUDGET'!$A$13:$K$316,11,FALSE)</f>
        <v>0</v>
      </c>
      <c r="E256" s="138">
        <f>VLOOKUP($A256,'LEVEL 2'!$A$13:$K$317,11,FALSE)</f>
        <v>0</v>
      </c>
      <c r="G256" s="2"/>
      <c r="H256" s="138">
        <f t="shared" si="20"/>
        <v>0</v>
      </c>
      <c r="I256" s="425" t="str">
        <f>IF(B256=0,"n/a",H256/B256)</f>
        <v>n/a</v>
      </c>
      <c r="J256" s="2"/>
      <c r="K256" s="46"/>
      <c r="L256" s="46"/>
      <c r="M256" s="46"/>
      <c r="N256" s="46"/>
      <c r="O256" s="46"/>
      <c r="P256" s="46"/>
      <c r="Q256" s="46"/>
      <c r="R256" s="46"/>
      <c r="S256" s="46"/>
      <c r="T256" s="2"/>
      <c r="U256" s="3">
        <v>0</v>
      </c>
      <c r="V256" s="182">
        <f t="shared" si="21"/>
        <v>0</v>
      </c>
    </row>
    <row r="257" spans="1:22" hidden="1" outlineLevel="1">
      <c r="A257" s="118" t="s">
        <v>702</v>
      </c>
      <c r="B257" s="138">
        <f>VLOOKUP(A257,'LEVEL 1.2 BUDGET'!$A$13:$K$316,11,FALSE)</f>
        <v>0</v>
      </c>
      <c r="E257" s="138">
        <f>VLOOKUP($A257,'LEVEL 2'!$A$13:$K$317,11,FALSE)</f>
        <v>0</v>
      </c>
      <c r="G257" s="2"/>
      <c r="H257" s="138">
        <f t="shared" si="20"/>
        <v>0</v>
      </c>
      <c r="I257" s="425" t="str">
        <f>IF(B257=0,"n/a",H257/B257)</f>
        <v>n/a</v>
      </c>
      <c r="J257" s="2"/>
      <c r="K257" s="46"/>
      <c r="L257" s="46"/>
      <c r="M257" s="46"/>
      <c r="N257" s="46"/>
      <c r="O257" s="46"/>
      <c r="P257" s="46"/>
      <c r="Q257" s="46"/>
      <c r="R257" s="46"/>
      <c r="S257" s="46"/>
      <c r="T257" s="2"/>
      <c r="U257" s="3">
        <v>0</v>
      </c>
      <c r="V257" s="182">
        <f t="shared" si="21"/>
        <v>0</v>
      </c>
    </row>
    <row r="258" spans="1:22" hidden="1" outlineLevel="1">
      <c r="A258" s="118" t="s">
        <v>704</v>
      </c>
      <c r="B258" s="138">
        <f>VLOOKUP(A258,'LEVEL 1.2 BUDGET'!$A$13:$K$316,11,FALSE)</f>
        <v>345550</v>
      </c>
      <c r="C258" s="182"/>
      <c r="E258" s="138">
        <f>VLOOKUP($A258,'LEVEL 2'!$A$13:$K$317,11,FALSE)</f>
        <v>387993.65</v>
      </c>
      <c r="F258" s="182"/>
      <c r="G258" s="2"/>
      <c r="H258" s="138">
        <f t="shared" si="20"/>
        <v>-42443.650000000023</v>
      </c>
      <c r="I258" s="423">
        <f>H258/B258</f>
        <v>-0.12282925770510787</v>
      </c>
      <c r="J258" s="2"/>
      <c r="K258" s="46" t="s">
        <v>983</v>
      </c>
      <c r="L258" s="46"/>
      <c r="M258" s="46"/>
      <c r="N258" s="46"/>
      <c r="O258" s="46"/>
      <c r="P258" s="46"/>
      <c r="Q258" s="46"/>
      <c r="R258" s="46"/>
      <c r="S258" s="46"/>
      <c r="T258" s="2"/>
      <c r="U258" s="3">
        <v>345550</v>
      </c>
      <c r="V258" s="182">
        <f t="shared" si="21"/>
        <v>0</v>
      </c>
    </row>
    <row r="259" spans="1:22" hidden="1" outlineLevel="1">
      <c r="A259" s="118" t="s">
        <v>705</v>
      </c>
      <c r="B259" s="138">
        <f>VLOOKUP(A259,'LEVEL 1.2 BUDGET'!$A$13:$K$316,11,FALSE)</f>
        <v>75000</v>
      </c>
      <c r="C259" s="182"/>
      <c r="E259" s="138">
        <f>VLOOKUP($A259,'LEVEL 2'!$A$13:$K$317,11,FALSE)</f>
        <v>91720</v>
      </c>
      <c r="F259" s="182"/>
      <c r="G259" s="2"/>
      <c r="H259" s="138">
        <f t="shared" si="20"/>
        <v>-16720</v>
      </c>
      <c r="I259" s="423">
        <f>H259/B259</f>
        <v>-0.22293333333333334</v>
      </c>
      <c r="J259" s="2"/>
      <c r="K259" s="46" t="s">
        <v>983</v>
      </c>
      <c r="L259" s="46"/>
      <c r="M259" s="46"/>
      <c r="N259" s="46"/>
      <c r="O259" s="46"/>
      <c r="P259" s="46"/>
      <c r="Q259" s="46"/>
      <c r="R259" s="46"/>
      <c r="S259" s="46"/>
      <c r="T259" s="2"/>
      <c r="U259" s="3">
        <v>75000</v>
      </c>
      <c r="V259" s="182">
        <f t="shared" si="21"/>
        <v>0</v>
      </c>
    </row>
    <row r="260" spans="1:22" hidden="1" outlineLevel="1">
      <c r="A260" s="118" t="s">
        <v>706</v>
      </c>
      <c r="B260" s="138">
        <f>VLOOKUP(A260,'LEVEL 1.2 BUDGET'!$A$13:$K$316,11,FALSE)</f>
        <v>25000</v>
      </c>
      <c r="C260" s="182"/>
      <c r="E260" s="138">
        <f>VLOOKUP($A260,'LEVEL 2'!$A$13:$K$317,11,FALSE)</f>
        <v>25000</v>
      </c>
      <c r="F260" s="182"/>
      <c r="G260" s="2"/>
      <c r="H260" s="138">
        <f t="shared" si="20"/>
        <v>0</v>
      </c>
      <c r="I260" s="425">
        <f>IF(B260=0,"n/a",H260/B260)</f>
        <v>0</v>
      </c>
      <c r="J260" s="2"/>
      <c r="K260" s="46"/>
      <c r="L260" s="46"/>
      <c r="M260" s="46"/>
      <c r="N260" s="46"/>
      <c r="O260" s="46"/>
      <c r="P260" s="46"/>
      <c r="Q260" s="46"/>
      <c r="R260" s="46"/>
      <c r="S260" s="46"/>
      <c r="T260" s="2"/>
      <c r="U260" s="3">
        <v>25000</v>
      </c>
      <c r="V260" s="182">
        <f t="shared" si="21"/>
        <v>0</v>
      </c>
    </row>
    <row r="261" spans="1:22" hidden="1" outlineLevel="1">
      <c r="A261" s="118" t="s">
        <v>707</v>
      </c>
      <c r="B261" s="117">
        <f>VLOOKUP(A261,'LEVEL 1.2 BUDGET'!$A$13:$K$316,11,FALSE)</f>
        <v>61000</v>
      </c>
      <c r="C261" s="182"/>
      <c r="E261" s="117">
        <f>VLOOKUP($A261,'LEVEL 2'!$A$13:$K$317,11,FALSE)</f>
        <v>61000</v>
      </c>
      <c r="F261" s="182"/>
      <c r="G261" s="2"/>
      <c r="H261" s="117">
        <f t="shared" si="20"/>
        <v>0</v>
      </c>
      <c r="I261" s="424">
        <f>H261/B261</f>
        <v>0</v>
      </c>
      <c r="J261" s="2"/>
      <c r="K261" s="46"/>
      <c r="L261" s="46"/>
      <c r="M261" s="46"/>
      <c r="N261" s="46"/>
      <c r="O261" s="46"/>
      <c r="P261" s="46"/>
      <c r="Q261" s="46"/>
      <c r="R261" s="46"/>
      <c r="S261" s="46"/>
      <c r="T261" s="2"/>
      <c r="U261" s="3">
        <v>61000</v>
      </c>
      <c r="V261" s="182">
        <f t="shared" si="21"/>
        <v>0</v>
      </c>
    </row>
    <row r="262" spans="1:22" collapsed="1">
      <c r="A262" s="347" t="s">
        <v>708</v>
      </c>
      <c r="B262" s="110"/>
      <c r="C262" s="445">
        <f>SUM(B246:B261)</f>
        <v>3305385</v>
      </c>
      <c r="E262" s="110"/>
      <c r="F262" s="445">
        <f>SUM(E246:E261)</f>
        <v>2941601.83</v>
      </c>
      <c r="G262" s="2"/>
      <c r="H262" s="448">
        <f>C262-F262</f>
        <v>363783.16999999993</v>
      </c>
      <c r="I262" s="446">
        <f>H262/C262</f>
        <v>0.11005773003749938</v>
      </c>
      <c r="J262" s="2"/>
      <c r="K262" s="373"/>
      <c r="L262" s="373"/>
      <c r="M262" s="373"/>
      <c r="N262" s="373"/>
      <c r="O262" s="373"/>
      <c r="P262" s="373"/>
      <c r="Q262" s="373"/>
      <c r="R262" s="373"/>
      <c r="S262" s="373"/>
      <c r="T262" s="2"/>
    </row>
    <row r="263" spans="1:22" hidden="1" outlineLevel="1">
      <c r="A263" s="118" t="s">
        <v>710</v>
      </c>
      <c r="B263" s="117">
        <f>VLOOKUP(A263,'LEVEL 1.2 BUDGET'!$A$13:$K$316,11,FALSE)</f>
        <v>1188500</v>
      </c>
      <c r="C263" s="360"/>
      <c r="E263" s="117">
        <f>VLOOKUP($A263,'LEVEL 2'!$A$13:$K$317,11,FALSE)</f>
        <v>1188500</v>
      </c>
      <c r="F263" s="360"/>
      <c r="G263" s="2"/>
      <c r="H263" s="117">
        <f>B263-E263</f>
        <v>0</v>
      </c>
      <c r="I263" s="424">
        <f>H263/B263</f>
        <v>0</v>
      </c>
      <c r="J263" s="2"/>
      <c r="K263" s="88"/>
      <c r="L263" s="88"/>
      <c r="M263" s="88"/>
      <c r="N263" s="88"/>
      <c r="O263" s="88"/>
      <c r="P263" s="88"/>
      <c r="Q263" s="88"/>
      <c r="R263" s="88"/>
      <c r="S263" s="88"/>
      <c r="T263" s="2"/>
    </row>
    <row r="264" spans="1:22" hidden="1" outlineLevel="1">
      <c r="A264" s="118" t="s">
        <v>712</v>
      </c>
      <c r="B264" s="117">
        <f>VLOOKUP(A264,'LEVEL 1.2 BUDGET'!$A$13:$K$316,11,FALSE)</f>
        <v>100000</v>
      </c>
      <c r="C264" s="182"/>
      <c r="E264" s="117">
        <f>VLOOKUP($A264,'LEVEL 2'!$A$13:$K$317,11,FALSE)</f>
        <v>300000</v>
      </c>
      <c r="F264" s="182"/>
      <c r="G264" s="2"/>
      <c r="H264" s="117">
        <f>B264-E264</f>
        <v>-200000</v>
      </c>
      <c r="I264" s="425">
        <f>IF(B264=0,"n/a",H264/B264)</f>
        <v>-2</v>
      </c>
      <c r="J264" s="2"/>
      <c r="K264" s="46"/>
      <c r="L264" s="46"/>
      <c r="M264" s="46"/>
      <c r="N264" s="46"/>
      <c r="O264" s="46"/>
      <c r="P264" s="46"/>
      <c r="Q264" s="46"/>
      <c r="R264" s="46"/>
      <c r="S264" s="46"/>
      <c r="T264" s="2"/>
    </row>
    <row r="265" spans="1:22" collapsed="1">
      <c r="A265" s="347" t="s">
        <v>714</v>
      </c>
      <c r="B265" s="110"/>
      <c r="C265" s="445">
        <f>SUM(B263:B264)</f>
        <v>1288500</v>
      </c>
      <c r="E265" s="110"/>
      <c r="F265" s="445">
        <f>SUM(E263:E264)</f>
        <v>1488500</v>
      </c>
      <c r="G265" s="2"/>
      <c r="H265" s="448">
        <f>C265-F265</f>
        <v>-200000</v>
      </c>
      <c r="I265" s="446">
        <f>H265/C265</f>
        <v>-0.15521924718665114</v>
      </c>
      <c r="J265" s="2"/>
      <c r="K265" s="373"/>
      <c r="L265" s="373"/>
      <c r="M265" s="373"/>
      <c r="N265" s="373"/>
      <c r="O265" s="373"/>
      <c r="P265" s="373"/>
      <c r="Q265" s="373"/>
      <c r="R265" s="373"/>
      <c r="S265" s="373"/>
      <c r="T265" s="2"/>
    </row>
    <row r="266" spans="1:22" hidden="1" outlineLevel="1">
      <c r="A266" s="118" t="s">
        <v>715</v>
      </c>
      <c r="B266" s="117">
        <f>VLOOKUP(A266,'LEVEL 1.2 BUDGET'!$A$13:$K$316,11,FALSE)</f>
        <v>7500</v>
      </c>
      <c r="E266" s="117">
        <f>VLOOKUP($A266,'LEVEL 2'!$A$13:$K$317,11,FALSE)</f>
        <v>7500</v>
      </c>
      <c r="G266" s="2"/>
      <c r="H266" s="117">
        <f>B266-E266</f>
        <v>0</v>
      </c>
      <c r="I266" s="423">
        <f>H266/B266</f>
        <v>0</v>
      </c>
      <c r="J266" s="2"/>
      <c r="K266" s="88"/>
      <c r="L266" s="88"/>
      <c r="M266" s="88"/>
      <c r="N266" s="88"/>
      <c r="O266" s="88"/>
      <c r="P266" s="88"/>
      <c r="Q266" s="88"/>
      <c r="R266" s="88"/>
      <c r="S266" s="88"/>
      <c r="T266" s="2"/>
    </row>
    <row r="267" spans="1:22" collapsed="1">
      <c r="A267" s="347" t="s">
        <v>717</v>
      </c>
      <c r="B267" s="110"/>
      <c r="C267" s="445">
        <f>SUM(B266)</f>
        <v>7500</v>
      </c>
      <c r="E267" s="110"/>
      <c r="F267" s="445">
        <f>SUM(E266)</f>
        <v>7500</v>
      </c>
      <c r="G267" s="2"/>
      <c r="H267" s="448">
        <f>C267-F267</f>
        <v>0</v>
      </c>
      <c r="I267" s="446">
        <f>H267/C267</f>
        <v>0</v>
      </c>
      <c r="J267" s="2"/>
      <c r="K267" s="373"/>
      <c r="L267" s="373"/>
      <c r="M267" s="373"/>
      <c r="N267" s="373"/>
      <c r="O267" s="373"/>
      <c r="P267" s="373"/>
      <c r="Q267" s="373"/>
      <c r="R267" s="373"/>
      <c r="S267" s="373"/>
      <c r="T267" s="2"/>
    </row>
    <row r="268" spans="1:22" hidden="1" outlineLevel="1">
      <c r="A268" s="111" t="s">
        <v>719</v>
      </c>
      <c r="B268" s="117">
        <f>VLOOKUP(A268,'LEVEL 1.2 BUDGET'!$A$13:$K$316,11,FALSE)</f>
        <v>977434</v>
      </c>
      <c r="E268" s="117">
        <f>VLOOKUP($A268,'LEVEL 2'!$A$13:$K$317,11,FALSE)</f>
        <v>977434</v>
      </c>
      <c r="G268" s="2"/>
      <c r="H268" s="117">
        <f>B268-E268</f>
        <v>0</v>
      </c>
      <c r="I268" s="423">
        <f>H268/B268</f>
        <v>0</v>
      </c>
      <c r="J268" s="2"/>
      <c r="K268" s="88"/>
      <c r="L268" s="88"/>
      <c r="M268" s="88"/>
      <c r="N268" s="88"/>
      <c r="O268" s="88"/>
      <c r="P268" s="88"/>
      <c r="Q268" s="88"/>
      <c r="R268" s="88"/>
      <c r="S268" s="88"/>
      <c r="T268" s="2"/>
    </row>
    <row r="269" spans="1:22" hidden="1" outlineLevel="1">
      <c r="A269" s="118" t="s">
        <v>722</v>
      </c>
      <c r="B269" s="138">
        <f>VLOOKUP(A269,'LEVEL 1.2 BUDGET'!$A$13:$K$316,11,FALSE)</f>
        <v>50000</v>
      </c>
      <c r="C269" s="182"/>
      <c r="E269" s="138">
        <f>VLOOKUP($A269,'LEVEL 2'!$A$13:$K$317,11,FALSE)</f>
        <v>50000</v>
      </c>
      <c r="F269" s="182"/>
      <c r="G269" s="2"/>
      <c r="H269" s="138">
        <f>B269-E269</f>
        <v>0</v>
      </c>
      <c r="I269" s="423">
        <f>H269/B269</f>
        <v>0</v>
      </c>
      <c r="J269" s="2"/>
      <c r="K269" s="46"/>
      <c r="L269" s="46"/>
      <c r="M269" s="46"/>
      <c r="N269" s="46"/>
      <c r="O269" s="46"/>
      <c r="P269" s="46"/>
      <c r="Q269" s="46"/>
      <c r="R269" s="46"/>
      <c r="S269" s="46"/>
      <c r="T269" s="2"/>
    </row>
    <row r="270" spans="1:22" hidden="1" outlineLevel="1">
      <c r="A270" s="118" t="s">
        <v>724</v>
      </c>
      <c r="B270" s="117">
        <f>VLOOKUP(A270,'LEVEL 1.2 BUDGET'!$A$13:$K$316,11,FALSE)</f>
        <v>50000</v>
      </c>
      <c r="C270" s="182"/>
      <c r="E270" s="117">
        <f>VLOOKUP($A270,'LEVEL 2'!$A$13:$K$317,11,FALSE)</f>
        <v>50000</v>
      </c>
      <c r="F270" s="182"/>
      <c r="G270" s="2"/>
      <c r="H270" s="117">
        <f>B270-E270</f>
        <v>0</v>
      </c>
      <c r="I270" s="425">
        <f>IF(B270=0,"n/a",H270/B270)</f>
        <v>0</v>
      </c>
      <c r="J270" s="2"/>
      <c r="K270" s="46"/>
      <c r="L270" s="46"/>
      <c r="M270" s="46"/>
      <c r="N270" s="46"/>
      <c r="O270" s="46"/>
      <c r="P270" s="46"/>
      <c r="Q270" s="46"/>
      <c r="R270" s="46"/>
      <c r="S270" s="46"/>
      <c r="T270" s="2"/>
    </row>
    <row r="271" spans="1:22" collapsed="1">
      <c r="A271" s="347" t="s">
        <v>726</v>
      </c>
      <c r="B271" s="110"/>
      <c r="C271" s="445">
        <f>SUM(B268:B270)</f>
        <v>1077434</v>
      </c>
      <c r="E271" s="110"/>
      <c r="F271" s="445">
        <f>SUM(E268:E270)</f>
        <v>1077434</v>
      </c>
      <c r="G271" s="2"/>
      <c r="H271" s="448">
        <f>C271-F271</f>
        <v>0</v>
      </c>
      <c r="I271" s="446">
        <f>H271/C271</f>
        <v>0</v>
      </c>
      <c r="J271" s="2"/>
      <c r="K271" s="373"/>
      <c r="L271" s="373"/>
      <c r="M271" s="373"/>
      <c r="N271" s="373"/>
      <c r="O271" s="373"/>
      <c r="P271" s="373"/>
      <c r="Q271" s="373"/>
      <c r="R271" s="373"/>
      <c r="S271" s="373"/>
      <c r="T271" s="2"/>
    </row>
    <row r="272" spans="1:22" hidden="1" outlineLevel="1">
      <c r="A272" s="118" t="s">
        <v>728</v>
      </c>
      <c r="B272" s="117">
        <f>VLOOKUP(A272,'LEVEL 1.2 BUDGET'!$A$13:$K$316,11,FALSE)</f>
        <v>173014.2</v>
      </c>
      <c r="C272" s="360"/>
      <c r="E272" s="117">
        <f>VLOOKUP($A272,'LEVEL 2'!$A$13:$K$317,11,FALSE)</f>
        <v>156150</v>
      </c>
      <c r="F272" s="360"/>
      <c r="G272" s="2"/>
      <c r="H272" s="117">
        <f t="shared" ref="H272:H280" si="22">B272-E272</f>
        <v>16864.200000000012</v>
      </c>
      <c r="I272" s="424">
        <f t="shared" ref="I272:I280" si="23">H272/B272</f>
        <v>9.7472924187725699E-2</v>
      </c>
      <c r="J272" s="2"/>
      <c r="K272" s="88"/>
      <c r="L272" s="88"/>
      <c r="M272" s="88"/>
      <c r="N272" s="88"/>
      <c r="O272" s="88"/>
      <c r="P272" s="88"/>
      <c r="Q272" s="88"/>
      <c r="R272" s="88"/>
      <c r="S272" s="88"/>
      <c r="T272" s="2"/>
    </row>
    <row r="273" spans="1:20" hidden="1" outlineLevel="1">
      <c r="A273" s="118" t="s">
        <v>731</v>
      </c>
      <c r="B273" s="138">
        <f>VLOOKUP(A273,'LEVEL 1.2 BUDGET'!$A$13:$K$316,11,FALSE)</f>
        <v>10000</v>
      </c>
      <c r="E273" s="138">
        <f>VLOOKUP($A273,'LEVEL 2'!$A$13:$K$317,11,FALSE)</f>
        <v>10000</v>
      </c>
      <c r="G273" s="2"/>
      <c r="H273" s="138">
        <f t="shared" si="22"/>
        <v>0</v>
      </c>
      <c r="I273" s="423">
        <f t="shared" si="23"/>
        <v>0</v>
      </c>
      <c r="J273" s="2"/>
      <c r="K273" s="46"/>
      <c r="L273" s="46"/>
      <c r="M273" s="46"/>
      <c r="N273" s="46"/>
      <c r="O273" s="46"/>
      <c r="P273" s="46"/>
      <c r="Q273" s="46"/>
      <c r="R273" s="46"/>
      <c r="S273" s="46"/>
      <c r="T273" s="2"/>
    </row>
    <row r="274" spans="1:20" hidden="1" outlineLevel="1">
      <c r="A274" s="118" t="s">
        <v>733</v>
      </c>
      <c r="B274" s="138">
        <f>VLOOKUP(A274,'LEVEL 1.2 BUDGET'!$A$13:$K$316,11,FALSE)</f>
        <v>5000</v>
      </c>
      <c r="E274" s="138">
        <f>VLOOKUP($A274,'LEVEL 2'!$A$13:$K$317,11,FALSE)</f>
        <v>5000</v>
      </c>
      <c r="G274" s="2"/>
      <c r="H274" s="138">
        <f t="shared" si="22"/>
        <v>0</v>
      </c>
      <c r="I274" s="423">
        <f t="shared" si="23"/>
        <v>0</v>
      </c>
      <c r="J274" s="2"/>
      <c r="K274" s="46"/>
      <c r="L274" s="46"/>
      <c r="M274" s="46"/>
      <c r="N274" s="46"/>
      <c r="O274" s="46"/>
      <c r="P274" s="46"/>
      <c r="Q274" s="46"/>
      <c r="R274" s="46"/>
      <c r="S274" s="46"/>
      <c r="T274" s="2"/>
    </row>
    <row r="275" spans="1:20" hidden="1" outlineLevel="1">
      <c r="A275" s="118" t="s">
        <v>735</v>
      </c>
      <c r="B275" s="138">
        <f>VLOOKUP(A275,'LEVEL 1.2 BUDGET'!$A$13:$K$316,11,FALSE)</f>
        <v>100196.25000000001</v>
      </c>
      <c r="E275" s="138">
        <f>VLOOKUP($A275,'LEVEL 2'!$A$13:$K$317,11,FALSE)</f>
        <v>45000</v>
      </c>
      <c r="G275" s="2"/>
      <c r="H275" s="138">
        <f t="shared" si="22"/>
        <v>55196.250000000015</v>
      </c>
      <c r="I275" s="423">
        <f t="shared" si="23"/>
        <v>0.5508813952617988</v>
      </c>
      <c r="J275" s="2"/>
      <c r="K275" s="46" t="s">
        <v>985</v>
      </c>
      <c r="L275" s="46"/>
      <c r="M275" s="46"/>
      <c r="N275" s="46"/>
      <c r="O275" s="46"/>
      <c r="P275" s="46"/>
      <c r="Q275" s="46"/>
      <c r="R275" s="46"/>
      <c r="S275" s="46"/>
      <c r="T275" s="2"/>
    </row>
    <row r="276" spans="1:20" hidden="1" outlineLevel="1">
      <c r="A276" s="118" t="s">
        <v>738</v>
      </c>
      <c r="B276" s="138">
        <f>VLOOKUP(A276,'LEVEL 1.2 BUDGET'!$A$13:$K$316,11,FALSE)</f>
        <v>130125.00000000001</v>
      </c>
      <c r="E276" s="138">
        <f>VLOOKUP($A276,'LEVEL 2'!$A$13:$K$317,11,FALSE)</f>
        <v>86750</v>
      </c>
      <c r="G276" s="2"/>
      <c r="H276" s="138">
        <f t="shared" si="22"/>
        <v>43375.000000000015</v>
      </c>
      <c r="I276" s="423">
        <f t="shared" si="23"/>
        <v>0.33333333333333343</v>
      </c>
      <c r="J276" s="2"/>
      <c r="K276" s="46" t="s">
        <v>985</v>
      </c>
      <c r="L276" s="46"/>
      <c r="M276" s="46"/>
      <c r="N276" s="46"/>
      <c r="O276" s="46"/>
      <c r="P276" s="46"/>
      <c r="Q276" s="46"/>
      <c r="R276" s="46"/>
      <c r="S276" s="46"/>
      <c r="T276" s="2"/>
    </row>
    <row r="277" spans="1:20" hidden="1" outlineLevel="1">
      <c r="A277" s="118" t="s">
        <v>740</v>
      </c>
      <c r="B277" s="138">
        <f>VLOOKUP(A277,'LEVEL 1.2 BUDGET'!$A$13:$K$316,11,FALSE)</f>
        <v>130125.00000000001</v>
      </c>
      <c r="E277" s="138">
        <f>VLOOKUP($A277,'LEVEL 2'!$A$13:$K$317,11,FALSE)</f>
        <v>86750</v>
      </c>
      <c r="G277" s="2"/>
      <c r="H277" s="138">
        <f t="shared" si="22"/>
        <v>43375.000000000015</v>
      </c>
      <c r="I277" s="423">
        <f t="shared" si="23"/>
        <v>0.33333333333333343</v>
      </c>
      <c r="J277" s="2"/>
      <c r="K277" s="46" t="s">
        <v>985</v>
      </c>
      <c r="L277" s="46"/>
      <c r="M277" s="46"/>
      <c r="N277" s="46"/>
      <c r="O277" s="46"/>
      <c r="P277" s="46"/>
      <c r="Q277" s="46"/>
      <c r="R277" s="46"/>
      <c r="S277" s="46"/>
      <c r="T277" s="2"/>
    </row>
    <row r="278" spans="1:20" hidden="1" outlineLevel="1">
      <c r="A278" s="118" t="s">
        <v>742</v>
      </c>
      <c r="B278" s="138">
        <f>VLOOKUP(A278,'LEVEL 1.2 BUDGET'!$A$13:$K$316,11,FALSE)</f>
        <v>17350</v>
      </c>
      <c r="E278" s="138">
        <f>VLOOKUP($A278,'LEVEL 2'!$A$13:$K$317,11,FALSE)</f>
        <v>43375</v>
      </c>
      <c r="G278" s="2"/>
      <c r="H278" s="138">
        <f t="shared" si="22"/>
        <v>-26025</v>
      </c>
      <c r="I278" s="423">
        <f t="shared" si="23"/>
        <v>-1.5</v>
      </c>
      <c r="J278" s="2"/>
      <c r="K278" s="46" t="s">
        <v>985</v>
      </c>
      <c r="L278" s="46"/>
      <c r="M278" s="46"/>
      <c r="N278" s="46"/>
      <c r="O278" s="46"/>
      <c r="P278" s="46"/>
      <c r="Q278" s="46"/>
      <c r="R278" s="46"/>
      <c r="S278" s="46"/>
      <c r="T278" s="2"/>
    </row>
    <row r="279" spans="1:20" hidden="1" outlineLevel="1">
      <c r="A279" s="118" t="s">
        <v>744</v>
      </c>
      <c r="B279" s="138">
        <f>VLOOKUP(A279,'LEVEL 1.2 BUDGET'!$A$13:$K$316,11,FALSE)</f>
        <v>17350</v>
      </c>
      <c r="E279" s="138">
        <f>VLOOKUP($A279,'LEVEL 2'!$A$13:$K$317,11,FALSE)</f>
        <v>26025.000000000004</v>
      </c>
      <c r="G279" s="2"/>
      <c r="H279" s="138">
        <f t="shared" si="22"/>
        <v>-8675.0000000000036</v>
      </c>
      <c r="I279" s="423">
        <f t="shared" si="23"/>
        <v>-0.50000000000000022</v>
      </c>
      <c r="J279" s="2"/>
      <c r="K279" s="46" t="s">
        <v>985</v>
      </c>
      <c r="L279" s="46"/>
      <c r="M279" s="46"/>
      <c r="N279" s="46"/>
      <c r="O279" s="46"/>
      <c r="P279" s="46"/>
      <c r="Q279" s="46"/>
      <c r="R279" s="46"/>
      <c r="S279" s="46"/>
      <c r="T279" s="2"/>
    </row>
    <row r="280" spans="1:20" hidden="1" outlineLevel="1">
      <c r="A280" s="118" t="s">
        <v>746</v>
      </c>
      <c r="B280" s="117">
        <f>VLOOKUP(A280,'LEVEL 1.2 BUDGET'!$A$13:$K$316,11,FALSE)</f>
        <v>43375</v>
      </c>
      <c r="C280" s="182"/>
      <c r="E280" s="117">
        <f>VLOOKUP($A280,'LEVEL 2'!$A$13:$K$317,11,FALSE)</f>
        <v>43375</v>
      </c>
      <c r="F280" s="182"/>
      <c r="G280" s="2"/>
      <c r="H280" s="117">
        <f t="shared" si="22"/>
        <v>0</v>
      </c>
      <c r="I280" s="423">
        <f t="shared" si="23"/>
        <v>0</v>
      </c>
      <c r="J280" s="2"/>
      <c r="K280" s="46"/>
      <c r="L280" s="46"/>
      <c r="M280" s="46"/>
      <c r="N280" s="46"/>
      <c r="O280" s="46"/>
      <c r="P280" s="46"/>
      <c r="Q280" s="46"/>
      <c r="R280" s="46"/>
      <c r="S280" s="46"/>
      <c r="T280" s="2"/>
    </row>
    <row r="281" spans="1:20" collapsed="1">
      <c r="A281" s="347" t="s">
        <v>748</v>
      </c>
      <c r="B281" s="110"/>
      <c r="C281" s="445">
        <f>SUM(B272:B280)</f>
        <v>626535.45000000007</v>
      </c>
      <c r="E281" s="110"/>
      <c r="F281" s="445">
        <f>SUM(E272:E280)</f>
        <v>502425</v>
      </c>
      <c r="G281" s="2"/>
      <c r="H281" s="448">
        <f>C281-F281</f>
        <v>124110.45000000007</v>
      </c>
      <c r="I281" s="446">
        <f>H281/C281</f>
        <v>0.19809006816773106</v>
      </c>
      <c r="J281" s="2"/>
      <c r="K281" s="373"/>
      <c r="L281" s="373"/>
      <c r="M281" s="373"/>
      <c r="N281" s="373"/>
      <c r="O281" s="373"/>
      <c r="P281" s="373"/>
      <c r="Q281" s="373"/>
      <c r="R281" s="373"/>
      <c r="S281" s="373"/>
      <c r="T281" s="2"/>
    </row>
    <row r="282" spans="1:20" hidden="1" outlineLevel="1">
      <c r="A282" s="118" t="s">
        <v>750</v>
      </c>
      <c r="B282" s="117">
        <f>VLOOKUP(A282,'LEVEL 1.2 BUDGET'!$A$13:$K$316,11,FALSE)</f>
        <v>0</v>
      </c>
      <c r="C282" s="360"/>
      <c r="E282" s="117">
        <f>VLOOKUP($A282,'LEVEL 2'!$A$13:$K$317,11,FALSE)</f>
        <v>0</v>
      </c>
      <c r="F282" s="360"/>
      <c r="G282" s="2"/>
      <c r="H282" s="117">
        <f>B282-E282</f>
        <v>0</v>
      </c>
      <c r="I282" s="425" t="str">
        <f>IF(B282=0,"n/a",H282/B282)</f>
        <v>n/a</v>
      </c>
      <c r="J282" s="2"/>
      <c r="K282" s="88"/>
      <c r="L282" s="88"/>
      <c r="M282" s="88"/>
      <c r="N282" s="88"/>
      <c r="O282" s="88"/>
      <c r="P282" s="88"/>
      <c r="Q282" s="88"/>
      <c r="R282" s="88"/>
      <c r="S282" s="88"/>
      <c r="T282" s="2"/>
    </row>
    <row r="283" spans="1:20" hidden="1" outlineLevel="1">
      <c r="A283" s="118" t="s">
        <v>751</v>
      </c>
      <c r="B283" s="117">
        <f>VLOOKUP(A283,'LEVEL 1.2 BUDGET'!$A$13:$K$316,11,FALSE)</f>
        <v>1112398.6699982213</v>
      </c>
      <c r="C283" s="360"/>
      <c r="E283" s="117">
        <f>VLOOKUP($A283,'LEVEL 2'!$A$13:$K$317,11,FALSE)</f>
        <v>1110652.364504582</v>
      </c>
      <c r="F283" s="360"/>
      <c r="G283" s="2"/>
      <c r="H283" s="117">
        <f>B283-E283</f>
        <v>1746.3054936393164</v>
      </c>
      <c r="I283" s="424">
        <f>H283/B283</f>
        <v>1.5698557906780927E-3</v>
      </c>
      <c r="J283" s="2"/>
      <c r="K283" s="46"/>
      <c r="L283" s="46"/>
      <c r="M283" s="46"/>
      <c r="N283" s="46"/>
      <c r="O283" s="46"/>
      <c r="P283" s="46"/>
      <c r="Q283" s="46"/>
      <c r="R283" s="46"/>
      <c r="S283" s="46"/>
      <c r="T283" s="2"/>
    </row>
    <row r="284" spans="1:20" collapsed="1">
      <c r="A284" s="347" t="s">
        <v>752</v>
      </c>
      <c r="B284" s="110"/>
      <c r="C284" s="445">
        <f>SUM(B282:B283)</f>
        <v>1112398.6699982213</v>
      </c>
      <c r="E284" s="110"/>
      <c r="F284" s="445">
        <f>SUM(E282:E283)</f>
        <v>1110652.364504582</v>
      </c>
      <c r="G284" s="2"/>
      <c r="H284" s="448">
        <f>C284-F284</f>
        <v>1746.3054936393164</v>
      </c>
      <c r="I284" s="446">
        <f>H284/C284</f>
        <v>1.5698557906780927E-3</v>
      </c>
      <c r="J284" s="2"/>
      <c r="K284" s="373"/>
      <c r="L284" s="373"/>
      <c r="M284" s="373"/>
      <c r="N284" s="373"/>
      <c r="O284" s="373"/>
      <c r="P284" s="373"/>
      <c r="Q284" s="373"/>
      <c r="R284" s="373"/>
      <c r="S284" s="373"/>
      <c r="T284" s="2"/>
    </row>
    <row r="285" spans="1:20" outlineLevel="1">
      <c r="A285" s="118" t="s">
        <v>753</v>
      </c>
      <c r="B285" s="117">
        <f>VLOOKUP(A285,'LEVEL 1.2 BUDGET'!$A$13:$K$316,11,FALSE)</f>
        <v>10000</v>
      </c>
      <c r="C285" s="182"/>
      <c r="E285" s="117">
        <f>VLOOKUP($A285,'LEVEL 2'!$A$13:$K$317,11,FALSE)</f>
        <v>20000</v>
      </c>
      <c r="F285" s="182"/>
      <c r="G285" s="2"/>
      <c r="H285" s="117">
        <f t="shared" ref="H285:H298" si="24">B285-E285</f>
        <v>-10000</v>
      </c>
      <c r="I285" s="424">
        <f>H285/B285</f>
        <v>-1</v>
      </c>
      <c r="J285" s="2"/>
      <c r="K285" s="88"/>
      <c r="L285" s="88"/>
      <c r="M285" s="88"/>
      <c r="N285" s="88"/>
      <c r="O285" s="88"/>
      <c r="P285" s="88"/>
      <c r="Q285" s="88"/>
      <c r="R285" s="88"/>
      <c r="S285" s="88"/>
      <c r="T285" s="2"/>
    </row>
    <row r="286" spans="1:20" outlineLevel="1">
      <c r="A286" s="118" t="s">
        <v>755</v>
      </c>
      <c r="B286" s="138">
        <f>VLOOKUP(A286,'LEVEL 1.2 BUDGET'!$A$13:$K$316,11,FALSE)</f>
        <v>0</v>
      </c>
      <c r="C286" s="182"/>
      <c r="E286" s="138">
        <f>VLOOKUP($A286,'LEVEL 2'!$A$13:$K$317,11,FALSE)</f>
        <v>0</v>
      </c>
      <c r="F286" s="182"/>
      <c r="G286" s="2"/>
      <c r="H286" s="138">
        <f t="shared" si="24"/>
        <v>0</v>
      </c>
      <c r="I286" s="425" t="str">
        <f>IF(B286=0,"n/a",H286/B286)</f>
        <v>n/a</v>
      </c>
      <c r="J286" s="2"/>
      <c r="K286" s="46"/>
      <c r="L286" s="46"/>
      <c r="M286" s="46"/>
      <c r="N286" s="46"/>
      <c r="O286" s="46"/>
      <c r="P286" s="46"/>
      <c r="Q286" s="46"/>
      <c r="R286" s="46"/>
      <c r="S286" s="46"/>
      <c r="T286" s="2"/>
    </row>
    <row r="287" spans="1:20" outlineLevel="1">
      <c r="A287" s="118" t="s">
        <v>757</v>
      </c>
      <c r="B287" s="138">
        <f>VLOOKUP(A287,'LEVEL 1.2 BUDGET'!$A$13:$K$316,11,FALSE)</f>
        <v>0</v>
      </c>
      <c r="C287" s="182"/>
      <c r="E287" s="138">
        <f>VLOOKUP($A287,'LEVEL 2'!$A$13:$K$317,11,FALSE)</f>
        <v>0</v>
      </c>
      <c r="F287" s="182"/>
      <c r="G287" s="2"/>
      <c r="H287" s="138">
        <f t="shared" si="24"/>
        <v>0</v>
      </c>
      <c r="I287" s="423">
        <v>0</v>
      </c>
      <c r="J287" s="2"/>
      <c r="K287" s="46"/>
      <c r="L287" s="46"/>
      <c r="M287" s="46"/>
      <c r="N287" s="46"/>
      <c r="O287" s="46"/>
      <c r="P287" s="46"/>
      <c r="Q287" s="46"/>
      <c r="R287" s="46"/>
      <c r="S287" s="46"/>
      <c r="T287" s="2"/>
    </row>
    <row r="288" spans="1:20" outlineLevel="1">
      <c r="A288" s="118" t="s">
        <v>759</v>
      </c>
      <c r="B288" s="138">
        <f>VLOOKUP(A288,'LEVEL 1.2 BUDGET'!$A$13:$K$316,11,FALSE)</f>
        <v>25000</v>
      </c>
      <c r="C288" s="182"/>
      <c r="E288" s="138">
        <f>VLOOKUP($A288,'LEVEL 2'!$A$13:$K$317,11,FALSE)</f>
        <v>20000</v>
      </c>
      <c r="F288" s="182"/>
      <c r="G288" s="2"/>
      <c r="H288" s="138">
        <f t="shared" si="24"/>
        <v>5000</v>
      </c>
      <c r="I288" s="423">
        <f>H288/B288</f>
        <v>0.2</v>
      </c>
      <c r="J288" s="2"/>
      <c r="K288" s="46"/>
      <c r="L288" s="46"/>
      <c r="M288" s="46"/>
      <c r="N288" s="46"/>
      <c r="O288" s="46"/>
      <c r="P288" s="46"/>
      <c r="Q288" s="46"/>
      <c r="R288" s="46"/>
      <c r="S288" s="46"/>
      <c r="T288" s="2"/>
    </row>
    <row r="289" spans="1:22" outlineLevel="1">
      <c r="A289" s="158" t="s">
        <v>761</v>
      </c>
      <c r="B289" s="138">
        <f>VLOOKUP(A289,'LEVEL 1.2 BUDGET'!$A$13:$K$316,11,FALSE)</f>
        <v>94648</v>
      </c>
      <c r="C289" s="182"/>
      <c r="E289" s="138">
        <f>VLOOKUP($A289,'LEVEL 2'!$A$13:$K$317,11,FALSE)</f>
        <v>91253.161999999997</v>
      </c>
      <c r="F289" s="182"/>
      <c r="G289" s="2"/>
      <c r="H289" s="138">
        <f t="shared" si="24"/>
        <v>3394.8380000000034</v>
      </c>
      <c r="I289" s="423">
        <f>H289/B289</f>
        <v>3.5868037359479368E-2</v>
      </c>
      <c r="J289" s="2"/>
      <c r="K289" s="46"/>
      <c r="L289" s="46"/>
      <c r="M289" s="46"/>
      <c r="N289" s="46"/>
      <c r="O289" s="46"/>
      <c r="P289" s="46"/>
      <c r="Q289" s="46"/>
      <c r="R289" s="46"/>
      <c r="S289" s="46"/>
      <c r="T289" s="2"/>
    </row>
    <row r="290" spans="1:22" outlineLevel="1">
      <c r="A290" s="158" t="s">
        <v>763</v>
      </c>
      <c r="B290" s="138">
        <f>VLOOKUP(A290,'LEVEL 1.2 BUDGET'!$A$13:$K$316,11,FALSE)</f>
        <v>0</v>
      </c>
      <c r="C290" s="182"/>
      <c r="E290" s="138">
        <f>VLOOKUP($A290,'LEVEL 2'!$A$13:$K$317,11,FALSE)</f>
        <v>0</v>
      </c>
      <c r="F290" s="182"/>
      <c r="G290" s="2"/>
      <c r="H290" s="138">
        <f t="shared" si="24"/>
        <v>0</v>
      </c>
      <c r="I290" s="425" t="str">
        <f>IF(B290=0,"n/a",H290/B290)</f>
        <v>n/a</v>
      </c>
      <c r="J290" s="2"/>
      <c r="K290" s="46"/>
      <c r="L290" s="46"/>
      <c r="M290" s="46"/>
      <c r="N290" s="46"/>
      <c r="O290" s="46"/>
      <c r="P290" s="46"/>
      <c r="Q290" s="46"/>
      <c r="R290" s="46"/>
      <c r="S290" s="46"/>
      <c r="T290" s="2"/>
      <c r="V290" s="3">
        <f>62000000*0.06</f>
        <v>3720000</v>
      </c>
    </row>
    <row r="291" spans="1:22" outlineLevel="1">
      <c r="A291" s="158" t="s">
        <v>765</v>
      </c>
      <c r="B291" s="138">
        <f>VLOOKUP(A291,'LEVEL 1.2 BUDGET'!$A$13:$K$316,11,FALSE)</f>
        <v>15000</v>
      </c>
      <c r="C291" s="182"/>
      <c r="E291" s="138">
        <f>VLOOKUP($A291,'LEVEL 2'!$A$13:$K$317,11,FALSE)</f>
        <v>15000</v>
      </c>
      <c r="F291" s="182"/>
      <c r="G291" s="2"/>
      <c r="H291" s="138">
        <f t="shared" si="24"/>
        <v>0</v>
      </c>
      <c r="I291" s="423">
        <f>H291/B291</f>
        <v>0</v>
      </c>
      <c r="J291" s="2"/>
      <c r="K291" s="46"/>
      <c r="L291" s="46"/>
      <c r="M291" s="46"/>
      <c r="N291" s="46"/>
      <c r="O291" s="46"/>
      <c r="P291" s="46"/>
      <c r="Q291" s="46"/>
      <c r="R291" s="46"/>
      <c r="S291" s="46"/>
      <c r="T291" s="2"/>
    </row>
    <row r="292" spans="1:22" outlineLevel="1">
      <c r="A292" s="158" t="s">
        <v>767</v>
      </c>
      <c r="B292" s="138">
        <f>VLOOKUP(A292,'LEVEL 1.2 BUDGET'!$A$13:$K$316,11,FALSE)</f>
        <v>5000</v>
      </c>
      <c r="C292" s="182"/>
      <c r="E292" s="138">
        <f>VLOOKUP($A292,'LEVEL 2'!$A$13:$K$317,11,FALSE)</f>
        <v>5000</v>
      </c>
      <c r="F292" s="182"/>
      <c r="G292" s="2"/>
      <c r="H292" s="138">
        <f t="shared" si="24"/>
        <v>0</v>
      </c>
      <c r="I292" s="423">
        <f>H292/B292</f>
        <v>0</v>
      </c>
      <c r="J292" s="2"/>
      <c r="K292" s="46"/>
      <c r="L292" s="46"/>
      <c r="M292" s="46"/>
      <c r="N292" s="46"/>
      <c r="O292" s="46"/>
      <c r="P292" s="46"/>
      <c r="Q292" s="46"/>
      <c r="R292" s="46"/>
      <c r="S292" s="46"/>
      <c r="T292" s="2"/>
    </row>
    <row r="293" spans="1:22" outlineLevel="1">
      <c r="A293" s="158" t="s">
        <v>770</v>
      </c>
      <c r="B293" s="138">
        <f>VLOOKUP(A293,'LEVEL 1.2 BUDGET'!$A$13:$K$316,11,FALSE)</f>
        <v>0</v>
      </c>
      <c r="C293" s="182"/>
      <c r="E293" s="138">
        <f>VLOOKUP($A293,'LEVEL 2'!$A$13:$K$317,11,FALSE)</f>
        <v>0</v>
      </c>
      <c r="F293" s="182"/>
      <c r="G293" s="2"/>
      <c r="H293" s="138">
        <f t="shared" si="24"/>
        <v>0</v>
      </c>
      <c r="I293" s="425" t="str">
        <f>IF(B293=0,"n/a",H293/B293)</f>
        <v>n/a</v>
      </c>
      <c r="J293" s="2"/>
      <c r="K293" s="46"/>
      <c r="L293" s="46"/>
      <c r="M293" s="46"/>
      <c r="N293" s="46"/>
      <c r="O293" s="46"/>
      <c r="P293" s="46"/>
      <c r="Q293" s="46"/>
      <c r="R293" s="46"/>
      <c r="S293" s="46"/>
      <c r="T293" s="2"/>
    </row>
    <row r="294" spans="1:22" outlineLevel="1">
      <c r="A294" s="118" t="s">
        <v>772</v>
      </c>
      <c r="B294" s="138">
        <f>VLOOKUP(A294,'LEVEL 1.2 BUDGET'!$A$13:$K$316,11,FALSE)</f>
        <v>1500000</v>
      </c>
      <c r="C294" s="182"/>
      <c r="E294" s="138">
        <f>VLOOKUP($A294,'LEVEL 2'!$A$13:$K$317,11,FALSE)</f>
        <v>1200000</v>
      </c>
      <c r="F294" s="182"/>
      <c r="G294" s="2"/>
      <c r="H294" s="138">
        <f t="shared" si="24"/>
        <v>300000</v>
      </c>
      <c r="I294" s="423">
        <f>H294/B294</f>
        <v>0.2</v>
      </c>
      <c r="J294" s="2"/>
      <c r="K294" s="46" t="s">
        <v>986</v>
      </c>
      <c r="L294" s="46"/>
      <c r="M294" s="46"/>
      <c r="N294" s="46"/>
      <c r="O294" s="46"/>
      <c r="P294" s="46"/>
      <c r="Q294" s="46"/>
      <c r="R294" s="46"/>
      <c r="S294" s="46"/>
      <c r="T294" s="2"/>
    </row>
    <row r="295" spans="1:22" outlineLevel="1">
      <c r="A295" s="118" t="s">
        <v>222</v>
      </c>
      <c r="B295" s="138">
        <f>VLOOKUP(A295,'LEVEL 1.2 BUDGET'!$A$13:$K$316,11,FALSE)</f>
        <v>300000</v>
      </c>
      <c r="C295" s="182"/>
      <c r="E295" s="138">
        <f>VLOOKUP($A295,'LEVEL 2'!$A$13:$K$317,11,FALSE)</f>
        <v>300000</v>
      </c>
      <c r="F295" s="182"/>
      <c r="G295" s="2"/>
      <c r="H295" s="138">
        <f t="shared" si="24"/>
        <v>0</v>
      </c>
      <c r="I295" s="423">
        <f>H295/B295</f>
        <v>0</v>
      </c>
      <c r="J295" s="2"/>
      <c r="K295" s="46"/>
      <c r="L295" s="46"/>
      <c r="M295" s="46"/>
      <c r="N295" s="46"/>
      <c r="O295" s="46"/>
      <c r="P295" s="46"/>
      <c r="Q295" s="46"/>
      <c r="R295" s="46"/>
      <c r="S295" s="46"/>
      <c r="T295" s="2"/>
    </row>
    <row r="296" spans="1:22" outlineLevel="1">
      <c r="A296" s="158" t="s">
        <v>776</v>
      </c>
      <c r="B296" s="138">
        <f>VLOOKUP(A296,'LEVEL 1.2 BUDGET'!$A$13:$K$316,11,FALSE)</f>
        <v>20000</v>
      </c>
      <c r="C296" s="182"/>
      <c r="E296" s="138">
        <f>VLOOKUP($A296,'LEVEL 2'!$A$13:$K$317,11,FALSE)</f>
        <v>25000</v>
      </c>
      <c r="F296" s="182"/>
      <c r="G296" s="2"/>
      <c r="H296" s="138">
        <f t="shared" si="24"/>
        <v>-5000</v>
      </c>
      <c r="I296" s="423">
        <f>H296/B296</f>
        <v>-0.25</v>
      </c>
      <c r="J296" s="2"/>
      <c r="K296" s="46"/>
      <c r="L296" s="46"/>
      <c r="M296" s="46"/>
      <c r="N296" s="46"/>
      <c r="O296" s="46"/>
      <c r="P296" s="46"/>
      <c r="Q296" s="46"/>
      <c r="R296" s="46"/>
      <c r="S296" s="46"/>
      <c r="T296" s="2"/>
    </row>
    <row r="297" spans="1:22" outlineLevel="1">
      <c r="A297" s="158" t="s">
        <v>777</v>
      </c>
      <c r="B297" s="138">
        <f>VLOOKUP(A297,'LEVEL 1.2 BUDGET'!$A$13:$K$316,11,FALSE)</f>
        <v>2000</v>
      </c>
      <c r="C297" s="182"/>
      <c r="E297" s="138">
        <f>VLOOKUP($A297,'LEVEL 2'!$A$13:$K$317,11,FALSE)</f>
        <v>2500</v>
      </c>
      <c r="F297" s="182"/>
      <c r="G297" s="2"/>
      <c r="H297" s="138">
        <f t="shared" si="24"/>
        <v>-500</v>
      </c>
      <c r="I297" s="423">
        <f>H297/B297</f>
        <v>-0.25</v>
      </c>
      <c r="J297" s="2"/>
      <c r="K297" s="46"/>
      <c r="L297" s="46"/>
      <c r="M297" s="46"/>
      <c r="N297" s="46"/>
      <c r="O297" s="46"/>
      <c r="P297" s="46"/>
      <c r="Q297" s="46"/>
      <c r="R297" s="46"/>
      <c r="S297" s="46"/>
      <c r="T297" s="2"/>
    </row>
    <row r="298" spans="1:22" outlineLevel="1">
      <c r="A298" s="118" t="s">
        <v>779</v>
      </c>
      <c r="B298" s="117">
        <f>VLOOKUP(A298,'LEVEL 1.2 BUDGET'!$A$13:$K$316,11,FALSE)</f>
        <v>1200</v>
      </c>
      <c r="C298" s="182"/>
      <c r="E298" s="117">
        <f>VLOOKUP($A298,'LEVEL 2'!$A$13:$K$317,11,FALSE)</f>
        <v>3000</v>
      </c>
      <c r="F298" s="182"/>
      <c r="G298" s="2"/>
      <c r="H298" s="117">
        <f t="shared" si="24"/>
        <v>-1800</v>
      </c>
      <c r="I298" s="423">
        <f>H298/B298</f>
        <v>-1.5</v>
      </c>
      <c r="J298" s="2"/>
      <c r="K298" s="46"/>
      <c r="L298" s="46"/>
      <c r="M298" s="46"/>
      <c r="N298" s="46"/>
      <c r="O298" s="46"/>
      <c r="P298" s="46"/>
      <c r="Q298" s="46"/>
      <c r="R298" s="46"/>
      <c r="S298" s="46"/>
      <c r="T298" s="2"/>
    </row>
    <row r="299" spans="1:22">
      <c r="A299" s="347" t="s">
        <v>781</v>
      </c>
      <c r="B299" s="110"/>
      <c r="C299" s="445">
        <f>SUM(B285:B298)</f>
        <v>1972848</v>
      </c>
      <c r="E299" s="110"/>
      <c r="F299" s="445">
        <f>SUM(E285:E298)</f>
        <v>1681753.162</v>
      </c>
      <c r="G299" s="2"/>
      <c r="H299" s="448">
        <f>C299-F299</f>
        <v>291094.83799999999</v>
      </c>
      <c r="I299" s="446">
        <f>H299/C299</f>
        <v>0.14755056547691459</v>
      </c>
      <c r="J299" s="2"/>
      <c r="K299" s="373"/>
      <c r="L299" s="373"/>
      <c r="M299" s="373"/>
      <c r="N299" s="373"/>
      <c r="O299" s="373"/>
      <c r="P299" s="373"/>
      <c r="Q299" s="373"/>
      <c r="R299" s="373"/>
      <c r="S299" s="373"/>
      <c r="T299" s="2"/>
    </row>
    <row r="300" spans="1:22" hidden="1" outlineLevel="1">
      <c r="A300" s="118" t="s">
        <v>783</v>
      </c>
      <c r="B300" s="117">
        <f>VLOOKUP(A300,'LEVEL 1.2 BUDGET'!$A$13:$K$316,11,FALSE)</f>
        <v>2782346.6749955532</v>
      </c>
      <c r="C300" s="182"/>
      <c r="E300" s="117">
        <f>VLOOKUP($A300,'LEVEL 2'!$A$13:$K$317,11,FALSE)</f>
        <v>2776630.9112614552</v>
      </c>
      <c r="F300" s="182"/>
      <c r="G300" s="2"/>
      <c r="H300" s="117">
        <f>B300-E300</f>
        <v>5715.7637340980582</v>
      </c>
      <c r="I300" s="423">
        <f>H300/B300</f>
        <v>2.0542960320022643E-3</v>
      </c>
      <c r="J300" s="2"/>
      <c r="K300" s="88"/>
      <c r="L300" s="88"/>
      <c r="M300" s="88"/>
      <c r="N300" s="88"/>
      <c r="O300" s="88"/>
      <c r="P300" s="88"/>
      <c r="Q300" s="88"/>
      <c r="R300" s="88"/>
      <c r="S300" s="88"/>
      <c r="T300" s="2"/>
    </row>
    <row r="301" spans="1:22" collapsed="1">
      <c r="A301" s="347" t="s">
        <v>783</v>
      </c>
      <c r="B301" s="348"/>
      <c r="C301" s="445">
        <f>B300</f>
        <v>2782346.6749955532</v>
      </c>
      <c r="E301" s="110"/>
      <c r="F301" s="445">
        <f>E300</f>
        <v>2776630.9112614552</v>
      </c>
      <c r="G301" s="2"/>
      <c r="H301" s="448">
        <f>C301-F301</f>
        <v>5715.7637340980582</v>
      </c>
      <c r="I301" s="446">
        <f>H301/C301</f>
        <v>2.0542960320022643E-3</v>
      </c>
      <c r="J301" s="2"/>
      <c r="K301" s="373"/>
      <c r="L301" s="373"/>
      <c r="M301" s="373"/>
      <c r="N301" s="373"/>
      <c r="O301" s="373"/>
      <c r="P301" s="373"/>
      <c r="Q301" s="373"/>
      <c r="R301" s="373"/>
      <c r="S301" s="373"/>
      <c r="T301" s="2"/>
    </row>
    <row r="302" spans="1:22" hidden="1" outlineLevel="1">
      <c r="A302" s="111" t="s">
        <v>786</v>
      </c>
      <c r="B302" s="117">
        <f>VLOOKUP(A302,'LEVEL 1.2 BUDGET'!$A$13:$K$316,11,FALSE)</f>
        <v>945538.86949848814</v>
      </c>
      <c r="C302" s="360"/>
      <c r="E302" s="117">
        <f>VLOOKUP($A302,'LEVEL 2'!$A$13:$K$317,11,FALSE)</f>
        <v>944054.50982889475</v>
      </c>
      <c r="F302" s="360"/>
      <c r="G302" s="2"/>
      <c r="H302" s="117">
        <f>B302-E302</f>
        <v>1484.3596695933957</v>
      </c>
      <c r="I302" s="424">
        <f>H302/B302</f>
        <v>1.5698557906780679E-3</v>
      </c>
      <c r="J302" s="2"/>
      <c r="K302" s="88"/>
      <c r="L302" s="88"/>
      <c r="M302" s="88"/>
      <c r="N302" s="88"/>
      <c r="O302" s="88"/>
      <c r="P302" s="88"/>
      <c r="Q302" s="88"/>
      <c r="R302" s="88"/>
      <c r="S302" s="88"/>
      <c r="T302" s="2"/>
    </row>
    <row r="303" spans="1:22" collapsed="1">
      <c r="A303" s="347" t="s">
        <v>786</v>
      </c>
      <c r="B303" s="110"/>
      <c r="C303" s="445">
        <f>SUM(B302)</f>
        <v>945538.86949848814</v>
      </c>
      <c r="E303" s="110"/>
      <c r="F303" s="445">
        <f>SUM(E302)</f>
        <v>944054.50982889475</v>
      </c>
      <c r="G303" s="2"/>
      <c r="H303" s="448">
        <f>C303-F303</f>
        <v>1484.3596695933957</v>
      </c>
      <c r="I303" s="446">
        <f>H303/C303</f>
        <v>1.5698557906780679E-3</v>
      </c>
      <c r="J303" s="2"/>
      <c r="K303" s="373"/>
      <c r="L303" s="373"/>
      <c r="M303" s="373"/>
      <c r="N303" s="373"/>
      <c r="O303" s="373"/>
      <c r="P303" s="373"/>
      <c r="Q303" s="373"/>
      <c r="R303" s="373"/>
      <c r="S303" s="373"/>
      <c r="T303" s="2"/>
    </row>
    <row r="304" spans="1:22" hidden="1" outlineLevel="1">
      <c r="A304" s="118" t="s">
        <v>790</v>
      </c>
      <c r="B304" s="117">
        <f>VLOOKUP(A304,'LEVEL 1.2 BUDGET'!$A$13:$K$316,11,FALSE)</f>
        <v>310599.66749955533</v>
      </c>
      <c r="C304" s="182"/>
      <c r="E304" s="117">
        <f>VLOOKUP($A304,'LEVEL 2'!$A$13:$K$317,11,FALSE)</f>
        <v>310163.0911261455</v>
      </c>
      <c r="F304" s="182"/>
      <c r="G304" s="2"/>
      <c r="H304" s="117">
        <f>B304-E304</f>
        <v>436.5763734098291</v>
      </c>
      <c r="I304" s="423">
        <f>H304/B304</f>
        <v>1.4055918891492506E-3</v>
      </c>
      <c r="J304" s="2"/>
      <c r="K304" s="88"/>
      <c r="L304" s="88"/>
      <c r="M304" s="88"/>
      <c r="N304" s="88"/>
      <c r="O304" s="88"/>
      <c r="P304" s="88"/>
      <c r="Q304" s="88"/>
      <c r="R304" s="88"/>
      <c r="S304" s="88"/>
      <c r="T304" s="2"/>
    </row>
    <row r="305" spans="1:41" hidden="1" outlineLevel="1">
      <c r="A305" s="158" t="s">
        <v>793</v>
      </c>
      <c r="B305" s="138">
        <f>VLOOKUP(A305,'LEVEL 1.2 BUDGET'!$A$13:$K$316,11,FALSE)</f>
        <v>15529.983374977768</v>
      </c>
      <c r="C305" s="182"/>
      <c r="E305" s="138">
        <f>VLOOKUP($A305,'LEVEL 2'!$A$13:$K$317,11,FALSE)</f>
        <v>15508.154556307276</v>
      </c>
      <c r="F305" s="182"/>
      <c r="G305" s="2"/>
      <c r="H305" s="138">
        <f>B305-E305</f>
        <v>21.828818670492183</v>
      </c>
      <c r="I305" s="423">
        <f>H305/B305</f>
        <v>1.4055918891492975E-3</v>
      </c>
      <c r="J305" s="2"/>
      <c r="K305" s="46"/>
      <c r="L305" s="46"/>
      <c r="M305" s="46"/>
      <c r="N305" s="46"/>
      <c r="O305" s="46"/>
      <c r="P305" s="46"/>
      <c r="Q305" s="46"/>
      <c r="R305" s="46"/>
      <c r="S305" s="46"/>
      <c r="T305" s="2"/>
    </row>
    <row r="306" spans="1:41" hidden="1" outlineLevel="1">
      <c r="A306" s="118" t="s">
        <v>795</v>
      </c>
      <c r="B306" s="117">
        <f>VLOOKUP(A306,'LEVEL 1.2 BUDGET'!$A$13:$K$316,11,FALSE)</f>
        <v>295069.68412457756</v>
      </c>
      <c r="C306" s="182"/>
      <c r="E306" s="117">
        <f>VLOOKUP($A306,'LEVEL 2'!$A$13:$K$317,11,FALSE)</f>
        <v>294654.9365698382</v>
      </c>
      <c r="F306" s="182"/>
      <c r="G306" s="2"/>
      <c r="H306" s="117">
        <f>B306-E306</f>
        <v>414.74755473935511</v>
      </c>
      <c r="I306" s="423">
        <f>H306/B306</f>
        <v>1.4055918891493098E-3</v>
      </c>
      <c r="J306" s="2"/>
      <c r="K306" s="46"/>
      <c r="L306" s="46"/>
      <c r="M306" s="46"/>
      <c r="N306" s="46"/>
      <c r="O306" s="46"/>
      <c r="P306" s="46"/>
      <c r="Q306" s="46"/>
      <c r="R306" s="46"/>
      <c r="S306" s="46"/>
      <c r="T306" s="2"/>
    </row>
    <row r="307" spans="1:41" collapsed="1">
      <c r="A307" s="347" t="s">
        <v>797</v>
      </c>
      <c r="B307" s="110"/>
      <c r="C307" s="445">
        <f>SUM(B304:B306)</f>
        <v>621199.33499911067</v>
      </c>
      <c r="E307" s="110"/>
      <c r="F307" s="445">
        <f>SUM(E304:E306)</f>
        <v>620326.18225229101</v>
      </c>
      <c r="G307" s="2"/>
      <c r="H307" s="448">
        <f>C307-F307</f>
        <v>873.1527468196582</v>
      </c>
      <c r="I307" s="446">
        <f>H307/C307</f>
        <v>1.4055918891492506E-3</v>
      </c>
      <c r="J307" s="2"/>
      <c r="K307" s="373"/>
      <c r="L307" s="373"/>
      <c r="M307" s="373"/>
      <c r="N307" s="373"/>
      <c r="O307" s="373"/>
      <c r="P307" s="373"/>
      <c r="Q307" s="373"/>
      <c r="R307" s="373"/>
      <c r="S307" s="373"/>
      <c r="T307" s="2"/>
    </row>
    <row r="308" spans="1:41" hidden="1" outlineLevel="1">
      <c r="A308" s="118" t="s">
        <v>798</v>
      </c>
      <c r="B308" s="117">
        <f>VLOOKUP(A308,'LEVEL 1.2 BUDGET'!$A$13:$K$316,11,FALSE)</f>
        <v>1112938.6699982199</v>
      </c>
      <c r="C308" s="182"/>
      <c r="E308" s="117">
        <f>VLOOKUP($A308,'LEVEL 2'!$A$13:$K$317,11,FALSE)</f>
        <v>1112938.6699982199</v>
      </c>
      <c r="F308" s="182"/>
      <c r="G308" s="2"/>
      <c r="H308" s="117">
        <f>B308-E308</f>
        <v>0</v>
      </c>
      <c r="I308" s="423">
        <f>H308/B308</f>
        <v>0</v>
      </c>
      <c r="J308" s="2"/>
      <c r="K308" s="88"/>
      <c r="L308" s="88"/>
      <c r="M308" s="88"/>
      <c r="N308" s="88"/>
      <c r="O308" s="88"/>
      <c r="P308" s="88"/>
      <c r="Q308" s="88"/>
      <c r="R308" s="88"/>
      <c r="S308" s="88"/>
      <c r="T308" s="2"/>
    </row>
    <row r="309" spans="1:41" hidden="1" outlineLevel="1">
      <c r="A309" s="118" t="s">
        <v>800</v>
      </c>
      <c r="B309" s="117">
        <f>VLOOKUP(A309,'LEVEL 1.2 BUDGET'!$A$13:$K$316,11,FALSE)</f>
        <v>3338816.0099946638</v>
      </c>
      <c r="C309" s="182"/>
      <c r="E309" s="117">
        <f>VLOOKUP($A309,'LEVEL 2'!$A$13:$K$317,11,FALSE)</f>
        <v>3338816.0099946638</v>
      </c>
      <c r="F309" s="182"/>
      <c r="G309" s="2"/>
      <c r="H309" s="117">
        <f>B309-E309</f>
        <v>0</v>
      </c>
      <c r="I309" s="423">
        <f>H309/B309</f>
        <v>0</v>
      </c>
      <c r="J309" s="2"/>
      <c r="K309" s="46"/>
      <c r="L309" s="46"/>
      <c r="M309" s="46"/>
      <c r="N309" s="46"/>
      <c r="O309" s="46"/>
      <c r="P309" s="46"/>
      <c r="Q309" s="46"/>
      <c r="R309" s="46"/>
      <c r="S309" s="46"/>
      <c r="T309" s="2"/>
    </row>
    <row r="310" spans="1:41" collapsed="1">
      <c r="A310" s="347" t="s">
        <v>800</v>
      </c>
      <c r="B310" s="110"/>
      <c r="C310" s="445">
        <f>SUM(B308:B309)</f>
        <v>4451754.6799928835</v>
      </c>
      <c r="E310" s="110"/>
      <c r="F310" s="445">
        <f>SUM(E308:E309)</f>
        <v>4451754.6799928835</v>
      </c>
      <c r="G310" s="2"/>
      <c r="H310" s="448">
        <f>C310-F310</f>
        <v>0</v>
      </c>
      <c r="I310" s="446">
        <f>H310/C310</f>
        <v>0</v>
      </c>
      <c r="J310" s="2"/>
      <c r="K310" s="373"/>
      <c r="L310" s="373"/>
      <c r="M310" s="373"/>
      <c r="N310" s="373"/>
      <c r="O310" s="373"/>
      <c r="P310" s="373"/>
      <c r="Q310" s="373"/>
      <c r="R310" s="373"/>
      <c r="S310" s="373"/>
      <c r="T310" s="2"/>
    </row>
    <row r="311" spans="1:41">
      <c r="A311" s="47"/>
      <c r="B311" s="182"/>
      <c r="C311" s="360"/>
      <c r="E311" s="182"/>
      <c r="F311" s="360"/>
      <c r="G311" s="2"/>
      <c r="H311" s="182"/>
      <c r="I311" s="424"/>
      <c r="J311" s="2"/>
      <c r="T311" s="2"/>
    </row>
    <row r="312" spans="1:41" ht="15.75" thickBot="1">
      <c r="A312" s="361" t="s">
        <v>802</v>
      </c>
      <c r="B312" s="365"/>
      <c r="C312" s="366">
        <f>SUM(C12:C310)</f>
        <v>68871987.739389986</v>
      </c>
      <c r="E312" s="365"/>
      <c r="F312" s="366">
        <f>SUM(F12:F310)</f>
        <v>68767993.966582954</v>
      </c>
      <c r="G312" s="2"/>
      <c r="H312" s="365">
        <f>C312-F312</f>
        <v>103993.77280703187</v>
      </c>
      <c r="I312" s="426">
        <f>H312/C312</f>
        <v>1.5099574764785636E-3</v>
      </c>
      <c r="J312" s="2"/>
      <c r="K312" s="367"/>
      <c r="L312" s="367"/>
      <c r="M312" s="367"/>
      <c r="N312" s="367"/>
      <c r="O312" s="367"/>
      <c r="P312" s="367"/>
      <c r="Q312" s="367"/>
      <c r="R312" s="367"/>
      <c r="S312" s="367"/>
      <c r="T312" s="2"/>
    </row>
    <row r="313" spans="1:41" ht="15.75" thickBot="1">
      <c r="C313" s="171">
        <f>SUM(B11:B312)-C312</f>
        <v>0</v>
      </c>
      <c r="F313" s="171">
        <f>SUM(E11:E312)-F312</f>
        <v>0</v>
      </c>
      <c r="G313" s="2"/>
      <c r="I313" s="171"/>
      <c r="J313" s="2"/>
      <c r="K313" s="171"/>
    </row>
    <row r="314" spans="1:41">
      <c r="A314" s="172" t="s">
        <v>72</v>
      </c>
      <c r="C314" s="171"/>
      <c r="F314" s="171"/>
      <c r="G314" s="2"/>
      <c r="I314" s="171"/>
      <c r="J314" s="2"/>
      <c r="L314" s="174" t="s">
        <v>803</v>
      </c>
      <c r="M314" s="24"/>
    </row>
    <row r="315" spans="1:41">
      <c r="A315" s="175" t="s">
        <v>77</v>
      </c>
      <c r="G315" s="2"/>
      <c r="J315" s="2"/>
      <c r="L315" s="177">
        <f>SUM(E285:E298,E13:E280)</f>
        <v>55532618.225229099</v>
      </c>
      <c r="M315" s="28"/>
    </row>
    <row r="316" spans="1:41">
      <c r="A316" s="175" t="s">
        <v>121</v>
      </c>
      <c r="G316" s="2"/>
      <c r="J316" s="2"/>
      <c r="L316" s="177">
        <f>L315*0.06</f>
        <v>3331957.0935137458</v>
      </c>
      <c r="M316" s="28"/>
    </row>
    <row r="317" spans="1:41" ht="15.75" thickBot="1">
      <c r="A317" s="175" t="s">
        <v>804</v>
      </c>
      <c r="B317" s="235"/>
      <c r="C317" s="461"/>
      <c r="F317" s="235"/>
      <c r="G317" s="2"/>
      <c r="J317" s="2"/>
      <c r="L317" s="178">
        <f>L316/X21</f>
        <v>111065.23645045819</v>
      </c>
      <c r="M317" s="73"/>
    </row>
    <row r="318" spans="1:41">
      <c r="A318" s="175" t="s">
        <v>146</v>
      </c>
      <c r="C318" s="461"/>
      <c r="F318" s="235"/>
      <c r="G318" s="2"/>
      <c r="J318" s="2"/>
    </row>
    <row r="319" spans="1:41" s="2" customFormat="1">
      <c r="A319" s="175" t="s">
        <v>175</v>
      </c>
      <c r="B319" s="3"/>
      <c r="C319" s="235"/>
      <c r="D319" s="3"/>
      <c r="E319" s="3"/>
      <c r="F319" s="3"/>
      <c r="H319" s="3"/>
      <c r="I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spans="1:41" s="2" customFormat="1">
      <c r="A320" s="175" t="s">
        <v>220</v>
      </c>
      <c r="B320" s="3"/>
      <c r="C320" s="3"/>
      <c r="D320" s="171"/>
      <c r="E320" s="3"/>
      <c r="F320" s="3"/>
      <c r="H320" s="3"/>
      <c r="I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spans="1:41" s="2" customFormat="1">
      <c r="A321" s="175" t="s">
        <v>267</v>
      </c>
      <c r="B321" s="3"/>
      <c r="C321" s="3"/>
      <c r="D321" s="235"/>
      <c r="E321" s="3"/>
      <c r="F321" s="3"/>
      <c r="H321" s="3"/>
      <c r="I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spans="1:41" s="2" customFormat="1">
      <c r="A322" s="175" t="s">
        <v>297</v>
      </c>
      <c r="B322" s="3"/>
      <c r="C322" s="3"/>
      <c r="D322" s="235"/>
      <c r="E322" s="3"/>
      <c r="F322" s="3"/>
      <c r="H322" s="3"/>
      <c r="I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spans="1:41" s="2" customFormat="1">
      <c r="A323" s="175" t="s">
        <v>391</v>
      </c>
      <c r="B323" s="3"/>
      <c r="C323" s="3"/>
      <c r="D323" s="3"/>
      <c r="E323" s="3"/>
      <c r="F323" s="3"/>
      <c r="H323" s="3"/>
      <c r="I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spans="1:41" s="2" customFormat="1">
      <c r="A324" s="175" t="s">
        <v>431</v>
      </c>
      <c r="B324" s="3"/>
      <c r="C324" s="3"/>
      <c r="D324" s="3"/>
      <c r="E324" s="3"/>
      <c r="F324" s="3"/>
      <c r="H324" s="3"/>
      <c r="I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spans="1:41" s="2" customFormat="1">
      <c r="A325" s="179" t="s">
        <v>440</v>
      </c>
      <c r="B325" s="3"/>
      <c r="C325" s="3"/>
      <c r="D325" s="3"/>
      <c r="E325" s="3"/>
      <c r="F325" s="3"/>
      <c r="H325" s="3"/>
      <c r="I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spans="1:41" s="2" customFormat="1">
      <c r="A326" s="172" t="s">
        <v>476</v>
      </c>
      <c r="B326" s="3"/>
      <c r="C326" s="3"/>
      <c r="D326" s="3"/>
      <c r="E326" s="3"/>
      <c r="F326" s="3"/>
      <c r="H326" s="3"/>
      <c r="I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spans="1:41" s="2" customFormat="1">
      <c r="A327" s="175" t="s">
        <v>487</v>
      </c>
      <c r="B327" s="3"/>
      <c r="C327" s="3"/>
      <c r="D327" s="3"/>
      <c r="E327" s="3"/>
      <c r="F327" s="3"/>
      <c r="H327" s="3"/>
      <c r="I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spans="1:41" s="2" customFormat="1">
      <c r="A328" s="175" t="s">
        <v>489</v>
      </c>
      <c r="B328" s="3"/>
      <c r="C328" s="3"/>
      <c r="D328" s="3"/>
      <c r="E328" s="3"/>
      <c r="F328" s="3"/>
      <c r="H328" s="3"/>
      <c r="I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spans="1:41" s="2" customFormat="1">
      <c r="A329" s="175" t="s">
        <v>496</v>
      </c>
      <c r="B329" s="3"/>
      <c r="C329" s="3"/>
      <c r="D329" s="3"/>
      <c r="E329" s="3"/>
      <c r="F329" s="3"/>
      <c r="H329" s="3"/>
      <c r="I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spans="1:41" s="2" customFormat="1">
      <c r="A330" s="175" t="s">
        <v>506</v>
      </c>
      <c r="B330" s="3"/>
      <c r="C330" s="3"/>
      <c r="D330" s="3"/>
      <c r="E330" s="3"/>
      <c r="F330" s="3"/>
      <c r="H330" s="3"/>
      <c r="I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spans="1:41" s="2" customFormat="1">
      <c r="A331" s="175" t="s">
        <v>520</v>
      </c>
      <c r="B331" s="3"/>
      <c r="C331" s="3"/>
      <c r="D331" s="3"/>
      <c r="E331" s="3"/>
      <c r="F331" s="3"/>
      <c r="H331" s="3"/>
      <c r="I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spans="1:41" s="2" customFormat="1">
      <c r="A332" s="175" t="s">
        <v>527</v>
      </c>
      <c r="B332" s="3"/>
      <c r="C332" s="3"/>
      <c r="D332" s="3"/>
      <c r="E332" s="3"/>
      <c r="F332" s="3"/>
      <c r="H332" s="3"/>
      <c r="I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spans="1:41" s="2" customFormat="1">
      <c r="A333" s="175" t="s">
        <v>561</v>
      </c>
      <c r="B333" s="3"/>
      <c r="C333" s="3"/>
      <c r="D333" s="3"/>
      <c r="E333" s="3"/>
      <c r="F333" s="3"/>
      <c r="H333" s="3"/>
      <c r="I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spans="1:41" s="2" customFormat="1">
      <c r="A334" s="175" t="s">
        <v>571</v>
      </c>
      <c r="B334" s="3"/>
      <c r="C334" s="3"/>
      <c r="D334" s="3"/>
      <c r="E334" s="3"/>
      <c r="F334" s="3"/>
      <c r="H334" s="3"/>
      <c r="I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spans="1:41" s="2" customFormat="1">
      <c r="A335" s="175" t="s">
        <v>582</v>
      </c>
      <c r="B335" s="3"/>
      <c r="C335" s="3"/>
      <c r="D335" s="3"/>
      <c r="E335" s="3"/>
      <c r="F335" s="3"/>
      <c r="H335" s="3"/>
      <c r="I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spans="1:41" s="2" customFormat="1">
      <c r="A336" s="175" t="s">
        <v>603</v>
      </c>
      <c r="B336" s="3"/>
      <c r="C336" s="3"/>
      <c r="D336" s="3"/>
      <c r="E336" s="3"/>
      <c r="F336" s="3"/>
      <c r="H336" s="3"/>
      <c r="I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spans="1:41" s="2" customFormat="1">
      <c r="A337" s="179" t="s">
        <v>679</v>
      </c>
      <c r="B337" s="3"/>
      <c r="C337" s="3"/>
      <c r="D337" s="3"/>
      <c r="E337" s="3"/>
      <c r="F337" s="3"/>
      <c r="H337" s="3"/>
      <c r="I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spans="1:41" s="2" customFormat="1">
      <c r="A338" s="172" t="s">
        <v>708</v>
      </c>
      <c r="B338" s="3"/>
      <c r="C338" s="3"/>
      <c r="D338" s="3"/>
      <c r="E338" s="3"/>
      <c r="F338" s="3"/>
      <c r="H338" s="3"/>
      <c r="I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spans="1:41" s="2" customFormat="1">
      <c r="A339" s="175" t="s">
        <v>717</v>
      </c>
      <c r="B339" s="3"/>
      <c r="C339" s="3"/>
      <c r="D339" s="3"/>
      <c r="E339" s="3"/>
      <c r="F339" s="3"/>
      <c r="H339" s="3"/>
      <c r="I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spans="1:41" s="2" customFormat="1">
      <c r="A340" s="175" t="s">
        <v>726</v>
      </c>
      <c r="B340" s="3"/>
      <c r="C340" s="3"/>
      <c r="D340" s="3"/>
      <c r="E340" s="3"/>
      <c r="F340" s="3"/>
      <c r="H340" s="3"/>
      <c r="I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spans="1:41" s="2" customFormat="1">
      <c r="A341" s="175" t="s">
        <v>748</v>
      </c>
      <c r="B341" s="3"/>
      <c r="C341" s="3"/>
      <c r="D341" s="3"/>
      <c r="E341" s="3"/>
      <c r="F341" s="3"/>
      <c r="H341" s="3"/>
      <c r="I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spans="1:41" s="2" customFormat="1">
      <c r="A342" s="175" t="s">
        <v>806</v>
      </c>
      <c r="B342" s="3"/>
      <c r="C342" s="3"/>
      <c r="D342" s="3"/>
      <c r="E342" s="3"/>
      <c r="F342" s="3"/>
      <c r="H342" s="3"/>
      <c r="I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spans="1:41" s="2" customFormat="1">
      <c r="A343" s="175" t="s">
        <v>751</v>
      </c>
      <c r="B343" s="3"/>
      <c r="C343" s="3"/>
      <c r="D343" s="3"/>
      <c r="E343" s="3"/>
      <c r="F343" s="3"/>
      <c r="H343" s="3"/>
      <c r="I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spans="1:41" s="2" customFormat="1">
      <c r="A344" s="175" t="s">
        <v>781</v>
      </c>
      <c r="B344" s="3"/>
      <c r="C344" s="3"/>
      <c r="D344" s="3"/>
      <c r="E344" s="3"/>
      <c r="F344" s="3"/>
      <c r="H344" s="3"/>
      <c r="I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spans="1:41" s="2" customFormat="1">
      <c r="A345" s="175" t="s">
        <v>783</v>
      </c>
      <c r="B345" s="3"/>
      <c r="C345" s="3"/>
      <c r="D345" s="3"/>
      <c r="E345" s="3"/>
      <c r="F345" s="3"/>
      <c r="H345" s="3"/>
      <c r="I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spans="1:41" s="2" customFormat="1">
      <c r="A346" s="175" t="s">
        <v>786</v>
      </c>
      <c r="B346" s="3"/>
      <c r="C346" s="3"/>
      <c r="D346" s="3"/>
      <c r="E346" s="3"/>
      <c r="F346" s="3"/>
      <c r="H346" s="3"/>
      <c r="I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spans="1:41" s="2" customFormat="1">
      <c r="A347" s="175" t="s">
        <v>797</v>
      </c>
      <c r="B347" s="3"/>
      <c r="C347" s="3"/>
      <c r="D347" s="3"/>
      <c r="E347" s="3"/>
      <c r="F347" s="3"/>
      <c r="H347" s="3"/>
      <c r="I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spans="1:41" s="2" customFormat="1">
      <c r="A348" s="175" t="s">
        <v>800</v>
      </c>
      <c r="B348" s="3"/>
      <c r="C348" s="3"/>
      <c r="D348" s="3"/>
      <c r="E348" s="3"/>
      <c r="F348" s="3"/>
      <c r="H348" s="3"/>
      <c r="I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spans="1:41" s="2" customFormat="1">
      <c r="A349" s="181" t="s">
        <v>802</v>
      </c>
      <c r="B349" s="3"/>
      <c r="C349" s="3"/>
      <c r="D349" s="3"/>
      <c r="E349" s="3"/>
      <c r="F349" s="3"/>
      <c r="H349" s="3"/>
      <c r="I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spans="1:41" s="2" customFormat="1">
      <c r="A350" s="3"/>
      <c r="B350" s="3"/>
      <c r="C350" s="3"/>
      <c r="D350" s="3"/>
      <c r="E350" s="3"/>
      <c r="F350" s="3"/>
      <c r="H350" s="3"/>
      <c r="I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spans="1:41">
      <c r="G351" s="2"/>
      <c r="J351" s="2"/>
    </row>
    <row r="352" spans="1:41">
      <c r="G352" s="2"/>
      <c r="J352" s="2"/>
    </row>
    <row r="353" spans="1:10">
      <c r="G353" s="2"/>
      <c r="J353" s="2"/>
    </row>
    <row r="354" spans="1:10">
      <c r="G354" s="2"/>
      <c r="J354" s="2"/>
    </row>
    <row r="355" spans="1:10">
      <c r="A355" s="139"/>
      <c r="G355" s="2"/>
      <c r="J355" s="2"/>
    </row>
    <row r="356" spans="1:10">
      <c r="A356" s="139" t="s">
        <v>807</v>
      </c>
      <c r="G356" s="2"/>
      <c r="J356" s="2"/>
    </row>
    <row r="357" spans="1:10">
      <c r="A357" s="139" t="s">
        <v>808</v>
      </c>
      <c r="G357" s="2"/>
      <c r="J357" s="2"/>
    </row>
    <row r="358" spans="1:10">
      <c r="A358" s="139" t="s">
        <v>809</v>
      </c>
      <c r="G358" s="2"/>
      <c r="J358" s="2"/>
    </row>
    <row r="359" spans="1:10">
      <c r="A359" s="139" t="s">
        <v>810</v>
      </c>
      <c r="G359" s="2"/>
      <c r="J359" s="2"/>
    </row>
    <row r="360" spans="1:10">
      <c r="A360" s="139" t="s">
        <v>811</v>
      </c>
      <c r="G360" s="2"/>
      <c r="J360" s="2"/>
    </row>
    <row r="361" spans="1:10">
      <c r="A361" s="139" t="s">
        <v>812</v>
      </c>
      <c r="G361" s="2"/>
      <c r="J361" s="2"/>
    </row>
    <row r="362" spans="1:10">
      <c r="A362" s="139" t="s">
        <v>813</v>
      </c>
      <c r="G362" s="2"/>
      <c r="J362" s="2"/>
    </row>
    <row r="363" spans="1:10">
      <c r="A363" s="139" t="s">
        <v>814</v>
      </c>
      <c r="G363" s="2"/>
      <c r="J363" s="2"/>
    </row>
    <row r="364" spans="1:10">
      <c r="A364" s="139" t="s">
        <v>815</v>
      </c>
      <c r="G364" s="2"/>
      <c r="J364" s="2"/>
    </row>
    <row r="365" spans="1:10">
      <c r="A365" s="139" t="s">
        <v>816</v>
      </c>
      <c r="G365" s="2"/>
      <c r="J365" s="2"/>
    </row>
    <row r="366" spans="1:10">
      <c r="A366" s="139" t="s">
        <v>817</v>
      </c>
      <c r="G366" s="2"/>
      <c r="J366" s="2"/>
    </row>
    <row r="367" spans="1:10">
      <c r="A367" s="139" t="s">
        <v>818</v>
      </c>
      <c r="G367" s="2"/>
      <c r="J367" s="2"/>
    </row>
    <row r="368" spans="1:10">
      <c r="A368" s="139" t="s">
        <v>819</v>
      </c>
      <c r="G368" s="2"/>
      <c r="J368" s="2"/>
    </row>
    <row r="369" spans="1:10">
      <c r="A369" s="139" t="s">
        <v>820</v>
      </c>
      <c r="G369" s="2"/>
      <c r="J369" s="2"/>
    </row>
    <row r="370" spans="1:10">
      <c r="A370" s="139" t="s">
        <v>821</v>
      </c>
      <c r="G370" s="2"/>
      <c r="J370" s="2"/>
    </row>
    <row r="371" spans="1:10">
      <c r="A371" s="139" t="s">
        <v>822</v>
      </c>
      <c r="G371" s="2"/>
      <c r="J371" s="2"/>
    </row>
    <row r="372" spans="1:10">
      <c r="A372" s="139" t="s">
        <v>823</v>
      </c>
      <c r="G372" s="2"/>
      <c r="J372" s="2"/>
    </row>
    <row r="373" spans="1:10">
      <c r="A373" s="139" t="s">
        <v>824</v>
      </c>
      <c r="G373" s="2"/>
      <c r="J373" s="2"/>
    </row>
    <row r="374" spans="1:10">
      <c r="A374" s="139" t="s">
        <v>825</v>
      </c>
      <c r="G374" s="2"/>
      <c r="J374" s="2"/>
    </row>
    <row r="375" spans="1:10">
      <c r="A375" s="139" t="s">
        <v>826</v>
      </c>
      <c r="G375" s="2"/>
      <c r="J375" s="2"/>
    </row>
    <row r="376" spans="1:10">
      <c r="A376" s="139" t="s">
        <v>827</v>
      </c>
      <c r="G376" s="2"/>
      <c r="J376" s="2"/>
    </row>
    <row r="377" spans="1:10">
      <c r="A377" s="139" t="s">
        <v>828</v>
      </c>
      <c r="G377" s="2"/>
      <c r="J377" s="2"/>
    </row>
    <row r="378" spans="1:10">
      <c r="A378" s="139" t="s">
        <v>829</v>
      </c>
      <c r="G378" s="2"/>
      <c r="J378" s="2"/>
    </row>
    <row r="379" spans="1:10">
      <c r="A379" s="139" t="s">
        <v>830</v>
      </c>
      <c r="G379" s="2"/>
      <c r="J379" s="2"/>
    </row>
    <row r="380" spans="1:10">
      <c r="A380" s="139" t="s">
        <v>831</v>
      </c>
      <c r="G380" s="2"/>
      <c r="J380" s="2"/>
    </row>
    <row r="381" spans="1:10">
      <c r="A381" s="139" t="s">
        <v>832</v>
      </c>
      <c r="G381" s="2"/>
      <c r="J381" s="2"/>
    </row>
    <row r="382" spans="1:10">
      <c r="A382" s="139" t="s">
        <v>751</v>
      </c>
      <c r="G382" s="2"/>
      <c r="J382" s="2"/>
    </row>
    <row r="383" spans="1:10">
      <c r="A383" s="139" t="s">
        <v>782</v>
      </c>
      <c r="G383" s="2"/>
      <c r="J383" s="2"/>
    </row>
    <row r="384" spans="1:10">
      <c r="A384" s="139" t="s">
        <v>833</v>
      </c>
      <c r="G384" s="2"/>
      <c r="J384" s="2"/>
    </row>
    <row r="385" spans="1:10">
      <c r="A385" s="139" t="s">
        <v>834</v>
      </c>
      <c r="G385" s="2"/>
      <c r="J385" s="2"/>
    </row>
    <row r="386" spans="1:10">
      <c r="A386" s="139" t="s">
        <v>835</v>
      </c>
      <c r="G386" s="2"/>
      <c r="J386" s="2"/>
    </row>
    <row r="387" spans="1:10">
      <c r="A387" s="139" t="s">
        <v>66</v>
      </c>
      <c r="G387" s="2"/>
      <c r="J387" s="2"/>
    </row>
    <row r="388" spans="1:10">
      <c r="A388" s="187" t="s">
        <v>836</v>
      </c>
      <c r="G388" s="2"/>
      <c r="J388" s="2"/>
    </row>
    <row r="389" spans="1:10">
      <c r="G389" s="2"/>
      <c r="J389" s="2"/>
    </row>
    <row r="390" spans="1:10">
      <c r="A390" s="190" t="s">
        <v>837</v>
      </c>
      <c r="G390" s="2"/>
      <c r="J390" s="2"/>
    </row>
    <row r="391" spans="1:10">
      <c r="A391" s="190" t="s">
        <v>838</v>
      </c>
      <c r="G391" s="2"/>
      <c r="J391" s="2"/>
    </row>
    <row r="392" spans="1:10">
      <c r="A392" s="139" t="s">
        <v>202</v>
      </c>
      <c r="G392" s="2"/>
      <c r="J392" s="2"/>
    </row>
    <row r="393" spans="1:10">
      <c r="A393" s="139" t="s">
        <v>353</v>
      </c>
      <c r="G393" s="2"/>
      <c r="J393" s="2"/>
    </row>
    <row r="394" spans="1:10">
      <c r="A394" s="139" t="s">
        <v>355</v>
      </c>
      <c r="G394" s="2"/>
      <c r="J394" s="2"/>
    </row>
    <row r="395" spans="1:10">
      <c r="A395" s="139" t="s">
        <v>357</v>
      </c>
      <c r="G395" s="2"/>
      <c r="J395" s="2"/>
    </row>
    <row r="396" spans="1:10">
      <c r="A396" s="139" t="s">
        <v>360</v>
      </c>
      <c r="G396" s="2"/>
      <c r="J396" s="2"/>
    </row>
    <row r="397" spans="1:10">
      <c r="A397" s="139" t="s">
        <v>362</v>
      </c>
      <c r="G397" s="2"/>
      <c r="J397" s="2"/>
    </row>
    <row r="398" spans="1:10">
      <c r="A398" s="139" t="s">
        <v>364</v>
      </c>
      <c r="G398" s="2"/>
      <c r="J398" s="2"/>
    </row>
    <row r="399" spans="1:10">
      <c r="A399" s="139" t="s">
        <v>839</v>
      </c>
      <c r="G399" s="2"/>
      <c r="J399" s="2"/>
    </row>
    <row r="400" spans="1:10">
      <c r="A400" s="139" t="s">
        <v>840</v>
      </c>
      <c r="G400" s="2"/>
      <c r="J400" s="2"/>
    </row>
    <row r="401" spans="1:10">
      <c r="A401" s="139" t="s">
        <v>433</v>
      </c>
      <c r="G401" s="2"/>
      <c r="J401" s="2"/>
    </row>
    <row r="402" spans="1:10">
      <c r="A402" s="139" t="s">
        <v>213</v>
      </c>
      <c r="G402" s="2"/>
      <c r="J402" s="2"/>
    </row>
    <row r="403" spans="1:10">
      <c r="A403" s="139" t="s">
        <v>841</v>
      </c>
      <c r="G403" s="2"/>
      <c r="J403" s="2"/>
    </row>
    <row r="404" spans="1:10">
      <c r="A404" s="139"/>
      <c r="G404" s="2"/>
      <c r="J404" s="2"/>
    </row>
    <row r="405" spans="1:10">
      <c r="A405" s="139"/>
      <c r="G405" s="2"/>
      <c r="J405" s="2"/>
    </row>
    <row r="406" spans="1:10">
      <c r="A406" s="190" t="s">
        <v>842</v>
      </c>
      <c r="G406" s="2"/>
      <c r="J406" s="2"/>
    </row>
    <row r="407" spans="1:10">
      <c r="A407" s="187" t="s">
        <v>843</v>
      </c>
      <c r="G407" s="2"/>
      <c r="J407" s="2"/>
    </row>
    <row r="408" spans="1:10">
      <c r="A408" s="139" t="s">
        <v>844</v>
      </c>
      <c r="G408" s="2"/>
      <c r="J408" s="2"/>
    </row>
    <row r="409" spans="1:10">
      <c r="A409" s="139" t="s">
        <v>845</v>
      </c>
      <c r="G409" s="2"/>
      <c r="J409" s="2"/>
    </row>
    <row r="410" spans="1:10">
      <c r="A410" s="139" t="s">
        <v>846</v>
      </c>
      <c r="G410" s="2"/>
      <c r="J410" s="2"/>
    </row>
    <row r="411" spans="1:10">
      <c r="A411" s="139" t="s">
        <v>847</v>
      </c>
      <c r="G411" s="2"/>
      <c r="J411" s="2"/>
    </row>
    <row r="412" spans="1:10">
      <c r="A412" s="139" t="s">
        <v>848</v>
      </c>
      <c r="G412" s="2"/>
      <c r="J412" s="2"/>
    </row>
    <row r="413" spans="1:10">
      <c r="A413" s="139" t="s">
        <v>849</v>
      </c>
      <c r="G413" s="2"/>
      <c r="J413" s="2"/>
    </row>
    <row r="414" spans="1:10">
      <c r="A414" s="139"/>
      <c r="G414" s="2"/>
      <c r="J414" s="2"/>
    </row>
    <row r="415" spans="1:10">
      <c r="A415" s="187" t="s">
        <v>850</v>
      </c>
      <c r="G415" s="2"/>
      <c r="J415" s="2"/>
    </row>
    <row r="416" spans="1:10">
      <c r="A416" s="139" t="s">
        <v>482</v>
      </c>
      <c r="G416" s="2"/>
      <c r="J416" s="2"/>
    </row>
    <row r="417" spans="1:10">
      <c r="A417" s="139" t="s">
        <v>308</v>
      </c>
      <c r="G417" s="2"/>
      <c r="J417" s="2"/>
    </row>
    <row r="418" spans="1:10">
      <c r="A418" s="139" t="s">
        <v>852</v>
      </c>
      <c r="G418" s="2"/>
      <c r="J418" s="2"/>
    </row>
    <row r="419" spans="1:10">
      <c r="A419" s="139" t="s">
        <v>853</v>
      </c>
      <c r="G419" s="2"/>
      <c r="J419" s="2"/>
    </row>
    <row r="420" spans="1:10">
      <c r="A420" s="139" t="s">
        <v>479</v>
      </c>
      <c r="G420" s="2"/>
      <c r="J420" s="2"/>
    </row>
    <row r="421" spans="1:10">
      <c r="A421" s="139" t="s">
        <v>403</v>
      </c>
      <c r="G421" s="2"/>
      <c r="J421" s="2"/>
    </row>
    <row r="422" spans="1:10">
      <c r="A422" s="139" t="s">
        <v>545</v>
      </c>
      <c r="G422" s="2"/>
      <c r="J422" s="2"/>
    </row>
    <row r="423" spans="1:10">
      <c r="A423" s="139" t="s">
        <v>92</v>
      </c>
      <c r="G423" s="2"/>
      <c r="J423" s="2"/>
    </row>
    <row r="424" spans="1:10">
      <c r="A424" s="190" t="s">
        <v>856</v>
      </c>
      <c r="G424" s="2"/>
      <c r="J424" s="2"/>
    </row>
    <row r="425" spans="1:10">
      <c r="A425" s="139"/>
      <c r="G425" s="2"/>
      <c r="J425" s="2"/>
    </row>
    <row r="426" spans="1:10">
      <c r="A426" s="139"/>
      <c r="G426" s="2"/>
      <c r="J426" s="2"/>
    </row>
    <row r="427" spans="1:10">
      <c r="A427" s="139" t="s">
        <v>672</v>
      </c>
      <c r="G427" s="2"/>
      <c r="J427" s="2"/>
    </row>
    <row r="428" spans="1:10">
      <c r="A428" s="139" t="s">
        <v>674</v>
      </c>
      <c r="G428" s="2"/>
      <c r="J428" s="2"/>
    </row>
    <row r="429" spans="1:10">
      <c r="A429" s="139" t="s">
        <v>675</v>
      </c>
      <c r="G429" s="2"/>
      <c r="J429" s="2"/>
    </row>
    <row r="430" spans="1:10">
      <c r="A430" s="139" t="s">
        <v>676</v>
      </c>
      <c r="G430" s="2"/>
      <c r="J430" s="2"/>
    </row>
    <row r="431" spans="1:10">
      <c r="A431" s="139" t="s">
        <v>688</v>
      </c>
      <c r="G431" s="2"/>
      <c r="J431" s="2"/>
    </row>
    <row r="432" spans="1:10">
      <c r="A432" s="139" t="s">
        <v>704</v>
      </c>
      <c r="G432" s="2"/>
      <c r="J432" s="2"/>
    </row>
    <row r="433" spans="1:10">
      <c r="A433" s="139" t="s">
        <v>705</v>
      </c>
      <c r="G433" s="2"/>
      <c r="J433" s="2"/>
    </row>
    <row r="434" spans="1:10">
      <c r="A434" s="139" t="s">
        <v>707</v>
      </c>
      <c r="G434" s="2"/>
      <c r="J434" s="2"/>
    </row>
    <row r="435" spans="1:10">
      <c r="A435" s="139" t="s">
        <v>715</v>
      </c>
      <c r="G435" s="2"/>
      <c r="J435" s="2"/>
    </row>
    <row r="436" spans="1:10">
      <c r="A436" s="139" t="s">
        <v>92</v>
      </c>
      <c r="G436" s="2"/>
      <c r="J436" s="2"/>
    </row>
    <row r="437" spans="1:10">
      <c r="A437" s="139"/>
      <c r="G437" s="2"/>
      <c r="J437" s="2"/>
    </row>
    <row r="438" spans="1:10">
      <c r="A438" s="190" t="s">
        <v>869</v>
      </c>
      <c r="G438" s="2"/>
      <c r="J438" s="2"/>
    </row>
    <row r="439" spans="1:10">
      <c r="A439" s="190" t="s">
        <v>870</v>
      </c>
      <c r="G439" s="2"/>
      <c r="J439" s="2"/>
    </row>
    <row r="440" spans="1:10">
      <c r="A440" s="139" t="s">
        <v>403</v>
      </c>
      <c r="G440" s="2"/>
      <c r="J440" s="2"/>
    </row>
    <row r="441" spans="1:10">
      <c r="A441" s="139" t="s">
        <v>545</v>
      </c>
      <c r="G441" s="2"/>
      <c r="J441" s="2"/>
    </row>
    <row r="442" spans="1:10">
      <c r="A442" s="139" t="s">
        <v>672</v>
      </c>
      <c r="G442" s="2"/>
      <c r="J442" s="2"/>
    </row>
    <row r="443" spans="1:10">
      <c r="A443" s="139" t="s">
        <v>674</v>
      </c>
      <c r="G443" s="2"/>
      <c r="J443" s="2"/>
    </row>
    <row r="444" spans="1:10">
      <c r="A444" s="139" t="s">
        <v>675</v>
      </c>
      <c r="G444" s="2"/>
      <c r="J444" s="2"/>
    </row>
    <row r="445" spans="1:10">
      <c r="A445" s="139" t="s">
        <v>676</v>
      </c>
      <c r="G445" s="2"/>
      <c r="J445" s="2"/>
    </row>
    <row r="446" spans="1:10">
      <c r="A446" s="139" t="s">
        <v>704</v>
      </c>
      <c r="G446" s="2"/>
      <c r="J446" s="2"/>
    </row>
    <row r="447" spans="1:10">
      <c r="A447" s="139" t="s">
        <v>705</v>
      </c>
      <c r="G447" s="2"/>
      <c r="J447" s="2"/>
    </row>
    <row r="448" spans="1:10">
      <c r="A448" s="139" t="s">
        <v>688</v>
      </c>
      <c r="G448" s="2"/>
      <c r="J448" s="2"/>
    </row>
    <row r="449" spans="1:10">
      <c r="A449" s="139" t="s">
        <v>707</v>
      </c>
      <c r="G449" s="2"/>
      <c r="J449" s="2"/>
    </row>
    <row r="450" spans="1:10">
      <c r="A450" s="139" t="s">
        <v>715</v>
      </c>
      <c r="G450" s="2"/>
      <c r="J450" s="2"/>
    </row>
    <row r="451" spans="1:10">
      <c r="A451" s="139"/>
      <c r="G451" s="2"/>
      <c r="J451" s="2"/>
    </row>
    <row r="452" spans="1:10">
      <c r="A452" s="190" t="s">
        <v>871</v>
      </c>
      <c r="G452" s="2"/>
      <c r="J452" s="2"/>
    </row>
    <row r="453" spans="1:10">
      <c r="A453" s="187" t="s">
        <v>843</v>
      </c>
      <c r="G453" s="2"/>
      <c r="J453" s="2"/>
    </row>
    <row r="454" spans="1:10">
      <c r="A454" s="139" t="s">
        <v>804</v>
      </c>
      <c r="G454" s="2"/>
      <c r="J454" s="2"/>
    </row>
    <row r="455" spans="1:10">
      <c r="A455" s="139"/>
      <c r="G455" s="2"/>
      <c r="J455" s="2"/>
    </row>
    <row r="456" spans="1:10">
      <c r="A456" s="187" t="s">
        <v>850</v>
      </c>
      <c r="G456" s="2"/>
      <c r="J456" s="2"/>
    </row>
    <row r="457" spans="1:10">
      <c r="A457" s="139" t="s">
        <v>92</v>
      </c>
      <c r="G457" s="2"/>
      <c r="J457" s="2"/>
    </row>
    <row r="458" spans="1:10">
      <c r="A458" s="139" t="s">
        <v>101</v>
      </c>
      <c r="G458" s="2"/>
      <c r="J458" s="2"/>
    </row>
    <row r="459" spans="1:10">
      <c r="A459" s="139" t="s">
        <v>105</v>
      </c>
      <c r="G459" s="2"/>
      <c r="J459" s="2"/>
    </row>
    <row r="460" spans="1:10">
      <c r="A460" s="139" t="s">
        <v>108</v>
      </c>
      <c r="G460" s="2"/>
      <c r="J460" s="2"/>
    </row>
    <row r="461" spans="1:10">
      <c r="A461" s="139" t="s">
        <v>117</v>
      </c>
      <c r="G461" s="2"/>
      <c r="J461" s="2"/>
    </row>
    <row r="462" spans="1:10">
      <c r="A462" s="139" t="s">
        <v>139</v>
      </c>
      <c r="G462" s="2"/>
      <c r="J462" s="2"/>
    </row>
    <row r="463" spans="1:10">
      <c r="A463" s="139" t="s">
        <v>872</v>
      </c>
      <c r="G463" s="2"/>
      <c r="J463" s="2"/>
    </row>
    <row r="464" spans="1:10">
      <c r="A464" s="139" t="s">
        <v>161</v>
      </c>
      <c r="G464" s="2"/>
      <c r="J464" s="2"/>
    </row>
    <row r="465" spans="1:10">
      <c r="A465" s="139" t="s">
        <v>164</v>
      </c>
      <c r="G465" s="2"/>
      <c r="J465" s="2"/>
    </row>
    <row r="466" spans="1:10">
      <c r="A466" s="139" t="s">
        <v>189</v>
      </c>
      <c r="G466" s="2"/>
      <c r="J466" s="2"/>
    </row>
    <row r="467" spans="1:10">
      <c r="A467" s="139" t="s">
        <v>192</v>
      </c>
      <c r="G467" s="2"/>
      <c r="J467" s="2"/>
    </row>
    <row r="468" spans="1:10">
      <c r="A468" s="139" t="s">
        <v>195</v>
      </c>
      <c r="G468" s="2"/>
      <c r="J468" s="2"/>
    </row>
    <row r="469" spans="1:10">
      <c r="A469" s="139" t="s">
        <v>198</v>
      </c>
      <c r="G469" s="2"/>
      <c r="J469" s="2"/>
    </row>
    <row r="470" spans="1:10">
      <c r="A470" s="139" t="s">
        <v>214</v>
      </c>
      <c r="G470" s="2"/>
      <c r="J470" s="2"/>
    </row>
    <row r="471" spans="1:10">
      <c r="A471" s="139" t="s">
        <v>239</v>
      </c>
      <c r="G471" s="2"/>
      <c r="J471" s="2"/>
    </row>
    <row r="472" spans="1:10">
      <c r="A472" s="139" t="s">
        <v>244</v>
      </c>
      <c r="G472" s="2"/>
      <c r="J472" s="2"/>
    </row>
    <row r="473" spans="1:10">
      <c r="A473" s="139" t="s">
        <v>282</v>
      </c>
      <c r="G473" s="2"/>
      <c r="J473" s="2"/>
    </row>
    <row r="474" spans="1:10">
      <c r="A474" s="139" t="s">
        <v>284</v>
      </c>
      <c r="G474" s="2"/>
      <c r="J474" s="2"/>
    </row>
    <row r="475" spans="1:10">
      <c r="A475" s="139" t="s">
        <v>319</v>
      </c>
      <c r="G475" s="2"/>
      <c r="J475" s="2"/>
    </row>
    <row r="476" spans="1:10">
      <c r="A476" s="139" t="s">
        <v>325</v>
      </c>
    </row>
    <row r="477" spans="1:10">
      <c r="A477" s="139" t="s">
        <v>873</v>
      </c>
    </row>
    <row r="478" spans="1:10">
      <c r="A478" s="139" t="s">
        <v>395</v>
      </c>
    </row>
    <row r="479" spans="1:10">
      <c r="A479" s="139" t="s">
        <v>414</v>
      </c>
    </row>
    <row r="480" spans="1:10">
      <c r="A480" s="139" t="s">
        <v>416</v>
      </c>
    </row>
    <row r="481" spans="1:1">
      <c r="A481" s="139" t="s">
        <v>474</v>
      </c>
    </row>
    <row r="482" spans="1:1">
      <c r="A482" s="139" t="s">
        <v>479</v>
      </c>
    </row>
    <row r="483" spans="1:1">
      <c r="A483" s="139" t="s">
        <v>482</v>
      </c>
    </row>
    <row r="484" spans="1:1">
      <c r="A484" s="139" t="s">
        <v>484</v>
      </c>
    </row>
    <row r="485" spans="1:1">
      <c r="A485" s="139" t="s">
        <v>494</v>
      </c>
    </row>
    <row r="486" spans="1:1">
      <c r="A486" s="139" t="s">
        <v>516</v>
      </c>
    </row>
    <row r="487" spans="1:1">
      <c r="A487" s="139" t="s">
        <v>518</v>
      </c>
    </row>
    <row r="488" spans="1:1">
      <c r="A488" s="139" t="s">
        <v>539</v>
      </c>
    </row>
    <row r="489" spans="1:1">
      <c r="A489" s="139" t="s">
        <v>541</v>
      </c>
    </row>
    <row r="490" spans="1:1">
      <c r="A490" s="139" t="s">
        <v>542</v>
      </c>
    </row>
    <row r="491" spans="1:1">
      <c r="A491" s="139" t="s">
        <v>543</v>
      </c>
    </row>
    <row r="492" spans="1:1">
      <c r="A492" s="139" t="s">
        <v>553</v>
      </c>
    </row>
    <row r="493" spans="1:1">
      <c r="A493" s="139" t="s">
        <v>555</v>
      </c>
    </row>
    <row r="494" spans="1:1">
      <c r="A494" s="139" t="s">
        <v>557</v>
      </c>
    </row>
    <row r="495" spans="1:1">
      <c r="A495" s="139" t="s">
        <v>559</v>
      </c>
    </row>
    <row r="496" spans="1:1">
      <c r="A496" s="139" t="s">
        <v>560</v>
      </c>
    </row>
    <row r="497" spans="1:1">
      <c r="A497" s="139" t="s">
        <v>619</v>
      </c>
    </row>
    <row r="498" spans="1:1">
      <c r="A498" s="139" t="s">
        <v>630</v>
      </c>
    </row>
    <row r="499" spans="1:1">
      <c r="A499" s="139" t="s">
        <v>642</v>
      </c>
    </row>
    <row r="500" spans="1:1">
      <c r="A500" s="139" t="s">
        <v>663</v>
      </c>
    </row>
    <row r="501" spans="1:1">
      <c r="A501" s="139" t="s">
        <v>757</v>
      </c>
    </row>
    <row r="502" spans="1:1">
      <c r="A502" s="139" t="s">
        <v>759</v>
      </c>
    </row>
    <row r="503" spans="1:1">
      <c r="A503" s="139" t="s">
        <v>761</v>
      </c>
    </row>
    <row r="504" spans="1:1">
      <c r="A504" s="139" t="s">
        <v>763</v>
      </c>
    </row>
    <row r="505" spans="1:1">
      <c r="A505" s="139" t="s">
        <v>776</v>
      </c>
    </row>
    <row r="506" spans="1:1">
      <c r="A506" s="139" t="s">
        <v>777</v>
      </c>
    </row>
  </sheetData>
  <autoFilter ref="E10:E310" xr:uid="{C8A95798-AF23-4C19-883A-C25D023AB1DF}"/>
  <phoneticPr fontId="17" type="noConversion"/>
  <conditionalFormatting sqref="A11:C14 E11:E23 H11:H23 E12:F12 E14:F14 A15:B23 W17:X26 A24:C24 E24:F24 A25:B28 E25:E28 H25:H28 A29:C29 E29:F29 A30:B35 E30:E35 H30:H35 A36:C36 E36:F36 A37:B49 E37:E49 A50:C50 E50:F50 A51:B63 E51:E63 A64:C64 E64:F64 A65:B78 E65:E78 A79:C79 E79:F79 A80:B117 E80:E117 A118:C118 E118:F118 A119:B134 E119:E134 E135:F135 E136:E138 E139:F139 E140:E147 E148:F148 E149:E151 E152:F152 B153:B156 E153:E156 E154:F154 B157:C157 E157:F157 B158:B160 E158:E160 B161:C161 E161:F161 B162:B166 E162:E166 B167:C168 E167:F168 B169 E169 B170:C170 E170:F170 E171:E187 B188:C188 E188:F188 B189:B191 E189:E191 B192:C192 E192:F192 E193:E196 B193:B197 E197:F197 E198:E206 E207:F207 E208:E244 E245:F245 E246:E261 E262:F263 E264 E265:F265 B265:B271 E266 C267 E267:F267 E268:E270 E271:F271 E272:E280 E281:F284 E285:E298 E299:F299 B299:B310 E300 E304:E306 C307 E307:F307 E308:E309 C310 E310:F310 A311:F312">
    <cfRule type="expression" dxfId="169" priority="92">
      <formula>MOD(ROW(),2)</formula>
    </cfRule>
  </conditionalFormatting>
  <conditionalFormatting sqref="A135:C170 K143:S149 K151:S167 K170:S179 A171:B187 K181:S243 A188:C196 A197:B265 C207 C245 K245:S251 C262:C263 C265 A266:C270 A271:B281 C281 A282:C283 C284 A284:B299 C299 A300:C310">
    <cfRule type="expression" dxfId="168" priority="83">
      <formula>MOD(ROW(),2)</formula>
    </cfRule>
  </conditionalFormatting>
  <conditionalFormatting sqref="C35 F35">
    <cfRule type="expression" dxfId="167" priority="78">
      <formula>MOD(ROW(),2)</formula>
    </cfRule>
  </conditionalFormatting>
  <conditionalFormatting sqref="C49 F49">
    <cfRule type="expression" dxfId="166" priority="76">
      <formula>MOD(ROW(),2)</formula>
    </cfRule>
  </conditionalFormatting>
  <conditionalFormatting sqref="C63 F63">
    <cfRule type="expression" dxfId="165" priority="74">
      <formula>MOD(ROW(),2)</formula>
    </cfRule>
  </conditionalFormatting>
  <conditionalFormatting sqref="C138 F138">
    <cfRule type="expression" dxfId="164" priority="68">
      <formula>MOD(ROW(),2)</formula>
    </cfRule>
  </conditionalFormatting>
  <conditionalFormatting sqref="C149 F149">
    <cfRule type="expression" dxfId="163" priority="66">
      <formula>MOD(ROW(),2)</formula>
    </cfRule>
  </conditionalFormatting>
  <conditionalFormatting sqref="C153 F153">
    <cfRule type="expression" dxfId="162" priority="33">
      <formula>MOD(ROW(),2)</formula>
    </cfRule>
  </conditionalFormatting>
  <conditionalFormatting sqref="C156 F156">
    <cfRule type="expression" dxfId="161" priority="64">
      <formula>MOD(ROW(),2)</formula>
    </cfRule>
  </conditionalFormatting>
  <conditionalFormatting sqref="C158 F158">
    <cfRule type="expression" dxfId="160" priority="63">
      <formula>MOD(ROW(),2)</formula>
    </cfRule>
  </conditionalFormatting>
  <conditionalFormatting sqref="C160 F160">
    <cfRule type="expression" dxfId="159" priority="62">
      <formula>MOD(ROW(),2)</formula>
    </cfRule>
  </conditionalFormatting>
  <conditionalFormatting sqref="C162 F162">
    <cfRule type="expression" dxfId="158" priority="60">
      <formula>MOD(ROW(),2)</formula>
    </cfRule>
  </conditionalFormatting>
  <conditionalFormatting sqref="C166 F166">
    <cfRule type="expression" dxfId="157" priority="58">
      <formula>MOD(ROW(),2)</formula>
    </cfRule>
  </conditionalFormatting>
  <conditionalFormatting sqref="C189 F189">
    <cfRule type="expression" dxfId="156" priority="53">
      <formula>MOD(ROW(),2)</formula>
    </cfRule>
  </conditionalFormatting>
  <conditionalFormatting sqref="C191 F191">
    <cfRule type="expression" dxfId="155" priority="52">
      <formula>MOD(ROW(),2)</formula>
    </cfRule>
  </conditionalFormatting>
  <conditionalFormatting sqref="C193 F193">
    <cfRule type="expression" dxfId="154" priority="50">
      <formula>MOD(ROW(),2)</formula>
    </cfRule>
  </conditionalFormatting>
  <conditionalFormatting sqref="C197:C198 F198">
    <cfRule type="expression" dxfId="153" priority="48">
      <formula>MOD(ROW(),2)</formula>
    </cfRule>
  </conditionalFormatting>
  <conditionalFormatting sqref="C271:C272 F272">
    <cfRule type="expression" dxfId="152" priority="41">
      <formula>MOD(ROW(),2)</formula>
    </cfRule>
  </conditionalFormatting>
  <conditionalFormatting sqref="C301:C303 E301:F303">
    <cfRule type="expression" dxfId="151" priority="29">
      <formula>MOD(ROW(),2)</formula>
    </cfRule>
  </conditionalFormatting>
  <conditionalFormatting sqref="C313 F313 K313">
    <cfRule type="cellIs" dxfId="150" priority="91" operator="greaterThan">
      <formula>0</formula>
    </cfRule>
    <cfRule type="cellIs" dxfId="149" priority="87" operator="lessThan">
      <formula>0</formula>
    </cfRule>
  </conditionalFormatting>
  <conditionalFormatting sqref="H301:I303">
    <cfRule type="expression" dxfId="148" priority="3">
      <formula>MOD(ROW(),2)</formula>
    </cfRule>
  </conditionalFormatting>
  <conditionalFormatting sqref="I12 I14 H24:I24 H29:I29 H36:I36 H37:H49 H50:I50 H51:H63 H64:I64 H65:H78 H79:I79 H80:H117 H118:I118 H119:H134 H135:I135 H136:H138 H139:I139 H140:H147 H148:I148 H149:H151 H152:I152 H153:H156 I154 H157:I157 H158:H160 H161:I161 H162:H166 H167:I168 H169 H170:I170 H171:H187 H188:I188 H189:H191 H192:I192 H193:H196 H197:I197 H198:H206 H207:I207 H208:H244 H245:I245 H246:H261 H262:I263 H264 H265:I265 H266 H267:I267 H268:H270 H271:I271 H272:H280 H281:I281 H282 H283:I284 H285:H298 H299:I299 H300 H304:H306 H307:I307 H308:H309 H310:I312">
    <cfRule type="expression" dxfId="147" priority="27">
      <formula>MOD(ROW(),2)</formula>
    </cfRule>
  </conditionalFormatting>
  <conditionalFormatting sqref="I35">
    <cfRule type="expression" dxfId="146" priority="24">
      <formula>MOD(ROW(),2)</formula>
    </cfRule>
  </conditionalFormatting>
  <conditionalFormatting sqref="I134">
    <cfRule type="expression" dxfId="145" priority="20">
      <formula>MOD(ROW(),2)</formula>
    </cfRule>
  </conditionalFormatting>
  <conditionalFormatting sqref="I149">
    <cfRule type="expression" dxfId="144" priority="18">
      <formula>MOD(ROW(),2)</formula>
    </cfRule>
  </conditionalFormatting>
  <conditionalFormatting sqref="I156">
    <cfRule type="expression" dxfId="143" priority="17">
      <formula>MOD(ROW(),2)</formula>
    </cfRule>
  </conditionalFormatting>
  <conditionalFormatting sqref="I158">
    <cfRule type="expression" dxfId="142" priority="16">
      <formula>MOD(ROW(),2)</formula>
    </cfRule>
  </conditionalFormatting>
  <conditionalFormatting sqref="I160">
    <cfRule type="expression" dxfId="141" priority="15">
      <formula>MOD(ROW(),2)</formula>
    </cfRule>
  </conditionalFormatting>
  <conditionalFormatting sqref="I162">
    <cfRule type="expression" dxfId="140" priority="14">
      <formula>MOD(ROW(),2)</formula>
    </cfRule>
  </conditionalFormatting>
  <conditionalFormatting sqref="I166">
    <cfRule type="expression" dxfId="139" priority="13">
      <formula>MOD(ROW(),2)</formula>
    </cfRule>
  </conditionalFormatting>
  <conditionalFormatting sqref="I187">
    <cfRule type="expression" dxfId="138" priority="12">
      <formula>MOD(ROW(),2)</formula>
    </cfRule>
  </conditionalFormatting>
  <conditionalFormatting sqref="I189">
    <cfRule type="expression" dxfId="137" priority="11">
      <formula>MOD(ROW(),2)</formula>
    </cfRule>
  </conditionalFormatting>
  <conditionalFormatting sqref="I191">
    <cfRule type="expression" dxfId="136" priority="10">
      <formula>MOD(ROW(),2)</formula>
    </cfRule>
  </conditionalFormatting>
  <conditionalFormatting sqref="I193">
    <cfRule type="expression" dxfId="135" priority="9">
      <formula>MOD(ROW(),2)</formula>
    </cfRule>
  </conditionalFormatting>
  <conditionalFormatting sqref="I198">
    <cfRule type="expression" dxfId="134" priority="8">
      <formula>MOD(ROW(),2)</formula>
    </cfRule>
  </conditionalFormatting>
  <conditionalFormatting sqref="I261">
    <cfRule type="expression" dxfId="133" priority="7">
      <formula>MOD(ROW(),2)</formula>
    </cfRule>
  </conditionalFormatting>
  <conditionalFormatting sqref="I272">
    <cfRule type="expression" dxfId="132" priority="6">
      <formula>MOD(ROW(),2)</formula>
    </cfRule>
  </conditionalFormatting>
  <conditionalFormatting sqref="I285">
    <cfRule type="expression" dxfId="131" priority="5">
      <formula>MOD(ROW(),2)</formula>
    </cfRule>
  </conditionalFormatting>
  <conditionalFormatting sqref="I313">
    <cfRule type="cellIs" dxfId="130" priority="25" operator="lessThan">
      <formula>0</formula>
    </cfRule>
    <cfRule type="cellIs" dxfId="129" priority="26" operator="greaterThan">
      <formula>0</formula>
    </cfRule>
  </conditionalFormatting>
  <conditionalFormatting sqref="K168:K170 K180 K244:K245 K252">
    <cfRule type="expression" dxfId="128" priority="85">
      <formula>MOD(ROW(),2)</formula>
    </cfRule>
  </conditionalFormatting>
  <conditionalFormatting sqref="K142:R142">
    <cfRule type="expression" dxfId="127" priority="82">
      <formula>MOD(ROW(),2)</formula>
    </cfRule>
  </conditionalFormatting>
  <conditionalFormatting sqref="K150:R150">
    <cfRule type="expression" dxfId="126" priority="81">
      <formula>MOD(ROW(),2)</formula>
    </cfRule>
  </conditionalFormatting>
  <conditionalFormatting sqref="K11:S141">
    <cfRule type="expression" dxfId="125" priority="2">
      <formula>MOD(ROW(),2)</formula>
    </cfRule>
  </conditionalFormatting>
  <conditionalFormatting sqref="K253:S311">
    <cfRule type="expression" dxfId="124" priority="1">
      <formula>MOD(ROW(),2)</formula>
    </cfRule>
  </conditionalFormatting>
  <conditionalFormatting sqref="W6:Y9">
    <cfRule type="expression" dxfId="123" priority="94">
      <formula>MOD(ROW(),2)=0</formula>
    </cfRule>
  </conditionalFormatting>
  <dataValidations disablePrompts="1" count="2">
    <dataValidation type="list" allowBlank="1" showInputMessage="1" showErrorMessage="1" sqref="X19:X20" xr:uid="{DA32719D-FC2D-49A7-BD59-3784F4458E93}">
      <formula1>"Urban, Market, Senior, Afforable"</formula1>
    </dataValidation>
    <dataValidation type="list" allowBlank="1" showInputMessage="1" showErrorMessage="1" sqref="X18" xr:uid="{64633E82-59C7-4296-A219-9038B10EBF53}">
      <formula1>"Level 1, Level 2, Level 3"</formula1>
    </dataValidation>
  </dataValidations>
  <printOptions horizontalCentered="1"/>
  <pageMargins left="0.25" right="0.25" top="0.7" bottom="0.5" header="0.35" footer="0.05"/>
  <pageSetup paperSize="3" scale="80" fitToHeight="0" orientation="landscape" r:id="rId1"/>
  <headerFooter>
    <oddHeader>&amp;R&amp;G</oddHeader>
  </headerFooter>
  <rowBreaks count="4" manualBreakCount="4">
    <brk id="50" max="20" man="1"/>
    <brk id="118" max="20" man="1"/>
    <brk id="188" max="20" man="1"/>
    <brk id="245" max="20" man="1"/>
  </rowBreaks>
  <colBreaks count="1" manualBreakCount="1">
    <brk id="4" max="317" man="1"/>
  </col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98AC-4373-4E85-B365-C1DA0B3D6652}">
  <sheetPr>
    <pageSetUpPr fitToPage="1"/>
  </sheetPr>
  <dimension ref="A1:AL43"/>
  <sheetViews>
    <sheetView topLeftCell="A12" workbookViewId="0">
      <selection activeCell="F28" sqref="F28"/>
    </sheetView>
  </sheetViews>
  <sheetFormatPr defaultRowHeight="15" outlineLevelRow="1"/>
  <cols>
    <col min="1" max="1" width="38.5703125" customWidth="1"/>
    <col min="2" max="2" width="11.85546875" customWidth="1"/>
    <col min="3" max="3" width="11.140625" bestFit="1" customWidth="1"/>
    <col min="4" max="4" width="11.5703125" customWidth="1"/>
    <col min="5" max="5" width="11.140625" bestFit="1" customWidth="1"/>
    <col min="6" max="6" width="13.85546875" customWidth="1"/>
    <col min="7" max="7" width="7.7109375" hidden="1" customWidth="1"/>
    <col min="8" max="8" width="9.140625" customWidth="1"/>
    <col min="19" max="19" width="18.42578125" customWidth="1"/>
  </cols>
  <sheetData>
    <row r="1" spans="1:38">
      <c r="A1" s="484" t="s">
        <v>987</v>
      </c>
    </row>
    <row r="2" spans="1:38" ht="15.75" thickBot="1"/>
    <row r="3" spans="1:38" ht="15.75" thickBot="1">
      <c r="A3" s="458"/>
      <c r="B3" s="670" t="s">
        <v>988</v>
      </c>
      <c r="C3" s="671"/>
      <c r="D3" s="670" t="s">
        <v>989</v>
      </c>
      <c r="E3" s="671"/>
      <c r="F3" s="670" t="s">
        <v>875</v>
      </c>
      <c r="G3" s="671"/>
      <c r="H3" s="672" t="s">
        <v>990</v>
      </c>
      <c r="I3" s="673"/>
      <c r="J3" s="673"/>
      <c r="K3" s="673"/>
      <c r="L3" s="673"/>
      <c r="M3" s="673"/>
      <c r="N3" s="673"/>
      <c r="O3" s="673"/>
      <c r="P3" s="673"/>
      <c r="Q3" s="673"/>
      <c r="R3" s="673"/>
      <c r="S3" s="671"/>
    </row>
    <row r="4" spans="1:38" s="3" customFormat="1" outlineLevel="1">
      <c r="A4" s="471" t="s">
        <v>124</v>
      </c>
      <c r="B4" s="473">
        <f>Comparison!B25</f>
        <v>138000</v>
      </c>
      <c r="C4" s="474"/>
      <c r="D4" s="473">
        <f>Comparison!E25</f>
        <v>0</v>
      </c>
      <c r="E4" s="474"/>
      <c r="F4" s="439">
        <f>B4-D4</f>
        <v>138000</v>
      </c>
      <c r="G4" s="476">
        <v>0</v>
      </c>
      <c r="H4" s="665" t="s">
        <v>991</v>
      </c>
      <c r="I4" s="666"/>
      <c r="J4" s="666"/>
      <c r="K4" s="666"/>
      <c r="L4" s="666"/>
      <c r="M4" s="666"/>
      <c r="N4" s="666"/>
      <c r="O4" s="666"/>
      <c r="P4" s="666"/>
      <c r="Q4" s="666"/>
      <c r="R4" s="666"/>
      <c r="S4" s="667"/>
      <c r="T4"/>
      <c r="U4"/>
      <c r="V4"/>
      <c r="W4"/>
      <c r="X4"/>
      <c r="Y4"/>
      <c r="Z4"/>
      <c r="AA4"/>
      <c r="AB4"/>
      <c r="AC4"/>
      <c r="AD4"/>
      <c r="AE4"/>
      <c r="AF4"/>
      <c r="AG4"/>
      <c r="AH4"/>
      <c r="AI4"/>
      <c r="AJ4"/>
      <c r="AK4"/>
      <c r="AL4"/>
    </row>
    <row r="5" spans="1:38" s="3" customFormat="1">
      <c r="A5" s="470" t="s">
        <v>146</v>
      </c>
      <c r="B5" s="439"/>
      <c r="C5" s="469">
        <f>Comparison!C29</f>
        <v>255200</v>
      </c>
      <c r="D5" s="439"/>
      <c r="E5" s="469">
        <f>Comparison!F29</f>
        <v>128000</v>
      </c>
      <c r="F5" s="468">
        <f>C5-E5</f>
        <v>127200</v>
      </c>
      <c r="G5" s="467">
        <f>Comparison!$I$29</f>
        <v>0.49843260188087773</v>
      </c>
      <c r="H5" s="665"/>
      <c r="I5" s="666"/>
      <c r="J5" s="666"/>
      <c r="K5" s="666"/>
      <c r="L5" s="666"/>
      <c r="M5" s="666"/>
      <c r="N5" s="666"/>
      <c r="O5" s="666"/>
      <c r="P5" s="666"/>
      <c r="Q5" s="666"/>
      <c r="R5" s="666"/>
      <c r="S5" s="667"/>
      <c r="T5"/>
      <c r="U5"/>
      <c r="V5"/>
      <c r="W5"/>
      <c r="X5"/>
      <c r="Y5"/>
      <c r="Z5"/>
      <c r="AA5"/>
      <c r="AB5"/>
      <c r="AC5"/>
      <c r="AD5"/>
      <c r="AE5"/>
      <c r="AF5"/>
      <c r="AG5"/>
      <c r="AH5"/>
      <c r="AI5"/>
      <c r="AJ5"/>
      <c r="AK5"/>
      <c r="AL5"/>
    </row>
    <row r="6" spans="1:38" s="3" customFormat="1" outlineLevel="1">
      <c r="A6" s="471" t="s">
        <v>203</v>
      </c>
      <c r="B6" s="472">
        <f>Comparison!B45</f>
        <v>1125300</v>
      </c>
      <c r="C6" s="474"/>
      <c r="D6" s="472">
        <f>Comparison!E45</f>
        <v>1281767.3537842105</v>
      </c>
      <c r="E6" s="474"/>
      <c r="F6" s="439">
        <f t="shared" ref="F6:F41" si="0">B6-D6</f>
        <v>-156467.35378421051</v>
      </c>
      <c r="G6" s="475">
        <f>Comparison!$I$37</f>
        <v>0</v>
      </c>
      <c r="H6" s="665" t="s">
        <v>209</v>
      </c>
      <c r="I6" s="666"/>
      <c r="J6" s="666"/>
      <c r="K6" s="666"/>
      <c r="L6" s="666"/>
      <c r="M6" s="666"/>
      <c r="N6" s="666"/>
      <c r="O6" s="666"/>
      <c r="P6" s="666"/>
      <c r="Q6" s="666"/>
      <c r="R6" s="666"/>
      <c r="S6" s="667"/>
      <c r="T6"/>
      <c r="U6"/>
      <c r="V6"/>
      <c r="W6"/>
      <c r="X6"/>
      <c r="Y6"/>
      <c r="Z6"/>
      <c r="AA6"/>
      <c r="AB6"/>
      <c r="AC6"/>
      <c r="AD6"/>
      <c r="AE6"/>
      <c r="AF6"/>
      <c r="AG6"/>
      <c r="AH6"/>
      <c r="AI6"/>
      <c r="AJ6"/>
      <c r="AK6"/>
      <c r="AL6"/>
    </row>
    <row r="7" spans="1:38" s="3" customFormat="1" outlineLevel="1">
      <c r="A7" s="471" t="s">
        <v>208</v>
      </c>
      <c r="B7" s="472">
        <f>Comparison!B46</f>
        <v>398828.10000000003</v>
      </c>
      <c r="C7" s="474"/>
      <c r="D7" s="472">
        <f>Comparison!E46</f>
        <v>430736.13602035778</v>
      </c>
      <c r="E7" s="474"/>
      <c r="F7" s="439">
        <f t="shared" si="0"/>
        <v>-31908.036020357744</v>
      </c>
      <c r="G7" s="467">
        <f>Comparison!$I$37</f>
        <v>0</v>
      </c>
      <c r="H7" s="665" t="s">
        <v>209</v>
      </c>
      <c r="I7" s="666"/>
      <c r="J7" s="666"/>
      <c r="K7" s="666"/>
      <c r="L7" s="666"/>
      <c r="M7" s="666"/>
      <c r="N7" s="666"/>
      <c r="O7" s="666"/>
      <c r="P7" s="666"/>
      <c r="Q7" s="666"/>
      <c r="R7" s="666"/>
      <c r="S7" s="667"/>
      <c r="T7"/>
      <c r="U7"/>
      <c r="V7"/>
      <c r="W7"/>
      <c r="X7"/>
      <c r="Y7"/>
      <c r="Z7"/>
      <c r="AA7"/>
      <c r="AB7"/>
      <c r="AC7"/>
      <c r="AD7"/>
      <c r="AE7"/>
      <c r="AF7"/>
      <c r="AG7"/>
      <c r="AH7"/>
      <c r="AI7"/>
      <c r="AJ7"/>
      <c r="AK7"/>
      <c r="AL7"/>
    </row>
    <row r="8" spans="1:38" s="3" customFormat="1">
      <c r="A8" s="470" t="s">
        <v>220</v>
      </c>
      <c r="B8" s="439"/>
      <c r="C8" s="469">
        <f>Comparison!C50</f>
        <v>8327162.3799999999</v>
      </c>
      <c r="D8" s="439"/>
      <c r="E8" s="469">
        <f>Comparison!F50</f>
        <v>8515537.769804569</v>
      </c>
      <c r="F8" s="468">
        <f>C8-E8</f>
        <v>-188375.38980456907</v>
      </c>
      <c r="G8" s="467">
        <f>Comparison!$I$50</f>
        <v>-2.2621798544124112E-2</v>
      </c>
      <c r="H8" s="665"/>
      <c r="I8" s="666"/>
      <c r="J8" s="666"/>
      <c r="K8" s="666"/>
      <c r="L8" s="666"/>
      <c r="M8" s="666"/>
      <c r="N8" s="666"/>
      <c r="O8" s="666"/>
      <c r="P8" s="666"/>
      <c r="Q8" s="666"/>
      <c r="R8" s="666"/>
      <c r="S8" s="667"/>
      <c r="T8"/>
      <c r="U8"/>
      <c r="V8"/>
      <c r="W8"/>
      <c r="X8"/>
      <c r="Y8"/>
      <c r="Z8"/>
      <c r="AA8"/>
      <c r="AB8"/>
      <c r="AC8"/>
      <c r="AD8"/>
      <c r="AE8"/>
      <c r="AF8"/>
      <c r="AG8"/>
      <c r="AH8"/>
      <c r="AI8"/>
      <c r="AJ8"/>
      <c r="AK8"/>
      <c r="AL8"/>
    </row>
    <row r="9" spans="1:38" s="3" customFormat="1" outlineLevel="1">
      <c r="A9" s="471" t="s">
        <v>153</v>
      </c>
      <c r="B9" s="473">
        <f>Comparison!B53</f>
        <v>1071280.2123</v>
      </c>
      <c r="C9" s="474"/>
      <c r="D9" s="473">
        <f>Comparison!E53</f>
        <v>1277484.2799999998</v>
      </c>
      <c r="E9" s="474"/>
      <c r="F9" s="439">
        <f t="shared" si="0"/>
        <v>-206204.06769999978</v>
      </c>
      <c r="G9" s="475">
        <f>Comparison!$I$53</f>
        <v>-0.19248378279786116</v>
      </c>
      <c r="H9" s="665" t="s">
        <v>967</v>
      </c>
      <c r="I9" s="666"/>
      <c r="J9" s="666"/>
      <c r="K9" s="666"/>
      <c r="L9" s="666"/>
      <c r="M9" s="666"/>
      <c r="N9" s="666"/>
      <c r="O9" s="666"/>
      <c r="P9" s="666"/>
      <c r="Q9" s="666"/>
      <c r="R9" s="666"/>
      <c r="S9" s="667"/>
      <c r="T9"/>
      <c r="U9"/>
      <c r="V9"/>
      <c r="W9"/>
      <c r="X9"/>
      <c r="Y9"/>
      <c r="Z9"/>
      <c r="AA9"/>
      <c r="AB9"/>
      <c r="AC9"/>
      <c r="AD9"/>
      <c r="AE9"/>
      <c r="AF9"/>
      <c r="AG9"/>
      <c r="AH9"/>
      <c r="AI9"/>
      <c r="AJ9"/>
      <c r="AK9"/>
      <c r="AL9"/>
    </row>
    <row r="10" spans="1:38" s="3" customFormat="1">
      <c r="A10" s="470" t="s">
        <v>267</v>
      </c>
      <c r="B10" s="439"/>
      <c r="C10" s="469">
        <f>Comparison!$C$64</f>
        <v>2157341.9422999998</v>
      </c>
      <c r="D10" s="439"/>
      <c r="E10" s="469">
        <f>Comparison!$F$64</f>
        <v>2366346.0099999998</v>
      </c>
      <c r="F10" s="468">
        <f>C10-E10</f>
        <v>-209004.06770000001</v>
      </c>
      <c r="G10" s="467">
        <f>Comparison!$I$64</f>
        <v>-9.6880361708990462E-2</v>
      </c>
      <c r="H10" s="665"/>
      <c r="I10" s="666"/>
      <c r="J10" s="666"/>
      <c r="K10" s="666"/>
      <c r="L10" s="666"/>
      <c r="M10" s="666"/>
      <c r="N10" s="666"/>
      <c r="O10" s="666"/>
      <c r="P10" s="666"/>
      <c r="Q10" s="666"/>
      <c r="R10" s="666"/>
      <c r="S10" s="667"/>
      <c r="T10"/>
      <c r="U10"/>
      <c r="V10"/>
      <c r="W10"/>
      <c r="X10"/>
      <c r="Y10"/>
      <c r="Z10"/>
      <c r="AA10"/>
      <c r="AB10"/>
      <c r="AC10"/>
      <c r="AD10"/>
      <c r="AE10"/>
      <c r="AF10"/>
      <c r="AG10"/>
      <c r="AH10"/>
      <c r="AI10"/>
      <c r="AJ10"/>
      <c r="AK10"/>
      <c r="AL10"/>
    </row>
    <row r="11" spans="1:38" s="3" customFormat="1" outlineLevel="1">
      <c r="A11" s="471" t="s">
        <v>315</v>
      </c>
      <c r="B11" s="473">
        <f>Comparison!B86</f>
        <v>842819.61111111112</v>
      </c>
      <c r="C11" s="474"/>
      <c r="D11" s="473">
        <f>Comparison!E86</f>
        <v>950639.29645654478</v>
      </c>
      <c r="E11" s="474"/>
      <c r="F11" s="439">
        <f t="shared" si="0"/>
        <v>-107819.68534543365</v>
      </c>
      <c r="G11" s="475">
        <f>Comparison!$I$69</f>
        <v>-0.1223750905141202</v>
      </c>
      <c r="H11" s="665" t="s">
        <v>969</v>
      </c>
      <c r="I11" s="666"/>
      <c r="J11" s="666"/>
      <c r="K11" s="666"/>
      <c r="L11" s="666"/>
      <c r="M11" s="666"/>
      <c r="N11" s="666"/>
      <c r="O11" s="666"/>
      <c r="P11" s="666"/>
      <c r="Q11" s="666"/>
      <c r="R11" s="666"/>
      <c r="S11" s="667"/>
      <c r="T11"/>
      <c r="U11"/>
      <c r="V11"/>
      <c r="W11"/>
      <c r="X11"/>
      <c r="Y11"/>
      <c r="Z11"/>
      <c r="AA11"/>
      <c r="AB11"/>
      <c r="AC11"/>
      <c r="AD11"/>
      <c r="AE11"/>
      <c r="AF11"/>
      <c r="AG11"/>
      <c r="AH11"/>
      <c r="AI11"/>
      <c r="AJ11"/>
      <c r="AK11"/>
      <c r="AL11"/>
    </row>
    <row r="12" spans="1:38" s="3" customFormat="1" outlineLevel="1">
      <c r="A12" s="471" t="s">
        <v>341</v>
      </c>
      <c r="B12" s="473">
        <f>Comparison!B97</f>
        <v>75000</v>
      </c>
      <c r="C12" s="474"/>
      <c r="D12" s="473">
        <f>Comparison!E97</f>
        <v>170141.72999999998</v>
      </c>
      <c r="E12" s="474"/>
      <c r="F12" s="439">
        <f t="shared" si="0"/>
        <v>-95141.729999999981</v>
      </c>
      <c r="G12" s="475">
        <f>Comparison!$I$69</f>
        <v>-0.1223750905141202</v>
      </c>
      <c r="H12" s="665" t="s">
        <v>970</v>
      </c>
      <c r="I12" s="666"/>
      <c r="J12" s="666"/>
      <c r="K12" s="666"/>
      <c r="L12" s="666"/>
      <c r="M12" s="666"/>
      <c r="N12" s="666"/>
      <c r="O12" s="666"/>
      <c r="P12" s="666"/>
      <c r="Q12" s="666"/>
      <c r="R12" s="666"/>
      <c r="S12" s="667"/>
      <c r="T12"/>
      <c r="U12"/>
      <c r="V12"/>
      <c r="W12"/>
      <c r="X12"/>
      <c r="Y12"/>
      <c r="Z12"/>
      <c r="AA12"/>
      <c r="AB12"/>
      <c r="AC12"/>
      <c r="AD12"/>
      <c r="AE12"/>
      <c r="AF12"/>
      <c r="AG12"/>
      <c r="AH12"/>
      <c r="AI12"/>
      <c r="AJ12"/>
      <c r="AK12"/>
      <c r="AL12"/>
    </row>
    <row r="13" spans="1:38" s="3" customFormat="1" outlineLevel="1">
      <c r="A13" s="471" t="s">
        <v>357</v>
      </c>
      <c r="B13" s="473">
        <f>Comparison!B103</f>
        <v>170408.37</v>
      </c>
      <c r="C13" s="474"/>
      <c r="D13" s="473">
        <f>Comparison!E103</f>
        <v>271928.25</v>
      </c>
      <c r="E13" s="474"/>
      <c r="F13" s="439">
        <f t="shared" si="0"/>
        <v>-101519.88</v>
      </c>
      <c r="G13" s="475">
        <f>Comparison!$I$69</f>
        <v>-0.1223750905141202</v>
      </c>
      <c r="H13" s="665" t="s">
        <v>971</v>
      </c>
      <c r="I13" s="666"/>
      <c r="J13" s="666"/>
      <c r="K13" s="666"/>
      <c r="L13" s="666"/>
      <c r="M13" s="666"/>
      <c r="N13" s="666"/>
      <c r="O13" s="666"/>
      <c r="P13" s="666"/>
      <c r="Q13" s="666"/>
      <c r="R13" s="666"/>
      <c r="S13" s="667"/>
      <c r="T13"/>
      <c r="U13"/>
      <c r="V13"/>
      <c r="W13"/>
      <c r="X13"/>
      <c r="Y13"/>
      <c r="Z13"/>
      <c r="AA13"/>
      <c r="AB13"/>
      <c r="AC13"/>
      <c r="AD13"/>
      <c r="AE13"/>
      <c r="AF13"/>
      <c r="AG13"/>
      <c r="AH13"/>
      <c r="AI13"/>
      <c r="AJ13"/>
      <c r="AK13"/>
      <c r="AL13"/>
    </row>
    <row r="14" spans="1:38" s="3" customFormat="1" outlineLevel="1">
      <c r="A14" s="471" t="s">
        <v>375</v>
      </c>
      <c r="B14" s="472">
        <f>Comparison!B110</f>
        <v>107683.43733026268</v>
      </c>
      <c r="C14" s="474"/>
      <c r="D14" s="472">
        <f>Comparison!E110</f>
        <v>0</v>
      </c>
      <c r="E14" s="474"/>
      <c r="F14" s="439">
        <f t="shared" si="0"/>
        <v>107683.43733026268</v>
      </c>
      <c r="G14" s="475">
        <f>Comparison!$I$141</f>
        <v>0</v>
      </c>
      <c r="H14" s="665" t="s">
        <v>972</v>
      </c>
      <c r="I14" s="666"/>
      <c r="J14" s="666"/>
      <c r="K14" s="666"/>
      <c r="L14" s="666"/>
      <c r="M14" s="666"/>
      <c r="N14" s="666"/>
      <c r="O14" s="666"/>
      <c r="P14" s="666"/>
      <c r="Q14" s="666"/>
      <c r="R14" s="666"/>
      <c r="S14" s="667"/>
      <c r="T14"/>
      <c r="U14"/>
      <c r="V14"/>
      <c r="W14"/>
      <c r="X14"/>
      <c r="Y14"/>
      <c r="Z14"/>
      <c r="AA14"/>
      <c r="AB14"/>
      <c r="AC14"/>
      <c r="AD14"/>
      <c r="AE14"/>
      <c r="AF14"/>
      <c r="AG14"/>
      <c r="AH14"/>
      <c r="AI14"/>
      <c r="AJ14"/>
      <c r="AK14"/>
      <c r="AL14"/>
    </row>
    <row r="15" spans="1:38" s="3" customFormat="1" outlineLevel="1">
      <c r="A15" s="471" t="s">
        <v>380</v>
      </c>
      <c r="B15" s="473">
        <f>Comparison!B112</f>
        <v>572862.18000000005</v>
      </c>
      <c r="C15" s="474"/>
      <c r="D15" s="473">
        <f>Comparison!E112</f>
        <v>717890.58</v>
      </c>
      <c r="E15" s="474"/>
      <c r="F15" s="439">
        <f t="shared" si="0"/>
        <v>-145028.39999999991</v>
      </c>
      <c r="G15" s="475">
        <f>Comparison!$I$144</f>
        <v>5.1782919433748256E-2</v>
      </c>
      <c r="H15" s="665" t="s">
        <v>973</v>
      </c>
      <c r="I15" s="666"/>
      <c r="J15" s="666"/>
      <c r="K15" s="666"/>
      <c r="L15" s="666"/>
      <c r="M15" s="666"/>
      <c r="N15" s="666"/>
      <c r="O15" s="666"/>
      <c r="P15" s="666"/>
      <c r="Q15" s="666"/>
      <c r="R15" s="666"/>
      <c r="S15" s="667"/>
      <c r="T15"/>
      <c r="U15"/>
      <c r="V15"/>
      <c r="W15"/>
      <c r="X15"/>
      <c r="Y15"/>
      <c r="Z15"/>
      <c r="AA15"/>
      <c r="AB15"/>
      <c r="AC15"/>
      <c r="AD15"/>
      <c r="AE15"/>
      <c r="AF15"/>
      <c r="AG15"/>
      <c r="AH15"/>
      <c r="AI15"/>
      <c r="AJ15"/>
      <c r="AK15"/>
      <c r="AL15"/>
    </row>
    <row r="16" spans="1:38" s="3" customFormat="1">
      <c r="A16" s="470" t="s">
        <v>992</v>
      </c>
      <c r="B16" s="439"/>
      <c r="C16" s="469">
        <f>Comparison!$C$148</f>
        <v>2059949</v>
      </c>
      <c r="D16" s="439"/>
      <c r="E16" s="469">
        <f>Comparison!$F$148</f>
        <v>1826689.3615999999</v>
      </c>
      <c r="F16" s="468">
        <f>C16-E16</f>
        <v>233259.63840000005</v>
      </c>
      <c r="G16" s="467">
        <f>Comparison!$I$148</f>
        <v>0.11323563758131878</v>
      </c>
      <c r="H16" s="665"/>
      <c r="I16" s="666"/>
      <c r="J16" s="666"/>
      <c r="K16" s="666"/>
      <c r="L16" s="666"/>
      <c r="M16" s="666"/>
      <c r="N16" s="666"/>
      <c r="O16" s="666"/>
      <c r="P16" s="666"/>
      <c r="Q16" s="666"/>
      <c r="R16" s="666"/>
      <c r="S16" s="667"/>
      <c r="T16"/>
      <c r="U16"/>
      <c r="V16"/>
      <c r="W16"/>
      <c r="X16"/>
      <c r="Y16"/>
      <c r="Z16"/>
      <c r="AA16"/>
      <c r="AB16"/>
      <c r="AC16"/>
      <c r="AD16"/>
      <c r="AE16"/>
      <c r="AF16"/>
      <c r="AG16"/>
      <c r="AH16"/>
      <c r="AI16"/>
      <c r="AJ16"/>
      <c r="AK16"/>
      <c r="AL16"/>
    </row>
    <row r="17" spans="1:38" s="3" customFormat="1" outlineLevel="1">
      <c r="A17" s="471" t="s">
        <v>433</v>
      </c>
      <c r="B17" s="472">
        <f>Comparison!B136</f>
        <v>1009140</v>
      </c>
      <c r="C17" s="474"/>
      <c r="D17" s="472">
        <f>Comparison!E136</f>
        <v>1220061.1500000001</v>
      </c>
      <c r="E17" s="474"/>
      <c r="F17" s="439">
        <f t="shared" si="0"/>
        <v>-210921.15000000014</v>
      </c>
      <c r="G17" s="475">
        <f>Comparison!$I$150</f>
        <v>0</v>
      </c>
      <c r="H17" s="665" t="s">
        <v>993</v>
      </c>
      <c r="I17" s="666"/>
      <c r="J17" s="666"/>
      <c r="K17" s="666"/>
      <c r="L17" s="666"/>
      <c r="M17" s="666"/>
      <c r="N17" s="666"/>
      <c r="O17" s="666"/>
      <c r="P17" s="666"/>
      <c r="Q17" s="666"/>
      <c r="R17" s="666"/>
      <c r="S17" s="667"/>
      <c r="T17"/>
      <c r="U17"/>
      <c r="V17"/>
      <c r="W17"/>
      <c r="X17"/>
      <c r="Y17"/>
      <c r="Z17"/>
      <c r="AA17"/>
      <c r="AB17"/>
      <c r="AC17"/>
      <c r="AD17"/>
      <c r="AE17"/>
      <c r="AF17"/>
      <c r="AG17"/>
      <c r="AH17"/>
      <c r="AI17"/>
      <c r="AJ17"/>
      <c r="AK17"/>
      <c r="AL17"/>
    </row>
    <row r="18" spans="1:38" s="3" customFormat="1">
      <c r="A18" s="470" t="s">
        <v>440</v>
      </c>
      <c r="B18" s="439"/>
      <c r="C18" s="469">
        <f>Comparison!$C$152</f>
        <v>907561</v>
      </c>
      <c r="D18" s="439"/>
      <c r="E18" s="469">
        <f>Comparison!$F$152</f>
        <v>953492.66666666674</v>
      </c>
      <c r="F18" s="468">
        <f>C18-E18</f>
        <v>-45931.666666666744</v>
      </c>
      <c r="G18" s="467">
        <f>Comparison!$I$152</f>
        <v>-5.0610004910597466E-2</v>
      </c>
      <c r="H18" s="665"/>
      <c r="I18" s="666"/>
      <c r="J18" s="666"/>
      <c r="K18" s="666"/>
      <c r="L18" s="666"/>
      <c r="M18" s="666"/>
      <c r="N18" s="666"/>
      <c r="O18" s="666"/>
      <c r="P18" s="666"/>
      <c r="Q18" s="666"/>
      <c r="R18" s="666"/>
      <c r="S18" s="667"/>
      <c r="T18"/>
      <c r="U18"/>
      <c r="V18"/>
      <c r="W18"/>
      <c r="X18"/>
      <c r="Y18"/>
      <c r="Z18"/>
      <c r="AA18"/>
      <c r="AB18"/>
      <c r="AC18"/>
      <c r="AD18"/>
      <c r="AE18"/>
      <c r="AF18"/>
      <c r="AG18"/>
      <c r="AH18"/>
      <c r="AI18"/>
      <c r="AJ18"/>
      <c r="AK18"/>
      <c r="AL18"/>
    </row>
    <row r="19" spans="1:38" s="3" customFormat="1" outlineLevel="1">
      <c r="A19" s="471" t="s">
        <v>453</v>
      </c>
      <c r="B19" s="472">
        <f>Comparison!B142</f>
        <v>1143813</v>
      </c>
      <c r="C19" s="474"/>
      <c r="D19" s="472">
        <f>Comparison!E142</f>
        <v>941174.00000000012</v>
      </c>
      <c r="E19" s="474"/>
      <c r="F19" s="439">
        <f t="shared" si="0"/>
        <v>202638.99999999988</v>
      </c>
      <c r="G19" s="475">
        <f>Comparison!$I$150</f>
        <v>0</v>
      </c>
      <c r="H19" s="665" t="s">
        <v>975</v>
      </c>
      <c r="I19" s="666"/>
      <c r="J19" s="666"/>
      <c r="K19" s="666"/>
      <c r="L19" s="666"/>
      <c r="M19" s="666"/>
      <c r="N19" s="666"/>
      <c r="O19" s="666"/>
      <c r="P19" s="666"/>
      <c r="Q19" s="666"/>
      <c r="R19" s="666"/>
      <c r="S19" s="667"/>
      <c r="T19"/>
      <c r="U19"/>
      <c r="V19"/>
      <c r="W19"/>
      <c r="X19"/>
      <c r="Y19"/>
      <c r="Z19"/>
      <c r="AA19"/>
      <c r="AB19"/>
      <c r="AC19"/>
      <c r="AD19"/>
      <c r="AE19"/>
      <c r="AF19"/>
      <c r="AG19"/>
      <c r="AH19"/>
      <c r="AI19"/>
      <c r="AJ19"/>
      <c r="AK19"/>
      <c r="AL19"/>
    </row>
    <row r="20" spans="1:38" s="3" customFormat="1">
      <c r="A20" s="470" t="s">
        <v>476</v>
      </c>
      <c r="B20" s="439"/>
      <c r="C20" s="469">
        <f>Comparison!C148</f>
        <v>2059949</v>
      </c>
      <c r="D20" s="439"/>
      <c r="E20" s="469">
        <f>Comparison!F148</f>
        <v>1826689.3615999999</v>
      </c>
      <c r="F20" s="468">
        <f>C20-E20</f>
        <v>233259.63840000005</v>
      </c>
      <c r="G20" s="467">
        <f>Comparison!$I$152</f>
        <v>-5.0610004910597466E-2</v>
      </c>
      <c r="H20" s="665"/>
      <c r="I20" s="666"/>
      <c r="J20" s="666"/>
      <c r="K20" s="666"/>
      <c r="L20" s="666"/>
      <c r="M20" s="666"/>
      <c r="N20" s="666"/>
      <c r="O20" s="666"/>
      <c r="P20" s="666"/>
      <c r="Q20" s="666"/>
      <c r="R20" s="666"/>
      <c r="S20" s="667"/>
      <c r="T20"/>
      <c r="U20"/>
      <c r="V20"/>
      <c r="W20"/>
      <c r="X20"/>
      <c r="Y20"/>
      <c r="Z20"/>
      <c r="AA20"/>
      <c r="AB20"/>
      <c r="AC20"/>
      <c r="AD20"/>
      <c r="AE20"/>
      <c r="AF20"/>
      <c r="AG20"/>
      <c r="AH20"/>
      <c r="AI20"/>
      <c r="AJ20"/>
      <c r="AK20"/>
      <c r="AL20"/>
    </row>
    <row r="21" spans="1:38" s="3" customFormat="1" outlineLevel="1">
      <c r="A21" s="471" t="s">
        <v>897</v>
      </c>
      <c r="B21" s="472">
        <f>Comparison!$B$155</f>
        <v>426560</v>
      </c>
      <c r="C21" s="474"/>
      <c r="D21" s="472">
        <f>Comparison!$E$155</f>
        <v>483797</v>
      </c>
      <c r="E21" s="474"/>
      <c r="F21" s="439">
        <f t="shared" si="0"/>
        <v>-57237</v>
      </c>
      <c r="G21" s="475">
        <f>Comparison!$I$155</f>
        <v>-0.13418276444111027</v>
      </c>
      <c r="H21" s="665" t="s">
        <v>976</v>
      </c>
      <c r="I21" s="666"/>
      <c r="J21" s="666"/>
      <c r="K21" s="666"/>
      <c r="L21" s="666"/>
      <c r="M21" s="666"/>
      <c r="N21" s="666"/>
      <c r="O21" s="666"/>
      <c r="P21" s="666"/>
      <c r="Q21" s="666"/>
      <c r="R21" s="666"/>
      <c r="S21" s="667"/>
      <c r="T21"/>
      <c r="U21"/>
      <c r="V21"/>
      <c r="W21"/>
      <c r="X21"/>
      <c r="Y21"/>
      <c r="Z21"/>
      <c r="AA21"/>
      <c r="AB21"/>
      <c r="AC21"/>
      <c r="AD21"/>
      <c r="AE21"/>
      <c r="AF21"/>
      <c r="AG21"/>
      <c r="AH21"/>
      <c r="AI21"/>
      <c r="AJ21"/>
      <c r="AK21"/>
      <c r="AL21"/>
    </row>
    <row r="22" spans="1:38" s="3" customFormat="1">
      <c r="A22" s="470" t="s">
        <v>496</v>
      </c>
      <c r="B22" s="439"/>
      <c r="C22" s="469">
        <f>Comparison!$C$157</f>
        <v>439560</v>
      </c>
      <c r="D22" s="439"/>
      <c r="E22" s="469">
        <f>Comparison!$F$157</f>
        <v>496797</v>
      </c>
      <c r="F22" s="468">
        <f>C22-E22</f>
        <v>-57237</v>
      </c>
      <c r="G22" s="467">
        <f>Comparison!$I$157</f>
        <v>-0.13021430521430521</v>
      </c>
      <c r="H22" s="665"/>
      <c r="I22" s="666"/>
      <c r="J22" s="666"/>
      <c r="K22" s="666"/>
      <c r="L22" s="666"/>
      <c r="M22" s="666"/>
      <c r="N22" s="666"/>
      <c r="O22" s="666"/>
      <c r="P22" s="666"/>
      <c r="Q22" s="666"/>
      <c r="R22" s="666"/>
      <c r="S22" s="667"/>
      <c r="T22"/>
      <c r="U22"/>
      <c r="V22"/>
      <c r="W22"/>
      <c r="X22"/>
      <c r="Y22"/>
      <c r="Z22"/>
      <c r="AA22"/>
      <c r="AB22"/>
      <c r="AC22"/>
      <c r="AD22"/>
      <c r="AE22"/>
      <c r="AF22"/>
      <c r="AG22"/>
      <c r="AH22"/>
      <c r="AI22"/>
      <c r="AJ22"/>
      <c r="AK22"/>
      <c r="AL22"/>
    </row>
    <row r="23" spans="1:38" s="3" customFormat="1" outlineLevel="1">
      <c r="A23" s="471" t="s">
        <v>107</v>
      </c>
      <c r="B23" s="472">
        <f>Comparison!$B$171</f>
        <v>3651772.982693885</v>
      </c>
      <c r="C23" s="474"/>
      <c r="D23" s="472">
        <f>Comparison!$E$171</f>
        <v>3846878.3099999996</v>
      </c>
      <c r="E23" s="474"/>
      <c r="F23" s="439">
        <f t="shared" si="0"/>
        <v>-195105.3273061146</v>
      </c>
      <c r="G23" s="475">
        <f>Comparison!$I$171</f>
        <v>-5.3427561962569453E-2</v>
      </c>
      <c r="H23" s="665" t="s">
        <v>977</v>
      </c>
      <c r="I23" s="666"/>
      <c r="J23" s="666"/>
      <c r="K23" s="666"/>
      <c r="L23" s="666"/>
      <c r="M23" s="666"/>
      <c r="N23" s="666"/>
      <c r="O23" s="666"/>
      <c r="P23" s="666"/>
      <c r="Q23" s="666"/>
      <c r="R23" s="666"/>
      <c r="S23" s="667"/>
      <c r="T23"/>
      <c r="U23"/>
      <c r="V23"/>
      <c r="W23"/>
      <c r="X23"/>
      <c r="Y23"/>
      <c r="Z23"/>
      <c r="AA23"/>
      <c r="AB23"/>
      <c r="AC23"/>
      <c r="AD23"/>
      <c r="AE23"/>
      <c r="AF23"/>
      <c r="AG23"/>
      <c r="AH23"/>
      <c r="AI23"/>
      <c r="AJ23"/>
      <c r="AK23"/>
      <c r="AL23"/>
    </row>
    <row r="24" spans="1:38" s="3" customFormat="1">
      <c r="A24" s="470" t="s">
        <v>561</v>
      </c>
      <c r="B24" s="439"/>
      <c r="C24" s="469">
        <f>Comparison!$C$188</f>
        <v>4194933.9826938845</v>
      </c>
      <c r="D24" s="439"/>
      <c r="E24" s="469">
        <f>Comparison!$F$188</f>
        <v>4455520.8099999996</v>
      </c>
      <c r="F24" s="468">
        <f>C24-E24</f>
        <v>-260586.82730611507</v>
      </c>
      <c r="G24" s="467">
        <f>Comparison!$I$188</f>
        <v>-6.2119410789576369E-2</v>
      </c>
      <c r="H24" s="665"/>
      <c r="I24" s="666"/>
      <c r="J24" s="666"/>
      <c r="K24" s="666"/>
      <c r="L24" s="666"/>
      <c r="M24" s="666"/>
      <c r="N24" s="666"/>
      <c r="O24" s="666"/>
      <c r="P24" s="666"/>
      <c r="Q24" s="666"/>
      <c r="R24" s="666"/>
      <c r="S24" s="667"/>
      <c r="T24"/>
      <c r="U24"/>
      <c r="V24"/>
      <c r="W24"/>
      <c r="X24"/>
      <c r="Y24"/>
      <c r="Z24"/>
      <c r="AA24"/>
      <c r="AB24"/>
      <c r="AC24"/>
      <c r="AD24"/>
      <c r="AE24"/>
      <c r="AF24"/>
      <c r="AG24"/>
      <c r="AH24"/>
      <c r="AI24"/>
      <c r="AJ24"/>
      <c r="AK24"/>
      <c r="AL24"/>
    </row>
    <row r="25" spans="1:38" s="3" customFormat="1" outlineLevel="1">
      <c r="A25" s="471" t="s">
        <v>994</v>
      </c>
      <c r="B25" s="472">
        <f>Comparison!$B$195</f>
        <v>506841.64217047312</v>
      </c>
      <c r="C25" s="474"/>
      <c r="D25" s="472">
        <f>Comparison!$E$195</f>
        <v>701583.54</v>
      </c>
      <c r="E25" s="474"/>
      <c r="F25" s="439">
        <f t="shared" si="0"/>
        <v>-194741.89782952692</v>
      </c>
      <c r="G25" s="475">
        <f>Comparison!$I$195</f>
        <v>-0.3842263177026537</v>
      </c>
      <c r="H25" s="665" t="s">
        <v>978</v>
      </c>
      <c r="I25" s="666"/>
      <c r="J25" s="666"/>
      <c r="K25" s="666"/>
      <c r="L25" s="666"/>
      <c r="M25" s="666"/>
      <c r="N25" s="666"/>
      <c r="O25" s="666"/>
      <c r="P25" s="666"/>
      <c r="Q25" s="666"/>
      <c r="R25" s="666"/>
      <c r="S25" s="667"/>
      <c r="T25"/>
      <c r="U25"/>
      <c r="V25"/>
      <c r="W25"/>
      <c r="X25"/>
      <c r="Y25"/>
      <c r="Z25"/>
      <c r="AA25"/>
      <c r="AB25"/>
      <c r="AC25"/>
      <c r="AD25"/>
      <c r="AE25"/>
      <c r="AF25"/>
      <c r="AG25"/>
      <c r="AH25"/>
      <c r="AI25"/>
      <c r="AJ25"/>
      <c r="AK25"/>
      <c r="AL25"/>
    </row>
    <row r="26" spans="1:38" s="3" customFormat="1">
      <c r="A26" s="470" t="s">
        <v>582</v>
      </c>
      <c r="B26" s="439"/>
      <c r="C26" s="469">
        <f>Comparison!$C$197</f>
        <v>848751.35645618744</v>
      </c>
      <c r="D26" s="439"/>
      <c r="E26" s="469">
        <f>Comparison!$F$197</f>
        <v>1047129.8949337261</v>
      </c>
      <c r="F26" s="468">
        <f>C26-E26</f>
        <v>-198378.53847753862</v>
      </c>
      <c r="G26" s="467">
        <f>Comparison!$I$197</f>
        <v>-0.23372986324974307</v>
      </c>
      <c r="H26" s="665"/>
      <c r="I26" s="666"/>
      <c r="J26" s="666"/>
      <c r="K26" s="666"/>
      <c r="L26" s="666"/>
      <c r="M26" s="666"/>
      <c r="N26" s="666"/>
      <c r="O26" s="666"/>
      <c r="P26" s="666"/>
      <c r="Q26" s="666"/>
      <c r="R26" s="666"/>
      <c r="S26" s="667"/>
      <c r="T26"/>
      <c r="U26"/>
      <c r="V26"/>
      <c r="W26"/>
      <c r="X26"/>
      <c r="Y26"/>
      <c r="Z26"/>
      <c r="AA26"/>
      <c r="AB26"/>
      <c r="AC26"/>
      <c r="AD26"/>
      <c r="AE26"/>
      <c r="AF26"/>
      <c r="AG26"/>
      <c r="AH26"/>
      <c r="AI26"/>
      <c r="AJ26"/>
      <c r="AK26"/>
      <c r="AL26"/>
    </row>
    <row r="27" spans="1:38" s="3" customFormat="1" outlineLevel="1">
      <c r="A27" s="471" t="s">
        <v>592</v>
      </c>
      <c r="B27" s="473">
        <f>Comparison!$B$202</f>
        <v>1067126</v>
      </c>
      <c r="C27" s="474"/>
      <c r="D27" s="473">
        <f>Comparison!$E$202</f>
        <v>1257581.3633884296</v>
      </c>
      <c r="E27" s="474"/>
      <c r="F27" s="439">
        <f t="shared" si="0"/>
        <v>-190455.36338842963</v>
      </c>
      <c r="G27" s="475">
        <f>Comparison!$I$202</f>
        <v>-0.17847504735938363</v>
      </c>
      <c r="H27" s="665" t="s">
        <v>995</v>
      </c>
      <c r="I27" s="666"/>
      <c r="J27" s="666"/>
      <c r="K27" s="666"/>
      <c r="L27" s="666"/>
      <c r="M27" s="666"/>
      <c r="N27" s="666"/>
      <c r="O27" s="666"/>
      <c r="P27" s="666"/>
      <c r="Q27" s="666"/>
      <c r="R27" s="666"/>
      <c r="S27" s="667"/>
      <c r="T27"/>
      <c r="U27"/>
      <c r="V27"/>
      <c r="W27"/>
      <c r="X27"/>
      <c r="Y27"/>
      <c r="Z27"/>
      <c r="AA27"/>
      <c r="AB27"/>
      <c r="AC27"/>
      <c r="AD27"/>
      <c r="AE27"/>
      <c r="AF27"/>
      <c r="AG27"/>
      <c r="AH27"/>
      <c r="AI27"/>
      <c r="AJ27"/>
      <c r="AK27"/>
      <c r="AL27"/>
    </row>
    <row r="28" spans="1:38" s="3" customFormat="1">
      <c r="A28" s="470" t="s">
        <v>603</v>
      </c>
      <c r="B28" s="439"/>
      <c r="C28" s="469">
        <f>Comparison!$C$207</f>
        <v>1546728</v>
      </c>
      <c r="D28" s="439"/>
      <c r="E28" s="469">
        <f>Comparison!$F$207</f>
        <v>1777422.4983884296</v>
      </c>
      <c r="F28" s="468">
        <f>C28-E28</f>
        <v>-230694.49838842964</v>
      </c>
      <c r="G28" s="467">
        <f>Comparison!$I$207</f>
        <v>-0.14915001111276813</v>
      </c>
      <c r="H28" s="665"/>
      <c r="I28" s="666"/>
      <c r="J28" s="666"/>
      <c r="K28" s="666"/>
      <c r="L28" s="666"/>
      <c r="M28" s="666"/>
      <c r="N28" s="666"/>
      <c r="O28" s="666"/>
      <c r="P28" s="666"/>
      <c r="Q28" s="666"/>
      <c r="R28" s="666"/>
      <c r="S28" s="667"/>
      <c r="T28"/>
      <c r="U28"/>
      <c r="V28"/>
      <c r="W28"/>
      <c r="X28"/>
      <c r="Y28"/>
      <c r="Z28"/>
      <c r="AA28"/>
      <c r="AB28"/>
      <c r="AC28"/>
      <c r="AD28"/>
      <c r="AE28"/>
      <c r="AF28"/>
      <c r="AG28"/>
      <c r="AH28"/>
      <c r="AI28"/>
      <c r="AJ28"/>
      <c r="AK28"/>
      <c r="AL28"/>
    </row>
    <row r="29" spans="1:38" s="3" customFormat="1" outlineLevel="1">
      <c r="A29" s="471" t="s">
        <v>612</v>
      </c>
      <c r="B29" s="472">
        <f>Comparison!$B$211</f>
        <v>670743</v>
      </c>
      <c r="C29" s="474"/>
      <c r="D29" s="472">
        <f>Comparison!$E$211</f>
        <v>601630.92999999993</v>
      </c>
      <c r="E29" s="474"/>
      <c r="F29" s="439">
        <f t="shared" si="0"/>
        <v>69112.070000000065</v>
      </c>
      <c r="G29" s="475">
        <f>Comparison!$I$211</f>
        <v>0.1030380786679847</v>
      </c>
      <c r="H29" s="665" t="s">
        <v>996</v>
      </c>
      <c r="I29" s="666"/>
      <c r="J29" s="666"/>
      <c r="K29" s="666"/>
      <c r="L29" s="666"/>
      <c r="M29" s="666"/>
      <c r="N29" s="666"/>
      <c r="O29" s="666"/>
      <c r="P29" s="666"/>
      <c r="Q29" s="666"/>
      <c r="R29" s="666"/>
      <c r="S29" s="667"/>
      <c r="T29"/>
      <c r="U29"/>
      <c r="V29"/>
      <c r="W29"/>
      <c r="X29"/>
      <c r="Y29"/>
      <c r="Z29"/>
      <c r="AA29"/>
      <c r="AB29"/>
      <c r="AC29"/>
      <c r="AD29"/>
      <c r="AE29"/>
      <c r="AF29"/>
      <c r="AG29"/>
      <c r="AH29"/>
      <c r="AI29"/>
      <c r="AJ29"/>
      <c r="AK29"/>
      <c r="AL29"/>
    </row>
    <row r="30" spans="1:38" s="3" customFormat="1" outlineLevel="1">
      <c r="A30" s="471" t="s">
        <v>634</v>
      </c>
      <c r="B30" s="472">
        <f>Comparison!$B$221</f>
        <v>91085</v>
      </c>
      <c r="C30" s="474"/>
      <c r="D30" s="472">
        <f>Comparison!$E$221</f>
        <v>164035.4</v>
      </c>
      <c r="E30" s="474"/>
      <c r="F30" s="439">
        <f t="shared" si="0"/>
        <v>-72950.399999999994</v>
      </c>
      <c r="G30" s="475">
        <f>Comparison!$I$221</f>
        <v>-0.80090464950321127</v>
      </c>
      <c r="H30" s="665" t="s">
        <v>996</v>
      </c>
      <c r="I30" s="666"/>
      <c r="J30" s="666"/>
      <c r="K30" s="666"/>
      <c r="L30" s="666"/>
      <c r="M30" s="666"/>
      <c r="N30" s="666"/>
      <c r="O30" s="666"/>
      <c r="P30" s="666"/>
      <c r="Q30" s="666"/>
      <c r="R30" s="666"/>
      <c r="S30" s="667"/>
      <c r="T30"/>
      <c r="U30"/>
      <c r="V30"/>
      <c r="W30"/>
      <c r="X30"/>
      <c r="Y30"/>
      <c r="Z30"/>
      <c r="AA30"/>
      <c r="AB30"/>
      <c r="AC30"/>
      <c r="AD30"/>
      <c r="AE30"/>
      <c r="AF30"/>
      <c r="AG30"/>
      <c r="AH30"/>
      <c r="AI30"/>
      <c r="AJ30"/>
      <c r="AK30"/>
      <c r="AL30"/>
    </row>
    <row r="31" spans="1:38" s="3" customFormat="1" outlineLevel="1">
      <c r="A31" s="471" t="s">
        <v>997</v>
      </c>
      <c r="B31" s="472">
        <f>Comparison!$B$232</f>
        <v>376743</v>
      </c>
      <c r="C31" s="474"/>
      <c r="D31" s="472">
        <f>Comparison!$E$232</f>
        <v>493481.67499999999</v>
      </c>
      <c r="E31" s="474"/>
      <c r="F31" s="439">
        <f t="shared" si="0"/>
        <v>-116738.67499999999</v>
      </c>
      <c r="G31" s="475">
        <f>Comparison!$I$232</f>
        <v>-0.30986289061774203</v>
      </c>
      <c r="H31" s="665" t="s">
        <v>996</v>
      </c>
      <c r="I31" s="666"/>
      <c r="J31" s="666"/>
      <c r="K31" s="666"/>
      <c r="L31" s="666"/>
      <c r="M31" s="666"/>
      <c r="N31" s="666"/>
      <c r="O31" s="666"/>
      <c r="P31" s="666"/>
      <c r="Q31" s="666"/>
      <c r="R31" s="666"/>
      <c r="S31" s="667"/>
      <c r="T31"/>
      <c r="U31"/>
      <c r="V31"/>
      <c r="W31"/>
      <c r="X31"/>
      <c r="Y31"/>
      <c r="Z31"/>
      <c r="AA31"/>
      <c r="AB31"/>
      <c r="AC31"/>
      <c r="AD31"/>
      <c r="AE31"/>
      <c r="AF31"/>
      <c r="AG31"/>
      <c r="AH31"/>
      <c r="AI31"/>
      <c r="AJ31"/>
      <c r="AK31"/>
      <c r="AL31"/>
    </row>
    <row r="32" spans="1:38" s="3" customFormat="1" outlineLevel="1">
      <c r="A32" s="471" t="s">
        <v>998</v>
      </c>
      <c r="B32" s="472">
        <f>Comparison!$B$234</f>
        <v>331457</v>
      </c>
      <c r="C32" s="474"/>
      <c r="D32" s="472">
        <f>Comparison!$E$234</f>
        <v>303105.8</v>
      </c>
      <c r="E32" s="474"/>
      <c r="F32" s="439">
        <f t="shared" si="0"/>
        <v>28351.200000000012</v>
      </c>
      <c r="G32" s="475">
        <f>Comparison!$I$234</f>
        <v>8.5535076948141123E-2</v>
      </c>
      <c r="H32" s="665" t="s">
        <v>996</v>
      </c>
      <c r="I32" s="666"/>
      <c r="J32" s="666"/>
      <c r="K32" s="666"/>
      <c r="L32" s="666"/>
      <c r="M32" s="666"/>
      <c r="N32" s="666"/>
      <c r="O32" s="666"/>
      <c r="P32" s="666"/>
      <c r="Q32" s="666"/>
      <c r="R32" s="666"/>
      <c r="S32" s="667"/>
      <c r="T32"/>
      <c r="U32"/>
      <c r="V32"/>
      <c r="W32"/>
      <c r="X32"/>
      <c r="Y32"/>
      <c r="Z32"/>
      <c r="AA32"/>
      <c r="AB32"/>
      <c r="AC32"/>
      <c r="AD32"/>
      <c r="AE32"/>
      <c r="AF32"/>
      <c r="AG32"/>
      <c r="AH32"/>
      <c r="AI32"/>
      <c r="AJ32"/>
      <c r="AK32"/>
      <c r="AL32"/>
    </row>
    <row r="33" spans="1:38" s="3" customFormat="1" outlineLevel="1">
      <c r="A33" s="471" t="s">
        <v>210</v>
      </c>
      <c r="B33" s="472">
        <f>Comparison!$B$237</f>
        <v>3976294.82</v>
      </c>
      <c r="C33" s="474"/>
      <c r="D33" s="472">
        <f>Comparison!$E$237</f>
        <v>2847338.28</v>
      </c>
      <c r="E33" s="474"/>
      <c r="F33" s="439">
        <f t="shared" si="0"/>
        <v>1128956.54</v>
      </c>
      <c r="G33" s="475">
        <f>Comparison!$I$237</f>
        <v>0.28392173898212109</v>
      </c>
      <c r="H33" s="665" t="s">
        <v>981</v>
      </c>
      <c r="I33" s="666"/>
      <c r="J33" s="666"/>
      <c r="K33" s="666"/>
      <c r="L33" s="666"/>
      <c r="M33" s="666"/>
      <c r="N33" s="666"/>
      <c r="O33" s="666"/>
      <c r="P33" s="666"/>
      <c r="Q33" s="666"/>
      <c r="R33" s="666"/>
      <c r="S33" s="667"/>
      <c r="T33"/>
      <c r="U33"/>
      <c r="V33"/>
      <c r="W33"/>
      <c r="X33"/>
      <c r="Y33"/>
      <c r="Z33"/>
      <c r="AA33"/>
      <c r="AB33"/>
      <c r="AC33"/>
      <c r="AD33"/>
      <c r="AE33"/>
      <c r="AF33"/>
      <c r="AG33"/>
      <c r="AH33"/>
      <c r="AI33"/>
      <c r="AJ33"/>
      <c r="AK33"/>
      <c r="AL33"/>
    </row>
    <row r="34" spans="1:38" s="3" customFormat="1" outlineLevel="1">
      <c r="A34" s="471" t="s">
        <v>674</v>
      </c>
      <c r="B34" s="472">
        <f>Comparison!$B$241</f>
        <v>413660</v>
      </c>
      <c r="C34" s="474"/>
      <c r="D34" s="472">
        <f>Comparison!$E$241</f>
        <v>341251.0625</v>
      </c>
      <c r="E34" s="474"/>
      <c r="F34" s="439">
        <f t="shared" si="0"/>
        <v>72408.9375</v>
      </c>
      <c r="G34" s="475">
        <f>(B34-D34)/B34</f>
        <v>0.17504457162887396</v>
      </c>
      <c r="H34" s="665" t="s">
        <v>982</v>
      </c>
      <c r="I34" s="666"/>
      <c r="J34" s="666"/>
      <c r="K34" s="666"/>
      <c r="L34" s="666"/>
      <c r="M34" s="666"/>
      <c r="N34" s="666"/>
      <c r="O34" s="666"/>
      <c r="P34" s="666"/>
      <c r="Q34" s="666"/>
      <c r="R34" s="666"/>
      <c r="S34" s="667"/>
      <c r="T34"/>
      <c r="U34"/>
      <c r="V34"/>
      <c r="W34"/>
      <c r="X34"/>
      <c r="Y34"/>
      <c r="Z34"/>
      <c r="AA34"/>
      <c r="AB34"/>
      <c r="AC34"/>
      <c r="AD34"/>
      <c r="AE34"/>
      <c r="AF34"/>
      <c r="AG34"/>
      <c r="AH34"/>
      <c r="AI34"/>
      <c r="AJ34"/>
      <c r="AK34"/>
      <c r="AL34"/>
    </row>
    <row r="35" spans="1:38" s="3" customFormat="1">
      <c r="A35" s="470" t="s">
        <v>679</v>
      </c>
      <c r="B35" s="439"/>
      <c r="C35" s="469">
        <f>Comparison!$C$245</f>
        <v>6907826.5700000003</v>
      </c>
      <c r="D35" s="439"/>
      <c r="E35" s="469">
        <f>Comparison!$F$245</f>
        <v>5896648.9249999989</v>
      </c>
      <c r="F35" s="468">
        <f>C35-E35</f>
        <v>1011177.6450000014</v>
      </c>
      <c r="G35" s="467">
        <f>Comparison!$I$245</f>
        <v>0.14638144642939427</v>
      </c>
      <c r="H35" s="665"/>
      <c r="I35" s="666"/>
      <c r="J35" s="666"/>
      <c r="K35" s="666"/>
      <c r="L35" s="666"/>
      <c r="M35" s="666"/>
      <c r="N35" s="666"/>
      <c r="O35" s="666"/>
      <c r="P35" s="666"/>
      <c r="Q35" s="666"/>
      <c r="R35" s="666"/>
      <c r="S35" s="667"/>
      <c r="T35"/>
      <c r="U35"/>
      <c r="V35"/>
      <c r="W35"/>
      <c r="X35"/>
      <c r="Y35"/>
      <c r="Z35"/>
      <c r="AA35"/>
      <c r="AB35"/>
      <c r="AC35"/>
      <c r="AD35"/>
      <c r="AE35"/>
      <c r="AF35"/>
      <c r="AG35"/>
      <c r="AH35"/>
      <c r="AI35"/>
      <c r="AJ35"/>
      <c r="AK35"/>
      <c r="AL35"/>
    </row>
    <row r="36" spans="1:38" s="3" customFormat="1" outlineLevel="1">
      <c r="A36" s="471" t="s">
        <v>686</v>
      </c>
      <c r="B36" s="472">
        <f>Comparison!$B$249</f>
        <v>823398</v>
      </c>
      <c r="C36" s="474"/>
      <c r="D36" s="472">
        <f>Comparison!$E$249</f>
        <v>516087</v>
      </c>
      <c r="E36" s="474"/>
      <c r="F36" s="439">
        <f t="shared" si="0"/>
        <v>307311</v>
      </c>
      <c r="G36" s="475">
        <f>Comparison!$I$249</f>
        <v>0.37322291285623721</v>
      </c>
      <c r="H36" s="665" t="s">
        <v>999</v>
      </c>
      <c r="I36" s="666"/>
      <c r="J36" s="666"/>
      <c r="K36" s="666"/>
      <c r="L36" s="666"/>
      <c r="M36" s="666"/>
      <c r="N36" s="666"/>
      <c r="O36" s="666"/>
      <c r="P36" s="666"/>
      <c r="Q36" s="666"/>
      <c r="R36" s="666"/>
      <c r="S36" s="667"/>
      <c r="T36"/>
      <c r="U36"/>
      <c r="V36"/>
      <c r="W36"/>
      <c r="X36"/>
      <c r="Y36"/>
      <c r="Z36"/>
      <c r="AA36"/>
      <c r="AB36"/>
      <c r="AC36"/>
      <c r="AD36"/>
      <c r="AE36"/>
      <c r="AF36"/>
      <c r="AG36"/>
      <c r="AH36"/>
      <c r="AI36"/>
      <c r="AJ36"/>
      <c r="AK36"/>
      <c r="AL36"/>
    </row>
    <row r="37" spans="1:38" s="3" customFormat="1" outlineLevel="1">
      <c r="A37" s="471" t="s">
        <v>694</v>
      </c>
      <c r="B37" s="472">
        <f>Comparison!$B$253</f>
        <v>452076</v>
      </c>
      <c r="C37" s="474"/>
      <c r="D37" s="472">
        <f>Comparison!$E$253</f>
        <v>350575.2</v>
      </c>
      <c r="E37" s="474"/>
      <c r="F37" s="439">
        <f t="shared" si="0"/>
        <v>101500.79999999999</v>
      </c>
      <c r="G37" s="475">
        <f>Comparison!$I$253</f>
        <v>0.22452154062591242</v>
      </c>
      <c r="H37" s="665" t="s">
        <v>1000</v>
      </c>
      <c r="I37" s="666"/>
      <c r="J37" s="666"/>
      <c r="K37" s="666"/>
      <c r="L37" s="666"/>
      <c r="M37" s="666"/>
      <c r="N37" s="666"/>
      <c r="O37" s="666"/>
      <c r="P37" s="666"/>
      <c r="Q37" s="666"/>
      <c r="R37" s="666"/>
      <c r="S37" s="667"/>
      <c r="T37"/>
      <c r="U37"/>
      <c r="V37"/>
      <c r="W37"/>
      <c r="X37"/>
      <c r="Y37"/>
      <c r="Z37"/>
      <c r="AA37"/>
      <c r="AB37"/>
      <c r="AC37"/>
      <c r="AD37"/>
      <c r="AE37"/>
      <c r="AF37"/>
      <c r="AG37"/>
      <c r="AH37"/>
      <c r="AI37"/>
      <c r="AJ37"/>
      <c r="AK37"/>
      <c r="AL37"/>
    </row>
    <row r="38" spans="1:38" s="3" customFormat="1" outlineLevel="1">
      <c r="A38" s="471" t="s">
        <v>704</v>
      </c>
      <c r="B38" s="472">
        <f>Comparison!$B$258</f>
        <v>345550</v>
      </c>
      <c r="C38" s="474"/>
      <c r="D38" s="472">
        <f>Comparison!$E$258</f>
        <v>387993.65</v>
      </c>
      <c r="E38" s="474"/>
      <c r="F38" s="439">
        <f t="shared" si="0"/>
        <v>-42443.650000000023</v>
      </c>
      <c r="G38" s="475">
        <f>Comparison!$I$258</f>
        <v>-0.12282925770510787</v>
      </c>
      <c r="H38" s="665" t="s">
        <v>1001</v>
      </c>
      <c r="I38" s="666"/>
      <c r="J38" s="666"/>
      <c r="K38" s="666"/>
      <c r="L38" s="666"/>
      <c r="M38" s="666"/>
      <c r="N38" s="666"/>
      <c r="O38" s="666"/>
      <c r="P38" s="666"/>
      <c r="Q38" s="666"/>
      <c r="R38" s="666"/>
      <c r="S38" s="667"/>
      <c r="T38"/>
      <c r="U38"/>
      <c r="V38"/>
      <c r="W38"/>
      <c r="X38"/>
      <c r="Y38"/>
      <c r="Z38"/>
      <c r="AA38"/>
      <c r="AB38"/>
      <c r="AC38"/>
      <c r="AD38"/>
      <c r="AE38"/>
      <c r="AF38"/>
      <c r="AG38"/>
      <c r="AH38"/>
      <c r="AI38"/>
      <c r="AJ38"/>
      <c r="AK38"/>
      <c r="AL38"/>
    </row>
    <row r="39" spans="1:38" s="3" customFormat="1" outlineLevel="1">
      <c r="A39" s="471" t="s">
        <v>705</v>
      </c>
      <c r="B39" s="472">
        <f>Comparison!$B$259</f>
        <v>75000</v>
      </c>
      <c r="C39" s="474"/>
      <c r="D39" s="472">
        <f>Comparison!$E$259</f>
        <v>91720</v>
      </c>
      <c r="E39" s="474"/>
      <c r="F39" s="439">
        <f t="shared" si="0"/>
        <v>-16720</v>
      </c>
      <c r="G39" s="475">
        <f>Comparison!$I$259</f>
        <v>-0.22293333333333334</v>
      </c>
      <c r="H39" s="665" t="s">
        <v>1001</v>
      </c>
      <c r="I39" s="666"/>
      <c r="J39" s="666"/>
      <c r="K39" s="666"/>
      <c r="L39" s="666"/>
      <c r="M39" s="666"/>
      <c r="N39" s="666"/>
      <c r="O39" s="666"/>
      <c r="P39" s="666"/>
      <c r="Q39" s="666"/>
      <c r="R39" s="666"/>
      <c r="S39" s="667"/>
      <c r="T39"/>
      <c r="U39"/>
      <c r="V39"/>
      <c r="W39"/>
      <c r="X39"/>
      <c r="Y39"/>
      <c r="Z39"/>
      <c r="AA39"/>
      <c r="AB39"/>
      <c r="AC39"/>
      <c r="AD39"/>
      <c r="AE39"/>
      <c r="AF39"/>
      <c r="AG39"/>
      <c r="AH39"/>
      <c r="AI39"/>
      <c r="AJ39"/>
      <c r="AK39"/>
      <c r="AL39"/>
    </row>
    <row r="40" spans="1:38" s="3" customFormat="1">
      <c r="A40" s="470" t="s">
        <v>708</v>
      </c>
      <c r="B40" s="439"/>
      <c r="C40" s="469">
        <f>Comparison!$C$262</f>
        <v>3305385</v>
      </c>
      <c r="D40" s="439"/>
      <c r="E40" s="469">
        <f>Comparison!$F$262</f>
        <v>2941601.83</v>
      </c>
      <c r="F40" s="468">
        <f>C40-E40</f>
        <v>363783.16999999993</v>
      </c>
      <c r="G40" s="467">
        <f>Comparison!$I$262</f>
        <v>0.11005773003749938</v>
      </c>
      <c r="H40" s="665"/>
      <c r="I40" s="666"/>
      <c r="J40" s="666"/>
      <c r="K40" s="666"/>
      <c r="L40" s="666"/>
      <c r="M40" s="666"/>
      <c r="N40" s="666"/>
      <c r="O40" s="666"/>
      <c r="P40" s="666"/>
      <c r="Q40" s="666"/>
      <c r="R40" s="666"/>
      <c r="S40" s="667"/>
      <c r="T40"/>
      <c r="U40"/>
      <c r="V40"/>
      <c r="W40"/>
      <c r="X40"/>
      <c r="Y40"/>
      <c r="Z40"/>
      <c r="AA40"/>
      <c r="AB40"/>
      <c r="AC40"/>
      <c r="AD40"/>
      <c r="AE40"/>
      <c r="AF40"/>
      <c r="AG40"/>
      <c r="AH40"/>
      <c r="AI40"/>
      <c r="AJ40"/>
      <c r="AK40"/>
      <c r="AL40"/>
    </row>
    <row r="41" spans="1:38" s="3" customFormat="1" outlineLevel="1">
      <c r="A41" s="471" t="s">
        <v>219</v>
      </c>
      <c r="B41" s="472">
        <f>Comparison!$B$294</f>
        <v>1500000</v>
      </c>
      <c r="C41" s="474"/>
      <c r="D41" s="472">
        <f>Comparison!$E$294</f>
        <v>1200000</v>
      </c>
      <c r="E41" s="474"/>
      <c r="F41" s="439">
        <f t="shared" si="0"/>
        <v>300000</v>
      </c>
      <c r="G41" s="475">
        <f>Comparison!$I$294</f>
        <v>0.2</v>
      </c>
      <c r="H41" s="665" t="s">
        <v>1002</v>
      </c>
      <c r="I41" s="666"/>
      <c r="J41" s="666"/>
      <c r="K41" s="666"/>
      <c r="L41" s="666"/>
      <c r="M41" s="666"/>
      <c r="N41" s="666"/>
      <c r="O41" s="666"/>
      <c r="P41" s="666"/>
      <c r="Q41" s="666"/>
      <c r="R41" s="666"/>
      <c r="S41" s="667"/>
      <c r="T41"/>
      <c r="U41"/>
      <c r="V41"/>
      <c r="W41"/>
      <c r="X41"/>
      <c r="Y41"/>
      <c r="Z41"/>
      <c r="AA41"/>
      <c r="AB41"/>
      <c r="AC41"/>
      <c r="AD41"/>
      <c r="AE41"/>
      <c r="AF41"/>
      <c r="AG41"/>
      <c r="AH41"/>
      <c r="AI41"/>
      <c r="AJ41"/>
      <c r="AK41"/>
      <c r="AL41"/>
    </row>
    <row r="42" spans="1:38" s="3" customFormat="1" ht="15.75" thickBot="1">
      <c r="A42" s="470" t="s">
        <v>781</v>
      </c>
      <c r="B42" s="439"/>
      <c r="C42" s="469">
        <f>Comparison!$C$299</f>
        <v>1972848</v>
      </c>
      <c r="D42" s="439"/>
      <c r="E42" s="469">
        <f>Comparison!$F$299</f>
        <v>1681753.162</v>
      </c>
      <c r="F42" s="468">
        <f>C42-E42</f>
        <v>291094.83799999999</v>
      </c>
      <c r="G42" s="467">
        <f>Comparison!$I$299</f>
        <v>0.14755056547691459</v>
      </c>
      <c r="H42" s="665"/>
      <c r="I42" s="666"/>
      <c r="J42" s="666"/>
      <c r="K42" s="666"/>
      <c r="L42" s="666"/>
      <c r="M42" s="666"/>
      <c r="N42" s="666"/>
      <c r="O42" s="666"/>
      <c r="P42" s="666"/>
      <c r="Q42" s="666"/>
      <c r="R42" s="666"/>
      <c r="S42" s="667"/>
      <c r="T42"/>
      <c r="U42"/>
      <c r="V42"/>
      <c r="W42"/>
      <c r="X42"/>
      <c r="Y42"/>
      <c r="Z42"/>
      <c r="AA42"/>
      <c r="AB42"/>
      <c r="AC42"/>
      <c r="AD42"/>
      <c r="AE42"/>
      <c r="AF42"/>
      <c r="AG42"/>
      <c r="AH42"/>
      <c r="AI42"/>
      <c r="AJ42"/>
      <c r="AK42"/>
      <c r="AL42"/>
    </row>
    <row r="43" spans="1:38" s="3" customFormat="1" ht="15.75" thickBot="1">
      <c r="A43" s="466" t="s">
        <v>802</v>
      </c>
      <c r="B43" s="464"/>
      <c r="C43" s="465">
        <f>Comparison!$C$312</f>
        <v>68871987.739389986</v>
      </c>
      <c r="D43" s="464"/>
      <c r="E43" s="465">
        <f>Comparison!$F$312</f>
        <v>68767993.966582954</v>
      </c>
      <c r="F43" s="485">
        <f>C43-E43</f>
        <v>103993.77280703187</v>
      </c>
      <c r="G43" s="463">
        <f>Comparison!$I$312</f>
        <v>1.5099574764785636E-3</v>
      </c>
      <c r="H43" s="668"/>
      <c r="I43" s="668"/>
      <c r="J43" s="668"/>
      <c r="K43" s="668"/>
      <c r="L43" s="668"/>
      <c r="M43" s="668"/>
      <c r="N43" s="668"/>
      <c r="O43" s="668"/>
      <c r="P43" s="668"/>
      <c r="Q43" s="668"/>
      <c r="R43" s="668"/>
      <c r="S43" s="669"/>
      <c r="T43"/>
      <c r="U43"/>
      <c r="V43"/>
      <c r="W43"/>
      <c r="X43"/>
      <c r="Y43"/>
      <c r="Z43"/>
      <c r="AA43"/>
      <c r="AB43"/>
      <c r="AC43"/>
      <c r="AD43"/>
      <c r="AE43"/>
      <c r="AF43"/>
      <c r="AG43"/>
      <c r="AH43"/>
      <c r="AI43"/>
      <c r="AJ43"/>
      <c r="AK43"/>
      <c r="AL43"/>
    </row>
  </sheetData>
  <mergeCells count="44">
    <mergeCell ref="H41:S41"/>
    <mergeCell ref="H10:S10"/>
    <mergeCell ref="B3:C3"/>
    <mergeCell ref="D3:E3"/>
    <mergeCell ref="F3:G3"/>
    <mergeCell ref="H3:S3"/>
    <mergeCell ref="H4:S4"/>
    <mergeCell ref="H6:S6"/>
    <mergeCell ref="H9:S9"/>
    <mergeCell ref="H5:S5"/>
    <mergeCell ref="H8:S8"/>
    <mergeCell ref="H7:S7"/>
    <mergeCell ref="H23:S23"/>
    <mergeCell ref="H30:S30"/>
    <mergeCell ref="H31:S31"/>
    <mergeCell ref="H33:S33"/>
    <mergeCell ref="H43:S43"/>
    <mergeCell ref="H42:S42"/>
    <mergeCell ref="H40:S40"/>
    <mergeCell ref="H28:S28"/>
    <mergeCell ref="H24:S24"/>
    <mergeCell ref="H26:S26"/>
    <mergeCell ref="H29:S29"/>
    <mergeCell ref="H27:S27"/>
    <mergeCell ref="H35:S35"/>
    <mergeCell ref="H25:S25"/>
    <mergeCell ref="H37:S37"/>
    <mergeCell ref="H38:S38"/>
    <mergeCell ref="H39:S39"/>
    <mergeCell ref="H32:S32"/>
    <mergeCell ref="H34:S34"/>
    <mergeCell ref="H36:S36"/>
    <mergeCell ref="H21:S21"/>
    <mergeCell ref="H22:S22"/>
    <mergeCell ref="H11:S11"/>
    <mergeCell ref="H17:S17"/>
    <mergeCell ref="H13:S13"/>
    <mergeCell ref="H18:S18"/>
    <mergeCell ref="H12:S12"/>
    <mergeCell ref="H16:S16"/>
    <mergeCell ref="H15:S15"/>
    <mergeCell ref="H14:S14"/>
    <mergeCell ref="H19:S19"/>
    <mergeCell ref="H20:S20"/>
  </mergeCells>
  <conditionalFormatting sqref="A26:B40">
    <cfRule type="expression" dxfId="122" priority="25">
      <formula>MOD(ROW(),2)</formula>
    </cfRule>
  </conditionalFormatting>
  <conditionalFormatting sqref="A4:G18">
    <cfRule type="expression" dxfId="121" priority="16">
      <formula>MOD(ROW(),2)</formula>
    </cfRule>
  </conditionalFormatting>
  <conditionalFormatting sqref="B3">
    <cfRule type="expression" dxfId="120" priority="21">
      <formula>MOD(ROW(),2)</formula>
    </cfRule>
  </conditionalFormatting>
  <conditionalFormatting sqref="D3">
    <cfRule type="expression" dxfId="119" priority="20">
      <formula>MOD(ROW(),2)</formula>
    </cfRule>
  </conditionalFormatting>
  <conditionalFormatting sqref="F3">
    <cfRule type="expression" dxfId="118" priority="19">
      <formula>MOD(ROW(),2)</formula>
    </cfRule>
  </conditionalFormatting>
  <conditionalFormatting sqref="H3:H18 A19:H20 A21:C24 D21:H40 A25 B25:B26 C25:C40 A41 C41:E41 B41:B42 F41:H42 A42:E42 A43:H43">
    <cfRule type="expression" dxfId="117" priority="28">
      <formula>MOD(ROW(),2)</formula>
    </cfRule>
  </conditionalFormatting>
  <pageMargins left="0.45" right="0.45" top="1" bottom="0.75" header="0.55000000000000004" footer="0.3"/>
  <pageSetup scale="62" orientation="landscape" horizontalDpi="1200" verticalDpi="1200" r:id="rId1"/>
  <headerFooter>
    <oddHeader>&amp;R&amp;G</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3BA-F5E7-4771-AA32-9CE4461058B9}">
  <sheetPr>
    <pageSetUpPr fitToPage="1"/>
  </sheetPr>
  <dimension ref="A1:Q33"/>
  <sheetViews>
    <sheetView showGridLines="0" zoomScale="85" zoomScaleNormal="85" workbookViewId="0">
      <selection activeCell="O8" sqref="O8"/>
    </sheetView>
  </sheetViews>
  <sheetFormatPr defaultColWidth="9.140625" defaultRowHeight="15"/>
  <cols>
    <col min="1" max="1" width="34.140625" style="247" bestFit="1" customWidth="1"/>
    <col min="2" max="2" width="5.85546875" style="247" customWidth="1"/>
    <col min="3" max="3" width="13.5703125" style="247" customWidth="1"/>
    <col min="4" max="4" width="17.140625" style="248" customWidth="1"/>
    <col min="5" max="5" width="10" style="248" customWidth="1"/>
    <col min="6" max="6" width="11.140625" style="248" customWidth="1"/>
    <col min="7" max="7" width="4.7109375" style="247" customWidth="1"/>
    <col min="8" max="8" width="16.5703125" style="247" bestFit="1" customWidth="1"/>
    <col min="9" max="9" width="11.85546875" style="247" customWidth="1"/>
    <col min="10" max="13" width="11.85546875" style="248" customWidth="1"/>
    <col min="14" max="14" width="1.42578125" style="248" customWidth="1"/>
    <col min="15" max="15" width="63.7109375" style="247" bestFit="1" customWidth="1"/>
    <col min="16" max="16" width="4" style="247" customWidth="1"/>
    <col min="17" max="17" width="34.140625" style="248" bestFit="1" customWidth="1"/>
    <col min="18" max="16384" width="9.140625" style="247"/>
  </cols>
  <sheetData>
    <row r="1" spans="1:17" ht="21.75" customHeight="1" thickBot="1">
      <c r="H1" s="249"/>
      <c r="I1" s="249" t="s">
        <v>1003</v>
      </c>
      <c r="J1" s="249"/>
      <c r="K1" s="249"/>
      <c r="L1" s="249"/>
      <c r="M1" s="249"/>
    </row>
    <row r="2" spans="1:17" s="250" customFormat="1" ht="45.75" thickBot="1">
      <c r="B2" s="251"/>
      <c r="C2" s="251" t="s">
        <v>1004</v>
      </c>
      <c r="D2" s="252"/>
      <c r="E2" s="252"/>
      <c r="F2" s="251"/>
      <c r="H2" s="653" t="s">
        <v>1005</v>
      </c>
      <c r="I2" s="253" t="s">
        <v>184</v>
      </c>
      <c r="J2" s="253" t="s">
        <v>1006</v>
      </c>
      <c r="K2" s="253" t="s">
        <v>343</v>
      </c>
      <c r="L2" s="253" t="s">
        <v>486</v>
      </c>
      <c r="M2" s="253" t="s">
        <v>329</v>
      </c>
      <c r="N2" s="248"/>
      <c r="Q2" s="254"/>
    </row>
    <row r="3" spans="1:17" s="250" customFormat="1" ht="21" customHeight="1">
      <c r="A3" s="255" t="s">
        <v>131</v>
      </c>
      <c r="D3" s="254"/>
      <c r="E3" s="254" t="s">
        <v>436</v>
      </c>
      <c r="F3" s="254">
        <f>'LEVEL 2'!N9</f>
        <v>363</v>
      </c>
      <c r="H3" s="254">
        <v>380</v>
      </c>
      <c r="I3" s="254">
        <v>194</v>
      </c>
      <c r="J3" s="254">
        <v>50</v>
      </c>
      <c r="K3" s="254">
        <v>190</v>
      </c>
      <c r="L3" s="254">
        <v>276</v>
      </c>
      <c r="M3" s="254">
        <v>195</v>
      </c>
      <c r="N3" s="248"/>
      <c r="Q3" s="254"/>
    </row>
    <row r="4" spans="1:17" s="250" customFormat="1" ht="21" customHeight="1">
      <c r="A4" s="452" t="s">
        <v>82</v>
      </c>
      <c r="B4" s="256"/>
      <c r="C4" s="257"/>
      <c r="D4" s="258"/>
      <c r="E4" s="254" t="s">
        <v>918</v>
      </c>
      <c r="F4" s="259">
        <f>'LEVEL 2'!B8</f>
        <v>362571</v>
      </c>
      <c r="H4" s="259">
        <v>422635</v>
      </c>
      <c r="I4" s="259">
        <v>196289</v>
      </c>
      <c r="J4" s="259">
        <v>34388</v>
      </c>
      <c r="K4" s="259">
        <v>188825</v>
      </c>
      <c r="L4" s="260">
        <v>258464</v>
      </c>
      <c r="M4" s="259">
        <v>184108</v>
      </c>
      <c r="N4" s="248"/>
      <c r="Q4" s="254"/>
    </row>
    <row r="5" spans="1:17" s="250" customFormat="1" ht="21" customHeight="1">
      <c r="A5" s="250" t="s">
        <v>1007</v>
      </c>
      <c r="B5" s="256"/>
      <c r="C5" s="257"/>
      <c r="D5" s="258"/>
      <c r="E5" s="254" t="s">
        <v>1008</v>
      </c>
      <c r="F5" s="261">
        <f>'LEVEL 2'!B9</f>
        <v>17.350000000000001</v>
      </c>
      <c r="H5" s="261">
        <v>15.83</v>
      </c>
      <c r="I5" s="261">
        <v>4.9000000000000004</v>
      </c>
      <c r="J5" s="261">
        <v>1.3</v>
      </c>
      <c r="K5" s="261">
        <v>5</v>
      </c>
      <c r="L5" s="262">
        <v>9.4499999999999993</v>
      </c>
      <c r="M5" s="261">
        <v>5</v>
      </c>
      <c r="N5" s="248"/>
      <c r="Q5" s="254"/>
    </row>
    <row r="6" spans="1:17" s="250" customFormat="1" ht="21" customHeight="1" thickBot="1">
      <c r="B6" s="251"/>
      <c r="C6" s="263"/>
      <c r="D6" s="264"/>
      <c r="E6" s="264" t="s">
        <v>51</v>
      </c>
      <c r="F6" s="265">
        <f>F5*43560</f>
        <v>755766.00000000012</v>
      </c>
      <c r="H6" s="265">
        <f t="shared" ref="H6:I6" si="0">H5*43560</f>
        <v>689554.8</v>
      </c>
      <c r="I6" s="265">
        <f t="shared" si="0"/>
        <v>213444.00000000003</v>
      </c>
      <c r="J6" s="265">
        <f t="shared" ref="J6:K6" si="1">J5*43560</f>
        <v>56628</v>
      </c>
      <c r="K6" s="265">
        <f t="shared" si="1"/>
        <v>217800</v>
      </c>
      <c r="L6" s="266">
        <v>411641.99999999994</v>
      </c>
      <c r="M6" s="265">
        <v>217800</v>
      </c>
      <c r="N6" s="248"/>
      <c r="O6" s="263"/>
      <c r="Q6" s="264"/>
    </row>
    <row r="7" spans="1:17" s="250" customFormat="1" ht="21" customHeight="1" thickBot="1">
      <c r="A7" s="267" t="s">
        <v>55</v>
      </c>
      <c r="B7" s="267" t="s">
        <v>1009</v>
      </c>
      <c r="C7" s="253" t="s">
        <v>1010</v>
      </c>
      <c r="D7" s="253" t="s">
        <v>1011</v>
      </c>
      <c r="E7" s="253" t="s">
        <v>1012</v>
      </c>
      <c r="F7" s="253" t="s">
        <v>1013</v>
      </c>
      <c r="H7" s="253" t="s">
        <v>1013</v>
      </c>
      <c r="I7" s="253" t="s">
        <v>1013</v>
      </c>
      <c r="J7" s="253" t="s">
        <v>1013</v>
      </c>
      <c r="K7" s="253" t="s">
        <v>1013</v>
      </c>
      <c r="L7" s="253" t="s">
        <v>1013</v>
      </c>
      <c r="M7" s="253" t="s">
        <v>1013</v>
      </c>
      <c r="N7" s="248"/>
      <c r="O7" s="253" t="s">
        <v>1014</v>
      </c>
      <c r="Q7" s="253" t="s">
        <v>1015</v>
      </c>
    </row>
    <row r="8" spans="1:17" s="250" customFormat="1" ht="21" customHeight="1">
      <c r="A8" s="268" t="s">
        <v>178</v>
      </c>
      <c r="B8" s="269">
        <f t="shared" ref="B8:B28" si="2">C8/$C$29</f>
        <v>9.8488059478529802E-2</v>
      </c>
      <c r="C8" s="270">
        <f>VLOOKUP(A8,'LEVEL 2'!$A$14:$K$317,11,FALSE)</f>
        <v>6772826.2800000003</v>
      </c>
      <c r="D8" s="271" t="s">
        <v>185</v>
      </c>
      <c r="E8" s="271">
        <f>$F$4</f>
        <v>362571</v>
      </c>
      <c r="F8" s="272">
        <f t="shared" ref="F8:F20" si="3">C8/E8</f>
        <v>18.68</v>
      </c>
      <c r="H8" s="639">
        <v>17.716623879549335</v>
      </c>
      <c r="I8" s="272">
        <v>18.68</v>
      </c>
      <c r="J8" s="272">
        <v>20.075375130859602</v>
      </c>
      <c r="K8" s="273">
        <v>19.921525221766185</v>
      </c>
      <c r="L8" s="273">
        <v>22.888453474247783</v>
      </c>
      <c r="M8" s="273">
        <v>19.011015273643732</v>
      </c>
      <c r="N8" s="248"/>
      <c r="O8" s="274" t="s">
        <v>1016</v>
      </c>
      <c r="Q8" s="651" t="s">
        <v>1017</v>
      </c>
    </row>
    <row r="9" spans="1:17" s="250" customFormat="1" ht="21" customHeight="1">
      <c r="A9" s="274" t="s">
        <v>107</v>
      </c>
      <c r="B9" s="275">
        <f t="shared" si="2"/>
        <v>5.593995241259106E-2</v>
      </c>
      <c r="C9" s="276">
        <f>VLOOKUP(A9,'LEVEL 2'!$A$14:$K$317,11,FALSE)</f>
        <v>3846878.3099999996</v>
      </c>
      <c r="D9" s="277" t="s">
        <v>1018</v>
      </c>
      <c r="E9" s="277">
        <f>$F$4</f>
        <v>362571</v>
      </c>
      <c r="F9" s="650">
        <f>C9/E9</f>
        <v>10.61</v>
      </c>
      <c r="H9" s="641">
        <v>11.33</v>
      </c>
      <c r="I9" s="477">
        <v>10.06</v>
      </c>
      <c r="J9" s="279">
        <v>12.504361986739561</v>
      </c>
      <c r="K9" s="279">
        <v>9.2699536607970341</v>
      </c>
      <c r="L9" s="279">
        <v>10.176017980518527</v>
      </c>
      <c r="M9" s="279">
        <v>12.134289764703325</v>
      </c>
      <c r="N9" s="248"/>
      <c r="O9" s="274" t="s">
        <v>1016</v>
      </c>
      <c r="Q9" s="651" t="s">
        <v>1019</v>
      </c>
    </row>
    <row r="10" spans="1:17" s="250" customFormat="1" ht="21" customHeight="1">
      <c r="A10" s="274" t="s">
        <v>522</v>
      </c>
      <c r="B10" s="275">
        <f t="shared" si="2"/>
        <v>5.1969903049929357E-2</v>
      </c>
      <c r="C10" s="276">
        <f>VLOOKUP(A10,'LEVEL 2'!$A$14:$K$317,11,FALSE)</f>
        <v>3573865.979381443</v>
      </c>
      <c r="D10" s="277" t="s">
        <v>311</v>
      </c>
      <c r="E10" s="277">
        <f>$F$3</f>
        <v>363</v>
      </c>
      <c r="F10" s="648">
        <f t="shared" si="3"/>
        <v>9845.3608247422671</v>
      </c>
      <c r="H10" s="640">
        <v>10558.306410256409</v>
      </c>
      <c r="I10" s="478">
        <v>9845.36</v>
      </c>
      <c r="J10" s="278">
        <v>10148.68</v>
      </c>
      <c r="K10" s="278">
        <v>9739.273684210526</v>
      </c>
      <c r="L10" s="278">
        <v>10104.673913043478</v>
      </c>
      <c r="M10" s="278">
        <v>9218.251282051282</v>
      </c>
      <c r="N10" s="248"/>
      <c r="O10" s="274" t="s">
        <v>1020</v>
      </c>
      <c r="Q10" s="651" t="s">
        <v>1019</v>
      </c>
    </row>
    <row r="11" spans="1:17" s="250" customFormat="1" ht="21" customHeight="1">
      <c r="A11" s="274" t="s">
        <v>332</v>
      </c>
      <c r="B11" s="275">
        <f t="shared" si="2"/>
        <v>4.0333707441689126E-2</v>
      </c>
      <c r="C11" s="280">
        <f>VLOOKUP(A11,'LEVEL 2'!$A$14:$K$317,11,FALSE)</f>
        <v>2773668.15</v>
      </c>
      <c r="D11" s="277" t="s">
        <v>1018</v>
      </c>
      <c r="E11" s="277">
        <f>$F$4</f>
        <v>362571</v>
      </c>
      <c r="F11" s="279">
        <f t="shared" si="3"/>
        <v>7.6499999999999995</v>
      </c>
      <c r="H11" s="641">
        <v>7.6967217575449256</v>
      </c>
      <c r="I11" s="477">
        <v>7.2940664020907944</v>
      </c>
      <c r="J11" s="279">
        <v>7.7384863906013726</v>
      </c>
      <c r="K11" s="279">
        <v>8.0157076658281472</v>
      </c>
      <c r="L11" s="279">
        <v>7.3585310751947759</v>
      </c>
      <c r="M11" s="279">
        <v>8.0768353357811726</v>
      </c>
      <c r="N11" s="248"/>
      <c r="O11" s="274" t="s">
        <v>1016</v>
      </c>
      <c r="Q11" s="651" t="s">
        <v>1017</v>
      </c>
    </row>
    <row r="12" spans="1:17" s="250" customFormat="1" ht="21" customHeight="1">
      <c r="A12" s="274" t="s">
        <v>508</v>
      </c>
      <c r="B12" s="275">
        <f t="shared" si="2"/>
        <v>5.315040892098917E-2</v>
      </c>
      <c r="C12" s="276">
        <f>VLOOKUP(A12,'LEVEL 2'!$A$14:$K$317,11,FALSE)</f>
        <v>3655047</v>
      </c>
      <c r="D12" s="278" t="s">
        <v>1021</v>
      </c>
      <c r="E12" s="278">
        <f>F3</f>
        <v>363</v>
      </c>
      <c r="F12" s="648">
        <f t="shared" si="3"/>
        <v>10069</v>
      </c>
      <c r="H12" s="642">
        <v>10250</v>
      </c>
      <c r="I12" s="341">
        <v>10069</v>
      </c>
      <c r="J12" s="278">
        <v>10196.24</v>
      </c>
      <c r="K12" s="278">
        <v>10526.310526315789</v>
      </c>
      <c r="L12" s="278">
        <v>11042.514492753624</v>
      </c>
      <c r="M12" s="278">
        <f>1959791/$M$3</f>
        <v>10050.210256410257</v>
      </c>
      <c r="N12" s="248"/>
      <c r="O12" s="274" t="s">
        <v>1022</v>
      </c>
      <c r="Q12" s="651" t="s">
        <v>1019</v>
      </c>
    </row>
    <row r="13" spans="1:17" s="250" customFormat="1" ht="21" customHeight="1">
      <c r="A13" s="274" t="s">
        <v>433</v>
      </c>
      <c r="B13" s="275">
        <f t="shared" si="2"/>
        <v>1.7741700457234152E-2</v>
      </c>
      <c r="C13" s="276">
        <f>VLOOKUP(A13,'LEVEL 2'!$A$14:$K$317,11,FALSE)</f>
        <v>1220061.1500000001</v>
      </c>
      <c r="D13" s="277" t="s">
        <v>311</v>
      </c>
      <c r="E13" s="277">
        <f>$F$3</f>
        <v>363</v>
      </c>
      <c r="F13" s="278">
        <f>C13/E13</f>
        <v>3361.05</v>
      </c>
      <c r="H13" s="642">
        <v>3328.1895463917531</v>
      </c>
      <c r="I13" s="647">
        <f>614922.64/I3</f>
        <v>3169.7043298969074</v>
      </c>
      <c r="J13" s="341">
        <v>3064.4850000000001</v>
      </c>
      <c r="K13" s="341">
        <v>3144.7947368421051</v>
      </c>
      <c r="L13" s="278">
        <v>3454.478260869565</v>
      </c>
      <c r="M13" s="278">
        <v>3201.4974358974359</v>
      </c>
      <c r="N13" s="248"/>
      <c r="O13" s="274"/>
      <c r="Q13" s="651" t="s">
        <v>1023</v>
      </c>
    </row>
    <row r="14" spans="1:17" s="250" customFormat="1" ht="21" customHeight="1">
      <c r="A14" s="274" t="s">
        <v>500</v>
      </c>
      <c r="B14" s="275">
        <f t="shared" si="2"/>
        <v>1.3971807153003423E-2</v>
      </c>
      <c r="C14" s="280">
        <f>VLOOKUP(A14,'LEVEL 2'!$A$14:$K$317,11,FALSE)</f>
        <v>960813.15</v>
      </c>
      <c r="D14" s="277" t="s">
        <v>1018</v>
      </c>
      <c r="E14" s="277">
        <f>$F$4</f>
        <v>362571</v>
      </c>
      <c r="F14" s="281">
        <f t="shared" si="3"/>
        <v>2.65</v>
      </c>
      <c r="H14" s="643">
        <v>2.65</v>
      </c>
      <c r="I14" s="479">
        <v>2.65</v>
      </c>
      <c r="J14" s="279">
        <v>3.2147842270559499</v>
      </c>
      <c r="K14" s="279">
        <v>2.4530650072818747</v>
      </c>
      <c r="L14" s="279">
        <v>2.94</v>
      </c>
      <c r="M14" s="279">
        <v>2.4480196406457102</v>
      </c>
      <c r="N14" s="248"/>
      <c r="O14" s="274"/>
      <c r="Q14" s="651" t="s">
        <v>1017</v>
      </c>
    </row>
    <row r="15" spans="1:17" s="250" customFormat="1" ht="21" customHeight="1">
      <c r="A15" s="274" t="s">
        <v>453</v>
      </c>
      <c r="B15" s="275">
        <f t="shared" si="2"/>
        <v>1.368622153581146E-2</v>
      </c>
      <c r="C15" s="280">
        <f>VLOOKUP(A15,'LEVEL 2'!$A$14:$K$317,11,FALSE)</f>
        <v>941174.00000000012</v>
      </c>
      <c r="D15" s="277" t="s">
        <v>311</v>
      </c>
      <c r="E15" s="277">
        <f>$F$3</f>
        <v>363</v>
      </c>
      <c r="F15" s="648">
        <f t="shared" si="3"/>
        <v>2592.7658402203861</v>
      </c>
      <c r="H15" s="642">
        <v>3072.4615384615386</v>
      </c>
      <c r="I15" s="341">
        <v>4150.2474226804125</v>
      </c>
      <c r="J15" s="341">
        <v>1985.2</v>
      </c>
      <c r="K15" s="341">
        <v>3778.0052631578947</v>
      </c>
      <c r="L15" s="278">
        <v>3705.427536231884</v>
      </c>
      <c r="M15" s="278">
        <v>3113.7333333333331</v>
      </c>
      <c r="N15" s="248"/>
      <c r="O15" s="274" t="s">
        <v>1024</v>
      </c>
      <c r="Q15" s="651" t="s">
        <v>1017</v>
      </c>
    </row>
    <row r="16" spans="1:17" s="250" customFormat="1" ht="21" customHeight="1">
      <c r="A16" s="274" t="s">
        <v>277</v>
      </c>
      <c r="B16" s="275">
        <f t="shared" si="2"/>
        <v>8.1818585586983031E-3</v>
      </c>
      <c r="C16" s="280">
        <f>VLOOKUP(A16,'LEVEL 2'!$A$14:$K$317,11,FALSE)</f>
        <v>562650</v>
      </c>
      <c r="D16" s="277" t="s">
        <v>311</v>
      </c>
      <c r="E16" s="277">
        <f>$F$3</f>
        <v>363</v>
      </c>
      <c r="F16" s="277">
        <f>C16/E16</f>
        <v>1550</v>
      </c>
      <c r="H16" s="642">
        <v>1400</v>
      </c>
      <c r="I16" s="278">
        <v>1335.8659793814434</v>
      </c>
      <c r="J16" s="278">
        <v>1300.6084000000001</v>
      </c>
      <c r="K16" s="278">
        <v>1157.8947368421052</v>
      </c>
      <c r="L16" s="278">
        <v>1408.8260869565217</v>
      </c>
      <c r="M16" s="278">
        <v>739.27143589743582</v>
      </c>
      <c r="N16" s="248"/>
      <c r="O16" s="274"/>
      <c r="Q16" s="651" t="s">
        <v>1017</v>
      </c>
    </row>
    <row r="17" spans="1:17" s="250" customFormat="1" ht="21" customHeight="1">
      <c r="A17" s="343" t="s">
        <v>203</v>
      </c>
      <c r="B17" s="344">
        <f t="shared" si="2"/>
        <v>1.8639010386242636E-2</v>
      </c>
      <c r="C17" s="345">
        <f>VLOOKUP(A17,'LEVEL 2'!$A$14:$K$317,11,FALSE)</f>
        <v>1281767.3537842105</v>
      </c>
      <c r="D17" s="346" t="s">
        <v>311</v>
      </c>
      <c r="E17" s="346">
        <f t="shared" ref="E17" si="4">$F$3</f>
        <v>363</v>
      </c>
      <c r="F17" s="649">
        <f>C17/E17</f>
        <v>3531.0395421052631</v>
      </c>
      <c r="G17" s="256"/>
      <c r="H17" s="642">
        <v>3002.6901282051281</v>
      </c>
      <c r="I17" s="278">
        <v>2607.1546391752577</v>
      </c>
      <c r="J17" s="278">
        <v>2710.9004975124376</v>
      </c>
      <c r="K17" s="277">
        <v>3210.0359473684207</v>
      </c>
      <c r="L17" s="277">
        <v>2983.358695652174</v>
      </c>
      <c r="M17" s="277">
        <v>3081.2324102564098</v>
      </c>
      <c r="N17" s="248"/>
      <c r="O17" s="274" t="s">
        <v>1025</v>
      </c>
      <c r="Q17" s="651" t="s">
        <v>1026</v>
      </c>
    </row>
    <row r="18" spans="1:17" s="250" customFormat="1" ht="19.5" customHeight="1">
      <c r="A18" s="274" t="s">
        <v>79</v>
      </c>
      <c r="B18" s="275">
        <f t="shared" si="2"/>
        <v>3.0907449780094437E-2</v>
      </c>
      <c r="C18" s="276">
        <f>VLOOKUP(A18,'LEVEL 2'!$A$14:$K$317,11,FALSE)</f>
        <v>2125443.3199999998</v>
      </c>
      <c r="D18" s="277" t="s">
        <v>1027</v>
      </c>
      <c r="E18" s="278">
        <f>'Assumptions &amp; Takeoffs'!B11</f>
        <v>177268</v>
      </c>
      <c r="F18" s="279">
        <f>C18/E18</f>
        <v>11.989999999999998</v>
      </c>
      <c r="H18" s="644">
        <v>9.5</v>
      </c>
      <c r="I18" s="392">
        <v>11.11</v>
      </c>
      <c r="J18" s="279">
        <v>16.778815751652775</v>
      </c>
      <c r="K18" s="279">
        <v>11.989966555183946</v>
      </c>
      <c r="L18" s="279">
        <v>15.882902522578636</v>
      </c>
      <c r="M18" s="279">
        <v>16.06089511654935</v>
      </c>
      <c r="N18" s="248"/>
      <c r="O18" s="274" t="s">
        <v>1028</v>
      </c>
      <c r="Q18" s="651" t="s">
        <v>1017</v>
      </c>
    </row>
    <row r="19" spans="1:17" s="250" customFormat="1" ht="21" customHeight="1">
      <c r="A19" s="274" t="s">
        <v>223</v>
      </c>
      <c r="B19" s="275">
        <f t="shared" si="2"/>
        <v>1.3180950144342852E-2</v>
      </c>
      <c r="C19" s="276">
        <f>VLOOKUP(A19,'LEVEL 2'!$A$14:$K$317,11,FALSE)</f>
        <v>906427.5</v>
      </c>
      <c r="D19" s="277" t="s">
        <v>1018</v>
      </c>
      <c r="E19" s="277">
        <f>$F$4</f>
        <v>362571</v>
      </c>
      <c r="F19" s="279">
        <f>C19/E19</f>
        <v>2.5</v>
      </c>
      <c r="H19" s="641">
        <v>2.3794882108675335</v>
      </c>
      <c r="I19" s="477">
        <v>2.5</v>
      </c>
      <c r="J19" s="477">
        <v>2.5423112713737348</v>
      </c>
      <c r="K19" s="477">
        <v>2.6983715080100623</v>
      </c>
      <c r="L19" s="477">
        <v>2.2715182087566053</v>
      </c>
      <c r="M19" s="477">
        <v>2.5011406348447651</v>
      </c>
      <c r="N19" s="248"/>
      <c r="O19" s="274"/>
      <c r="Q19" s="651" t="s">
        <v>1017</v>
      </c>
    </row>
    <row r="20" spans="1:17" s="250" customFormat="1" ht="21" customHeight="1">
      <c r="A20" s="274" t="s">
        <v>578</v>
      </c>
      <c r="B20" s="275">
        <f t="shared" si="2"/>
        <v>1.02021812696896E-2</v>
      </c>
      <c r="C20" s="280">
        <f>VLOOKUP(A20,'LEVEL 2'!$A$14:$K$317,11,FALSE)</f>
        <v>701583.54</v>
      </c>
      <c r="D20" s="277" t="s">
        <v>1018</v>
      </c>
      <c r="E20" s="277">
        <f>$F$4</f>
        <v>362571</v>
      </c>
      <c r="F20" s="282">
        <f t="shared" si="3"/>
        <v>1.935023871186609</v>
      </c>
      <c r="H20" s="641">
        <v>2.25</v>
      </c>
      <c r="I20" s="477">
        <v>1.3350213206038035</v>
      </c>
      <c r="J20" s="279">
        <v>1.9774339886006747</v>
      </c>
      <c r="K20" s="279">
        <v>1.6733483384085794</v>
      </c>
      <c r="L20" s="279">
        <v>1.94</v>
      </c>
      <c r="M20" s="279">
        <v>1.5534360266799923</v>
      </c>
      <c r="N20" s="248"/>
      <c r="O20" s="274" t="s">
        <v>1029</v>
      </c>
      <c r="Q20" s="651" t="s">
        <v>1017</v>
      </c>
    </row>
    <row r="21" spans="1:17" s="250" customFormat="1" ht="21" customHeight="1">
      <c r="A21" s="274" t="s">
        <v>210</v>
      </c>
      <c r="B21" s="275">
        <f t="shared" si="2"/>
        <v>4.1404992581049148E-2</v>
      </c>
      <c r="C21" s="280">
        <f>VLOOKUP(A21,'LEVEL 2'!$A$14:$K$317,11,FALSE)</f>
        <v>2847338.28</v>
      </c>
      <c r="D21" s="278" t="s">
        <v>51</v>
      </c>
      <c r="E21" s="278">
        <f>'Assumptions &amp; Takeoffs'!E13</f>
        <v>316370.92</v>
      </c>
      <c r="F21" s="650">
        <f>C21/$E$21</f>
        <v>9</v>
      </c>
      <c r="H21" s="644">
        <v>7.5062347612153024</v>
      </c>
      <c r="I21" s="392">
        <v>13.681366807557163</v>
      </c>
      <c r="J21" s="279">
        <v>10.5</v>
      </c>
      <c r="K21" s="279">
        <v>12.00755801444598</v>
      </c>
      <c r="L21" s="282">
        <v>13.483701335263834</v>
      </c>
      <c r="M21" s="279">
        <v>21.389000664746291</v>
      </c>
      <c r="N21" s="248"/>
      <c r="O21" s="274" t="s">
        <v>1030</v>
      </c>
      <c r="Q21" s="651" t="s">
        <v>1017</v>
      </c>
    </row>
    <row r="22" spans="1:17" s="250" customFormat="1" ht="21" customHeight="1">
      <c r="A22" s="274" t="s">
        <v>315</v>
      </c>
      <c r="B22" s="275">
        <f t="shared" si="2"/>
        <v>1.3823862550338423E-2</v>
      </c>
      <c r="C22" s="280">
        <f>VLOOKUP(A22,'LEVEL 2'!$A$14:$K$317,11,FALSE)</f>
        <v>950639.29645654478</v>
      </c>
      <c r="D22" s="277" t="s">
        <v>1031</v>
      </c>
      <c r="E22" s="277">
        <f>'Assumptions &amp; Takeoffs'!B20</f>
        <v>23863.339999999997</v>
      </c>
      <c r="F22" s="279">
        <f t="shared" ref="F22:F24" si="5">C22/E22</f>
        <v>39.836808110538797</v>
      </c>
      <c r="H22" s="644">
        <v>39.311357460345043</v>
      </c>
      <c r="I22" s="279">
        <v>39.836808110538797</v>
      </c>
      <c r="J22" s="279">
        <v>39.371015724606885</v>
      </c>
      <c r="K22" s="279">
        <v>40.818673883626523</v>
      </c>
      <c r="L22" s="279">
        <v>42.234691987031034</v>
      </c>
      <c r="M22" s="279">
        <v>46.688382082225402</v>
      </c>
      <c r="N22" s="248"/>
      <c r="O22" s="274"/>
      <c r="Q22" s="651" t="s">
        <v>1017</v>
      </c>
    </row>
    <row r="23" spans="1:17" s="250" customFormat="1" ht="21" customHeight="1">
      <c r="A23" s="274" t="s">
        <v>464</v>
      </c>
      <c r="B23" s="275">
        <f t="shared" si="2"/>
        <v>8.1535948521701679E-3</v>
      </c>
      <c r="C23" s="280">
        <f>VLOOKUP(A23,'LEVEL 2'!$A$14:$K$317,11,FALSE)</f>
        <v>560706.36159999995</v>
      </c>
      <c r="D23" s="277" t="s">
        <v>311</v>
      </c>
      <c r="E23" s="277">
        <f>$F$3</f>
        <v>363</v>
      </c>
      <c r="F23" s="649">
        <f>C23/E23</f>
        <v>1544.645624242424</v>
      </c>
      <c r="H23" s="642">
        <v>2157.06</v>
      </c>
      <c r="I23" s="341">
        <v>1868.4432989690722</v>
      </c>
      <c r="J23" s="341">
        <v>1100</v>
      </c>
      <c r="K23" s="341">
        <v>1724</v>
      </c>
      <c r="L23" s="341">
        <v>1551.7282608695652</v>
      </c>
      <c r="M23" s="278">
        <v>1600.251282051282</v>
      </c>
      <c r="N23" s="248"/>
      <c r="O23" s="274" t="s">
        <v>1032</v>
      </c>
      <c r="Q23" s="651" t="s">
        <v>1033</v>
      </c>
    </row>
    <row r="24" spans="1:17" s="250" customFormat="1" ht="21" customHeight="1">
      <c r="A24" s="274" t="s">
        <v>112</v>
      </c>
      <c r="B24" s="275">
        <f t="shared" si="2"/>
        <v>7.0023825361838956E-3</v>
      </c>
      <c r="C24" s="276">
        <f>VLOOKUP(A24,'LEVEL 2'!$A$14:$K$317,11,FALSE)</f>
        <v>481539.8</v>
      </c>
      <c r="D24" s="278" t="s">
        <v>1034</v>
      </c>
      <c r="E24" s="278">
        <f>'Assumptions &amp; Takeoffs'!E14</f>
        <v>171978.5</v>
      </c>
      <c r="F24" s="279">
        <f t="shared" si="5"/>
        <v>2.8</v>
      </c>
      <c r="H24" s="643">
        <v>2.6</v>
      </c>
      <c r="I24" s="479">
        <v>2.8</v>
      </c>
      <c r="J24" s="279">
        <v>2.9324030537438697</v>
      </c>
      <c r="K24" s="279">
        <v>2.9421303874469915</v>
      </c>
      <c r="L24" s="279">
        <v>1.2965677535227078</v>
      </c>
      <c r="M24" s="279">
        <v>1.1000000000000001</v>
      </c>
      <c r="N24" s="248"/>
      <c r="O24" s="274"/>
      <c r="Q24" s="651" t="s">
        <v>1017</v>
      </c>
    </row>
    <row r="25" spans="1:17" s="250" customFormat="1" ht="21" customHeight="1">
      <c r="A25" s="274" t="s">
        <v>479</v>
      </c>
      <c r="B25" s="275">
        <f t="shared" si="2"/>
        <v>4.2306260497876631E-3</v>
      </c>
      <c r="C25" s="276">
        <f>VLOOKUP(A25,'LEVEL 2'!$A$14:$K$317,11,FALSE)</f>
        <v>290931.66666666669</v>
      </c>
      <c r="D25" s="277" t="s">
        <v>83</v>
      </c>
      <c r="E25" s="277">
        <v>1</v>
      </c>
      <c r="F25" s="648">
        <f>C25/E25</f>
        <v>290931.66666666669</v>
      </c>
      <c r="H25" s="645">
        <v>253813.33333333334</v>
      </c>
      <c r="I25" s="277">
        <v>249085</v>
      </c>
      <c r="J25" s="277" t="s">
        <v>87</v>
      </c>
      <c r="K25" s="278">
        <v>245000</v>
      </c>
      <c r="L25" s="278">
        <v>228710</v>
      </c>
      <c r="M25" s="278">
        <v>208310</v>
      </c>
      <c r="N25" s="248"/>
      <c r="O25" s="274" t="s">
        <v>1035</v>
      </c>
      <c r="Q25" s="651" t="s">
        <v>1017</v>
      </c>
    </row>
    <row r="26" spans="1:17" s="250" customFormat="1" ht="21" customHeight="1">
      <c r="A26" s="274" t="s">
        <v>380</v>
      </c>
      <c r="B26" s="275">
        <f t="shared" si="2"/>
        <v>1.0439312514319539E-2</v>
      </c>
      <c r="C26" s="280">
        <f>VLOOKUP(A26,'LEVEL 2'!$A$14:$K$317,11,FALSE)</f>
        <v>717890.58</v>
      </c>
      <c r="D26" s="277" t="s">
        <v>1018</v>
      </c>
      <c r="E26" s="277">
        <f>$F$4</f>
        <v>362571</v>
      </c>
      <c r="F26" s="279">
        <f>C26/E26</f>
        <v>1.98</v>
      </c>
      <c r="H26" s="643">
        <v>1.92</v>
      </c>
      <c r="I26" s="479">
        <v>1.58</v>
      </c>
      <c r="J26" s="279">
        <v>2.053361637780621</v>
      </c>
      <c r="K26" s="279">
        <v>1.8370925460082086</v>
      </c>
      <c r="L26" s="279">
        <v>2.0978638463145352</v>
      </c>
      <c r="M26" s="279">
        <v>1.9319964368740088</v>
      </c>
      <c r="N26" s="248"/>
      <c r="O26" s="274"/>
      <c r="Q26" s="651" t="s">
        <v>1017</v>
      </c>
    </row>
    <row r="27" spans="1:17" s="250" customFormat="1" ht="21" customHeight="1">
      <c r="A27" s="274" t="s">
        <v>153</v>
      </c>
      <c r="B27" s="275">
        <f t="shared" si="2"/>
        <v>1.8576727432543388E-2</v>
      </c>
      <c r="C27" s="284">
        <f>VLOOKUP(A27,'LEVEL 2'!$A$14:$K$317,11,FALSE)</f>
        <v>1277484.2799999998</v>
      </c>
      <c r="D27" s="283" t="s">
        <v>1036</v>
      </c>
      <c r="E27" s="283">
        <f>'Assumptions &amp; Takeoffs'!B19</f>
        <v>2143.4299999999998</v>
      </c>
      <c r="F27" s="283">
        <f>C27/E27</f>
        <v>596</v>
      </c>
      <c r="H27" s="643">
        <v>573</v>
      </c>
      <c r="I27" s="479">
        <v>596</v>
      </c>
      <c r="J27" s="278">
        <v>491.39688696603508</v>
      </c>
      <c r="K27" s="278">
        <v>603.39840194194392</v>
      </c>
      <c r="L27" s="278">
        <v>598.38652482269504</v>
      </c>
      <c r="M27" s="278">
        <v>535.74239713774602</v>
      </c>
      <c r="N27" s="248"/>
      <c r="O27" s="274"/>
      <c r="Q27" s="651" t="s">
        <v>1017</v>
      </c>
    </row>
    <row r="28" spans="1:17" s="250" customFormat="1" ht="21" customHeight="1" thickBot="1">
      <c r="A28" s="285" t="s">
        <v>503</v>
      </c>
      <c r="B28" s="286">
        <f t="shared" si="2"/>
        <v>1.8177060692033909E-3</v>
      </c>
      <c r="C28" s="287">
        <f>VLOOKUP(A28,'LEVEL 2'!$A$14:$K$317,11,FALSE)</f>
        <v>125000</v>
      </c>
      <c r="D28" s="288" t="s">
        <v>83</v>
      </c>
      <c r="E28" s="288">
        <v>1</v>
      </c>
      <c r="F28" s="289">
        <f>C28</f>
        <v>125000</v>
      </c>
      <c r="H28" s="646">
        <v>160560</v>
      </c>
      <c r="I28" s="289">
        <v>103700</v>
      </c>
      <c r="J28" s="288" t="s">
        <v>87</v>
      </c>
      <c r="K28" s="289">
        <f>133300</f>
        <v>133300</v>
      </c>
      <c r="L28" s="289">
        <v>160560</v>
      </c>
      <c r="M28" s="289">
        <f>120800</f>
        <v>120800</v>
      </c>
      <c r="N28" s="248"/>
      <c r="O28" s="285"/>
      <c r="Q28" s="652" t="s">
        <v>1017</v>
      </c>
    </row>
    <row r="29" spans="1:17" s="250" customFormat="1" ht="21" customHeight="1">
      <c r="A29" s="290" t="s">
        <v>1037</v>
      </c>
      <c r="B29" s="290"/>
      <c r="C29" s="291">
        <f>'LEVEL 2'!K2</f>
        <v>68767993.966582954</v>
      </c>
      <c r="D29" s="260" t="s">
        <v>918</v>
      </c>
      <c r="E29" s="260">
        <f>$F$4</f>
        <v>362571</v>
      </c>
      <c r="F29" s="292">
        <f>C29/E29</f>
        <v>189.66766224155532</v>
      </c>
      <c r="J29" s="292"/>
      <c r="K29" s="292"/>
      <c r="L29" s="292"/>
      <c r="M29" s="292"/>
      <c r="N29" s="248"/>
      <c r="Q29" s="254"/>
    </row>
    <row r="31" spans="1:17" s="248" customFormat="1" ht="15.75" thickBot="1">
      <c r="A31" s="654" t="s">
        <v>1038</v>
      </c>
      <c r="B31" s="654"/>
      <c r="C31" s="655">
        <f>'LEVEL 2.1'!K2</f>
        <v>68005168.685757682</v>
      </c>
      <c r="G31" s="247"/>
      <c r="H31" s="247"/>
      <c r="I31" s="247"/>
      <c r="O31" s="247"/>
    </row>
    <row r="32" spans="1:17" s="248" customFormat="1">
      <c r="A32" s="658" t="s">
        <v>875</v>
      </c>
      <c r="B32" s="656"/>
      <c r="C32" s="657">
        <f>C29-C31</f>
        <v>762825.2808252722</v>
      </c>
      <c r="G32" s="247"/>
      <c r="H32" s="247"/>
      <c r="I32" s="247"/>
      <c r="O32" s="247"/>
    </row>
    <row r="33" spans="1:15" s="248" customFormat="1">
      <c r="A33" s="247"/>
      <c r="B33" s="247"/>
      <c r="C33" s="293"/>
      <c r="G33" s="247"/>
      <c r="H33" s="247"/>
      <c r="I33" s="247"/>
      <c r="O33" s="247"/>
    </row>
  </sheetData>
  <pageMargins left="0.2" right="0.2" top="0.75" bottom="0.25" header="0.15" footer="0"/>
  <pageSetup paperSize="3" scale="76" orientation="landscape" r:id="rId1"/>
  <headerFooter>
    <oddHeader>&amp;L&amp;G</oddHead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5E293-D6EE-4983-B2A3-80C6F638857F}">
  <sheetPr>
    <pageSetUpPr fitToPage="1"/>
  </sheetPr>
  <dimension ref="A1:S54"/>
  <sheetViews>
    <sheetView workbookViewId="0">
      <selection activeCell="A35" sqref="A35"/>
    </sheetView>
  </sheetViews>
  <sheetFormatPr defaultRowHeight="15"/>
  <cols>
    <col min="1" max="1" width="38.42578125" bestFit="1" customWidth="1"/>
    <col min="2" max="2" width="16.140625" customWidth="1"/>
    <col min="3" max="3" width="1.28515625" customWidth="1"/>
    <col min="4" max="4" width="16.140625" customWidth="1"/>
    <col min="5" max="5" width="2.42578125" customWidth="1"/>
    <col min="6" max="6" width="16.140625" customWidth="1"/>
    <col min="7" max="7" width="16.28515625" customWidth="1"/>
    <col min="8" max="8" width="3.28515625" customWidth="1"/>
    <col min="10" max="10" width="28.7109375" bestFit="1" customWidth="1"/>
    <col min="11" max="11" width="3.7109375" customWidth="1"/>
    <col min="12" max="12" width="21.140625" customWidth="1"/>
    <col min="14" max="14" width="3.28515625" customWidth="1"/>
    <col min="15" max="15" width="3" customWidth="1"/>
    <col min="16" max="16" width="26.42578125" customWidth="1"/>
  </cols>
  <sheetData>
    <row r="1" spans="1:16" ht="15.75" thickBot="1">
      <c r="A1" s="294" t="s">
        <v>8</v>
      </c>
      <c r="B1" s="1" t="s">
        <v>964</v>
      </c>
      <c r="C1" s="3"/>
      <c r="D1" s="1" t="s">
        <v>883</v>
      </c>
      <c r="E1" s="3"/>
      <c r="F1" s="1" t="s">
        <v>875</v>
      </c>
      <c r="G1" s="1"/>
    </row>
    <row r="2" spans="1:16">
      <c r="A2" s="295" t="s">
        <v>1039</v>
      </c>
      <c r="B2" s="296">
        <f>'LEVEL 1.2 BUDGET'!N9</f>
        <v>363</v>
      </c>
      <c r="C2" s="69"/>
      <c r="D2" s="296">
        <f>'LEVEL 2'!N9</f>
        <v>363</v>
      </c>
      <c r="E2" s="69"/>
      <c r="F2" s="296">
        <f>D2-B2</f>
        <v>0</v>
      </c>
      <c r="G2" s="18"/>
    </row>
    <row r="3" spans="1:16">
      <c r="A3" s="297" t="s">
        <v>30</v>
      </c>
      <c r="B3" s="15">
        <f>'LEVEL 1.2 BUDGET'!N5</f>
        <v>218</v>
      </c>
      <c r="C3" s="3"/>
      <c r="D3" s="15">
        <f>'LEVEL 2'!N5</f>
        <v>218</v>
      </c>
      <c r="E3" s="3"/>
      <c r="F3" s="15">
        <f>D3-B3</f>
        <v>0</v>
      </c>
      <c r="G3" s="26"/>
    </row>
    <row r="4" spans="1:16">
      <c r="A4" s="297" t="s">
        <v>35</v>
      </c>
      <c r="B4" s="15">
        <f>'LEVEL 1.2 BUDGET'!N6</f>
        <v>145</v>
      </c>
      <c r="C4" s="3"/>
      <c r="D4" s="15">
        <f>'LEVEL 2'!N6</f>
        <v>145</v>
      </c>
      <c r="E4" s="3"/>
      <c r="F4" s="15">
        <f>D4-B4</f>
        <v>0</v>
      </c>
      <c r="G4" s="26"/>
    </row>
    <row r="5" spans="1:16">
      <c r="A5" s="3"/>
      <c r="B5" s="3"/>
      <c r="C5" s="3"/>
      <c r="D5" s="3"/>
      <c r="E5" s="3"/>
      <c r="F5" s="3"/>
      <c r="G5" s="3"/>
    </row>
    <row r="6" spans="1:16">
      <c r="A6" s="296" t="s">
        <v>1040</v>
      </c>
      <c r="B6" s="18">
        <f>'LEVEL 1.2 BUDGET'!S8</f>
        <v>457</v>
      </c>
      <c r="C6" s="3"/>
      <c r="D6" s="18">
        <f>'LEVEL 2'!S8</f>
        <v>457</v>
      </c>
      <c r="E6" s="3"/>
      <c r="F6" s="18">
        <f>D6-B6</f>
        <v>0</v>
      </c>
      <c r="G6" s="26"/>
    </row>
    <row r="7" spans="1:16">
      <c r="A7" s="296" t="s">
        <v>1041</v>
      </c>
      <c r="B7" s="15">
        <f>'LEVEL 1.2 BUDGET'!B8</f>
        <v>362571</v>
      </c>
      <c r="C7" s="3"/>
      <c r="D7" s="15">
        <f>'LEVEL 2'!B8</f>
        <v>362571</v>
      </c>
      <c r="E7" s="3"/>
      <c r="F7" s="15">
        <f>D7-B7</f>
        <v>0</v>
      </c>
      <c r="G7" s="26">
        <f>F7/B7</f>
        <v>0</v>
      </c>
    </row>
    <row r="8" spans="1:16">
      <c r="A8" s="340" t="s">
        <v>1042</v>
      </c>
      <c r="B8" s="312">
        <f>'LEVEL 1.2 BUDGET'!K8</f>
        <v>0.78175860727967761</v>
      </c>
      <c r="C8" s="3"/>
      <c r="D8" s="312">
        <f>'LEVEL 2'!K8</f>
        <v>0.78175860727967761</v>
      </c>
      <c r="E8" s="3"/>
      <c r="F8" s="312">
        <f>D8-B8</f>
        <v>0</v>
      </c>
      <c r="G8" s="312"/>
    </row>
    <row r="9" spans="1:16">
      <c r="A9" s="3"/>
      <c r="B9" s="3"/>
      <c r="C9" s="3"/>
      <c r="D9" s="3"/>
      <c r="E9" s="3"/>
      <c r="F9" s="3"/>
      <c r="G9" s="3"/>
    </row>
    <row r="10" spans="1:16">
      <c r="A10" s="296" t="s">
        <v>11</v>
      </c>
      <c r="B10" s="298">
        <f>'LEVEL 1.2 BUDGET'!K2</f>
        <v>68871987.739389986</v>
      </c>
      <c r="C10" s="3"/>
      <c r="D10" s="298">
        <f>'LEVEL 2'!K2</f>
        <v>68767993.966582954</v>
      </c>
      <c r="E10" s="3"/>
      <c r="F10" s="298">
        <f>B10-D10</f>
        <v>103993.77280703187</v>
      </c>
      <c r="G10" s="26"/>
    </row>
    <row r="11" spans="1:16">
      <c r="A11" s="296" t="s">
        <v>34</v>
      </c>
      <c r="B11" s="298">
        <f>B10/B7</f>
        <v>189.95448543703159</v>
      </c>
      <c r="C11" s="3"/>
      <c r="D11" s="298">
        <f>D10/D7</f>
        <v>189.66766224155532</v>
      </c>
      <c r="E11" s="3"/>
      <c r="F11" s="299">
        <v>0</v>
      </c>
      <c r="G11" s="26"/>
    </row>
    <row r="12" spans="1:16">
      <c r="A12" s="296" t="s">
        <v>25</v>
      </c>
      <c r="B12" s="298">
        <f>B10/B2</f>
        <v>189729.9937724242</v>
      </c>
      <c r="C12" s="3"/>
      <c r="D12" s="298">
        <f>D10/D2</f>
        <v>189443.5095498153</v>
      </c>
      <c r="E12" s="3"/>
      <c r="F12" s="298">
        <v>0</v>
      </c>
      <c r="G12" s="26"/>
    </row>
    <row r="13" spans="1:16" hidden="1">
      <c r="A13" s="69"/>
      <c r="B13" s="3"/>
      <c r="C13" s="3"/>
      <c r="D13" s="3"/>
      <c r="E13" s="3"/>
      <c r="F13" s="300"/>
      <c r="G13" s="3"/>
    </row>
    <row r="14" spans="1:16" ht="15.75" thickBot="1">
      <c r="A14" s="69"/>
      <c r="B14" s="3"/>
      <c r="C14" s="3"/>
      <c r="D14" s="3"/>
      <c r="E14" s="3"/>
      <c r="F14" s="300"/>
      <c r="G14" s="301">
        <v>0.05</v>
      </c>
    </row>
    <row r="15" spans="1:16" ht="15.75" thickBot="1">
      <c r="A15" s="302" t="s">
        <v>55</v>
      </c>
      <c r="B15" s="1" t="s">
        <v>964</v>
      </c>
      <c r="C15" s="303"/>
      <c r="D15" s="1" t="s">
        <v>883</v>
      </c>
      <c r="E15" s="303"/>
      <c r="F15" s="304" t="s">
        <v>875</v>
      </c>
      <c r="G15" s="304" t="s">
        <v>877</v>
      </c>
      <c r="H15" s="305"/>
      <c r="I15" s="306" t="s">
        <v>67</v>
      </c>
      <c r="J15" s="306"/>
      <c r="K15" s="306"/>
      <c r="L15" s="306"/>
      <c r="M15" s="306"/>
      <c r="N15" s="306"/>
      <c r="O15" s="306"/>
      <c r="P15" s="307"/>
    </row>
    <row r="16" spans="1:16">
      <c r="A16" s="308" t="s">
        <v>72</v>
      </c>
      <c r="B16" s="117">
        <f>VLOOKUP($A16,'LEVEL 1.2 BUDGET'!$A$15:$L$318,12,FALSE)</f>
        <v>3338816.0099946638</v>
      </c>
      <c r="C16" s="3"/>
      <c r="D16" s="117">
        <f>VLOOKUP($A16,'LEVEL 2'!$A$15:$L$318,12,FALSE)</f>
        <v>3331957.0935137458</v>
      </c>
      <c r="E16" s="3"/>
      <c r="F16" s="309">
        <f t="shared" ref="F16:F49" si="0">B16-D16</f>
        <v>6858.9164809179492</v>
      </c>
      <c r="G16" s="310">
        <f t="shared" ref="G16:G28" si="1">F16/B16</f>
        <v>2.054296032002348E-3</v>
      </c>
      <c r="I16" s="311"/>
      <c r="J16" s="312"/>
      <c r="K16" s="313"/>
      <c r="L16" s="312"/>
      <c r="M16" s="313"/>
      <c r="N16" s="312"/>
      <c r="O16" s="313"/>
      <c r="P16" s="314"/>
    </row>
    <row r="17" spans="1:18">
      <c r="A17" s="308" t="s">
        <v>77</v>
      </c>
      <c r="B17" s="117">
        <f>VLOOKUP(A17,'LEVEL 1.2 BUDGET'!$A$15:$L$318,12,FALSE)</f>
        <v>16000</v>
      </c>
      <c r="C17" s="3"/>
      <c r="D17" s="309">
        <f>VLOOKUP($A17,'LEVEL 2'!$A$15:$L$318,12,FALSE)</f>
        <v>16000</v>
      </c>
      <c r="E17" s="3"/>
      <c r="F17" s="309">
        <f t="shared" si="0"/>
        <v>0</v>
      </c>
      <c r="G17" s="310">
        <f t="shared" si="1"/>
        <v>0</v>
      </c>
      <c r="I17" s="315"/>
      <c r="J17" s="316"/>
      <c r="K17" s="317"/>
      <c r="L17" s="316"/>
      <c r="M17" s="317"/>
      <c r="N17" s="316"/>
      <c r="O17" s="317"/>
      <c r="P17" s="318"/>
    </row>
    <row r="18" spans="1:18">
      <c r="A18" s="308" t="s">
        <v>121</v>
      </c>
      <c r="B18" s="117">
        <f>VLOOKUP(A18,'LEVEL 1.2 BUDGET'!$A$15:$L$318,12,FALSE)</f>
        <v>2785657.8839000002</v>
      </c>
      <c r="C18" s="3"/>
      <c r="D18" s="309">
        <f>VLOOKUP($A18,'LEVEL 2'!$A$15:$L$318,12,FALSE)</f>
        <v>2775836.1714905147</v>
      </c>
      <c r="E18" s="3"/>
      <c r="F18" s="309">
        <f t="shared" si="0"/>
        <v>9821.7124094855972</v>
      </c>
      <c r="G18" s="310">
        <f t="shared" si="1"/>
        <v>3.5258143027007039E-3</v>
      </c>
      <c r="I18" s="315"/>
      <c r="J18" s="316"/>
      <c r="K18" s="317"/>
      <c r="L18" s="319"/>
      <c r="M18" s="317"/>
      <c r="N18" s="316"/>
      <c r="O18" s="317"/>
      <c r="P18" s="318"/>
    </row>
    <row r="19" spans="1:18">
      <c r="A19" s="308" t="s">
        <v>146</v>
      </c>
      <c r="B19" s="117">
        <f>VLOOKUP(A19,'LEVEL 1.2 BUDGET'!$A$15:$L$318,12,FALSE)</f>
        <v>255200</v>
      </c>
      <c r="C19" s="3"/>
      <c r="D19" s="309">
        <f>VLOOKUP($A19,'LEVEL 2'!$A$15:$L$318,12,FALSE)</f>
        <v>128000</v>
      </c>
      <c r="E19" s="3"/>
      <c r="F19" s="309">
        <f t="shared" si="0"/>
        <v>127200</v>
      </c>
      <c r="G19" s="310">
        <f t="shared" si="1"/>
        <v>0.49843260188087773</v>
      </c>
      <c r="I19" s="315"/>
      <c r="J19" s="316"/>
      <c r="K19" s="317"/>
      <c r="L19" s="316"/>
      <c r="M19" s="317"/>
      <c r="N19" s="316"/>
      <c r="O19" s="317"/>
      <c r="P19" s="318"/>
    </row>
    <row r="20" spans="1:18">
      <c r="A20" s="308" t="s">
        <v>175</v>
      </c>
      <c r="B20" s="117">
        <f>VLOOKUP(A20,'LEVEL 1.2 BUDGET'!$A$15:$L$318,12,FALSE)</f>
        <v>459954</v>
      </c>
      <c r="C20" s="3"/>
      <c r="D20" s="309">
        <f>VLOOKUP($A20,'LEVEL 2'!$A$15:$L$318,12,FALSE)</f>
        <v>474487.5</v>
      </c>
      <c r="E20" s="3"/>
      <c r="F20" s="309">
        <f t="shared" si="0"/>
        <v>-14533.5</v>
      </c>
      <c r="G20" s="310">
        <f t="shared" si="1"/>
        <v>-3.1597724989890295E-2</v>
      </c>
      <c r="I20" s="315"/>
      <c r="J20" s="316"/>
      <c r="K20" s="317"/>
      <c r="L20" s="316"/>
      <c r="M20" s="317"/>
      <c r="N20" s="316"/>
      <c r="O20" s="317"/>
      <c r="P20" s="318"/>
    </row>
    <row r="21" spans="1:18">
      <c r="A21" s="308" t="s">
        <v>220</v>
      </c>
      <c r="B21" s="117">
        <f>VLOOKUP(A21,'LEVEL 1.2 BUDGET'!$A$15:$L$318,12,FALSE)</f>
        <v>8327162.3799999999</v>
      </c>
      <c r="C21" s="3"/>
      <c r="D21" s="309">
        <f>VLOOKUP($A21,'LEVEL 2'!$A$15:$L$318,12,FALSE)</f>
        <v>8515537.769804569</v>
      </c>
      <c r="E21" s="3"/>
      <c r="F21" s="309">
        <f t="shared" si="0"/>
        <v>-188375.38980456907</v>
      </c>
      <c r="G21" s="310">
        <f t="shared" si="1"/>
        <v>-2.2621798544124112E-2</v>
      </c>
      <c r="I21" s="315"/>
      <c r="J21" s="316"/>
      <c r="K21" s="317"/>
      <c r="L21" s="316"/>
      <c r="M21" s="317"/>
      <c r="N21" s="316"/>
      <c r="O21" s="317"/>
      <c r="P21" s="318"/>
    </row>
    <row r="22" spans="1:18">
      <c r="A22" s="308" t="s">
        <v>267</v>
      </c>
      <c r="B22" s="117">
        <f>VLOOKUP(A22,'LEVEL 1.2 BUDGET'!$A$15:$L$318,12,FALSE)</f>
        <v>2157341.9422999998</v>
      </c>
      <c r="C22" s="3"/>
      <c r="D22" s="309">
        <f>VLOOKUP($A22,'LEVEL 2'!$A$15:$L$318,12,FALSE)</f>
        <v>2366346.0099999998</v>
      </c>
      <c r="E22" s="3"/>
      <c r="F22" s="309">
        <f t="shared" si="0"/>
        <v>-209004.06770000001</v>
      </c>
      <c r="G22" s="310">
        <f t="shared" si="1"/>
        <v>-9.6880361708990462E-2</v>
      </c>
      <c r="I22" s="450"/>
      <c r="J22" s="316"/>
      <c r="K22" s="317"/>
      <c r="L22" s="316"/>
      <c r="M22" s="317"/>
      <c r="N22" s="316"/>
      <c r="O22" s="317"/>
      <c r="P22" s="318"/>
    </row>
    <row r="23" spans="1:18">
      <c r="A23" s="308" t="s">
        <v>297</v>
      </c>
      <c r="B23" s="117">
        <f>VLOOKUP(A23,'LEVEL 1.2 BUDGET'!$A$15:$L$318,12,FALSE)</f>
        <v>597923</v>
      </c>
      <c r="C23" s="3"/>
      <c r="D23" s="309">
        <f>VLOOKUP($A23,'LEVEL 2'!$A$15:$L$318,12,FALSE)</f>
        <v>679200</v>
      </c>
      <c r="E23" s="3"/>
      <c r="F23" s="309">
        <f t="shared" si="0"/>
        <v>-81277</v>
      </c>
      <c r="G23" s="310">
        <f t="shared" si="1"/>
        <v>-0.13593221869705632</v>
      </c>
      <c r="I23" s="315"/>
      <c r="J23" s="316"/>
      <c r="K23" s="317"/>
      <c r="L23" s="316"/>
      <c r="M23" s="317"/>
      <c r="N23" s="316"/>
      <c r="O23" s="317"/>
      <c r="P23" s="318"/>
    </row>
    <row r="24" spans="1:18">
      <c r="A24" s="308" t="s">
        <v>391</v>
      </c>
      <c r="B24" s="117">
        <f>VLOOKUP(A24,'LEVEL 1.2 BUDGET'!$A$15:$L$318,12,FALSE)</f>
        <v>5644662.8446532246</v>
      </c>
      <c r="C24" s="3"/>
      <c r="D24" s="309">
        <f>VLOOKUP($A24,'LEVEL 2'!$A$15:$L$318,12,FALSE)</f>
        <v>5963501.3854374392</v>
      </c>
      <c r="E24" s="3"/>
      <c r="F24" s="309">
        <f t="shared" si="0"/>
        <v>-318838.54078421462</v>
      </c>
      <c r="G24" s="310">
        <f t="shared" si="1"/>
        <v>-5.6484957482664709E-2</v>
      </c>
      <c r="I24" s="450"/>
      <c r="J24" s="316"/>
      <c r="K24" s="321"/>
      <c r="L24" s="320"/>
      <c r="M24" s="321"/>
      <c r="N24" s="320"/>
      <c r="O24" s="321"/>
      <c r="P24" s="322"/>
    </row>
    <row r="25" spans="1:18">
      <c r="A25" s="323" t="s">
        <v>431</v>
      </c>
      <c r="B25" s="117">
        <f>VLOOKUP(A25,'LEVEL 1.2 BUDGET'!$A$15:$L$318,12,FALSE)</f>
        <v>468431</v>
      </c>
      <c r="C25" s="3"/>
      <c r="D25" s="309">
        <f>VLOOKUP($A25,'LEVEL 2'!$A$15:$L$318,12,FALSE)</f>
        <v>525785</v>
      </c>
      <c r="E25" s="3"/>
      <c r="F25" s="309">
        <f t="shared" si="0"/>
        <v>-57354</v>
      </c>
      <c r="G25" s="310">
        <f t="shared" si="1"/>
        <v>-0.1224385234965235</v>
      </c>
      <c r="I25" s="315"/>
      <c r="J25" s="316"/>
      <c r="K25" s="321"/>
      <c r="L25" s="320"/>
      <c r="M25" s="321"/>
      <c r="N25" s="320"/>
      <c r="O25" s="321"/>
      <c r="P25" s="322"/>
    </row>
    <row r="26" spans="1:18">
      <c r="A26" s="323" t="s">
        <v>440</v>
      </c>
      <c r="B26" s="117">
        <f>VLOOKUP(A26,'LEVEL 1.2 BUDGET'!$A$15:$L$318,12,FALSE)</f>
        <v>1168905.0105263158</v>
      </c>
      <c r="C26" s="3"/>
      <c r="D26" s="117">
        <f>VLOOKUP($A26,'LEVEL 2'!$A$15:$L$318,12,FALSE)</f>
        <v>1379826.1605263159</v>
      </c>
      <c r="E26" s="3"/>
      <c r="F26" s="309">
        <f t="shared" si="0"/>
        <v>-210921.15000000014</v>
      </c>
      <c r="G26" s="324">
        <f t="shared" si="1"/>
        <v>-0.18044336203591937</v>
      </c>
      <c r="I26" s="315"/>
      <c r="J26" s="316"/>
      <c r="K26" s="317"/>
      <c r="L26" s="316"/>
      <c r="M26" s="317"/>
      <c r="N26" s="316"/>
      <c r="O26" s="317"/>
      <c r="P26" s="318"/>
    </row>
    <row r="27" spans="1:18">
      <c r="A27" s="323" t="s">
        <v>476</v>
      </c>
      <c r="B27" s="117">
        <f>VLOOKUP(A27,'LEVEL 1.2 BUDGET'!$A$15:$L$318,12,FALSE)</f>
        <v>2059949</v>
      </c>
      <c r="C27" s="3"/>
      <c r="D27" s="117">
        <f>VLOOKUP($A27,'LEVEL 2'!$A$15:$L$318,12,FALSE)</f>
        <v>1826689.3615999999</v>
      </c>
      <c r="E27" s="3"/>
      <c r="F27" s="309">
        <f t="shared" si="0"/>
        <v>233259.63840000005</v>
      </c>
      <c r="G27" s="325">
        <f t="shared" si="1"/>
        <v>0.11323563758131878</v>
      </c>
      <c r="I27" s="315"/>
      <c r="J27" s="316"/>
      <c r="K27" s="317"/>
      <c r="L27" s="316"/>
      <c r="M27" s="317"/>
      <c r="N27" s="316"/>
      <c r="O27" s="317"/>
      <c r="P27" s="318"/>
    </row>
    <row r="28" spans="1:18">
      <c r="A28" s="323" t="s">
        <v>487</v>
      </c>
      <c r="B28" s="117">
        <f>VLOOKUP(A28,'LEVEL 1.2 BUDGET'!$A$15:$L$318,12,FALSE)</f>
        <v>907561</v>
      </c>
      <c r="C28" s="3"/>
      <c r="D28" s="117">
        <f>VLOOKUP($A28,'LEVEL 2'!$A$15:$L$318,12,FALSE)</f>
        <v>953492.66666666674</v>
      </c>
      <c r="E28" s="3"/>
      <c r="F28" s="309">
        <f t="shared" si="0"/>
        <v>-45931.666666666744</v>
      </c>
      <c r="G28" s="325">
        <f t="shared" si="1"/>
        <v>-5.0610004910597466E-2</v>
      </c>
      <c r="I28" s="315"/>
      <c r="J28" s="316"/>
      <c r="K28" s="317"/>
      <c r="L28" s="316"/>
      <c r="M28" s="317"/>
      <c r="N28" s="316"/>
      <c r="O28" s="317"/>
      <c r="P28" s="318"/>
      <c r="R28" s="327"/>
    </row>
    <row r="29" spans="1:18">
      <c r="A29" s="323" t="s">
        <v>489</v>
      </c>
      <c r="B29" s="117">
        <f>VLOOKUP(A29,'LEVEL 1.2 BUDGET'!$A$15:$L$318,12,FALSE)</f>
        <v>0</v>
      </c>
      <c r="C29" s="3"/>
      <c r="D29" s="117">
        <f>VLOOKUP($A29,'LEVEL 2'!$A$15:$L$318,12,FALSE)</f>
        <v>0</v>
      </c>
      <c r="E29" s="3"/>
      <c r="F29" s="309">
        <f t="shared" si="0"/>
        <v>0</v>
      </c>
      <c r="G29" s="326">
        <f>IF(B29=0,0,F29/B29)</f>
        <v>0</v>
      </c>
      <c r="I29" s="315"/>
      <c r="J29" s="316"/>
      <c r="K29" s="317"/>
      <c r="L29" s="316"/>
      <c r="M29" s="317"/>
      <c r="N29" s="316"/>
      <c r="O29" s="317"/>
      <c r="P29" s="318"/>
    </row>
    <row r="30" spans="1:18">
      <c r="A30" s="323" t="s">
        <v>496</v>
      </c>
      <c r="B30" s="117">
        <f>VLOOKUP(A30,'LEVEL 1.2 BUDGET'!$A$15:$L$318,12,FALSE)</f>
        <v>439560</v>
      </c>
      <c r="C30" s="3"/>
      <c r="D30" s="117">
        <f>VLOOKUP($A30,'LEVEL 2'!$A$15:$L$318,12,FALSE)</f>
        <v>496797</v>
      </c>
      <c r="E30" s="3"/>
      <c r="F30" s="309">
        <f t="shared" si="0"/>
        <v>-57237</v>
      </c>
      <c r="G30" s="326">
        <f t="shared" ref="G30:G49" si="2">F30/B30</f>
        <v>-0.13021430521430521</v>
      </c>
      <c r="I30" s="315"/>
      <c r="J30" s="316"/>
      <c r="K30" s="317"/>
      <c r="L30" s="316"/>
      <c r="M30" s="317"/>
      <c r="N30" s="316"/>
      <c r="O30" s="317"/>
      <c r="P30" s="318"/>
    </row>
    <row r="31" spans="1:18">
      <c r="A31" s="323" t="s">
        <v>506</v>
      </c>
      <c r="B31" s="117">
        <f>VLOOKUP(A31,'LEVEL 1.2 BUDGET'!$A$15:$L$318,12,FALSE)</f>
        <v>1110813.1499999999</v>
      </c>
      <c r="C31" s="3"/>
      <c r="D31" s="117">
        <f>VLOOKUP($A31,'LEVEL 2'!$A$15:$L$318,12,FALSE)</f>
        <v>1110813.1499999999</v>
      </c>
      <c r="E31" s="3"/>
      <c r="F31" s="309">
        <f t="shared" si="0"/>
        <v>0</v>
      </c>
      <c r="G31" s="326">
        <f t="shared" si="2"/>
        <v>0</v>
      </c>
      <c r="I31" s="451"/>
      <c r="J31" s="316"/>
      <c r="K31" s="317"/>
      <c r="L31" s="316"/>
      <c r="M31" s="317"/>
      <c r="N31" s="316"/>
      <c r="O31" s="317"/>
      <c r="P31" s="318"/>
    </row>
    <row r="32" spans="1:18">
      <c r="A32" s="323" t="s">
        <v>520</v>
      </c>
      <c r="B32" s="117">
        <f>VLOOKUP(A32,'LEVEL 1.2 BUDGET'!$A$15:$L$318,12,FALSE)</f>
        <v>3688547</v>
      </c>
      <c r="C32" s="3"/>
      <c r="D32" s="117">
        <f>VLOOKUP($A32,'LEVEL 2'!$A$15:$L$318,12,FALSE)</f>
        <v>3688547</v>
      </c>
      <c r="E32" s="3"/>
      <c r="F32" s="309">
        <f t="shared" si="0"/>
        <v>0</v>
      </c>
      <c r="G32" s="326">
        <f t="shared" si="2"/>
        <v>0</v>
      </c>
      <c r="I32" s="315"/>
      <c r="J32" s="316"/>
      <c r="K32" s="317"/>
      <c r="L32" s="316"/>
      <c r="M32" s="317"/>
      <c r="N32" s="316"/>
      <c r="O32" s="317"/>
      <c r="P32" s="318"/>
    </row>
    <row r="33" spans="1:19">
      <c r="A33" s="323" t="s">
        <v>527</v>
      </c>
      <c r="B33" s="117">
        <f>VLOOKUP(A33,'LEVEL 1.2 BUDGET'!$A$15:$L$318,12,FALSE)</f>
        <v>3588865.979381443</v>
      </c>
      <c r="C33" s="3"/>
      <c r="D33" s="117">
        <f>VLOOKUP($A33,'LEVEL 2'!$A$15:$L$318,12,FALSE)</f>
        <v>3588865.979381443</v>
      </c>
      <c r="E33" s="3"/>
      <c r="F33" s="309">
        <f t="shared" si="0"/>
        <v>0</v>
      </c>
      <c r="G33" s="326">
        <f t="shared" si="2"/>
        <v>0</v>
      </c>
      <c r="I33" s="315"/>
      <c r="J33" s="316"/>
      <c r="K33" s="317"/>
      <c r="L33" s="316"/>
      <c r="M33" s="317"/>
      <c r="N33" s="316"/>
      <c r="O33" s="317"/>
      <c r="P33" s="318"/>
    </row>
    <row r="34" spans="1:19">
      <c r="A34" s="323" t="s">
        <v>561</v>
      </c>
      <c r="B34" s="117">
        <f>VLOOKUP(A34,'LEVEL 1.2 BUDGET'!$A$15:$L$318,12,FALSE)</f>
        <v>4194933.9826938845</v>
      </c>
      <c r="C34" s="3"/>
      <c r="D34" s="117">
        <f>VLOOKUP($A34,'LEVEL 2'!$A$15:$L$318,12,FALSE)</f>
        <v>4455520.8099999996</v>
      </c>
      <c r="E34" s="3"/>
      <c r="F34" s="309">
        <f t="shared" si="0"/>
        <v>-260586.82730611507</v>
      </c>
      <c r="G34" s="326">
        <f t="shared" si="2"/>
        <v>-6.2119410789576369E-2</v>
      </c>
      <c r="I34" s="315"/>
      <c r="J34" s="316"/>
      <c r="K34" s="321"/>
      <c r="L34" s="320"/>
      <c r="M34" s="321"/>
      <c r="N34" s="320"/>
      <c r="O34" s="321"/>
      <c r="P34" s="322"/>
    </row>
    <row r="35" spans="1:19">
      <c r="A35" s="323" t="s">
        <v>571</v>
      </c>
      <c r="B35" s="117">
        <f>VLOOKUP(A35,'LEVEL 1.2 BUDGET'!$A$15:$L$318,12,FALSE)</f>
        <v>166956.95000000001</v>
      </c>
      <c r="C35" s="3"/>
      <c r="D35" s="117">
        <f>VLOOKUP($A35,'LEVEL 2'!$A$15:$L$318,12,FALSE)</f>
        <v>166956.95000000001</v>
      </c>
      <c r="E35" s="3"/>
      <c r="F35" s="309">
        <f t="shared" si="0"/>
        <v>0</v>
      </c>
      <c r="G35" s="326">
        <f t="shared" si="2"/>
        <v>0</v>
      </c>
      <c r="I35" s="315"/>
      <c r="J35" s="316"/>
      <c r="K35" s="317"/>
      <c r="L35" s="316"/>
      <c r="M35" s="317"/>
      <c r="N35" s="316"/>
      <c r="O35" s="317"/>
      <c r="P35" s="318"/>
    </row>
    <row r="36" spans="1:19">
      <c r="A36" s="323" t="s">
        <v>582</v>
      </c>
      <c r="B36" s="117">
        <f>VLOOKUP(A36,'LEVEL 1.2 BUDGET'!$A$15:$L$318,12,FALSE)</f>
        <v>848751.35645618744</v>
      </c>
      <c r="C36" s="3"/>
      <c r="D36" s="117">
        <f>VLOOKUP($A36,'LEVEL 2'!$A$15:$L$318,12,FALSE)</f>
        <v>1047129.8949337261</v>
      </c>
      <c r="E36" s="3"/>
      <c r="F36" s="309">
        <f t="shared" si="0"/>
        <v>-198378.53847753862</v>
      </c>
      <c r="G36" s="326">
        <f t="shared" si="2"/>
        <v>-0.23372986324974307</v>
      </c>
      <c r="I36" s="315"/>
      <c r="J36" s="316"/>
      <c r="K36" s="317"/>
      <c r="L36" s="316"/>
      <c r="M36" s="317"/>
      <c r="N36" s="316"/>
      <c r="O36" s="317"/>
      <c r="P36" s="318"/>
    </row>
    <row r="37" spans="1:19">
      <c r="A37" s="323" t="s">
        <v>603</v>
      </c>
      <c r="B37" s="117">
        <f>VLOOKUP(A37,'LEVEL 1.2 BUDGET'!$A$15:$L$318,12,FALSE)</f>
        <v>1546728</v>
      </c>
      <c r="C37" s="3"/>
      <c r="D37" s="117">
        <f>VLOOKUP($A37,'LEVEL 2'!$A$15:$L$318,12,FALSE)</f>
        <v>1777422.4983884296</v>
      </c>
      <c r="E37" s="3"/>
      <c r="F37" s="309">
        <f t="shared" si="0"/>
        <v>-230694.49838842964</v>
      </c>
      <c r="G37" s="326">
        <f t="shared" si="2"/>
        <v>-0.14915001111276813</v>
      </c>
      <c r="I37" s="315"/>
      <c r="J37" s="316"/>
      <c r="K37" s="317"/>
      <c r="L37" s="316"/>
      <c r="M37" s="317"/>
      <c r="N37" s="316"/>
      <c r="O37" s="317"/>
      <c r="P37" s="318"/>
    </row>
    <row r="38" spans="1:19">
      <c r="A38" s="323" t="s">
        <v>679</v>
      </c>
      <c r="B38" s="117">
        <f>VLOOKUP(A38,'LEVEL 1.2 BUDGET'!$A$15:$L$318,12,FALSE)</f>
        <v>6907826.5700000003</v>
      </c>
      <c r="C38" s="3"/>
      <c r="D38" s="117">
        <f>VLOOKUP($A38,'LEVEL 2'!$A$15:$L$318,12,FALSE)</f>
        <v>5896648.9249999989</v>
      </c>
      <c r="E38" s="3"/>
      <c r="F38" s="309">
        <f t="shared" si="0"/>
        <v>1011177.6450000014</v>
      </c>
      <c r="G38" s="326">
        <f t="shared" si="2"/>
        <v>0.14638144642939427</v>
      </c>
      <c r="I38" s="315"/>
      <c r="J38" s="316"/>
      <c r="K38" s="317"/>
      <c r="L38" s="316"/>
      <c r="M38" s="317"/>
      <c r="N38" s="316"/>
      <c r="O38" s="317"/>
      <c r="P38" s="318"/>
      <c r="R38" s="327"/>
    </row>
    <row r="39" spans="1:19">
      <c r="A39" s="323" t="s">
        <v>708</v>
      </c>
      <c r="B39" s="117">
        <f>VLOOKUP(A39,'LEVEL 1.2 BUDGET'!$A$15:$L$318,12,FALSE)</f>
        <v>3305385</v>
      </c>
      <c r="C39" s="3"/>
      <c r="D39" s="117">
        <f>VLOOKUP($A39,'LEVEL 2'!$A$15:$L$318,12,FALSE)</f>
        <v>2941601.83</v>
      </c>
      <c r="E39" s="3"/>
      <c r="F39" s="309">
        <f t="shared" si="0"/>
        <v>363783.16999999993</v>
      </c>
      <c r="G39" s="326">
        <f t="shared" si="2"/>
        <v>0.11005773003749938</v>
      </c>
      <c r="I39" s="315"/>
      <c r="J39" s="316"/>
      <c r="K39" s="321"/>
      <c r="L39" s="320"/>
      <c r="M39" s="321"/>
      <c r="N39" s="320"/>
      <c r="O39" s="321"/>
      <c r="P39" s="322"/>
    </row>
    <row r="40" spans="1:19">
      <c r="A40" s="323" t="s">
        <v>710</v>
      </c>
      <c r="B40" s="117">
        <f>'LEVEL 1.2 BUDGET'!L271</f>
        <v>1288500</v>
      </c>
      <c r="C40" s="3"/>
      <c r="D40" s="117">
        <f>'LEVEL 2'!L272</f>
        <v>1488500</v>
      </c>
      <c r="E40" s="3"/>
      <c r="F40" s="309">
        <f t="shared" si="0"/>
        <v>-200000</v>
      </c>
      <c r="G40" s="310">
        <f t="shared" si="2"/>
        <v>-0.15521924718665114</v>
      </c>
      <c r="I40" s="315"/>
      <c r="J40" s="316"/>
      <c r="K40" s="317"/>
      <c r="L40" s="316"/>
      <c r="M40" s="317"/>
      <c r="N40" s="316"/>
      <c r="O40" s="317"/>
      <c r="P40" s="318"/>
    </row>
    <row r="41" spans="1:19">
      <c r="A41" s="323" t="s">
        <v>717</v>
      </c>
      <c r="B41" s="117">
        <f>VLOOKUP(A41,'LEVEL 1.2 BUDGET'!$A$15:$L$318,12,FALSE)</f>
        <v>7500</v>
      </c>
      <c r="C41" s="3"/>
      <c r="D41" s="117">
        <f>VLOOKUP($A41,'LEVEL 2'!$A$15:$L$318,12,FALSE)</f>
        <v>7500</v>
      </c>
      <c r="E41" s="3"/>
      <c r="F41" s="309">
        <f t="shared" si="0"/>
        <v>0</v>
      </c>
      <c r="G41" s="310">
        <f t="shared" si="2"/>
        <v>0</v>
      </c>
      <c r="I41" s="315"/>
      <c r="J41" s="316"/>
      <c r="K41" s="317"/>
      <c r="L41" s="316"/>
      <c r="M41" s="317"/>
      <c r="N41" s="316"/>
      <c r="O41" s="317"/>
      <c r="P41" s="318"/>
    </row>
    <row r="42" spans="1:19">
      <c r="A42" s="323" t="s">
        <v>726</v>
      </c>
      <c r="B42" s="117">
        <f>VLOOKUP(A42,'LEVEL 1.2 BUDGET'!$A$15:$L$318,12,FALSE)</f>
        <v>1077434</v>
      </c>
      <c r="C42" s="3"/>
      <c r="D42" s="117">
        <f>VLOOKUP($A42,'LEVEL 2'!$A$15:$L$318,12,FALSE)</f>
        <v>1077434</v>
      </c>
      <c r="E42" s="3"/>
      <c r="F42" s="309">
        <f t="shared" si="0"/>
        <v>0</v>
      </c>
      <c r="G42" s="310">
        <f t="shared" si="2"/>
        <v>0</v>
      </c>
      <c r="I42" s="315"/>
      <c r="J42" s="316"/>
      <c r="K42" s="317"/>
      <c r="L42" s="316"/>
      <c r="M42" s="317"/>
      <c r="N42" s="316"/>
      <c r="O42" s="317"/>
      <c r="P42" s="318"/>
    </row>
    <row r="43" spans="1:19">
      <c r="A43" s="323" t="s">
        <v>748</v>
      </c>
      <c r="B43" s="117">
        <f>VLOOKUP(A43,'LEVEL 1.2 BUDGET'!$A$15:$L$318,12,FALSE)</f>
        <v>626535.45000000007</v>
      </c>
      <c r="C43" s="3"/>
      <c r="D43" s="117">
        <f>VLOOKUP($A43,'LEVEL 2'!$A$15:$L$318,12,FALSE)</f>
        <v>502425</v>
      </c>
      <c r="E43" s="3"/>
      <c r="F43" s="309">
        <f t="shared" si="0"/>
        <v>124110.45000000007</v>
      </c>
      <c r="G43" s="310">
        <f t="shared" si="2"/>
        <v>0.19809006816773106</v>
      </c>
      <c r="I43" s="315"/>
      <c r="J43" s="316"/>
      <c r="K43" s="317"/>
      <c r="L43" s="316"/>
      <c r="M43" s="317"/>
      <c r="N43" s="316"/>
      <c r="O43" s="317"/>
      <c r="P43" s="318"/>
    </row>
    <row r="44" spans="1:19">
      <c r="A44" s="323" t="s">
        <v>751</v>
      </c>
      <c r="B44" s="117">
        <f>'LEVEL 1.2 BUDGET'!L290</f>
        <v>1112398.6699982213</v>
      </c>
      <c r="C44" s="3"/>
      <c r="D44" s="117">
        <f>'LEVEL 2'!L291</f>
        <v>1110652.364504582</v>
      </c>
      <c r="E44" s="3"/>
      <c r="F44" s="309">
        <f t="shared" si="0"/>
        <v>1746.3054936393164</v>
      </c>
      <c r="G44" s="310">
        <f t="shared" si="2"/>
        <v>1.5698557906780927E-3</v>
      </c>
      <c r="I44" s="315"/>
      <c r="J44" s="316"/>
      <c r="K44" s="317"/>
      <c r="L44" s="316"/>
      <c r="M44" s="317"/>
      <c r="N44" s="316"/>
      <c r="O44" s="317"/>
      <c r="P44" s="318"/>
      <c r="R44" s="328"/>
      <c r="S44" s="328"/>
    </row>
    <row r="45" spans="1:19">
      <c r="A45" s="323" t="s">
        <v>781</v>
      </c>
      <c r="B45" s="117">
        <f>VLOOKUP(A45,'LEVEL 1.2 BUDGET'!$A$15:$L$318,12,FALSE)</f>
        <v>1972848</v>
      </c>
      <c r="C45" s="3"/>
      <c r="D45" s="117">
        <f>VLOOKUP($A45,'LEVEL 2'!$A$15:$L$318,12,FALSE)</f>
        <v>1681753.162</v>
      </c>
      <c r="E45" s="3"/>
      <c r="F45" s="309">
        <f t="shared" si="0"/>
        <v>291094.83799999999</v>
      </c>
      <c r="G45" s="310">
        <f t="shared" si="2"/>
        <v>0.14755056547691459</v>
      </c>
      <c r="I45" s="315"/>
      <c r="J45" s="316"/>
      <c r="K45" s="317"/>
      <c r="L45" s="316"/>
      <c r="M45" s="317"/>
      <c r="N45" s="316"/>
      <c r="O45" s="317"/>
      <c r="P45" s="318"/>
      <c r="S45" s="328"/>
    </row>
    <row r="46" spans="1:19">
      <c r="A46" s="323" t="s">
        <v>783</v>
      </c>
      <c r="B46" s="117">
        <f>'LEVEL 1.2 BUDGET'!L307</f>
        <v>2782346.6749955532</v>
      </c>
      <c r="C46" s="3"/>
      <c r="D46" s="117">
        <f>'LEVEL 2'!L308</f>
        <v>2776630.9112614552</v>
      </c>
      <c r="E46" s="3"/>
      <c r="F46" s="309">
        <f t="shared" si="0"/>
        <v>5715.7637340980582</v>
      </c>
      <c r="G46" s="310">
        <f t="shared" si="2"/>
        <v>2.0542960320022643E-3</v>
      </c>
      <c r="I46" s="315"/>
      <c r="J46" s="316"/>
      <c r="K46" s="317"/>
      <c r="L46" s="316"/>
      <c r="M46" s="317"/>
      <c r="N46" s="316"/>
      <c r="O46" s="317"/>
      <c r="P46" s="318"/>
    </row>
    <row r="47" spans="1:19">
      <c r="A47" s="323" t="s">
        <v>786</v>
      </c>
      <c r="B47" s="117">
        <f>'LEVEL 1.2 BUDGET'!L309</f>
        <v>945538.86949848814</v>
      </c>
      <c r="C47" s="3"/>
      <c r="D47" s="117">
        <f>'LEVEL 2'!L310</f>
        <v>944054.50982889475</v>
      </c>
      <c r="E47" s="3"/>
      <c r="F47" s="309">
        <f t="shared" si="0"/>
        <v>1484.3596695933957</v>
      </c>
      <c r="G47" s="310">
        <f t="shared" si="2"/>
        <v>1.5698557906780679E-3</v>
      </c>
      <c r="I47" s="315"/>
      <c r="J47" s="316"/>
      <c r="K47" s="317"/>
      <c r="L47" s="316"/>
      <c r="M47" s="317"/>
      <c r="N47" s="316"/>
      <c r="O47" s="317"/>
      <c r="P47" s="318"/>
    </row>
    <row r="48" spans="1:19">
      <c r="A48" s="323" t="s">
        <v>797</v>
      </c>
      <c r="B48" s="117">
        <f>'LEVEL 1.2 BUDGET'!L313</f>
        <v>621199.33499911067</v>
      </c>
      <c r="C48" s="3"/>
      <c r="D48" s="117">
        <f>VLOOKUP($A48,'LEVEL 2'!$A$15:$L$318,12,FALSE)</f>
        <v>620326.18225229101</v>
      </c>
      <c r="E48" s="3"/>
      <c r="F48" s="309">
        <f t="shared" si="0"/>
        <v>873.1527468196582</v>
      </c>
      <c r="G48" s="325">
        <f t="shared" si="2"/>
        <v>1.4055918891492506E-3</v>
      </c>
      <c r="I48" s="315"/>
      <c r="J48" s="316"/>
      <c r="K48" s="317"/>
      <c r="L48" s="316"/>
      <c r="M48" s="317"/>
      <c r="N48" s="316"/>
      <c r="O48" s="317"/>
      <c r="P48" s="318"/>
    </row>
    <row r="49" spans="1:16">
      <c r="A49" s="329" t="s">
        <v>801</v>
      </c>
      <c r="B49" s="95">
        <f>VLOOKUP(A49,'LEVEL 1.2 BUDGET'!$A$15:$L$318,12,FALSE)</f>
        <v>4451754.6799928835</v>
      </c>
      <c r="C49" s="3"/>
      <c r="D49" s="95">
        <f>VLOOKUP($A49,'LEVEL 2'!$A$15:$L$318,12,FALSE)</f>
        <v>4451754.6799928835</v>
      </c>
      <c r="E49" s="3"/>
      <c r="F49" s="330">
        <f t="shared" si="0"/>
        <v>0</v>
      </c>
      <c r="G49" s="331">
        <f t="shared" si="2"/>
        <v>0</v>
      </c>
      <c r="I49" s="315"/>
      <c r="J49" s="316"/>
      <c r="K49" s="317"/>
      <c r="L49" s="316"/>
      <c r="M49" s="317"/>
      <c r="N49" s="316"/>
      <c r="O49" s="317"/>
      <c r="P49" s="318"/>
    </row>
    <row r="50" spans="1:16" ht="15.75" thickBot="1">
      <c r="A50" s="332" t="s">
        <v>1043</v>
      </c>
      <c r="B50" s="333">
        <f>SUM(B16:B49)</f>
        <v>68871987.739389986</v>
      </c>
      <c r="C50" s="334"/>
      <c r="D50" s="333">
        <f>SUM(D16:D49)</f>
        <v>68767993.966582954</v>
      </c>
      <c r="E50" s="334"/>
      <c r="F50" s="333">
        <f>SUM(F16:F49)</f>
        <v>103993.77280702151</v>
      </c>
      <c r="G50" s="334"/>
      <c r="H50" s="334"/>
      <c r="I50" s="335"/>
      <c r="J50" s="336"/>
      <c r="K50" s="337"/>
      <c r="L50" s="336"/>
      <c r="M50" s="337"/>
      <c r="N50" s="336"/>
      <c r="O50" s="337"/>
      <c r="P50" s="338"/>
    </row>
    <row r="51" spans="1:16">
      <c r="D51" s="327"/>
    </row>
    <row r="54" spans="1:16">
      <c r="D54" s="327"/>
    </row>
  </sheetData>
  <conditionalFormatting sqref="D2:D4 D6:D8">
    <cfRule type="expression" dxfId="116" priority="2">
      <formula>MOD(ROW(),2)</formula>
    </cfRule>
  </conditionalFormatting>
  <conditionalFormatting sqref="D10:D12">
    <cfRule type="expression" dxfId="115" priority="1">
      <formula>MOD(ROW(),2)</formula>
    </cfRule>
  </conditionalFormatting>
  <conditionalFormatting sqref="F16:G49 A2:B4 F2:G4 A6:B8 F6:G8 A10:B12 F10:G12 A16:B49 D16:D49 I16:P50">
    <cfRule type="expression" dxfId="114" priority="5">
      <formula>MOD(ROW(),2)</formula>
    </cfRule>
  </conditionalFormatting>
  <conditionalFormatting sqref="G16:G49">
    <cfRule type="cellIs" dxfId="113" priority="4" operator="lessThan">
      <formula>-$G$14</formula>
    </cfRule>
    <cfRule type="cellIs" dxfId="112" priority="6" operator="greaterThan">
      <formula>$G$14</formula>
    </cfRule>
  </conditionalFormatting>
  <dataValidations count="1">
    <dataValidation showDropDown="1" showInputMessage="1" showErrorMessage="1" sqref="B2" xr:uid="{8D8CDC66-5FC5-4758-988A-15AF200F3C4D}"/>
  </dataValidations>
  <pageMargins left="0" right="0" top="0.5" bottom="0.5" header="0.05" footer="0"/>
  <pageSetup paperSize="3" scale="95" orientation="landscape" r:id="rId1"/>
  <headerFooter>
    <oddHeader>&amp;R&amp;G</odd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CA4F-E465-45E7-8B33-46912C51EC93}">
  <dimension ref="A2:X45"/>
  <sheetViews>
    <sheetView workbookViewId="0">
      <selection activeCell="J43" sqref="J43"/>
    </sheetView>
  </sheetViews>
  <sheetFormatPr defaultRowHeight="15"/>
  <cols>
    <col min="1" max="1" width="33.85546875" customWidth="1"/>
    <col min="2" max="2" width="2.5703125" customWidth="1"/>
    <col min="3" max="3" width="21.7109375" customWidth="1"/>
    <col min="4" max="4" width="1.42578125" customWidth="1"/>
    <col min="5" max="8" width="13.28515625" customWidth="1"/>
    <col min="9" max="9" width="3.140625" customWidth="1"/>
    <col min="10" max="10" width="15.28515625" customWidth="1"/>
    <col min="11" max="11" width="1.85546875" customWidth="1"/>
    <col min="12" max="14" width="13.28515625" customWidth="1"/>
    <col min="15" max="15" width="13.28515625" style="408" customWidth="1"/>
    <col min="16" max="16" width="3" customWidth="1"/>
    <col min="17" max="17" width="13.28515625" customWidth="1"/>
    <col min="18" max="18" width="1" customWidth="1"/>
    <col min="19" max="19" width="13.28515625" customWidth="1"/>
    <col min="20" max="20" width="3" customWidth="1"/>
    <col min="21" max="24" width="12.42578125" customWidth="1"/>
  </cols>
  <sheetData>
    <row r="2" spans="1:24" ht="15.75" thickBot="1"/>
    <row r="3" spans="1:24" ht="15.75" thickBot="1">
      <c r="C3" s="1" t="s">
        <v>1044</v>
      </c>
      <c r="D3" s="1"/>
      <c r="E3" s="1"/>
      <c r="F3" s="1"/>
      <c r="G3" s="1"/>
      <c r="H3" s="1"/>
      <c r="J3" s="1" t="s">
        <v>1045</v>
      </c>
      <c r="K3" s="1"/>
      <c r="L3" s="1"/>
      <c r="M3" s="1"/>
      <c r="N3" s="1"/>
      <c r="O3" s="294"/>
      <c r="U3" s="1" t="s">
        <v>1046</v>
      </c>
      <c r="V3" s="1"/>
      <c r="W3" s="1"/>
      <c r="X3" s="1"/>
    </row>
    <row r="4" spans="1:24" ht="15.75" thickBot="1">
      <c r="J4" s="342">
        <f>'LEVEL 1.1 BUDGET'!$E$8</f>
        <v>363</v>
      </c>
      <c r="K4" s="342"/>
      <c r="L4" s="342">
        <v>190</v>
      </c>
      <c r="M4" s="342">
        <v>276</v>
      </c>
      <c r="N4" s="342">
        <v>208</v>
      </c>
      <c r="O4" s="342">
        <v>195</v>
      </c>
      <c r="Q4" s="342"/>
      <c r="S4" s="342"/>
      <c r="U4" s="342">
        <v>190</v>
      </c>
      <c r="V4" s="342">
        <v>276</v>
      </c>
      <c r="W4" s="342">
        <v>208</v>
      </c>
      <c r="X4" s="342">
        <v>195</v>
      </c>
    </row>
    <row r="5" spans="1:24" ht="15.75" thickBot="1">
      <c r="A5" s="302" t="s">
        <v>1047</v>
      </c>
      <c r="C5" s="387" t="s">
        <v>1048</v>
      </c>
      <c r="E5" s="1" t="s">
        <v>343</v>
      </c>
      <c r="F5" s="1" t="s">
        <v>486</v>
      </c>
      <c r="G5" s="1" t="s">
        <v>1049</v>
      </c>
      <c r="H5" s="1" t="s">
        <v>329</v>
      </c>
      <c r="J5" s="387" t="s">
        <v>1048</v>
      </c>
      <c r="L5" s="1" t="s">
        <v>343</v>
      </c>
      <c r="M5" s="1" t="s">
        <v>486</v>
      </c>
      <c r="N5" s="1" t="s">
        <v>1049</v>
      </c>
      <c r="O5" s="294" t="s">
        <v>329</v>
      </c>
      <c r="Q5" s="294" t="s">
        <v>1050</v>
      </c>
      <c r="S5" s="294" t="s">
        <v>1051</v>
      </c>
      <c r="U5" s="1" t="s">
        <v>343</v>
      </c>
      <c r="V5" s="1" t="s">
        <v>486</v>
      </c>
      <c r="W5" s="1" t="s">
        <v>1049</v>
      </c>
      <c r="X5" s="1" t="s">
        <v>329</v>
      </c>
    </row>
    <row r="6" spans="1:24">
      <c r="A6" s="308" t="s">
        <v>77</v>
      </c>
      <c r="C6" s="388">
        <f>VLOOKUP(A6,'LEVEL 2'!$A$13:$L$319,12,FALSE)</f>
        <v>16000</v>
      </c>
      <c r="E6" s="309">
        <v>3500</v>
      </c>
      <c r="F6" s="309">
        <v>3500</v>
      </c>
      <c r="G6" s="309">
        <v>1625</v>
      </c>
      <c r="H6" s="309">
        <v>4640</v>
      </c>
      <c r="J6" s="388">
        <f>C6/'LEVEL 1.1 BUDGET'!$E$8</f>
        <v>44.077134986225893</v>
      </c>
      <c r="L6" s="309">
        <f>E6/L$4</f>
        <v>18.421052631578949</v>
      </c>
      <c r="M6" s="309">
        <f t="shared" ref="M6:M33" si="0">F6/M$4</f>
        <v>12.681159420289855</v>
      </c>
      <c r="N6" s="309">
        <f t="shared" ref="N6:N33" si="1">G6/N$4</f>
        <v>7.8125</v>
      </c>
      <c r="O6" s="309">
        <f t="shared" ref="O6:O33" si="2">H6/O$4</f>
        <v>23.794871794871796</v>
      </c>
      <c r="Q6" s="309">
        <f>AVERAGE(L6:O6)</f>
        <v>15.67739596168515</v>
      </c>
      <c r="S6" s="309">
        <f>Q6-J6</f>
        <v>-28.399739024540743</v>
      </c>
      <c r="U6" s="309">
        <f t="shared" ref="U6:U27" si="3">$J6-L6</f>
        <v>25.656082354646944</v>
      </c>
      <c r="V6" s="309">
        <f t="shared" ref="V6:V27" si="4">$J6-M6</f>
        <v>31.395975565936038</v>
      </c>
      <c r="W6" s="309">
        <f t="shared" ref="W6:W32" si="5">$J6-N6</f>
        <v>36.264634986225893</v>
      </c>
      <c r="X6" s="309">
        <f t="shared" ref="X6:X32" si="6">$J6-O6</f>
        <v>20.282263191354097</v>
      </c>
    </row>
    <row r="7" spans="1:24">
      <c r="A7" s="308" t="s">
        <v>121</v>
      </c>
      <c r="C7" s="388">
        <f>VLOOKUP(A7,'LEVEL 2'!$A$13:$L$319,12,FALSE)</f>
        <v>2775836.1714905147</v>
      </c>
      <c r="E7" s="309">
        <v>855751.3</v>
      </c>
      <c r="F7" s="309">
        <v>2000752.3424000002</v>
      </c>
      <c r="G7" s="309">
        <v>872411</v>
      </c>
      <c r="H7" s="309">
        <v>923880.71000000008</v>
      </c>
      <c r="J7" s="388">
        <f>C7/'LEVEL 1.1 BUDGET'!$E$8</f>
        <v>7646.9316019022444</v>
      </c>
      <c r="L7" s="309">
        <f t="shared" ref="L7:L32" si="7">E7/L$4</f>
        <v>4503.9542105263163</v>
      </c>
      <c r="M7" s="309">
        <f t="shared" si="0"/>
        <v>7249.1026898550735</v>
      </c>
      <c r="N7" s="309">
        <f t="shared" si="1"/>
        <v>4194.2836538461543</v>
      </c>
      <c r="O7" s="309">
        <f t="shared" si="2"/>
        <v>4737.849794871795</v>
      </c>
      <c r="Q7" s="309">
        <f t="shared" ref="Q7:Q32" si="8">AVERAGE(L7:O7)</f>
        <v>5171.2975872748348</v>
      </c>
      <c r="S7" s="309">
        <f t="shared" ref="S7:S33" si="9">Q7-J7</f>
        <v>-2475.6340146274097</v>
      </c>
      <c r="U7" s="309">
        <f t="shared" si="3"/>
        <v>3142.9773913759282</v>
      </c>
      <c r="V7" s="309">
        <f t="shared" si="4"/>
        <v>397.82891204717089</v>
      </c>
      <c r="W7" s="309">
        <f t="shared" si="5"/>
        <v>3452.6479480560902</v>
      </c>
      <c r="X7" s="309">
        <f t="shared" si="6"/>
        <v>2909.0818070304495</v>
      </c>
    </row>
    <row r="8" spans="1:24">
      <c r="A8" s="308" t="s">
        <v>146</v>
      </c>
      <c r="C8" s="388">
        <f>VLOOKUP(A8,'LEVEL 2'!$A$13:$L$319,12,FALSE)</f>
        <v>128000</v>
      </c>
      <c r="E8" s="309">
        <v>154110</v>
      </c>
      <c r="F8" s="309">
        <v>177000</v>
      </c>
      <c r="G8" s="309">
        <v>172404.61</v>
      </c>
      <c r="H8" s="309">
        <v>113987.04</v>
      </c>
      <c r="J8" s="388">
        <f>C8/'LEVEL 1.1 BUDGET'!$E$8</f>
        <v>352.61707988980714</v>
      </c>
      <c r="L8" s="309">
        <f t="shared" si="7"/>
        <v>811.10526315789468</v>
      </c>
      <c r="M8" s="309">
        <f t="shared" si="0"/>
        <v>641.304347826087</v>
      </c>
      <c r="N8" s="309">
        <f t="shared" si="1"/>
        <v>828.86831730769222</v>
      </c>
      <c r="O8" s="309">
        <f t="shared" si="2"/>
        <v>584.54892307692307</v>
      </c>
      <c r="Q8" s="309">
        <f t="shared" si="8"/>
        <v>716.45671284214916</v>
      </c>
      <c r="S8" s="309">
        <f t="shared" si="9"/>
        <v>363.83963295234201</v>
      </c>
      <c r="U8" s="309">
        <f t="shared" si="3"/>
        <v>-458.48818326808754</v>
      </c>
      <c r="V8" s="309">
        <f t="shared" si="4"/>
        <v>-288.68726793627985</v>
      </c>
      <c r="W8" s="309">
        <f t="shared" si="5"/>
        <v>-476.25123741788508</v>
      </c>
      <c r="X8" s="309">
        <f t="shared" si="6"/>
        <v>-231.93184318711593</v>
      </c>
    </row>
    <row r="9" spans="1:24">
      <c r="A9" s="308" t="s">
        <v>175</v>
      </c>
      <c r="C9" s="388">
        <f>VLOOKUP(A9,'LEVEL 2'!$A$13:$L$319,12,FALSE)</f>
        <v>474487.5</v>
      </c>
      <c r="E9" s="309">
        <v>288724</v>
      </c>
      <c r="F9" s="309">
        <v>318241</v>
      </c>
      <c r="G9" s="309">
        <v>282542</v>
      </c>
      <c r="H9" s="309">
        <v>293620</v>
      </c>
      <c r="J9" s="388">
        <f>C9/'LEVEL 1.1 BUDGET'!$E$8</f>
        <v>1307.1280991735537</v>
      </c>
      <c r="L9" s="309">
        <f t="shared" si="7"/>
        <v>1519.6</v>
      </c>
      <c r="M9" s="309">
        <f t="shared" si="0"/>
        <v>1153.0471014492753</v>
      </c>
      <c r="N9" s="309">
        <f t="shared" si="1"/>
        <v>1358.375</v>
      </c>
      <c r="O9" s="309">
        <f t="shared" si="2"/>
        <v>1505.7435897435898</v>
      </c>
      <c r="Q9" s="309">
        <f t="shared" si="8"/>
        <v>1384.1914227982163</v>
      </c>
      <c r="S9" s="309">
        <f t="shared" si="9"/>
        <v>77.063323624662644</v>
      </c>
      <c r="U9" s="309">
        <f t="shared" si="3"/>
        <v>-212.47190082644624</v>
      </c>
      <c r="V9" s="309">
        <f t="shared" si="4"/>
        <v>154.0809977242784</v>
      </c>
      <c r="W9" s="309">
        <f t="shared" si="5"/>
        <v>-51.246900826446335</v>
      </c>
      <c r="X9" s="309">
        <f t="shared" si="6"/>
        <v>-198.61549057003617</v>
      </c>
    </row>
    <row r="10" spans="1:24">
      <c r="A10" s="308" t="s">
        <v>220</v>
      </c>
      <c r="C10" s="388">
        <f>VLOOKUP(A10,'LEVEL 2'!$A$13:$L$319,12,FALSE)</f>
        <v>8515537.769804569</v>
      </c>
      <c r="E10" s="309">
        <v>4782473.5</v>
      </c>
      <c r="F10" s="309">
        <v>7142611.9220512817</v>
      </c>
      <c r="G10" s="309">
        <v>5373532.5699999994</v>
      </c>
      <c r="H10" s="309">
        <v>4318539.1400000006</v>
      </c>
      <c r="J10" s="388">
        <f>C10/'LEVEL 1.1 BUDGET'!$E$8</f>
        <v>23458.781734998811</v>
      </c>
      <c r="L10" s="309">
        <f t="shared" si="7"/>
        <v>25170.913157894738</v>
      </c>
      <c r="M10" s="309">
        <f t="shared" si="0"/>
        <v>25879.028703084354</v>
      </c>
      <c r="N10" s="309">
        <f t="shared" si="1"/>
        <v>25834.291201923075</v>
      </c>
      <c r="O10" s="309">
        <f t="shared" si="2"/>
        <v>22146.354564102567</v>
      </c>
      <c r="Q10" s="309">
        <f t="shared" si="8"/>
        <v>24757.646906751183</v>
      </c>
      <c r="S10" s="309">
        <f t="shared" si="9"/>
        <v>1298.8651717523717</v>
      </c>
      <c r="U10" s="309">
        <f t="shared" si="3"/>
        <v>-1712.1314228959272</v>
      </c>
      <c r="V10" s="309">
        <f t="shared" si="4"/>
        <v>-2420.2469680855429</v>
      </c>
      <c r="W10" s="309">
        <f t="shared" si="5"/>
        <v>-2375.5094669242644</v>
      </c>
      <c r="X10" s="309">
        <f t="shared" si="6"/>
        <v>1312.4271708962442</v>
      </c>
    </row>
    <row r="11" spans="1:24">
      <c r="A11" s="308" t="s">
        <v>267</v>
      </c>
      <c r="C11" s="388">
        <f>VLOOKUP(A11,'LEVEL 2'!$A$13:$L$319,12,FALSE)</f>
        <v>2366346.0099999998</v>
      </c>
      <c r="E11" s="309">
        <v>886843.75</v>
      </c>
      <c r="F11" s="309">
        <v>1514404.5</v>
      </c>
      <c r="G11" s="309">
        <v>925801</v>
      </c>
      <c r="H11" s="309">
        <v>815319.47</v>
      </c>
      <c r="J11" s="388">
        <f>C11/'LEVEL 1.1 BUDGET'!$E$8</f>
        <v>6518.8595316804403</v>
      </c>
      <c r="L11" s="309">
        <f t="shared" si="7"/>
        <v>4667.5986842105267</v>
      </c>
      <c r="M11" s="309">
        <f t="shared" si="0"/>
        <v>5486.972826086957</v>
      </c>
      <c r="N11" s="309">
        <f t="shared" si="1"/>
        <v>4450.9663461538457</v>
      </c>
      <c r="O11" s="309">
        <f t="shared" si="2"/>
        <v>4181.1254871794872</v>
      </c>
      <c r="Q11" s="309">
        <f t="shared" si="8"/>
        <v>4696.6658359077037</v>
      </c>
      <c r="S11" s="309">
        <f t="shared" si="9"/>
        <v>-1822.1936957727366</v>
      </c>
      <c r="U11" s="309">
        <f t="shared" si="3"/>
        <v>1851.2608474699136</v>
      </c>
      <c r="V11" s="309">
        <f t="shared" si="4"/>
        <v>1031.8867055934834</v>
      </c>
      <c r="W11" s="309">
        <f t="shared" si="5"/>
        <v>2067.8931855265946</v>
      </c>
      <c r="X11" s="309">
        <f t="shared" si="6"/>
        <v>2337.7340445009531</v>
      </c>
    </row>
    <row r="12" spans="1:24">
      <c r="A12" s="308" t="s">
        <v>297</v>
      </c>
      <c r="C12" s="388">
        <f>VLOOKUP(A12,'LEVEL 2'!$A$13:$L$319,12,FALSE)</f>
        <v>679200</v>
      </c>
      <c r="E12" s="309">
        <v>462292.91000000003</v>
      </c>
      <c r="F12" s="309">
        <v>695411</v>
      </c>
      <c r="G12" s="309">
        <v>448928.79</v>
      </c>
      <c r="H12" s="309">
        <v>404995.16</v>
      </c>
      <c r="J12" s="388">
        <f>C12/'LEVEL 1.1 BUDGET'!$E$8</f>
        <v>1871.0743801652893</v>
      </c>
      <c r="L12" s="309">
        <f t="shared" si="7"/>
        <v>2433.1205789473688</v>
      </c>
      <c r="M12" s="309">
        <f t="shared" si="0"/>
        <v>2519.605072463768</v>
      </c>
      <c r="N12" s="309">
        <f t="shared" si="1"/>
        <v>2158.3114903846154</v>
      </c>
      <c r="O12" s="309">
        <f t="shared" si="2"/>
        <v>2076.8982564102562</v>
      </c>
      <c r="Q12" s="309">
        <f t="shared" si="8"/>
        <v>2296.9838495515023</v>
      </c>
      <c r="S12" s="309">
        <f t="shared" si="9"/>
        <v>425.909469386213</v>
      </c>
      <c r="U12" s="309">
        <f t="shared" si="3"/>
        <v>-562.0461987820795</v>
      </c>
      <c r="V12" s="309">
        <f t="shared" si="4"/>
        <v>-648.5306922984787</v>
      </c>
      <c r="W12" s="309">
        <f t="shared" si="5"/>
        <v>-287.23711021932604</v>
      </c>
      <c r="X12" s="309">
        <f t="shared" si="6"/>
        <v>-205.82387624496687</v>
      </c>
    </row>
    <row r="13" spans="1:24">
      <c r="A13" s="308" t="s">
        <v>391</v>
      </c>
      <c r="C13" s="388">
        <f>VLOOKUP(A13,'LEVEL 2'!$A$13:$L$319,12,FALSE)</f>
        <v>5963501.3854374392</v>
      </c>
      <c r="E13" s="309">
        <v>3275902.9399999995</v>
      </c>
      <c r="F13" s="309">
        <v>4733364.5183506086</v>
      </c>
      <c r="G13" s="309">
        <v>3225416.6799999997</v>
      </c>
      <c r="H13" s="309">
        <v>2994978.8699999996</v>
      </c>
      <c r="J13" s="388">
        <f>C13/'LEVEL 1.1 BUDGET'!$E$8</f>
        <v>16428.378472279448</v>
      </c>
      <c r="L13" s="309">
        <f t="shared" si="7"/>
        <v>17241.594421052629</v>
      </c>
      <c r="M13" s="309">
        <f t="shared" si="0"/>
        <v>17149.871443299307</v>
      </c>
      <c r="N13" s="309">
        <f t="shared" si="1"/>
        <v>15506.81096153846</v>
      </c>
      <c r="O13" s="309">
        <f t="shared" si="2"/>
        <v>15358.865999999998</v>
      </c>
      <c r="Q13" s="309">
        <f t="shared" si="8"/>
        <v>16314.285706472598</v>
      </c>
      <c r="S13" s="309">
        <f t="shared" si="9"/>
        <v>-114.09276580685037</v>
      </c>
      <c r="U13" s="309">
        <f t="shared" si="3"/>
        <v>-813.21594877318057</v>
      </c>
      <c r="V13" s="309">
        <f t="shared" si="4"/>
        <v>-721.4929710198594</v>
      </c>
      <c r="W13" s="309">
        <f t="shared" si="5"/>
        <v>921.56751074098793</v>
      </c>
      <c r="X13" s="309">
        <f t="shared" si="6"/>
        <v>1069.5124722794499</v>
      </c>
    </row>
    <row r="14" spans="1:24">
      <c r="A14" s="323" t="s">
        <v>431</v>
      </c>
      <c r="C14" s="388">
        <f>VLOOKUP(A14,'LEVEL 2'!$A$13:$L$319,12,FALSE)</f>
        <v>525785</v>
      </c>
      <c r="E14" s="309">
        <v>207648</v>
      </c>
      <c r="F14" s="309">
        <v>271520.35126459366</v>
      </c>
      <c r="G14" s="309">
        <v>177129.21000000002</v>
      </c>
      <c r="H14" s="309">
        <v>183305.16999999998</v>
      </c>
      <c r="J14" s="388">
        <f>C14/'LEVEL 1.1 BUDGET'!$E$8</f>
        <v>1448.4435261707988</v>
      </c>
      <c r="L14" s="309">
        <f t="shared" si="7"/>
        <v>1092.8842105263159</v>
      </c>
      <c r="M14" s="309">
        <f t="shared" si="0"/>
        <v>983.76938863983207</v>
      </c>
      <c r="N14" s="309">
        <f t="shared" si="1"/>
        <v>851.58274038461548</v>
      </c>
      <c r="O14" s="309">
        <f t="shared" si="2"/>
        <v>940.02651282051272</v>
      </c>
      <c r="Q14" s="309">
        <f t="shared" si="8"/>
        <v>967.06571309281912</v>
      </c>
      <c r="S14" s="309">
        <f t="shared" si="9"/>
        <v>-481.37781307797968</v>
      </c>
      <c r="U14" s="309">
        <f t="shared" si="3"/>
        <v>355.55931564448292</v>
      </c>
      <c r="V14" s="309">
        <f t="shared" si="4"/>
        <v>464.67413753096673</v>
      </c>
      <c r="W14" s="309">
        <f t="shared" si="5"/>
        <v>596.86078578618333</v>
      </c>
      <c r="X14" s="309">
        <f t="shared" si="6"/>
        <v>508.41701335028608</v>
      </c>
    </row>
    <row r="15" spans="1:24">
      <c r="A15" s="323" t="s">
        <v>440</v>
      </c>
      <c r="C15" s="389">
        <f>VLOOKUP(A15,'LEVEL 2'!$A$13:$L$319,12,FALSE)</f>
        <v>1379826.1605263159</v>
      </c>
      <c r="E15" s="117">
        <v>555940</v>
      </c>
      <c r="F15" s="117">
        <v>838575.4</v>
      </c>
      <c r="G15" s="117">
        <v>586774</v>
      </c>
      <c r="H15" s="117">
        <v>619814</v>
      </c>
      <c r="J15" s="389">
        <f>C15/'LEVEL 1.1 BUDGET'!$E$8</f>
        <v>3801.1739959402644</v>
      </c>
      <c r="L15" s="117">
        <f t="shared" si="7"/>
        <v>2926</v>
      </c>
      <c r="M15" s="117">
        <f t="shared" si="0"/>
        <v>3038.3166666666666</v>
      </c>
      <c r="N15" s="117">
        <f t="shared" si="1"/>
        <v>2821.0288461538462</v>
      </c>
      <c r="O15" s="117">
        <f t="shared" si="2"/>
        <v>3178.5333333333333</v>
      </c>
      <c r="Q15" s="117">
        <f t="shared" si="8"/>
        <v>2990.9697115384615</v>
      </c>
      <c r="S15" s="117">
        <f t="shared" si="9"/>
        <v>-810.20428440180285</v>
      </c>
      <c r="U15" s="117">
        <f t="shared" si="3"/>
        <v>875.17399594026438</v>
      </c>
      <c r="V15" s="117">
        <f t="shared" si="4"/>
        <v>762.85732927359777</v>
      </c>
      <c r="W15" s="117">
        <f t="shared" si="5"/>
        <v>980.14514978641819</v>
      </c>
      <c r="X15" s="117">
        <f t="shared" si="6"/>
        <v>622.64066260693107</v>
      </c>
    </row>
    <row r="16" spans="1:24">
      <c r="A16" s="323" t="s">
        <v>476</v>
      </c>
      <c r="C16" s="389">
        <f>VLOOKUP(A16,'LEVEL 2'!$A$13:$L$319,12,FALSE)</f>
        <v>1826689.3615999999</v>
      </c>
      <c r="E16" s="117">
        <v>1126769</v>
      </c>
      <c r="F16" s="117">
        <v>1462590.0699999998</v>
      </c>
      <c r="G16" s="117">
        <v>1141152.82</v>
      </c>
      <c r="H16" s="117">
        <v>1036514.13</v>
      </c>
      <c r="J16" s="389">
        <f>C16/'LEVEL 1.1 BUDGET'!$E$8</f>
        <v>5032.2020980716252</v>
      </c>
      <c r="L16" s="117">
        <f t="shared" si="7"/>
        <v>5930.363157894737</v>
      </c>
      <c r="M16" s="117">
        <f t="shared" si="0"/>
        <v>5299.2393840579707</v>
      </c>
      <c r="N16" s="117">
        <f t="shared" si="1"/>
        <v>5486.3116346153847</v>
      </c>
      <c r="O16" s="117">
        <f t="shared" si="2"/>
        <v>5315.4570769230768</v>
      </c>
      <c r="Q16" s="117">
        <f t="shared" si="8"/>
        <v>5507.8428133727921</v>
      </c>
      <c r="S16" s="117">
        <f t="shared" si="9"/>
        <v>475.64071530116689</v>
      </c>
      <c r="U16" s="117">
        <f t="shared" si="3"/>
        <v>-898.16105982311183</v>
      </c>
      <c r="V16" s="117">
        <f t="shared" si="4"/>
        <v>-267.03728598634552</v>
      </c>
      <c r="W16" s="117">
        <f t="shared" si="5"/>
        <v>-454.10953654375953</v>
      </c>
      <c r="X16" s="117">
        <f t="shared" si="6"/>
        <v>-283.2549788514516</v>
      </c>
    </row>
    <row r="17" spans="1:24">
      <c r="A17" s="323" t="s">
        <v>487</v>
      </c>
      <c r="C17" s="389">
        <f>VLOOKUP(A17,'LEVEL 2'!$A$13:$L$319,12,FALSE)</f>
        <v>953492.66666666674</v>
      </c>
      <c r="E17" s="117">
        <v>514455.07</v>
      </c>
      <c r="F17" s="117">
        <v>731169</v>
      </c>
      <c r="G17" s="117">
        <v>488086</v>
      </c>
      <c r="H17" s="117">
        <v>456527</v>
      </c>
      <c r="J17" s="389">
        <f>C17/'LEVEL 1.1 BUDGET'!$E$8</f>
        <v>2626.7015610651974</v>
      </c>
      <c r="L17" s="117">
        <f t="shared" si="7"/>
        <v>2707.6582631578949</v>
      </c>
      <c r="M17" s="117">
        <f t="shared" si="0"/>
        <v>2649.163043478261</v>
      </c>
      <c r="N17" s="117">
        <f t="shared" si="1"/>
        <v>2346.5673076923076</v>
      </c>
      <c r="O17" s="117">
        <f t="shared" si="2"/>
        <v>2341.1641025641024</v>
      </c>
      <c r="Q17" s="117">
        <f t="shared" si="8"/>
        <v>2511.1381792231414</v>
      </c>
      <c r="S17" s="117">
        <f t="shared" si="9"/>
        <v>-115.56338184205606</v>
      </c>
      <c r="U17" s="117">
        <f t="shared" si="3"/>
        <v>-80.956702092697469</v>
      </c>
      <c r="V17" s="117">
        <f t="shared" si="4"/>
        <v>-22.46148241306355</v>
      </c>
      <c r="W17" s="117">
        <f t="shared" si="5"/>
        <v>280.13425337288982</v>
      </c>
      <c r="X17" s="117">
        <f t="shared" si="6"/>
        <v>285.53745850109499</v>
      </c>
    </row>
    <row r="18" spans="1:24">
      <c r="A18" s="323" t="s">
        <v>496</v>
      </c>
      <c r="C18" s="389">
        <f>VLOOKUP(A18,'LEVEL 2'!$A$13:$L$319,12,FALSE)</f>
        <v>496797</v>
      </c>
      <c r="E18" s="117">
        <v>337555</v>
      </c>
      <c r="F18" s="117">
        <v>501480</v>
      </c>
      <c r="G18" s="117">
        <v>572503</v>
      </c>
      <c r="H18" s="117">
        <v>321100</v>
      </c>
      <c r="J18" s="389">
        <f>C18/'LEVEL 1.1 BUDGET'!$E$8</f>
        <v>1368.5867768595042</v>
      </c>
      <c r="L18" s="117">
        <f t="shared" si="7"/>
        <v>1776.6052631578948</v>
      </c>
      <c r="M18" s="117">
        <f t="shared" si="0"/>
        <v>1816.9565217391305</v>
      </c>
      <c r="N18" s="117">
        <f t="shared" si="1"/>
        <v>2752.4182692307691</v>
      </c>
      <c r="O18" s="117">
        <f t="shared" si="2"/>
        <v>1646.6666666666667</v>
      </c>
      <c r="Q18" s="117">
        <f t="shared" si="8"/>
        <v>1998.1616801986154</v>
      </c>
      <c r="S18" s="117">
        <f t="shared" si="9"/>
        <v>629.57490333911119</v>
      </c>
      <c r="U18" s="117">
        <f t="shared" si="3"/>
        <v>-408.0184862983906</v>
      </c>
      <c r="V18" s="117">
        <f t="shared" si="4"/>
        <v>-448.3697448796263</v>
      </c>
      <c r="W18" s="117">
        <f t="shared" si="5"/>
        <v>-1383.8314923712649</v>
      </c>
      <c r="X18" s="117">
        <f t="shared" si="6"/>
        <v>-278.07988980716254</v>
      </c>
    </row>
    <row r="19" spans="1:24">
      <c r="A19" s="323" t="s">
        <v>506</v>
      </c>
      <c r="C19" s="389">
        <f>VLOOKUP(A19,'LEVEL 2'!$A$13:$L$319,12,FALSE)</f>
        <v>1110813.1499999999</v>
      </c>
      <c r="E19" s="117">
        <v>661214.75</v>
      </c>
      <c r="F19" s="117">
        <v>877427.94</v>
      </c>
      <c r="G19" s="117">
        <v>565239</v>
      </c>
      <c r="H19" s="117">
        <v>729173.6</v>
      </c>
      <c r="J19" s="389">
        <f>C19/'LEVEL 1.1 BUDGET'!$E$8</f>
        <v>3060.0913223140492</v>
      </c>
      <c r="L19" s="117">
        <f t="shared" si="7"/>
        <v>3480.0776315789471</v>
      </c>
      <c r="M19" s="117">
        <f t="shared" si="0"/>
        <v>3179.0867391304346</v>
      </c>
      <c r="N19" s="117">
        <f t="shared" si="1"/>
        <v>2717.4951923076924</v>
      </c>
      <c r="O19" s="117">
        <f t="shared" si="2"/>
        <v>3739.3517948717949</v>
      </c>
      <c r="Q19" s="117">
        <f t="shared" si="8"/>
        <v>3279.0028394722171</v>
      </c>
      <c r="S19" s="117">
        <f t="shared" si="9"/>
        <v>218.91151715816795</v>
      </c>
      <c r="U19" s="117">
        <f t="shared" si="3"/>
        <v>-419.98630926489795</v>
      </c>
      <c r="V19" s="117">
        <f t="shared" si="4"/>
        <v>-118.99541681638539</v>
      </c>
      <c r="W19" s="117">
        <f t="shared" si="5"/>
        <v>342.59613000635682</v>
      </c>
      <c r="X19" s="117">
        <f t="shared" si="6"/>
        <v>-679.26047255774574</v>
      </c>
    </row>
    <row r="20" spans="1:24">
      <c r="A20" s="323" t="s">
        <v>520</v>
      </c>
      <c r="C20" s="389">
        <f>VLOOKUP(A20,'LEVEL 2'!$A$13:$L$319,12,FALSE)</f>
        <v>3688547</v>
      </c>
      <c r="E20" s="117">
        <v>2166278.5</v>
      </c>
      <c r="F20" s="117">
        <v>2970301.9</v>
      </c>
      <c r="G20" s="117">
        <v>2502732</v>
      </c>
      <c r="H20" s="117">
        <v>1962617</v>
      </c>
      <c r="J20" s="389">
        <f>C20/'LEVEL 1.1 BUDGET'!$E$8</f>
        <v>10161.28650137741</v>
      </c>
      <c r="L20" s="117">
        <f t="shared" si="7"/>
        <v>11401.465789473685</v>
      </c>
      <c r="M20" s="117">
        <f t="shared" si="0"/>
        <v>10761.963405797102</v>
      </c>
      <c r="N20" s="117">
        <f t="shared" si="1"/>
        <v>12032.365384615385</v>
      </c>
      <c r="O20" s="117">
        <f t="shared" si="2"/>
        <v>10064.702564102565</v>
      </c>
      <c r="Q20" s="117">
        <f t="shared" si="8"/>
        <v>11065.124285997183</v>
      </c>
      <c r="S20" s="117">
        <f t="shared" si="9"/>
        <v>903.83778461977272</v>
      </c>
      <c r="U20" s="117">
        <f t="shared" si="3"/>
        <v>-1240.1792880962748</v>
      </c>
      <c r="V20" s="117">
        <f t="shared" si="4"/>
        <v>-600.67690441969171</v>
      </c>
      <c r="W20" s="117">
        <f t="shared" si="5"/>
        <v>-1871.0788832379749</v>
      </c>
      <c r="X20" s="117">
        <f t="shared" si="6"/>
        <v>96.583937274845084</v>
      </c>
    </row>
    <row r="21" spans="1:24">
      <c r="A21" s="323" t="s">
        <v>527</v>
      </c>
      <c r="C21" s="389">
        <f>VLOOKUP(A21,'LEVEL 2'!$A$13:$L$319,12,FALSE)</f>
        <v>3588865.979381443</v>
      </c>
      <c r="E21" s="117">
        <v>1751619.5</v>
      </c>
      <c r="F21" s="117">
        <v>2852260.2</v>
      </c>
      <c r="G21" s="117">
        <v>2193825</v>
      </c>
      <c r="H21" s="117">
        <v>1799105</v>
      </c>
      <c r="J21" s="389">
        <f>C21/'LEVEL 1.1 BUDGET'!$E$8</f>
        <v>9886.6831387918537</v>
      </c>
      <c r="L21" s="117">
        <f t="shared" si="7"/>
        <v>9219.0499999999993</v>
      </c>
      <c r="M21" s="117">
        <f t="shared" si="0"/>
        <v>10334.276086956523</v>
      </c>
      <c r="N21" s="117">
        <f t="shared" si="1"/>
        <v>10547.235576923076</v>
      </c>
      <c r="O21" s="117">
        <f t="shared" si="2"/>
        <v>9226.1794871794864</v>
      </c>
      <c r="Q21" s="117">
        <f t="shared" si="8"/>
        <v>9831.6852877647707</v>
      </c>
      <c r="S21" s="117">
        <f t="shared" si="9"/>
        <v>-54.997851027083016</v>
      </c>
      <c r="U21" s="117">
        <f t="shared" si="3"/>
        <v>667.63313879185444</v>
      </c>
      <c r="V21" s="117">
        <f t="shared" si="4"/>
        <v>-447.592948164669</v>
      </c>
      <c r="W21" s="117">
        <f t="shared" si="5"/>
        <v>-660.55243813122252</v>
      </c>
      <c r="X21" s="117">
        <f t="shared" si="6"/>
        <v>660.50365161236732</v>
      </c>
    </row>
    <row r="22" spans="1:24">
      <c r="A22" s="323" t="s">
        <v>561</v>
      </c>
      <c r="C22" s="389">
        <f>VLOOKUP(A22,'LEVEL 2'!$A$13:$L$319,12,FALSE)</f>
        <v>4455520.8099999996</v>
      </c>
      <c r="E22" s="117">
        <v>2257308</v>
      </c>
      <c r="F22" s="117">
        <v>3362672.25</v>
      </c>
      <c r="G22" s="117">
        <v>2387312.5</v>
      </c>
      <c r="H22" s="117">
        <v>2151632.7000000002</v>
      </c>
      <c r="J22" s="389">
        <f>C22/'LEVEL 1.1 BUDGET'!$E$8</f>
        <v>12274.162011019283</v>
      </c>
      <c r="L22" s="117">
        <f t="shared" si="7"/>
        <v>11880.568421052632</v>
      </c>
      <c r="M22" s="117">
        <f t="shared" si="0"/>
        <v>12183.595108695652</v>
      </c>
      <c r="N22" s="117">
        <f t="shared" si="1"/>
        <v>11477.463942307691</v>
      </c>
      <c r="O22" s="117">
        <f t="shared" si="2"/>
        <v>11034.013846153846</v>
      </c>
      <c r="Q22" s="117">
        <f t="shared" si="8"/>
        <v>11643.910329552455</v>
      </c>
      <c r="S22" s="117">
        <f t="shared" si="9"/>
        <v>-630.25168146682881</v>
      </c>
      <c r="U22" s="117">
        <f t="shared" si="3"/>
        <v>393.59358996665105</v>
      </c>
      <c r="V22" s="117">
        <f t="shared" si="4"/>
        <v>90.566902323631439</v>
      </c>
      <c r="W22" s="117">
        <f t="shared" si="5"/>
        <v>796.69806871159199</v>
      </c>
      <c r="X22" s="117">
        <f t="shared" si="6"/>
        <v>1240.1481648654371</v>
      </c>
    </row>
    <row r="23" spans="1:24">
      <c r="A23" s="323" t="s">
        <v>571</v>
      </c>
      <c r="C23" s="389">
        <f>VLOOKUP(A23,'LEVEL 2'!$A$13:$L$319,12,FALSE)</f>
        <v>166956.95000000001</v>
      </c>
      <c r="E23" s="117">
        <v>900</v>
      </c>
      <c r="F23" s="117">
        <v>1000</v>
      </c>
      <c r="G23" s="117">
        <v>0</v>
      </c>
      <c r="H23" s="117">
        <v>0</v>
      </c>
      <c r="J23" s="389">
        <f>C23/'LEVEL 1.1 BUDGET'!$E$8</f>
        <v>459.93650137741048</v>
      </c>
      <c r="L23" s="117">
        <f t="shared" si="7"/>
        <v>4.7368421052631575</v>
      </c>
      <c r="M23" s="117">
        <f t="shared" si="0"/>
        <v>3.6231884057971016</v>
      </c>
      <c r="N23" s="117">
        <f t="shared" si="1"/>
        <v>0</v>
      </c>
      <c r="O23" s="117">
        <f t="shared" si="2"/>
        <v>0</v>
      </c>
      <c r="Q23" s="117">
        <f t="shared" si="8"/>
        <v>2.0900076277650648</v>
      </c>
      <c r="S23" s="117">
        <f t="shared" si="9"/>
        <v>-457.84649374964539</v>
      </c>
      <c r="U23" s="117">
        <f t="shared" si="3"/>
        <v>455.1996592721473</v>
      </c>
      <c r="V23" s="117">
        <f t="shared" si="4"/>
        <v>456.31331297161336</v>
      </c>
      <c r="W23" s="117">
        <f t="shared" si="5"/>
        <v>459.93650137741048</v>
      </c>
      <c r="X23" s="117">
        <f t="shared" si="6"/>
        <v>459.93650137741048</v>
      </c>
    </row>
    <row r="24" spans="1:24">
      <c r="A24" s="323" t="s">
        <v>582</v>
      </c>
      <c r="C24" s="389">
        <f>VLOOKUP(A24,'LEVEL 2'!$A$13:$L$319,12,FALSE)</f>
        <v>1047129.8949337261</v>
      </c>
      <c r="E24" s="117">
        <v>464996.5</v>
      </c>
      <c r="F24" s="117">
        <v>574065.07000000007</v>
      </c>
      <c r="G24" s="117">
        <v>697535</v>
      </c>
      <c r="H24" s="117">
        <v>437564.8</v>
      </c>
      <c r="J24" s="389">
        <f>C24/'LEVEL 1.1 BUDGET'!$E$8</f>
        <v>2884.6553579441488</v>
      </c>
      <c r="L24" s="117">
        <f t="shared" si="7"/>
        <v>2447.35</v>
      </c>
      <c r="M24" s="117">
        <f t="shared" si="0"/>
        <v>2079.9459057971017</v>
      </c>
      <c r="N24" s="117">
        <f t="shared" si="1"/>
        <v>3353.5336538461538</v>
      </c>
      <c r="O24" s="117">
        <f t="shared" si="2"/>
        <v>2243.9220512820511</v>
      </c>
      <c r="Q24" s="117">
        <f t="shared" si="8"/>
        <v>2531.1879027313271</v>
      </c>
      <c r="S24" s="117">
        <f t="shared" si="9"/>
        <v>-353.46745521282173</v>
      </c>
      <c r="U24" s="117">
        <f t="shared" si="3"/>
        <v>437.30535794414891</v>
      </c>
      <c r="V24" s="117">
        <f t="shared" si="4"/>
        <v>804.70945214704716</v>
      </c>
      <c r="W24" s="117">
        <f t="shared" si="5"/>
        <v>-468.87829590200499</v>
      </c>
      <c r="X24" s="117">
        <f t="shared" si="6"/>
        <v>640.73330666209768</v>
      </c>
    </row>
    <row r="25" spans="1:24">
      <c r="A25" s="323" t="s">
        <v>603</v>
      </c>
      <c r="C25" s="389">
        <f>VLOOKUP(A25,'LEVEL 2'!$A$13:$L$319,12,FALSE)</f>
        <v>1777422.4983884296</v>
      </c>
      <c r="E25" s="117">
        <v>609629.75</v>
      </c>
      <c r="F25" s="117">
        <v>854419.76190476189</v>
      </c>
      <c r="G25" s="117">
        <v>326803</v>
      </c>
      <c r="H25" s="117">
        <v>361123.31</v>
      </c>
      <c r="J25" s="389">
        <f>C25/'LEVEL 1.1 BUDGET'!$E$8</f>
        <v>4896.480711813856</v>
      </c>
      <c r="L25" s="117">
        <f t="shared" si="7"/>
        <v>3208.5776315789471</v>
      </c>
      <c r="M25" s="117">
        <f t="shared" si="0"/>
        <v>3095.723775017253</v>
      </c>
      <c r="N25" s="117">
        <f t="shared" si="1"/>
        <v>1571.1682692307693</v>
      </c>
      <c r="O25" s="117">
        <f t="shared" si="2"/>
        <v>1851.9144102564103</v>
      </c>
      <c r="Q25" s="117">
        <f t="shared" si="8"/>
        <v>2431.8460215208447</v>
      </c>
      <c r="S25" s="117">
        <f t="shared" si="9"/>
        <v>-2464.6346902930113</v>
      </c>
      <c r="U25" s="117">
        <f t="shared" si="3"/>
        <v>1687.9030802349089</v>
      </c>
      <c r="V25" s="117">
        <f t="shared" si="4"/>
        <v>1800.756936796603</v>
      </c>
      <c r="W25" s="117">
        <f t="shared" si="5"/>
        <v>3325.3124425830865</v>
      </c>
      <c r="X25" s="117">
        <f t="shared" si="6"/>
        <v>3044.5663015574455</v>
      </c>
    </row>
    <row r="26" spans="1:24">
      <c r="A26" s="323" t="s">
        <v>679</v>
      </c>
      <c r="C26" s="389">
        <f>VLOOKUP(A26,'LEVEL 2'!$A$13:$L$319,12,FALSE)</f>
        <v>5896648.9249999989</v>
      </c>
      <c r="E26" s="117">
        <v>2186782.4500000002</v>
      </c>
      <c r="F26" s="117">
        <v>3890600.497830769</v>
      </c>
      <c r="G26" s="117">
        <v>1626346.92</v>
      </c>
      <c r="H26" s="117">
        <v>1854247.8599999999</v>
      </c>
      <c r="J26" s="389">
        <f>C26/'LEVEL 1.1 BUDGET'!$E$8</f>
        <v>16244.211914600548</v>
      </c>
      <c r="L26" s="117">
        <f t="shared" si="7"/>
        <v>11509.381315789475</v>
      </c>
      <c r="M26" s="117">
        <f t="shared" si="0"/>
        <v>14096.378615328873</v>
      </c>
      <c r="N26" s="117">
        <f t="shared" si="1"/>
        <v>7818.9755769230769</v>
      </c>
      <c r="O26" s="117">
        <f t="shared" si="2"/>
        <v>9508.9633846153847</v>
      </c>
      <c r="Q26" s="117">
        <f t="shared" si="8"/>
        <v>10733.424723164204</v>
      </c>
      <c r="S26" s="117">
        <f t="shared" si="9"/>
        <v>-5510.7871914363441</v>
      </c>
      <c r="U26" s="117">
        <f t="shared" si="3"/>
        <v>4734.8305988110733</v>
      </c>
      <c r="V26" s="117">
        <f t="shared" si="4"/>
        <v>2147.8332992716751</v>
      </c>
      <c r="W26" s="117">
        <f t="shared" si="5"/>
        <v>8425.2363376774701</v>
      </c>
      <c r="X26" s="117">
        <f t="shared" si="6"/>
        <v>6735.2485299851633</v>
      </c>
    </row>
    <row r="27" spans="1:24">
      <c r="A27" s="323" t="s">
        <v>708</v>
      </c>
      <c r="C27" s="389">
        <f>VLOOKUP(A27,'LEVEL 2'!$A$13:$L$319,12,FALSE)</f>
        <v>2941601.83</v>
      </c>
      <c r="E27" s="117">
        <v>1788881</v>
      </c>
      <c r="F27" s="117">
        <v>2288417.64</v>
      </c>
      <c r="G27" s="117">
        <v>1316600.5</v>
      </c>
      <c r="H27" s="117">
        <v>1167559.78</v>
      </c>
      <c r="J27" s="389">
        <f>C27/'LEVEL 1.1 BUDGET'!$E$8</f>
        <v>8103.5863085399451</v>
      </c>
      <c r="L27" s="117">
        <f t="shared" si="7"/>
        <v>9415.1631578947363</v>
      </c>
      <c r="M27" s="117">
        <f t="shared" si="0"/>
        <v>8291.3682608695653</v>
      </c>
      <c r="N27" s="117">
        <f t="shared" si="1"/>
        <v>6329.8100961538457</v>
      </c>
      <c r="O27" s="117">
        <f t="shared" si="2"/>
        <v>5987.4860512820514</v>
      </c>
      <c r="Q27" s="117">
        <f t="shared" si="8"/>
        <v>7505.9568915500495</v>
      </c>
      <c r="S27" s="117">
        <f t="shared" si="9"/>
        <v>-597.62941698989562</v>
      </c>
      <c r="U27" s="117">
        <f t="shared" si="3"/>
        <v>-1311.5768493547912</v>
      </c>
      <c r="V27" s="117">
        <f t="shared" si="4"/>
        <v>-187.78195232962025</v>
      </c>
      <c r="W27" s="117">
        <f t="shared" si="5"/>
        <v>1773.7762123860994</v>
      </c>
      <c r="X27" s="117">
        <f t="shared" si="6"/>
        <v>2116.1002572578936</v>
      </c>
    </row>
    <row r="28" spans="1:24">
      <c r="A28" s="323" t="s">
        <v>714</v>
      </c>
      <c r="C28" s="389">
        <f>VLOOKUP(A28,'LEVEL 2'!$A$13:$L$319,12,FALSE)</f>
        <v>1488500</v>
      </c>
      <c r="E28" s="117">
        <v>0</v>
      </c>
      <c r="F28" s="117">
        <v>0</v>
      </c>
      <c r="G28" s="117">
        <v>0</v>
      </c>
      <c r="H28" s="117">
        <v>0</v>
      </c>
      <c r="J28" s="389">
        <f>C28/'LEVEL 1.1 BUDGET'!$E$8</f>
        <v>4100.5509641873277</v>
      </c>
      <c r="L28" s="117">
        <v>0</v>
      </c>
      <c r="M28" s="117">
        <v>0</v>
      </c>
      <c r="N28" s="117">
        <v>0</v>
      </c>
      <c r="O28" s="117">
        <v>0</v>
      </c>
      <c r="Q28" s="117">
        <f t="shared" si="8"/>
        <v>0</v>
      </c>
      <c r="S28" s="117">
        <f t="shared" si="9"/>
        <v>-4100.5509641873277</v>
      </c>
      <c r="U28" s="117">
        <f t="shared" ref="U28" si="10">$J28-L28</f>
        <v>4100.5509641873277</v>
      </c>
      <c r="V28" s="117">
        <f t="shared" ref="V28" si="11">$J28-M28</f>
        <v>4100.5509641873277</v>
      </c>
      <c r="W28" s="117">
        <f t="shared" ref="W28" si="12">$J28-N28</f>
        <v>4100.5509641873277</v>
      </c>
      <c r="X28" s="117">
        <f t="shared" ref="X28" si="13">$J28-O28</f>
        <v>4100.5509641873277</v>
      </c>
    </row>
    <row r="29" spans="1:24">
      <c r="A29" s="323" t="s">
        <v>717</v>
      </c>
      <c r="C29" s="389">
        <f>VLOOKUP(A29,'LEVEL 2'!$A$13:$L$319,12,FALSE)</f>
        <v>7500</v>
      </c>
      <c r="E29" s="117">
        <v>7500</v>
      </c>
      <c r="F29" s="117">
        <v>15000</v>
      </c>
      <c r="G29" s="117">
        <v>0</v>
      </c>
      <c r="H29" s="117">
        <v>15000</v>
      </c>
      <c r="J29" s="389">
        <f>C29/'LEVEL 1.1 BUDGET'!$E$8</f>
        <v>20.66115702479339</v>
      </c>
      <c r="L29" s="117">
        <f t="shared" si="7"/>
        <v>39.473684210526315</v>
      </c>
      <c r="M29" s="117">
        <f t="shared" si="0"/>
        <v>54.347826086956523</v>
      </c>
      <c r="N29" s="117">
        <f t="shared" si="1"/>
        <v>0</v>
      </c>
      <c r="O29" s="117">
        <f t="shared" si="2"/>
        <v>76.92307692307692</v>
      </c>
      <c r="Q29" s="117">
        <f t="shared" si="8"/>
        <v>42.686146805139941</v>
      </c>
      <c r="S29" s="117">
        <f t="shared" si="9"/>
        <v>22.024989780346552</v>
      </c>
      <c r="U29" s="117">
        <f t="shared" ref="U29:V32" si="14">$J29-L29</f>
        <v>-18.812527185732925</v>
      </c>
      <c r="V29" s="117">
        <f t="shared" si="14"/>
        <v>-33.686669062163134</v>
      </c>
      <c r="W29" s="117">
        <f t="shared" si="5"/>
        <v>20.66115702479339</v>
      </c>
      <c r="X29" s="117">
        <f t="shared" si="6"/>
        <v>-56.26191989828353</v>
      </c>
    </row>
    <row r="30" spans="1:24">
      <c r="A30" s="323" t="s">
        <v>726</v>
      </c>
      <c r="C30" s="389">
        <f>VLOOKUP(A30,'LEVEL 2'!$A$13:$L$319,12,FALSE)</f>
        <v>1077434</v>
      </c>
      <c r="E30" s="117">
        <v>707152.38</v>
      </c>
      <c r="F30" s="117">
        <v>178738.2</v>
      </c>
      <c r="G30" s="117">
        <v>444320.52</v>
      </c>
      <c r="H30" s="117">
        <v>202992.5</v>
      </c>
      <c r="J30" s="389">
        <f>C30/'LEVEL 1.1 BUDGET'!$E$8</f>
        <v>2968.1377410468322</v>
      </c>
      <c r="L30" s="117">
        <f t="shared" si="7"/>
        <v>3721.8546315789472</v>
      </c>
      <c r="M30" s="117">
        <f t="shared" si="0"/>
        <v>647.60217391304354</v>
      </c>
      <c r="N30" s="117">
        <f t="shared" si="1"/>
        <v>2136.1563461538462</v>
      </c>
      <c r="O30" s="117">
        <f t="shared" si="2"/>
        <v>1040.9871794871794</v>
      </c>
      <c r="Q30" s="117">
        <f t="shared" si="8"/>
        <v>1886.6500827832542</v>
      </c>
      <c r="S30" s="117">
        <f t="shared" si="9"/>
        <v>-1081.4876582635779</v>
      </c>
      <c r="U30" s="117">
        <f t="shared" si="14"/>
        <v>-753.71689053211503</v>
      </c>
      <c r="V30" s="117">
        <f t="shared" si="14"/>
        <v>2320.5355671337884</v>
      </c>
      <c r="W30" s="117">
        <f t="shared" si="5"/>
        <v>831.98139489298592</v>
      </c>
      <c r="X30" s="117">
        <f t="shared" si="6"/>
        <v>1927.1505615596527</v>
      </c>
    </row>
    <row r="31" spans="1:24">
      <c r="A31" s="323" t="s">
        <v>748</v>
      </c>
      <c r="C31" s="389">
        <f>VLOOKUP(A31,'LEVEL 2'!$A$13:$L$319,12,FALSE)</f>
        <v>502425</v>
      </c>
      <c r="E31" s="117">
        <v>149353.1</v>
      </c>
      <c r="F31" s="117">
        <v>440850</v>
      </c>
      <c r="G31" s="117">
        <v>148310</v>
      </c>
      <c r="H31" s="117">
        <v>217223.1</v>
      </c>
      <c r="J31" s="389">
        <f>C31/'LEVEL 1.1 BUDGET'!$E$8</f>
        <v>1384.090909090909</v>
      </c>
      <c r="L31" s="117">
        <f t="shared" si="7"/>
        <v>786.06894736842105</v>
      </c>
      <c r="M31" s="117">
        <f t="shared" si="0"/>
        <v>1597.2826086956522</v>
      </c>
      <c r="N31" s="117">
        <f t="shared" si="1"/>
        <v>713.02884615384619</v>
      </c>
      <c r="O31" s="117">
        <f t="shared" si="2"/>
        <v>1113.9646153846154</v>
      </c>
      <c r="Q31" s="117">
        <f t="shared" si="8"/>
        <v>1052.5862544006338</v>
      </c>
      <c r="S31" s="117">
        <f t="shared" si="9"/>
        <v>-331.50465469027517</v>
      </c>
      <c r="U31" s="117">
        <f t="shared" si="14"/>
        <v>598.02196172248796</v>
      </c>
      <c r="V31" s="117">
        <f t="shared" si="14"/>
        <v>-213.19169960474323</v>
      </c>
      <c r="W31" s="117">
        <f t="shared" si="5"/>
        <v>671.06206293706282</v>
      </c>
      <c r="X31" s="117">
        <f t="shared" si="6"/>
        <v>270.12629370629361</v>
      </c>
    </row>
    <row r="32" spans="1:24">
      <c r="A32" s="323" t="s">
        <v>781</v>
      </c>
      <c r="C32" s="389">
        <f>VLOOKUP(A32,'LEVEL 2'!$A$13:$L$319,12,FALSE)</f>
        <v>1681753.162</v>
      </c>
      <c r="E32" s="117">
        <v>1161406.5315</v>
      </c>
      <c r="F32" s="117">
        <v>939893.04300000018</v>
      </c>
      <c r="G32" s="117">
        <v>926137.36</v>
      </c>
      <c r="H32" s="117">
        <v>960082.51</v>
      </c>
      <c r="J32" s="389">
        <f>C32/'LEVEL 1.1 BUDGET'!$E$8</f>
        <v>4632.9288209366396</v>
      </c>
      <c r="L32" s="117">
        <f t="shared" si="7"/>
        <v>6112.6659552631581</v>
      </c>
      <c r="M32" s="117">
        <f t="shared" si="0"/>
        <v>3405.4095760869573</v>
      </c>
      <c r="N32" s="117">
        <f t="shared" si="1"/>
        <v>4452.5834615384611</v>
      </c>
      <c r="O32" s="117">
        <f t="shared" si="2"/>
        <v>4923.5000512820516</v>
      </c>
      <c r="Q32" s="117">
        <f t="shared" si="8"/>
        <v>4723.5397610426571</v>
      </c>
      <c r="S32" s="117">
        <f t="shared" si="9"/>
        <v>90.610940106017551</v>
      </c>
      <c r="U32" s="117">
        <f t="shared" si="14"/>
        <v>-1479.7371343265186</v>
      </c>
      <c r="V32" s="117">
        <f t="shared" si="14"/>
        <v>1227.5192448496823</v>
      </c>
      <c r="W32" s="117">
        <f t="shared" si="5"/>
        <v>180.34535939817852</v>
      </c>
      <c r="X32" s="117">
        <f t="shared" si="6"/>
        <v>-290.571230345412</v>
      </c>
    </row>
    <row r="33" spans="1:24" ht="15.75" thickBot="1">
      <c r="A33" s="332" t="s">
        <v>1052</v>
      </c>
      <c r="C33" s="390">
        <f>SUM(C6:C32)</f>
        <v>55532618.225229107</v>
      </c>
      <c r="E33" s="333">
        <f>SUM(E6:E32)</f>
        <v>27364987.931499999</v>
      </c>
      <c r="F33" s="333">
        <f t="shared" ref="F33:H33" si="15">SUM(F6:F32)</f>
        <v>39636266.606802016</v>
      </c>
      <c r="G33" s="333">
        <f t="shared" si="15"/>
        <v>27403468.48</v>
      </c>
      <c r="H33" s="333">
        <f t="shared" si="15"/>
        <v>24345542.850000001</v>
      </c>
      <c r="J33" s="390">
        <f>C33/'LEVEL 1.1 BUDGET'!$E$8</f>
        <v>152982.41935324823</v>
      </c>
      <c r="L33" s="333">
        <f>E33/L$4</f>
        <v>144026.25227105262</v>
      </c>
      <c r="M33" s="333">
        <f t="shared" si="0"/>
        <v>143609.66161884789</v>
      </c>
      <c r="N33" s="333">
        <f t="shared" si="1"/>
        <v>131747.44461538462</v>
      </c>
      <c r="O33" s="333">
        <f t="shared" si="2"/>
        <v>124848.93769230771</v>
      </c>
      <c r="Q33" s="333">
        <f>AVERAGE(L33:O33)</f>
        <v>136058.07404939822</v>
      </c>
      <c r="S33" s="333">
        <f t="shared" si="9"/>
        <v>-16924.345303850016</v>
      </c>
      <c r="U33" s="333">
        <f>$J33-L33</f>
        <v>8956.1670821956068</v>
      </c>
      <c r="V33" s="333">
        <f t="shared" ref="V33" si="16">$J33-M33</f>
        <v>9372.7577344003366</v>
      </c>
      <c r="W33" s="333">
        <f t="shared" ref="W33" si="17">$J33-N33</f>
        <v>21234.974737863609</v>
      </c>
      <c r="X33" s="333">
        <f t="shared" ref="X33" si="18">$J33-O33</f>
        <v>28133.481660940524</v>
      </c>
    </row>
    <row r="35" spans="1:24">
      <c r="A35" s="308" t="s">
        <v>72</v>
      </c>
      <c r="C35" s="117">
        <f>'LEVEL 2'!L15</f>
        <v>3331957.0935137458</v>
      </c>
    </row>
    <row r="36" spans="1:24">
      <c r="A36" s="323" t="s">
        <v>751</v>
      </c>
      <c r="C36" s="117">
        <f>'LEVEL 2'!L291</f>
        <v>1110652.364504582</v>
      </c>
      <c r="H36" t="s">
        <v>1053</v>
      </c>
      <c r="J36" s="486">
        <f>'Assumptions &amp; Takeoffs'!B11</f>
        <v>177268</v>
      </c>
      <c r="L36" s="486">
        <v>46943</v>
      </c>
    </row>
    <row r="37" spans="1:24">
      <c r="A37" s="323" t="s">
        <v>783</v>
      </c>
      <c r="C37" s="117">
        <f>'LEVEL 2'!L308</f>
        <v>2776630.9112614552</v>
      </c>
      <c r="H37" t="s">
        <v>1054</v>
      </c>
      <c r="J37" s="486">
        <f>J36/J4</f>
        <v>488.34159779614328</v>
      </c>
      <c r="L37" s="486">
        <f>L36/L4</f>
        <v>247.06842105263158</v>
      </c>
    </row>
    <row r="38" spans="1:24">
      <c r="A38" s="323" t="s">
        <v>786</v>
      </c>
      <c r="C38" s="117">
        <f>'LEVEL 2'!L310</f>
        <v>944054.50982889475</v>
      </c>
      <c r="L38" s="487">
        <f>(J37-L37)/J37</f>
        <v>0.49406640317426009</v>
      </c>
    </row>
    <row r="39" spans="1:24">
      <c r="A39" s="323" t="s">
        <v>797</v>
      </c>
      <c r="C39" s="117">
        <f>'LEVEL 2'!L314</f>
        <v>620326.18225229101</v>
      </c>
    </row>
    <row r="40" spans="1:24">
      <c r="A40" s="329" t="s">
        <v>1055</v>
      </c>
      <c r="C40" s="95">
        <f>'LEVEL 2'!L317</f>
        <v>4451754.6799928835</v>
      </c>
      <c r="H40" t="s">
        <v>1056</v>
      </c>
      <c r="J40" s="486">
        <f>'Assumptions &amp; Takeoffs'!B19</f>
        <v>2143.4299999999998</v>
      </c>
      <c r="L40" s="486">
        <v>539</v>
      </c>
    </row>
    <row r="41" spans="1:24" ht="15.75" thickBot="1">
      <c r="A41" s="332" t="s">
        <v>1057</v>
      </c>
      <c r="C41" s="333">
        <f>SUM(C33:C40)</f>
        <v>68767993.966582954</v>
      </c>
      <c r="H41" t="s">
        <v>1058</v>
      </c>
      <c r="J41" s="488">
        <f>J40/J4</f>
        <v>5.9047658402203851</v>
      </c>
      <c r="L41" s="488">
        <f>L40/L4</f>
        <v>2.8368421052631581</v>
      </c>
    </row>
    <row r="42" spans="1:24">
      <c r="L42" s="487">
        <f>(J41-L41)/J41</f>
        <v>0.51956738302135996</v>
      </c>
    </row>
    <row r="44" spans="1:24">
      <c r="H44" t="s">
        <v>1008</v>
      </c>
      <c r="J44" s="488">
        <f>'LEVEL 2'!B9</f>
        <v>17.350000000000001</v>
      </c>
      <c r="L44" s="488">
        <v>5</v>
      </c>
    </row>
    <row r="45" spans="1:24">
      <c r="H45" t="s">
        <v>1059</v>
      </c>
      <c r="J45" s="488">
        <f>J4/J44</f>
        <v>20.922190201729105</v>
      </c>
      <c r="L45" s="488">
        <f>L4/L44</f>
        <v>38</v>
      </c>
    </row>
  </sheetData>
  <conditionalFormatting sqref="A6:A32 C6:C32 E6:H32 A35:A40 C35:C40">
    <cfRule type="expression" dxfId="111" priority="7">
      <formula>MOD(ROW(),2)</formula>
    </cfRule>
  </conditionalFormatting>
  <conditionalFormatting sqref="J6:J32 L6:O32 Q6:Q32">
    <cfRule type="expression" dxfId="110" priority="3">
      <formula>MOD(ROW(),2)</formula>
    </cfRule>
  </conditionalFormatting>
  <conditionalFormatting sqref="S6:S32">
    <cfRule type="expression" dxfId="109" priority="1">
      <formula>MOD(ROW(),2)</formula>
    </cfRule>
  </conditionalFormatting>
  <conditionalFormatting sqref="U6:X32">
    <cfRule type="expression" dxfId="108" priority="2">
      <formula>MOD(ROW(),2)</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5798-AF23-4C19-883A-C25D023AB1DF}">
  <sheetPr>
    <tabColor theme="3" tint="0.499984740745262"/>
    <pageSetUpPr fitToPage="1"/>
  </sheetPr>
  <dimension ref="A1:AQ512"/>
  <sheetViews>
    <sheetView showGridLines="0" view="pageBreakPreview" zoomScale="70" zoomScaleNormal="100" zoomScaleSheetLayoutView="70" workbookViewId="0">
      <pane xSplit="1" ySplit="13" topLeftCell="B15" activePane="bottomRight" state="frozen"/>
      <selection pane="bottomRight" activeCell="C90" sqref="C90"/>
      <selection pane="bottomLeft" activeCell="I20" sqref="I20"/>
      <selection pane="topRight" activeCell="I20" sqref="I20"/>
    </sheetView>
  </sheetViews>
  <sheetFormatPr defaultColWidth="9.140625" defaultRowHeight="15" outlineLevelRow="1"/>
  <cols>
    <col min="1" max="1" width="42.5703125" style="3" bestFit="1" customWidth="1"/>
    <col min="2" max="2" width="18.28515625" style="2" customWidth="1"/>
    <col min="3" max="3" width="17.85546875" style="2" bestFit="1" customWidth="1"/>
    <col min="4" max="4" width="20" style="2" customWidth="1"/>
    <col min="5" max="5" width="15.42578125" style="2" customWidth="1"/>
    <col min="6" max="6" width="14.85546875" style="2" customWidth="1"/>
    <col min="7" max="7" width="10.28515625" style="3" customWidth="1"/>
    <col min="8" max="8" width="15.85546875" style="3" bestFit="1" customWidth="1"/>
    <col min="9" max="9" width="13.140625" style="3" customWidth="1"/>
    <col min="10" max="10" width="16.42578125" style="3" bestFit="1" customWidth="1"/>
    <col min="11" max="11" width="17.42578125" style="3" customWidth="1"/>
    <col min="12" max="12" width="15.85546875" style="3" bestFit="1" customWidth="1"/>
    <col min="13" max="13" width="11.5703125" style="3" customWidth="1"/>
    <col min="14" max="14" width="23.42578125" style="3" customWidth="1"/>
    <col min="15" max="15" width="16.28515625" style="3" customWidth="1"/>
    <col min="16" max="16" width="8.85546875" style="3" customWidth="1"/>
    <col min="17" max="17" width="11" style="3" customWidth="1"/>
    <col min="18" max="18" width="9.28515625" style="3" customWidth="1"/>
    <col min="19" max="19" width="15.85546875" style="3" bestFit="1" customWidth="1"/>
    <col min="20" max="20" width="7.7109375" style="3" bestFit="1" customWidth="1"/>
    <col min="21" max="21" width="3" style="3" customWidth="1"/>
    <col min="22" max="22" width="13.5703125" style="3" bestFit="1" customWidth="1"/>
    <col min="23" max="24" width="14.85546875" style="3" bestFit="1" customWidth="1"/>
    <col min="25" max="34" width="9.140625" style="3"/>
    <col min="35" max="35" width="10.5703125" style="3" bestFit="1" customWidth="1"/>
    <col min="36" max="36" width="9.140625" style="3" customWidth="1"/>
    <col min="37" max="41" width="9.140625" style="3"/>
    <col min="42" max="42" width="12.85546875" style="3" customWidth="1"/>
    <col min="43" max="16384" width="9.140625" style="3"/>
  </cols>
  <sheetData>
    <row r="1" spans="1:43" ht="15.75" thickBot="1">
      <c r="A1" s="1" t="s">
        <v>8</v>
      </c>
      <c r="B1" s="1"/>
    </row>
    <row r="2" spans="1:43" ht="15.75" thickBot="1">
      <c r="A2" s="7" t="s">
        <v>9</v>
      </c>
      <c r="B2" s="8" t="s">
        <v>10</v>
      </c>
      <c r="J2" s="382" t="s">
        <v>11</v>
      </c>
      <c r="K2" s="383">
        <f>L318</f>
        <v>68871987.739389986</v>
      </c>
      <c r="M2" s="1" t="s">
        <v>12</v>
      </c>
      <c r="N2" s="1"/>
      <c r="O2" s="1"/>
      <c r="Q2" s="1" t="s">
        <v>13</v>
      </c>
      <c r="R2" s="1"/>
      <c r="S2" s="1"/>
    </row>
    <row r="3" spans="1:43">
      <c r="A3" s="17" t="s">
        <v>14</v>
      </c>
      <c r="B3" s="18" t="s">
        <v>880</v>
      </c>
      <c r="J3" s="2"/>
      <c r="K3" s="2"/>
      <c r="M3" s="9" t="s">
        <v>16</v>
      </c>
      <c r="N3" s="10" t="s">
        <v>17</v>
      </c>
      <c r="O3" s="10" t="s">
        <v>18</v>
      </c>
      <c r="Q3" s="17" t="s">
        <v>19</v>
      </c>
      <c r="R3" s="46"/>
      <c r="S3" s="18">
        <v>286</v>
      </c>
      <c r="AE3" s="22" t="s">
        <v>20</v>
      </c>
      <c r="AF3" s="23"/>
      <c r="AG3" s="23"/>
      <c r="AH3" s="23"/>
      <c r="AI3" s="23" t="s">
        <v>21</v>
      </c>
      <c r="AJ3" s="24">
        <f>21*7</f>
        <v>147</v>
      </c>
      <c r="AL3" s="22" t="s">
        <v>22</v>
      </c>
      <c r="AM3" s="23"/>
      <c r="AN3" s="23"/>
      <c r="AO3" s="23"/>
      <c r="AP3" s="23" t="s">
        <v>21</v>
      </c>
      <c r="AQ3" s="24">
        <f>15000+6560+6500+15400+4570+4635+4540+4250</f>
        <v>61455</v>
      </c>
    </row>
    <row r="4" spans="1:43">
      <c r="A4" s="17" t="s">
        <v>23</v>
      </c>
      <c r="B4" s="18" t="s">
        <v>24</v>
      </c>
      <c r="J4" s="382" t="s">
        <v>25</v>
      </c>
      <c r="K4" s="383">
        <f>K2/N9</f>
        <v>189729.9937724242</v>
      </c>
      <c r="M4" s="19" t="s">
        <v>26</v>
      </c>
      <c r="N4" s="20">
        <v>0</v>
      </c>
      <c r="O4" s="21">
        <f t="shared" ref="O4:O9" si="0">N4/$N$9</f>
        <v>0</v>
      </c>
      <c r="Q4" s="17" t="s">
        <v>27</v>
      </c>
      <c r="R4" s="46"/>
      <c r="S4" s="18"/>
      <c r="AE4" s="27" t="s">
        <v>28</v>
      </c>
      <c r="AJ4" s="28">
        <f>14*7</f>
        <v>98</v>
      </c>
      <c r="AL4" s="27" t="s">
        <v>28</v>
      </c>
      <c r="AQ4" s="28"/>
    </row>
    <row r="5" spans="1:43">
      <c r="A5" s="17" t="s">
        <v>29</v>
      </c>
      <c r="B5" s="29"/>
      <c r="J5" s="2"/>
      <c r="K5" s="2"/>
      <c r="M5" s="25" t="s">
        <v>30</v>
      </c>
      <c r="N5" s="18">
        <f>'Assumptions &amp; Takeoffs'!B4+'Assumptions &amp; Takeoffs'!B5</f>
        <v>218</v>
      </c>
      <c r="O5" s="26">
        <f t="shared" si="0"/>
        <v>0.60055096418732778</v>
      </c>
      <c r="Q5" s="17" t="s">
        <v>31</v>
      </c>
      <c r="R5" s="46"/>
      <c r="S5" s="18">
        <v>157</v>
      </c>
      <c r="AE5" s="27" t="s">
        <v>32</v>
      </c>
      <c r="AF5" s="3">
        <f>21*4+8*8+7*6</f>
        <v>190</v>
      </c>
      <c r="AJ5" s="28">
        <f>8*22</f>
        <v>176</v>
      </c>
      <c r="AL5" s="27" t="s">
        <v>32</v>
      </c>
      <c r="AM5" s="3">
        <v>19256</v>
      </c>
      <c r="AQ5" s="28"/>
    </row>
    <row r="6" spans="1:43">
      <c r="A6" s="17" t="s">
        <v>33</v>
      </c>
      <c r="B6" s="15">
        <v>30</v>
      </c>
      <c r="J6" s="382" t="s">
        <v>34</v>
      </c>
      <c r="K6" s="383">
        <f>K2/B8</f>
        <v>189.95448543703159</v>
      </c>
      <c r="M6" s="25" t="s">
        <v>35</v>
      </c>
      <c r="N6" s="18">
        <f>'Assumptions &amp; Takeoffs'!B6+'Assumptions &amp; Takeoffs'!B7</f>
        <v>145</v>
      </c>
      <c r="O6" s="26">
        <f t="shared" si="0"/>
        <v>0.39944903581267216</v>
      </c>
      <c r="Q6" s="17" t="s">
        <v>36</v>
      </c>
      <c r="R6" s="46"/>
      <c r="S6" s="18">
        <v>14</v>
      </c>
      <c r="AE6" s="27" t="s">
        <v>37</v>
      </c>
      <c r="AF6" s="3">
        <f>14*4+21*2+8*6</f>
        <v>146</v>
      </c>
      <c r="AJ6" s="28">
        <f>7*10</f>
        <v>70</v>
      </c>
      <c r="AL6" s="27" t="s">
        <v>37</v>
      </c>
      <c r="AM6" s="3">
        <v>8980</v>
      </c>
      <c r="AQ6" s="28"/>
    </row>
    <row r="7" spans="1:43">
      <c r="A7" s="17" t="s">
        <v>38</v>
      </c>
      <c r="B7" s="18">
        <v>2</v>
      </c>
      <c r="J7" s="2"/>
      <c r="K7" s="2"/>
      <c r="M7" s="25" t="s">
        <v>39</v>
      </c>
      <c r="N7" s="18">
        <v>0</v>
      </c>
      <c r="O7" s="26">
        <f t="shared" si="0"/>
        <v>0</v>
      </c>
      <c r="Q7" s="17" t="s">
        <v>40</v>
      </c>
      <c r="R7" s="46"/>
      <c r="S7" s="18">
        <v>0</v>
      </c>
      <c r="AE7" s="27" t="s">
        <v>41</v>
      </c>
      <c r="AF7" s="3">
        <f>21*2+14*2+8*6</f>
        <v>118</v>
      </c>
      <c r="AJ7" s="28">
        <f>SUM(AJ3:AJ6)</f>
        <v>491</v>
      </c>
      <c r="AL7" s="27" t="s">
        <v>41</v>
      </c>
      <c r="AM7" s="3">
        <v>8850</v>
      </c>
      <c r="AQ7" s="28"/>
    </row>
    <row r="8" spans="1:43">
      <c r="A8" s="17" t="s">
        <v>42</v>
      </c>
      <c r="B8" s="15">
        <f>98509+136604+127458</f>
        <v>362571</v>
      </c>
      <c r="J8" s="382" t="s">
        <v>43</v>
      </c>
      <c r="K8" s="384">
        <f>'Assumptions &amp; Takeoffs'!D8/B8</f>
        <v>0.78175860727967761</v>
      </c>
      <c r="M8" s="34" t="s">
        <v>44</v>
      </c>
      <c r="N8" s="35">
        <v>0</v>
      </c>
      <c r="O8" s="36">
        <f t="shared" si="0"/>
        <v>0</v>
      </c>
      <c r="Q8" s="17" t="s">
        <v>45</v>
      </c>
      <c r="R8" s="46"/>
      <c r="S8" s="18">
        <f>SUM(S3:S7)</f>
        <v>457</v>
      </c>
      <c r="AE8" s="27" t="s">
        <v>46</v>
      </c>
      <c r="AF8" s="3">
        <f>21*2+14*8+8*12+7*8</f>
        <v>306</v>
      </c>
      <c r="AJ8" s="28"/>
      <c r="AL8" s="27" t="s">
        <v>46</v>
      </c>
      <c r="AM8" s="3">
        <v>19965</v>
      </c>
      <c r="AQ8" s="28"/>
    </row>
    <row r="9" spans="1:43" ht="15.75" thickBot="1">
      <c r="A9" s="17" t="s">
        <v>47</v>
      </c>
      <c r="B9" s="44">
        <v>17.350000000000001</v>
      </c>
      <c r="M9" s="40" t="s">
        <v>48</v>
      </c>
      <c r="N9" s="41">
        <f>SUM(N4:N8)</f>
        <v>363</v>
      </c>
      <c r="O9" s="42">
        <f t="shared" si="0"/>
        <v>1</v>
      </c>
      <c r="Q9" s="63" t="s">
        <v>49</v>
      </c>
      <c r="R9" s="64"/>
      <c r="S9" s="65">
        <f>S8/N9</f>
        <v>1.2589531680440771</v>
      </c>
      <c r="T9" s="47"/>
      <c r="AE9" s="27" t="s">
        <v>50</v>
      </c>
      <c r="AF9" s="3">
        <f>21*4+8*6</f>
        <v>132</v>
      </c>
      <c r="AG9" s="3">
        <f>SUM(AF5:AF9)</f>
        <v>892</v>
      </c>
      <c r="AJ9" s="28"/>
      <c r="AL9" s="27" t="s">
        <v>50</v>
      </c>
      <c r="AM9" s="3">
        <f>5870+6250+6290+5915</f>
        <v>24325</v>
      </c>
      <c r="AN9" s="3">
        <f>SUM(AM5:AM9)</f>
        <v>81376</v>
      </c>
      <c r="AQ9" s="28"/>
    </row>
    <row r="10" spans="1:43">
      <c r="A10" s="17" t="s">
        <v>51</v>
      </c>
      <c r="B10" s="15">
        <f>B9*43560</f>
        <v>755766.00000000012</v>
      </c>
      <c r="T10" s="47"/>
      <c r="AE10" s="27"/>
      <c r="AJ10" s="28"/>
      <c r="AL10" s="27"/>
      <c r="AQ10" s="28"/>
    </row>
    <row r="11" spans="1:43" ht="15.75" thickBot="1">
      <c r="A11" s="63" t="s">
        <v>52</v>
      </c>
      <c r="B11" s="75">
        <v>3</v>
      </c>
      <c r="T11" s="47"/>
      <c r="AE11" s="27" t="s">
        <v>53</v>
      </c>
      <c r="AI11" s="3" t="s">
        <v>54</v>
      </c>
      <c r="AJ11" s="28">
        <f>14*8</f>
        <v>112</v>
      </c>
      <c r="AL11" s="27" t="s">
        <v>53</v>
      </c>
      <c r="AP11" s="3" t="s">
        <v>54</v>
      </c>
      <c r="AQ11" s="28">
        <f>5782+5760+8825+9150</f>
        <v>29517</v>
      </c>
    </row>
    <row r="12" spans="1:43">
      <c r="T12" s="47"/>
      <c r="AE12" s="27" t="s">
        <v>32</v>
      </c>
      <c r="AJ12" s="28">
        <f>20*8</f>
        <v>160</v>
      </c>
      <c r="AL12" s="27" t="s">
        <v>32</v>
      </c>
      <c r="AQ12" s="28"/>
    </row>
    <row r="13" spans="1:43" ht="30.75" customHeight="1" thickBot="1">
      <c r="A13" s="77" t="s">
        <v>55</v>
      </c>
      <c r="B13" s="78" t="s">
        <v>56</v>
      </c>
      <c r="C13" s="78" t="s">
        <v>57</v>
      </c>
      <c r="D13" s="78" t="s">
        <v>58</v>
      </c>
      <c r="E13" s="78" t="s">
        <v>59</v>
      </c>
      <c r="F13" s="78" t="s">
        <v>60</v>
      </c>
      <c r="G13" s="78" t="s">
        <v>61</v>
      </c>
      <c r="H13" s="78" t="s">
        <v>62</v>
      </c>
      <c r="I13" s="79" t="s">
        <v>63</v>
      </c>
      <c r="J13" s="78" t="s">
        <v>64</v>
      </c>
      <c r="K13" s="78" t="s">
        <v>65</v>
      </c>
      <c r="L13" s="77" t="s">
        <v>66</v>
      </c>
      <c r="M13" s="80" t="s">
        <v>67</v>
      </c>
      <c r="N13" s="81"/>
      <c r="O13" s="81"/>
      <c r="P13" s="81"/>
      <c r="Q13" s="81"/>
      <c r="R13" s="81"/>
      <c r="S13" s="81"/>
      <c r="T13" s="81"/>
      <c r="U13" s="81"/>
    </row>
    <row r="14" spans="1:43" ht="14.25" hidden="1" customHeight="1" outlineLevel="1">
      <c r="A14" s="349" t="s">
        <v>68</v>
      </c>
      <c r="B14" s="350" t="s">
        <v>69</v>
      </c>
      <c r="C14" s="350" t="s">
        <v>70</v>
      </c>
      <c r="D14" s="350"/>
      <c r="E14" s="350"/>
      <c r="F14" s="350" t="s">
        <v>71</v>
      </c>
      <c r="G14" s="351">
        <f>$B$6</f>
        <v>30</v>
      </c>
      <c r="H14" s="480">
        <v>111293.86699982213</v>
      </c>
      <c r="I14" s="352">
        <v>0</v>
      </c>
      <c r="J14" s="353">
        <v>111293.86699982213</v>
      </c>
      <c r="K14" s="353">
        <f>J14*G14</f>
        <v>3338816.0099946638</v>
      </c>
      <c r="L14" s="23"/>
      <c r="M14" s="46"/>
      <c r="N14" s="46"/>
      <c r="O14" s="46"/>
      <c r="P14" s="46"/>
      <c r="Q14" s="46"/>
      <c r="R14" s="46"/>
      <c r="S14" s="46"/>
      <c r="T14" s="46"/>
      <c r="U14" s="46"/>
    </row>
    <row r="15" spans="1:43" collapsed="1">
      <c r="A15" s="347" t="s">
        <v>72</v>
      </c>
      <c r="B15" s="105" t="s">
        <v>69</v>
      </c>
      <c r="C15" s="105"/>
      <c r="D15" s="105"/>
      <c r="E15" s="105"/>
      <c r="F15" s="105"/>
      <c r="G15" s="105"/>
      <c r="H15" s="348"/>
      <c r="I15" s="108"/>
      <c r="J15" s="110"/>
      <c r="K15" s="110"/>
      <c r="L15" s="130">
        <f>K14</f>
        <v>3338816.0099946638</v>
      </c>
      <c r="M15" s="373"/>
      <c r="N15" s="373"/>
      <c r="O15" s="373"/>
      <c r="P15" s="373"/>
      <c r="Q15" s="373"/>
      <c r="R15" s="373"/>
      <c r="S15" s="373"/>
      <c r="T15" s="373"/>
      <c r="U15" s="373"/>
    </row>
    <row r="16" spans="1:43" hidden="1" outlineLevel="1">
      <c r="A16" s="111" t="s">
        <v>73</v>
      </c>
      <c r="B16" s="112" t="s">
        <v>74</v>
      </c>
      <c r="C16" s="112" t="s">
        <v>70</v>
      </c>
      <c r="D16" s="112" t="s">
        <v>75</v>
      </c>
      <c r="E16" s="112" t="s">
        <v>76</v>
      </c>
      <c r="F16" s="112"/>
      <c r="G16" s="113">
        <v>1</v>
      </c>
      <c r="H16" s="148">
        <v>16000</v>
      </c>
      <c r="I16" s="115">
        <v>0</v>
      </c>
      <c r="J16" s="117">
        <f>H16*(1+I16)</f>
        <v>16000</v>
      </c>
      <c r="K16" s="117">
        <f>J16*G16</f>
        <v>16000</v>
      </c>
      <c r="M16" s="88"/>
      <c r="N16" s="88"/>
      <c r="O16" s="88"/>
      <c r="P16" s="88"/>
      <c r="Q16" s="88"/>
      <c r="R16" s="88"/>
      <c r="S16" s="88"/>
      <c r="T16" s="88"/>
      <c r="U16" s="88"/>
    </row>
    <row r="17" spans="1:22" collapsed="1">
      <c r="A17" s="347" t="s">
        <v>77</v>
      </c>
      <c r="B17" s="105" t="s">
        <v>78</v>
      </c>
      <c r="C17" s="105"/>
      <c r="D17" s="105"/>
      <c r="E17" s="105"/>
      <c r="F17" s="105"/>
      <c r="G17" s="105"/>
      <c r="H17" s="348"/>
      <c r="I17" s="108"/>
      <c r="J17" s="110"/>
      <c r="K17" s="110"/>
      <c r="L17" s="130">
        <f>K16</f>
        <v>16000</v>
      </c>
      <c r="M17" s="373"/>
      <c r="N17" s="373"/>
      <c r="O17" s="373"/>
      <c r="P17" s="373"/>
      <c r="Q17" s="373"/>
      <c r="R17" s="373"/>
      <c r="S17" s="373"/>
      <c r="T17" s="373"/>
      <c r="U17" s="373"/>
    </row>
    <row r="18" spans="1:22" hidden="1" outlineLevel="1">
      <c r="A18" s="111" t="s">
        <v>79</v>
      </c>
      <c r="B18" s="112" t="s">
        <v>80</v>
      </c>
      <c r="C18" s="112" t="s">
        <v>70</v>
      </c>
      <c r="D18" s="112" t="s">
        <v>81</v>
      </c>
      <c r="E18" s="112" t="s">
        <v>343</v>
      </c>
      <c r="F18" s="112" t="s">
        <v>185</v>
      </c>
      <c r="G18" s="113">
        <v>177658.41</v>
      </c>
      <c r="H18" s="114">
        <v>11.99</v>
      </c>
      <c r="I18" s="115">
        <v>0</v>
      </c>
      <c r="J18" s="116">
        <f>H18*(1+I18)</f>
        <v>11.99</v>
      </c>
      <c r="K18" s="380">
        <f t="shared" ref="K18:K27" si="1">J18*G18</f>
        <v>2130124.3359000003</v>
      </c>
      <c r="M18" s="88" t="s">
        <v>1060</v>
      </c>
      <c r="N18" s="88"/>
      <c r="O18" s="88"/>
      <c r="P18" s="88"/>
      <c r="Q18" s="88"/>
      <c r="R18" s="88"/>
      <c r="S18" s="88"/>
      <c r="T18" s="88"/>
      <c r="U18" s="88"/>
      <c r="V18" s="2"/>
    </row>
    <row r="19" spans="1:22" hidden="1" outlineLevel="1">
      <c r="A19" s="118" t="s">
        <v>86</v>
      </c>
      <c r="B19" s="119" t="s">
        <v>80</v>
      </c>
      <c r="C19" s="119" t="s">
        <v>70</v>
      </c>
      <c r="D19" s="119" t="s">
        <v>81</v>
      </c>
      <c r="E19" s="119" t="s">
        <v>87</v>
      </c>
      <c r="F19" s="119"/>
      <c r="G19" s="120"/>
      <c r="H19" s="121"/>
      <c r="I19" s="122"/>
      <c r="J19" s="123">
        <f>H19*(1+I19)</f>
        <v>0</v>
      </c>
      <c r="K19" s="380">
        <f t="shared" si="1"/>
        <v>0</v>
      </c>
      <c r="M19" s="46"/>
      <c r="N19" s="46"/>
      <c r="O19" s="46"/>
      <c r="P19" s="46"/>
      <c r="Q19" s="46"/>
      <c r="R19" s="46"/>
      <c r="S19" s="46"/>
      <c r="T19" s="46"/>
      <c r="U19" s="46"/>
      <c r="V19" s="2"/>
    </row>
    <row r="20" spans="1:22" hidden="1" outlineLevel="1">
      <c r="A20" s="118" t="s">
        <v>89</v>
      </c>
      <c r="B20" s="119" t="s">
        <v>80</v>
      </c>
      <c r="C20" s="119" t="s">
        <v>90</v>
      </c>
      <c r="D20" s="119" t="s">
        <v>81</v>
      </c>
      <c r="E20" s="90" t="s">
        <v>76</v>
      </c>
      <c r="F20" s="119" t="s">
        <v>83</v>
      </c>
      <c r="G20" s="120">
        <v>1</v>
      </c>
      <c r="H20" s="138">
        <v>7500</v>
      </c>
      <c r="I20" s="122">
        <v>0</v>
      </c>
      <c r="J20" s="439">
        <f t="shared" ref="J20" si="2">H20*(1+I20)</f>
        <v>7500</v>
      </c>
      <c r="K20" s="380">
        <f t="shared" si="1"/>
        <v>7500</v>
      </c>
      <c r="M20" s="46"/>
      <c r="N20" s="46"/>
      <c r="O20" s="46"/>
      <c r="P20" s="46"/>
      <c r="Q20" s="46"/>
      <c r="R20" s="46"/>
      <c r="S20" s="46"/>
      <c r="T20" s="46"/>
      <c r="U20" s="46"/>
      <c r="V20" s="2"/>
    </row>
    <row r="21" spans="1:22" hidden="1" outlineLevel="1">
      <c r="A21" s="118" t="s">
        <v>92</v>
      </c>
      <c r="B21" s="119" t="s">
        <v>80</v>
      </c>
      <c r="C21" s="119" t="s">
        <v>70</v>
      </c>
      <c r="D21" s="119" t="s">
        <v>93</v>
      </c>
      <c r="E21" s="119" t="s">
        <v>184</v>
      </c>
      <c r="F21" s="90" t="s">
        <v>83</v>
      </c>
      <c r="G21" s="91">
        <v>1</v>
      </c>
      <c r="H21" s="138">
        <v>8500</v>
      </c>
      <c r="I21" s="122"/>
      <c r="J21" s="439">
        <f>H21*(1+I21)</f>
        <v>8500</v>
      </c>
      <c r="K21" s="380">
        <f t="shared" si="1"/>
        <v>8500</v>
      </c>
      <c r="M21" s="46"/>
      <c r="N21" s="46"/>
      <c r="O21" s="46"/>
      <c r="P21" s="46"/>
      <c r="Q21" s="46"/>
      <c r="R21" s="46"/>
      <c r="S21" s="46"/>
      <c r="T21" s="46"/>
      <c r="U21" s="46"/>
      <c r="V21" s="2"/>
    </row>
    <row r="22" spans="1:22" hidden="1" outlineLevel="1">
      <c r="A22" s="118" t="s">
        <v>95</v>
      </c>
      <c r="B22" s="119" t="s">
        <v>96</v>
      </c>
      <c r="C22" s="119" t="s">
        <v>70</v>
      </c>
      <c r="D22" s="119" t="s">
        <v>97</v>
      </c>
      <c r="E22" s="119" t="s">
        <v>184</v>
      </c>
      <c r="F22" s="119" t="s">
        <v>98</v>
      </c>
      <c r="G22" s="120">
        <v>14</v>
      </c>
      <c r="H22" s="138">
        <v>5000</v>
      </c>
      <c r="I22" s="122">
        <v>0</v>
      </c>
      <c r="J22" s="439">
        <f t="shared" ref="J22:J27" si="3">H22*(1+I22)</f>
        <v>5000</v>
      </c>
      <c r="K22" s="380">
        <f t="shared" si="1"/>
        <v>70000</v>
      </c>
      <c r="M22" s="46"/>
      <c r="N22" s="46"/>
      <c r="O22" s="46"/>
      <c r="P22" s="46"/>
      <c r="Q22" s="46"/>
      <c r="R22" s="46"/>
      <c r="S22" s="46"/>
      <c r="T22" s="46"/>
      <c r="U22" s="46"/>
      <c r="V22" s="2"/>
    </row>
    <row r="23" spans="1:22" hidden="1" outlineLevel="1">
      <c r="A23" s="118" t="s">
        <v>101</v>
      </c>
      <c r="B23" s="119" t="s">
        <v>102</v>
      </c>
      <c r="C23" s="119" t="s">
        <v>70</v>
      </c>
      <c r="D23" s="119" t="s">
        <v>103</v>
      </c>
      <c r="E23" s="119" t="s">
        <v>184</v>
      </c>
      <c r="F23" s="119" t="s">
        <v>83</v>
      </c>
      <c r="G23" s="120">
        <v>1</v>
      </c>
      <c r="H23" s="138">
        <v>20200</v>
      </c>
      <c r="I23" s="122">
        <v>0</v>
      </c>
      <c r="J23" s="439">
        <f t="shared" si="3"/>
        <v>20200</v>
      </c>
      <c r="K23" s="380">
        <f t="shared" si="1"/>
        <v>20200</v>
      </c>
      <c r="M23" s="46"/>
      <c r="N23" s="46"/>
      <c r="O23" s="46"/>
      <c r="P23" s="46"/>
      <c r="Q23" s="46"/>
      <c r="R23" s="46"/>
      <c r="S23" s="46"/>
      <c r="T23" s="46"/>
      <c r="U23" s="46"/>
      <c r="V23" s="2"/>
    </row>
    <row r="24" spans="1:22" hidden="1" outlineLevel="1">
      <c r="A24" s="118" t="s">
        <v>105</v>
      </c>
      <c r="B24" s="119" t="s">
        <v>106</v>
      </c>
      <c r="C24" s="119" t="s">
        <v>70</v>
      </c>
      <c r="D24" s="119" t="s">
        <v>103</v>
      </c>
      <c r="E24" s="119" t="s">
        <v>87</v>
      </c>
      <c r="F24" s="119"/>
      <c r="G24" s="120"/>
      <c r="H24" s="138"/>
      <c r="I24" s="122">
        <v>0</v>
      </c>
      <c r="J24" s="439">
        <f t="shared" si="3"/>
        <v>0</v>
      </c>
      <c r="K24" s="380">
        <f t="shared" si="1"/>
        <v>0</v>
      </c>
      <c r="M24" s="46"/>
      <c r="N24" s="46"/>
      <c r="O24" s="46"/>
      <c r="P24" s="46"/>
      <c r="Q24" s="46"/>
      <c r="R24" s="46"/>
      <c r="S24" s="46"/>
      <c r="T24" s="46"/>
      <c r="U24" s="46"/>
      <c r="V24" s="2"/>
    </row>
    <row r="25" spans="1:22" hidden="1" outlineLevel="1">
      <c r="A25" s="118" t="s">
        <v>108</v>
      </c>
      <c r="B25" s="119" t="s">
        <v>109</v>
      </c>
      <c r="C25" s="119" t="s">
        <v>70</v>
      </c>
      <c r="D25" s="119" t="s">
        <v>110</v>
      </c>
      <c r="E25" s="119" t="s">
        <v>76</v>
      </c>
      <c r="F25" s="119" t="s">
        <v>83</v>
      </c>
      <c r="G25" s="120">
        <v>1</v>
      </c>
      <c r="H25" s="138">
        <v>10000</v>
      </c>
      <c r="I25" s="122">
        <v>0</v>
      </c>
      <c r="J25" s="439">
        <f t="shared" si="3"/>
        <v>10000</v>
      </c>
      <c r="K25" s="380">
        <f t="shared" si="1"/>
        <v>10000</v>
      </c>
      <c r="M25" s="46"/>
      <c r="N25" s="46"/>
      <c r="O25" s="46"/>
      <c r="P25" s="46"/>
      <c r="Q25" s="46"/>
      <c r="R25" s="46"/>
      <c r="S25" s="46"/>
      <c r="T25" s="46"/>
      <c r="U25" s="46"/>
      <c r="V25" s="2"/>
    </row>
    <row r="26" spans="1:22" hidden="1" outlineLevel="1">
      <c r="A26" s="354" t="s">
        <v>112</v>
      </c>
      <c r="B26" s="355" t="s">
        <v>113</v>
      </c>
      <c r="C26" s="355" t="s">
        <v>70</v>
      </c>
      <c r="D26" s="355" t="s">
        <v>81</v>
      </c>
      <c r="E26" s="355" t="s">
        <v>184</v>
      </c>
      <c r="F26" s="355" t="s">
        <v>185</v>
      </c>
      <c r="G26" s="356">
        <v>177148.41</v>
      </c>
      <c r="H26" s="357">
        <v>2.8</v>
      </c>
      <c r="I26" s="358">
        <v>0</v>
      </c>
      <c r="J26" s="359">
        <f t="shared" si="3"/>
        <v>2.8</v>
      </c>
      <c r="K26" s="380">
        <f t="shared" si="1"/>
        <v>496015.54799999995</v>
      </c>
      <c r="M26" s="46" t="s">
        <v>885</v>
      </c>
      <c r="N26" s="46"/>
      <c r="O26" s="46"/>
      <c r="P26" s="46"/>
      <c r="Q26" s="46"/>
      <c r="R26" s="46"/>
      <c r="S26" s="46"/>
      <c r="T26" s="46"/>
      <c r="U26" s="46"/>
      <c r="V26" s="2"/>
    </row>
    <row r="27" spans="1:22" hidden="1" outlineLevel="1">
      <c r="A27" s="118" t="s">
        <v>117</v>
      </c>
      <c r="B27" s="119" t="s">
        <v>118</v>
      </c>
      <c r="C27" s="119" t="s">
        <v>70</v>
      </c>
      <c r="D27" s="119" t="s">
        <v>81</v>
      </c>
      <c r="E27" s="119" t="s">
        <v>184</v>
      </c>
      <c r="F27" s="119" t="s">
        <v>185</v>
      </c>
      <c r="G27" s="120">
        <v>2200</v>
      </c>
      <c r="H27" s="121">
        <v>19.690000000000001</v>
      </c>
      <c r="I27" s="122">
        <v>0</v>
      </c>
      <c r="J27" s="123">
        <f t="shared" si="3"/>
        <v>19.690000000000001</v>
      </c>
      <c r="K27" s="380">
        <f t="shared" si="1"/>
        <v>43318</v>
      </c>
      <c r="M27" s="46" t="s">
        <v>1061</v>
      </c>
      <c r="N27" s="46"/>
      <c r="O27" s="46"/>
      <c r="P27" s="46"/>
      <c r="Q27" s="46"/>
      <c r="R27" s="46"/>
      <c r="S27" s="46"/>
      <c r="T27" s="46"/>
      <c r="U27" s="46"/>
      <c r="V27" s="2"/>
    </row>
    <row r="28" spans="1:22" collapsed="1">
      <c r="A28" s="347" t="s">
        <v>121</v>
      </c>
      <c r="B28" s="105" t="s">
        <v>122</v>
      </c>
      <c r="C28" s="105"/>
      <c r="D28" s="105"/>
      <c r="E28" s="105"/>
      <c r="F28" s="105"/>
      <c r="G28" s="106"/>
      <c r="H28" s="107"/>
      <c r="I28" s="108"/>
      <c r="J28" s="109"/>
      <c r="K28" s="110"/>
      <c r="L28" s="130">
        <f>SUM(K18:K27)</f>
        <v>2785657.8839000002</v>
      </c>
      <c r="M28" s="373"/>
      <c r="N28" s="373"/>
      <c r="O28" s="373"/>
      <c r="P28" s="373"/>
      <c r="Q28" s="373"/>
      <c r="R28" s="373"/>
      <c r="S28" s="373"/>
      <c r="T28" s="373"/>
      <c r="U28" s="373"/>
      <c r="V28" s="2"/>
    </row>
    <row r="29" spans="1:22" hidden="1" outlineLevel="1">
      <c r="A29" s="111" t="s">
        <v>124</v>
      </c>
      <c r="B29" s="112" t="s">
        <v>125</v>
      </c>
      <c r="C29" s="112" t="s">
        <v>70</v>
      </c>
      <c r="D29" s="112" t="s">
        <v>81</v>
      </c>
      <c r="E29" s="112" t="s">
        <v>184</v>
      </c>
      <c r="F29" s="112" t="s">
        <v>126</v>
      </c>
      <c r="G29" s="113">
        <f>'Assumptions &amp; Takeoffs'!B13</f>
        <v>12</v>
      </c>
      <c r="H29" s="114">
        <v>11500</v>
      </c>
      <c r="I29" s="115">
        <v>0</v>
      </c>
      <c r="J29" s="116">
        <f t="shared" ref="J29:J33" si="4">H29*(1+I29)</f>
        <v>11500</v>
      </c>
      <c r="K29" s="380">
        <f>J29*G29</f>
        <v>138000</v>
      </c>
      <c r="M29" s="88" t="s">
        <v>1062</v>
      </c>
      <c r="N29" s="88"/>
      <c r="O29" s="88"/>
      <c r="P29" s="88"/>
      <c r="Q29" s="88"/>
      <c r="R29" s="88"/>
      <c r="S29" s="88"/>
      <c r="T29" s="88"/>
      <c r="U29" s="88"/>
      <c r="V29" s="2"/>
    </row>
    <row r="30" spans="1:22" hidden="1" outlineLevel="1">
      <c r="A30" s="118" t="s">
        <v>129</v>
      </c>
      <c r="B30" s="119" t="s">
        <v>130</v>
      </c>
      <c r="C30" s="119" t="s">
        <v>70</v>
      </c>
      <c r="D30" s="119" t="s">
        <v>97</v>
      </c>
      <c r="E30" s="119" t="s">
        <v>184</v>
      </c>
      <c r="F30" s="119" t="s">
        <v>132</v>
      </c>
      <c r="G30" s="120">
        <f>'Assumptions &amp; Takeoffs'!$B$14</f>
        <v>14</v>
      </c>
      <c r="H30" s="121">
        <v>7300</v>
      </c>
      <c r="I30" s="122">
        <v>0</v>
      </c>
      <c r="J30" s="123">
        <f t="shared" si="4"/>
        <v>7300</v>
      </c>
      <c r="K30" s="380">
        <f>J30*G30</f>
        <v>102200</v>
      </c>
      <c r="M30" s="46" t="s">
        <v>1063</v>
      </c>
      <c r="N30" s="46"/>
      <c r="O30" s="46"/>
      <c r="P30" s="46"/>
      <c r="Q30" s="46"/>
      <c r="R30" s="46"/>
      <c r="S30" s="46"/>
      <c r="T30" s="46"/>
      <c r="U30" s="46"/>
      <c r="V30" s="2"/>
    </row>
    <row r="31" spans="1:22" hidden="1" outlineLevel="1">
      <c r="A31" s="118" t="s">
        <v>136</v>
      </c>
      <c r="B31" s="119" t="s">
        <v>137</v>
      </c>
      <c r="C31" s="119" t="s">
        <v>70</v>
      </c>
      <c r="D31" s="119" t="s">
        <v>75</v>
      </c>
      <c r="E31" s="119" t="s">
        <v>87</v>
      </c>
      <c r="F31" s="119"/>
      <c r="G31" s="120"/>
      <c r="H31" s="121">
        <v>0</v>
      </c>
      <c r="I31" s="122"/>
      <c r="J31" s="123">
        <f t="shared" si="4"/>
        <v>0</v>
      </c>
      <c r="K31" s="380">
        <f>J31*G31</f>
        <v>0</v>
      </c>
      <c r="M31" s="46"/>
      <c r="N31" s="46"/>
      <c r="O31" s="46"/>
      <c r="P31" s="46"/>
      <c r="Q31" s="46"/>
      <c r="R31" s="46"/>
      <c r="S31" s="46"/>
      <c r="T31" s="46"/>
      <c r="U31" s="46"/>
      <c r="V31" s="2"/>
    </row>
    <row r="32" spans="1:22" hidden="1" outlineLevel="1">
      <c r="A32" s="118" t="s">
        <v>139</v>
      </c>
      <c r="B32" s="119" t="s">
        <v>140</v>
      </c>
      <c r="C32" s="119" t="s">
        <v>70</v>
      </c>
      <c r="D32" s="119" t="s">
        <v>103</v>
      </c>
      <c r="E32" s="119" t="s">
        <v>76</v>
      </c>
      <c r="F32" s="119" t="s">
        <v>83</v>
      </c>
      <c r="G32" s="120">
        <v>1</v>
      </c>
      <c r="H32" s="121">
        <v>5000</v>
      </c>
      <c r="I32" s="122">
        <v>0</v>
      </c>
      <c r="J32" s="123">
        <f t="shared" si="4"/>
        <v>5000</v>
      </c>
      <c r="K32" s="380">
        <f>J32*G32</f>
        <v>5000</v>
      </c>
      <c r="M32" s="46"/>
      <c r="N32" s="46"/>
      <c r="O32" s="46"/>
      <c r="P32" s="46"/>
      <c r="Q32" s="46"/>
      <c r="R32" s="46"/>
      <c r="S32" s="46"/>
      <c r="T32" s="46"/>
      <c r="U32" s="46"/>
      <c r="V32" s="2"/>
    </row>
    <row r="33" spans="1:22" hidden="1" outlineLevel="1">
      <c r="A33" s="118" t="s">
        <v>142</v>
      </c>
      <c r="B33" s="119" t="s">
        <v>143</v>
      </c>
      <c r="C33" s="119" t="s">
        <v>144</v>
      </c>
      <c r="D33" s="119" t="s">
        <v>110</v>
      </c>
      <c r="E33" s="119" t="s">
        <v>76</v>
      </c>
      <c r="F33" s="119" t="s">
        <v>83</v>
      </c>
      <c r="G33" s="120">
        <v>1</v>
      </c>
      <c r="H33" s="121">
        <v>10000</v>
      </c>
      <c r="I33" s="122">
        <v>0</v>
      </c>
      <c r="J33" s="123">
        <f t="shared" si="4"/>
        <v>10000</v>
      </c>
      <c r="K33" s="380">
        <f>J33*G33</f>
        <v>10000</v>
      </c>
      <c r="L33" s="182"/>
      <c r="M33" s="46"/>
      <c r="N33" s="46"/>
      <c r="O33" s="46"/>
      <c r="P33" s="46"/>
      <c r="Q33" s="46"/>
      <c r="R33" s="46"/>
      <c r="S33" s="46"/>
      <c r="T33" s="46"/>
      <c r="U33" s="46"/>
      <c r="V33" s="2"/>
    </row>
    <row r="34" spans="1:22" collapsed="1">
      <c r="A34" s="347" t="s">
        <v>146</v>
      </c>
      <c r="B34" s="105" t="s">
        <v>147</v>
      </c>
      <c r="C34" s="105"/>
      <c r="D34" s="105"/>
      <c r="E34" s="105"/>
      <c r="F34" s="105"/>
      <c r="G34" s="106"/>
      <c r="H34" s="107"/>
      <c r="I34" s="108"/>
      <c r="J34" s="109"/>
      <c r="K34" s="110"/>
      <c r="L34" s="130">
        <f>SUM(K29:K33)</f>
        <v>255200</v>
      </c>
      <c r="M34" s="373"/>
      <c r="N34" s="373"/>
      <c r="O34" s="373"/>
      <c r="P34" s="373"/>
      <c r="Q34" s="373"/>
      <c r="R34" s="373"/>
      <c r="S34" s="373"/>
      <c r="T34" s="373"/>
      <c r="U34" s="373"/>
      <c r="V34" s="2"/>
    </row>
    <row r="35" spans="1:22" hidden="1" outlineLevel="1">
      <c r="A35" s="111" t="s">
        <v>128</v>
      </c>
      <c r="B35" s="112" t="s">
        <v>149</v>
      </c>
      <c r="C35" s="112" t="s">
        <v>70</v>
      </c>
      <c r="D35" s="112" t="s">
        <v>81</v>
      </c>
      <c r="E35" s="112" t="s">
        <v>76</v>
      </c>
      <c r="F35" s="112" t="s">
        <v>83</v>
      </c>
      <c r="G35" s="113">
        <v>1</v>
      </c>
      <c r="H35" s="148">
        <v>150000</v>
      </c>
      <c r="I35" s="115">
        <v>0</v>
      </c>
      <c r="J35" s="116">
        <f t="shared" ref="J35:J42" si="5">H35*(1+I35)</f>
        <v>150000</v>
      </c>
      <c r="K35" s="380">
        <f t="shared" ref="K35:K42" si="6">J35*G35</f>
        <v>150000</v>
      </c>
      <c r="M35" s="88"/>
      <c r="N35" s="88"/>
      <c r="O35" s="88"/>
      <c r="P35" s="88"/>
      <c r="Q35" s="88"/>
      <c r="R35" s="88"/>
      <c r="S35" s="88"/>
      <c r="T35" s="88"/>
      <c r="U35" s="88"/>
      <c r="V35" s="2"/>
    </row>
    <row r="36" spans="1:22" hidden="1" outlineLevel="1">
      <c r="A36" s="118" t="s">
        <v>151</v>
      </c>
      <c r="B36" s="119" t="s">
        <v>152</v>
      </c>
      <c r="C36" s="119" t="s">
        <v>70</v>
      </c>
      <c r="D36" s="119" t="s">
        <v>81</v>
      </c>
      <c r="E36" s="119" t="s">
        <v>184</v>
      </c>
      <c r="F36" s="119" t="s">
        <v>132</v>
      </c>
      <c r="G36" s="120">
        <v>6</v>
      </c>
      <c r="H36" s="138">
        <f>24540/6</f>
        <v>4090</v>
      </c>
      <c r="I36" s="122">
        <v>0</v>
      </c>
      <c r="J36" s="116">
        <f t="shared" si="5"/>
        <v>4090</v>
      </c>
      <c r="K36" s="380">
        <f>J36*G36</f>
        <v>24540</v>
      </c>
      <c r="M36" s="46"/>
      <c r="N36" s="46"/>
      <c r="O36" s="46"/>
      <c r="P36" s="46"/>
      <c r="Q36" s="46"/>
      <c r="R36" s="46"/>
      <c r="S36" s="46"/>
      <c r="T36" s="46"/>
      <c r="U36" s="46"/>
      <c r="V36" s="2"/>
    </row>
    <row r="37" spans="1:22" hidden="1" outlineLevel="1">
      <c r="A37" s="118" t="s">
        <v>154</v>
      </c>
      <c r="B37" s="119" t="s">
        <v>155</v>
      </c>
      <c r="C37" s="119" t="s">
        <v>70</v>
      </c>
      <c r="D37" s="119" t="s">
        <v>81</v>
      </c>
      <c r="E37" s="119" t="s">
        <v>184</v>
      </c>
      <c r="F37" s="119" t="s">
        <v>157</v>
      </c>
      <c r="G37" s="120">
        <v>18</v>
      </c>
      <c r="H37" s="138">
        <v>2500</v>
      </c>
      <c r="I37" s="122">
        <v>0</v>
      </c>
      <c r="J37" s="116">
        <f t="shared" si="5"/>
        <v>2500</v>
      </c>
      <c r="K37" s="380">
        <f>J37*G37</f>
        <v>45000</v>
      </c>
      <c r="M37" s="46"/>
      <c r="N37" s="46"/>
      <c r="O37" s="46"/>
      <c r="P37" s="46"/>
      <c r="Q37" s="46"/>
      <c r="R37" s="46"/>
      <c r="S37" s="46"/>
      <c r="T37" s="46"/>
      <c r="U37" s="46"/>
      <c r="V37" s="2"/>
    </row>
    <row r="38" spans="1:22" hidden="1" outlineLevel="1">
      <c r="A38" s="118" t="s">
        <v>160</v>
      </c>
      <c r="B38" s="119" t="s">
        <v>155</v>
      </c>
      <c r="C38" s="119" t="s">
        <v>70</v>
      </c>
      <c r="D38" s="119" t="s">
        <v>81</v>
      </c>
      <c r="E38" s="119" t="s">
        <v>87</v>
      </c>
      <c r="F38" s="119"/>
      <c r="G38" s="120"/>
      <c r="H38" s="138">
        <v>0</v>
      </c>
      <c r="I38" s="122">
        <v>0</v>
      </c>
      <c r="J38" s="116">
        <f t="shared" si="5"/>
        <v>0</v>
      </c>
      <c r="K38" s="117">
        <f t="shared" si="6"/>
        <v>0</v>
      </c>
      <c r="M38" s="46"/>
      <c r="N38" s="46"/>
      <c r="O38" s="46"/>
      <c r="P38" s="46"/>
      <c r="Q38" s="46"/>
      <c r="R38" s="46"/>
      <c r="S38" s="46"/>
      <c r="T38" s="46"/>
      <c r="U38" s="46"/>
      <c r="V38" s="2"/>
    </row>
    <row r="39" spans="1:22" hidden="1" outlineLevel="1">
      <c r="A39" s="118" t="s">
        <v>161</v>
      </c>
      <c r="B39" s="119" t="s">
        <v>162</v>
      </c>
      <c r="C39" s="119" t="s">
        <v>70</v>
      </c>
      <c r="D39" s="119" t="s">
        <v>103</v>
      </c>
      <c r="E39" s="119" t="s">
        <v>87</v>
      </c>
      <c r="F39" s="119"/>
      <c r="G39" s="120"/>
      <c r="H39" s="138">
        <v>0</v>
      </c>
      <c r="I39" s="122">
        <v>0</v>
      </c>
      <c r="J39" s="116">
        <f t="shared" si="5"/>
        <v>0</v>
      </c>
      <c r="K39" s="117">
        <f t="shared" si="6"/>
        <v>0</v>
      </c>
      <c r="M39" s="46"/>
      <c r="N39" s="46"/>
      <c r="O39" s="46"/>
      <c r="P39" s="46"/>
      <c r="Q39" s="46"/>
      <c r="R39" s="46"/>
      <c r="S39" s="46"/>
      <c r="T39" s="46"/>
      <c r="U39" s="46"/>
      <c r="V39" s="2"/>
    </row>
    <row r="40" spans="1:22" hidden="1" outlineLevel="1">
      <c r="A40" s="118" t="s">
        <v>164</v>
      </c>
      <c r="B40" s="119" t="s">
        <v>165</v>
      </c>
      <c r="C40" s="119" t="s">
        <v>70</v>
      </c>
      <c r="D40" s="119" t="s">
        <v>110</v>
      </c>
      <c r="E40" s="119" t="s">
        <v>343</v>
      </c>
      <c r="F40" s="119" t="s">
        <v>132</v>
      </c>
      <c r="G40" s="120">
        <v>1</v>
      </c>
      <c r="H40" s="138">
        <v>1950</v>
      </c>
      <c r="I40" s="122">
        <v>0</v>
      </c>
      <c r="J40" s="116">
        <f t="shared" si="5"/>
        <v>1950</v>
      </c>
      <c r="K40" s="380">
        <f t="shared" si="6"/>
        <v>1950</v>
      </c>
      <c r="M40" s="46"/>
      <c r="N40" s="46"/>
      <c r="O40" s="46"/>
      <c r="P40" s="46"/>
      <c r="Q40" s="46"/>
      <c r="R40" s="46"/>
      <c r="S40" s="46"/>
      <c r="T40" s="46"/>
      <c r="U40" s="46"/>
      <c r="V40" s="2"/>
    </row>
    <row r="41" spans="1:22" hidden="1" outlineLevel="1">
      <c r="A41" s="118" t="s">
        <v>167</v>
      </c>
      <c r="B41" s="119" t="s">
        <v>168</v>
      </c>
      <c r="C41" s="119" t="s">
        <v>70</v>
      </c>
      <c r="D41" s="119" t="s">
        <v>81</v>
      </c>
      <c r="E41" s="119" t="s">
        <v>184</v>
      </c>
      <c r="F41" s="119" t="s">
        <v>169</v>
      </c>
      <c r="G41" s="120">
        <v>1648</v>
      </c>
      <c r="H41" s="138">
        <v>92</v>
      </c>
      <c r="I41" s="122">
        <v>0</v>
      </c>
      <c r="J41" s="116">
        <f t="shared" si="5"/>
        <v>92</v>
      </c>
      <c r="K41" s="380">
        <v>238464</v>
      </c>
      <c r="M41" s="46"/>
      <c r="N41" s="46"/>
      <c r="O41" s="46"/>
      <c r="P41" s="46"/>
      <c r="Q41" s="46"/>
      <c r="R41" s="46"/>
      <c r="S41" s="46"/>
      <c r="T41" s="46"/>
      <c r="U41" s="46"/>
      <c r="V41" s="2"/>
    </row>
    <row r="42" spans="1:22" hidden="1" outlineLevel="1">
      <c r="A42" s="118" t="s">
        <v>171</v>
      </c>
      <c r="B42" s="119" t="s">
        <v>172</v>
      </c>
      <c r="C42" s="119" t="s">
        <v>70</v>
      </c>
      <c r="D42" s="119" t="s">
        <v>173</v>
      </c>
      <c r="E42" s="119" t="s">
        <v>87</v>
      </c>
      <c r="F42" s="119"/>
      <c r="G42" s="120"/>
      <c r="H42" s="138">
        <v>0</v>
      </c>
      <c r="I42" s="122">
        <v>0</v>
      </c>
      <c r="J42" s="123">
        <f t="shared" si="5"/>
        <v>0</v>
      </c>
      <c r="K42" s="117">
        <f t="shared" si="6"/>
        <v>0</v>
      </c>
      <c r="L42" s="360"/>
      <c r="M42" s="46"/>
      <c r="N42" s="46"/>
      <c r="O42" s="46"/>
      <c r="P42" s="46"/>
      <c r="Q42" s="46"/>
      <c r="R42" s="46"/>
      <c r="S42" s="46"/>
      <c r="T42" s="46"/>
      <c r="U42" s="46"/>
      <c r="V42" s="2"/>
    </row>
    <row r="43" spans="1:22" collapsed="1">
      <c r="A43" s="347" t="s">
        <v>175</v>
      </c>
      <c r="B43" s="105" t="s">
        <v>176</v>
      </c>
      <c r="C43" s="105"/>
      <c r="D43" s="105"/>
      <c r="E43" s="105"/>
      <c r="F43" s="105"/>
      <c r="G43" s="106"/>
      <c r="H43" s="107"/>
      <c r="I43" s="108"/>
      <c r="J43" s="109"/>
      <c r="K43" s="110"/>
      <c r="L43" s="130">
        <f>SUM(K35:K42)</f>
        <v>459954</v>
      </c>
      <c r="M43" s="373"/>
      <c r="N43" s="373"/>
      <c r="O43" s="373"/>
      <c r="P43" s="373"/>
      <c r="Q43" s="373"/>
      <c r="R43" s="373"/>
      <c r="S43" s="373"/>
      <c r="T43" s="373"/>
      <c r="U43" s="373"/>
      <c r="V43" s="2"/>
    </row>
    <row r="44" spans="1:22" hidden="1" outlineLevel="1">
      <c r="A44" s="118" t="s">
        <v>178</v>
      </c>
      <c r="B44" s="119" t="s">
        <v>179</v>
      </c>
      <c r="C44" s="119" t="s">
        <v>70</v>
      </c>
      <c r="D44" s="119" t="s">
        <v>81</v>
      </c>
      <c r="E44" s="119" t="s">
        <v>184</v>
      </c>
      <c r="F44" s="119" t="s">
        <v>185</v>
      </c>
      <c r="G44" s="120">
        <f>B8</f>
        <v>362571</v>
      </c>
      <c r="H44" s="121">
        <v>18.68</v>
      </c>
      <c r="I44" s="122">
        <v>0</v>
      </c>
      <c r="J44" s="116">
        <f t="shared" ref="J44:J56" si="7">H44*(1+I44)</f>
        <v>18.68</v>
      </c>
      <c r="K44" s="380">
        <f t="shared" ref="K44:K56" si="8">J44*G44</f>
        <v>6772826.2800000003</v>
      </c>
      <c r="M44" s="440" t="s">
        <v>1064</v>
      </c>
      <c r="N44" s="46"/>
      <c r="O44" s="46"/>
      <c r="P44" s="46"/>
      <c r="Q44" s="46"/>
      <c r="R44" s="46"/>
      <c r="S44" s="46"/>
      <c r="T44" s="46"/>
      <c r="U44" s="46"/>
      <c r="V44" s="2"/>
    </row>
    <row r="45" spans="1:22" hidden="1" outlineLevel="1">
      <c r="A45" s="118" t="s">
        <v>183</v>
      </c>
      <c r="B45" s="119" t="s">
        <v>179</v>
      </c>
      <c r="C45" s="119" t="s">
        <v>70</v>
      </c>
      <c r="D45" s="119" t="s">
        <v>93</v>
      </c>
      <c r="E45" s="119" t="s">
        <v>1065</v>
      </c>
      <c r="F45" s="119" t="s">
        <v>185</v>
      </c>
      <c r="G45" s="120">
        <v>600</v>
      </c>
      <c r="H45" s="121">
        <f>H44</f>
        <v>18.68</v>
      </c>
      <c r="I45" s="122">
        <v>0</v>
      </c>
      <c r="J45" s="116">
        <f t="shared" ref="J45" si="9">H45*(1+I45)</f>
        <v>18.68</v>
      </c>
      <c r="K45" s="380">
        <f t="shared" ref="K45" si="10">J45*G45</f>
        <v>11208</v>
      </c>
      <c r="M45" s="46"/>
      <c r="N45" s="46"/>
      <c r="O45" s="46"/>
      <c r="P45" s="46"/>
      <c r="Q45" s="46"/>
      <c r="R45" s="46"/>
      <c r="S45" s="46"/>
      <c r="T45" s="46"/>
      <c r="U45" s="46"/>
      <c r="V45" s="2"/>
    </row>
    <row r="46" spans="1:22" hidden="1" outlineLevel="1">
      <c r="A46" s="118" t="s">
        <v>187</v>
      </c>
      <c r="B46" s="119" t="s">
        <v>179</v>
      </c>
      <c r="C46" s="119" t="s">
        <v>70</v>
      </c>
      <c r="D46" s="119" t="s">
        <v>81</v>
      </c>
      <c r="E46" s="119" t="s">
        <v>87</v>
      </c>
      <c r="F46" s="119"/>
      <c r="G46" s="120"/>
      <c r="H46" s="121"/>
      <c r="I46" s="122">
        <v>0</v>
      </c>
      <c r="J46" s="116">
        <f t="shared" si="7"/>
        <v>0</v>
      </c>
      <c r="K46" s="117">
        <f t="shared" si="8"/>
        <v>0</v>
      </c>
      <c r="M46" s="46"/>
      <c r="N46" s="46"/>
      <c r="O46" s="46"/>
      <c r="P46" s="46"/>
      <c r="Q46" s="46"/>
      <c r="R46" s="46"/>
      <c r="S46" s="46"/>
      <c r="T46" s="46"/>
      <c r="U46" s="46"/>
      <c r="V46" s="2"/>
    </row>
    <row r="47" spans="1:22" hidden="1" outlineLevel="1">
      <c r="A47" s="118" t="s">
        <v>189</v>
      </c>
      <c r="B47" s="119" t="s">
        <v>190</v>
      </c>
      <c r="C47" s="119" t="s">
        <v>70</v>
      </c>
      <c r="D47" s="119" t="s">
        <v>173</v>
      </c>
      <c r="E47" s="119" t="s">
        <v>87</v>
      </c>
      <c r="F47" s="119"/>
      <c r="G47" s="120"/>
      <c r="H47" s="121"/>
      <c r="I47" s="122">
        <v>0</v>
      </c>
      <c r="J47" s="116">
        <f t="shared" si="7"/>
        <v>0</v>
      </c>
      <c r="K47" s="117">
        <f t="shared" si="8"/>
        <v>0</v>
      </c>
      <c r="M47" s="46"/>
      <c r="N47" s="46"/>
      <c r="O47" s="46"/>
      <c r="P47" s="46"/>
      <c r="Q47" s="46"/>
      <c r="R47" s="46"/>
      <c r="S47" s="46"/>
      <c r="T47" s="46"/>
      <c r="U47" s="46"/>
      <c r="V47" s="2"/>
    </row>
    <row r="48" spans="1:22" hidden="1" outlineLevel="1">
      <c r="A48" s="118" t="s">
        <v>192</v>
      </c>
      <c r="B48" s="119" t="s">
        <v>193</v>
      </c>
      <c r="C48" s="119" t="s">
        <v>70</v>
      </c>
      <c r="D48" s="119" t="s">
        <v>173</v>
      </c>
      <c r="E48" s="119" t="s">
        <v>76</v>
      </c>
      <c r="F48" s="119" t="s">
        <v>83</v>
      </c>
      <c r="G48" s="120">
        <v>4</v>
      </c>
      <c r="H48" s="121">
        <v>2500</v>
      </c>
      <c r="I48" s="122">
        <v>0</v>
      </c>
      <c r="J48" s="116">
        <f t="shared" si="7"/>
        <v>2500</v>
      </c>
      <c r="K48" s="117">
        <f t="shared" si="8"/>
        <v>10000</v>
      </c>
      <c r="M48" s="46"/>
      <c r="N48" s="46"/>
      <c r="O48" s="46"/>
      <c r="P48" s="46"/>
      <c r="Q48" s="46"/>
      <c r="R48" s="46"/>
      <c r="S48" s="46"/>
      <c r="T48" s="46"/>
      <c r="U48" s="46"/>
      <c r="V48" s="2"/>
    </row>
    <row r="49" spans="1:24" hidden="1" outlineLevel="1">
      <c r="A49" s="118" t="s">
        <v>195</v>
      </c>
      <c r="B49" s="119" t="s">
        <v>196</v>
      </c>
      <c r="C49" s="119" t="s">
        <v>70</v>
      </c>
      <c r="D49" s="119" t="s">
        <v>173</v>
      </c>
      <c r="E49" s="119" t="s">
        <v>87</v>
      </c>
      <c r="F49" s="119"/>
      <c r="G49" s="120"/>
      <c r="H49" s="121"/>
      <c r="I49" s="122">
        <v>0</v>
      </c>
      <c r="J49" s="116">
        <f t="shared" si="7"/>
        <v>0</v>
      </c>
      <c r="K49" s="117">
        <f t="shared" si="8"/>
        <v>0</v>
      </c>
      <c r="M49" s="46"/>
      <c r="N49" s="46"/>
      <c r="O49" s="46"/>
      <c r="P49" s="46"/>
      <c r="Q49" s="46"/>
      <c r="R49" s="46"/>
      <c r="S49" s="46"/>
      <c r="T49" s="46"/>
      <c r="U49" s="46"/>
      <c r="V49" s="2"/>
    </row>
    <row r="50" spans="1:24" hidden="1" outlineLevel="1">
      <c r="A50" s="118" t="s">
        <v>198</v>
      </c>
      <c r="B50" s="119" t="s">
        <v>199</v>
      </c>
      <c r="C50" s="119" t="s">
        <v>70</v>
      </c>
      <c r="D50" s="119" t="s">
        <v>81</v>
      </c>
      <c r="E50" s="119" t="s">
        <v>87</v>
      </c>
      <c r="F50" s="119"/>
      <c r="G50" s="120"/>
      <c r="H50" s="121"/>
      <c r="I50" s="122">
        <v>0</v>
      </c>
      <c r="J50" s="116">
        <f t="shared" si="7"/>
        <v>0</v>
      </c>
      <c r="K50" s="117">
        <f t="shared" si="8"/>
        <v>0</v>
      </c>
      <c r="M50" s="46"/>
      <c r="N50" s="46"/>
      <c r="O50" s="46"/>
      <c r="P50" s="46"/>
      <c r="Q50" s="46"/>
      <c r="R50" s="46"/>
      <c r="S50" s="46"/>
      <c r="T50" s="46"/>
      <c r="U50" s="46"/>
      <c r="V50" s="2"/>
    </row>
    <row r="51" spans="1:24" hidden="1" outlineLevel="1">
      <c r="A51" s="118" t="s">
        <v>201</v>
      </c>
      <c r="B51" s="119" t="s">
        <v>199</v>
      </c>
      <c r="C51" s="119" t="s">
        <v>70</v>
      </c>
      <c r="D51" s="119" t="s">
        <v>110</v>
      </c>
      <c r="E51" s="119" t="s">
        <v>87</v>
      </c>
      <c r="F51" s="119"/>
      <c r="G51" s="120"/>
      <c r="H51" s="121"/>
      <c r="I51" s="122">
        <v>0</v>
      </c>
      <c r="J51" s="116">
        <f t="shared" si="7"/>
        <v>0</v>
      </c>
      <c r="K51" s="117">
        <f t="shared" si="8"/>
        <v>0</v>
      </c>
      <c r="M51" s="46"/>
      <c r="N51" s="46"/>
      <c r="O51" s="46"/>
      <c r="P51" s="46"/>
      <c r="Q51" s="46"/>
      <c r="R51" s="46"/>
      <c r="S51" s="46"/>
      <c r="T51" s="46"/>
      <c r="U51" s="46"/>
      <c r="V51" s="2"/>
    </row>
    <row r="52" spans="1:24" hidden="1" outlineLevel="1">
      <c r="A52" s="137" t="s">
        <v>203</v>
      </c>
      <c r="B52" s="119" t="s">
        <v>204</v>
      </c>
      <c r="C52" s="119" t="s">
        <v>70</v>
      </c>
      <c r="D52" s="119" t="s">
        <v>81</v>
      </c>
      <c r="E52" s="112" t="s">
        <v>184</v>
      </c>
      <c r="F52" s="119" t="s">
        <v>344</v>
      </c>
      <c r="G52" s="120">
        <f>$N$9</f>
        <v>363</v>
      </c>
      <c r="H52" s="138">
        <v>3100</v>
      </c>
      <c r="I52" s="122">
        <v>0</v>
      </c>
      <c r="J52" s="116">
        <f t="shared" si="7"/>
        <v>3100</v>
      </c>
      <c r="K52" s="380">
        <f>J52*G52</f>
        <v>1125300</v>
      </c>
      <c r="M52" s="46" t="s">
        <v>1066</v>
      </c>
      <c r="N52" s="46"/>
      <c r="O52" s="46"/>
      <c r="P52" s="46"/>
      <c r="Q52" s="46"/>
      <c r="R52" s="46"/>
      <c r="S52" s="46"/>
      <c r="T52" s="46"/>
      <c r="U52" s="46"/>
      <c r="V52" s="2"/>
    </row>
    <row r="53" spans="1:24" hidden="1" outlineLevel="1">
      <c r="A53" s="118" t="s">
        <v>208</v>
      </c>
      <c r="B53" s="119" t="s">
        <v>204</v>
      </c>
      <c r="C53" s="119" t="s">
        <v>70</v>
      </c>
      <c r="D53" s="119" t="s">
        <v>173</v>
      </c>
      <c r="E53" s="119" t="s">
        <v>184</v>
      </c>
      <c r="F53" s="119" t="s">
        <v>185</v>
      </c>
      <c r="G53" s="120">
        <f>B8</f>
        <v>362571</v>
      </c>
      <c r="H53" s="121">
        <v>1.1000000000000001</v>
      </c>
      <c r="I53" s="122">
        <v>0</v>
      </c>
      <c r="J53" s="116">
        <f t="shared" si="7"/>
        <v>1.1000000000000001</v>
      </c>
      <c r="K53" s="380">
        <f t="shared" si="8"/>
        <v>398828.10000000003</v>
      </c>
      <c r="M53" s="46" t="s">
        <v>1067</v>
      </c>
      <c r="N53" s="46"/>
      <c r="O53" s="46"/>
      <c r="P53" s="46"/>
      <c r="Q53" s="46"/>
      <c r="R53" s="46"/>
      <c r="S53" s="46"/>
      <c r="T53" s="46"/>
      <c r="U53" s="46"/>
      <c r="V53" s="2"/>
      <c r="X53" s="229"/>
    </row>
    <row r="54" spans="1:24" hidden="1" outlineLevel="1">
      <c r="A54" s="118" t="s">
        <v>211</v>
      </c>
      <c r="B54" s="119" t="s">
        <v>212</v>
      </c>
      <c r="C54" s="119" t="s">
        <v>70</v>
      </c>
      <c r="D54" s="119" t="s">
        <v>93</v>
      </c>
      <c r="E54" s="119" t="s">
        <v>76</v>
      </c>
      <c r="F54" s="119" t="s">
        <v>83</v>
      </c>
      <c r="G54" s="120">
        <v>1</v>
      </c>
      <c r="H54" s="121">
        <v>4000</v>
      </c>
      <c r="I54" s="122">
        <v>0</v>
      </c>
      <c r="J54" s="116">
        <f t="shared" si="7"/>
        <v>4000</v>
      </c>
      <c r="K54" s="117">
        <f t="shared" si="8"/>
        <v>4000</v>
      </c>
      <c r="M54" s="46"/>
      <c r="N54" s="46"/>
      <c r="O54" s="46"/>
      <c r="P54" s="46"/>
      <c r="Q54" s="46"/>
      <c r="R54" s="46"/>
      <c r="S54" s="46"/>
      <c r="T54" s="46"/>
      <c r="U54" s="46"/>
      <c r="V54" s="2"/>
      <c r="X54" s="182"/>
    </row>
    <row r="55" spans="1:24" hidden="1" outlineLevel="1">
      <c r="A55" s="118" t="s">
        <v>214</v>
      </c>
      <c r="B55" s="119" t="s">
        <v>215</v>
      </c>
      <c r="C55" s="119" t="s">
        <v>70</v>
      </c>
      <c r="D55" s="119" t="s">
        <v>173</v>
      </c>
      <c r="E55" s="119" t="s">
        <v>76</v>
      </c>
      <c r="F55" s="119" t="s">
        <v>83</v>
      </c>
      <c r="G55" s="120">
        <v>4</v>
      </c>
      <c r="H55" s="121">
        <v>1250</v>
      </c>
      <c r="I55" s="122">
        <v>0</v>
      </c>
      <c r="J55" s="116">
        <f t="shared" si="7"/>
        <v>1250</v>
      </c>
      <c r="K55" s="117">
        <f t="shared" si="8"/>
        <v>5000</v>
      </c>
      <c r="M55" s="46"/>
      <c r="N55" s="46"/>
      <c r="O55" s="46"/>
      <c r="P55" s="46"/>
      <c r="Q55" s="46"/>
      <c r="R55" s="46"/>
      <c r="S55" s="46"/>
      <c r="T55" s="46"/>
      <c r="U55" s="46"/>
      <c r="V55" s="2"/>
      <c r="X55" s="230"/>
    </row>
    <row r="56" spans="1:24" hidden="1" outlineLevel="1">
      <c r="A56" s="118" t="s">
        <v>217</v>
      </c>
      <c r="B56" s="119" t="s">
        <v>218</v>
      </c>
      <c r="C56" s="119" t="s">
        <v>70</v>
      </c>
      <c r="D56" s="119" t="s">
        <v>81</v>
      </c>
      <c r="E56" s="119" t="s">
        <v>87</v>
      </c>
      <c r="F56" s="119"/>
      <c r="G56" s="120"/>
      <c r="H56" s="121"/>
      <c r="I56" s="122">
        <v>0</v>
      </c>
      <c r="J56" s="123">
        <f t="shared" si="7"/>
        <v>0</v>
      </c>
      <c r="K56" s="117">
        <f t="shared" si="8"/>
        <v>0</v>
      </c>
      <c r="L56" s="360"/>
      <c r="M56" s="46"/>
      <c r="N56" s="46"/>
      <c r="O56" s="46"/>
      <c r="P56" s="46"/>
      <c r="Q56" s="46"/>
      <c r="R56" s="46"/>
      <c r="S56" s="46"/>
      <c r="T56" s="46"/>
      <c r="U56" s="46"/>
      <c r="V56" s="2"/>
    </row>
    <row r="57" spans="1:24" collapsed="1">
      <c r="A57" s="347" t="s">
        <v>220</v>
      </c>
      <c r="B57" s="105" t="s">
        <v>221</v>
      </c>
      <c r="C57" s="105"/>
      <c r="D57" s="105"/>
      <c r="E57" s="105"/>
      <c r="F57" s="105"/>
      <c r="G57" s="106"/>
      <c r="H57" s="107"/>
      <c r="I57" s="108"/>
      <c r="J57" s="109"/>
      <c r="K57" s="110"/>
      <c r="L57" s="130">
        <f>SUM(K44:K56)</f>
        <v>8327162.3799999999</v>
      </c>
      <c r="M57" s="373"/>
      <c r="N57" s="373"/>
      <c r="O57" s="373"/>
      <c r="P57" s="373"/>
      <c r="Q57" s="373"/>
      <c r="R57" s="373"/>
      <c r="S57" s="373"/>
      <c r="T57" s="373"/>
      <c r="U57" s="373"/>
      <c r="V57" s="2"/>
    </row>
    <row r="58" spans="1:24" hidden="1" outlineLevel="1">
      <c r="A58" s="111" t="s">
        <v>223</v>
      </c>
      <c r="B58" s="112" t="s">
        <v>224</v>
      </c>
      <c r="C58" s="112" t="s">
        <v>70</v>
      </c>
      <c r="D58" s="112" t="s">
        <v>81</v>
      </c>
      <c r="E58" s="112" t="s">
        <v>889</v>
      </c>
      <c r="F58" s="112" t="s">
        <v>185</v>
      </c>
      <c r="G58" s="113">
        <v>362571</v>
      </c>
      <c r="H58" s="114">
        <v>2.5</v>
      </c>
      <c r="I58" s="115">
        <v>0</v>
      </c>
      <c r="J58" s="116">
        <f t="shared" ref="J58:J70" si="11">H58*(1+I58)</f>
        <v>2.5</v>
      </c>
      <c r="K58" s="380">
        <f t="shared" ref="K58:K70" si="12">J58*G58</f>
        <v>906427.5</v>
      </c>
      <c r="M58" s="46" t="s">
        <v>890</v>
      </c>
      <c r="N58" s="88"/>
      <c r="O58" s="88"/>
      <c r="P58" s="88"/>
      <c r="Q58" s="88"/>
      <c r="R58" s="88"/>
      <c r="S58" s="88"/>
      <c r="T58" s="88"/>
      <c r="U58" s="88"/>
      <c r="V58" s="2"/>
    </row>
    <row r="59" spans="1:24" hidden="1" outlineLevel="1">
      <c r="A59" s="111" t="s">
        <v>229</v>
      </c>
      <c r="B59" s="112" t="s">
        <v>224</v>
      </c>
      <c r="C59" s="112" t="s">
        <v>70</v>
      </c>
      <c r="D59" s="112" t="s">
        <v>93</v>
      </c>
      <c r="E59" s="112" t="s">
        <v>76</v>
      </c>
      <c r="F59" s="112" t="s">
        <v>83</v>
      </c>
      <c r="G59" s="113">
        <v>1</v>
      </c>
      <c r="H59" s="148">
        <v>2000</v>
      </c>
      <c r="I59" s="115">
        <v>0</v>
      </c>
      <c r="J59" s="116">
        <f t="shared" ref="J59" si="13">H59*(1+I59)</f>
        <v>2000</v>
      </c>
      <c r="K59" s="380">
        <f t="shared" ref="K59" si="14">J59*G59</f>
        <v>2000</v>
      </c>
      <c r="M59" s="46"/>
      <c r="N59" s="88"/>
      <c r="O59" s="88"/>
      <c r="P59" s="88"/>
      <c r="Q59" s="88"/>
      <c r="R59" s="88"/>
      <c r="S59" s="88"/>
      <c r="T59" s="88"/>
      <c r="U59" s="88"/>
      <c r="V59" s="2"/>
    </row>
    <row r="60" spans="1:24" hidden="1" outlineLevel="1">
      <c r="A60" s="118" t="s">
        <v>153</v>
      </c>
      <c r="B60" s="119" t="s">
        <v>232</v>
      </c>
      <c r="C60" s="119" t="s">
        <v>70</v>
      </c>
      <c r="D60" s="119" t="s">
        <v>81</v>
      </c>
      <c r="E60" s="119" t="s">
        <v>343</v>
      </c>
      <c r="F60" s="119" t="s">
        <v>891</v>
      </c>
      <c r="G60" s="120">
        <v>1776.5841</v>
      </c>
      <c r="H60" s="138">
        <v>603</v>
      </c>
      <c r="I60" s="122">
        <v>0</v>
      </c>
      <c r="J60" s="121">
        <f t="shared" si="11"/>
        <v>603</v>
      </c>
      <c r="K60" s="381">
        <f t="shared" si="12"/>
        <v>1071280.2123</v>
      </c>
      <c r="M60" s="46"/>
      <c r="N60" s="46"/>
      <c r="O60" s="46"/>
      <c r="P60" s="46"/>
      <c r="Q60" s="46"/>
      <c r="R60" s="46"/>
      <c r="S60" s="46"/>
      <c r="T60" s="46"/>
      <c r="U60" s="46"/>
      <c r="V60" s="2"/>
    </row>
    <row r="61" spans="1:24" hidden="1" outlineLevel="1">
      <c r="A61" s="118" t="s">
        <v>236</v>
      </c>
      <c r="B61" s="119" t="s">
        <v>232</v>
      </c>
      <c r="C61" s="119" t="s">
        <v>70</v>
      </c>
      <c r="D61" s="119" t="s">
        <v>93</v>
      </c>
      <c r="E61" s="112" t="s">
        <v>76</v>
      </c>
      <c r="F61" s="112" t="s">
        <v>83</v>
      </c>
      <c r="G61" s="113">
        <v>1</v>
      </c>
      <c r="H61" s="148">
        <v>10000</v>
      </c>
      <c r="I61" s="122">
        <v>0</v>
      </c>
      <c r="J61" s="121">
        <f t="shared" ref="J61" si="15">H61*(1+I61)</f>
        <v>10000</v>
      </c>
      <c r="K61" s="381">
        <f t="shared" ref="K61" si="16">J61*G61</f>
        <v>10000</v>
      </c>
      <c r="M61" s="46"/>
      <c r="N61" s="46"/>
      <c r="O61" s="46"/>
      <c r="P61" s="46"/>
      <c r="Q61" s="46"/>
      <c r="R61" s="46"/>
      <c r="S61" s="46"/>
      <c r="T61" s="46"/>
      <c r="U61" s="46"/>
      <c r="V61" s="2"/>
    </row>
    <row r="62" spans="1:24" hidden="1" outlineLevel="1">
      <c r="A62" s="118" t="s">
        <v>239</v>
      </c>
      <c r="B62" s="119" t="s">
        <v>240</v>
      </c>
      <c r="C62" s="119" t="s">
        <v>70</v>
      </c>
      <c r="D62" s="119" t="s">
        <v>173</v>
      </c>
      <c r="E62" s="119" t="s">
        <v>87</v>
      </c>
      <c r="F62" s="119"/>
      <c r="G62" s="120"/>
      <c r="H62" s="121"/>
      <c r="I62" s="122">
        <v>0</v>
      </c>
      <c r="J62" s="121">
        <f t="shared" si="11"/>
        <v>0</v>
      </c>
      <c r="K62" s="138">
        <f t="shared" si="12"/>
        <v>0</v>
      </c>
      <c r="M62" s="46"/>
      <c r="N62" s="46"/>
      <c r="O62" s="46"/>
      <c r="P62" s="46"/>
      <c r="Q62" s="46"/>
      <c r="R62" s="46"/>
      <c r="S62" s="46"/>
      <c r="T62" s="46"/>
      <c r="U62" s="46"/>
      <c r="V62" s="2"/>
    </row>
    <row r="63" spans="1:24" hidden="1" outlineLevel="1">
      <c r="A63" s="118" t="s">
        <v>244</v>
      </c>
      <c r="B63" s="119" t="s">
        <v>240</v>
      </c>
      <c r="C63" s="119" t="s">
        <v>70</v>
      </c>
      <c r="D63" s="119" t="s">
        <v>93</v>
      </c>
      <c r="E63" s="119" t="s">
        <v>76</v>
      </c>
      <c r="F63" s="119" t="s">
        <v>83</v>
      </c>
      <c r="G63" s="120">
        <v>1</v>
      </c>
      <c r="H63" s="138">
        <v>7500</v>
      </c>
      <c r="I63" s="122">
        <v>0</v>
      </c>
      <c r="J63" s="121">
        <f t="shared" si="11"/>
        <v>7500</v>
      </c>
      <c r="K63" s="138">
        <f t="shared" si="12"/>
        <v>7500</v>
      </c>
      <c r="M63" s="46"/>
      <c r="N63" s="46"/>
      <c r="O63" s="46"/>
      <c r="P63" s="46"/>
      <c r="Q63" s="46"/>
      <c r="R63" s="46"/>
      <c r="S63" s="46"/>
      <c r="T63" s="46"/>
      <c r="U63" s="46"/>
      <c r="V63" s="2"/>
    </row>
    <row r="64" spans="1:24" hidden="1" outlineLevel="1">
      <c r="A64" s="118" t="s">
        <v>246</v>
      </c>
      <c r="B64" s="119" t="s">
        <v>247</v>
      </c>
      <c r="C64" s="119" t="s">
        <v>70</v>
      </c>
      <c r="D64" s="119" t="s">
        <v>110</v>
      </c>
      <c r="E64" s="119" t="s">
        <v>76</v>
      </c>
      <c r="F64" s="119" t="s">
        <v>83</v>
      </c>
      <c r="G64" s="120">
        <v>1</v>
      </c>
      <c r="H64" s="138">
        <v>7500</v>
      </c>
      <c r="I64" s="122">
        <v>0</v>
      </c>
      <c r="J64" s="121">
        <f t="shared" si="11"/>
        <v>7500</v>
      </c>
      <c r="K64" s="138">
        <f t="shared" si="12"/>
        <v>7500</v>
      </c>
      <c r="M64" s="46"/>
      <c r="N64" s="46"/>
      <c r="O64" s="46"/>
      <c r="P64" s="46"/>
      <c r="Q64" s="46"/>
      <c r="R64" s="46"/>
      <c r="S64" s="46"/>
      <c r="T64" s="46"/>
      <c r="U64" s="46"/>
      <c r="V64" s="2"/>
    </row>
    <row r="65" spans="1:22" hidden="1" outlineLevel="1">
      <c r="A65" s="118" t="s">
        <v>249</v>
      </c>
      <c r="B65" s="119" t="s">
        <v>250</v>
      </c>
      <c r="C65" s="119" t="s">
        <v>70</v>
      </c>
      <c r="D65" s="119" t="s">
        <v>97</v>
      </c>
      <c r="E65" s="119" t="s">
        <v>486</v>
      </c>
      <c r="F65" s="119" t="s">
        <v>132</v>
      </c>
      <c r="G65" s="120">
        <v>14</v>
      </c>
      <c r="H65" s="138">
        <v>5800</v>
      </c>
      <c r="I65" s="122">
        <v>0</v>
      </c>
      <c r="J65" s="121">
        <f t="shared" si="11"/>
        <v>5800</v>
      </c>
      <c r="K65" s="138">
        <f t="shared" si="12"/>
        <v>81200</v>
      </c>
      <c r="M65" s="46"/>
      <c r="N65" s="46"/>
      <c r="O65" s="46"/>
      <c r="P65" s="46"/>
      <c r="Q65" s="46"/>
      <c r="R65" s="46"/>
      <c r="S65" s="46"/>
      <c r="T65" s="46"/>
      <c r="U65" s="46"/>
      <c r="V65" s="2"/>
    </row>
    <row r="66" spans="1:22" hidden="1" outlineLevel="1">
      <c r="A66" s="118" t="s">
        <v>253</v>
      </c>
      <c r="B66" s="119" t="s">
        <v>254</v>
      </c>
      <c r="C66" s="119" t="s">
        <v>70</v>
      </c>
      <c r="D66" s="119" t="s">
        <v>81</v>
      </c>
      <c r="E66" s="119" t="s">
        <v>343</v>
      </c>
      <c r="F66" s="119" t="s">
        <v>185</v>
      </c>
      <c r="G66" s="120">
        <v>362571</v>
      </c>
      <c r="H66" s="121">
        <v>0.08</v>
      </c>
      <c r="I66" s="122">
        <v>0</v>
      </c>
      <c r="J66" s="121">
        <f t="shared" si="11"/>
        <v>0.08</v>
      </c>
      <c r="K66" s="138">
        <f t="shared" si="12"/>
        <v>29005.68</v>
      </c>
      <c r="M66" s="46"/>
      <c r="N66" s="46"/>
      <c r="O66" s="46"/>
      <c r="P66" s="46"/>
      <c r="Q66" s="46"/>
      <c r="R66" s="46"/>
      <c r="S66" s="46"/>
      <c r="T66" s="46"/>
      <c r="U66" s="46"/>
      <c r="V66" s="2"/>
    </row>
    <row r="67" spans="1:22" hidden="1" outlineLevel="1">
      <c r="A67" s="118" t="s">
        <v>256</v>
      </c>
      <c r="B67" s="119" t="s">
        <v>257</v>
      </c>
      <c r="C67" s="119" t="s">
        <v>70</v>
      </c>
      <c r="D67" s="119" t="s">
        <v>81</v>
      </c>
      <c r="E67" s="119" t="s">
        <v>343</v>
      </c>
      <c r="F67" s="119" t="s">
        <v>185</v>
      </c>
      <c r="G67" s="120">
        <v>362571</v>
      </c>
      <c r="H67" s="121">
        <v>0.05</v>
      </c>
      <c r="I67" s="122">
        <v>0</v>
      </c>
      <c r="J67" s="121">
        <f t="shared" si="11"/>
        <v>0.05</v>
      </c>
      <c r="K67" s="138">
        <f t="shared" si="12"/>
        <v>18128.55</v>
      </c>
      <c r="M67" s="46"/>
      <c r="N67" s="46"/>
      <c r="O67" s="46"/>
      <c r="P67" s="46"/>
      <c r="Q67" s="46"/>
      <c r="R67" s="46"/>
      <c r="S67" s="46"/>
      <c r="T67" s="46"/>
      <c r="U67" s="46"/>
      <c r="V67" s="2"/>
    </row>
    <row r="68" spans="1:22" hidden="1" outlineLevel="1">
      <c r="A68" s="118" t="s">
        <v>259</v>
      </c>
      <c r="B68" s="119" t="s">
        <v>260</v>
      </c>
      <c r="C68" s="119" t="s">
        <v>70</v>
      </c>
      <c r="D68" s="119" t="s">
        <v>81</v>
      </c>
      <c r="E68" s="119" t="s">
        <v>343</v>
      </c>
      <c r="F68" s="119" t="s">
        <v>132</v>
      </c>
      <c r="G68" s="120">
        <v>6</v>
      </c>
      <c r="H68" s="138">
        <v>1550</v>
      </c>
      <c r="I68" s="122">
        <v>0</v>
      </c>
      <c r="J68" s="121">
        <f t="shared" si="11"/>
        <v>1550</v>
      </c>
      <c r="K68" s="138">
        <f t="shared" si="12"/>
        <v>9300</v>
      </c>
      <c r="M68" s="46" t="s">
        <v>261</v>
      </c>
      <c r="N68" s="46"/>
      <c r="O68" s="46"/>
      <c r="P68" s="46"/>
      <c r="Q68" s="46"/>
      <c r="R68" s="46"/>
      <c r="S68" s="46"/>
      <c r="T68" s="46"/>
      <c r="U68" s="46"/>
      <c r="V68" s="2"/>
    </row>
    <row r="69" spans="1:22" hidden="1" outlineLevel="1">
      <c r="A69" s="118" t="s">
        <v>263</v>
      </c>
      <c r="B69" s="119" t="s">
        <v>264</v>
      </c>
      <c r="C69" s="119" t="s">
        <v>70</v>
      </c>
      <c r="D69" s="119" t="s">
        <v>81</v>
      </c>
      <c r="E69" s="119" t="s">
        <v>343</v>
      </c>
      <c r="F69" s="119" t="s">
        <v>132</v>
      </c>
      <c r="G69" s="120">
        <v>6</v>
      </c>
      <c r="H69" s="138">
        <v>2500</v>
      </c>
      <c r="I69" s="122">
        <v>0</v>
      </c>
      <c r="J69" s="121">
        <f t="shared" si="11"/>
        <v>2500</v>
      </c>
      <c r="K69" s="138">
        <f t="shared" si="12"/>
        <v>15000</v>
      </c>
      <c r="M69" s="46" t="s">
        <v>261</v>
      </c>
      <c r="N69" s="46"/>
      <c r="O69" s="46"/>
      <c r="P69" s="46"/>
      <c r="Q69" s="46"/>
      <c r="R69" s="46"/>
      <c r="S69" s="46"/>
      <c r="T69" s="46"/>
      <c r="U69" s="46"/>
      <c r="V69" s="2"/>
    </row>
    <row r="70" spans="1:22" hidden="1" outlineLevel="1">
      <c r="A70" s="118" t="s">
        <v>265</v>
      </c>
      <c r="B70" s="119" t="s">
        <v>266</v>
      </c>
      <c r="C70" s="119" t="s">
        <v>70</v>
      </c>
      <c r="D70" s="119" t="s">
        <v>81</v>
      </c>
      <c r="E70" s="119" t="s">
        <v>87</v>
      </c>
      <c r="F70" s="119"/>
      <c r="G70" s="120"/>
      <c r="H70" s="121"/>
      <c r="I70" s="122">
        <v>0</v>
      </c>
      <c r="J70" s="123">
        <f t="shared" si="11"/>
        <v>0</v>
      </c>
      <c r="K70" s="117">
        <f t="shared" si="12"/>
        <v>0</v>
      </c>
      <c r="L70" s="360"/>
      <c r="M70" s="46"/>
      <c r="N70" s="46"/>
      <c r="O70" s="46"/>
      <c r="P70" s="46"/>
      <c r="Q70" s="46"/>
      <c r="R70" s="46"/>
      <c r="S70" s="46"/>
      <c r="T70" s="46"/>
      <c r="U70" s="46"/>
      <c r="V70" s="2"/>
    </row>
    <row r="71" spans="1:22" collapsed="1">
      <c r="A71" s="347" t="s">
        <v>267</v>
      </c>
      <c r="B71" s="105" t="s">
        <v>268</v>
      </c>
      <c r="C71" s="105"/>
      <c r="D71" s="105"/>
      <c r="E71" s="105"/>
      <c r="F71" s="105"/>
      <c r="G71" s="106"/>
      <c r="H71" s="107"/>
      <c r="I71" s="108"/>
      <c r="J71" s="109"/>
      <c r="K71" s="110"/>
      <c r="L71" s="130">
        <f>SUM(K58:K70)</f>
        <v>2157341.9422999998</v>
      </c>
      <c r="M71" s="373"/>
      <c r="N71" s="373"/>
      <c r="O71" s="373"/>
      <c r="P71" s="373"/>
      <c r="Q71" s="373"/>
      <c r="R71" s="373"/>
      <c r="S71" s="373"/>
      <c r="T71" s="373"/>
      <c r="U71" s="373"/>
      <c r="V71" s="2"/>
    </row>
    <row r="72" spans="1:22" hidden="1" outlineLevel="1">
      <c r="A72" s="118" t="s">
        <v>269</v>
      </c>
      <c r="B72" s="119" t="s">
        <v>270</v>
      </c>
      <c r="C72" s="119" t="s">
        <v>70</v>
      </c>
      <c r="D72" s="119" t="s">
        <v>173</v>
      </c>
      <c r="E72" s="119" t="s">
        <v>76</v>
      </c>
      <c r="F72" s="119" t="s">
        <v>132</v>
      </c>
      <c r="G72" s="120">
        <v>1</v>
      </c>
      <c r="H72" s="121">
        <v>8000</v>
      </c>
      <c r="I72" s="122">
        <v>0</v>
      </c>
      <c r="J72" s="121">
        <f t="shared" ref="J72:J85" si="17">H72*(1+I72)</f>
        <v>8000</v>
      </c>
      <c r="K72" s="138">
        <f t="shared" ref="K72:K85" si="18">J72*G72</f>
        <v>8000</v>
      </c>
      <c r="M72" s="46"/>
      <c r="N72" s="46"/>
      <c r="O72" s="46"/>
      <c r="P72" s="46"/>
      <c r="Q72" s="46"/>
      <c r="R72" s="46"/>
      <c r="S72" s="46"/>
      <c r="T72" s="46"/>
      <c r="U72" s="46"/>
      <c r="V72" s="2"/>
    </row>
    <row r="73" spans="1:22" hidden="1" outlineLevel="1">
      <c r="A73" s="118" t="s">
        <v>271</v>
      </c>
      <c r="B73" s="119" t="s">
        <v>272</v>
      </c>
      <c r="C73" s="119" t="s">
        <v>70</v>
      </c>
      <c r="D73" s="119" t="s">
        <v>173</v>
      </c>
      <c r="E73" s="119" t="s">
        <v>273</v>
      </c>
      <c r="F73" s="119"/>
      <c r="G73" s="120"/>
      <c r="H73" s="121"/>
      <c r="I73" s="122">
        <v>0</v>
      </c>
      <c r="J73" s="121">
        <f t="shared" si="17"/>
        <v>0</v>
      </c>
      <c r="K73" s="138">
        <f t="shared" si="18"/>
        <v>0</v>
      </c>
      <c r="M73" s="46"/>
      <c r="N73" s="46"/>
      <c r="O73" s="46"/>
      <c r="P73" s="46"/>
      <c r="Q73" s="46"/>
      <c r="R73" s="46"/>
      <c r="S73" s="46"/>
      <c r="T73" s="46"/>
      <c r="U73" s="46"/>
      <c r="V73" s="2"/>
    </row>
    <row r="74" spans="1:22" hidden="1" outlineLevel="1">
      <c r="A74" s="118" t="s">
        <v>274</v>
      </c>
      <c r="B74" s="119" t="s">
        <v>272</v>
      </c>
      <c r="C74" s="119" t="s">
        <v>70</v>
      </c>
      <c r="D74" s="119" t="s">
        <v>81</v>
      </c>
      <c r="E74" s="119" t="s">
        <v>87</v>
      </c>
      <c r="F74" s="119"/>
      <c r="G74" s="120"/>
      <c r="H74" s="121"/>
      <c r="I74" s="122">
        <v>0</v>
      </c>
      <c r="J74" s="121">
        <f t="shared" si="17"/>
        <v>0</v>
      </c>
      <c r="K74" s="138">
        <f t="shared" si="18"/>
        <v>0</v>
      </c>
      <c r="M74" s="46"/>
      <c r="N74" s="46"/>
      <c r="O74" s="46"/>
      <c r="P74" s="46"/>
      <c r="Q74" s="46"/>
      <c r="R74" s="46"/>
      <c r="S74" s="46"/>
      <c r="T74" s="46"/>
      <c r="U74" s="46"/>
      <c r="V74" s="2"/>
    </row>
    <row r="75" spans="1:22" hidden="1" outlineLevel="1">
      <c r="A75" s="118" t="s">
        <v>275</v>
      </c>
      <c r="B75" s="119" t="s">
        <v>276</v>
      </c>
      <c r="C75" s="119" t="s">
        <v>70</v>
      </c>
      <c r="D75" s="119" t="s">
        <v>81</v>
      </c>
      <c r="E75" s="119" t="s">
        <v>87</v>
      </c>
      <c r="F75" s="119"/>
      <c r="G75" s="120"/>
      <c r="H75" s="121"/>
      <c r="I75" s="122">
        <v>0</v>
      </c>
      <c r="J75" s="121">
        <f t="shared" si="17"/>
        <v>0</v>
      </c>
      <c r="K75" s="138">
        <f t="shared" si="18"/>
        <v>0</v>
      </c>
      <c r="M75" s="46"/>
      <c r="N75" s="46"/>
      <c r="O75" s="46"/>
      <c r="P75" s="46"/>
      <c r="Q75" s="46"/>
      <c r="R75" s="46"/>
      <c r="S75" s="46"/>
      <c r="T75" s="46"/>
      <c r="U75" s="46"/>
      <c r="V75" s="2"/>
    </row>
    <row r="76" spans="1:22" hidden="1" outlineLevel="1">
      <c r="A76" s="118" t="s">
        <v>277</v>
      </c>
      <c r="B76" s="119" t="s">
        <v>278</v>
      </c>
      <c r="C76" s="119" t="s">
        <v>70</v>
      </c>
      <c r="D76" s="119" t="s">
        <v>81</v>
      </c>
      <c r="E76" s="112" t="s">
        <v>184</v>
      </c>
      <c r="F76" s="119" t="s">
        <v>279</v>
      </c>
      <c r="G76" s="113">
        <f>$N$9</f>
        <v>363</v>
      </c>
      <c r="H76" s="121">
        <v>1381</v>
      </c>
      <c r="I76" s="122">
        <v>0</v>
      </c>
      <c r="J76" s="121">
        <f t="shared" si="17"/>
        <v>1381</v>
      </c>
      <c r="K76" s="381">
        <f t="shared" si="18"/>
        <v>501303</v>
      </c>
      <c r="M76" s="46"/>
      <c r="N76" s="46"/>
      <c r="O76" s="46"/>
      <c r="P76" s="46"/>
      <c r="Q76" s="46"/>
      <c r="R76" s="46"/>
      <c r="S76" s="46"/>
      <c r="T76" s="46"/>
      <c r="U76" s="46"/>
      <c r="V76" s="2"/>
    </row>
    <row r="77" spans="1:22" hidden="1" outlineLevel="1">
      <c r="A77" s="118" t="s">
        <v>281</v>
      </c>
      <c r="B77" s="119" t="s">
        <v>278</v>
      </c>
      <c r="C77" s="119" t="s">
        <v>90</v>
      </c>
      <c r="D77" s="119" t="s">
        <v>81</v>
      </c>
      <c r="E77" s="119" t="s">
        <v>76</v>
      </c>
      <c r="F77" s="119" t="s">
        <v>279</v>
      </c>
      <c r="G77" s="113">
        <f>$N$9</f>
        <v>363</v>
      </c>
      <c r="H77" s="121">
        <v>75</v>
      </c>
      <c r="I77" s="122">
        <v>0</v>
      </c>
      <c r="J77" s="121">
        <f t="shared" si="17"/>
        <v>75</v>
      </c>
      <c r="K77" s="138">
        <f t="shared" si="18"/>
        <v>27225</v>
      </c>
      <c r="M77" s="46"/>
      <c r="N77" s="46"/>
      <c r="O77" s="46"/>
      <c r="P77" s="46"/>
      <c r="Q77" s="46"/>
      <c r="R77" s="46"/>
      <c r="S77" s="46"/>
      <c r="T77" s="46"/>
      <c r="U77" s="46"/>
      <c r="V77" s="2"/>
    </row>
    <row r="78" spans="1:22" hidden="1" outlineLevel="1">
      <c r="A78" s="118" t="s">
        <v>282</v>
      </c>
      <c r="B78" s="119" t="s">
        <v>283</v>
      </c>
      <c r="C78" s="119" t="s">
        <v>70</v>
      </c>
      <c r="D78" s="119" t="s">
        <v>110</v>
      </c>
      <c r="E78" s="119" t="s">
        <v>87</v>
      </c>
      <c r="F78" s="119"/>
      <c r="G78" s="120"/>
      <c r="H78" s="121"/>
      <c r="I78" s="122">
        <v>0</v>
      </c>
      <c r="J78" s="121">
        <f t="shared" si="17"/>
        <v>0</v>
      </c>
      <c r="K78" s="138">
        <f t="shared" si="18"/>
        <v>0</v>
      </c>
      <c r="M78" s="46"/>
      <c r="N78" s="46"/>
      <c r="O78" s="46"/>
      <c r="P78" s="46"/>
      <c r="Q78" s="46"/>
      <c r="R78" s="46"/>
      <c r="S78" s="46"/>
      <c r="T78" s="46"/>
      <c r="U78" s="46"/>
      <c r="V78" s="2"/>
    </row>
    <row r="79" spans="1:22" hidden="1" outlineLevel="1">
      <c r="A79" s="118" t="s">
        <v>284</v>
      </c>
      <c r="B79" s="119" t="s">
        <v>285</v>
      </c>
      <c r="C79" s="119" t="s">
        <v>70</v>
      </c>
      <c r="D79" s="119" t="s">
        <v>103</v>
      </c>
      <c r="E79" s="119" t="s">
        <v>87</v>
      </c>
      <c r="F79" s="119"/>
      <c r="G79" s="120"/>
      <c r="H79" s="121"/>
      <c r="I79" s="122">
        <v>0</v>
      </c>
      <c r="J79" s="121">
        <f t="shared" si="17"/>
        <v>0</v>
      </c>
      <c r="K79" s="138">
        <f t="shared" si="18"/>
        <v>0</v>
      </c>
      <c r="M79" s="46"/>
      <c r="N79" s="46"/>
      <c r="O79" s="46"/>
      <c r="P79" s="46"/>
      <c r="Q79" s="46"/>
      <c r="R79" s="46"/>
      <c r="S79" s="46"/>
      <c r="T79" s="46"/>
      <c r="U79" s="46"/>
      <c r="V79" s="2"/>
    </row>
    <row r="80" spans="1:22" hidden="1" outlineLevel="1">
      <c r="A80" s="118" t="s">
        <v>286</v>
      </c>
      <c r="B80" s="119" t="s">
        <v>287</v>
      </c>
      <c r="C80" s="119" t="s">
        <v>70</v>
      </c>
      <c r="D80" s="119" t="s">
        <v>81</v>
      </c>
      <c r="E80" s="119" t="s">
        <v>87</v>
      </c>
      <c r="F80" s="119"/>
      <c r="G80" s="120"/>
      <c r="H80" s="121"/>
      <c r="I80" s="122">
        <v>0</v>
      </c>
      <c r="J80" s="121">
        <f t="shared" si="17"/>
        <v>0</v>
      </c>
      <c r="K80" s="138">
        <f t="shared" si="18"/>
        <v>0</v>
      </c>
      <c r="M80" s="46"/>
      <c r="N80" s="46"/>
      <c r="O80" s="46"/>
      <c r="P80" s="46"/>
      <c r="Q80" s="46"/>
      <c r="R80" s="46"/>
      <c r="S80" s="46"/>
      <c r="T80" s="46"/>
      <c r="U80" s="46"/>
      <c r="V80" s="2"/>
    </row>
    <row r="81" spans="1:24" hidden="1" outlineLevel="1">
      <c r="A81" s="118" t="s">
        <v>288</v>
      </c>
      <c r="B81" s="119" t="s">
        <v>289</v>
      </c>
      <c r="C81" s="119" t="s">
        <v>70</v>
      </c>
      <c r="D81" s="119" t="s">
        <v>81</v>
      </c>
      <c r="E81" s="119" t="s">
        <v>87</v>
      </c>
      <c r="F81" s="119"/>
      <c r="G81" s="120"/>
      <c r="H81" s="121"/>
      <c r="I81" s="122">
        <v>0</v>
      </c>
      <c r="J81" s="121">
        <f t="shared" si="17"/>
        <v>0</v>
      </c>
      <c r="K81" s="138">
        <f t="shared" si="18"/>
        <v>0</v>
      </c>
      <c r="M81" s="46"/>
      <c r="N81" s="46"/>
      <c r="O81" s="46"/>
      <c r="P81" s="46"/>
      <c r="Q81" s="46"/>
      <c r="R81" s="46"/>
      <c r="S81" s="46"/>
      <c r="T81" s="46"/>
      <c r="U81" s="46"/>
      <c r="V81" s="2"/>
    </row>
    <row r="82" spans="1:24" hidden="1" outlineLevel="1">
      <c r="A82" s="118" t="s">
        <v>290</v>
      </c>
      <c r="B82" s="119" t="s">
        <v>291</v>
      </c>
      <c r="C82" s="119" t="s">
        <v>70</v>
      </c>
      <c r="D82" s="119" t="s">
        <v>81</v>
      </c>
      <c r="E82" s="119" t="s">
        <v>87</v>
      </c>
      <c r="F82" s="119"/>
      <c r="G82" s="120"/>
      <c r="H82" s="121"/>
      <c r="I82" s="122">
        <v>0</v>
      </c>
      <c r="J82" s="121">
        <f t="shared" si="17"/>
        <v>0</v>
      </c>
      <c r="K82" s="138">
        <f t="shared" si="18"/>
        <v>0</v>
      </c>
      <c r="M82" s="46"/>
      <c r="N82" s="46"/>
      <c r="O82" s="46"/>
      <c r="P82" s="46"/>
      <c r="Q82" s="46"/>
      <c r="R82" s="46"/>
      <c r="S82" s="46"/>
      <c r="T82" s="46"/>
      <c r="U82" s="46"/>
      <c r="V82" s="2"/>
    </row>
    <row r="83" spans="1:24" hidden="1" outlineLevel="1">
      <c r="A83" s="118" t="s">
        <v>292</v>
      </c>
      <c r="B83" s="119" t="s">
        <v>289</v>
      </c>
      <c r="C83" s="119" t="s">
        <v>70</v>
      </c>
      <c r="D83" s="119" t="s">
        <v>81</v>
      </c>
      <c r="E83" s="119" t="s">
        <v>87</v>
      </c>
      <c r="F83" s="119"/>
      <c r="G83" s="120"/>
      <c r="H83" s="121"/>
      <c r="I83" s="122">
        <v>0</v>
      </c>
      <c r="J83" s="121">
        <f t="shared" si="17"/>
        <v>0</v>
      </c>
      <c r="K83" s="138">
        <f t="shared" si="18"/>
        <v>0</v>
      </c>
      <c r="M83" s="46"/>
      <c r="N83" s="46"/>
      <c r="O83" s="46"/>
      <c r="P83" s="46"/>
      <c r="Q83" s="46"/>
      <c r="R83" s="46"/>
      <c r="S83" s="46"/>
      <c r="T83" s="46"/>
      <c r="U83" s="46"/>
      <c r="V83" s="2"/>
    </row>
    <row r="84" spans="1:24" hidden="1" outlineLevel="1">
      <c r="A84" s="118" t="s">
        <v>293</v>
      </c>
      <c r="B84" s="119" t="s">
        <v>289</v>
      </c>
      <c r="C84" s="119" t="s">
        <v>70</v>
      </c>
      <c r="D84" s="119" t="s">
        <v>81</v>
      </c>
      <c r="E84" s="119" t="s">
        <v>329</v>
      </c>
      <c r="F84" s="119" t="s">
        <v>311</v>
      </c>
      <c r="G84" s="113">
        <f>N9</f>
        <v>363</v>
      </c>
      <c r="H84" s="121">
        <v>165</v>
      </c>
      <c r="I84" s="122">
        <v>0</v>
      </c>
      <c r="J84" s="121">
        <f t="shared" si="17"/>
        <v>165</v>
      </c>
      <c r="K84" s="138">
        <f>J84*G84</f>
        <v>59895</v>
      </c>
      <c r="M84" s="46"/>
      <c r="N84" s="46"/>
      <c r="O84" s="46"/>
      <c r="P84" s="46"/>
      <c r="Q84" s="46"/>
      <c r="R84" s="46"/>
      <c r="S84" s="46"/>
      <c r="T84" s="46"/>
      <c r="U84" s="46"/>
      <c r="V84" s="2"/>
    </row>
    <row r="85" spans="1:24" hidden="1" outlineLevel="1">
      <c r="A85" s="118" t="s">
        <v>296</v>
      </c>
      <c r="B85" s="119" t="s">
        <v>289</v>
      </c>
      <c r="C85" s="119" t="s">
        <v>70</v>
      </c>
      <c r="D85" s="119" t="s">
        <v>81</v>
      </c>
      <c r="E85" s="119" t="s">
        <v>76</v>
      </c>
      <c r="F85" s="119" t="s">
        <v>132</v>
      </c>
      <c r="G85" s="120">
        <v>6</v>
      </c>
      <c r="H85" s="121">
        <v>250</v>
      </c>
      <c r="I85" s="122">
        <v>0</v>
      </c>
      <c r="J85" s="123">
        <f t="shared" si="17"/>
        <v>250</v>
      </c>
      <c r="K85" s="117">
        <f t="shared" si="18"/>
        <v>1500</v>
      </c>
      <c r="L85" s="182"/>
      <c r="M85" s="46"/>
      <c r="N85" s="46"/>
      <c r="O85" s="46"/>
      <c r="P85" s="46"/>
      <c r="Q85" s="46"/>
      <c r="R85" s="46"/>
      <c r="S85" s="46"/>
      <c r="T85" s="46"/>
      <c r="U85" s="46"/>
      <c r="V85" s="2"/>
    </row>
    <row r="86" spans="1:24" collapsed="1">
      <c r="A86" s="347" t="s">
        <v>297</v>
      </c>
      <c r="B86" s="105" t="s">
        <v>298</v>
      </c>
      <c r="C86" s="105"/>
      <c r="D86" s="105"/>
      <c r="E86" s="105"/>
      <c r="F86" s="105"/>
      <c r="G86" s="106"/>
      <c r="H86" s="107"/>
      <c r="I86" s="108"/>
      <c r="J86" s="109"/>
      <c r="K86" s="110"/>
      <c r="L86" s="130">
        <f>SUM(K72:K85)</f>
        <v>597923</v>
      </c>
      <c r="M86" s="373"/>
      <c r="N86" s="373"/>
      <c r="O86" s="373"/>
      <c r="P86" s="373"/>
      <c r="Q86" s="373"/>
      <c r="R86" s="373"/>
      <c r="S86" s="373"/>
      <c r="T86" s="373"/>
      <c r="U86" s="373"/>
      <c r="V86" s="2"/>
    </row>
    <row r="87" spans="1:24" outlineLevel="1">
      <c r="A87" s="111" t="s">
        <v>299</v>
      </c>
      <c r="B87" s="112" t="s">
        <v>300</v>
      </c>
      <c r="C87" s="112" t="s">
        <v>70</v>
      </c>
      <c r="D87" s="112" t="s">
        <v>81</v>
      </c>
      <c r="E87" s="112" t="s">
        <v>87</v>
      </c>
      <c r="F87" s="112"/>
      <c r="G87" s="113"/>
      <c r="H87" s="114"/>
      <c r="I87" s="115">
        <v>0</v>
      </c>
      <c r="J87" s="116">
        <f t="shared" ref="J87:J124" si="19">H87*(1+I87)</f>
        <v>0</v>
      </c>
      <c r="K87" s="117">
        <f t="shared" ref="K87:K124" si="20">J87*G87</f>
        <v>0</v>
      </c>
      <c r="M87" s="88"/>
      <c r="N87" s="88"/>
      <c r="O87" s="88"/>
      <c r="P87" s="88"/>
      <c r="Q87" s="88"/>
      <c r="R87" s="88"/>
      <c r="S87" s="88"/>
      <c r="T87" s="88"/>
      <c r="U87" s="88"/>
      <c r="V87" s="2"/>
    </row>
    <row r="88" spans="1:24" outlineLevel="1">
      <c r="A88" s="118" t="s">
        <v>301</v>
      </c>
      <c r="B88" s="119" t="s">
        <v>302</v>
      </c>
      <c r="C88" s="119" t="s">
        <v>70</v>
      </c>
      <c r="D88" s="119" t="s">
        <v>81</v>
      </c>
      <c r="E88" s="119" t="s">
        <v>76</v>
      </c>
      <c r="F88" s="119" t="s">
        <v>83</v>
      </c>
      <c r="G88" s="120">
        <v>1</v>
      </c>
      <c r="H88" s="121">
        <v>10000</v>
      </c>
      <c r="I88" s="122">
        <v>0</v>
      </c>
      <c r="J88" s="121">
        <f t="shared" si="19"/>
        <v>10000</v>
      </c>
      <c r="K88" s="138">
        <f t="shared" si="20"/>
        <v>10000</v>
      </c>
      <c r="M88" s="46"/>
      <c r="N88" s="46"/>
      <c r="O88" s="46"/>
      <c r="P88" s="46"/>
      <c r="Q88" s="46"/>
      <c r="R88" s="46"/>
      <c r="S88" s="46"/>
      <c r="T88" s="46"/>
      <c r="U88" s="46"/>
      <c r="V88" s="2"/>
    </row>
    <row r="89" spans="1:24" outlineLevel="1">
      <c r="A89" s="118" t="s">
        <v>303</v>
      </c>
      <c r="B89" s="119" t="s">
        <v>304</v>
      </c>
      <c r="C89" s="119" t="s">
        <v>70</v>
      </c>
      <c r="D89" s="119" t="s">
        <v>81</v>
      </c>
      <c r="E89" s="119" t="s">
        <v>343</v>
      </c>
      <c r="F89" s="119" t="s">
        <v>185</v>
      </c>
      <c r="G89" s="120">
        <v>362571</v>
      </c>
      <c r="H89" s="121">
        <v>0.85</v>
      </c>
      <c r="I89" s="122">
        <v>0</v>
      </c>
      <c r="J89" s="121">
        <f t="shared" si="19"/>
        <v>0.85</v>
      </c>
      <c r="K89" s="381">
        <f t="shared" si="20"/>
        <v>308185.34999999998</v>
      </c>
      <c r="M89" s="46" t="s">
        <v>305</v>
      </c>
      <c r="N89" s="46"/>
      <c r="O89" s="46"/>
      <c r="P89" s="46"/>
      <c r="Q89" s="46"/>
      <c r="R89" s="46"/>
      <c r="S89" s="46"/>
      <c r="T89" s="46"/>
      <c r="U89" s="46"/>
      <c r="V89" s="2"/>
    </row>
    <row r="90" spans="1:24" outlineLevel="1">
      <c r="A90" s="118" t="s">
        <v>306</v>
      </c>
      <c r="B90" s="119" t="s">
        <v>307</v>
      </c>
      <c r="C90" s="119" t="s">
        <v>70</v>
      </c>
      <c r="D90" s="119" t="s">
        <v>81</v>
      </c>
      <c r="E90" s="119" t="s">
        <v>76</v>
      </c>
      <c r="F90" s="119" t="s">
        <v>83</v>
      </c>
      <c r="G90" s="120">
        <v>1</v>
      </c>
      <c r="H90" s="121">
        <v>75000</v>
      </c>
      <c r="I90" s="122">
        <v>0</v>
      </c>
      <c r="J90" s="121">
        <f t="shared" si="19"/>
        <v>75000</v>
      </c>
      <c r="K90" s="138">
        <f t="shared" si="20"/>
        <v>75000</v>
      </c>
      <c r="M90" s="46"/>
      <c r="N90" s="46"/>
      <c r="O90" s="46"/>
      <c r="P90" s="46"/>
      <c r="Q90" s="46"/>
      <c r="R90" s="46"/>
      <c r="S90" s="46"/>
      <c r="T90" s="46"/>
      <c r="U90" s="46"/>
      <c r="V90" s="2"/>
    </row>
    <row r="91" spans="1:24" outlineLevel="1">
      <c r="A91" s="118" t="s">
        <v>308</v>
      </c>
      <c r="B91" s="119" t="s">
        <v>309</v>
      </c>
      <c r="C91" s="119" t="s">
        <v>70</v>
      </c>
      <c r="D91" s="119" t="s">
        <v>310</v>
      </c>
      <c r="E91" s="119" t="s">
        <v>76</v>
      </c>
      <c r="F91" s="119" t="s">
        <v>311</v>
      </c>
      <c r="G91" s="113">
        <v>363</v>
      </c>
      <c r="H91" s="121">
        <v>79</v>
      </c>
      <c r="I91" s="122">
        <v>0</v>
      </c>
      <c r="J91" s="121">
        <f t="shared" si="19"/>
        <v>79</v>
      </c>
      <c r="K91" s="138">
        <f t="shared" si="20"/>
        <v>28677</v>
      </c>
      <c r="M91" s="46"/>
      <c r="N91" s="46"/>
      <c r="O91" s="46"/>
      <c r="P91" s="46"/>
      <c r="Q91" s="46"/>
      <c r="R91" s="46"/>
      <c r="S91" s="46"/>
      <c r="T91" s="46"/>
      <c r="U91" s="46"/>
      <c r="V91" s="2"/>
    </row>
    <row r="92" spans="1:24" outlineLevel="1">
      <c r="A92" s="118" t="s">
        <v>312</v>
      </c>
      <c r="B92" s="119" t="s">
        <v>313</v>
      </c>
      <c r="C92" s="119" t="s">
        <v>70</v>
      </c>
      <c r="D92" s="119" t="s">
        <v>75</v>
      </c>
      <c r="E92" s="119" t="s">
        <v>76</v>
      </c>
      <c r="F92" s="119" t="s">
        <v>83</v>
      </c>
      <c r="G92" s="120">
        <v>1</v>
      </c>
      <c r="H92" s="121">
        <v>10000</v>
      </c>
      <c r="I92" s="122">
        <v>0</v>
      </c>
      <c r="J92" s="121">
        <f>H92*(1+I92)</f>
        <v>10000</v>
      </c>
      <c r="K92" s="138">
        <f t="shared" si="20"/>
        <v>10000</v>
      </c>
      <c r="M92" s="46" t="s">
        <v>314</v>
      </c>
      <c r="N92" s="46"/>
      <c r="O92" s="46"/>
      <c r="P92" s="46"/>
      <c r="Q92" s="46"/>
      <c r="R92" s="46"/>
      <c r="S92" s="46"/>
      <c r="T92" s="46"/>
      <c r="U92" s="46"/>
      <c r="V92" s="2"/>
    </row>
    <row r="93" spans="1:24" outlineLevel="1">
      <c r="A93" s="118" t="s">
        <v>315</v>
      </c>
      <c r="B93" s="119" t="s">
        <v>316</v>
      </c>
      <c r="C93" s="119" t="s">
        <v>70</v>
      </c>
      <c r="D93" s="119" t="s">
        <v>81</v>
      </c>
      <c r="E93" s="119" t="s">
        <v>889</v>
      </c>
      <c r="F93" s="119" t="s">
        <v>351</v>
      </c>
      <c r="G93" s="120">
        <v>20647.222222222223</v>
      </c>
      <c r="H93" s="121">
        <v>40.82</v>
      </c>
      <c r="I93" s="122">
        <v>0</v>
      </c>
      <c r="J93" s="121">
        <f t="shared" si="19"/>
        <v>40.82</v>
      </c>
      <c r="K93" s="381">
        <f t="shared" si="20"/>
        <v>842819.61111111112</v>
      </c>
      <c r="M93" s="46" t="s">
        <v>1068</v>
      </c>
      <c r="N93" s="46"/>
      <c r="O93" s="46"/>
      <c r="P93" s="46"/>
      <c r="Q93" s="46"/>
      <c r="R93" s="46"/>
      <c r="S93" s="46"/>
      <c r="T93" s="46"/>
      <c r="U93" s="46"/>
      <c r="V93" s="2"/>
    </row>
    <row r="94" spans="1:24" outlineLevel="1">
      <c r="A94" s="118" t="s">
        <v>319</v>
      </c>
      <c r="B94" s="119" t="s">
        <v>320</v>
      </c>
      <c r="C94" s="119" t="s">
        <v>144</v>
      </c>
      <c r="D94" s="119" t="s">
        <v>93</v>
      </c>
      <c r="E94" s="119" t="s">
        <v>76</v>
      </c>
      <c r="F94" s="119" t="s">
        <v>83</v>
      </c>
      <c r="G94" s="120">
        <v>1</v>
      </c>
      <c r="H94" s="121">
        <v>6000</v>
      </c>
      <c r="I94" s="122">
        <v>0</v>
      </c>
      <c r="J94" s="121">
        <f t="shared" si="19"/>
        <v>6000</v>
      </c>
      <c r="K94" s="138">
        <f t="shared" si="20"/>
        <v>6000</v>
      </c>
      <c r="M94" s="46"/>
      <c r="N94" s="46"/>
      <c r="O94" s="46"/>
      <c r="P94" s="46"/>
      <c r="Q94" s="46"/>
      <c r="R94" s="46"/>
      <c r="S94" s="46"/>
      <c r="T94" s="46"/>
      <c r="U94" s="46"/>
      <c r="V94" s="2"/>
    </row>
    <row r="95" spans="1:24" outlineLevel="1">
      <c r="A95" s="118" t="s">
        <v>321</v>
      </c>
      <c r="B95" s="119" t="s">
        <v>322</v>
      </c>
      <c r="C95" s="119" t="s">
        <v>70</v>
      </c>
      <c r="D95" s="119" t="s">
        <v>103</v>
      </c>
      <c r="E95" s="119" t="s">
        <v>87</v>
      </c>
      <c r="F95" s="119"/>
      <c r="G95" s="120"/>
      <c r="H95" s="121"/>
      <c r="I95" s="122">
        <v>0</v>
      </c>
      <c r="J95" s="121">
        <f t="shared" si="19"/>
        <v>0</v>
      </c>
      <c r="K95" s="138">
        <f t="shared" si="20"/>
        <v>0</v>
      </c>
      <c r="M95" s="46"/>
      <c r="N95" s="46"/>
      <c r="O95" s="46"/>
      <c r="P95" s="46"/>
      <c r="Q95" s="46"/>
      <c r="R95" s="46"/>
      <c r="S95" s="46"/>
      <c r="T95" s="46"/>
      <c r="U95" s="46"/>
      <c r="V95" s="2"/>
    </row>
    <row r="96" spans="1:24" outlineLevel="1">
      <c r="A96" s="118" t="s">
        <v>323</v>
      </c>
      <c r="B96" s="119" t="s">
        <v>324</v>
      </c>
      <c r="C96" s="119" t="s">
        <v>144</v>
      </c>
      <c r="D96" s="119" t="s">
        <v>103</v>
      </c>
      <c r="E96" s="119" t="s">
        <v>76</v>
      </c>
      <c r="F96" s="119" t="s">
        <v>83</v>
      </c>
      <c r="G96" s="120">
        <v>1</v>
      </c>
      <c r="H96" s="121">
        <v>2000</v>
      </c>
      <c r="I96" s="122">
        <v>0</v>
      </c>
      <c r="J96" s="121">
        <f t="shared" si="19"/>
        <v>2000</v>
      </c>
      <c r="K96" s="138">
        <f t="shared" si="20"/>
        <v>2000</v>
      </c>
      <c r="M96" s="46"/>
      <c r="N96" s="46"/>
      <c r="O96" s="46"/>
      <c r="P96" s="46"/>
      <c r="Q96" s="46"/>
      <c r="R96" s="46"/>
      <c r="S96" s="46"/>
      <c r="T96" s="46"/>
      <c r="U96" s="46"/>
      <c r="V96" s="2"/>
      <c r="X96" s="229"/>
    </row>
    <row r="97" spans="1:24" outlineLevel="1">
      <c r="A97" s="118" t="s">
        <v>325</v>
      </c>
      <c r="B97" s="119" t="s">
        <v>326</v>
      </c>
      <c r="C97" s="119" t="s">
        <v>70</v>
      </c>
      <c r="D97" s="119" t="s">
        <v>103</v>
      </c>
      <c r="E97" s="119" t="s">
        <v>87</v>
      </c>
      <c r="F97" s="119"/>
      <c r="G97" s="120"/>
      <c r="H97" s="121"/>
      <c r="I97" s="122">
        <v>0</v>
      </c>
      <c r="J97" s="121">
        <f t="shared" si="19"/>
        <v>0</v>
      </c>
      <c r="K97" s="138">
        <f t="shared" si="20"/>
        <v>0</v>
      </c>
      <c r="M97" s="46"/>
      <c r="N97" s="46"/>
      <c r="O97" s="46"/>
      <c r="P97" s="46"/>
      <c r="Q97" s="46"/>
      <c r="R97" s="46"/>
      <c r="S97" s="46"/>
      <c r="T97" s="46"/>
      <c r="U97" s="46"/>
      <c r="V97" s="2"/>
      <c r="X97" s="229"/>
    </row>
    <row r="98" spans="1:24" outlineLevel="1">
      <c r="A98" s="118" t="s">
        <v>327</v>
      </c>
      <c r="B98" s="119" t="s">
        <v>328</v>
      </c>
      <c r="C98" s="119" t="s">
        <v>70</v>
      </c>
      <c r="D98" s="119" t="s">
        <v>110</v>
      </c>
      <c r="E98" s="119" t="s">
        <v>329</v>
      </c>
      <c r="F98" s="119" t="s">
        <v>83</v>
      </c>
      <c r="G98" s="120">
        <v>1</v>
      </c>
      <c r="H98" s="121">
        <v>5000</v>
      </c>
      <c r="I98" s="122">
        <v>0</v>
      </c>
      <c r="J98" s="121">
        <f t="shared" si="19"/>
        <v>5000</v>
      </c>
      <c r="K98" s="138">
        <f t="shared" si="20"/>
        <v>5000</v>
      </c>
      <c r="M98" s="46"/>
      <c r="N98" s="46"/>
      <c r="O98" s="46"/>
      <c r="P98" s="46"/>
      <c r="Q98" s="46"/>
      <c r="R98" s="46"/>
      <c r="S98" s="46"/>
      <c r="T98" s="46"/>
      <c r="U98" s="46"/>
      <c r="V98" s="2"/>
      <c r="X98" s="229"/>
    </row>
    <row r="99" spans="1:24" outlineLevel="1">
      <c r="A99" s="118" t="s">
        <v>330</v>
      </c>
      <c r="B99" s="119" t="s">
        <v>331</v>
      </c>
      <c r="C99" s="119" t="s">
        <v>90</v>
      </c>
      <c r="D99" s="119" t="s">
        <v>81</v>
      </c>
      <c r="E99" s="119" t="s">
        <v>76</v>
      </c>
      <c r="F99" s="119" t="s">
        <v>83</v>
      </c>
      <c r="G99" s="120">
        <v>1</v>
      </c>
      <c r="H99" s="121">
        <v>1500</v>
      </c>
      <c r="I99" s="122">
        <v>0</v>
      </c>
      <c r="J99" s="121">
        <f t="shared" si="19"/>
        <v>1500</v>
      </c>
      <c r="K99" s="138">
        <f t="shared" si="20"/>
        <v>1500</v>
      </c>
      <c r="M99" s="46"/>
      <c r="N99" s="46"/>
      <c r="O99" s="46"/>
      <c r="P99" s="46"/>
      <c r="Q99" s="46"/>
      <c r="R99" s="46"/>
      <c r="S99" s="46"/>
      <c r="T99" s="46"/>
      <c r="U99" s="46"/>
      <c r="V99" s="2"/>
      <c r="X99" s="229"/>
    </row>
    <row r="100" spans="1:24" outlineLevel="1">
      <c r="A100" s="118" t="s">
        <v>332</v>
      </c>
      <c r="B100" s="119" t="s">
        <v>333</v>
      </c>
      <c r="C100" s="119" t="s">
        <v>70</v>
      </c>
      <c r="D100" s="119" t="s">
        <v>81</v>
      </c>
      <c r="E100" s="119" t="s">
        <v>184</v>
      </c>
      <c r="F100" s="119" t="s">
        <v>185</v>
      </c>
      <c r="G100" s="120">
        <v>362571</v>
      </c>
      <c r="H100" s="121">
        <v>7.7</v>
      </c>
      <c r="I100" s="122">
        <v>0</v>
      </c>
      <c r="J100" s="121">
        <f t="shared" si="19"/>
        <v>7.7</v>
      </c>
      <c r="K100" s="381">
        <f>J100*G100</f>
        <v>2791796.7</v>
      </c>
      <c r="M100" s="46" t="s">
        <v>1069</v>
      </c>
      <c r="N100" s="46"/>
      <c r="O100" s="46"/>
      <c r="P100" s="46"/>
      <c r="Q100" s="46"/>
      <c r="R100" s="46"/>
      <c r="S100" s="46"/>
      <c r="T100" s="46"/>
      <c r="U100" s="46"/>
      <c r="V100" s="2"/>
      <c r="X100" s="229"/>
    </row>
    <row r="101" spans="1:24" outlineLevel="1">
      <c r="A101" s="118" t="s">
        <v>335</v>
      </c>
      <c r="B101" s="119" t="s">
        <v>336</v>
      </c>
      <c r="C101" s="119" t="s">
        <v>90</v>
      </c>
      <c r="D101" s="119" t="s">
        <v>81</v>
      </c>
      <c r="E101" s="119" t="s">
        <v>76</v>
      </c>
      <c r="F101" s="119" t="s">
        <v>311</v>
      </c>
      <c r="G101" s="113">
        <v>363</v>
      </c>
      <c r="H101" s="121">
        <v>85</v>
      </c>
      <c r="I101" s="122">
        <v>0</v>
      </c>
      <c r="J101" s="121">
        <f t="shared" si="19"/>
        <v>85</v>
      </c>
      <c r="K101" s="138">
        <f t="shared" si="20"/>
        <v>30855</v>
      </c>
      <c r="M101" s="46"/>
      <c r="N101" s="46"/>
      <c r="O101" s="46"/>
      <c r="P101" s="46"/>
      <c r="Q101" s="46"/>
      <c r="R101" s="46"/>
      <c r="S101" s="46"/>
      <c r="T101" s="46"/>
      <c r="U101" s="46"/>
      <c r="V101" s="2"/>
      <c r="X101" s="229"/>
    </row>
    <row r="102" spans="1:24" outlineLevel="1">
      <c r="A102" s="118" t="s">
        <v>337</v>
      </c>
      <c r="B102" s="119" t="s">
        <v>338</v>
      </c>
      <c r="C102" s="119" t="s">
        <v>70</v>
      </c>
      <c r="D102" s="119" t="s">
        <v>93</v>
      </c>
      <c r="E102" s="119" t="s">
        <v>76</v>
      </c>
      <c r="F102" s="119" t="s">
        <v>83</v>
      </c>
      <c r="G102" s="113">
        <v>1</v>
      </c>
      <c r="H102" s="121">
        <v>1000</v>
      </c>
      <c r="I102" s="122">
        <v>0</v>
      </c>
      <c r="J102" s="121">
        <f t="shared" si="19"/>
        <v>1000</v>
      </c>
      <c r="K102" s="138">
        <f t="shared" si="20"/>
        <v>1000</v>
      </c>
      <c r="M102" s="46"/>
      <c r="N102" s="46"/>
      <c r="O102" s="46"/>
      <c r="P102" s="46"/>
      <c r="Q102" s="46"/>
      <c r="R102" s="46"/>
      <c r="S102" s="46"/>
      <c r="T102" s="46"/>
      <c r="U102" s="46"/>
      <c r="V102" s="2"/>
      <c r="X102" s="229"/>
    </row>
    <row r="103" spans="1:24" outlineLevel="1">
      <c r="A103" s="118" t="s">
        <v>339</v>
      </c>
      <c r="B103" s="119" t="s">
        <v>340</v>
      </c>
      <c r="C103" s="119" t="s">
        <v>70</v>
      </c>
      <c r="D103" s="119" t="s">
        <v>81</v>
      </c>
      <c r="E103" s="119" t="s">
        <v>87</v>
      </c>
      <c r="F103" s="119"/>
      <c r="G103" s="120"/>
      <c r="H103" s="121"/>
      <c r="I103" s="122">
        <v>0</v>
      </c>
      <c r="J103" s="121">
        <f t="shared" si="19"/>
        <v>0</v>
      </c>
      <c r="K103" s="138">
        <f t="shared" si="20"/>
        <v>0</v>
      </c>
      <c r="M103" s="46"/>
      <c r="N103" s="46"/>
      <c r="O103" s="46"/>
      <c r="P103" s="46"/>
      <c r="Q103" s="46"/>
      <c r="R103" s="46"/>
      <c r="S103" s="46"/>
      <c r="T103" s="46"/>
      <c r="U103" s="46"/>
      <c r="V103" s="2"/>
      <c r="X103" s="229"/>
    </row>
    <row r="104" spans="1:24" outlineLevel="1">
      <c r="A104" s="118" t="s">
        <v>341</v>
      </c>
      <c r="B104" s="119" t="s">
        <v>342</v>
      </c>
      <c r="C104" s="119" t="s">
        <v>70</v>
      </c>
      <c r="D104" s="119" t="s">
        <v>173</v>
      </c>
      <c r="E104" s="119" t="s">
        <v>329</v>
      </c>
      <c r="F104" s="119" t="s">
        <v>83</v>
      </c>
      <c r="G104" s="120">
        <v>1</v>
      </c>
      <c r="H104" s="138">
        <v>75000</v>
      </c>
      <c r="I104" s="122">
        <v>0</v>
      </c>
      <c r="J104" s="435">
        <f t="shared" si="19"/>
        <v>75000</v>
      </c>
      <c r="K104" s="138">
        <f t="shared" si="20"/>
        <v>75000</v>
      </c>
      <c r="M104" s="46"/>
      <c r="N104" s="46"/>
      <c r="O104" s="46"/>
      <c r="P104" s="46"/>
      <c r="Q104" s="46"/>
      <c r="R104" s="46"/>
      <c r="S104" s="46"/>
      <c r="T104" s="46"/>
      <c r="U104" s="46"/>
      <c r="V104" s="2"/>
      <c r="X104" s="229"/>
    </row>
    <row r="105" spans="1:24" outlineLevel="1">
      <c r="A105" s="118" t="s">
        <v>346</v>
      </c>
      <c r="B105" s="119" t="s">
        <v>347</v>
      </c>
      <c r="C105" s="119" t="s">
        <v>70</v>
      </c>
      <c r="D105" s="119" t="s">
        <v>81</v>
      </c>
      <c r="E105" s="119" t="s">
        <v>87</v>
      </c>
      <c r="F105" s="119"/>
      <c r="G105" s="120"/>
      <c r="H105" s="121"/>
      <c r="I105" s="122">
        <v>0</v>
      </c>
      <c r="J105" s="121">
        <f t="shared" si="19"/>
        <v>0</v>
      </c>
      <c r="K105" s="138">
        <f t="shared" si="20"/>
        <v>0</v>
      </c>
      <c r="M105" s="46"/>
      <c r="N105" s="46"/>
      <c r="O105" s="46"/>
      <c r="P105" s="46"/>
      <c r="Q105" s="46"/>
      <c r="R105" s="46"/>
      <c r="S105" s="46"/>
      <c r="T105" s="46"/>
      <c r="U105" s="46"/>
      <c r="V105" s="2"/>
      <c r="X105" s="229"/>
    </row>
    <row r="106" spans="1:24" outlineLevel="1">
      <c r="A106" s="118" t="s">
        <v>348</v>
      </c>
      <c r="B106" s="119" t="s">
        <v>349</v>
      </c>
      <c r="C106" s="119" t="s">
        <v>70</v>
      </c>
      <c r="D106" s="119" t="s">
        <v>103</v>
      </c>
      <c r="E106" s="119" t="s">
        <v>87</v>
      </c>
      <c r="F106" s="119"/>
      <c r="G106" s="120"/>
      <c r="H106" s="121"/>
      <c r="I106" s="122">
        <v>0</v>
      </c>
      <c r="J106" s="121">
        <f t="shared" si="19"/>
        <v>0</v>
      </c>
      <c r="K106" s="138">
        <f t="shared" si="20"/>
        <v>0</v>
      </c>
      <c r="M106" s="46"/>
      <c r="N106" s="46"/>
      <c r="O106" s="46"/>
      <c r="P106" s="46"/>
      <c r="Q106" s="46"/>
      <c r="R106" s="46"/>
      <c r="S106" s="46"/>
      <c r="T106" s="46"/>
      <c r="U106" s="46"/>
      <c r="V106" s="2"/>
      <c r="X106" s="229"/>
    </row>
    <row r="107" spans="1:24" outlineLevel="1">
      <c r="A107" s="118" t="s">
        <v>202</v>
      </c>
      <c r="B107" s="119" t="s">
        <v>350</v>
      </c>
      <c r="C107" s="119" t="s">
        <v>70</v>
      </c>
      <c r="D107" s="119" t="s">
        <v>81</v>
      </c>
      <c r="E107" s="119" t="s">
        <v>486</v>
      </c>
      <c r="F107" s="119" t="s">
        <v>351</v>
      </c>
      <c r="G107" s="120">
        <v>31493.666666666668</v>
      </c>
      <c r="H107" s="121">
        <f>1.9*9</f>
        <v>17.099999999999998</v>
      </c>
      <c r="I107" s="122">
        <v>0</v>
      </c>
      <c r="J107" s="121">
        <f t="shared" si="19"/>
        <v>17.099999999999998</v>
      </c>
      <c r="K107" s="381">
        <f t="shared" si="20"/>
        <v>538541.69999999995</v>
      </c>
      <c r="M107" s="46" t="s">
        <v>352</v>
      </c>
      <c r="N107" s="46"/>
      <c r="O107" s="46"/>
      <c r="P107" s="46"/>
      <c r="Q107" s="46"/>
      <c r="R107" s="46"/>
      <c r="S107" s="46"/>
      <c r="T107" s="46"/>
      <c r="U107" s="46"/>
      <c r="V107" s="2"/>
    </row>
    <row r="108" spans="1:24" outlineLevel="1">
      <c r="A108" s="118" t="s">
        <v>353</v>
      </c>
      <c r="B108" s="119" t="s">
        <v>354</v>
      </c>
      <c r="C108" s="119" t="s">
        <v>70</v>
      </c>
      <c r="D108" s="119" t="s">
        <v>173</v>
      </c>
      <c r="E108" s="119" t="s">
        <v>87</v>
      </c>
      <c r="F108" s="119"/>
      <c r="G108" s="120">
        <v>0</v>
      </c>
      <c r="H108" s="121">
        <v>0</v>
      </c>
      <c r="I108" s="122">
        <v>0</v>
      </c>
      <c r="J108" s="121">
        <f t="shared" si="19"/>
        <v>0</v>
      </c>
      <c r="K108" s="138">
        <f t="shared" si="20"/>
        <v>0</v>
      </c>
      <c r="M108" s="46"/>
      <c r="N108" s="46"/>
      <c r="O108" s="46"/>
      <c r="P108" s="46"/>
      <c r="Q108" s="46"/>
      <c r="R108" s="46"/>
      <c r="S108" s="46"/>
      <c r="T108" s="46"/>
      <c r="U108" s="46"/>
      <c r="V108" s="2"/>
    </row>
    <row r="109" spans="1:24" outlineLevel="1">
      <c r="A109" s="118" t="s">
        <v>355</v>
      </c>
      <c r="B109" s="119" t="s">
        <v>356</v>
      </c>
      <c r="C109" s="119" t="s">
        <v>70</v>
      </c>
      <c r="D109" s="119" t="s">
        <v>173</v>
      </c>
      <c r="E109" s="119" t="s">
        <v>87</v>
      </c>
      <c r="F109" s="119"/>
      <c r="G109" s="120">
        <v>0</v>
      </c>
      <c r="H109" s="121">
        <v>0</v>
      </c>
      <c r="I109" s="122">
        <v>0</v>
      </c>
      <c r="J109" s="121">
        <f t="shared" si="19"/>
        <v>0</v>
      </c>
      <c r="K109" s="138">
        <f t="shared" si="20"/>
        <v>0</v>
      </c>
      <c r="M109" s="46"/>
      <c r="N109" s="46"/>
      <c r="O109" s="46"/>
      <c r="P109" s="46"/>
      <c r="Q109" s="46"/>
      <c r="R109" s="46"/>
      <c r="S109" s="46"/>
      <c r="T109" s="46"/>
      <c r="U109" s="46"/>
      <c r="V109" s="2"/>
    </row>
    <row r="110" spans="1:24" outlineLevel="1">
      <c r="A110" s="118" t="s">
        <v>357</v>
      </c>
      <c r="B110" s="119" t="s">
        <v>358</v>
      </c>
      <c r="C110" s="119" t="s">
        <v>70</v>
      </c>
      <c r="D110" s="119" t="s">
        <v>173</v>
      </c>
      <c r="E110" s="119" t="s">
        <v>329</v>
      </c>
      <c r="F110" s="119" t="s">
        <v>185</v>
      </c>
      <c r="G110" s="120">
        <v>362571</v>
      </c>
      <c r="H110" s="121">
        <v>0.47</v>
      </c>
      <c r="I110" s="122">
        <v>0</v>
      </c>
      <c r="J110" s="121">
        <f t="shared" si="19"/>
        <v>0.47</v>
      </c>
      <c r="K110" s="138">
        <f t="shared" si="20"/>
        <v>170408.37</v>
      </c>
      <c r="M110" s="46"/>
      <c r="N110" s="46"/>
      <c r="O110" s="46"/>
      <c r="P110" s="46"/>
      <c r="Q110" s="46"/>
      <c r="R110" s="46"/>
      <c r="S110" s="46"/>
      <c r="T110" s="46"/>
      <c r="U110" s="46"/>
      <c r="V110" s="2"/>
    </row>
    <row r="111" spans="1:24" outlineLevel="1">
      <c r="A111" s="118" t="s">
        <v>360</v>
      </c>
      <c r="B111" s="119" t="s">
        <v>361</v>
      </c>
      <c r="C111" s="119" t="s">
        <v>144</v>
      </c>
      <c r="D111" s="119" t="s">
        <v>173</v>
      </c>
      <c r="E111" s="119" t="s">
        <v>76</v>
      </c>
      <c r="F111" s="119" t="s">
        <v>132</v>
      </c>
      <c r="G111" s="120">
        <v>6</v>
      </c>
      <c r="H111" s="121">
        <v>750</v>
      </c>
      <c r="I111" s="122">
        <v>0</v>
      </c>
      <c r="J111" s="121">
        <f t="shared" si="19"/>
        <v>750</v>
      </c>
      <c r="K111" s="138">
        <f t="shared" si="20"/>
        <v>4500</v>
      </c>
      <c r="M111" s="46"/>
      <c r="N111" s="46"/>
      <c r="O111" s="46"/>
      <c r="P111" s="46"/>
      <c r="Q111" s="46"/>
      <c r="R111" s="46"/>
      <c r="S111" s="46"/>
      <c r="T111" s="46"/>
      <c r="U111" s="46"/>
      <c r="V111" s="2"/>
    </row>
    <row r="112" spans="1:24" outlineLevel="1">
      <c r="A112" s="118" t="s">
        <v>362</v>
      </c>
      <c r="B112" s="119" t="s">
        <v>363</v>
      </c>
      <c r="C112" s="119" t="s">
        <v>70</v>
      </c>
      <c r="D112" s="119" t="s">
        <v>173</v>
      </c>
      <c r="E112" s="119" t="s">
        <v>87</v>
      </c>
      <c r="F112" s="119"/>
      <c r="G112" s="120">
        <v>0</v>
      </c>
      <c r="H112" s="121">
        <v>0</v>
      </c>
      <c r="I112" s="122">
        <v>0</v>
      </c>
      <c r="J112" s="121">
        <f t="shared" si="19"/>
        <v>0</v>
      </c>
      <c r="K112" s="138">
        <f t="shared" si="20"/>
        <v>0</v>
      </c>
      <c r="M112" s="46"/>
      <c r="N112" s="46"/>
      <c r="O112" s="46"/>
      <c r="P112" s="46"/>
      <c r="Q112" s="46"/>
      <c r="R112" s="46"/>
      <c r="S112" s="46"/>
      <c r="T112" s="46"/>
      <c r="U112" s="46"/>
      <c r="V112" s="2"/>
    </row>
    <row r="113" spans="1:22" outlineLevel="1">
      <c r="A113" s="118" t="s">
        <v>364</v>
      </c>
      <c r="B113" s="119" t="s">
        <v>365</v>
      </c>
      <c r="C113" s="119" t="s">
        <v>70</v>
      </c>
      <c r="D113" s="119" t="s">
        <v>173</v>
      </c>
      <c r="E113" s="119" t="s">
        <v>87</v>
      </c>
      <c r="F113" s="119" t="s">
        <v>185</v>
      </c>
      <c r="G113" s="120">
        <v>0</v>
      </c>
      <c r="H113" s="121">
        <v>0</v>
      </c>
      <c r="I113" s="122">
        <v>0</v>
      </c>
      <c r="J113" s="121">
        <f t="shared" si="19"/>
        <v>0</v>
      </c>
      <c r="K113" s="138">
        <f t="shared" si="20"/>
        <v>0</v>
      </c>
      <c r="M113" s="46"/>
      <c r="N113" s="46"/>
      <c r="O113" s="46"/>
      <c r="P113" s="46"/>
      <c r="Q113" s="46"/>
      <c r="R113" s="46"/>
      <c r="S113" s="46"/>
      <c r="T113" s="46"/>
      <c r="U113" s="46"/>
      <c r="V113" s="2"/>
    </row>
    <row r="114" spans="1:22" outlineLevel="1">
      <c r="A114" s="118" t="s">
        <v>366</v>
      </c>
      <c r="B114" s="119" t="s">
        <v>367</v>
      </c>
      <c r="C114" s="119" t="s">
        <v>70</v>
      </c>
      <c r="D114" s="119" t="s">
        <v>173</v>
      </c>
      <c r="E114" s="119" t="s">
        <v>329</v>
      </c>
      <c r="F114" s="119" t="s">
        <v>185</v>
      </c>
      <c r="G114" s="120">
        <v>0</v>
      </c>
      <c r="H114" s="121">
        <v>16.53336114421931</v>
      </c>
      <c r="I114" s="122">
        <v>0</v>
      </c>
      <c r="J114" s="121">
        <f t="shared" si="19"/>
        <v>16.53336114421931</v>
      </c>
      <c r="K114" s="138">
        <f t="shared" si="20"/>
        <v>0</v>
      </c>
      <c r="M114" s="46"/>
      <c r="N114" s="46"/>
      <c r="O114" s="46"/>
      <c r="P114" s="46"/>
      <c r="Q114" s="46"/>
      <c r="R114" s="46"/>
      <c r="S114" s="46"/>
      <c r="T114" s="46"/>
      <c r="U114" s="46"/>
      <c r="V114" s="2"/>
    </row>
    <row r="115" spans="1:22" outlineLevel="1">
      <c r="A115" s="118" t="s">
        <v>369</v>
      </c>
      <c r="B115" s="119" t="s">
        <v>370</v>
      </c>
      <c r="C115" s="119" t="s">
        <v>70</v>
      </c>
      <c r="D115" s="119" t="s">
        <v>173</v>
      </c>
      <c r="E115" s="119" t="s">
        <v>329</v>
      </c>
      <c r="F115" s="119" t="s">
        <v>132</v>
      </c>
      <c r="G115" s="120">
        <v>18</v>
      </c>
      <c r="H115" s="121">
        <v>1848.1428571428571</v>
      </c>
      <c r="I115" s="122">
        <v>0</v>
      </c>
      <c r="J115" s="121">
        <f t="shared" si="19"/>
        <v>1848.1428571428571</v>
      </c>
      <c r="K115" s="138">
        <f t="shared" si="20"/>
        <v>33266.571428571428</v>
      </c>
      <c r="M115" s="46"/>
      <c r="N115" s="46"/>
      <c r="O115" s="46"/>
      <c r="P115" s="46"/>
      <c r="Q115" s="46"/>
      <c r="R115" s="46"/>
      <c r="S115" s="46"/>
      <c r="T115" s="46"/>
      <c r="U115" s="46"/>
      <c r="V115" s="2"/>
    </row>
    <row r="116" spans="1:22" outlineLevel="1">
      <c r="A116" s="118" t="s">
        <v>372</v>
      </c>
      <c r="B116" s="119" t="s">
        <v>373</v>
      </c>
      <c r="C116" s="119" t="s">
        <v>70</v>
      </c>
      <c r="D116" s="119" t="s">
        <v>173</v>
      </c>
      <c r="E116" s="119" t="s">
        <v>329</v>
      </c>
      <c r="F116" s="119" t="s">
        <v>185</v>
      </c>
      <c r="G116" s="120">
        <v>362571</v>
      </c>
      <c r="H116" s="121">
        <v>5.1209072935450933E-2</v>
      </c>
      <c r="I116" s="122">
        <v>0</v>
      </c>
      <c r="J116" s="121">
        <f t="shared" si="19"/>
        <v>5.1209072935450933E-2</v>
      </c>
      <c r="K116" s="138">
        <f t="shared" si="20"/>
        <v>18566.924783279381</v>
      </c>
      <c r="M116" s="46" t="s">
        <v>1070</v>
      </c>
      <c r="N116" s="46"/>
      <c r="O116" s="46"/>
      <c r="P116" s="46"/>
      <c r="Q116" s="46"/>
      <c r="R116" s="46"/>
      <c r="S116" s="46"/>
      <c r="T116" s="46"/>
      <c r="U116" s="46"/>
      <c r="V116" s="2"/>
    </row>
    <row r="117" spans="1:22" outlineLevel="1">
      <c r="A117" s="118" t="s">
        <v>375</v>
      </c>
      <c r="B117" s="119" t="s">
        <v>376</v>
      </c>
      <c r="C117" s="119" t="s">
        <v>70</v>
      </c>
      <c r="D117" s="119" t="s">
        <v>173</v>
      </c>
      <c r="E117" s="119" t="s">
        <v>329</v>
      </c>
      <c r="F117" s="119" t="s">
        <v>185</v>
      </c>
      <c r="G117" s="120">
        <v>362571</v>
      </c>
      <c r="H117" s="121">
        <v>0.29699958719881808</v>
      </c>
      <c r="I117" s="122">
        <v>0</v>
      </c>
      <c r="J117" s="121">
        <f t="shared" si="19"/>
        <v>0.29699958719881808</v>
      </c>
      <c r="K117" s="138">
        <f t="shared" si="20"/>
        <v>107683.43733026268</v>
      </c>
      <c r="M117" s="46" t="s">
        <v>1070</v>
      </c>
      <c r="N117" s="46"/>
      <c r="O117" s="46"/>
      <c r="P117" s="46"/>
      <c r="Q117" s="46"/>
      <c r="R117" s="46"/>
      <c r="S117" s="46"/>
      <c r="T117" s="46"/>
      <c r="U117" s="46"/>
      <c r="V117" s="2"/>
    </row>
    <row r="118" spans="1:22" outlineLevel="1">
      <c r="A118" s="118" t="s">
        <v>378</v>
      </c>
      <c r="B118" s="119" t="s">
        <v>379</v>
      </c>
      <c r="C118" s="119" t="s">
        <v>90</v>
      </c>
      <c r="D118" s="119" t="s">
        <v>81</v>
      </c>
      <c r="E118" s="119" t="s">
        <v>76</v>
      </c>
      <c r="F118" s="119" t="s">
        <v>83</v>
      </c>
      <c r="G118" s="113">
        <v>1</v>
      </c>
      <c r="H118" s="121">
        <v>10000</v>
      </c>
      <c r="I118" s="122">
        <v>0</v>
      </c>
      <c r="J118" s="121">
        <f t="shared" si="19"/>
        <v>10000</v>
      </c>
      <c r="K118" s="138">
        <f t="shared" si="20"/>
        <v>10000</v>
      </c>
      <c r="M118" s="46"/>
      <c r="N118" s="46"/>
      <c r="O118" s="46"/>
      <c r="P118" s="46"/>
      <c r="Q118" s="46"/>
      <c r="R118" s="46"/>
      <c r="S118" s="46"/>
      <c r="T118" s="46"/>
      <c r="U118" s="46"/>
      <c r="V118" s="2"/>
    </row>
    <row r="119" spans="1:22" outlineLevel="1">
      <c r="A119" s="118" t="s">
        <v>380</v>
      </c>
      <c r="B119" s="119" t="s">
        <v>381</v>
      </c>
      <c r="C119" s="119" t="s">
        <v>70</v>
      </c>
      <c r="D119" s="119" t="s">
        <v>81</v>
      </c>
      <c r="E119" s="119" t="s">
        <v>184</v>
      </c>
      <c r="F119" s="119" t="s">
        <v>185</v>
      </c>
      <c r="G119" s="120">
        <v>362571</v>
      </c>
      <c r="H119" s="121">
        <v>1.58</v>
      </c>
      <c r="I119" s="122">
        <v>0</v>
      </c>
      <c r="J119" s="121">
        <f t="shared" si="19"/>
        <v>1.58</v>
      </c>
      <c r="K119" s="381">
        <f t="shared" si="20"/>
        <v>572862.18000000005</v>
      </c>
      <c r="M119" s="46" t="s">
        <v>1071</v>
      </c>
      <c r="N119" s="46"/>
      <c r="O119" s="46"/>
      <c r="P119" s="46"/>
      <c r="Q119" s="46"/>
      <c r="R119" s="46"/>
      <c r="S119" s="46"/>
      <c r="T119" s="46"/>
      <c r="U119" s="46"/>
      <c r="V119" s="2"/>
    </row>
    <row r="120" spans="1:22" outlineLevel="1">
      <c r="A120" s="118" t="s">
        <v>382</v>
      </c>
      <c r="B120" s="119" t="s">
        <v>383</v>
      </c>
      <c r="C120" s="119" t="s">
        <v>70</v>
      </c>
      <c r="D120" s="119" t="s">
        <v>93</v>
      </c>
      <c r="E120" s="119" t="s">
        <v>76</v>
      </c>
      <c r="F120" s="119" t="s">
        <v>83</v>
      </c>
      <c r="G120" s="113">
        <v>1</v>
      </c>
      <c r="H120" s="121">
        <v>1000</v>
      </c>
      <c r="I120" s="122">
        <v>0</v>
      </c>
      <c r="J120" s="121">
        <f t="shared" si="19"/>
        <v>1000</v>
      </c>
      <c r="K120" s="138">
        <f t="shared" si="20"/>
        <v>1000</v>
      </c>
      <c r="M120" s="46"/>
      <c r="N120" s="46"/>
      <c r="O120" s="46"/>
      <c r="P120" s="46"/>
      <c r="Q120" s="46"/>
      <c r="R120" s="46"/>
      <c r="S120" s="46"/>
      <c r="T120" s="46"/>
      <c r="U120" s="46"/>
      <c r="V120" s="2"/>
    </row>
    <row r="121" spans="1:22" outlineLevel="1">
      <c r="A121" s="118" t="s">
        <v>384</v>
      </c>
      <c r="B121" s="119" t="s">
        <v>385</v>
      </c>
      <c r="C121" s="119" t="s">
        <v>70</v>
      </c>
      <c r="D121" s="119" t="s">
        <v>81</v>
      </c>
      <c r="E121" s="119" t="s">
        <v>87</v>
      </c>
      <c r="F121" s="119"/>
      <c r="G121" s="120"/>
      <c r="H121" s="121"/>
      <c r="I121" s="122">
        <v>0</v>
      </c>
      <c r="J121" s="121">
        <f t="shared" si="19"/>
        <v>0</v>
      </c>
      <c r="K121" s="138">
        <f t="shared" si="20"/>
        <v>0</v>
      </c>
      <c r="M121" s="46"/>
      <c r="N121" s="46"/>
      <c r="O121" s="46"/>
      <c r="P121" s="46"/>
      <c r="Q121" s="46"/>
      <c r="R121" s="46"/>
      <c r="S121" s="46"/>
      <c r="T121" s="46"/>
      <c r="U121" s="46"/>
      <c r="V121" s="2"/>
    </row>
    <row r="122" spans="1:22" outlineLevel="1">
      <c r="A122" s="118" t="s">
        <v>386</v>
      </c>
      <c r="B122" s="119" t="s">
        <v>387</v>
      </c>
      <c r="C122" s="119" t="s">
        <v>70</v>
      </c>
      <c r="D122" s="119" t="s">
        <v>103</v>
      </c>
      <c r="E122" s="119" t="s">
        <v>87</v>
      </c>
      <c r="F122" s="119"/>
      <c r="G122" s="120"/>
      <c r="H122" s="121"/>
      <c r="I122" s="122">
        <v>0</v>
      </c>
      <c r="J122" s="121">
        <f t="shared" si="19"/>
        <v>0</v>
      </c>
      <c r="K122" s="138">
        <f t="shared" si="20"/>
        <v>0</v>
      </c>
      <c r="M122" s="46"/>
      <c r="N122" s="46"/>
      <c r="O122" s="46"/>
      <c r="P122" s="46"/>
      <c r="Q122" s="46"/>
      <c r="R122" s="46"/>
      <c r="S122" s="46"/>
      <c r="T122" s="46"/>
      <c r="U122" s="46"/>
      <c r="V122" s="2"/>
    </row>
    <row r="123" spans="1:22" outlineLevel="1">
      <c r="A123" s="118" t="s">
        <v>388</v>
      </c>
      <c r="B123" s="119"/>
      <c r="C123" s="119" t="s">
        <v>70</v>
      </c>
      <c r="D123" s="119" t="s">
        <v>173</v>
      </c>
      <c r="E123" s="119" t="s">
        <v>87</v>
      </c>
      <c r="F123" s="119"/>
      <c r="G123" s="120"/>
      <c r="H123" s="121"/>
      <c r="I123" s="122">
        <v>0</v>
      </c>
      <c r="J123" s="121">
        <f t="shared" si="19"/>
        <v>0</v>
      </c>
      <c r="K123" s="138">
        <f t="shared" si="20"/>
        <v>0</v>
      </c>
      <c r="M123" s="46"/>
      <c r="N123" s="46"/>
      <c r="O123" s="46"/>
      <c r="P123" s="46"/>
      <c r="Q123" s="46"/>
      <c r="R123" s="46"/>
      <c r="S123" s="46"/>
      <c r="T123" s="46"/>
      <c r="U123" s="46"/>
      <c r="V123" s="2"/>
    </row>
    <row r="124" spans="1:22" outlineLevel="1">
      <c r="A124" s="118" t="s">
        <v>389</v>
      </c>
      <c r="B124" s="119" t="s">
        <v>390</v>
      </c>
      <c r="C124" s="119" t="s">
        <v>70</v>
      </c>
      <c r="D124" s="119" t="s">
        <v>173</v>
      </c>
      <c r="E124" s="119" t="s">
        <v>87</v>
      </c>
      <c r="F124" s="119"/>
      <c r="G124" s="120"/>
      <c r="H124" s="121"/>
      <c r="I124" s="122">
        <v>0</v>
      </c>
      <c r="J124" s="123">
        <f t="shared" si="19"/>
        <v>0</v>
      </c>
      <c r="K124" s="117">
        <f t="shared" si="20"/>
        <v>0</v>
      </c>
      <c r="L124" s="360"/>
      <c r="M124" s="46"/>
      <c r="N124" s="46"/>
      <c r="O124" s="46"/>
      <c r="P124" s="46"/>
      <c r="Q124" s="46"/>
      <c r="R124" s="46"/>
      <c r="S124" s="46"/>
      <c r="T124" s="46"/>
      <c r="U124" s="46"/>
      <c r="V124" s="2"/>
    </row>
    <row r="125" spans="1:22">
      <c r="A125" s="347" t="s">
        <v>391</v>
      </c>
      <c r="B125" s="105" t="s">
        <v>392</v>
      </c>
      <c r="C125" s="105"/>
      <c r="D125" s="105"/>
      <c r="E125" s="105"/>
      <c r="F125" s="105"/>
      <c r="G125" s="106"/>
      <c r="H125" s="107"/>
      <c r="I125" s="108"/>
      <c r="J125" s="109"/>
      <c r="K125" s="110"/>
      <c r="L125" s="130">
        <f>SUM(K87:K124)</f>
        <v>5644662.8446532246</v>
      </c>
      <c r="M125" s="373"/>
      <c r="N125" s="373"/>
      <c r="O125" s="373"/>
      <c r="P125" s="373"/>
      <c r="Q125" s="373"/>
      <c r="R125" s="373"/>
      <c r="S125" s="373"/>
      <c r="T125" s="373"/>
      <c r="U125" s="373"/>
      <c r="V125" s="2"/>
    </row>
    <row r="126" spans="1:22" hidden="1" outlineLevel="1">
      <c r="A126" s="111" t="s">
        <v>393</v>
      </c>
      <c r="B126" s="112" t="s">
        <v>394</v>
      </c>
      <c r="C126" s="112" t="s">
        <v>70</v>
      </c>
      <c r="D126" s="112" t="s">
        <v>75</v>
      </c>
      <c r="E126" s="112" t="s">
        <v>87</v>
      </c>
      <c r="F126" s="112"/>
      <c r="G126" s="113"/>
      <c r="H126" s="114">
        <v>5478</v>
      </c>
      <c r="I126" s="115">
        <v>0</v>
      </c>
      <c r="J126" s="116">
        <f t="shared" ref="J126:J141" si="21">H126*(1+I126)</f>
        <v>5478</v>
      </c>
      <c r="K126" s="117">
        <f t="shared" ref="K126:K141" si="22">J126*G126</f>
        <v>0</v>
      </c>
      <c r="M126" s="88"/>
      <c r="N126" s="88"/>
      <c r="O126" s="88"/>
      <c r="P126" s="88"/>
      <c r="Q126" s="88"/>
      <c r="R126" s="88"/>
      <c r="S126" s="88"/>
      <c r="T126" s="88"/>
      <c r="U126" s="88"/>
      <c r="V126" s="2"/>
    </row>
    <row r="127" spans="1:22" hidden="1" outlineLevel="1">
      <c r="A127" s="118" t="s">
        <v>395</v>
      </c>
      <c r="B127" s="119" t="s">
        <v>396</v>
      </c>
      <c r="C127" s="119" t="s">
        <v>70</v>
      </c>
      <c r="D127" s="119" t="s">
        <v>397</v>
      </c>
      <c r="E127" s="119" t="s">
        <v>1049</v>
      </c>
      <c r="F127" s="119" t="s">
        <v>344</v>
      </c>
      <c r="G127" s="113">
        <f>$N$9</f>
        <v>363</v>
      </c>
      <c r="H127" s="121">
        <v>155</v>
      </c>
      <c r="I127" s="122">
        <v>0</v>
      </c>
      <c r="J127" s="121">
        <f t="shared" si="21"/>
        <v>155</v>
      </c>
      <c r="K127" s="138">
        <f t="shared" si="22"/>
        <v>56265</v>
      </c>
      <c r="M127" s="46"/>
      <c r="N127" s="46"/>
      <c r="O127" s="46"/>
      <c r="P127" s="46"/>
      <c r="Q127" s="46"/>
      <c r="R127" s="46"/>
      <c r="S127" s="46"/>
      <c r="T127" s="46"/>
      <c r="U127" s="46"/>
      <c r="V127" s="2"/>
    </row>
    <row r="128" spans="1:22" hidden="1" outlineLevel="1">
      <c r="A128" s="118" t="s">
        <v>399</v>
      </c>
      <c r="B128" s="119" t="s">
        <v>400</v>
      </c>
      <c r="C128" s="119" t="s">
        <v>70</v>
      </c>
      <c r="D128" s="119" t="s">
        <v>75</v>
      </c>
      <c r="E128" s="90" t="s">
        <v>76</v>
      </c>
      <c r="F128" s="119" t="s">
        <v>83</v>
      </c>
      <c r="G128" s="120">
        <v>1</v>
      </c>
      <c r="H128" s="121">
        <v>7500</v>
      </c>
      <c r="I128" s="122">
        <v>0</v>
      </c>
      <c r="J128" s="121">
        <f t="shared" si="21"/>
        <v>7500</v>
      </c>
      <c r="K128" s="138">
        <f t="shared" si="22"/>
        <v>7500</v>
      </c>
      <c r="M128" s="46"/>
      <c r="N128" s="46"/>
      <c r="O128" s="46"/>
      <c r="P128" s="46"/>
      <c r="Q128" s="46"/>
      <c r="R128" s="46"/>
      <c r="S128" s="46"/>
      <c r="T128" s="46"/>
      <c r="U128" s="46"/>
      <c r="V128" s="2"/>
    </row>
    <row r="129" spans="1:22" hidden="1" outlineLevel="1">
      <c r="A129" s="118" t="s">
        <v>401</v>
      </c>
      <c r="B129" s="119" t="s">
        <v>402</v>
      </c>
      <c r="C129" s="119" t="s">
        <v>70</v>
      </c>
      <c r="D129" s="119" t="s">
        <v>75</v>
      </c>
      <c r="E129" s="119" t="s">
        <v>76</v>
      </c>
      <c r="F129" s="119" t="s">
        <v>83</v>
      </c>
      <c r="G129" s="120">
        <v>1</v>
      </c>
      <c r="H129" s="121">
        <v>6500</v>
      </c>
      <c r="I129" s="122">
        <v>0</v>
      </c>
      <c r="J129" s="121">
        <f t="shared" si="21"/>
        <v>6500</v>
      </c>
      <c r="K129" s="138">
        <f t="shared" si="22"/>
        <v>6500</v>
      </c>
      <c r="M129" s="46"/>
      <c r="N129" s="46"/>
      <c r="O129" s="46"/>
      <c r="P129" s="46"/>
      <c r="Q129" s="46"/>
      <c r="R129" s="46"/>
      <c r="S129" s="46"/>
      <c r="T129" s="46"/>
      <c r="U129" s="46"/>
      <c r="V129" s="2"/>
    </row>
    <row r="130" spans="1:22" hidden="1" outlineLevel="1">
      <c r="A130" s="118" t="s">
        <v>403</v>
      </c>
      <c r="B130" s="119" t="s">
        <v>404</v>
      </c>
      <c r="C130" s="119" t="s">
        <v>70</v>
      </c>
      <c r="D130" s="119" t="s">
        <v>405</v>
      </c>
      <c r="E130" s="119" t="s">
        <v>76</v>
      </c>
      <c r="F130" s="119" t="s">
        <v>83</v>
      </c>
      <c r="G130" s="120">
        <v>1</v>
      </c>
      <c r="H130" s="121">
        <v>7500</v>
      </c>
      <c r="I130" s="122">
        <v>0</v>
      </c>
      <c r="J130" s="121">
        <f t="shared" si="21"/>
        <v>7500</v>
      </c>
      <c r="K130" s="138">
        <f t="shared" si="22"/>
        <v>7500</v>
      </c>
      <c r="M130" s="46"/>
      <c r="N130" s="46"/>
      <c r="O130" s="46"/>
      <c r="P130" s="46"/>
      <c r="Q130" s="46"/>
      <c r="R130" s="46"/>
      <c r="S130" s="46"/>
      <c r="T130" s="46"/>
      <c r="U130" s="46"/>
      <c r="V130" s="2"/>
    </row>
    <row r="131" spans="1:22" hidden="1" outlineLevel="1">
      <c r="A131" s="118" t="s">
        <v>406</v>
      </c>
      <c r="B131" s="119" t="s">
        <v>407</v>
      </c>
      <c r="C131" s="119" t="s">
        <v>70</v>
      </c>
      <c r="D131" s="119" t="s">
        <v>81</v>
      </c>
      <c r="E131" s="119" t="s">
        <v>1049</v>
      </c>
      <c r="F131" s="119" t="s">
        <v>344</v>
      </c>
      <c r="G131" s="113">
        <f>$N$9+N7+N8</f>
        <v>363</v>
      </c>
      <c r="H131" s="121">
        <v>17</v>
      </c>
      <c r="I131" s="122">
        <v>0</v>
      </c>
      <c r="J131" s="121">
        <f t="shared" si="21"/>
        <v>17</v>
      </c>
      <c r="K131" s="138">
        <f t="shared" si="22"/>
        <v>6171</v>
      </c>
      <c r="M131" s="46"/>
      <c r="N131" s="46"/>
      <c r="O131" s="46"/>
      <c r="P131" s="46"/>
      <c r="Q131" s="46"/>
      <c r="R131" s="46"/>
      <c r="S131" s="46"/>
      <c r="T131" s="46"/>
      <c r="U131" s="46"/>
      <c r="V131" s="2"/>
    </row>
    <row r="132" spans="1:22" hidden="1" outlineLevel="1">
      <c r="A132" s="118" t="s">
        <v>410</v>
      </c>
      <c r="B132" s="119" t="s">
        <v>411</v>
      </c>
      <c r="C132" s="119" t="s">
        <v>70</v>
      </c>
      <c r="D132" s="119" t="s">
        <v>81</v>
      </c>
      <c r="E132" s="119" t="s">
        <v>87</v>
      </c>
      <c r="F132" s="119"/>
      <c r="G132" s="120"/>
      <c r="H132" s="121">
        <v>0</v>
      </c>
      <c r="I132" s="122">
        <v>0</v>
      </c>
      <c r="J132" s="121">
        <f t="shared" si="21"/>
        <v>0</v>
      </c>
      <c r="K132" s="138">
        <f t="shared" si="22"/>
        <v>0</v>
      </c>
      <c r="M132" s="46"/>
      <c r="N132" s="46"/>
      <c r="O132" s="46"/>
      <c r="P132" s="46"/>
      <c r="Q132" s="46"/>
      <c r="R132" s="46"/>
      <c r="S132" s="46"/>
      <c r="T132" s="46"/>
      <c r="U132" s="46"/>
      <c r="V132" s="2"/>
    </row>
    <row r="133" spans="1:22" hidden="1" outlineLevel="1">
      <c r="A133" s="118" t="s">
        <v>412</v>
      </c>
      <c r="B133" s="119" t="s">
        <v>413</v>
      </c>
      <c r="C133" s="119" t="s">
        <v>70</v>
      </c>
      <c r="D133" s="119" t="s">
        <v>81</v>
      </c>
      <c r="E133" s="119" t="s">
        <v>87</v>
      </c>
      <c r="F133" s="119"/>
      <c r="G133" s="120"/>
      <c r="H133" s="121">
        <v>0</v>
      </c>
      <c r="I133" s="122">
        <v>0</v>
      </c>
      <c r="J133" s="121">
        <f t="shared" si="21"/>
        <v>0</v>
      </c>
      <c r="K133" s="138">
        <f t="shared" si="22"/>
        <v>0</v>
      </c>
      <c r="M133" s="46"/>
      <c r="N133" s="46"/>
      <c r="O133" s="46"/>
      <c r="P133" s="46"/>
      <c r="Q133" s="46"/>
      <c r="R133" s="46"/>
      <c r="S133" s="46"/>
      <c r="T133" s="46"/>
      <c r="U133" s="46"/>
      <c r="V133" s="2"/>
    </row>
    <row r="134" spans="1:22" hidden="1" outlineLevel="1">
      <c r="A134" s="118" t="s">
        <v>414</v>
      </c>
      <c r="B134" s="119" t="s">
        <v>415</v>
      </c>
      <c r="C134" s="119" t="s">
        <v>70</v>
      </c>
      <c r="D134" s="119" t="s">
        <v>103</v>
      </c>
      <c r="E134" s="119" t="s">
        <v>87</v>
      </c>
      <c r="F134" s="119"/>
      <c r="G134" s="120"/>
      <c r="H134" s="121">
        <v>0</v>
      </c>
      <c r="I134" s="122">
        <v>0</v>
      </c>
      <c r="J134" s="121">
        <f t="shared" si="21"/>
        <v>0</v>
      </c>
      <c r="K134" s="138">
        <f t="shared" si="22"/>
        <v>0</v>
      </c>
      <c r="M134" s="46"/>
      <c r="N134" s="46"/>
      <c r="O134" s="46"/>
      <c r="P134" s="46"/>
      <c r="Q134" s="46"/>
      <c r="R134" s="46"/>
      <c r="S134" s="46"/>
      <c r="T134" s="46"/>
      <c r="U134" s="46"/>
      <c r="V134" s="2"/>
    </row>
    <row r="135" spans="1:22" hidden="1" outlineLevel="1">
      <c r="A135" s="118" t="s">
        <v>416</v>
      </c>
      <c r="B135" s="119" t="s">
        <v>417</v>
      </c>
      <c r="C135" s="119" t="s">
        <v>70</v>
      </c>
      <c r="D135" s="119" t="s">
        <v>103</v>
      </c>
      <c r="E135" s="119" t="s">
        <v>418</v>
      </c>
      <c r="F135" s="119" t="s">
        <v>83</v>
      </c>
      <c r="G135" s="120">
        <v>4</v>
      </c>
      <c r="H135" s="121">
        <v>3360</v>
      </c>
      <c r="I135" s="122">
        <v>0</v>
      </c>
      <c r="J135" s="121">
        <f t="shared" si="21"/>
        <v>3360</v>
      </c>
      <c r="K135" s="138">
        <f t="shared" si="22"/>
        <v>13440</v>
      </c>
      <c r="M135" s="46"/>
      <c r="N135" s="46"/>
      <c r="O135" s="46"/>
      <c r="P135" s="46"/>
      <c r="Q135" s="46"/>
      <c r="R135" s="46"/>
      <c r="S135" s="46"/>
      <c r="T135" s="46"/>
      <c r="U135" s="46"/>
      <c r="V135" s="2"/>
    </row>
    <row r="136" spans="1:22" hidden="1" outlineLevel="1">
      <c r="A136" s="118" t="s">
        <v>419</v>
      </c>
      <c r="B136" s="119" t="s">
        <v>420</v>
      </c>
      <c r="C136" s="119" t="s">
        <v>70</v>
      </c>
      <c r="D136" s="119" t="s">
        <v>75</v>
      </c>
      <c r="E136" s="119" t="s">
        <v>76</v>
      </c>
      <c r="F136" s="119" t="s">
        <v>83</v>
      </c>
      <c r="G136" s="120">
        <v>1</v>
      </c>
      <c r="H136" s="121">
        <v>5000</v>
      </c>
      <c r="I136" s="122">
        <v>0</v>
      </c>
      <c r="J136" s="121">
        <f t="shared" si="21"/>
        <v>5000</v>
      </c>
      <c r="K136" s="138">
        <f t="shared" si="22"/>
        <v>5000</v>
      </c>
      <c r="M136" s="46"/>
      <c r="N136" s="46"/>
      <c r="O136" s="46"/>
      <c r="P136" s="46"/>
      <c r="Q136" s="46"/>
      <c r="R136" s="46"/>
      <c r="S136" s="46"/>
      <c r="T136" s="46"/>
      <c r="U136" s="46"/>
      <c r="V136" s="2"/>
    </row>
    <row r="137" spans="1:22" hidden="1" outlineLevel="1">
      <c r="A137" s="118" t="s">
        <v>421</v>
      </c>
      <c r="B137" s="119" t="s">
        <v>422</v>
      </c>
      <c r="C137" s="119" t="s">
        <v>70</v>
      </c>
      <c r="D137" s="119" t="s">
        <v>81</v>
      </c>
      <c r="E137" s="119" t="s">
        <v>76</v>
      </c>
      <c r="F137" s="119" t="s">
        <v>83</v>
      </c>
      <c r="G137" s="113">
        <v>1</v>
      </c>
      <c r="H137" s="121">
        <v>30000</v>
      </c>
      <c r="I137" s="122">
        <v>0</v>
      </c>
      <c r="J137" s="121">
        <f t="shared" si="21"/>
        <v>30000</v>
      </c>
      <c r="K137" s="138">
        <f t="shared" si="22"/>
        <v>30000</v>
      </c>
      <c r="M137" s="46" t="s">
        <v>423</v>
      </c>
      <c r="N137" s="46"/>
      <c r="O137" s="46"/>
      <c r="P137" s="46"/>
      <c r="Q137" s="46"/>
      <c r="R137" s="46"/>
      <c r="S137" s="46"/>
      <c r="T137" s="46"/>
      <c r="U137" s="46"/>
      <c r="V137" s="2"/>
    </row>
    <row r="138" spans="1:22" hidden="1" outlineLevel="1">
      <c r="A138" s="118" t="s">
        <v>424</v>
      </c>
      <c r="B138" s="119" t="s">
        <v>425</v>
      </c>
      <c r="C138" s="119" t="s">
        <v>70</v>
      </c>
      <c r="D138" s="119" t="s">
        <v>81</v>
      </c>
      <c r="E138" s="119" t="s">
        <v>1072</v>
      </c>
      <c r="F138" s="119" t="s">
        <v>344</v>
      </c>
      <c r="G138" s="113">
        <f>$N$9</f>
        <v>363</v>
      </c>
      <c r="H138" s="121">
        <v>153</v>
      </c>
      <c r="I138" s="122">
        <v>0</v>
      </c>
      <c r="J138" s="121">
        <f t="shared" si="21"/>
        <v>153</v>
      </c>
      <c r="K138" s="138">
        <f t="shared" si="22"/>
        <v>55539</v>
      </c>
      <c r="M138" s="46"/>
      <c r="N138" s="46"/>
      <c r="O138" s="46"/>
      <c r="P138" s="46"/>
      <c r="Q138" s="46"/>
      <c r="R138" s="46"/>
      <c r="S138" s="46"/>
      <c r="T138" s="46"/>
      <c r="U138" s="46"/>
      <c r="V138" s="2"/>
    </row>
    <row r="139" spans="1:22" hidden="1" outlineLevel="1">
      <c r="A139" s="118" t="s">
        <v>426</v>
      </c>
      <c r="B139" s="119" t="s">
        <v>427</v>
      </c>
      <c r="C139" s="119" t="s">
        <v>70</v>
      </c>
      <c r="D139" s="119" t="s">
        <v>81</v>
      </c>
      <c r="E139" s="119" t="s">
        <v>184</v>
      </c>
      <c r="F139" s="119" t="s">
        <v>344</v>
      </c>
      <c r="G139" s="113">
        <f>$N$9</f>
        <v>363</v>
      </c>
      <c r="H139" s="121">
        <v>332</v>
      </c>
      <c r="I139" s="122">
        <v>0</v>
      </c>
      <c r="J139" s="121">
        <f t="shared" si="21"/>
        <v>332</v>
      </c>
      <c r="K139" s="381">
        <f t="shared" si="22"/>
        <v>120516</v>
      </c>
      <c r="M139" s="46"/>
      <c r="N139" s="46"/>
      <c r="O139" s="46"/>
      <c r="P139" s="46"/>
      <c r="Q139" s="46"/>
      <c r="R139" s="46"/>
      <c r="S139" s="46"/>
      <c r="T139" s="46"/>
      <c r="U139" s="46"/>
      <c r="V139" s="2"/>
    </row>
    <row r="140" spans="1:22" hidden="1" outlineLevel="1">
      <c r="A140" s="118" t="s">
        <v>428</v>
      </c>
      <c r="B140" s="119" t="s">
        <v>429</v>
      </c>
      <c r="C140" s="119" t="s">
        <v>70</v>
      </c>
      <c r="D140" s="119" t="s">
        <v>81</v>
      </c>
      <c r="E140" s="119" t="s">
        <v>343</v>
      </c>
      <c r="F140" s="119" t="s">
        <v>132</v>
      </c>
      <c r="G140" s="120">
        <f>'Assumptions &amp; Takeoffs'!$B$26</f>
        <v>30</v>
      </c>
      <c r="H140" s="121">
        <v>2500</v>
      </c>
      <c r="I140" s="122">
        <v>0</v>
      </c>
      <c r="J140" s="121">
        <f t="shared" si="21"/>
        <v>2500</v>
      </c>
      <c r="K140" s="138">
        <f t="shared" si="22"/>
        <v>75000</v>
      </c>
      <c r="M140" s="46"/>
      <c r="N140" s="46"/>
      <c r="O140" s="46"/>
      <c r="P140" s="46"/>
      <c r="Q140" s="46"/>
      <c r="R140" s="46"/>
      <c r="S140" s="46"/>
      <c r="T140" s="46"/>
      <c r="U140" s="46"/>
      <c r="V140" s="2"/>
    </row>
    <row r="141" spans="1:22" hidden="1" outlineLevel="1">
      <c r="A141" s="118" t="s">
        <v>430</v>
      </c>
      <c r="B141" s="119" t="s">
        <v>429</v>
      </c>
      <c r="C141" s="119" t="s">
        <v>70</v>
      </c>
      <c r="D141" s="119" t="s">
        <v>81</v>
      </c>
      <c r="E141" s="119" t="s">
        <v>343</v>
      </c>
      <c r="F141" s="119" t="s">
        <v>132</v>
      </c>
      <c r="G141" s="120">
        <f>'Assumptions &amp; Takeoffs'!$B$27</f>
        <v>10</v>
      </c>
      <c r="H141" s="121">
        <v>8500</v>
      </c>
      <c r="I141" s="122">
        <v>0</v>
      </c>
      <c r="J141" s="123">
        <f t="shared" si="21"/>
        <v>8500</v>
      </c>
      <c r="K141" s="117">
        <f t="shared" si="22"/>
        <v>85000</v>
      </c>
      <c r="L141" s="360"/>
      <c r="M141" s="46"/>
      <c r="N141" s="46"/>
      <c r="O141" s="46"/>
      <c r="P141" s="46"/>
      <c r="Q141" s="46"/>
      <c r="R141" s="46"/>
      <c r="S141" s="46"/>
      <c r="T141" s="46"/>
      <c r="U141" s="46"/>
      <c r="V141" s="2"/>
    </row>
    <row r="142" spans="1:22" collapsed="1">
      <c r="A142" s="347" t="s">
        <v>431</v>
      </c>
      <c r="B142" s="105" t="s">
        <v>432</v>
      </c>
      <c r="C142" s="105"/>
      <c r="D142" s="105"/>
      <c r="E142" s="105"/>
      <c r="F142" s="105"/>
      <c r="G142" s="106"/>
      <c r="H142" s="107"/>
      <c r="I142" s="108"/>
      <c r="J142" s="109"/>
      <c r="K142" s="110"/>
      <c r="L142" s="130">
        <f>SUM(K126:K141)</f>
        <v>468431</v>
      </c>
      <c r="M142" s="373"/>
      <c r="N142" s="373"/>
      <c r="O142" s="373"/>
      <c r="P142" s="373"/>
      <c r="Q142" s="373"/>
      <c r="R142" s="373"/>
      <c r="S142" s="373"/>
      <c r="T142" s="373"/>
      <c r="U142" s="373"/>
      <c r="V142" s="2"/>
    </row>
    <row r="143" spans="1:22" hidden="1" outlineLevel="1">
      <c r="A143" s="118" t="s">
        <v>433</v>
      </c>
      <c r="B143" s="119" t="s">
        <v>434</v>
      </c>
      <c r="C143" s="119" t="s">
        <v>70</v>
      </c>
      <c r="D143" s="119" t="s">
        <v>81</v>
      </c>
      <c r="E143" s="119" t="s">
        <v>486</v>
      </c>
      <c r="F143" s="119" t="s">
        <v>344</v>
      </c>
      <c r="G143" s="120">
        <f>$N$9</f>
        <v>363</v>
      </c>
      <c r="H143" s="121">
        <v>2780</v>
      </c>
      <c r="I143" s="122">
        <v>0</v>
      </c>
      <c r="J143" s="123">
        <f t="shared" ref="J143:J145" si="23">H143*(1+I143)</f>
        <v>2780</v>
      </c>
      <c r="K143" s="117">
        <f>J143*G143</f>
        <v>1009140</v>
      </c>
      <c r="L143" s="182"/>
      <c r="M143" s="88"/>
      <c r="N143" s="88"/>
      <c r="O143" s="88"/>
      <c r="P143" s="88"/>
      <c r="Q143" s="88"/>
      <c r="R143" s="88"/>
      <c r="S143" s="88"/>
      <c r="T143" s="88"/>
      <c r="U143" s="88"/>
      <c r="V143" s="2"/>
    </row>
    <row r="144" spans="1:22" hidden="1" outlineLevel="1">
      <c r="A144" s="118" t="s">
        <v>435</v>
      </c>
      <c r="B144" s="119" t="s">
        <v>434</v>
      </c>
      <c r="C144" s="119" t="s">
        <v>70</v>
      </c>
      <c r="D144" s="119" t="s">
        <v>81</v>
      </c>
      <c r="E144" s="119" t="s">
        <v>76</v>
      </c>
      <c r="F144" s="119" t="s">
        <v>436</v>
      </c>
      <c r="G144" s="120">
        <f>$N$9</f>
        <v>363</v>
      </c>
      <c r="H144" s="121">
        <f>65304/190</f>
        <v>343.70526315789476</v>
      </c>
      <c r="I144" s="122">
        <v>0</v>
      </c>
      <c r="J144" s="121">
        <f t="shared" si="23"/>
        <v>343.70526315789476</v>
      </c>
      <c r="K144" s="138">
        <f>J144*G144</f>
        <v>124765.0105263158</v>
      </c>
      <c r="L144" s="182"/>
      <c r="M144" s="3" t="s">
        <v>437</v>
      </c>
      <c r="V144" s="2"/>
    </row>
    <row r="145" spans="1:22" hidden="1" outlineLevel="1">
      <c r="A145" s="118" t="s">
        <v>438</v>
      </c>
      <c r="B145" s="119" t="s">
        <v>434</v>
      </c>
      <c r="C145" s="119" t="s">
        <v>70</v>
      </c>
      <c r="D145" s="119" t="s">
        <v>81</v>
      </c>
      <c r="E145" s="119" t="s">
        <v>76</v>
      </c>
      <c r="F145" s="119" t="s">
        <v>83</v>
      </c>
      <c r="G145" s="120">
        <v>1</v>
      </c>
      <c r="H145" s="138">
        <v>35000</v>
      </c>
      <c r="I145" s="122">
        <v>0</v>
      </c>
      <c r="J145" s="439">
        <f t="shared" si="23"/>
        <v>35000</v>
      </c>
      <c r="K145" s="117">
        <f>J145*G145</f>
        <v>35000</v>
      </c>
      <c r="L145" s="360"/>
      <c r="M145" s="3" t="s">
        <v>439</v>
      </c>
      <c r="V145" s="2"/>
    </row>
    <row r="146" spans="1:22" collapsed="1">
      <c r="A146" s="347" t="s">
        <v>440</v>
      </c>
      <c r="B146" s="105" t="s">
        <v>441</v>
      </c>
      <c r="C146" s="105"/>
      <c r="D146" s="105"/>
      <c r="E146" s="105"/>
      <c r="F146" s="105"/>
      <c r="G146" s="106"/>
      <c r="H146" s="107"/>
      <c r="I146" s="108"/>
      <c r="J146" s="109"/>
      <c r="K146" s="110"/>
      <c r="L146" s="130">
        <f>SUM(K143:K145)</f>
        <v>1168905.0105263158</v>
      </c>
      <c r="M146" s="373"/>
      <c r="N146" s="373"/>
      <c r="O146" s="373"/>
      <c r="P146" s="373"/>
      <c r="Q146" s="373"/>
      <c r="R146" s="373"/>
      <c r="S146" s="373"/>
      <c r="T146" s="373"/>
      <c r="U146" s="373"/>
      <c r="V146" s="2"/>
    </row>
    <row r="147" spans="1:22" hidden="1" outlineLevel="1">
      <c r="A147" s="111" t="s">
        <v>308</v>
      </c>
      <c r="B147" s="112" t="s">
        <v>442</v>
      </c>
      <c r="C147" s="112" t="s">
        <v>70</v>
      </c>
      <c r="D147" s="112" t="s">
        <v>310</v>
      </c>
      <c r="E147" s="112" t="s">
        <v>87</v>
      </c>
      <c r="F147" s="112">
        <v>0</v>
      </c>
      <c r="G147" s="113">
        <v>0</v>
      </c>
      <c r="H147" s="114">
        <v>0</v>
      </c>
      <c r="I147" s="115">
        <v>0</v>
      </c>
      <c r="J147" s="116">
        <f t="shared" ref="J147:J154" si="24">H147*(1+I147)</f>
        <v>0</v>
      </c>
      <c r="K147" s="117">
        <f t="shared" ref="K147:K154" si="25">J147*G147</f>
        <v>0</v>
      </c>
      <c r="M147" s="88" t="s">
        <v>443</v>
      </c>
      <c r="N147" s="88"/>
      <c r="O147" s="88"/>
      <c r="P147" s="88"/>
      <c r="Q147" s="88"/>
      <c r="R147" s="88"/>
      <c r="S147" s="88"/>
      <c r="T147" s="88"/>
      <c r="U147" s="88"/>
      <c r="V147" s="2"/>
    </row>
    <row r="148" spans="1:22" hidden="1" outlineLevel="1">
      <c r="A148" s="118" t="s">
        <v>213</v>
      </c>
      <c r="B148" s="119" t="s">
        <v>449</v>
      </c>
      <c r="C148" s="119" t="s">
        <v>70</v>
      </c>
      <c r="D148" s="119" t="s">
        <v>81</v>
      </c>
      <c r="E148" s="119" t="s">
        <v>343</v>
      </c>
      <c r="F148" s="119" t="s">
        <v>279</v>
      </c>
      <c r="G148" s="113">
        <f>$N$9</f>
        <v>363</v>
      </c>
      <c r="H148" s="121">
        <v>443</v>
      </c>
      <c r="I148" s="122">
        <v>0</v>
      </c>
      <c r="J148" s="121">
        <f t="shared" si="24"/>
        <v>443</v>
      </c>
      <c r="K148" s="138">
        <f t="shared" si="25"/>
        <v>160809</v>
      </c>
      <c r="M148" s="46" t="s">
        <v>450</v>
      </c>
      <c r="N148" s="46"/>
      <c r="O148" s="46"/>
      <c r="P148" s="46"/>
      <c r="Q148" s="46"/>
      <c r="R148" s="46"/>
      <c r="S148" s="46"/>
      <c r="T148" s="46"/>
      <c r="U148" s="46"/>
      <c r="V148" s="2"/>
    </row>
    <row r="149" spans="1:22" hidden="1" outlineLevel="1">
      <c r="A149" s="118" t="s">
        <v>453</v>
      </c>
      <c r="B149" s="119" t="s">
        <v>454</v>
      </c>
      <c r="C149" s="119" t="s">
        <v>70</v>
      </c>
      <c r="D149" s="119" t="s">
        <v>81</v>
      </c>
      <c r="E149" s="119" t="s">
        <v>343</v>
      </c>
      <c r="F149" s="119" t="s">
        <v>344</v>
      </c>
      <c r="G149" s="113">
        <f>$N$9</f>
        <v>363</v>
      </c>
      <c r="H149" s="121">
        <v>3151</v>
      </c>
      <c r="I149" s="122">
        <v>0</v>
      </c>
      <c r="J149" s="121">
        <f t="shared" si="24"/>
        <v>3151</v>
      </c>
      <c r="K149" s="138">
        <f t="shared" si="25"/>
        <v>1143813</v>
      </c>
      <c r="L149" s="182"/>
      <c r="M149" s="46" t="s">
        <v>1073</v>
      </c>
      <c r="N149" s="46"/>
      <c r="O149" s="46"/>
      <c r="P149" s="46"/>
      <c r="Q149" s="46"/>
      <c r="R149" s="46"/>
      <c r="S149" s="46"/>
      <c r="T149" s="46"/>
      <c r="U149" s="46"/>
      <c r="V149" s="2"/>
    </row>
    <row r="150" spans="1:22" hidden="1" outlineLevel="1">
      <c r="A150" s="118" t="s">
        <v>460</v>
      </c>
      <c r="B150" s="119" t="s">
        <v>461</v>
      </c>
      <c r="C150" s="119" t="s">
        <v>70</v>
      </c>
      <c r="D150" s="119" t="s">
        <v>81</v>
      </c>
      <c r="E150" s="119" t="s">
        <v>76</v>
      </c>
      <c r="F150" s="119" t="s">
        <v>83</v>
      </c>
      <c r="G150" s="120">
        <v>1</v>
      </c>
      <c r="H150" s="121">
        <v>75000</v>
      </c>
      <c r="I150" s="122">
        <v>0</v>
      </c>
      <c r="J150" s="121">
        <f t="shared" si="24"/>
        <v>75000</v>
      </c>
      <c r="K150" s="138">
        <f t="shared" si="25"/>
        <v>75000</v>
      </c>
      <c r="L150" s="182"/>
      <c r="M150" s="46"/>
      <c r="N150" s="46"/>
      <c r="O150" s="46"/>
      <c r="P150" s="46"/>
      <c r="Q150" s="46"/>
      <c r="R150" s="46"/>
      <c r="S150" s="46"/>
      <c r="T150" s="46"/>
      <c r="U150" s="46"/>
      <c r="V150" s="2"/>
    </row>
    <row r="151" spans="1:22" hidden="1" outlineLevel="1">
      <c r="A151" s="118" t="s">
        <v>464</v>
      </c>
      <c r="B151" s="119" t="s">
        <v>465</v>
      </c>
      <c r="C151" s="119" t="s">
        <v>70</v>
      </c>
      <c r="D151" s="119" t="s">
        <v>81</v>
      </c>
      <c r="E151" s="119" t="s">
        <v>343</v>
      </c>
      <c r="F151" s="119" t="s">
        <v>344</v>
      </c>
      <c r="G151" s="113">
        <f>$N$9</f>
        <v>363</v>
      </c>
      <c r="H151" s="121">
        <v>1629</v>
      </c>
      <c r="I151" s="122">
        <v>0</v>
      </c>
      <c r="J151" s="121">
        <f t="shared" si="24"/>
        <v>1629</v>
      </c>
      <c r="K151" s="138">
        <f t="shared" si="25"/>
        <v>591327</v>
      </c>
      <c r="L151" s="182"/>
      <c r="M151" s="46"/>
      <c r="N151" s="46"/>
      <c r="O151" s="46"/>
      <c r="P151" s="46"/>
      <c r="Q151" s="46"/>
      <c r="R151" s="46"/>
      <c r="S151" s="46"/>
      <c r="T151" s="46"/>
      <c r="U151" s="46"/>
      <c r="V151" s="2"/>
    </row>
    <row r="152" spans="1:22" hidden="1" outlineLevel="1">
      <c r="A152" s="118" t="s">
        <v>470</v>
      </c>
      <c r="B152" s="119" t="s">
        <v>471</v>
      </c>
      <c r="C152" s="119" t="s">
        <v>144</v>
      </c>
      <c r="D152" s="119" t="s">
        <v>81</v>
      </c>
      <c r="E152" s="119" t="s">
        <v>76</v>
      </c>
      <c r="F152" s="119" t="s">
        <v>83</v>
      </c>
      <c r="G152" s="120">
        <v>1</v>
      </c>
      <c r="H152" s="121">
        <v>65000</v>
      </c>
      <c r="I152" s="122">
        <v>0</v>
      </c>
      <c r="J152" s="121">
        <f t="shared" si="24"/>
        <v>65000</v>
      </c>
      <c r="K152" s="138">
        <f t="shared" si="25"/>
        <v>65000</v>
      </c>
      <c r="M152" s="46"/>
      <c r="N152" s="46"/>
      <c r="O152" s="46"/>
      <c r="P152" s="46"/>
      <c r="Q152" s="46"/>
      <c r="R152" s="46"/>
      <c r="S152" s="46"/>
      <c r="T152" s="46"/>
      <c r="U152" s="46"/>
      <c r="V152" s="2"/>
    </row>
    <row r="153" spans="1:22" hidden="1" outlineLevel="1">
      <c r="A153" s="118" t="s">
        <v>472</v>
      </c>
      <c r="B153" s="119" t="s">
        <v>473</v>
      </c>
      <c r="C153" s="119" t="s">
        <v>70</v>
      </c>
      <c r="D153" s="119" t="s">
        <v>103</v>
      </c>
      <c r="E153" s="119" t="s">
        <v>87</v>
      </c>
      <c r="F153" s="119"/>
      <c r="G153" s="120"/>
      <c r="H153" s="121"/>
      <c r="I153" s="122">
        <v>0</v>
      </c>
      <c r="J153" s="121">
        <f t="shared" si="24"/>
        <v>0</v>
      </c>
      <c r="K153" s="138">
        <f t="shared" si="25"/>
        <v>0</v>
      </c>
      <c r="M153" s="46"/>
      <c r="N153" s="46"/>
      <c r="O153" s="46"/>
      <c r="P153" s="46"/>
      <c r="Q153" s="46"/>
      <c r="R153" s="46"/>
      <c r="S153" s="46"/>
      <c r="T153" s="46"/>
      <c r="U153" s="46"/>
      <c r="V153" s="2"/>
    </row>
    <row r="154" spans="1:22" hidden="1" outlineLevel="1">
      <c r="A154" s="118" t="s">
        <v>474</v>
      </c>
      <c r="B154" s="119" t="s">
        <v>475</v>
      </c>
      <c r="C154" s="119" t="s">
        <v>70</v>
      </c>
      <c r="D154" s="119" t="s">
        <v>103</v>
      </c>
      <c r="E154" s="119" t="s">
        <v>76</v>
      </c>
      <c r="F154" s="119" t="s">
        <v>83</v>
      </c>
      <c r="G154" s="120">
        <v>4</v>
      </c>
      <c r="H154" s="121">
        <v>6000</v>
      </c>
      <c r="I154" s="122">
        <v>0</v>
      </c>
      <c r="J154" s="123">
        <f t="shared" si="24"/>
        <v>6000</v>
      </c>
      <c r="K154" s="117">
        <f t="shared" si="25"/>
        <v>24000</v>
      </c>
      <c r="L154" s="182"/>
      <c r="M154" s="46"/>
      <c r="N154" s="46"/>
      <c r="O154" s="46"/>
      <c r="P154" s="46"/>
      <c r="Q154" s="46"/>
      <c r="R154" s="46"/>
      <c r="S154" s="46"/>
      <c r="T154" s="46"/>
      <c r="U154" s="46"/>
      <c r="V154" s="2"/>
    </row>
    <row r="155" spans="1:22" collapsed="1">
      <c r="A155" s="347" t="s">
        <v>476</v>
      </c>
      <c r="B155" s="105" t="s">
        <v>477</v>
      </c>
      <c r="C155" s="105"/>
      <c r="D155" s="105"/>
      <c r="E155" s="105"/>
      <c r="F155" s="105"/>
      <c r="G155" s="106"/>
      <c r="H155" s="107"/>
      <c r="I155" s="108"/>
      <c r="J155" s="109"/>
      <c r="K155" s="110"/>
      <c r="L155" s="130">
        <f>SUM(K147:K154)</f>
        <v>2059949</v>
      </c>
      <c r="M155" s="373"/>
      <c r="N155" s="373"/>
      <c r="O155" s="373"/>
      <c r="P155" s="373"/>
      <c r="Q155" s="373"/>
      <c r="R155" s="373"/>
      <c r="S155" s="373"/>
      <c r="T155" s="373"/>
      <c r="U155" s="373"/>
      <c r="V155" s="2"/>
    </row>
    <row r="156" spans="1:22" hidden="1" outlineLevel="1">
      <c r="A156" s="118" t="s">
        <v>479</v>
      </c>
      <c r="B156" s="119" t="s">
        <v>480</v>
      </c>
      <c r="C156" s="119" t="s">
        <v>70</v>
      </c>
      <c r="D156" s="119" t="s">
        <v>103</v>
      </c>
      <c r="E156" s="119" t="s">
        <v>343</v>
      </c>
      <c r="F156" s="119" t="s">
        <v>83</v>
      </c>
      <c r="G156" s="120">
        <f>'Assumptions &amp; Takeoffs'!$B$16</f>
        <v>1</v>
      </c>
      <c r="H156" s="121">
        <v>245000</v>
      </c>
      <c r="I156" s="122">
        <v>0</v>
      </c>
      <c r="J156" s="123">
        <f t="shared" ref="J156:J158" si="26">H156*(1+I156)</f>
        <v>245000</v>
      </c>
      <c r="K156" s="117">
        <f>J156*G156</f>
        <v>245000</v>
      </c>
      <c r="L156" s="360"/>
      <c r="M156" s="88" t="s">
        <v>721</v>
      </c>
      <c r="N156" s="88"/>
      <c r="O156" s="88"/>
      <c r="P156" s="88"/>
      <c r="Q156" s="88"/>
      <c r="R156" s="88"/>
      <c r="S156" s="88"/>
      <c r="T156" s="88"/>
      <c r="U156" s="88"/>
      <c r="V156" s="2"/>
    </row>
    <row r="157" spans="1:22" hidden="1" outlineLevel="1">
      <c r="A157" s="118" t="s">
        <v>482</v>
      </c>
      <c r="B157" s="119" t="s">
        <v>483</v>
      </c>
      <c r="C157" s="119" t="s">
        <v>70</v>
      </c>
      <c r="D157" s="119" t="s">
        <v>397</v>
      </c>
      <c r="E157" s="119" t="s">
        <v>343</v>
      </c>
      <c r="F157" s="119" t="s">
        <v>132</v>
      </c>
      <c r="G157" s="120">
        <f>'Assumptions &amp; Takeoffs'!$B$22</f>
        <v>286</v>
      </c>
      <c r="H157" s="121">
        <v>2292</v>
      </c>
      <c r="I157" s="122">
        <v>0</v>
      </c>
      <c r="J157" s="121">
        <f t="shared" si="26"/>
        <v>2292</v>
      </c>
      <c r="K157" s="381">
        <f>J157*G157</f>
        <v>655512</v>
      </c>
      <c r="M157" s="46" t="s">
        <v>82</v>
      </c>
      <c r="N157" s="46"/>
      <c r="O157" s="46"/>
      <c r="P157" s="46"/>
      <c r="Q157" s="46"/>
      <c r="R157" s="46"/>
      <c r="S157" s="46"/>
      <c r="T157" s="46"/>
      <c r="U157" s="46"/>
      <c r="V157" s="2"/>
    </row>
    <row r="158" spans="1:22" hidden="1" outlineLevel="1">
      <c r="A158" s="118" t="s">
        <v>484</v>
      </c>
      <c r="B158" s="119" t="s">
        <v>485</v>
      </c>
      <c r="C158" s="119" t="s">
        <v>70</v>
      </c>
      <c r="D158" s="119" t="s">
        <v>110</v>
      </c>
      <c r="E158" s="119" t="s">
        <v>486</v>
      </c>
      <c r="F158" s="119" t="s">
        <v>132</v>
      </c>
      <c r="G158" s="120">
        <f>'Assumptions &amp; Takeoffs'!$B$16</f>
        <v>1</v>
      </c>
      <c r="H158" s="121">
        <v>7049</v>
      </c>
      <c r="I158" s="122">
        <v>0</v>
      </c>
      <c r="J158" s="123">
        <f t="shared" si="26"/>
        <v>7049</v>
      </c>
      <c r="K158" s="117">
        <f>J158*G158</f>
        <v>7049</v>
      </c>
      <c r="L158" s="182"/>
      <c r="M158" s="46"/>
      <c r="N158" s="46"/>
      <c r="O158" s="46"/>
      <c r="P158" s="46"/>
      <c r="Q158" s="46"/>
      <c r="R158" s="46"/>
      <c r="S158" s="46"/>
      <c r="T158" s="46"/>
      <c r="U158" s="46"/>
      <c r="V158" s="2"/>
    </row>
    <row r="159" spans="1:22" collapsed="1">
      <c r="A159" s="347" t="s">
        <v>487</v>
      </c>
      <c r="B159" s="105" t="s">
        <v>488</v>
      </c>
      <c r="C159" s="105"/>
      <c r="D159" s="105"/>
      <c r="E159" s="105"/>
      <c r="F159" s="105"/>
      <c r="G159" s="106"/>
      <c r="H159" s="107"/>
      <c r="I159" s="108"/>
      <c r="J159" s="109"/>
      <c r="K159" s="110"/>
      <c r="L159" s="130">
        <f>SUM(K156:K158)</f>
        <v>907561</v>
      </c>
      <c r="M159" s="373"/>
      <c r="N159" s="373"/>
      <c r="O159" s="373"/>
      <c r="P159" s="373"/>
      <c r="Q159" s="373"/>
      <c r="R159" s="373"/>
      <c r="S159" s="373"/>
      <c r="T159" s="373"/>
      <c r="U159" s="373"/>
      <c r="V159" s="2"/>
    </row>
    <row r="160" spans="1:22" hidden="1" outlineLevel="1">
      <c r="A160" s="118" t="s">
        <v>489</v>
      </c>
      <c r="B160" s="119" t="s">
        <v>490</v>
      </c>
      <c r="C160" s="119" t="s">
        <v>70</v>
      </c>
      <c r="D160" s="119" t="s">
        <v>81</v>
      </c>
      <c r="E160" s="119" t="s">
        <v>87</v>
      </c>
      <c r="F160" s="119"/>
      <c r="G160" s="120"/>
      <c r="H160" s="121"/>
      <c r="I160" s="122">
        <v>0</v>
      </c>
      <c r="J160" s="123">
        <f t="shared" ref="J160" si="27">H160*(1+I160)</f>
        <v>0</v>
      </c>
      <c r="K160" s="117">
        <f>J160*G160</f>
        <v>0</v>
      </c>
      <c r="L160" s="360"/>
      <c r="M160" s="88"/>
      <c r="N160" s="88"/>
      <c r="O160" s="88"/>
      <c r="P160" s="88"/>
      <c r="Q160" s="88"/>
      <c r="R160" s="88"/>
      <c r="S160" s="88"/>
      <c r="T160" s="88"/>
      <c r="U160" s="88"/>
      <c r="V160" s="2"/>
    </row>
    <row r="161" spans="1:23" collapsed="1">
      <c r="A161" s="347" t="s">
        <v>489</v>
      </c>
      <c r="B161" s="105" t="s">
        <v>490</v>
      </c>
      <c r="C161" s="105"/>
      <c r="D161" s="105"/>
      <c r="E161" s="368"/>
      <c r="F161" s="368"/>
      <c r="G161" s="369"/>
      <c r="H161" s="370"/>
      <c r="I161" s="371"/>
      <c r="J161" s="370"/>
      <c r="K161" s="372"/>
      <c r="L161" s="130">
        <f>SUM(K160)</f>
        <v>0</v>
      </c>
      <c r="M161" s="373"/>
      <c r="N161" s="373"/>
      <c r="O161" s="373"/>
      <c r="P161" s="373"/>
      <c r="Q161" s="373"/>
      <c r="R161" s="373"/>
      <c r="S161" s="373"/>
      <c r="T161" s="373"/>
      <c r="U161" s="373"/>
      <c r="V161" s="2"/>
    </row>
    <row r="162" spans="1:23" hidden="1" outlineLevel="1">
      <c r="A162" s="111" t="s">
        <v>491</v>
      </c>
      <c r="B162" s="112" t="s">
        <v>492</v>
      </c>
      <c r="C162" s="112" t="s">
        <v>70</v>
      </c>
      <c r="D162" s="112" t="s">
        <v>81</v>
      </c>
      <c r="E162" s="112" t="s">
        <v>486</v>
      </c>
      <c r="F162" s="112" t="s">
        <v>126</v>
      </c>
      <c r="G162" s="113">
        <f>'Assumptions &amp; Takeoffs'!B13</f>
        <v>12</v>
      </c>
      <c r="H162" s="114">
        <v>35546.666666666664</v>
      </c>
      <c r="I162" s="115">
        <v>0</v>
      </c>
      <c r="J162" s="116">
        <f t="shared" ref="J162:J163" si="28">H162*(1+I162)</f>
        <v>35546.666666666664</v>
      </c>
      <c r="K162" s="117">
        <f>J162*G162</f>
        <v>426560</v>
      </c>
      <c r="M162" s="444" t="s">
        <v>1074</v>
      </c>
      <c r="N162" s="88"/>
      <c r="O162" s="88"/>
      <c r="P162" s="88"/>
      <c r="Q162" s="88"/>
      <c r="R162" s="88"/>
      <c r="S162" s="88"/>
      <c r="T162" s="88"/>
      <c r="U162" s="88"/>
      <c r="V162" s="2"/>
    </row>
    <row r="163" spans="1:23" hidden="1" outlineLevel="1">
      <c r="A163" s="118" t="s">
        <v>494</v>
      </c>
      <c r="B163" s="119" t="s">
        <v>495</v>
      </c>
      <c r="C163" s="119" t="s">
        <v>70</v>
      </c>
      <c r="D163" s="119" t="s">
        <v>103</v>
      </c>
      <c r="E163" s="119" t="s">
        <v>76</v>
      </c>
      <c r="F163" s="119" t="s">
        <v>132</v>
      </c>
      <c r="G163" s="120">
        <f>'Assumptions &amp; Takeoffs'!$B$16*2</f>
        <v>2</v>
      </c>
      <c r="H163" s="121">
        <v>6500</v>
      </c>
      <c r="I163" s="122">
        <v>0</v>
      </c>
      <c r="J163" s="123">
        <f t="shared" si="28"/>
        <v>6500</v>
      </c>
      <c r="K163" s="117">
        <f>J163*G163</f>
        <v>13000</v>
      </c>
      <c r="L163" s="360"/>
      <c r="M163" s="46"/>
      <c r="N163" s="46"/>
      <c r="O163" s="46"/>
      <c r="P163" s="46"/>
      <c r="Q163" s="46"/>
      <c r="R163" s="46"/>
      <c r="S163" s="46"/>
      <c r="T163" s="46"/>
      <c r="U163" s="46"/>
      <c r="V163" s="2"/>
    </row>
    <row r="164" spans="1:23" collapsed="1">
      <c r="A164" s="347" t="s">
        <v>496</v>
      </c>
      <c r="B164" s="105" t="s">
        <v>497</v>
      </c>
      <c r="C164" s="105"/>
      <c r="D164" s="105"/>
      <c r="E164" s="105"/>
      <c r="F164" s="105"/>
      <c r="G164" s="106"/>
      <c r="H164" s="107"/>
      <c r="I164" s="108"/>
      <c r="J164" s="109"/>
      <c r="K164" s="110"/>
      <c r="L164" s="130">
        <f>SUM(K162:K163)</f>
        <v>439560</v>
      </c>
      <c r="M164" s="373"/>
      <c r="N164" s="373"/>
      <c r="O164" s="373"/>
      <c r="P164" s="373"/>
      <c r="Q164" s="373"/>
      <c r="R164" s="373"/>
      <c r="S164" s="373"/>
      <c r="T164" s="373"/>
      <c r="U164" s="373"/>
      <c r="V164" s="2"/>
    </row>
    <row r="165" spans="1:23" hidden="1" outlineLevel="1">
      <c r="A165" s="118" t="s">
        <v>498</v>
      </c>
      <c r="B165" s="119" t="s">
        <v>499</v>
      </c>
      <c r="C165" s="119" t="s">
        <v>70</v>
      </c>
      <c r="D165" s="119" t="s">
        <v>81</v>
      </c>
      <c r="E165" s="119" t="s">
        <v>76</v>
      </c>
      <c r="F165" s="119" t="s">
        <v>83</v>
      </c>
      <c r="G165" s="120">
        <v>1</v>
      </c>
      <c r="H165" s="121">
        <v>25000</v>
      </c>
      <c r="I165" s="122">
        <v>0</v>
      </c>
      <c r="J165" s="123">
        <f t="shared" ref="J165:J167" si="29">H165*(1+I165)</f>
        <v>25000</v>
      </c>
      <c r="K165" s="117">
        <f>J165*G165</f>
        <v>25000</v>
      </c>
      <c r="L165" s="360"/>
      <c r="M165" s="88"/>
      <c r="N165" s="88"/>
      <c r="O165" s="88"/>
      <c r="P165" s="88"/>
      <c r="Q165" s="88"/>
      <c r="R165" s="88"/>
      <c r="S165" s="88"/>
      <c r="T165" s="88"/>
      <c r="U165" s="88"/>
      <c r="V165" s="2"/>
    </row>
    <row r="166" spans="1:23" hidden="1" outlineLevel="1">
      <c r="A166" s="118" t="s">
        <v>500</v>
      </c>
      <c r="B166" s="119" t="s">
        <v>501</v>
      </c>
      <c r="C166" s="119" t="s">
        <v>70</v>
      </c>
      <c r="D166" s="119" t="s">
        <v>81</v>
      </c>
      <c r="E166" s="119" t="s">
        <v>184</v>
      </c>
      <c r="F166" s="119" t="s">
        <v>185</v>
      </c>
      <c r="G166" s="120">
        <f t="shared" ref="G166:G178" si="30">$B$8</f>
        <v>362571</v>
      </c>
      <c r="H166" s="121">
        <v>2.65</v>
      </c>
      <c r="I166" s="122">
        <v>0</v>
      </c>
      <c r="J166" s="121">
        <f t="shared" si="29"/>
        <v>2.65</v>
      </c>
      <c r="K166" s="381">
        <f>J166*G166</f>
        <v>960813.15</v>
      </c>
      <c r="M166" s="46" t="s">
        <v>899</v>
      </c>
      <c r="N166" s="46"/>
      <c r="O166" s="46"/>
      <c r="P166" s="46"/>
      <c r="Q166" s="46"/>
      <c r="R166" s="46"/>
      <c r="S166" s="46"/>
      <c r="T166" s="46"/>
      <c r="U166" s="46"/>
      <c r="V166" s="2"/>
    </row>
    <row r="167" spans="1:23" hidden="1" outlineLevel="1">
      <c r="A167" s="118" t="s">
        <v>503</v>
      </c>
      <c r="B167" s="119" t="s">
        <v>504</v>
      </c>
      <c r="C167" s="119" t="s">
        <v>70</v>
      </c>
      <c r="D167" s="119" t="s">
        <v>93</v>
      </c>
      <c r="E167" s="119" t="s">
        <v>184</v>
      </c>
      <c r="F167" s="119" t="s">
        <v>132</v>
      </c>
      <c r="G167" s="120">
        <v>1</v>
      </c>
      <c r="H167" s="121">
        <v>125000</v>
      </c>
      <c r="I167" s="122">
        <v>0</v>
      </c>
      <c r="J167" s="123">
        <f t="shared" si="29"/>
        <v>125000</v>
      </c>
      <c r="K167" s="380">
        <f>J167*G167</f>
        <v>125000</v>
      </c>
      <c r="L167" s="360"/>
      <c r="M167" s="46" t="s">
        <v>505</v>
      </c>
      <c r="N167" s="46"/>
      <c r="O167" s="46"/>
      <c r="P167" s="46"/>
      <c r="Q167" s="46"/>
      <c r="R167" s="46"/>
      <c r="S167" s="46"/>
      <c r="T167" s="46"/>
      <c r="U167" s="46"/>
      <c r="V167" s="2"/>
      <c r="W167" s="3">
        <f>0.2/2.45</f>
        <v>8.1632653061224483E-2</v>
      </c>
    </row>
    <row r="168" spans="1:23" collapsed="1">
      <c r="A168" s="347" t="s">
        <v>506</v>
      </c>
      <c r="B168" s="105" t="s">
        <v>507</v>
      </c>
      <c r="C168" s="105"/>
      <c r="D168" s="105"/>
      <c r="E168" s="105"/>
      <c r="F168" s="105"/>
      <c r="G168" s="106"/>
      <c r="H168" s="107"/>
      <c r="I168" s="108"/>
      <c r="J168" s="109"/>
      <c r="K168" s="110"/>
      <c r="L168" s="130">
        <f>SUM(K165:K167)</f>
        <v>1110813.1499999999</v>
      </c>
      <c r="M168" s="373"/>
      <c r="N168" s="373"/>
      <c r="O168" s="373"/>
      <c r="P168" s="373"/>
      <c r="Q168" s="373"/>
      <c r="R168" s="373"/>
      <c r="S168" s="373"/>
      <c r="T168" s="373"/>
      <c r="U168" s="373"/>
      <c r="V168" s="2"/>
    </row>
    <row r="169" spans="1:23" hidden="1" outlineLevel="1">
      <c r="A169" s="118" t="s">
        <v>508</v>
      </c>
      <c r="B169" s="119" t="s">
        <v>509</v>
      </c>
      <c r="C169" s="119" t="s">
        <v>70</v>
      </c>
      <c r="D169" s="119" t="s">
        <v>81</v>
      </c>
      <c r="E169" s="119" t="s">
        <v>184</v>
      </c>
      <c r="F169" s="119" t="s">
        <v>132</v>
      </c>
      <c r="G169" s="120">
        <f>N4+N5+N6</f>
        <v>363</v>
      </c>
      <c r="H169" s="121">
        <v>10069</v>
      </c>
      <c r="I169" s="122">
        <v>0</v>
      </c>
      <c r="J169" s="123">
        <f t="shared" ref="J169:J173" si="31">H169*(1+I169)</f>
        <v>10069</v>
      </c>
      <c r="K169" s="117">
        <f>J169*G169</f>
        <v>3655047</v>
      </c>
      <c r="L169" s="360"/>
      <c r="M169" s="88" t="s">
        <v>900</v>
      </c>
      <c r="N169" s="88"/>
      <c r="O169" s="88"/>
      <c r="P169" s="88"/>
      <c r="Q169" s="88"/>
      <c r="R169" s="88"/>
      <c r="S169" s="88"/>
      <c r="T169" s="88"/>
      <c r="U169" s="88"/>
      <c r="V169" s="2"/>
    </row>
    <row r="170" spans="1:23" hidden="1" outlineLevel="1">
      <c r="A170" s="118" t="s">
        <v>513</v>
      </c>
      <c r="B170" s="119" t="s">
        <v>509</v>
      </c>
      <c r="C170" s="119" t="s">
        <v>70</v>
      </c>
      <c r="D170" s="119" t="s">
        <v>81</v>
      </c>
      <c r="E170" s="112" t="s">
        <v>87</v>
      </c>
      <c r="F170" s="119">
        <v>0</v>
      </c>
      <c r="G170" s="120">
        <f>SUM(N7:N8)</f>
        <v>0</v>
      </c>
      <c r="H170" s="121">
        <v>0</v>
      </c>
      <c r="I170" s="122">
        <v>0</v>
      </c>
      <c r="J170" s="121">
        <f t="shared" si="31"/>
        <v>0</v>
      </c>
      <c r="K170" s="138">
        <f>J170*G170</f>
        <v>0</v>
      </c>
      <c r="M170" s="46"/>
      <c r="N170" s="46"/>
      <c r="O170" s="46"/>
      <c r="P170" s="46"/>
      <c r="Q170" s="46"/>
      <c r="R170" s="46"/>
      <c r="S170" s="46"/>
      <c r="T170" s="46"/>
      <c r="U170" s="46"/>
      <c r="V170" s="2"/>
    </row>
    <row r="171" spans="1:23" hidden="1" outlineLevel="1">
      <c r="A171" s="118" t="s">
        <v>514</v>
      </c>
      <c r="B171" s="119" t="s">
        <v>515</v>
      </c>
      <c r="C171" s="119" t="s">
        <v>70</v>
      </c>
      <c r="D171" s="119" t="s">
        <v>93</v>
      </c>
      <c r="E171" s="119" t="s">
        <v>76</v>
      </c>
      <c r="F171" s="119" t="s">
        <v>83</v>
      </c>
      <c r="G171" s="120">
        <v>1</v>
      </c>
      <c r="H171" s="121">
        <v>2500</v>
      </c>
      <c r="I171" s="122">
        <v>0</v>
      </c>
      <c r="J171" s="121">
        <f t="shared" si="31"/>
        <v>2500</v>
      </c>
      <c r="K171" s="138">
        <f t="shared" ref="K171" si="32">J171*G171</f>
        <v>2500</v>
      </c>
      <c r="M171" s="46"/>
      <c r="N171" s="46"/>
      <c r="O171" s="46"/>
      <c r="P171" s="46"/>
      <c r="Q171" s="46"/>
      <c r="R171" s="46"/>
      <c r="S171" s="46"/>
      <c r="T171" s="46"/>
      <c r="U171" s="46"/>
      <c r="V171" s="2"/>
    </row>
    <row r="172" spans="1:23" hidden="1" outlineLevel="1">
      <c r="A172" s="118" t="s">
        <v>516</v>
      </c>
      <c r="B172" s="119" t="s">
        <v>517</v>
      </c>
      <c r="C172" s="119" t="s">
        <v>70</v>
      </c>
      <c r="D172" s="119" t="s">
        <v>103</v>
      </c>
      <c r="E172" s="119" t="s">
        <v>76</v>
      </c>
      <c r="F172" s="119" t="s">
        <v>83</v>
      </c>
      <c r="G172" s="120">
        <f>'Assumptions &amp; Takeoffs'!$B$16</f>
        <v>1</v>
      </c>
      <c r="H172" s="121">
        <v>25000</v>
      </c>
      <c r="I172" s="122">
        <v>0</v>
      </c>
      <c r="J172" s="121">
        <f t="shared" si="31"/>
        <v>25000</v>
      </c>
      <c r="K172" s="138">
        <f>J172*G172</f>
        <v>25000</v>
      </c>
      <c r="M172" s="46"/>
      <c r="N172" s="46"/>
      <c r="O172" s="46"/>
      <c r="P172" s="46"/>
      <c r="Q172" s="46"/>
      <c r="R172" s="46"/>
      <c r="S172" s="46"/>
      <c r="T172" s="46"/>
      <c r="U172" s="46"/>
      <c r="V172" s="2"/>
    </row>
    <row r="173" spans="1:23" hidden="1" outlineLevel="1">
      <c r="A173" s="118" t="s">
        <v>518</v>
      </c>
      <c r="B173" s="119" t="s">
        <v>519</v>
      </c>
      <c r="C173" s="119" t="s">
        <v>70</v>
      </c>
      <c r="D173" s="119" t="s">
        <v>110</v>
      </c>
      <c r="E173" s="119" t="s">
        <v>76</v>
      </c>
      <c r="F173" s="119" t="s">
        <v>83</v>
      </c>
      <c r="G173" s="120">
        <f>'Assumptions &amp; Takeoffs'!$B$16</f>
        <v>1</v>
      </c>
      <c r="H173" s="121">
        <v>6000</v>
      </c>
      <c r="I173" s="122">
        <v>0</v>
      </c>
      <c r="J173" s="123">
        <f t="shared" si="31"/>
        <v>6000</v>
      </c>
      <c r="K173" s="117">
        <f>J173*G173</f>
        <v>6000</v>
      </c>
      <c r="L173" s="360"/>
      <c r="M173" s="46"/>
      <c r="N173" s="46"/>
      <c r="O173" s="46"/>
      <c r="P173" s="46"/>
      <c r="Q173" s="46"/>
      <c r="R173" s="46"/>
      <c r="S173" s="46"/>
      <c r="T173" s="46"/>
      <c r="U173" s="46"/>
      <c r="V173" s="2"/>
    </row>
    <row r="174" spans="1:23" collapsed="1">
      <c r="A174" s="347" t="s">
        <v>520</v>
      </c>
      <c r="B174" s="105" t="s">
        <v>521</v>
      </c>
      <c r="C174" s="105"/>
      <c r="D174" s="105"/>
      <c r="E174" s="105"/>
      <c r="F174" s="105"/>
      <c r="G174" s="106"/>
      <c r="H174" s="107"/>
      <c r="I174" s="108"/>
      <c r="J174" s="109"/>
      <c r="K174" s="110"/>
      <c r="L174" s="130">
        <f>SUM(K169:K173)</f>
        <v>3688547</v>
      </c>
      <c r="M174" s="374"/>
      <c r="N174" s="373"/>
      <c r="O174" s="373"/>
      <c r="P174" s="373"/>
      <c r="Q174" s="373"/>
      <c r="R174" s="373"/>
      <c r="S174" s="373"/>
      <c r="T174" s="373"/>
      <c r="U174" s="373"/>
      <c r="V174" s="2"/>
    </row>
    <row r="175" spans="1:23" hidden="1" outlineLevel="1">
      <c r="A175" s="118" t="s">
        <v>522</v>
      </c>
      <c r="B175" s="119" t="s">
        <v>523</v>
      </c>
      <c r="C175" s="119" t="s">
        <v>70</v>
      </c>
      <c r="D175" s="119" t="s">
        <v>81</v>
      </c>
      <c r="E175" s="119" t="s">
        <v>184</v>
      </c>
      <c r="F175" s="119" t="s">
        <v>344</v>
      </c>
      <c r="G175" s="120">
        <f>$N$9</f>
        <v>363</v>
      </c>
      <c r="H175" s="121">
        <f>1910000/194</f>
        <v>9845.3608247422671</v>
      </c>
      <c r="I175" s="122">
        <v>0</v>
      </c>
      <c r="J175" s="123">
        <f t="shared" ref="J175:J176" si="33">H175*(1+I175)</f>
        <v>9845.3608247422671</v>
      </c>
      <c r="K175" s="380">
        <f>J175*G175</f>
        <v>3573865.979381443</v>
      </c>
      <c r="L175" s="360"/>
      <c r="M175" s="88" t="s">
        <v>524</v>
      </c>
      <c r="N175" s="88"/>
      <c r="O175" s="88"/>
      <c r="P175" s="88"/>
      <c r="Q175" s="88"/>
      <c r="R175" s="88"/>
      <c r="S175" s="88"/>
      <c r="T175" s="88"/>
      <c r="U175" s="88"/>
      <c r="V175" s="2"/>
    </row>
    <row r="176" spans="1:23" hidden="1" outlineLevel="1">
      <c r="A176" s="118" t="s">
        <v>525</v>
      </c>
      <c r="B176" s="119" t="s">
        <v>526</v>
      </c>
      <c r="C176" s="119" t="s">
        <v>70</v>
      </c>
      <c r="D176" s="119" t="s">
        <v>93</v>
      </c>
      <c r="E176" s="119" t="s">
        <v>76</v>
      </c>
      <c r="F176" s="119" t="s">
        <v>83</v>
      </c>
      <c r="G176" s="120">
        <v>1</v>
      </c>
      <c r="H176" s="121">
        <v>15000</v>
      </c>
      <c r="I176" s="122">
        <v>0</v>
      </c>
      <c r="J176" s="123">
        <f t="shared" si="33"/>
        <v>15000</v>
      </c>
      <c r="K176" s="117">
        <f>J176*G176</f>
        <v>15000</v>
      </c>
      <c r="L176" s="182"/>
      <c r="M176" s="46"/>
      <c r="N176" s="46"/>
      <c r="O176" s="46"/>
      <c r="P176" s="46"/>
      <c r="Q176" s="46"/>
      <c r="R176" s="46"/>
      <c r="S176" s="46"/>
      <c r="T176" s="46"/>
      <c r="U176" s="46"/>
      <c r="V176" s="2"/>
    </row>
    <row r="177" spans="1:24" collapsed="1">
      <c r="A177" s="347" t="s">
        <v>527</v>
      </c>
      <c r="B177" s="105" t="s">
        <v>528</v>
      </c>
      <c r="C177" s="105"/>
      <c r="D177" s="105"/>
      <c r="E177" s="105"/>
      <c r="F177" s="105"/>
      <c r="G177" s="106"/>
      <c r="H177" s="107"/>
      <c r="I177" s="108"/>
      <c r="J177" s="109"/>
      <c r="K177" s="110"/>
      <c r="L177" s="130">
        <f>SUM(K175:K176)</f>
        <v>3588865.979381443</v>
      </c>
      <c r="M177" s="373"/>
      <c r="N177" s="373"/>
      <c r="O177" s="373"/>
      <c r="P177" s="373"/>
      <c r="Q177" s="373"/>
      <c r="R177" s="373"/>
      <c r="S177" s="373"/>
      <c r="T177" s="373"/>
      <c r="U177" s="373"/>
      <c r="V177" s="2"/>
    </row>
    <row r="178" spans="1:24" outlineLevel="1">
      <c r="A178" s="118" t="s">
        <v>107</v>
      </c>
      <c r="B178" s="119" t="s">
        <v>529</v>
      </c>
      <c r="C178" s="119" t="s">
        <v>70</v>
      </c>
      <c r="D178" s="119" t="s">
        <v>81</v>
      </c>
      <c r="E178" s="119" t="s">
        <v>184</v>
      </c>
      <c r="F178" s="119" t="s">
        <v>185</v>
      </c>
      <c r="G178" s="120">
        <f t="shared" si="30"/>
        <v>362571</v>
      </c>
      <c r="H178" s="121">
        <v>10.071883803982903</v>
      </c>
      <c r="I178" s="122">
        <v>0</v>
      </c>
      <c r="J178" s="123">
        <f t="shared" ref="J178:J193" si="34">H178*(1+I178)</f>
        <v>10.071883803982903</v>
      </c>
      <c r="K178" s="380">
        <f t="shared" ref="K178:K193" si="35">J178*G178</f>
        <v>3651772.982693885</v>
      </c>
      <c r="L178" s="182"/>
      <c r="M178" s="375" t="s">
        <v>901</v>
      </c>
      <c r="N178" s="88"/>
      <c r="O178" s="88"/>
      <c r="P178" s="88"/>
      <c r="Q178" s="88"/>
      <c r="R178" s="88"/>
      <c r="S178" s="88"/>
      <c r="T178" s="88"/>
      <c r="U178" s="88"/>
      <c r="V178" s="2"/>
    </row>
    <row r="179" spans="1:24" outlineLevel="1">
      <c r="A179" s="118" t="s">
        <v>252</v>
      </c>
      <c r="B179" s="119" t="s">
        <v>532</v>
      </c>
      <c r="C179" s="119" t="s">
        <v>70</v>
      </c>
      <c r="D179" s="119" t="s">
        <v>81</v>
      </c>
      <c r="E179" s="119" t="s">
        <v>329</v>
      </c>
      <c r="F179" s="119" t="s">
        <v>344</v>
      </c>
      <c r="G179" s="120">
        <f>$N$9</f>
        <v>363</v>
      </c>
      <c r="H179" s="121">
        <v>600</v>
      </c>
      <c r="I179" s="122">
        <v>0</v>
      </c>
      <c r="J179" s="121">
        <f t="shared" si="34"/>
        <v>600</v>
      </c>
      <c r="K179" s="138">
        <f t="shared" si="35"/>
        <v>217800</v>
      </c>
      <c r="M179" s="46"/>
      <c r="N179" s="46"/>
      <c r="O179" s="46"/>
      <c r="P179" s="46"/>
      <c r="Q179" s="46"/>
      <c r="R179" s="46"/>
      <c r="S179" s="46"/>
      <c r="T179" s="46"/>
      <c r="U179" s="46"/>
      <c r="V179" s="2"/>
    </row>
    <row r="180" spans="1:24" outlineLevel="1">
      <c r="A180" s="118" t="s">
        <v>533</v>
      </c>
      <c r="B180" s="119" t="s">
        <v>534</v>
      </c>
      <c r="C180" s="119" t="s">
        <v>70</v>
      </c>
      <c r="D180" s="119" t="s">
        <v>81</v>
      </c>
      <c r="E180" s="119" t="s">
        <v>1049</v>
      </c>
      <c r="F180" s="119" t="s">
        <v>344</v>
      </c>
      <c r="G180" s="120">
        <f>$N$9</f>
        <v>363</v>
      </c>
      <c r="H180" s="121">
        <v>119</v>
      </c>
      <c r="I180" s="122">
        <v>0</v>
      </c>
      <c r="J180" s="121">
        <f t="shared" si="34"/>
        <v>119</v>
      </c>
      <c r="K180" s="138">
        <f t="shared" si="35"/>
        <v>43197</v>
      </c>
      <c r="M180" s="46"/>
      <c r="N180" s="46"/>
      <c r="O180" s="46"/>
      <c r="P180" s="46"/>
      <c r="Q180" s="46"/>
      <c r="R180" s="46"/>
      <c r="S180" s="46"/>
      <c r="T180" s="46"/>
      <c r="U180" s="46"/>
      <c r="V180" s="2"/>
    </row>
    <row r="181" spans="1:24" outlineLevel="1">
      <c r="A181" s="118" t="s">
        <v>536</v>
      </c>
      <c r="B181" s="119" t="s">
        <v>537</v>
      </c>
      <c r="C181" s="119" t="s">
        <v>70</v>
      </c>
      <c r="D181" s="119" t="s">
        <v>81</v>
      </c>
      <c r="E181" s="119" t="s">
        <v>1049</v>
      </c>
      <c r="F181" s="119" t="s">
        <v>344</v>
      </c>
      <c r="G181" s="120">
        <f>$N$9</f>
        <v>363</v>
      </c>
      <c r="H181" s="121">
        <v>112</v>
      </c>
      <c r="I181" s="122">
        <v>0</v>
      </c>
      <c r="J181" s="121">
        <f t="shared" si="34"/>
        <v>112</v>
      </c>
      <c r="K181" s="138">
        <f t="shared" si="35"/>
        <v>40656</v>
      </c>
      <c r="M181" s="46"/>
      <c r="N181" s="46"/>
      <c r="O181" s="46"/>
      <c r="P181" s="46"/>
      <c r="Q181" s="46"/>
      <c r="R181" s="46"/>
      <c r="S181" s="46"/>
      <c r="T181" s="46"/>
      <c r="U181" s="46"/>
      <c r="V181" s="2"/>
    </row>
    <row r="182" spans="1:24" outlineLevel="1">
      <c r="A182" s="118" t="s">
        <v>539</v>
      </c>
      <c r="B182" s="119" t="s">
        <v>529</v>
      </c>
      <c r="C182" s="119" t="s">
        <v>70</v>
      </c>
      <c r="D182" s="119" t="s">
        <v>397</v>
      </c>
      <c r="E182" s="119" t="s">
        <v>1049</v>
      </c>
      <c r="F182" s="119" t="s">
        <v>540</v>
      </c>
      <c r="G182" s="120">
        <f>S3</f>
        <v>286</v>
      </c>
      <c r="H182" s="121">
        <v>138</v>
      </c>
      <c r="I182" s="122">
        <v>0</v>
      </c>
      <c r="J182" s="121">
        <f t="shared" si="34"/>
        <v>138</v>
      </c>
      <c r="K182" s="138">
        <f t="shared" si="35"/>
        <v>39468</v>
      </c>
      <c r="M182" s="46"/>
      <c r="N182" s="46"/>
      <c r="O182" s="46"/>
      <c r="P182" s="46"/>
      <c r="Q182" s="46"/>
      <c r="R182" s="46"/>
      <c r="S182" s="46"/>
      <c r="T182" s="46"/>
      <c r="U182" s="46"/>
      <c r="V182" s="2"/>
    </row>
    <row r="183" spans="1:24" outlineLevel="1">
      <c r="A183" s="118" t="s">
        <v>541</v>
      </c>
      <c r="B183" s="119" t="s">
        <v>532</v>
      </c>
      <c r="C183" s="119" t="s">
        <v>70</v>
      </c>
      <c r="D183" s="119" t="s">
        <v>397</v>
      </c>
      <c r="E183" s="119" t="s">
        <v>76</v>
      </c>
      <c r="F183" s="119" t="s">
        <v>540</v>
      </c>
      <c r="G183" s="120">
        <f>'Assumptions &amp; Takeoffs'!$B$22</f>
        <v>286</v>
      </c>
      <c r="H183" s="121">
        <v>25</v>
      </c>
      <c r="I183" s="122">
        <v>0</v>
      </c>
      <c r="J183" s="121">
        <f t="shared" si="34"/>
        <v>25</v>
      </c>
      <c r="K183" s="138">
        <f t="shared" si="35"/>
        <v>7150</v>
      </c>
      <c r="M183" s="46"/>
      <c r="N183" s="46"/>
      <c r="O183" s="46"/>
      <c r="P183" s="46"/>
      <c r="Q183" s="46"/>
      <c r="R183" s="46"/>
      <c r="S183" s="46"/>
      <c r="T183" s="46"/>
      <c r="U183" s="46"/>
      <c r="V183" s="2"/>
    </row>
    <row r="184" spans="1:24" outlineLevel="1">
      <c r="A184" s="118" t="s">
        <v>542</v>
      </c>
      <c r="B184" s="119" t="s">
        <v>529</v>
      </c>
      <c r="C184" s="119" t="s">
        <v>70</v>
      </c>
      <c r="D184" s="119" t="s">
        <v>103</v>
      </c>
      <c r="E184" s="119" t="s">
        <v>87</v>
      </c>
      <c r="F184" s="119"/>
      <c r="G184" s="120"/>
      <c r="H184" s="121"/>
      <c r="I184" s="122">
        <v>0</v>
      </c>
      <c r="J184" s="121">
        <f t="shared" si="34"/>
        <v>0</v>
      </c>
      <c r="K184" s="138">
        <f t="shared" si="35"/>
        <v>0</v>
      </c>
      <c r="M184" s="46"/>
      <c r="N184" s="46"/>
      <c r="O184" s="46"/>
      <c r="P184" s="46"/>
      <c r="Q184" s="46"/>
      <c r="R184" s="46"/>
      <c r="S184" s="46"/>
      <c r="T184" s="46"/>
      <c r="U184" s="46"/>
      <c r="V184" s="2"/>
    </row>
    <row r="185" spans="1:24" outlineLevel="1">
      <c r="A185" s="118" t="s">
        <v>543</v>
      </c>
      <c r="B185" s="119" t="s">
        <v>544</v>
      </c>
      <c r="C185" s="119" t="s">
        <v>70</v>
      </c>
      <c r="D185" s="119" t="s">
        <v>103</v>
      </c>
      <c r="E185" s="119" t="s">
        <v>87</v>
      </c>
      <c r="F185" s="119"/>
      <c r="G185" s="120"/>
      <c r="H185" s="121"/>
      <c r="I185" s="122">
        <v>0</v>
      </c>
      <c r="J185" s="121">
        <f t="shared" si="34"/>
        <v>0</v>
      </c>
      <c r="K185" s="138">
        <f t="shared" si="35"/>
        <v>0</v>
      </c>
      <c r="M185" s="46"/>
      <c r="N185" s="46"/>
      <c r="O185" s="46"/>
      <c r="P185" s="46"/>
      <c r="Q185" s="46"/>
      <c r="R185" s="46"/>
      <c r="S185" s="46"/>
      <c r="T185" s="46"/>
      <c r="U185" s="46"/>
      <c r="V185" s="2"/>
    </row>
    <row r="186" spans="1:24" outlineLevel="1">
      <c r="A186" s="118" t="s">
        <v>545</v>
      </c>
      <c r="B186" s="119" t="s">
        <v>546</v>
      </c>
      <c r="C186" s="119" t="s">
        <v>70</v>
      </c>
      <c r="D186" s="119" t="s">
        <v>405</v>
      </c>
      <c r="E186" s="119" t="s">
        <v>131</v>
      </c>
      <c r="F186" s="119" t="s">
        <v>132</v>
      </c>
      <c r="G186" s="120">
        <v>4</v>
      </c>
      <c r="H186" s="121">
        <v>25000</v>
      </c>
      <c r="I186" s="122">
        <v>0</v>
      </c>
      <c r="J186" s="121">
        <f t="shared" si="34"/>
        <v>25000</v>
      </c>
      <c r="K186" s="138">
        <f t="shared" si="35"/>
        <v>100000</v>
      </c>
      <c r="M186" s="46"/>
      <c r="N186" s="46"/>
      <c r="O186" s="46"/>
      <c r="P186" s="46"/>
      <c r="Q186" s="46"/>
      <c r="R186" s="46"/>
      <c r="S186" s="46"/>
      <c r="T186" s="46"/>
      <c r="U186" s="46"/>
      <c r="V186" s="2"/>
      <c r="X186" s="386"/>
    </row>
    <row r="187" spans="1:24" outlineLevel="1">
      <c r="A187" s="118" t="s">
        <v>548</v>
      </c>
      <c r="B187" s="119" t="s">
        <v>549</v>
      </c>
      <c r="C187" s="119" t="s">
        <v>70</v>
      </c>
      <c r="D187" s="119" t="s">
        <v>75</v>
      </c>
      <c r="E187" s="119" t="s">
        <v>76</v>
      </c>
      <c r="F187" s="119" t="s">
        <v>552</v>
      </c>
      <c r="G187" s="151">
        <f>$B$9</f>
        <v>17.350000000000001</v>
      </c>
      <c r="H187" s="121">
        <v>1200</v>
      </c>
      <c r="I187" s="122">
        <v>0</v>
      </c>
      <c r="J187" s="121">
        <f t="shared" si="34"/>
        <v>1200</v>
      </c>
      <c r="K187" s="138">
        <f t="shared" si="35"/>
        <v>20820</v>
      </c>
      <c r="M187" s="150"/>
      <c r="N187" s="46"/>
      <c r="O187" s="46"/>
      <c r="P187" s="46"/>
      <c r="Q187" s="46"/>
      <c r="R187" s="46"/>
      <c r="S187" s="46"/>
      <c r="T187" s="46"/>
      <c r="U187" s="46"/>
      <c r="V187" s="2"/>
    </row>
    <row r="188" spans="1:24" outlineLevel="1">
      <c r="A188" s="118" t="s">
        <v>550</v>
      </c>
      <c r="B188" s="119" t="s">
        <v>551</v>
      </c>
      <c r="C188" s="119" t="s">
        <v>70</v>
      </c>
      <c r="D188" s="119" t="s">
        <v>75</v>
      </c>
      <c r="E188" s="119" t="s">
        <v>76</v>
      </c>
      <c r="F188" s="119" t="s">
        <v>552</v>
      </c>
      <c r="G188" s="151">
        <f>$B$9</f>
        <v>17.350000000000001</v>
      </c>
      <c r="H188" s="121">
        <v>1200</v>
      </c>
      <c r="I188" s="122">
        <v>0</v>
      </c>
      <c r="J188" s="121">
        <f t="shared" si="34"/>
        <v>1200</v>
      </c>
      <c r="K188" s="138">
        <f t="shared" si="35"/>
        <v>20820</v>
      </c>
      <c r="M188" s="46"/>
      <c r="N188" s="46"/>
      <c r="O188" s="46"/>
      <c r="P188" s="46"/>
      <c r="Q188" s="46"/>
      <c r="R188" s="46"/>
      <c r="S188" s="46"/>
      <c r="T188" s="46"/>
      <c r="U188" s="46"/>
      <c r="V188" s="2"/>
    </row>
    <row r="189" spans="1:24" outlineLevel="1">
      <c r="A189" s="118" t="s">
        <v>553</v>
      </c>
      <c r="B189" s="119" t="s">
        <v>554</v>
      </c>
      <c r="C189" s="119" t="s">
        <v>70</v>
      </c>
      <c r="D189" s="119" t="s">
        <v>103</v>
      </c>
      <c r="E189" s="119" t="s">
        <v>76</v>
      </c>
      <c r="F189" s="119" t="s">
        <v>83</v>
      </c>
      <c r="G189" s="120">
        <f>'Assumptions &amp; Takeoffs'!$B$16</f>
        <v>1</v>
      </c>
      <c r="H189" s="121">
        <v>20000</v>
      </c>
      <c r="I189" s="122">
        <v>0</v>
      </c>
      <c r="J189" s="121">
        <f t="shared" si="34"/>
        <v>20000</v>
      </c>
      <c r="K189" s="138">
        <f t="shared" si="35"/>
        <v>20000</v>
      </c>
      <c r="M189" s="150"/>
      <c r="N189" s="46"/>
      <c r="O189" s="46"/>
      <c r="P189" s="46"/>
      <c r="Q189" s="46"/>
      <c r="R189" s="46"/>
      <c r="S189" s="46"/>
      <c r="T189" s="46"/>
      <c r="U189" s="46"/>
      <c r="V189" s="2"/>
    </row>
    <row r="190" spans="1:24" outlineLevel="1">
      <c r="A190" s="118" t="s">
        <v>555</v>
      </c>
      <c r="B190" s="119" t="s">
        <v>556</v>
      </c>
      <c r="C190" s="119" t="s">
        <v>70</v>
      </c>
      <c r="D190" s="119" t="s">
        <v>103</v>
      </c>
      <c r="E190" s="119" t="s">
        <v>76</v>
      </c>
      <c r="F190" s="119" t="s">
        <v>83</v>
      </c>
      <c r="G190" s="120">
        <f>'Assumptions &amp; Takeoffs'!$B$16</f>
        <v>1</v>
      </c>
      <c r="H190" s="121">
        <v>12500</v>
      </c>
      <c r="I190" s="122">
        <v>0</v>
      </c>
      <c r="J190" s="121">
        <f t="shared" si="34"/>
        <v>12500</v>
      </c>
      <c r="K190" s="138">
        <f t="shared" si="35"/>
        <v>12500</v>
      </c>
      <c r="M190" s="46"/>
      <c r="N190" s="46"/>
      <c r="O190" s="46"/>
      <c r="P190" s="46"/>
      <c r="Q190" s="46"/>
      <c r="R190" s="46"/>
      <c r="S190" s="46"/>
      <c r="T190" s="46"/>
      <c r="U190" s="46"/>
      <c r="V190" s="2"/>
    </row>
    <row r="191" spans="1:24" outlineLevel="1">
      <c r="A191" s="118" t="s">
        <v>557</v>
      </c>
      <c r="B191" s="119" t="s">
        <v>558</v>
      </c>
      <c r="C191" s="119" t="s">
        <v>70</v>
      </c>
      <c r="D191" s="119" t="s">
        <v>110</v>
      </c>
      <c r="E191" s="119" t="s">
        <v>76</v>
      </c>
      <c r="F191" s="119" t="s">
        <v>83</v>
      </c>
      <c r="G191" s="120">
        <f>'Assumptions &amp; Takeoffs'!$B$16</f>
        <v>1</v>
      </c>
      <c r="H191" s="121">
        <v>2500</v>
      </c>
      <c r="I191" s="122">
        <v>0</v>
      </c>
      <c r="J191" s="121">
        <f t="shared" si="34"/>
        <v>2500</v>
      </c>
      <c r="K191" s="138">
        <f t="shared" si="35"/>
        <v>2500</v>
      </c>
      <c r="M191" s="46"/>
      <c r="N191" s="46"/>
      <c r="O191" s="46"/>
      <c r="P191" s="46"/>
      <c r="Q191" s="46"/>
      <c r="R191" s="46"/>
      <c r="S191" s="46"/>
      <c r="T191" s="46"/>
      <c r="U191" s="46"/>
      <c r="V191" s="2"/>
    </row>
    <row r="192" spans="1:24" outlineLevel="1">
      <c r="A192" s="118" t="s">
        <v>559</v>
      </c>
      <c r="B192" s="119" t="s">
        <v>529</v>
      </c>
      <c r="C192" s="119" t="s">
        <v>70</v>
      </c>
      <c r="D192" s="119" t="s">
        <v>93</v>
      </c>
      <c r="E192" s="119" t="s">
        <v>76</v>
      </c>
      <c r="F192" s="119" t="s">
        <v>83</v>
      </c>
      <c r="G192" s="120">
        <v>1</v>
      </c>
      <c r="H192" s="121">
        <v>17500</v>
      </c>
      <c r="I192" s="122">
        <v>0</v>
      </c>
      <c r="J192" s="121">
        <f t="shared" si="34"/>
        <v>17500</v>
      </c>
      <c r="K192" s="138">
        <f t="shared" si="35"/>
        <v>17500</v>
      </c>
      <c r="M192" s="150"/>
      <c r="N192" s="46"/>
      <c r="O192" s="46"/>
      <c r="P192" s="46"/>
      <c r="Q192" s="46"/>
      <c r="R192" s="46"/>
      <c r="S192" s="46"/>
      <c r="T192" s="46"/>
      <c r="U192" s="46"/>
      <c r="V192" s="2"/>
    </row>
    <row r="193" spans="1:22" outlineLevel="1">
      <c r="A193" s="118" t="s">
        <v>560</v>
      </c>
      <c r="B193" s="119" t="s">
        <v>532</v>
      </c>
      <c r="C193" s="119" t="s">
        <v>70</v>
      </c>
      <c r="D193" s="119" t="s">
        <v>93</v>
      </c>
      <c r="E193" s="119" t="s">
        <v>76</v>
      </c>
      <c r="F193" s="119" t="s">
        <v>83</v>
      </c>
      <c r="G193" s="120">
        <v>1</v>
      </c>
      <c r="H193" s="121">
        <v>750</v>
      </c>
      <c r="I193" s="122">
        <v>0</v>
      </c>
      <c r="J193" s="123">
        <f t="shared" si="34"/>
        <v>750</v>
      </c>
      <c r="K193" s="117">
        <f t="shared" si="35"/>
        <v>750</v>
      </c>
      <c r="L193" s="360"/>
      <c r="M193" s="46"/>
      <c r="N193" s="46"/>
      <c r="O193" s="46"/>
      <c r="P193" s="46"/>
      <c r="Q193" s="46"/>
      <c r="R193" s="46"/>
      <c r="S193" s="46"/>
      <c r="T193" s="46"/>
      <c r="U193" s="46"/>
      <c r="V193" s="2"/>
    </row>
    <row r="194" spans="1:22">
      <c r="A194" s="347" t="s">
        <v>561</v>
      </c>
      <c r="B194" s="105" t="s">
        <v>562</v>
      </c>
      <c r="C194" s="105"/>
      <c r="D194" s="105"/>
      <c r="E194" s="105"/>
      <c r="F194" s="105"/>
      <c r="G194" s="106"/>
      <c r="H194" s="107"/>
      <c r="I194" s="108"/>
      <c r="J194" s="109"/>
      <c r="K194" s="110"/>
      <c r="L194" s="130">
        <f>SUM(K178:K193)</f>
        <v>4194933.9826938845</v>
      </c>
      <c r="M194" s="373"/>
      <c r="N194" s="373"/>
      <c r="O194" s="373"/>
      <c r="P194" s="373"/>
      <c r="Q194" s="373"/>
      <c r="R194" s="373"/>
      <c r="S194" s="373"/>
      <c r="T194" s="373"/>
      <c r="U194" s="373"/>
      <c r="V194" s="2"/>
    </row>
    <row r="195" spans="1:22" hidden="1" outlineLevel="1">
      <c r="A195" s="118" t="s">
        <v>563</v>
      </c>
      <c r="B195" s="119" t="s">
        <v>564</v>
      </c>
      <c r="C195" s="119" t="s">
        <v>144</v>
      </c>
      <c r="D195" s="119" t="s">
        <v>81</v>
      </c>
      <c r="E195" s="119" t="s">
        <v>76</v>
      </c>
      <c r="F195" s="119" t="s">
        <v>83</v>
      </c>
      <c r="G195" s="120">
        <f>$B$11</f>
        <v>3</v>
      </c>
      <c r="H195" s="121">
        <v>1000</v>
      </c>
      <c r="I195" s="122">
        <v>0</v>
      </c>
      <c r="J195" s="123">
        <f t="shared" ref="J195:J197" si="36">H195*(1+I195)</f>
        <v>1000</v>
      </c>
      <c r="K195" s="117">
        <f>J195*G195</f>
        <v>3000</v>
      </c>
      <c r="L195" s="360"/>
      <c r="M195" s="88" t="s">
        <v>565</v>
      </c>
      <c r="N195" s="88"/>
      <c r="O195" s="88"/>
      <c r="P195" s="88"/>
      <c r="Q195" s="88"/>
      <c r="R195" s="88"/>
      <c r="S195" s="88"/>
      <c r="T195" s="88"/>
      <c r="U195" s="88"/>
      <c r="V195" s="2"/>
    </row>
    <row r="196" spans="1:22" hidden="1" outlineLevel="1">
      <c r="A196" s="118" t="s">
        <v>566</v>
      </c>
      <c r="B196" s="119" t="s">
        <v>567</v>
      </c>
      <c r="C196" s="119" t="s">
        <v>70</v>
      </c>
      <c r="D196" s="119" t="s">
        <v>81</v>
      </c>
      <c r="E196" s="119" t="s">
        <v>343</v>
      </c>
      <c r="F196" s="119" t="s">
        <v>185</v>
      </c>
      <c r="G196" s="120">
        <f>$B$8</f>
        <v>362571</v>
      </c>
      <c r="H196" s="121">
        <v>0.45</v>
      </c>
      <c r="I196" s="122">
        <v>0</v>
      </c>
      <c r="J196" s="121">
        <f t="shared" si="36"/>
        <v>0.45</v>
      </c>
      <c r="K196" s="381">
        <f>J196*G196</f>
        <v>163156.95000000001</v>
      </c>
      <c r="M196" s="46"/>
      <c r="N196" s="46"/>
      <c r="O196" s="46"/>
      <c r="P196" s="46"/>
      <c r="Q196" s="46"/>
      <c r="R196" s="46"/>
      <c r="S196" s="46"/>
      <c r="T196" s="46"/>
      <c r="U196" s="46"/>
      <c r="V196" s="2"/>
    </row>
    <row r="197" spans="1:22" hidden="1" outlineLevel="1">
      <c r="A197" s="118" t="s">
        <v>568</v>
      </c>
      <c r="B197" s="119" t="s">
        <v>569</v>
      </c>
      <c r="C197" s="119" t="s">
        <v>70</v>
      </c>
      <c r="D197" s="119" t="s">
        <v>103</v>
      </c>
      <c r="E197" s="119" t="s">
        <v>76</v>
      </c>
      <c r="F197" s="119" t="s">
        <v>83</v>
      </c>
      <c r="G197" s="120">
        <f>'Assumptions &amp; Takeoffs'!$B$16</f>
        <v>1</v>
      </c>
      <c r="H197" s="121">
        <v>800</v>
      </c>
      <c r="I197" s="122">
        <v>0</v>
      </c>
      <c r="J197" s="123">
        <f t="shared" si="36"/>
        <v>800</v>
      </c>
      <c r="K197" s="117">
        <f>J197*G197</f>
        <v>800</v>
      </c>
      <c r="L197" s="360"/>
      <c r="M197" s="46" t="s">
        <v>570</v>
      </c>
      <c r="N197" s="46"/>
      <c r="O197" s="46"/>
      <c r="P197" s="46"/>
      <c r="Q197" s="46"/>
      <c r="R197" s="46"/>
      <c r="S197" s="46"/>
      <c r="T197" s="46"/>
      <c r="U197" s="46"/>
      <c r="V197" s="2"/>
    </row>
    <row r="198" spans="1:22" collapsed="1">
      <c r="A198" s="347" t="s">
        <v>571</v>
      </c>
      <c r="B198" s="105" t="s">
        <v>572</v>
      </c>
      <c r="C198" s="105"/>
      <c r="D198" s="105"/>
      <c r="E198" s="105"/>
      <c r="F198" s="105"/>
      <c r="G198" s="106"/>
      <c r="H198" s="107"/>
      <c r="I198" s="108"/>
      <c r="J198" s="109"/>
      <c r="K198" s="110"/>
      <c r="L198" s="130">
        <f>SUM(K195:K197)</f>
        <v>166956.95000000001</v>
      </c>
      <c r="M198" s="373"/>
      <c r="N198" s="373"/>
      <c r="O198" s="373"/>
      <c r="P198" s="373"/>
      <c r="Q198" s="373"/>
      <c r="R198" s="373"/>
      <c r="S198" s="373"/>
      <c r="T198" s="373"/>
      <c r="U198" s="373"/>
      <c r="V198" s="2"/>
    </row>
    <row r="199" spans="1:22" hidden="1" outlineLevel="1">
      <c r="A199" s="118" t="s">
        <v>573</v>
      </c>
      <c r="B199" s="119" t="s">
        <v>574</v>
      </c>
      <c r="C199" s="119" t="s">
        <v>70</v>
      </c>
      <c r="D199" s="119" t="s">
        <v>81</v>
      </c>
      <c r="E199" s="119" t="s">
        <v>343</v>
      </c>
      <c r="F199" s="119" t="s">
        <v>344</v>
      </c>
      <c r="G199" s="120">
        <f>$N$9</f>
        <v>363</v>
      </c>
      <c r="H199" s="121">
        <v>448</v>
      </c>
      <c r="I199" s="122">
        <v>0</v>
      </c>
      <c r="J199" s="123">
        <f t="shared" ref="J199:J202" si="37">H199*(1+I199)</f>
        <v>448</v>
      </c>
      <c r="K199" s="380">
        <f>J199*G199</f>
        <v>162624</v>
      </c>
      <c r="L199" s="360"/>
      <c r="M199" s="88" t="s">
        <v>1075</v>
      </c>
      <c r="N199" s="88"/>
      <c r="O199" s="88"/>
      <c r="P199" s="88"/>
      <c r="Q199" s="88"/>
      <c r="R199" s="88"/>
      <c r="S199" s="88"/>
      <c r="T199" s="88"/>
      <c r="U199" s="88"/>
      <c r="V199" s="2"/>
    </row>
    <row r="200" spans="1:22" hidden="1" outlineLevel="1">
      <c r="A200" s="118" t="s">
        <v>575</v>
      </c>
      <c r="B200" s="119" t="s">
        <v>576</v>
      </c>
      <c r="C200" s="119" t="s">
        <v>70</v>
      </c>
      <c r="D200" s="119" t="s">
        <v>75</v>
      </c>
      <c r="E200" s="119" t="s">
        <v>329</v>
      </c>
      <c r="F200" s="119" t="s">
        <v>71</v>
      </c>
      <c r="G200" s="120">
        <f>$B$6</f>
        <v>30</v>
      </c>
      <c r="H200" s="121">
        <v>5642.8571428571431</v>
      </c>
      <c r="I200" s="122">
        <v>0</v>
      </c>
      <c r="J200" s="121">
        <f t="shared" si="37"/>
        <v>5642.8571428571431</v>
      </c>
      <c r="K200" s="381">
        <f>J200*G200</f>
        <v>169285.71428571429</v>
      </c>
      <c r="M200" s="46" t="s">
        <v>577</v>
      </c>
      <c r="N200" s="46"/>
      <c r="O200" s="46"/>
      <c r="P200" s="46"/>
      <c r="Q200" s="46"/>
      <c r="R200" s="46"/>
      <c r="S200" s="46"/>
      <c r="T200" s="46"/>
      <c r="U200" s="46"/>
      <c r="V200" s="2"/>
    </row>
    <row r="201" spans="1:22" hidden="1" outlineLevel="1">
      <c r="A201" s="118" t="s">
        <v>578</v>
      </c>
      <c r="B201" s="119" t="s">
        <v>579</v>
      </c>
      <c r="C201" s="119" t="s">
        <v>70</v>
      </c>
      <c r="D201" s="119" t="s">
        <v>81</v>
      </c>
      <c r="E201" s="119" t="s">
        <v>184</v>
      </c>
      <c r="F201" s="119" t="s">
        <v>185</v>
      </c>
      <c r="G201" s="120">
        <v>361641</v>
      </c>
      <c r="H201" s="121">
        <f>262000/196289</f>
        <v>1.3347665941545375</v>
      </c>
      <c r="I201" s="122">
        <v>0.05</v>
      </c>
      <c r="J201" s="121">
        <f t="shared" si="37"/>
        <v>1.4015049238622643</v>
      </c>
      <c r="K201" s="381">
        <f>J201*G201</f>
        <v>506841.64217047312</v>
      </c>
      <c r="M201" s="46" t="s">
        <v>1076</v>
      </c>
      <c r="N201" s="46"/>
      <c r="O201" s="46"/>
      <c r="P201" s="46"/>
      <c r="Q201" s="46"/>
      <c r="R201" s="46"/>
      <c r="S201" s="46"/>
      <c r="T201" s="46"/>
      <c r="U201" s="46"/>
      <c r="V201" s="2"/>
    </row>
    <row r="202" spans="1:22" hidden="1" outlineLevel="1">
      <c r="A202" s="118" t="s">
        <v>580</v>
      </c>
      <c r="B202" s="119" t="s">
        <v>581</v>
      </c>
      <c r="C202" s="119" t="s">
        <v>70</v>
      </c>
      <c r="D202" s="119" t="s">
        <v>93</v>
      </c>
      <c r="E202" s="119" t="s">
        <v>76</v>
      </c>
      <c r="F202" s="119" t="s">
        <v>83</v>
      </c>
      <c r="G202" s="120">
        <v>1</v>
      </c>
      <c r="H202" s="121">
        <v>10000</v>
      </c>
      <c r="I202" s="122">
        <v>0</v>
      </c>
      <c r="J202" s="121">
        <f t="shared" si="37"/>
        <v>10000</v>
      </c>
      <c r="K202" s="117">
        <f>J202*G202</f>
        <v>10000</v>
      </c>
      <c r="M202" s="46"/>
      <c r="N202" s="46"/>
      <c r="O202" s="46"/>
      <c r="P202" s="46"/>
      <c r="Q202" s="46"/>
      <c r="R202" s="46"/>
      <c r="S202" s="46"/>
      <c r="T202" s="46"/>
      <c r="U202" s="46"/>
      <c r="V202" s="2"/>
    </row>
    <row r="203" spans="1:22" collapsed="1">
      <c r="A203" s="347" t="s">
        <v>582</v>
      </c>
      <c r="B203" s="105" t="s">
        <v>583</v>
      </c>
      <c r="C203" s="105"/>
      <c r="D203" s="105"/>
      <c r="E203" s="105"/>
      <c r="F203" s="105"/>
      <c r="G203" s="106"/>
      <c r="H203" s="107"/>
      <c r="I203" s="108"/>
      <c r="J203" s="109"/>
      <c r="K203" s="110"/>
      <c r="L203" s="130">
        <f>SUM(K199:K202)</f>
        <v>848751.35645618744</v>
      </c>
      <c r="M203" s="373"/>
      <c r="N203" s="373"/>
      <c r="O203" s="373"/>
      <c r="P203" s="373"/>
      <c r="Q203" s="373"/>
      <c r="R203" s="373"/>
      <c r="S203" s="373"/>
      <c r="T203" s="373"/>
      <c r="U203" s="373"/>
      <c r="V203" s="2"/>
    </row>
    <row r="204" spans="1:22" hidden="1" outlineLevel="1">
      <c r="A204" s="118" t="s">
        <v>584</v>
      </c>
      <c r="B204" s="119" t="s">
        <v>585</v>
      </c>
      <c r="C204" s="119" t="s">
        <v>70</v>
      </c>
      <c r="D204" s="119" t="s">
        <v>75</v>
      </c>
      <c r="E204" s="119" t="s">
        <v>76</v>
      </c>
      <c r="F204" s="119" t="s">
        <v>552</v>
      </c>
      <c r="G204" s="120">
        <f>$B$9</f>
        <v>17.350000000000001</v>
      </c>
      <c r="H204" s="121">
        <v>6500</v>
      </c>
      <c r="I204" s="122">
        <v>0</v>
      </c>
      <c r="J204" s="123">
        <f t="shared" ref="J204:J212" si="38">H204*(1+I204)</f>
        <v>6500</v>
      </c>
      <c r="K204" s="117">
        <f>J204*G204</f>
        <v>112775.00000000001</v>
      </c>
      <c r="L204" s="360"/>
      <c r="M204" s="88"/>
      <c r="N204" s="88"/>
      <c r="O204" s="88"/>
      <c r="P204" s="88"/>
      <c r="Q204" s="88"/>
      <c r="R204" s="88"/>
      <c r="S204" s="88"/>
      <c r="T204" s="88"/>
      <c r="U204" s="88"/>
      <c r="V204" s="2"/>
    </row>
    <row r="205" spans="1:22" hidden="1" outlineLevel="1">
      <c r="A205" s="118" t="s">
        <v>586</v>
      </c>
      <c r="B205" s="119" t="s">
        <v>587</v>
      </c>
      <c r="C205" s="119" t="s">
        <v>70</v>
      </c>
      <c r="D205" s="119" t="s">
        <v>75</v>
      </c>
      <c r="E205" s="119" t="s">
        <v>76</v>
      </c>
      <c r="F205" s="119" t="s">
        <v>552</v>
      </c>
      <c r="G205" s="151">
        <f>$B$9</f>
        <v>17.350000000000001</v>
      </c>
      <c r="H205" s="121">
        <v>3500</v>
      </c>
      <c r="I205" s="122">
        <v>0</v>
      </c>
      <c r="J205" s="121">
        <f t="shared" si="38"/>
        <v>3500</v>
      </c>
      <c r="K205" s="138">
        <f t="shared" ref="K205:K212" si="39">J205*G205</f>
        <v>60725.000000000007</v>
      </c>
      <c r="M205" s="46"/>
      <c r="N205" s="46"/>
      <c r="O205" s="46"/>
      <c r="P205" s="46"/>
      <c r="Q205" s="46"/>
      <c r="R205" s="46"/>
      <c r="S205" s="46"/>
      <c r="T205" s="46"/>
      <c r="U205" s="46"/>
      <c r="V205" s="2"/>
    </row>
    <row r="206" spans="1:22" hidden="1" outlineLevel="1">
      <c r="A206" s="118" t="s">
        <v>588</v>
      </c>
      <c r="B206" s="119" t="s">
        <v>589</v>
      </c>
      <c r="C206" s="119" t="s">
        <v>70</v>
      </c>
      <c r="D206" s="119" t="s">
        <v>75</v>
      </c>
      <c r="E206" s="119" t="s">
        <v>131</v>
      </c>
      <c r="F206" s="119" t="s">
        <v>83</v>
      </c>
      <c r="G206" s="120">
        <v>1</v>
      </c>
      <c r="H206" s="121">
        <v>25000</v>
      </c>
      <c r="I206" s="122">
        <v>0</v>
      </c>
      <c r="J206" s="121">
        <f t="shared" si="38"/>
        <v>25000</v>
      </c>
      <c r="K206" s="381">
        <f t="shared" si="39"/>
        <v>25000</v>
      </c>
      <c r="M206" s="46" t="s">
        <v>1077</v>
      </c>
      <c r="N206" s="46"/>
      <c r="O206" s="46"/>
      <c r="P206" s="46"/>
      <c r="Q206" s="46"/>
      <c r="R206" s="46"/>
      <c r="S206" s="46"/>
      <c r="T206" s="46"/>
      <c r="U206" s="46"/>
      <c r="V206" s="2"/>
    </row>
    <row r="207" spans="1:22" hidden="1" outlineLevel="1">
      <c r="A207" s="118" t="s">
        <v>590</v>
      </c>
      <c r="B207" s="119" t="s">
        <v>591</v>
      </c>
      <c r="C207" s="119" t="s">
        <v>70</v>
      </c>
      <c r="D207" s="119" t="s">
        <v>75</v>
      </c>
      <c r="E207" s="119" t="s">
        <v>131</v>
      </c>
      <c r="F207" s="119" t="s">
        <v>83</v>
      </c>
      <c r="G207" s="120">
        <v>1</v>
      </c>
      <c r="H207" s="121">
        <v>50000</v>
      </c>
      <c r="I207" s="122">
        <v>0</v>
      </c>
      <c r="J207" s="121">
        <f t="shared" si="38"/>
        <v>50000</v>
      </c>
      <c r="K207" s="381">
        <f t="shared" si="39"/>
        <v>50000</v>
      </c>
      <c r="M207" s="46" t="s">
        <v>1077</v>
      </c>
      <c r="N207" s="46"/>
      <c r="O207" s="46"/>
      <c r="P207" s="46"/>
      <c r="Q207" s="46"/>
      <c r="R207" s="46"/>
      <c r="S207" s="46"/>
      <c r="T207" s="46"/>
      <c r="U207" s="46"/>
      <c r="V207" s="2"/>
    </row>
    <row r="208" spans="1:22" hidden="1" outlineLevel="1">
      <c r="A208" s="118" t="s">
        <v>592</v>
      </c>
      <c r="B208" s="119" t="s">
        <v>593</v>
      </c>
      <c r="C208" s="119" t="s">
        <v>70</v>
      </c>
      <c r="D208" s="119" t="s">
        <v>75</v>
      </c>
      <c r="E208" s="119" t="s">
        <v>131</v>
      </c>
      <c r="F208" s="119" t="s">
        <v>83</v>
      </c>
      <c r="G208" s="120">
        <v>1</v>
      </c>
      <c r="H208" s="121">
        <v>1067126</v>
      </c>
      <c r="I208" s="122">
        <v>0</v>
      </c>
      <c r="J208" s="121">
        <f t="shared" si="38"/>
        <v>1067126</v>
      </c>
      <c r="K208" s="381">
        <f t="shared" si="39"/>
        <v>1067126</v>
      </c>
      <c r="M208" s="46" t="s">
        <v>1077</v>
      </c>
      <c r="N208" s="46"/>
      <c r="O208" s="46"/>
      <c r="P208" s="46"/>
      <c r="Q208" s="46"/>
      <c r="R208" s="46"/>
      <c r="S208" s="46"/>
      <c r="T208" s="46"/>
      <c r="U208" s="46"/>
      <c r="V208" s="2"/>
    </row>
    <row r="209" spans="1:23" hidden="1" outlineLevel="1">
      <c r="A209" s="118" t="s">
        <v>595</v>
      </c>
      <c r="B209" s="119" t="s">
        <v>596</v>
      </c>
      <c r="C209" s="119" t="s">
        <v>70</v>
      </c>
      <c r="D209" s="119" t="s">
        <v>75</v>
      </c>
      <c r="E209" s="119" t="s">
        <v>131</v>
      </c>
      <c r="F209" s="119" t="s">
        <v>83</v>
      </c>
      <c r="G209" s="120">
        <v>1</v>
      </c>
      <c r="H209" s="121">
        <v>37727</v>
      </c>
      <c r="I209" s="122">
        <v>0</v>
      </c>
      <c r="J209" s="121">
        <f t="shared" si="38"/>
        <v>37727</v>
      </c>
      <c r="K209" s="381">
        <f t="shared" si="39"/>
        <v>37727</v>
      </c>
      <c r="M209" s="46" t="s">
        <v>1077</v>
      </c>
      <c r="N209" s="46"/>
      <c r="O209" s="46"/>
      <c r="P209" s="46"/>
      <c r="Q209" s="46"/>
      <c r="R209" s="46"/>
      <c r="S209" s="46"/>
      <c r="T209" s="46"/>
      <c r="U209" s="46"/>
      <c r="V209" s="2"/>
    </row>
    <row r="210" spans="1:23" hidden="1" outlineLevel="1">
      <c r="A210" s="118" t="s">
        <v>597</v>
      </c>
      <c r="B210" s="119" t="s">
        <v>598</v>
      </c>
      <c r="C210" s="119" t="s">
        <v>70</v>
      </c>
      <c r="D210" s="119" t="s">
        <v>75</v>
      </c>
      <c r="E210" s="119" t="s">
        <v>131</v>
      </c>
      <c r="F210" s="119" t="s">
        <v>83</v>
      </c>
      <c r="G210" s="120">
        <v>1</v>
      </c>
      <c r="H210" s="121">
        <v>150000</v>
      </c>
      <c r="I210" s="122">
        <v>0</v>
      </c>
      <c r="J210" s="121">
        <f t="shared" si="38"/>
        <v>150000</v>
      </c>
      <c r="K210" s="381">
        <f t="shared" si="39"/>
        <v>150000</v>
      </c>
      <c r="M210" s="46" t="s">
        <v>1077</v>
      </c>
      <c r="N210" s="46"/>
      <c r="O210" s="46"/>
      <c r="P210" s="46"/>
      <c r="Q210" s="46"/>
      <c r="R210" s="46"/>
      <c r="S210" s="46"/>
      <c r="T210" s="46"/>
      <c r="U210" s="46"/>
      <c r="V210" s="2"/>
    </row>
    <row r="211" spans="1:23" hidden="1" outlineLevel="1">
      <c r="A211" s="118" t="s">
        <v>599</v>
      </c>
      <c r="B211" s="119" t="s">
        <v>600</v>
      </c>
      <c r="C211" s="119" t="s">
        <v>70</v>
      </c>
      <c r="D211" s="119" t="s">
        <v>75</v>
      </c>
      <c r="E211" s="119" t="s">
        <v>87</v>
      </c>
      <c r="F211" s="119"/>
      <c r="G211" s="120"/>
      <c r="H211" s="121"/>
      <c r="I211" s="122">
        <v>0</v>
      </c>
      <c r="J211" s="121">
        <f t="shared" si="38"/>
        <v>0</v>
      </c>
      <c r="K211" s="138">
        <f t="shared" si="39"/>
        <v>0</v>
      </c>
      <c r="M211" s="46"/>
      <c r="N211" s="46"/>
      <c r="O211" s="46"/>
      <c r="P211" s="46"/>
      <c r="Q211" s="46"/>
      <c r="R211" s="46"/>
      <c r="S211" s="46"/>
      <c r="T211" s="46"/>
      <c r="U211" s="46"/>
      <c r="V211" s="2"/>
    </row>
    <row r="212" spans="1:23" hidden="1" outlineLevel="1">
      <c r="A212" s="118" t="s">
        <v>601</v>
      </c>
      <c r="B212" s="119" t="s">
        <v>602</v>
      </c>
      <c r="C212" s="119" t="s">
        <v>70</v>
      </c>
      <c r="D212" s="119" t="s">
        <v>75</v>
      </c>
      <c r="E212" s="119" t="s">
        <v>76</v>
      </c>
      <c r="F212" s="119" t="s">
        <v>552</v>
      </c>
      <c r="G212" s="120">
        <f>$B$9</f>
        <v>17.350000000000001</v>
      </c>
      <c r="H212" s="121">
        <v>2500</v>
      </c>
      <c r="I212" s="122">
        <v>0</v>
      </c>
      <c r="J212" s="123">
        <f t="shared" si="38"/>
        <v>2500</v>
      </c>
      <c r="K212" s="117">
        <f t="shared" si="39"/>
        <v>43375</v>
      </c>
      <c r="M212" s="46"/>
      <c r="N212" s="46"/>
      <c r="O212" s="46"/>
      <c r="P212" s="46"/>
      <c r="Q212" s="46"/>
      <c r="R212" s="46"/>
      <c r="S212" s="46"/>
      <c r="T212" s="46"/>
      <c r="U212" s="46"/>
      <c r="V212" s="2"/>
    </row>
    <row r="213" spans="1:23" collapsed="1">
      <c r="A213" s="347" t="s">
        <v>603</v>
      </c>
      <c r="B213" s="105" t="s">
        <v>604</v>
      </c>
      <c r="C213" s="105"/>
      <c r="D213" s="105"/>
      <c r="E213" s="105"/>
      <c r="F213" s="105"/>
      <c r="G213" s="106"/>
      <c r="H213" s="107"/>
      <c r="I213" s="108"/>
      <c r="J213" s="109"/>
      <c r="K213" s="110"/>
      <c r="L213" s="130">
        <f>SUM(K204:K212)</f>
        <v>1546728</v>
      </c>
      <c r="M213" s="373"/>
      <c r="N213" s="373"/>
      <c r="O213" s="373"/>
      <c r="P213" s="373"/>
      <c r="Q213" s="373"/>
      <c r="R213" s="373"/>
      <c r="S213" s="373"/>
      <c r="T213" s="373"/>
      <c r="U213" s="373"/>
      <c r="V213" s="2"/>
    </row>
    <row r="214" spans="1:23" hidden="1" outlineLevel="1">
      <c r="A214" s="118" t="s">
        <v>605</v>
      </c>
      <c r="B214" s="119" t="s">
        <v>606</v>
      </c>
      <c r="C214" s="119" t="s">
        <v>90</v>
      </c>
      <c r="D214" s="119" t="s">
        <v>75</v>
      </c>
      <c r="E214" s="119" t="s">
        <v>76</v>
      </c>
      <c r="F214" s="119" t="s">
        <v>83</v>
      </c>
      <c r="G214" s="120">
        <v>1</v>
      </c>
      <c r="H214" s="121">
        <v>5000</v>
      </c>
      <c r="I214" s="122">
        <v>0</v>
      </c>
      <c r="J214" s="123">
        <f t="shared" ref="J214:J250" si="40">H214*(1+I214)</f>
        <v>5000</v>
      </c>
      <c r="K214" s="117">
        <f t="shared" ref="K214:K250" si="41">J214*G214</f>
        <v>5000</v>
      </c>
      <c r="L214" s="182"/>
      <c r="M214" s="88"/>
      <c r="N214" s="88"/>
      <c r="O214" s="88"/>
      <c r="P214" s="88"/>
      <c r="Q214" s="88"/>
      <c r="R214" s="88"/>
      <c r="S214" s="88"/>
      <c r="T214" s="88"/>
      <c r="U214" s="88"/>
      <c r="V214" s="2">
        <v>5000</v>
      </c>
      <c r="W214" s="182">
        <f>K214-V214</f>
        <v>0</v>
      </c>
    </row>
    <row r="215" spans="1:23" hidden="1" outlineLevel="1">
      <c r="A215" s="118" t="s">
        <v>607</v>
      </c>
      <c r="B215" s="119" t="s">
        <v>608</v>
      </c>
      <c r="C215" s="119" t="s">
        <v>70</v>
      </c>
      <c r="D215" s="119" t="s">
        <v>97</v>
      </c>
      <c r="E215" s="119" t="s">
        <v>76</v>
      </c>
      <c r="F215" s="119" t="s">
        <v>83</v>
      </c>
      <c r="G215" s="120">
        <v>2</v>
      </c>
      <c r="H215" s="121">
        <v>2500</v>
      </c>
      <c r="I215" s="122">
        <v>0</v>
      </c>
      <c r="J215" s="121">
        <f t="shared" si="40"/>
        <v>2500</v>
      </c>
      <c r="K215" s="138">
        <f t="shared" si="41"/>
        <v>5000</v>
      </c>
      <c r="M215" s="46"/>
      <c r="N215" s="46"/>
      <c r="O215" s="46"/>
      <c r="P215" s="46"/>
      <c r="Q215" s="46"/>
      <c r="R215" s="46"/>
      <c r="S215" s="46"/>
      <c r="T215" s="46"/>
      <c r="U215" s="46"/>
      <c r="V215" s="2">
        <v>5000</v>
      </c>
      <c r="W215" s="182">
        <f t="shared" ref="W215:W249" si="42">K215-V215</f>
        <v>0</v>
      </c>
    </row>
    <row r="216" spans="1:23" hidden="1" outlineLevel="1">
      <c r="A216" s="118" t="s">
        <v>609</v>
      </c>
      <c r="B216" s="119" t="s">
        <v>610</v>
      </c>
      <c r="C216" s="119" t="s">
        <v>70</v>
      </c>
      <c r="D216" s="119" t="s">
        <v>75</v>
      </c>
      <c r="E216" s="119" t="s">
        <v>76</v>
      </c>
      <c r="F216" s="119" t="s">
        <v>83</v>
      </c>
      <c r="G216" s="120">
        <v>1</v>
      </c>
      <c r="H216" s="121">
        <v>30000</v>
      </c>
      <c r="I216" s="122">
        <v>0</v>
      </c>
      <c r="J216" s="121">
        <f t="shared" si="40"/>
        <v>30000</v>
      </c>
      <c r="K216" s="138">
        <f t="shared" si="41"/>
        <v>30000</v>
      </c>
      <c r="M216" s="46" t="s">
        <v>611</v>
      </c>
      <c r="N216" s="46"/>
      <c r="O216" s="46"/>
      <c r="P216" s="46"/>
      <c r="Q216" s="46"/>
      <c r="R216" s="46"/>
      <c r="S216" s="46"/>
      <c r="T216" s="46"/>
      <c r="U216" s="46"/>
      <c r="V216" s="2">
        <v>30000</v>
      </c>
      <c r="W216" s="182">
        <f t="shared" si="42"/>
        <v>0</v>
      </c>
    </row>
    <row r="217" spans="1:23" hidden="1" outlineLevel="1">
      <c r="A217" s="118" t="s">
        <v>612</v>
      </c>
      <c r="B217" s="119" t="s">
        <v>613</v>
      </c>
      <c r="C217" s="119" t="s">
        <v>70</v>
      </c>
      <c r="D217" s="119" t="s">
        <v>75</v>
      </c>
      <c r="E217" s="119" t="s">
        <v>343</v>
      </c>
      <c r="F217" s="119" t="s">
        <v>83</v>
      </c>
      <c r="G217" s="120">
        <v>1</v>
      </c>
      <c r="H217" s="121">
        <v>670743</v>
      </c>
      <c r="I217" s="122">
        <v>0</v>
      </c>
      <c r="J217" s="121">
        <f t="shared" si="40"/>
        <v>670743</v>
      </c>
      <c r="K217" s="138">
        <f t="shared" si="41"/>
        <v>670743</v>
      </c>
      <c r="L217" s="182"/>
      <c r="M217" s="46" t="s">
        <v>611</v>
      </c>
      <c r="N217" s="46"/>
      <c r="O217" s="46"/>
      <c r="P217" s="46"/>
      <c r="Q217" s="46"/>
      <c r="R217" s="46"/>
      <c r="S217" s="46"/>
      <c r="T217" s="46"/>
      <c r="U217" s="46"/>
      <c r="V217" s="2">
        <v>670743</v>
      </c>
      <c r="W217" s="182">
        <f t="shared" si="42"/>
        <v>0</v>
      </c>
    </row>
    <row r="218" spans="1:23" hidden="1" outlineLevel="1">
      <c r="A218" s="118" t="s">
        <v>615</v>
      </c>
      <c r="B218" s="119" t="s">
        <v>616</v>
      </c>
      <c r="C218" s="119" t="s">
        <v>70</v>
      </c>
      <c r="D218" s="119" t="s">
        <v>75</v>
      </c>
      <c r="E218" s="119" t="s">
        <v>76</v>
      </c>
      <c r="F218" s="119" t="s">
        <v>185</v>
      </c>
      <c r="G218" s="120">
        <v>215053</v>
      </c>
      <c r="H218" s="121">
        <v>0.25</v>
      </c>
      <c r="I218" s="122">
        <v>0</v>
      </c>
      <c r="J218" s="121">
        <f t="shared" si="40"/>
        <v>0.25</v>
      </c>
      <c r="K218" s="138">
        <f t="shared" si="41"/>
        <v>53763.25</v>
      </c>
      <c r="M218" s="46"/>
      <c r="N218" s="46"/>
      <c r="O218" s="46"/>
      <c r="P218" s="46"/>
      <c r="Q218" s="46"/>
      <c r="R218" s="46"/>
      <c r="S218" s="46"/>
      <c r="T218" s="46"/>
      <c r="U218" s="46"/>
      <c r="V218" s="2">
        <v>53763.25</v>
      </c>
      <c r="W218" s="182">
        <f t="shared" si="42"/>
        <v>0</v>
      </c>
    </row>
    <row r="219" spans="1:23" hidden="1" outlineLevel="1">
      <c r="A219" s="118" t="s">
        <v>617</v>
      </c>
      <c r="B219" s="119" t="s">
        <v>618</v>
      </c>
      <c r="C219" s="119" t="s">
        <v>70</v>
      </c>
      <c r="D219" s="119" t="s">
        <v>97</v>
      </c>
      <c r="E219" s="119" t="s">
        <v>329</v>
      </c>
      <c r="F219" s="119" t="s">
        <v>185</v>
      </c>
      <c r="G219" s="120">
        <v>3000</v>
      </c>
      <c r="H219" s="121">
        <v>8.5</v>
      </c>
      <c r="I219" s="122">
        <v>0</v>
      </c>
      <c r="J219" s="121">
        <f t="shared" si="40"/>
        <v>8.5</v>
      </c>
      <c r="K219" s="138">
        <f t="shared" si="41"/>
        <v>25500</v>
      </c>
      <c r="M219" s="46" t="s">
        <v>76</v>
      </c>
      <c r="N219" s="46"/>
      <c r="O219" s="46"/>
      <c r="P219" s="46"/>
      <c r="Q219" s="46"/>
      <c r="R219" s="46"/>
      <c r="S219" s="46"/>
      <c r="T219" s="46"/>
      <c r="U219" s="46"/>
      <c r="V219" s="2">
        <v>25500</v>
      </c>
      <c r="W219" s="182">
        <f t="shared" si="42"/>
        <v>0</v>
      </c>
    </row>
    <row r="220" spans="1:23" hidden="1" outlineLevel="1">
      <c r="A220" s="118" t="s">
        <v>619</v>
      </c>
      <c r="B220" s="119" t="s">
        <v>620</v>
      </c>
      <c r="C220" s="119" t="s">
        <v>70</v>
      </c>
      <c r="D220" s="119" t="s">
        <v>103</v>
      </c>
      <c r="E220" s="119" t="s">
        <v>329</v>
      </c>
      <c r="F220" s="119" t="s">
        <v>185</v>
      </c>
      <c r="G220" s="120">
        <v>8023</v>
      </c>
      <c r="H220" s="121">
        <v>8.5</v>
      </c>
      <c r="I220" s="122">
        <v>0</v>
      </c>
      <c r="J220" s="121">
        <f t="shared" si="40"/>
        <v>8.5</v>
      </c>
      <c r="K220" s="138">
        <f t="shared" si="41"/>
        <v>68195.5</v>
      </c>
      <c r="M220" s="46" t="s">
        <v>621</v>
      </c>
      <c r="N220" s="46"/>
      <c r="O220" s="46"/>
      <c r="P220" s="46"/>
      <c r="Q220" s="46"/>
      <c r="R220" s="46"/>
      <c r="S220" s="46"/>
      <c r="T220" s="46"/>
      <c r="U220" s="46"/>
      <c r="V220" s="2">
        <v>68195.5</v>
      </c>
      <c r="W220" s="182">
        <f t="shared" si="42"/>
        <v>0</v>
      </c>
    </row>
    <row r="221" spans="1:23" hidden="1" outlineLevel="1">
      <c r="A221" s="118" t="s">
        <v>622</v>
      </c>
      <c r="B221" s="119" t="s">
        <v>623</v>
      </c>
      <c r="C221" s="119" t="s">
        <v>70</v>
      </c>
      <c r="D221" s="119" t="s">
        <v>75</v>
      </c>
      <c r="E221" s="119" t="s">
        <v>343</v>
      </c>
      <c r="F221" s="119" t="s">
        <v>83</v>
      </c>
      <c r="G221" s="120">
        <v>1</v>
      </c>
      <c r="H221" s="121">
        <v>112240</v>
      </c>
      <c r="I221" s="122">
        <v>0</v>
      </c>
      <c r="J221" s="121">
        <f t="shared" si="40"/>
        <v>112240</v>
      </c>
      <c r="K221" s="381">
        <f t="shared" si="41"/>
        <v>112240</v>
      </c>
      <c r="M221" s="46" t="s">
        <v>611</v>
      </c>
      <c r="N221" s="46"/>
      <c r="O221" s="46"/>
      <c r="P221" s="46"/>
      <c r="Q221" s="46"/>
      <c r="R221" s="46"/>
      <c r="S221" s="46"/>
      <c r="T221" s="46"/>
      <c r="U221" s="46"/>
      <c r="V221" s="2">
        <v>112240</v>
      </c>
      <c r="W221" s="182">
        <f t="shared" si="42"/>
        <v>0</v>
      </c>
    </row>
    <row r="222" spans="1:23" hidden="1" outlineLevel="1">
      <c r="A222" s="118" t="s">
        <v>624</v>
      </c>
      <c r="B222" s="119" t="s">
        <v>625</v>
      </c>
      <c r="C222" s="119" t="s">
        <v>70</v>
      </c>
      <c r="D222" s="119" t="s">
        <v>75</v>
      </c>
      <c r="E222" s="119" t="s">
        <v>343</v>
      </c>
      <c r="F222" s="119" t="s">
        <v>83</v>
      </c>
      <c r="G222" s="120">
        <v>1</v>
      </c>
      <c r="H222" s="121">
        <v>140670</v>
      </c>
      <c r="I222" s="122">
        <v>0</v>
      </c>
      <c r="J222" s="121">
        <f t="shared" si="40"/>
        <v>140670</v>
      </c>
      <c r="K222" s="381">
        <f t="shared" si="41"/>
        <v>140670</v>
      </c>
      <c r="M222" s="46" t="s">
        <v>611</v>
      </c>
      <c r="N222" s="46"/>
      <c r="O222" s="46"/>
      <c r="P222" s="46"/>
      <c r="Q222" s="46"/>
      <c r="R222" s="46"/>
      <c r="S222" s="46"/>
      <c r="T222" s="46"/>
      <c r="U222" s="46"/>
      <c r="V222" s="2">
        <v>140670</v>
      </c>
      <c r="W222" s="182">
        <f t="shared" si="42"/>
        <v>0</v>
      </c>
    </row>
    <row r="223" spans="1:23" hidden="1" outlineLevel="1">
      <c r="A223" s="137" t="s">
        <v>626</v>
      </c>
      <c r="B223" s="119" t="s">
        <v>627</v>
      </c>
      <c r="C223" s="119" t="s">
        <v>70</v>
      </c>
      <c r="D223" s="119" t="s">
        <v>75</v>
      </c>
      <c r="E223" s="119" t="s">
        <v>343</v>
      </c>
      <c r="F223" s="119" t="s">
        <v>83</v>
      </c>
      <c r="G223" s="120">
        <v>1</v>
      </c>
      <c r="H223" s="121">
        <v>273468</v>
      </c>
      <c r="I223" s="122">
        <v>0</v>
      </c>
      <c r="J223" s="121">
        <f t="shared" si="40"/>
        <v>273468</v>
      </c>
      <c r="K223" s="381">
        <f t="shared" si="41"/>
        <v>273468</v>
      </c>
      <c r="M223" s="46" t="s">
        <v>611</v>
      </c>
      <c r="N223" s="46"/>
      <c r="O223" s="46"/>
      <c r="P223" s="46"/>
      <c r="Q223" s="46"/>
      <c r="R223" s="46"/>
      <c r="S223" s="46"/>
      <c r="T223" s="46"/>
      <c r="U223" s="46"/>
      <c r="V223" s="2">
        <v>273468</v>
      </c>
      <c r="W223" s="182">
        <f t="shared" si="42"/>
        <v>0</v>
      </c>
    </row>
    <row r="224" spans="1:23" hidden="1" outlineLevel="1">
      <c r="A224" s="118" t="s">
        <v>628</v>
      </c>
      <c r="B224" s="119" t="s">
        <v>629</v>
      </c>
      <c r="C224" s="119" t="s">
        <v>70</v>
      </c>
      <c r="D224" s="119" t="s">
        <v>97</v>
      </c>
      <c r="E224" s="119" t="s">
        <v>87</v>
      </c>
      <c r="F224" s="119"/>
      <c r="G224" s="120"/>
      <c r="H224" s="121"/>
      <c r="I224" s="122">
        <v>0</v>
      </c>
      <c r="J224" s="121">
        <f t="shared" si="40"/>
        <v>0</v>
      </c>
      <c r="K224" s="138">
        <f t="shared" si="41"/>
        <v>0</v>
      </c>
      <c r="M224" s="46"/>
      <c r="N224" s="46"/>
      <c r="O224" s="46"/>
      <c r="P224" s="46"/>
      <c r="Q224" s="46"/>
      <c r="R224" s="46"/>
      <c r="S224" s="46"/>
      <c r="T224" s="46"/>
      <c r="U224" s="46"/>
      <c r="V224" s="2">
        <v>0</v>
      </c>
      <c r="W224" s="182">
        <f t="shared" si="42"/>
        <v>0</v>
      </c>
    </row>
    <row r="225" spans="1:23" hidden="1" outlineLevel="1">
      <c r="A225" s="118" t="s">
        <v>630</v>
      </c>
      <c r="B225" s="119" t="s">
        <v>631</v>
      </c>
      <c r="C225" s="119" t="s">
        <v>70</v>
      </c>
      <c r="D225" s="119" t="s">
        <v>103</v>
      </c>
      <c r="E225" s="119" t="s">
        <v>76</v>
      </c>
      <c r="F225" s="119" t="s">
        <v>83</v>
      </c>
      <c r="G225" s="120">
        <f>'Assumptions &amp; Takeoffs'!$B$16</f>
        <v>1</v>
      </c>
      <c r="H225" s="121">
        <v>10000</v>
      </c>
      <c r="I225" s="122">
        <v>0</v>
      </c>
      <c r="J225" s="121">
        <f t="shared" si="40"/>
        <v>10000</v>
      </c>
      <c r="K225" s="138">
        <f t="shared" si="41"/>
        <v>10000</v>
      </c>
      <c r="M225" s="46"/>
      <c r="N225" s="46"/>
      <c r="O225" s="46"/>
      <c r="P225" s="46"/>
      <c r="Q225" s="46"/>
      <c r="R225" s="46"/>
      <c r="S225" s="46"/>
      <c r="T225" s="46"/>
      <c r="U225" s="46"/>
      <c r="V225" s="2">
        <v>10000</v>
      </c>
      <c r="W225" s="182">
        <f t="shared" si="42"/>
        <v>0</v>
      </c>
    </row>
    <row r="226" spans="1:23" hidden="1" outlineLevel="1">
      <c r="A226" s="118" t="s">
        <v>632</v>
      </c>
      <c r="B226" s="119" t="s">
        <v>633</v>
      </c>
      <c r="C226" s="119" t="s">
        <v>70</v>
      </c>
      <c r="D226" s="119" t="s">
        <v>75</v>
      </c>
      <c r="E226" s="119" t="s">
        <v>76</v>
      </c>
      <c r="F226" s="119" t="s">
        <v>552</v>
      </c>
      <c r="G226" s="151">
        <f>$B$9</f>
        <v>17.350000000000001</v>
      </c>
      <c r="H226" s="121">
        <v>3000</v>
      </c>
      <c r="I226" s="122">
        <v>0</v>
      </c>
      <c r="J226" s="121">
        <f t="shared" si="40"/>
        <v>3000</v>
      </c>
      <c r="K226" s="138">
        <f t="shared" si="41"/>
        <v>52050.000000000007</v>
      </c>
      <c r="M226" s="46"/>
      <c r="N226" s="46"/>
      <c r="O226" s="46"/>
      <c r="P226" s="46"/>
      <c r="Q226" s="46"/>
      <c r="R226" s="46"/>
      <c r="S226" s="46"/>
      <c r="T226" s="46"/>
      <c r="U226" s="46"/>
      <c r="V226" s="2">
        <v>52050.000000000007</v>
      </c>
      <c r="W226" s="182">
        <f t="shared" si="42"/>
        <v>0</v>
      </c>
    </row>
    <row r="227" spans="1:23" hidden="1" outlineLevel="1">
      <c r="A227" s="118" t="s">
        <v>634</v>
      </c>
      <c r="B227" s="119" t="s">
        <v>635</v>
      </c>
      <c r="C227" s="119" t="s">
        <v>70</v>
      </c>
      <c r="D227" s="119" t="s">
        <v>75</v>
      </c>
      <c r="E227" s="119" t="s">
        <v>343</v>
      </c>
      <c r="F227" s="119" t="s">
        <v>83</v>
      </c>
      <c r="G227" s="120">
        <v>1</v>
      </c>
      <c r="H227" s="121">
        <v>91085</v>
      </c>
      <c r="I227" s="122">
        <v>0</v>
      </c>
      <c r="J227" s="121">
        <f t="shared" si="40"/>
        <v>91085</v>
      </c>
      <c r="K227" s="381">
        <f t="shared" si="41"/>
        <v>91085</v>
      </c>
      <c r="M227" s="46" t="s">
        <v>904</v>
      </c>
      <c r="N227" s="46"/>
      <c r="O227" s="46"/>
      <c r="P227" s="46"/>
      <c r="Q227" s="46"/>
      <c r="R227" s="46"/>
      <c r="S227" s="46"/>
      <c r="T227" s="46"/>
      <c r="U227" s="46"/>
      <c r="V227" s="2">
        <v>91085</v>
      </c>
      <c r="W227" s="182">
        <f t="shared" si="42"/>
        <v>0</v>
      </c>
    </row>
    <row r="228" spans="1:23" hidden="1" outlineLevel="1">
      <c r="A228" s="118" t="s">
        <v>636</v>
      </c>
      <c r="B228" s="119" t="s">
        <v>637</v>
      </c>
      <c r="C228" s="119" t="s">
        <v>70</v>
      </c>
      <c r="D228" s="119" t="s">
        <v>97</v>
      </c>
      <c r="E228" s="119" t="s">
        <v>343</v>
      </c>
      <c r="F228" s="119" t="s">
        <v>132</v>
      </c>
      <c r="G228" s="120">
        <f>'Assumptions &amp; Takeoffs'!$B$14</f>
        <v>14</v>
      </c>
      <c r="H228" s="121">
        <v>2485</v>
      </c>
      <c r="I228" s="122">
        <v>0</v>
      </c>
      <c r="J228" s="121">
        <f t="shared" si="40"/>
        <v>2485</v>
      </c>
      <c r="K228" s="381">
        <f t="shared" si="41"/>
        <v>34790</v>
      </c>
      <c r="M228" s="46"/>
      <c r="N228" s="46"/>
      <c r="O228" s="46"/>
      <c r="P228" s="46"/>
      <c r="Q228" s="46"/>
      <c r="R228" s="46"/>
      <c r="S228" s="46"/>
      <c r="T228" s="46"/>
      <c r="U228" s="46"/>
      <c r="V228" s="2">
        <v>34790</v>
      </c>
      <c r="W228" s="182">
        <f t="shared" si="42"/>
        <v>0</v>
      </c>
    </row>
    <row r="229" spans="1:23" hidden="1" outlineLevel="1">
      <c r="A229" s="118" t="s">
        <v>638</v>
      </c>
      <c r="B229" s="119" t="s">
        <v>639</v>
      </c>
      <c r="C229" s="119" t="s">
        <v>144</v>
      </c>
      <c r="D229" s="119" t="s">
        <v>97</v>
      </c>
      <c r="E229" s="119" t="s">
        <v>76</v>
      </c>
      <c r="F229" s="119" t="s">
        <v>83</v>
      </c>
      <c r="G229" s="120">
        <v>1</v>
      </c>
      <c r="H229" s="121">
        <v>15000</v>
      </c>
      <c r="I229" s="122">
        <v>0</v>
      </c>
      <c r="J229" s="121">
        <f t="shared" si="40"/>
        <v>15000</v>
      </c>
      <c r="K229" s="381">
        <f t="shared" si="41"/>
        <v>15000</v>
      </c>
      <c r="M229" s="46"/>
      <c r="N229" s="46"/>
      <c r="O229" s="46"/>
      <c r="P229" s="46"/>
      <c r="Q229" s="46"/>
      <c r="R229" s="46"/>
      <c r="S229" s="46"/>
      <c r="T229" s="46"/>
      <c r="U229" s="46"/>
      <c r="V229" s="2">
        <v>15000</v>
      </c>
      <c r="W229" s="182">
        <f t="shared" si="42"/>
        <v>0</v>
      </c>
    </row>
    <row r="230" spans="1:23" hidden="1" outlineLevel="1">
      <c r="A230" s="118" t="s">
        <v>640</v>
      </c>
      <c r="B230" s="119" t="s">
        <v>641</v>
      </c>
      <c r="C230" s="119" t="s">
        <v>70</v>
      </c>
      <c r="D230" s="119" t="s">
        <v>75</v>
      </c>
      <c r="E230" s="119" t="s">
        <v>76</v>
      </c>
      <c r="F230" s="119" t="s">
        <v>169</v>
      </c>
      <c r="G230" s="120">
        <v>300</v>
      </c>
      <c r="H230" s="121">
        <v>75</v>
      </c>
      <c r="I230" s="122">
        <v>0</v>
      </c>
      <c r="J230" s="121">
        <f t="shared" si="40"/>
        <v>75</v>
      </c>
      <c r="K230" s="381">
        <f t="shared" si="41"/>
        <v>22500</v>
      </c>
      <c r="M230" s="46"/>
      <c r="N230" s="46"/>
      <c r="O230" s="46"/>
      <c r="P230" s="46"/>
      <c r="Q230" s="46"/>
      <c r="R230" s="46"/>
      <c r="S230" s="46"/>
      <c r="T230" s="46"/>
      <c r="U230" s="46"/>
      <c r="V230" s="2">
        <v>22500</v>
      </c>
      <c r="W230" s="182">
        <f t="shared" si="42"/>
        <v>0</v>
      </c>
    </row>
    <row r="231" spans="1:23" hidden="1" outlineLevel="1">
      <c r="A231" s="118" t="s">
        <v>642</v>
      </c>
      <c r="B231" s="119" t="s">
        <v>643</v>
      </c>
      <c r="C231" s="119" t="s">
        <v>70</v>
      </c>
      <c r="D231" s="119" t="s">
        <v>103</v>
      </c>
      <c r="E231" s="119" t="s">
        <v>343</v>
      </c>
      <c r="F231" s="119" t="s">
        <v>83</v>
      </c>
      <c r="G231" s="120">
        <v>1</v>
      </c>
      <c r="H231" s="121">
        <v>27900</v>
      </c>
      <c r="I231" s="122">
        <v>0</v>
      </c>
      <c r="J231" s="121">
        <f t="shared" si="40"/>
        <v>27900</v>
      </c>
      <c r="K231" s="381">
        <f t="shared" si="41"/>
        <v>27900</v>
      </c>
      <c r="M231" s="46"/>
      <c r="N231" s="46"/>
      <c r="O231" s="46"/>
      <c r="P231" s="46"/>
      <c r="Q231" s="46"/>
      <c r="R231" s="46"/>
      <c r="S231" s="46"/>
      <c r="T231" s="46"/>
      <c r="U231" s="46"/>
      <c r="V231" s="2">
        <v>27900</v>
      </c>
      <c r="W231" s="182">
        <f t="shared" si="42"/>
        <v>0</v>
      </c>
    </row>
    <row r="232" spans="1:23" hidden="1" outlineLevel="1">
      <c r="A232" s="118" t="s">
        <v>644</v>
      </c>
      <c r="B232" s="119" t="s">
        <v>643</v>
      </c>
      <c r="C232" s="119" t="s">
        <v>70</v>
      </c>
      <c r="D232" s="119" t="s">
        <v>103</v>
      </c>
      <c r="E232" s="119" t="s">
        <v>343</v>
      </c>
      <c r="F232" s="119" t="s">
        <v>132</v>
      </c>
      <c r="G232" s="120">
        <f>'Assumptions &amp; Takeoffs'!$B$16*2</f>
        <v>2</v>
      </c>
      <c r="H232" s="121">
        <v>1950</v>
      </c>
      <c r="I232" s="122">
        <v>0</v>
      </c>
      <c r="J232" s="121">
        <f t="shared" si="40"/>
        <v>1950</v>
      </c>
      <c r="K232" s="381">
        <f t="shared" si="41"/>
        <v>3900</v>
      </c>
      <c r="M232" s="46"/>
      <c r="N232" s="46"/>
      <c r="O232" s="46"/>
      <c r="P232" s="46"/>
      <c r="Q232" s="46"/>
      <c r="R232" s="46"/>
      <c r="S232" s="46"/>
      <c r="T232" s="46"/>
      <c r="U232" s="46"/>
      <c r="V232" s="2">
        <v>3900</v>
      </c>
      <c r="W232" s="182">
        <f t="shared" si="42"/>
        <v>0</v>
      </c>
    </row>
    <row r="233" spans="1:23" hidden="1" outlineLevel="1">
      <c r="A233" s="118" t="s">
        <v>645</v>
      </c>
      <c r="B233" s="119" t="s">
        <v>646</v>
      </c>
      <c r="C233" s="119" t="s">
        <v>70</v>
      </c>
      <c r="D233" s="119" t="s">
        <v>75</v>
      </c>
      <c r="E233" s="119" t="s">
        <v>343</v>
      </c>
      <c r="F233" s="119" t="s">
        <v>83</v>
      </c>
      <c r="G233" s="120">
        <v>1</v>
      </c>
      <c r="H233" s="121">
        <v>6000</v>
      </c>
      <c r="I233" s="122">
        <v>0</v>
      </c>
      <c r="J233" s="121">
        <f t="shared" si="40"/>
        <v>6000</v>
      </c>
      <c r="K233" s="381">
        <f t="shared" si="41"/>
        <v>6000</v>
      </c>
      <c r="M233" s="46" t="s">
        <v>647</v>
      </c>
      <c r="N233" s="46"/>
      <c r="O233" s="46"/>
      <c r="P233" s="46"/>
      <c r="Q233" s="46"/>
      <c r="R233" s="46"/>
      <c r="S233" s="46"/>
      <c r="T233" s="46"/>
      <c r="U233" s="46"/>
      <c r="V233" s="2">
        <v>6000</v>
      </c>
      <c r="W233" s="182">
        <f t="shared" si="42"/>
        <v>0</v>
      </c>
    </row>
    <row r="234" spans="1:23" hidden="1" outlineLevel="1">
      <c r="A234" s="118" t="s">
        <v>648</v>
      </c>
      <c r="B234" s="119" t="s">
        <v>649</v>
      </c>
      <c r="C234" s="119" t="s">
        <v>70</v>
      </c>
      <c r="D234" s="119" t="s">
        <v>75</v>
      </c>
      <c r="E234" s="119" t="s">
        <v>87</v>
      </c>
      <c r="F234" s="119"/>
      <c r="G234" s="120"/>
      <c r="H234" s="121">
        <v>3555</v>
      </c>
      <c r="I234" s="122">
        <v>0</v>
      </c>
      <c r="J234" s="121">
        <f t="shared" si="40"/>
        <v>3555</v>
      </c>
      <c r="K234" s="138">
        <f t="shared" si="41"/>
        <v>0</v>
      </c>
      <c r="M234" s="46"/>
      <c r="N234" s="46"/>
      <c r="O234" s="46"/>
      <c r="P234" s="46"/>
      <c r="Q234" s="46"/>
      <c r="R234" s="46"/>
      <c r="S234" s="46"/>
      <c r="T234" s="46"/>
      <c r="U234" s="46"/>
      <c r="V234" s="2">
        <v>0</v>
      </c>
      <c r="W234" s="182">
        <f t="shared" si="42"/>
        <v>0</v>
      </c>
    </row>
    <row r="235" spans="1:23" hidden="1" outlineLevel="1">
      <c r="A235" s="118" t="s">
        <v>650</v>
      </c>
      <c r="B235" s="119" t="s">
        <v>651</v>
      </c>
      <c r="C235" s="119" t="s">
        <v>70</v>
      </c>
      <c r="D235" s="119" t="s">
        <v>75</v>
      </c>
      <c r="E235" s="119" t="s">
        <v>87</v>
      </c>
      <c r="F235" s="119"/>
      <c r="G235" s="120"/>
      <c r="H235" s="121">
        <v>44</v>
      </c>
      <c r="I235" s="122">
        <v>0</v>
      </c>
      <c r="J235" s="121">
        <f t="shared" si="40"/>
        <v>44</v>
      </c>
      <c r="K235" s="138">
        <f t="shared" si="41"/>
        <v>0</v>
      </c>
      <c r="M235" s="46"/>
      <c r="N235" s="46"/>
      <c r="O235" s="46"/>
      <c r="P235" s="46"/>
      <c r="Q235" s="46"/>
      <c r="R235" s="46"/>
      <c r="S235" s="46"/>
      <c r="T235" s="46"/>
      <c r="U235" s="46"/>
      <c r="V235" s="2">
        <v>0</v>
      </c>
      <c r="W235" s="182">
        <f t="shared" si="42"/>
        <v>0</v>
      </c>
    </row>
    <row r="236" spans="1:23" hidden="1" outlineLevel="1">
      <c r="A236" s="118" t="s">
        <v>652</v>
      </c>
      <c r="B236" s="119" t="s">
        <v>653</v>
      </c>
      <c r="C236" s="119" t="s">
        <v>70</v>
      </c>
      <c r="D236" s="119" t="s">
        <v>75</v>
      </c>
      <c r="E236" s="119" t="s">
        <v>131</v>
      </c>
      <c r="F236" s="119" t="s">
        <v>83</v>
      </c>
      <c r="G236" s="120">
        <v>2</v>
      </c>
      <c r="H236" s="121">
        <v>1950</v>
      </c>
      <c r="I236" s="122">
        <v>0</v>
      </c>
      <c r="J236" s="121">
        <f t="shared" si="40"/>
        <v>1950</v>
      </c>
      <c r="K236" s="381">
        <f t="shared" si="41"/>
        <v>3900</v>
      </c>
      <c r="M236" s="46"/>
      <c r="N236" s="46"/>
      <c r="O236" s="46"/>
      <c r="P236" s="46"/>
      <c r="Q236" s="46"/>
      <c r="R236" s="46"/>
      <c r="S236" s="46"/>
      <c r="T236" s="46"/>
      <c r="U236" s="46"/>
      <c r="V236" s="2">
        <v>3900</v>
      </c>
      <c r="W236" s="182">
        <f>K236-V236</f>
        <v>0</v>
      </c>
    </row>
    <row r="237" spans="1:23" hidden="1" outlineLevel="1">
      <c r="A237" s="118" t="s">
        <v>654</v>
      </c>
      <c r="B237" s="119" t="s">
        <v>655</v>
      </c>
      <c r="C237" s="119" t="s">
        <v>70</v>
      </c>
      <c r="D237" s="119" t="s">
        <v>75</v>
      </c>
      <c r="E237" s="119" t="s">
        <v>76</v>
      </c>
      <c r="F237" s="119" t="s">
        <v>83</v>
      </c>
      <c r="G237" s="151">
        <v>1</v>
      </c>
      <c r="H237" s="121">
        <v>30000</v>
      </c>
      <c r="I237" s="122">
        <v>0</v>
      </c>
      <c r="J237" s="121">
        <f t="shared" si="40"/>
        <v>30000</v>
      </c>
      <c r="K237" s="381">
        <f t="shared" si="41"/>
        <v>30000</v>
      </c>
      <c r="M237" s="46"/>
      <c r="N237" s="46"/>
      <c r="O237" s="46"/>
      <c r="P237" s="46"/>
      <c r="Q237" s="46"/>
      <c r="R237" s="46"/>
      <c r="S237" s="46"/>
      <c r="T237" s="46"/>
      <c r="U237" s="46"/>
      <c r="V237" s="2">
        <v>30000</v>
      </c>
      <c r="W237" s="182">
        <f t="shared" si="42"/>
        <v>0</v>
      </c>
    </row>
    <row r="238" spans="1:23" hidden="1" outlineLevel="1">
      <c r="A238" s="118" t="s">
        <v>656</v>
      </c>
      <c r="B238" s="119" t="s">
        <v>657</v>
      </c>
      <c r="C238" s="119" t="s">
        <v>70</v>
      </c>
      <c r="D238" s="119" t="s">
        <v>75</v>
      </c>
      <c r="E238" s="119" t="s">
        <v>131</v>
      </c>
      <c r="F238" s="119" t="s">
        <v>83</v>
      </c>
      <c r="G238" s="120">
        <v>1</v>
      </c>
      <c r="H238" s="121">
        <v>376743</v>
      </c>
      <c r="I238" s="122">
        <v>0</v>
      </c>
      <c r="J238" s="121">
        <f t="shared" si="40"/>
        <v>376743</v>
      </c>
      <c r="K238" s="381">
        <f t="shared" si="41"/>
        <v>376743</v>
      </c>
      <c r="M238" s="46" t="s">
        <v>1078</v>
      </c>
      <c r="N238" s="46"/>
      <c r="O238" s="46"/>
      <c r="P238" s="46"/>
      <c r="Q238" s="46"/>
      <c r="R238" s="46"/>
      <c r="S238" s="46"/>
      <c r="T238" s="46"/>
      <c r="U238" s="46"/>
      <c r="V238" s="2">
        <v>376743</v>
      </c>
      <c r="W238" s="182">
        <f t="shared" si="42"/>
        <v>0</v>
      </c>
    </row>
    <row r="239" spans="1:23" hidden="1" outlineLevel="1">
      <c r="A239" s="118" t="s">
        <v>658</v>
      </c>
      <c r="B239" s="119" t="s">
        <v>659</v>
      </c>
      <c r="C239" s="119" t="s">
        <v>70</v>
      </c>
      <c r="D239" s="119" t="s">
        <v>75</v>
      </c>
      <c r="E239" s="119" t="s">
        <v>273</v>
      </c>
      <c r="F239" s="119" t="s">
        <v>83</v>
      </c>
      <c r="G239" s="120">
        <v>1</v>
      </c>
      <c r="H239" s="121">
        <v>31250</v>
      </c>
      <c r="I239" s="122">
        <v>0</v>
      </c>
      <c r="J239" s="121">
        <f t="shared" si="40"/>
        <v>31250</v>
      </c>
      <c r="K239" s="381">
        <f t="shared" si="41"/>
        <v>31250</v>
      </c>
      <c r="M239" s="46" t="s">
        <v>1078</v>
      </c>
      <c r="N239" s="46"/>
      <c r="O239" s="46"/>
      <c r="P239" s="46"/>
      <c r="Q239" s="46"/>
      <c r="R239" s="46"/>
      <c r="S239" s="46"/>
      <c r="T239" s="46"/>
      <c r="U239" s="46"/>
      <c r="V239" s="2">
        <v>31250</v>
      </c>
      <c r="W239" s="182">
        <f t="shared" si="42"/>
        <v>0</v>
      </c>
    </row>
    <row r="240" spans="1:23" hidden="1" outlineLevel="1">
      <c r="A240" s="118" t="s">
        <v>661</v>
      </c>
      <c r="B240" s="119" t="s">
        <v>662</v>
      </c>
      <c r="C240" s="119" t="s">
        <v>70</v>
      </c>
      <c r="D240" s="119" t="s">
        <v>75</v>
      </c>
      <c r="E240" s="119" t="s">
        <v>131</v>
      </c>
      <c r="F240" s="119" t="s">
        <v>83</v>
      </c>
      <c r="G240" s="120">
        <v>1</v>
      </c>
      <c r="H240" s="121">
        <v>331457</v>
      </c>
      <c r="I240" s="122">
        <v>0</v>
      </c>
      <c r="J240" s="121">
        <f t="shared" si="40"/>
        <v>331457</v>
      </c>
      <c r="K240" s="381">
        <f t="shared" si="41"/>
        <v>331457</v>
      </c>
      <c r="M240" s="46" t="s">
        <v>1078</v>
      </c>
      <c r="N240" s="46"/>
      <c r="O240" s="46"/>
      <c r="P240" s="46"/>
      <c r="Q240" s="46"/>
      <c r="R240" s="46"/>
      <c r="S240" s="46"/>
      <c r="T240" s="46"/>
      <c r="U240" s="46"/>
      <c r="V240" s="2">
        <v>331457</v>
      </c>
      <c r="W240" s="182">
        <f t="shared" si="42"/>
        <v>0</v>
      </c>
    </row>
    <row r="241" spans="1:23" hidden="1" outlineLevel="1">
      <c r="A241" s="118" t="s">
        <v>663</v>
      </c>
      <c r="B241" s="119" t="s">
        <v>664</v>
      </c>
      <c r="C241" s="119" t="s">
        <v>144</v>
      </c>
      <c r="D241" s="119" t="s">
        <v>103</v>
      </c>
      <c r="E241" s="119" t="s">
        <v>76</v>
      </c>
      <c r="F241" s="119" t="s">
        <v>83</v>
      </c>
      <c r="G241" s="120">
        <v>2</v>
      </c>
      <c r="H241" s="121">
        <v>7500</v>
      </c>
      <c r="I241" s="122">
        <v>0</v>
      </c>
      <c r="J241" s="121">
        <f t="shared" si="40"/>
        <v>7500</v>
      </c>
      <c r="K241" s="138">
        <f t="shared" si="41"/>
        <v>15000</v>
      </c>
      <c r="M241" s="46"/>
      <c r="N241" s="46"/>
      <c r="O241" s="46"/>
      <c r="P241" s="46"/>
      <c r="Q241" s="46"/>
      <c r="R241" s="46"/>
      <c r="S241" s="46"/>
      <c r="T241" s="46"/>
      <c r="U241" s="46"/>
      <c r="V241" s="2">
        <v>15000</v>
      </c>
      <c r="W241" s="182">
        <f t="shared" si="42"/>
        <v>0</v>
      </c>
    </row>
    <row r="242" spans="1:23" hidden="1" outlineLevel="1">
      <c r="A242" s="118" t="s">
        <v>665</v>
      </c>
      <c r="B242" s="119" t="s">
        <v>666</v>
      </c>
      <c r="C242" s="119" t="s">
        <v>144</v>
      </c>
      <c r="D242" s="119" t="s">
        <v>81</v>
      </c>
      <c r="E242" s="119" t="s">
        <v>76</v>
      </c>
      <c r="F242" s="119" t="s">
        <v>83</v>
      </c>
      <c r="G242" s="120">
        <v>1</v>
      </c>
      <c r="H242" s="121">
        <v>7000</v>
      </c>
      <c r="I242" s="122">
        <v>0</v>
      </c>
      <c r="J242" s="121">
        <f t="shared" si="40"/>
        <v>7000</v>
      </c>
      <c r="K242" s="138">
        <f t="shared" si="41"/>
        <v>7000</v>
      </c>
      <c r="M242" s="46"/>
      <c r="N242" s="46"/>
      <c r="O242" s="46"/>
      <c r="P242" s="46"/>
      <c r="Q242" s="46"/>
      <c r="R242" s="46"/>
      <c r="S242" s="46"/>
      <c r="T242" s="46"/>
      <c r="U242" s="46"/>
      <c r="V242" s="2">
        <v>7000</v>
      </c>
      <c r="W242" s="182">
        <f t="shared" si="42"/>
        <v>0</v>
      </c>
    </row>
    <row r="243" spans="1:23" hidden="1" outlineLevel="1">
      <c r="A243" s="118" t="s">
        <v>210</v>
      </c>
      <c r="B243" s="119" t="s">
        <v>667</v>
      </c>
      <c r="C243" s="119" t="s">
        <v>70</v>
      </c>
      <c r="D243" s="119" t="s">
        <v>75</v>
      </c>
      <c r="E243" s="119" t="s">
        <v>343</v>
      </c>
      <c r="F243" s="119" t="s">
        <v>185</v>
      </c>
      <c r="G243" s="113">
        <v>331082</v>
      </c>
      <c r="H243" s="121">
        <v>12.01</v>
      </c>
      <c r="I243" s="122">
        <v>0</v>
      </c>
      <c r="J243" s="121">
        <f t="shared" si="40"/>
        <v>12.01</v>
      </c>
      <c r="K243" s="381">
        <f t="shared" si="41"/>
        <v>3976294.82</v>
      </c>
      <c r="L243" s="182"/>
      <c r="M243" s="46" t="s">
        <v>1079</v>
      </c>
      <c r="N243" s="46"/>
      <c r="O243" s="46"/>
      <c r="P243" s="46"/>
      <c r="Q243" s="46"/>
      <c r="R243" s="46"/>
      <c r="S243" s="46"/>
      <c r="T243" s="46"/>
      <c r="U243" s="46"/>
      <c r="V243" s="2">
        <v>3976294.82</v>
      </c>
      <c r="W243" s="182">
        <f t="shared" si="42"/>
        <v>0</v>
      </c>
    </row>
    <row r="244" spans="1:23" hidden="1" outlineLevel="1">
      <c r="A244" s="118" t="s">
        <v>669</v>
      </c>
      <c r="B244" s="119" t="s">
        <v>667</v>
      </c>
      <c r="C244" s="119" t="s">
        <v>70</v>
      </c>
      <c r="D244" s="119" t="s">
        <v>75</v>
      </c>
      <c r="E244" s="119" t="s">
        <v>87</v>
      </c>
      <c r="F244" s="119"/>
      <c r="G244" s="120"/>
      <c r="H244" s="121"/>
      <c r="I244" s="122">
        <v>0</v>
      </c>
      <c r="J244" s="121">
        <f t="shared" si="40"/>
        <v>0</v>
      </c>
      <c r="K244" s="138">
        <f t="shared" si="41"/>
        <v>0</v>
      </c>
      <c r="M244" s="46"/>
      <c r="N244" s="46"/>
      <c r="O244" s="46"/>
      <c r="P244" s="46"/>
      <c r="Q244" s="46"/>
      <c r="R244" s="46"/>
      <c r="S244" s="46"/>
      <c r="T244" s="46"/>
      <c r="U244" s="46"/>
      <c r="V244" s="2">
        <v>0</v>
      </c>
      <c r="W244" s="182">
        <f t="shared" si="42"/>
        <v>0</v>
      </c>
    </row>
    <row r="245" spans="1:23" hidden="1" outlineLevel="1">
      <c r="A245" s="118" t="s">
        <v>670</v>
      </c>
      <c r="B245" s="119" t="s">
        <v>671</v>
      </c>
      <c r="C245" s="119" t="s">
        <v>70</v>
      </c>
      <c r="D245" s="119" t="s">
        <v>75</v>
      </c>
      <c r="E245" s="119" t="s">
        <v>87</v>
      </c>
      <c r="F245" s="119"/>
      <c r="G245" s="120"/>
      <c r="H245" s="121"/>
      <c r="I245" s="122">
        <v>0</v>
      </c>
      <c r="J245" s="121">
        <f t="shared" si="40"/>
        <v>0</v>
      </c>
      <c r="K245" s="138">
        <f t="shared" si="41"/>
        <v>0</v>
      </c>
      <c r="M245" s="46"/>
      <c r="N245" s="46"/>
      <c r="O245" s="46"/>
      <c r="P245" s="46"/>
      <c r="Q245" s="46"/>
      <c r="R245" s="46"/>
      <c r="S245" s="46"/>
      <c r="T245" s="46"/>
      <c r="U245" s="46"/>
      <c r="V245" s="2">
        <v>0</v>
      </c>
      <c r="W245" s="182">
        <f t="shared" si="42"/>
        <v>0</v>
      </c>
    </row>
    <row r="246" spans="1:23" hidden="1" outlineLevel="1">
      <c r="A246" s="118" t="s">
        <v>672</v>
      </c>
      <c r="B246" s="119" t="s">
        <v>610</v>
      </c>
      <c r="C246" s="119" t="s">
        <v>70</v>
      </c>
      <c r="D246" s="119" t="s">
        <v>405</v>
      </c>
      <c r="E246" s="119" t="s">
        <v>673</v>
      </c>
      <c r="F246" s="119" t="s">
        <v>83</v>
      </c>
      <c r="G246" s="120">
        <v>1</v>
      </c>
      <c r="H246" s="121">
        <v>5000</v>
      </c>
      <c r="I246" s="122">
        <v>0</v>
      </c>
      <c r="J246" s="121">
        <f t="shared" si="40"/>
        <v>5000</v>
      </c>
      <c r="K246" s="138">
        <f t="shared" si="41"/>
        <v>5000</v>
      </c>
      <c r="M246" s="46"/>
      <c r="N246" s="46"/>
      <c r="O246" s="46"/>
      <c r="P246" s="46"/>
      <c r="Q246" s="46"/>
      <c r="R246" s="46"/>
      <c r="S246" s="46"/>
      <c r="T246" s="46"/>
      <c r="U246" s="46"/>
      <c r="V246" s="2">
        <v>5000</v>
      </c>
      <c r="W246" s="182">
        <f t="shared" si="42"/>
        <v>0</v>
      </c>
    </row>
    <row r="247" spans="1:23" hidden="1" outlineLevel="1">
      <c r="A247" s="118" t="s">
        <v>674</v>
      </c>
      <c r="B247" s="119" t="s">
        <v>613</v>
      </c>
      <c r="C247" s="119" t="s">
        <v>70</v>
      </c>
      <c r="D247" s="119" t="s">
        <v>405</v>
      </c>
      <c r="E247" s="119" t="s">
        <v>343</v>
      </c>
      <c r="F247" s="119" t="s">
        <v>83</v>
      </c>
      <c r="G247" s="120">
        <v>1</v>
      </c>
      <c r="H247" s="121">
        <v>413660</v>
      </c>
      <c r="I247" s="122">
        <v>0</v>
      </c>
      <c r="J247" s="121">
        <f t="shared" si="40"/>
        <v>413660</v>
      </c>
      <c r="K247" s="138">
        <f t="shared" si="41"/>
        <v>413660</v>
      </c>
      <c r="M247" s="46" t="s">
        <v>905</v>
      </c>
      <c r="N247" s="46"/>
      <c r="O247" s="46"/>
      <c r="P247" s="46"/>
      <c r="Q247" s="46"/>
      <c r="R247" s="46"/>
      <c r="S247" s="46"/>
      <c r="T247" s="46"/>
      <c r="U247" s="46"/>
      <c r="V247" s="2">
        <v>413660</v>
      </c>
      <c r="W247" s="182">
        <f t="shared" si="42"/>
        <v>0</v>
      </c>
    </row>
    <row r="248" spans="1:23" hidden="1" outlineLevel="1">
      <c r="A248" s="118" t="s">
        <v>675</v>
      </c>
      <c r="B248" s="119" t="s">
        <v>623</v>
      </c>
      <c r="C248" s="119" t="s">
        <v>70</v>
      </c>
      <c r="D248" s="119" t="s">
        <v>405</v>
      </c>
      <c r="E248" s="119" t="s">
        <v>343</v>
      </c>
      <c r="F248" s="119" t="s">
        <v>83</v>
      </c>
      <c r="G248" s="120">
        <v>1</v>
      </c>
      <c r="H248" s="121">
        <v>32717</v>
      </c>
      <c r="I248" s="122">
        <v>0</v>
      </c>
      <c r="J248" s="121">
        <f t="shared" si="40"/>
        <v>32717</v>
      </c>
      <c r="K248" s="381">
        <f t="shared" si="41"/>
        <v>32717</v>
      </c>
      <c r="M248" s="46" t="s">
        <v>611</v>
      </c>
      <c r="N248" s="46"/>
      <c r="O248" s="46"/>
      <c r="P248" s="46"/>
      <c r="Q248" s="46"/>
      <c r="R248" s="46"/>
      <c r="S248" s="46"/>
      <c r="T248" s="46"/>
      <c r="U248" s="46"/>
      <c r="V248" s="2">
        <v>32717</v>
      </c>
      <c r="W248" s="182">
        <f t="shared" si="42"/>
        <v>0</v>
      </c>
    </row>
    <row r="249" spans="1:23" hidden="1" outlineLevel="1">
      <c r="A249" s="118" t="s">
        <v>676</v>
      </c>
      <c r="B249" s="119" t="s">
        <v>627</v>
      </c>
      <c r="C249" s="119" t="s">
        <v>70</v>
      </c>
      <c r="D249" s="119" t="s">
        <v>405</v>
      </c>
      <c r="E249" s="119" t="s">
        <v>343</v>
      </c>
      <c r="F249" s="119" t="s">
        <v>83</v>
      </c>
      <c r="G249" s="120">
        <v>1</v>
      </c>
      <c r="H249" s="121">
        <v>37000</v>
      </c>
      <c r="I249" s="122">
        <v>0</v>
      </c>
      <c r="J249" s="121">
        <f t="shared" si="40"/>
        <v>37000</v>
      </c>
      <c r="K249" s="381">
        <f t="shared" si="41"/>
        <v>37000</v>
      </c>
      <c r="M249" s="46" t="s">
        <v>611</v>
      </c>
      <c r="N249" s="46"/>
      <c r="O249" s="46"/>
      <c r="P249" s="46"/>
      <c r="Q249" s="46"/>
      <c r="R249" s="46"/>
      <c r="S249" s="46"/>
      <c r="T249" s="46"/>
      <c r="U249" s="46"/>
      <c r="V249" s="2">
        <v>37000</v>
      </c>
      <c r="W249" s="182">
        <f t="shared" si="42"/>
        <v>0</v>
      </c>
    </row>
    <row r="250" spans="1:23" s="155" customFormat="1" hidden="1" outlineLevel="1">
      <c r="A250" s="118" t="s">
        <v>677</v>
      </c>
      <c r="B250" s="119" t="s">
        <v>678</v>
      </c>
      <c r="C250" s="119" t="s">
        <v>70</v>
      </c>
      <c r="D250" s="119" t="s">
        <v>405</v>
      </c>
      <c r="E250" s="119" t="s">
        <v>131</v>
      </c>
      <c r="F250" s="119" t="s">
        <v>83</v>
      </c>
      <c r="G250" s="120">
        <v>1</v>
      </c>
      <c r="H250" s="121">
        <v>0</v>
      </c>
      <c r="I250" s="122">
        <v>0</v>
      </c>
      <c r="J250" s="123">
        <f t="shared" si="40"/>
        <v>0</v>
      </c>
      <c r="K250" s="117">
        <f t="shared" si="41"/>
        <v>0</v>
      </c>
      <c r="L250" s="3"/>
      <c r="M250" s="46"/>
      <c r="N250" s="46"/>
      <c r="O250" s="150"/>
      <c r="P250" s="150"/>
      <c r="Q250" s="150"/>
      <c r="R250" s="150"/>
      <c r="S250" s="150"/>
      <c r="T250" s="150"/>
      <c r="U250" s="150"/>
      <c r="V250" s="154"/>
    </row>
    <row r="251" spans="1:23" collapsed="1">
      <c r="A251" s="347" t="s">
        <v>679</v>
      </c>
      <c r="B251" s="105" t="s">
        <v>680</v>
      </c>
      <c r="C251" s="105"/>
      <c r="D251" s="105"/>
      <c r="E251" s="105"/>
      <c r="F251" s="105"/>
      <c r="G251" s="106"/>
      <c r="H251" s="107"/>
      <c r="I251" s="108"/>
      <c r="J251" s="109"/>
      <c r="K251" s="110"/>
      <c r="L251" s="130">
        <f>SUM(K214:K250)</f>
        <v>6907826.5700000003</v>
      </c>
      <c r="M251" s="373"/>
      <c r="N251" s="373"/>
      <c r="O251" s="373"/>
      <c r="P251" s="373"/>
      <c r="Q251" s="373"/>
      <c r="R251" s="373"/>
      <c r="S251" s="373"/>
      <c r="T251" s="373"/>
      <c r="U251" s="373"/>
      <c r="V251" s="2"/>
    </row>
    <row r="252" spans="1:23" hidden="1" outlineLevel="1">
      <c r="A252" s="118" t="s">
        <v>238</v>
      </c>
      <c r="B252" s="119" t="s">
        <v>681</v>
      </c>
      <c r="C252" s="119" t="s">
        <v>144</v>
      </c>
      <c r="D252" s="119"/>
      <c r="E252" s="119" t="s">
        <v>76</v>
      </c>
      <c r="F252" s="119" t="s">
        <v>344</v>
      </c>
      <c r="G252" s="120">
        <f>$N$9</f>
        <v>363</v>
      </c>
      <c r="H252" s="121">
        <v>375</v>
      </c>
      <c r="I252" s="122">
        <v>0</v>
      </c>
      <c r="J252" s="123">
        <f t="shared" ref="J252:J267" si="43">H252*(1+I252)</f>
        <v>375</v>
      </c>
      <c r="K252" s="117">
        <f t="shared" ref="K252:K267" si="44">J252*G252</f>
        <v>136125</v>
      </c>
      <c r="L252" s="182"/>
      <c r="M252" s="88"/>
      <c r="N252" s="88"/>
      <c r="O252" s="88"/>
      <c r="P252" s="88"/>
      <c r="Q252" s="88"/>
      <c r="R252" s="88"/>
      <c r="S252" s="88"/>
      <c r="T252" s="88"/>
      <c r="U252" s="88"/>
      <c r="V252" s="2"/>
    </row>
    <row r="253" spans="1:23" hidden="1" outlineLevel="1">
      <c r="A253" s="137" t="s">
        <v>682</v>
      </c>
      <c r="B253" s="119" t="s">
        <v>683</v>
      </c>
      <c r="C253" s="119" t="s">
        <v>144</v>
      </c>
      <c r="D253" s="119" t="s">
        <v>405</v>
      </c>
      <c r="E253" s="119" t="s">
        <v>76</v>
      </c>
      <c r="F253" s="119" t="s">
        <v>83</v>
      </c>
      <c r="G253" s="120">
        <v>1</v>
      </c>
      <c r="H253" s="121">
        <v>10000</v>
      </c>
      <c r="I253" s="122">
        <v>0</v>
      </c>
      <c r="J253" s="121">
        <f t="shared" si="43"/>
        <v>10000</v>
      </c>
      <c r="K253" s="138">
        <f t="shared" si="44"/>
        <v>10000</v>
      </c>
      <c r="L253" s="182"/>
      <c r="M253" s="46"/>
      <c r="N253" s="46"/>
      <c r="O253" s="46"/>
      <c r="P253" s="46"/>
      <c r="Q253" s="46"/>
      <c r="R253" s="46"/>
      <c r="S253" s="46"/>
      <c r="T253" s="46"/>
      <c r="U253" s="46"/>
      <c r="V253" s="2"/>
    </row>
    <row r="254" spans="1:23" hidden="1" outlineLevel="1">
      <c r="A254" s="137" t="s">
        <v>684</v>
      </c>
      <c r="B254" s="119" t="s">
        <v>683</v>
      </c>
      <c r="C254" s="119" t="s">
        <v>70</v>
      </c>
      <c r="D254" s="119" t="s">
        <v>75</v>
      </c>
      <c r="E254" s="119" t="s">
        <v>343</v>
      </c>
      <c r="F254" s="119" t="s">
        <v>83</v>
      </c>
      <c r="G254" s="120">
        <v>1</v>
      </c>
      <c r="H254" s="121">
        <v>1306636</v>
      </c>
      <c r="I254" s="122">
        <v>0</v>
      </c>
      <c r="J254" s="121">
        <f t="shared" si="43"/>
        <v>1306636</v>
      </c>
      <c r="K254" s="381">
        <f t="shared" si="44"/>
        <v>1306636</v>
      </c>
      <c r="L254" s="182"/>
      <c r="M254" s="46" t="s">
        <v>1080</v>
      </c>
      <c r="N254" s="46"/>
      <c r="O254" s="46"/>
      <c r="P254" s="46"/>
      <c r="Q254" s="46"/>
      <c r="R254" s="46"/>
      <c r="S254" s="46"/>
      <c r="T254" s="46"/>
      <c r="U254" s="46"/>
      <c r="V254" s="2"/>
    </row>
    <row r="255" spans="1:23" hidden="1" outlineLevel="1">
      <c r="A255" s="137" t="s">
        <v>686</v>
      </c>
      <c r="B255" s="119" t="s">
        <v>687</v>
      </c>
      <c r="C255" s="119" t="s">
        <v>70</v>
      </c>
      <c r="D255" s="119" t="s">
        <v>75</v>
      </c>
      <c r="E255" s="119" t="s">
        <v>343</v>
      </c>
      <c r="F255" s="119" t="s">
        <v>83</v>
      </c>
      <c r="G255" s="120">
        <v>1</v>
      </c>
      <c r="H255" s="121">
        <v>823398</v>
      </c>
      <c r="I255" s="122">
        <v>0</v>
      </c>
      <c r="J255" s="121">
        <f t="shared" si="43"/>
        <v>823398</v>
      </c>
      <c r="K255" s="381">
        <f t="shared" si="44"/>
        <v>823398</v>
      </c>
      <c r="L255" s="182"/>
      <c r="M255" s="46" t="s">
        <v>1081</v>
      </c>
      <c r="N255" s="46"/>
      <c r="O255" s="46"/>
      <c r="P255" s="46"/>
      <c r="Q255" s="46"/>
      <c r="R255" s="46"/>
      <c r="S255" s="46"/>
      <c r="T255" s="46"/>
      <c r="U255" s="46"/>
      <c r="V255" s="2"/>
    </row>
    <row r="256" spans="1:23" hidden="1" outlineLevel="1">
      <c r="A256" s="137" t="s">
        <v>688</v>
      </c>
      <c r="B256" s="119" t="s">
        <v>689</v>
      </c>
      <c r="C256" s="119" t="s">
        <v>70</v>
      </c>
      <c r="D256" s="119" t="s">
        <v>75</v>
      </c>
      <c r="E256" s="119" t="s">
        <v>76</v>
      </c>
      <c r="F256" s="119" t="s">
        <v>83</v>
      </c>
      <c r="G256" s="120">
        <v>1</v>
      </c>
      <c r="H256" s="121">
        <v>50000</v>
      </c>
      <c r="I256" s="122">
        <v>0</v>
      </c>
      <c r="J256" s="121">
        <f t="shared" si="43"/>
        <v>50000</v>
      </c>
      <c r="K256" s="138">
        <f t="shared" si="44"/>
        <v>50000</v>
      </c>
      <c r="L256" s="182"/>
      <c r="M256" s="46"/>
      <c r="N256" s="46"/>
      <c r="O256" s="46"/>
      <c r="P256" s="46"/>
      <c r="Q256" s="46"/>
      <c r="R256" s="46"/>
      <c r="S256" s="46"/>
      <c r="T256" s="46"/>
      <c r="U256" s="46"/>
      <c r="V256" s="2"/>
    </row>
    <row r="257" spans="1:22" hidden="1" outlineLevel="1">
      <c r="A257" s="137" t="s">
        <v>690</v>
      </c>
      <c r="B257" s="119" t="s">
        <v>691</v>
      </c>
      <c r="C257" s="119" t="s">
        <v>144</v>
      </c>
      <c r="D257" s="119"/>
      <c r="E257" s="119" t="s">
        <v>76</v>
      </c>
      <c r="F257" s="119" t="s">
        <v>83</v>
      </c>
      <c r="G257" s="120">
        <v>1</v>
      </c>
      <c r="H257" s="121">
        <v>5000</v>
      </c>
      <c r="I257" s="122">
        <v>0</v>
      </c>
      <c r="J257" s="121">
        <f t="shared" si="43"/>
        <v>5000</v>
      </c>
      <c r="K257" s="138">
        <f t="shared" si="44"/>
        <v>5000</v>
      </c>
      <c r="L257" s="182"/>
      <c r="M257" s="46"/>
      <c r="N257" s="46"/>
      <c r="O257" s="46"/>
      <c r="P257" s="46"/>
      <c r="Q257" s="46"/>
      <c r="R257" s="46"/>
      <c r="S257" s="46"/>
      <c r="T257" s="46"/>
      <c r="U257" s="46"/>
      <c r="V257" s="2"/>
    </row>
    <row r="258" spans="1:22" s="155" customFormat="1" hidden="1" outlineLevel="1">
      <c r="A258" s="137" t="s">
        <v>692</v>
      </c>
      <c r="B258" s="119" t="s">
        <v>693</v>
      </c>
      <c r="C258" s="119" t="s">
        <v>70</v>
      </c>
      <c r="D258" s="119" t="s">
        <v>405</v>
      </c>
      <c r="E258" s="119" t="s">
        <v>131</v>
      </c>
      <c r="F258" s="119" t="s">
        <v>83</v>
      </c>
      <c r="G258" s="120">
        <v>1</v>
      </c>
      <c r="H258" s="121">
        <v>0</v>
      </c>
      <c r="I258" s="122">
        <v>0.15</v>
      </c>
      <c r="J258" s="121">
        <f t="shared" si="43"/>
        <v>0</v>
      </c>
      <c r="K258" s="138">
        <f t="shared" si="44"/>
        <v>0</v>
      </c>
      <c r="L258" s="182"/>
      <c r="M258" s="46"/>
      <c r="N258" s="150"/>
      <c r="O258" s="150"/>
      <c r="P258" s="150"/>
      <c r="Q258" s="150"/>
      <c r="R258" s="150"/>
      <c r="S258" s="150"/>
      <c r="T258" s="150"/>
      <c r="U258" s="150"/>
      <c r="V258" s="154"/>
    </row>
    <row r="259" spans="1:22" hidden="1" outlineLevel="1">
      <c r="A259" s="118" t="s">
        <v>694</v>
      </c>
      <c r="B259" s="119" t="s">
        <v>695</v>
      </c>
      <c r="C259" s="119" t="s">
        <v>70</v>
      </c>
      <c r="D259" s="119"/>
      <c r="E259" s="119" t="s">
        <v>343</v>
      </c>
      <c r="F259" s="119" t="s">
        <v>83</v>
      </c>
      <c r="G259" s="120">
        <v>1</v>
      </c>
      <c r="H259" s="121">
        <v>452076</v>
      </c>
      <c r="I259" s="122">
        <v>0</v>
      </c>
      <c r="J259" s="121">
        <f t="shared" si="43"/>
        <v>452076</v>
      </c>
      <c r="K259" s="138">
        <f t="shared" si="44"/>
        <v>452076</v>
      </c>
      <c r="L259" s="182"/>
      <c r="M259" s="46" t="s">
        <v>1082</v>
      </c>
      <c r="N259" s="46"/>
      <c r="O259" s="46"/>
      <c r="P259" s="46"/>
      <c r="Q259" s="46"/>
      <c r="R259" s="46"/>
      <c r="S259" s="46"/>
      <c r="T259" s="46"/>
      <c r="U259" s="46"/>
      <c r="V259" s="2"/>
    </row>
    <row r="260" spans="1:22" hidden="1" outlineLevel="1">
      <c r="A260" s="118" t="s">
        <v>696</v>
      </c>
      <c r="B260" s="119" t="s">
        <v>697</v>
      </c>
      <c r="C260" s="119" t="s">
        <v>144</v>
      </c>
      <c r="D260" s="119"/>
      <c r="E260" s="119" t="s">
        <v>76</v>
      </c>
      <c r="F260" s="119" t="s">
        <v>83</v>
      </c>
      <c r="G260" s="120">
        <v>0</v>
      </c>
      <c r="H260" s="121">
        <v>0</v>
      </c>
      <c r="I260" s="122">
        <v>0</v>
      </c>
      <c r="J260" s="121">
        <f t="shared" si="43"/>
        <v>0</v>
      </c>
      <c r="K260" s="138">
        <f t="shared" si="44"/>
        <v>0</v>
      </c>
      <c r="M260" s="46" t="s">
        <v>1083</v>
      </c>
      <c r="N260" s="46"/>
      <c r="O260" s="46"/>
      <c r="P260" s="46"/>
      <c r="Q260" s="46"/>
      <c r="R260" s="46"/>
      <c r="S260" s="46"/>
      <c r="T260" s="46"/>
      <c r="U260" s="46"/>
      <c r="V260" s="2"/>
    </row>
    <row r="261" spans="1:22" hidden="1" outlineLevel="1">
      <c r="A261" s="118" t="s">
        <v>698</v>
      </c>
      <c r="B261" s="119" t="s">
        <v>699</v>
      </c>
      <c r="C261" s="119" t="s">
        <v>70</v>
      </c>
      <c r="D261" s="119"/>
      <c r="E261" s="119" t="s">
        <v>76</v>
      </c>
      <c r="F261" s="119" t="s">
        <v>83</v>
      </c>
      <c r="G261" s="120">
        <v>1</v>
      </c>
      <c r="H261" s="121">
        <v>15600</v>
      </c>
      <c r="I261" s="122">
        <v>0</v>
      </c>
      <c r="J261" s="121">
        <f t="shared" si="43"/>
        <v>15600</v>
      </c>
      <c r="K261" s="138">
        <f t="shared" si="44"/>
        <v>15600</v>
      </c>
      <c r="M261" s="46"/>
      <c r="N261" s="46"/>
      <c r="O261" s="46"/>
      <c r="P261" s="46"/>
      <c r="Q261" s="46"/>
      <c r="R261" s="46"/>
      <c r="S261" s="46"/>
      <c r="T261" s="46"/>
      <c r="U261" s="46"/>
      <c r="V261" s="2"/>
    </row>
    <row r="262" spans="1:22" hidden="1" outlineLevel="1">
      <c r="A262" s="118" t="s">
        <v>700</v>
      </c>
      <c r="B262" s="119" t="s">
        <v>701</v>
      </c>
      <c r="C262" s="119" t="s">
        <v>70</v>
      </c>
      <c r="D262" s="119"/>
      <c r="E262" s="119" t="s">
        <v>87</v>
      </c>
      <c r="F262" s="119"/>
      <c r="G262" s="120"/>
      <c r="H262" s="121"/>
      <c r="I262" s="122">
        <v>0</v>
      </c>
      <c r="J262" s="121">
        <f t="shared" si="43"/>
        <v>0</v>
      </c>
      <c r="K262" s="138">
        <f t="shared" si="44"/>
        <v>0</v>
      </c>
      <c r="M262" s="46"/>
      <c r="N262" s="46"/>
      <c r="O262" s="46"/>
      <c r="P262" s="46"/>
      <c r="Q262" s="46"/>
      <c r="R262" s="46"/>
      <c r="S262" s="46"/>
      <c r="T262" s="46"/>
      <c r="U262" s="46"/>
      <c r="V262" s="2"/>
    </row>
    <row r="263" spans="1:22" hidden="1" outlineLevel="1">
      <c r="A263" s="118" t="s">
        <v>702</v>
      </c>
      <c r="B263" s="119" t="s">
        <v>703</v>
      </c>
      <c r="C263" s="119" t="s">
        <v>70</v>
      </c>
      <c r="D263" s="119"/>
      <c r="E263" s="119" t="s">
        <v>87</v>
      </c>
      <c r="F263" s="119"/>
      <c r="G263" s="120"/>
      <c r="H263" s="121"/>
      <c r="I263" s="122">
        <v>0</v>
      </c>
      <c r="J263" s="121">
        <f t="shared" si="43"/>
        <v>0</v>
      </c>
      <c r="K263" s="138">
        <f t="shared" si="44"/>
        <v>0</v>
      </c>
      <c r="M263" s="46"/>
      <c r="N263" s="46"/>
      <c r="O263" s="46"/>
      <c r="P263" s="46"/>
      <c r="Q263" s="46"/>
      <c r="R263" s="46"/>
      <c r="S263" s="46"/>
      <c r="T263" s="46"/>
      <c r="U263" s="46"/>
      <c r="V263" s="2"/>
    </row>
    <row r="264" spans="1:22" hidden="1" outlineLevel="1">
      <c r="A264" s="118" t="s">
        <v>704</v>
      </c>
      <c r="B264" s="119" t="s">
        <v>683</v>
      </c>
      <c r="C264" s="119" t="s">
        <v>70</v>
      </c>
      <c r="D264" s="119" t="s">
        <v>405</v>
      </c>
      <c r="E264" s="119" t="s">
        <v>131</v>
      </c>
      <c r="F264" s="119" t="s">
        <v>83</v>
      </c>
      <c r="G264" s="120">
        <v>1</v>
      </c>
      <c r="H264" s="121">
        <v>345550</v>
      </c>
      <c r="I264" s="122">
        <v>0</v>
      </c>
      <c r="J264" s="121">
        <f t="shared" si="43"/>
        <v>345550</v>
      </c>
      <c r="K264" s="381">
        <f t="shared" si="44"/>
        <v>345550</v>
      </c>
      <c r="L264" s="182"/>
      <c r="M264" s="46" t="s">
        <v>906</v>
      </c>
      <c r="N264" s="46"/>
      <c r="O264" s="46"/>
      <c r="P264" s="46"/>
      <c r="Q264" s="46"/>
      <c r="R264" s="46"/>
      <c r="S264" s="46"/>
      <c r="T264" s="46"/>
      <c r="U264" s="46"/>
      <c r="V264" s="2"/>
    </row>
    <row r="265" spans="1:22" hidden="1" outlineLevel="1">
      <c r="A265" s="118" t="s">
        <v>705</v>
      </c>
      <c r="B265" s="119" t="s">
        <v>687</v>
      </c>
      <c r="C265" s="119" t="s">
        <v>70</v>
      </c>
      <c r="D265" s="119" t="s">
        <v>405</v>
      </c>
      <c r="E265" s="119" t="s">
        <v>769</v>
      </c>
      <c r="F265" s="119" t="s">
        <v>83</v>
      </c>
      <c r="G265" s="120">
        <v>1</v>
      </c>
      <c r="H265" s="121">
        <v>75000</v>
      </c>
      <c r="I265" s="122">
        <v>0</v>
      </c>
      <c r="J265" s="121">
        <f t="shared" si="43"/>
        <v>75000</v>
      </c>
      <c r="K265" s="381">
        <f t="shared" si="44"/>
        <v>75000</v>
      </c>
      <c r="L265" s="182"/>
      <c r="M265" s="46" t="s">
        <v>907</v>
      </c>
      <c r="N265" s="46"/>
      <c r="O265" s="46"/>
      <c r="P265" s="46"/>
      <c r="Q265" s="46"/>
      <c r="R265" s="46"/>
      <c r="S265" s="46"/>
      <c r="T265" s="46"/>
      <c r="U265" s="46"/>
      <c r="V265" s="2"/>
    </row>
    <row r="266" spans="1:22" hidden="1" outlineLevel="1">
      <c r="A266" s="118" t="s">
        <v>706</v>
      </c>
      <c r="B266" s="119" t="s">
        <v>689</v>
      </c>
      <c r="C266" s="119" t="s">
        <v>70</v>
      </c>
      <c r="D266" s="119" t="s">
        <v>405</v>
      </c>
      <c r="E266" s="119" t="s">
        <v>76</v>
      </c>
      <c r="F266" s="119" t="s">
        <v>83</v>
      </c>
      <c r="G266" s="120">
        <v>1</v>
      </c>
      <c r="H266" s="121">
        <v>25000</v>
      </c>
      <c r="I266" s="122">
        <v>0</v>
      </c>
      <c r="J266" s="121">
        <f t="shared" si="43"/>
        <v>25000</v>
      </c>
      <c r="K266" s="138">
        <f t="shared" si="44"/>
        <v>25000</v>
      </c>
      <c r="L266" s="182"/>
      <c r="M266" s="46"/>
      <c r="N266" s="46"/>
      <c r="O266" s="46"/>
      <c r="P266" s="46"/>
      <c r="Q266" s="46"/>
      <c r="R266" s="46"/>
      <c r="S266" s="46"/>
      <c r="T266" s="46"/>
      <c r="U266" s="46"/>
      <c r="V266" s="2"/>
    </row>
    <row r="267" spans="1:22" hidden="1" outlineLevel="1">
      <c r="A267" s="118" t="s">
        <v>707</v>
      </c>
      <c r="B267" s="119" t="s">
        <v>695</v>
      </c>
      <c r="C267" s="119" t="s">
        <v>70</v>
      </c>
      <c r="D267" s="119" t="s">
        <v>405</v>
      </c>
      <c r="E267" s="119" t="s">
        <v>343</v>
      </c>
      <c r="F267" s="119" t="s">
        <v>83</v>
      </c>
      <c r="G267" s="120">
        <v>1</v>
      </c>
      <c r="H267" s="121">
        <v>61000</v>
      </c>
      <c r="I267" s="122">
        <v>0</v>
      </c>
      <c r="J267" s="123">
        <f t="shared" si="43"/>
        <v>61000</v>
      </c>
      <c r="K267" s="117">
        <f t="shared" si="44"/>
        <v>61000</v>
      </c>
      <c r="L267" s="360"/>
      <c r="M267" s="46" t="s">
        <v>1084</v>
      </c>
      <c r="N267" s="46"/>
      <c r="O267" s="46"/>
      <c r="P267" s="46"/>
      <c r="Q267" s="46"/>
      <c r="R267" s="46"/>
      <c r="S267" s="46"/>
      <c r="T267" s="46"/>
      <c r="U267" s="46"/>
      <c r="V267" s="2"/>
    </row>
    <row r="268" spans="1:22" collapsed="1">
      <c r="A268" s="347" t="s">
        <v>708</v>
      </c>
      <c r="B268" s="105" t="s">
        <v>709</v>
      </c>
      <c r="C268" s="105"/>
      <c r="D268" s="105"/>
      <c r="E268" s="105"/>
      <c r="F268" s="105"/>
      <c r="G268" s="106"/>
      <c r="H268" s="107"/>
      <c r="I268" s="108"/>
      <c r="J268" s="109"/>
      <c r="K268" s="110"/>
      <c r="L268" s="130">
        <f>SUM(K252:K267)</f>
        <v>3305385</v>
      </c>
      <c r="M268" s="373"/>
      <c r="N268" s="373"/>
      <c r="O268" s="373"/>
      <c r="P268" s="373"/>
      <c r="Q268" s="373"/>
      <c r="R268" s="373"/>
      <c r="S268" s="373"/>
      <c r="T268" s="373"/>
      <c r="U268" s="373"/>
      <c r="V268" s="2"/>
    </row>
    <row r="269" spans="1:22" hidden="1" outlineLevel="1">
      <c r="A269" s="118" t="s">
        <v>710</v>
      </c>
      <c r="B269" s="119"/>
      <c r="C269" s="119"/>
      <c r="D269" s="119" t="s">
        <v>75</v>
      </c>
      <c r="E269" s="119" t="s">
        <v>76</v>
      </c>
      <c r="F269" s="119" t="s">
        <v>83</v>
      </c>
      <c r="G269" s="120">
        <v>2</v>
      </c>
      <c r="H269" s="121">
        <v>594250</v>
      </c>
      <c r="I269" s="122">
        <v>0</v>
      </c>
      <c r="J269" s="123">
        <f t="shared" ref="J269:J270" si="45">H269*(1+I269)</f>
        <v>594250</v>
      </c>
      <c r="K269" s="117">
        <f t="shared" ref="K269:K270" si="46">J269*G269</f>
        <v>1188500</v>
      </c>
      <c r="L269" s="360"/>
      <c r="M269" s="88"/>
      <c r="N269" s="88"/>
      <c r="O269" s="88"/>
      <c r="P269" s="88"/>
      <c r="Q269" s="88"/>
      <c r="R269" s="88"/>
      <c r="S269" s="88"/>
      <c r="T269" s="88"/>
      <c r="U269" s="88"/>
      <c r="V269" s="2"/>
    </row>
    <row r="270" spans="1:22" hidden="1" outlineLevel="1">
      <c r="A270" s="118" t="s">
        <v>712</v>
      </c>
      <c r="B270" s="119"/>
      <c r="C270" s="119"/>
      <c r="D270" s="119" t="s">
        <v>75</v>
      </c>
      <c r="E270" s="119" t="s">
        <v>76</v>
      </c>
      <c r="F270" s="119" t="s">
        <v>83</v>
      </c>
      <c r="G270" s="120">
        <v>1</v>
      </c>
      <c r="H270" s="121">
        <v>100000</v>
      </c>
      <c r="I270" s="122">
        <v>0</v>
      </c>
      <c r="J270" s="123">
        <f t="shared" si="45"/>
        <v>100000</v>
      </c>
      <c r="K270" s="117">
        <f t="shared" si="46"/>
        <v>100000</v>
      </c>
      <c r="L270" s="182"/>
      <c r="M270" s="46" t="s">
        <v>1085</v>
      </c>
      <c r="N270" s="46"/>
      <c r="O270" s="46"/>
      <c r="P270" s="46"/>
      <c r="Q270" s="46"/>
      <c r="R270" s="46"/>
      <c r="S270" s="46"/>
      <c r="T270" s="46"/>
      <c r="U270" s="46"/>
      <c r="V270" s="2"/>
    </row>
    <row r="271" spans="1:22" collapsed="1">
      <c r="A271" s="347" t="s">
        <v>714</v>
      </c>
      <c r="B271" s="105" t="s">
        <v>709</v>
      </c>
      <c r="C271" s="105"/>
      <c r="D271" s="105"/>
      <c r="E271" s="105"/>
      <c r="F271" s="105"/>
      <c r="G271" s="106"/>
      <c r="H271" s="107"/>
      <c r="I271" s="108"/>
      <c r="J271" s="109"/>
      <c r="K271" s="110"/>
      <c r="L271" s="130">
        <f>SUM(K269:K270)</f>
        <v>1288500</v>
      </c>
      <c r="M271" s="373"/>
      <c r="N271" s="373"/>
      <c r="O271" s="373"/>
      <c r="P271" s="373"/>
      <c r="Q271" s="373"/>
      <c r="R271" s="373"/>
      <c r="S271" s="373"/>
      <c r="T271" s="373"/>
      <c r="U271" s="373"/>
      <c r="V271" s="2"/>
    </row>
    <row r="272" spans="1:22" hidden="1" outlineLevel="1">
      <c r="A272" s="118" t="s">
        <v>715</v>
      </c>
      <c r="B272" s="119" t="s">
        <v>716</v>
      </c>
      <c r="C272" s="119" t="s">
        <v>144</v>
      </c>
      <c r="D272" s="119" t="s">
        <v>405</v>
      </c>
      <c r="E272" s="119" t="s">
        <v>76</v>
      </c>
      <c r="F272" s="119" t="s">
        <v>83</v>
      </c>
      <c r="G272" s="120">
        <v>1</v>
      </c>
      <c r="H272" s="121">
        <v>7500</v>
      </c>
      <c r="I272" s="122">
        <v>0</v>
      </c>
      <c r="J272" s="123">
        <f t="shared" ref="J272" si="47">H272*(1+I272)</f>
        <v>7500</v>
      </c>
      <c r="K272" s="117">
        <f>J272*G272</f>
        <v>7500</v>
      </c>
      <c r="M272" s="88"/>
      <c r="N272" s="88"/>
      <c r="O272" s="88"/>
      <c r="P272" s="88"/>
      <c r="Q272" s="88"/>
      <c r="R272" s="88"/>
      <c r="S272" s="88"/>
      <c r="T272" s="88"/>
      <c r="U272" s="88"/>
      <c r="V272" s="2"/>
    </row>
    <row r="273" spans="1:22" collapsed="1">
      <c r="A273" s="347" t="s">
        <v>717</v>
      </c>
      <c r="B273" s="105" t="s">
        <v>718</v>
      </c>
      <c r="C273" s="105"/>
      <c r="D273" s="105"/>
      <c r="E273" s="105"/>
      <c r="F273" s="105"/>
      <c r="G273" s="106"/>
      <c r="H273" s="107"/>
      <c r="I273" s="108"/>
      <c r="J273" s="109"/>
      <c r="K273" s="110"/>
      <c r="L273" s="130">
        <f>SUM(K272)</f>
        <v>7500</v>
      </c>
      <c r="M273" s="373"/>
      <c r="N273" s="373"/>
      <c r="O273" s="373"/>
      <c r="P273" s="373"/>
      <c r="Q273" s="373"/>
      <c r="R273" s="373"/>
      <c r="S273" s="373"/>
      <c r="T273" s="373"/>
      <c r="U273" s="373"/>
      <c r="V273" s="2"/>
    </row>
    <row r="274" spans="1:22" hidden="1" outlineLevel="1">
      <c r="A274" s="111" t="s">
        <v>719</v>
      </c>
      <c r="B274" s="112" t="s">
        <v>720</v>
      </c>
      <c r="C274" s="112" t="s">
        <v>70</v>
      </c>
      <c r="D274" s="112"/>
      <c r="E274" s="112" t="s">
        <v>76</v>
      </c>
      <c r="F274" s="112" t="s">
        <v>83</v>
      </c>
      <c r="G274" s="113">
        <v>1</v>
      </c>
      <c r="H274" s="114">
        <v>977434</v>
      </c>
      <c r="I274" s="115">
        <v>0</v>
      </c>
      <c r="J274" s="116">
        <f t="shared" ref="J274:J276" si="48">H274*(1+I274)</f>
        <v>977434</v>
      </c>
      <c r="K274" s="117">
        <f>J274*G274</f>
        <v>977434</v>
      </c>
      <c r="M274" s="88"/>
      <c r="N274" s="88"/>
      <c r="O274" s="88"/>
      <c r="P274" s="88"/>
      <c r="Q274" s="88"/>
      <c r="R274" s="88"/>
      <c r="S274" s="88"/>
      <c r="T274" s="88"/>
      <c r="U274" s="88"/>
      <c r="V274" s="2"/>
    </row>
    <row r="275" spans="1:22" hidden="1" outlineLevel="1">
      <c r="A275" s="118" t="s">
        <v>722</v>
      </c>
      <c r="B275" s="119" t="s">
        <v>723</v>
      </c>
      <c r="C275" s="119" t="s">
        <v>144</v>
      </c>
      <c r="D275" s="119"/>
      <c r="E275" s="119" t="s">
        <v>76</v>
      </c>
      <c r="F275" s="119" t="s">
        <v>83</v>
      </c>
      <c r="G275" s="120">
        <v>1</v>
      </c>
      <c r="H275" s="121">
        <v>50000</v>
      </c>
      <c r="I275" s="122">
        <v>0</v>
      </c>
      <c r="J275" s="121">
        <f t="shared" si="48"/>
        <v>50000</v>
      </c>
      <c r="K275" s="138">
        <f>J275*G275</f>
        <v>50000</v>
      </c>
      <c r="L275" s="182"/>
      <c r="M275" s="46" t="s">
        <v>1086</v>
      </c>
      <c r="N275" s="46"/>
      <c r="O275" s="46"/>
      <c r="P275" s="46"/>
      <c r="Q275" s="46"/>
      <c r="R275" s="46"/>
      <c r="S275" s="46"/>
      <c r="T275" s="46"/>
      <c r="U275" s="46"/>
      <c r="V275" s="2"/>
    </row>
    <row r="276" spans="1:22" hidden="1" outlineLevel="1">
      <c r="A276" s="118" t="s">
        <v>724</v>
      </c>
      <c r="B276" s="119" t="s">
        <v>725</v>
      </c>
      <c r="C276" s="119" t="s">
        <v>144</v>
      </c>
      <c r="D276" s="119"/>
      <c r="E276" s="119" t="s">
        <v>76</v>
      </c>
      <c r="F276" s="119" t="s">
        <v>83</v>
      </c>
      <c r="G276" s="120">
        <v>1</v>
      </c>
      <c r="H276" s="121">
        <v>50000</v>
      </c>
      <c r="I276" s="122">
        <v>0</v>
      </c>
      <c r="J276" s="123">
        <f t="shared" si="48"/>
        <v>50000</v>
      </c>
      <c r="K276" s="117">
        <f>J276*G276</f>
        <v>50000</v>
      </c>
      <c r="L276" s="182"/>
      <c r="M276" s="46"/>
      <c r="N276" s="46"/>
      <c r="O276" s="46"/>
      <c r="P276" s="46"/>
      <c r="Q276" s="46"/>
      <c r="R276" s="46"/>
      <c r="S276" s="46"/>
      <c r="T276" s="46"/>
      <c r="U276" s="46"/>
      <c r="V276" s="2"/>
    </row>
    <row r="277" spans="1:22" collapsed="1">
      <c r="A277" s="347" t="s">
        <v>726</v>
      </c>
      <c r="B277" s="105" t="s">
        <v>727</v>
      </c>
      <c r="C277" s="105"/>
      <c r="D277" s="105"/>
      <c r="E277" s="105"/>
      <c r="F277" s="105"/>
      <c r="G277" s="106"/>
      <c r="H277" s="107"/>
      <c r="I277" s="108"/>
      <c r="J277" s="109"/>
      <c r="K277" s="110"/>
      <c r="L277" s="130">
        <f>SUM(K274:K276)</f>
        <v>1077434</v>
      </c>
      <c r="M277" s="373"/>
      <c r="N277" s="373"/>
      <c r="O277" s="373"/>
      <c r="P277" s="373"/>
      <c r="Q277" s="373"/>
      <c r="R277" s="373"/>
      <c r="S277" s="373"/>
      <c r="T277" s="373"/>
      <c r="U277" s="373"/>
      <c r="V277" s="2"/>
    </row>
    <row r="278" spans="1:22" hidden="1" outlineLevel="1">
      <c r="A278" s="118" t="s">
        <v>728</v>
      </c>
      <c r="B278" s="119" t="s">
        <v>729</v>
      </c>
      <c r="C278" s="119" t="s">
        <v>70</v>
      </c>
      <c r="D278" s="119"/>
      <c r="E278" s="119" t="s">
        <v>329</v>
      </c>
      <c r="F278" s="119" t="s">
        <v>83</v>
      </c>
      <c r="G278" s="120">
        <f>$B$9</f>
        <v>17.350000000000001</v>
      </c>
      <c r="H278" s="121">
        <v>9972</v>
      </c>
      <c r="I278" s="122">
        <v>0</v>
      </c>
      <c r="J278" s="123">
        <f t="shared" ref="J278:J286" si="49">H278*(1+I278)</f>
        <v>9972</v>
      </c>
      <c r="K278" s="117">
        <f t="shared" ref="K278:K286" si="50">J278*G278</f>
        <v>173014.2</v>
      </c>
      <c r="L278" s="360"/>
      <c r="M278" s="88" t="s">
        <v>730</v>
      </c>
      <c r="N278" s="88"/>
      <c r="O278" s="88"/>
      <c r="P278" s="88"/>
      <c r="Q278" s="88"/>
      <c r="R278" s="88"/>
      <c r="S278" s="88"/>
      <c r="T278" s="88"/>
      <c r="U278" s="88"/>
      <c r="V278" s="2"/>
    </row>
    <row r="279" spans="1:22" hidden="1" outlineLevel="1">
      <c r="A279" s="118" t="s">
        <v>731</v>
      </c>
      <c r="B279" s="119" t="s">
        <v>732</v>
      </c>
      <c r="C279" s="119" t="s">
        <v>70</v>
      </c>
      <c r="D279" s="119"/>
      <c r="E279" s="119" t="s">
        <v>76</v>
      </c>
      <c r="F279" s="119" t="s">
        <v>83</v>
      </c>
      <c r="G279" s="151">
        <v>1</v>
      </c>
      <c r="H279" s="121">
        <v>10000</v>
      </c>
      <c r="I279" s="122">
        <v>0</v>
      </c>
      <c r="J279" s="121">
        <f t="shared" si="49"/>
        <v>10000</v>
      </c>
      <c r="K279" s="138">
        <f t="shared" si="50"/>
        <v>10000</v>
      </c>
      <c r="M279" s="46" t="s">
        <v>730</v>
      </c>
      <c r="N279" s="46"/>
      <c r="O279" s="46"/>
      <c r="P279" s="46"/>
      <c r="Q279" s="46"/>
      <c r="R279" s="46"/>
      <c r="S279" s="46"/>
      <c r="T279" s="46"/>
      <c r="U279" s="46"/>
      <c r="V279" s="2"/>
    </row>
    <row r="280" spans="1:22" hidden="1" outlineLevel="1">
      <c r="A280" s="118" t="s">
        <v>733</v>
      </c>
      <c r="B280" s="119" t="s">
        <v>734</v>
      </c>
      <c r="C280" s="119" t="s">
        <v>70</v>
      </c>
      <c r="D280" s="119"/>
      <c r="E280" s="119" t="s">
        <v>76</v>
      </c>
      <c r="F280" s="119" t="s">
        <v>83</v>
      </c>
      <c r="G280" s="151">
        <v>1</v>
      </c>
      <c r="H280" s="121">
        <v>5000</v>
      </c>
      <c r="I280" s="122">
        <v>0</v>
      </c>
      <c r="J280" s="121">
        <f t="shared" si="49"/>
        <v>5000</v>
      </c>
      <c r="K280" s="138">
        <f t="shared" si="50"/>
        <v>5000</v>
      </c>
      <c r="M280" s="46" t="s">
        <v>730</v>
      </c>
      <c r="N280" s="46"/>
      <c r="O280" s="46"/>
      <c r="P280" s="46"/>
      <c r="Q280" s="46"/>
      <c r="R280" s="46"/>
      <c r="S280" s="46"/>
      <c r="T280" s="46"/>
      <c r="U280" s="46"/>
      <c r="V280" s="2"/>
    </row>
    <row r="281" spans="1:22" hidden="1" outlineLevel="1">
      <c r="A281" s="118" t="s">
        <v>735</v>
      </c>
      <c r="B281" s="119" t="s">
        <v>736</v>
      </c>
      <c r="C281" s="119" t="s">
        <v>70</v>
      </c>
      <c r="D281" s="119"/>
      <c r="E281" s="119" t="s">
        <v>329</v>
      </c>
      <c r="F281" s="119" t="s">
        <v>83</v>
      </c>
      <c r="G281" s="151">
        <f t="shared" ref="G281:G286" si="51">$B$9</f>
        <v>17.350000000000001</v>
      </c>
      <c r="H281" s="121">
        <v>5775</v>
      </c>
      <c r="I281" s="122">
        <v>0</v>
      </c>
      <c r="J281" s="121">
        <f t="shared" si="49"/>
        <v>5775</v>
      </c>
      <c r="K281" s="138">
        <f t="shared" si="50"/>
        <v>100196.25000000001</v>
      </c>
      <c r="M281" s="46" t="s">
        <v>730</v>
      </c>
      <c r="N281" s="46"/>
      <c r="O281" s="46"/>
      <c r="P281" s="46"/>
      <c r="Q281" s="46"/>
      <c r="R281" s="46"/>
      <c r="S281" s="46"/>
      <c r="T281" s="46"/>
      <c r="U281" s="46"/>
      <c r="V281" s="2"/>
    </row>
    <row r="282" spans="1:22" hidden="1" outlineLevel="1">
      <c r="A282" s="118" t="s">
        <v>738</v>
      </c>
      <c r="B282" s="119" t="s">
        <v>739</v>
      </c>
      <c r="C282" s="119" t="s">
        <v>70</v>
      </c>
      <c r="D282" s="119"/>
      <c r="E282" s="119" t="s">
        <v>329</v>
      </c>
      <c r="F282" s="119" t="s">
        <v>83</v>
      </c>
      <c r="G282" s="151">
        <f t="shared" si="51"/>
        <v>17.350000000000001</v>
      </c>
      <c r="H282" s="121">
        <v>7500</v>
      </c>
      <c r="I282" s="122">
        <v>0</v>
      </c>
      <c r="J282" s="121">
        <f t="shared" si="49"/>
        <v>7500</v>
      </c>
      <c r="K282" s="138">
        <f t="shared" si="50"/>
        <v>130125.00000000001</v>
      </c>
      <c r="M282" s="46" t="s">
        <v>730</v>
      </c>
      <c r="N282" s="46"/>
      <c r="O282" s="46"/>
      <c r="P282" s="46"/>
      <c r="Q282" s="46"/>
      <c r="R282" s="46"/>
      <c r="S282" s="46"/>
      <c r="T282" s="46"/>
      <c r="U282" s="46"/>
      <c r="V282" s="2"/>
    </row>
    <row r="283" spans="1:22" hidden="1" outlineLevel="1">
      <c r="A283" s="118" t="s">
        <v>740</v>
      </c>
      <c r="B283" s="119" t="s">
        <v>741</v>
      </c>
      <c r="C283" s="119" t="s">
        <v>70</v>
      </c>
      <c r="D283" s="119"/>
      <c r="E283" s="119" t="s">
        <v>329</v>
      </c>
      <c r="F283" s="119" t="s">
        <v>83</v>
      </c>
      <c r="G283" s="151">
        <f t="shared" si="51"/>
        <v>17.350000000000001</v>
      </c>
      <c r="H283" s="121">
        <v>7500</v>
      </c>
      <c r="I283" s="122">
        <v>0</v>
      </c>
      <c r="J283" s="121">
        <f t="shared" si="49"/>
        <v>7500</v>
      </c>
      <c r="K283" s="138">
        <f t="shared" si="50"/>
        <v>130125.00000000001</v>
      </c>
      <c r="M283" s="46" t="s">
        <v>730</v>
      </c>
      <c r="N283" s="46"/>
      <c r="O283" s="46"/>
      <c r="P283" s="46"/>
      <c r="Q283" s="46"/>
      <c r="R283" s="46"/>
      <c r="S283" s="46"/>
      <c r="T283" s="46"/>
      <c r="U283" s="46"/>
      <c r="V283" s="2"/>
    </row>
    <row r="284" spans="1:22" hidden="1" outlineLevel="1">
      <c r="A284" s="118" t="s">
        <v>742</v>
      </c>
      <c r="B284" s="119" t="s">
        <v>743</v>
      </c>
      <c r="C284" s="119" t="s">
        <v>70</v>
      </c>
      <c r="D284" s="119"/>
      <c r="E284" s="119" t="s">
        <v>76</v>
      </c>
      <c r="F284" s="119" t="s">
        <v>83</v>
      </c>
      <c r="G284" s="151">
        <f t="shared" si="51"/>
        <v>17.350000000000001</v>
      </c>
      <c r="H284" s="121">
        <v>1000</v>
      </c>
      <c r="I284" s="122">
        <v>0</v>
      </c>
      <c r="J284" s="121">
        <f t="shared" si="49"/>
        <v>1000</v>
      </c>
      <c r="K284" s="138">
        <f t="shared" si="50"/>
        <v>17350</v>
      </c>
      <c r="M284" s="46" t="s">
        <v>730</v>
      </c>
      <c r="N284" s="46"/>
      <c r="O284" s="46"/>
      <c r="P284" s="46"/>
      <c r="Q284" s="46"/>
      <c r="R284" s="46"/>
      <c r="S284" s="46"/>
      <c r="T284" s="46"/>
      <c r="U284" s="46"/>
      <c r="V284" s="2"/>
    </row>
    <row r="285" spans="1:22" hidden="1" outlineLevel="1">
      <c r="A285" s="118" t="s">
        <v>744</v>
      </c>
      <c r="B285" s="119" t="s">
        <v>745</v>
      </c>
      <c r="C285" s="119" t="s">
        <v>70</v>
      </c>
      <c r="D285" s="119"/>
      <c r="E285" s="119" t="s">
        <v>76</v>
      </c>
      <c r="F285" s="119" t="s">
        <v>83</v>
      </c>
      <c r="G285" s="151">
        <f t="shared" si="51"/>
        <v>17.350000000000001</v>
      </c>
      <c r="H285" s="121">
        <v>1000</v>
      </c>
      <c r="I285" s="122">
        <v>0</v>
      </c>
      <c r="J285" s="121">
        <f t="shared" si="49"/>
        <v>1000</v>
      </c>
      <c r="K285" s="138">
        <f t="shared" si="50"/>
        <v>17350</v>
      </c>
      <c r="M285" s="46" t="s">
        <v>730</v>
      </c>
      <c r="N285" s="46"/>
      <c r="O285" s="46"/>
      <c r="P285" s="46"/>
      <c r="Q285" s="46"/>
      <c r="R285" s="46"/>
      <c r="S285" s="46"/>
      <c r="T285" s="46"/>
      <c r="U285" s="46"/>
      <c r="V285" s="2"/>
    </row>
    <row r="286" spans="1:22" hidden="1" outlineLevel="1">
      <c r="A286" s="118" t="s">
        <v>746</v>
      </c>
      <c r="B286" s="119" t="s">
        <v>747</v>
      </c>
      <c r="C286" s="119" t="s">
        <v>70</v>
      </c>
      <c r="D286" s="119"/>
      <c r="E286" s="119" t="s">
        <v>329</v>
      </c>
      <c r="F286" s="119" t="s">
        <v>83</v>
      </c>
      <c r="G286" s="120">
        <f t="shared" si="51"/>
        <v>17.350000000000001</v>
      </c>
      <c r="H286" s="121">
        <v>2500</v>
      </c>
      <c r="I286" s="122">
        <v>0</v>
      </c>
      <c r="J286" s="123">
        <f t="shared" si="49"/>
        <v>2500</v>
      </c>
      <c r="K286" s="117">
        <f t="shared" si="50"/>
        <v>43375</v>
      </c>
      <c r="L286" s="182"/>
      <c r="M286" s="46" t="s">
        <v>730</v>
      </c>
      <c r="N286" s="46"/>
      <c r="O286" s="46"/>
      <c r="P286" s="46"/>
      <c r="Q286" s="46"/>
      <c r="R286" s="46"/>
      <c r="S286" s="46"/>
      <c r="T286" s="46"/>
      <c r="U286" s="46"/>
      <c r="V286" s="2"/>
    </row>
    <row r="287" spans="1:22" collapsed="1">
      <c r="A287" s="347" t="s">
        <v>748</v>
      </c>
      <c r="B287" s="105" t="s">
        <v>749</v>
      </c>
      <c r="C287" s="105"/>
      <c r="D287" s="105"/>
      <c r="E287" s="105"/>
      <c r="F287" s="105"/>
      <c r="G287" s="106"/>
      <c r="H287" s="107"/>
      <c r="I287" s="108"/>
      <c r="J287" s="109"/>
      <c r="K287" s="110"/>
      <c r="L287" s="130">
        <f>SUM(K278:K286)</f>
        <v>626535.45000000007</v>
      </c>
      <c r="M287" s="373"/>
      <c r="N287" s="373"/>
      <c r="O287" s="373"/>
      <c r="P287" s="373"/>
      <c r="Q287" s="373"/>
      <c r="R287" s="373"/>
      <c r="S287" s="373"/>
      <c r="T287" s="373"/>
      <c r="U287" s="373"/>
      <c r="V287" s="2"/>
    </row>
    <row r="288" spans="1:22" hidden="1" outlineLevel="1">
      <c r="A288" s="118" t="s">
        <v>750</v>
      </c>
      <c r="B288" s="119"/>
      <c r="C288" s="119"/>
      <c r="D288" s="119"/>
      <c r="E288" s="119"/>
      <c r="F288" s="119"/>
      <c r="G288" s="122">
        <v>0</v>
      </c>
      <c r="H288" s="121"/>
      <c r="I288" s="122"/>
      <c r="J288" s="123"/>
      <c r="K288" s="117">
        <f>G288*SUM(K16:K286)</f>
        <v>0</v>
      </c>
      <c r="L288" s="360"/>
      <c r="M288" s="88"/>
      <c r="N288" s="88"/>
      <c r="O288" s="88"/>
      <c r="P288" s="88"/>
      <c r="Q288" s="88"/>
      <c r="R288" s="88"/>
      <c r="S288" s="88"/>
      <c r="T288" s="88"/>
      <c r="U288" s="88"/>
      <c r="V288" s="2"/>
    </row>
    <row r="289" spans="1:24" hidden="1" outlineLevel="1">
      <c r="A289" s="118" t="s">
        <v>751</v>
      </c>
      <c r="B289" s="119"/>
      <c r="C289" s="119"/>
      <c r="D289" s="119"/>
      <c r="E289" s="119"/>
      <c r="F289" s="119"/>
      <c r="G289" s="122">
        <v>0.02</v>
      </c>
      <c r="H289" s="121"/>
      <c r="I289" s="122"/>
      <c r="J289" s="123"/>
      <c r="K289" s="117">
        <v>1112398.6699982213</v>
      </c>
      <c r="L289" s="360"/>
      <c r="M289" s="46"/>
      <c r="N289" s="46"/>
      <c r="O289" s="46"/>
      <c r="P289" s="46"/>
      <c r="Q289" s="46"/>
      <c r="R289" s="46"/>
      <c r="S289" s="46"/>
      <c r="T289" s="46"/>
      <c r="U289" s="46"/>
      <c r="V289" s="2"/>
    </row>
    <row r="290" spans="1:24" collapsed="1">
      <c r="A290" s="347" t="s">
        <v>752</v>
      </c>
      <c r="B290" s="105" t="s">
        <v>751</v>
      </c>
      <c r="C290" s="105"/>
      <c r="D290" s="105"/>
      <c r="E290" s="105"/>
      <c r="F290" s="105"/>
      <c r="G290" s="106"/>
      <c r="H290" s="482"/>
      <c r="I290" s="108"/>
      <c r="J290" s="109"/>
      <c r="K290" s="110"/>
      <c r="L290" s="130">
        <f>SUM(K288:K289)</f>
        <v>1112398.6699982213</v>
      </c>
      <c r="M290" s="373"/>
      <c r="N290" s="373"/>
      <c r="O290" s="373"/>
      <c r="P290" s="373"/>
      <c r="Q290" s="373"/>
      <c r="R290" s="373"/>
      <c r="S290" s="373"/>
      <c r="T290" s="373"/>
      <c r="U290" s="373"/>
      <c r="V290" s="2"/>
    </row>
    <row r="291" spans="1:24" hidden="1" outlineLevel="1">
      <c r="A291" s="118" t="s">
        <v>753</v>
      </c>
      <c r="B291" s="119" t="s">
        <v>754</v>
      </c>
      <c r="C291" s="119" t="s">
        <v>70</v>
      </c>
      <c r="D291" s="119"/>
      <c r="E291" s="119" t="s">
        <v>76</v>
      </c>
      <c r="F291" s="119" t="s">
        <v>83</v>
      </c>
      <c r="G291" s="120">
        <v>1</v>
      </c>
      <c r="H291" s="435">
        <v>10000</v>
      </c>
      <c r="I291" s="122">
        <v>0</v>
      </c>
      <c r="J291" s="123">
        <f t="shared" ref="J291:J304" si="52">H291*(1+I291)</f>
        <v>10000</v>
      </c>
      <c r="K291" s="117">
        <f t="shared" ref="K291:K304" si="53">J291*G291</f>
        <v>10000</v>
      </c>
      <c r="L291" s="360"/>
      <c r="M291" s="88"/>
      <c r="N291" s="88"/>
      <c r="O291" s="88"/>
      <c r="P291" s="88"/>
      <c r="Q291" s="88"/>
      <c r="R291" s="88"/>
      <c r="S291" s="88"/>
      <c r="T291" s="88"/>
      <c r="U291" s="88"/>
      <c r="V291" s="2"/>
    </row>
    <row r="292" spans="1:24" hidden="1" outlineLevel="1">
      <c r="A292" s="118" t="s">
        <v>755</v>
      </c>
      <c r="B292" s="119" t="s">
        <v>756</v>
      </c>
      <c r="C292" s="119" t="s">
        <v>70</v>
      </c>
      <c r="D292" s="119"/>
      <c r="E292" s="119" t="s">
        <v>87</v>
      </c>
      <c r="F292" s="119"/>
      <c r="G292" s="120"/>
      <c r="H292" s="435"/>
      <c r="I292" s="122">
        <v>0</v>
      </c>
      <c r="J292" s="121">
        <f t="shared" si="52"/>
        <v>0</v>
      </c>
      <c r="K292" s="138">
        <f t="shared" si="53"/>
        <v>0</v>
      </c>
      <c r="L292" s="182"/>
      <c r="M292" s="46"/>
      <c r="N292" s="46"/>
      <c r="O292" s="46"/>
      <c r="P292" s="46"/>
      <c r="Q292" s="46"/>
      <c r="R292" s="46"/>
      <c r="S292" s="46"/>
      <c r="T292" s="46"/>
      <c r="U292" s="46"/>
      <c r="V292" s="2"/>
    </row>
    <row r="293" spans="1:24" hidden="1" outlineLevel="1">
      <c r="A293" s="118" t="s">
        <v>757</v>
      </c>
      <c r="B293" s="119" t="s">
        <v>758</v>
      </c>
      <c r="C293" s="119" t="s">
        <v>70</v>
      </c>
      <c r="D293" s="119"/>
      <c r="E293" s="119" t="s">
        <v>87</v>
      </c>
      <c r="F293" s="119" t="s">
        <v>83</v>
      </c>
      <c r="G293" s="120">
        <v>0</v>
      </c>
      <c r="H293" s="435">
        <v>21000</v>
      </c>
      <c r="I293" s="122">
        <v>0</v>
      </c>
      <c r="J293" s="121">
        <f t="shared" si="52"/>
        <v>21000</v>
      </c>
      <c r="K293" s="138">
        <f t="shared" si="53"/>
        <v>0</v>
      </c>
      <c r="L293" s="182"/>
      <c r="M293" s="46"/>
      <c r="N293" s="46"/>
      <c r="O293" s="46"/>
      <c r="P293" s="46"/>
      <c r="Q293" s="46"/>
      <c r="R293" s="46"/>
      <c r="S293" s="46"/>
      <c r="T293" s="46"/>
      <c r="U293" s="46"/>
      <c r="V293" s="2"/>
    </row>
    <row r="294" spans="1:24" hidden="1" outlineLevel="1">
      <c r="A294" s="118" t="s">
        <v>759</v>
      </c>
      <c r="B294" s="119" t="s">
        <v>760</v>
      </c>
      <c r="C294" s="119" t="s">
        <v>70</v>
      </c>
      <c r="D294" s="119"/>
      <c r="E294" s="119" t="s">
        <v>76</v>
      </c>
      <c r="F294" s="119" t="s">
        <v>83</v>
      </c>
      <c r="G294" s="120">
        <v>1</v>
      </c>
      <c r="H294" s="435">
        <v>25000</v>
      </c>
      <c r="I294" s="122">
        <v>0</v>
      </c>
      <c r="J294" s="121">
        <f t="shared" si="52"/>
        <v>25000</v>
      </c>
      <c r="K294" s="138">
        <f t="shared" si="53"/>
        <v>25000</v>
      </c>
      <c r="L294" s="182"/>
      <c r="M294" s="46"/>
      <c r="N294" s="46"/>
      <c r="O294" s="46"/>
      <c r="P294" s="46"/>
      <c r="Q294" s="46"/>
      <c r="R294" s="46"/>
      <c r="S294" s="46"/>
      <c r="T294" s="46"/>
      <c r="U294" s="46"/>
      <c r="V294" s="2"/>
    </row>
    <row r="295" spans="1:24" hidden="1" outlineLevel="1">
      <c r="A295" s="158" t="s">
        <v>761</v>
      </c>
      <c r="B295" s="119" t="s">
        <v>762</v>
      </c>
      <c r="C295" s="119" t="s">
        <v>70</v>
      </c>
      <c r="D295" s="119"/>
      <c r="E295" s="119" t="s">
        <v>486</v>
      </c>
      <c r="F295" s="119" t="s">
        <v>83</v>
      </c>
      <c r="G295" s="120">
        <v>2</v>
      </c>
      <c r="H295" s="483">
        <v>47324</v>
      </c>
      <c r="I295" s="122">
        <v>0</v>
      </c>
      <c r="J295" s="121">
        <f t="shared" si="52"/>
        <v>47324</v>
      </c>
      <c r="K295" s="381">
        <f t="shared" si="53"/>
        <v>94648</v>
      </c>
      <c r="L295" s="182"/>
      <c r="M295" s="46"/>
      <c r="N295" s="46"/>
      <c r="O295" s="46"/>
      <c r="P295" s="46"/>
      <c r="Q295" s="46"/>
      <c r="R295" s="46"/>
      <c r="S295" s="46"/>
      <c r="T295" s="46"/>
      <c r="U295" s="46"/>
      <c r="V295" s="2"/>
    </row>
    <row r="296" spans="1:24" hidden="1" outlineLevel="1">
      <c r="A296" s="158" t="s">
        <v>763</v>
      </c>
      <c r="B296" s="119" t="s">
        <v>764</v>
      </c>
      <c r="C296" s="119" t="s">
        <v>70</v>
      </c>
      <c r="D296" s="119"/>
      <c r="E296" s="119" t="s">
        <v>87</v>
      </c>
      <c r="F296" s="119"/>
      <c r="G296" s="120"/>
      <c r="H296" s="435"/>
      <c r="I296" s="122">
        <v>0</v>
      </c>
      <c r="J296" s="121">
        <f t="shared" si="52"/>
        <v>0</v>
      </c>
      <c r="K296" s="138">
        <f t="shared" si="53"/>
        <v>0</v>
      </c>
      <c r="L296" s="182"/>
      <c r="M296" s="46"/>
      <c r="N296" s="46"/>
      <c r="O296" s="46"/>
      <c r="P296" s="46"/>
      <c r="Q296" s="46"/>
      <c r="R296" s="46"/>
      <c r="S296" s="46"/>
      <c r="T296" s="46"/>
      <c r="U296" s="46"/>
      <c r="V296" s="2"/>
      <c r="X296" s="3">
        <f>62000000*0.06</f>
        <v>3720000</v>
      </c>
    </row>
    <row r="297" spans="1:24" hidden="1" outlineLevel="1">
      <c r="A297" s="158" t="s">
        <v>765</v>
      </c>
      <c r="B297" s="119" t="s">
        <v>766</v>
      </c>
      <c r="C297" s="119" t="s">
        <v>70</v>
      </c>
      <c r="D297" s="119"/>
      <c r="E297" s="119" t="s">
        <v>76</v>
      </c>
      <c r="F297" s="119" t="s">
        <v>83</v>
      </c>
      <c r="G297" s="120">
        <v>1</v>
      </c>
      <c r="H297" s="435">
        <v>15000</v>
      </c>
      <c r="I297" s="122">
        <v>0</v>
      </c>
      <c r="J297" s="121">
        <f t="shared" si="52"/>
        <v>15000</v>
      </c>
      <c r="K297" s="138">
        <f t="shared" si="53"/>
        <v>15000</v>
      </c>
      <c r="L297" s="182"/>
      <c r="M297" s="46"/>
      <c r="N297" s="46"/>
      <c r="O297" s="46"/>
      <c r="P297" s="46"/>
      <c r="Q297" s="46"/>
      <c r="R297" s="46"/>
      <c r="S297" s="46"/>
      <c r="T297" s="46"/>
      <c r="U297" s="46"/>
      <c r="V297" s="2"/>
    </row>
    <row r="298" spans="1:24" hidden="1" outlineLevel="1">
      <c r="A298" s="158" t="s">
        <v>767</v>
      </c>
      <c r="B298" s="119" t="s">
        <v>768</v>
      </c>
      <c r="C298" s="119" t="s">
        <v>70</v>
      </c>
      <c r="D298" s="119"/>
      <c r="E298" s="119" t="s">
        <v>769</v>
      </c>
      <c r="F298" s="119" t="s">
        <v>83</v>
      </c>
      <c r="G298" s="120">
        <v>1</v>
      </c>
      <c r="H298" s="435">
        <v>5000</v>
      </c>
      <c r="I298" s="122">
        <v>0</v>
      </c>
      <c r="J298" s="121">
        <f t="shared" si="52"/>
        <v>5000</v>
      </c>
      <c r="K298" s="138">
        <f t="shared" si="53"/>
        <v>5000</v>
      </c>
      <c r="L298" s="182"/>
      <c r="M298" s="46"/>
      <c r="N298" s="46"/>
      <c r="O298" s="46"/>
      <c r="P298" s="46"/>
      <c r="Q298" s="46"/>
      <c r="R298" s="46"/>
      <c r="S298" s="46"/>
      <c r="T298" s="46"/>
      <c r="U298" s="46"/>
      <c r="V298" s="2"/>
    </row>
    <row r="299" spans="1:24" hidden="1" outlineLevel="1">
      <c r="A299" s="158" t="s">
        <v>770</v>
      </c>
      <c r="B299" s="119" t="s">
        <v>771</v>
      </c>
      <c r="C299" s="119" t="s">
        <v>70</v>
      </c>
      <c r="D299" s="119"/>
      <c r="E299" s="119" t="s">
        <v>87</v>
      </c>
      <c r="F299" s="119"/>
      <c r="G299" s="120"/>
      <c r="H299" s="435"/>
      <c r="I299" s="122">
        <v>0</v>
      </c>
      <c r="J299" s="121">
        <f t="shared" si="52"/>
        <v>0</v>
      </c>
      <c r="K299" s="138">
        <f t="shared" si="53"/>
        <v>0</v>
      </c>
      <c r="L299" s="182"/>
      <c r="M299" s="46"/>
      <c r="N299" s="46"/>
      <c r="O299" s="46"/>
      <c r="P299" s="46"/>
      <c r="Q299" s="46"/>
      <c r="R299" s="46"/>
      <c r="S299" s="46"/>
      <c r="T299" s="46"/>
      <c r="U299" s="46"/>
      <c r="V299" s="2"/>
    </row>
    <row r="300" spans="1:24" hidden="1" outlineLevel="1">
      <c r="A300" s="118" t="s">
        <v>772</v>
      </c>
      <c r="B300" s="119" t="s">
        <v>773</v>
      </c>
      <c r="C300" s="119" t="s">
        <v>70</v>
      </c>
      <c r="D300" s="119"/>
      <c r="E300" s="119" t="s">
        <v>76</v>
      </c>
      <c r="F300" s="119" t="s">
        <v>83</v>
      </c>
      <c r="G300" s="120">
        <v>3</v>
      </c>
      <c r="H300" s="435">
        <v>500000</v>
      </c>
      <c r="I300" s="122">
        <v>0</v>
      </c>
      <c r="J300" s="121">
        <f t="shared" si="52"/>
        <v>500000</v>
      </c>
      <c r="K300" s="381">
        <f t="shared" si="53"/>
        <v>1500000</v>
      </c>
      <c r="L300" s="182"/>
      <c r="M300" s="46"/>
      <c r="N300" s="46"/>
      <c r="O300" s="46"/>
      <c r="P300" s="46"/>
      <c r="Q300" s="46"/>
      <c r="R300" s="46"/>
      <c r="S300" s="46"/>
      <c r="T300" s="46"/>
      <c r="U300" s="46"/>
      <c r="V300" s="2"/>
    </row>
    <row r="301" spans="1:24" hidden="1" outlineLevel="1">
      <c r="A301" s="118" t="s">
        <v>222</v>
      </c>
      <c r="B301" s="119" t="s">
        <v>775</v>
      </c>
      <c r="C301" s="119" t="s">
        <v>70</v>
      </c>
      <c r="D301" s="119"/>
      <c r="E301" s="119" t="s">
        <v>673</v>
      </c>
      <c r="F301" s="119" t="s">
        <v>83</v>
      </c>
      <c r="G301" s="120">
        <v>3</v>
      </c>
      <c r="H301" s="435">
        <v>100000</v>
      </c>
      <c r="I301" s="122">
        <v>0</v>
      </c>
      <c r="J301" s="121">
        <f t="shared" si="52"/>
        <v>100000</v>
      </c>
      <c r="K301" s="381">
        <f t="shared" si="53"/>
        <v>300000</v>
      </c>
      <c r="L301" s="182"/>
      <c r="M301" s="46"/>
      <c r="N301" s="46"/>
      <c r="O301" s="46"/>
      <c r="P301" s="46"/>
      <c r="Q301" s="46"/>
      <c r="R301" s="46"/>
      <c r="S301" s="46"/>
      <c r="T301" s="46"/>
      <c r="U301" s="46"/>
      <c r="V301" s="2"/>
    </row>
    <row r="302" spans="1:24" hidden="1" outlineLevel="1">
      <c r="A302" s="158" t="s">
        <v>776</v>
      </c>
      <c r="B302" s="119" t="s">
        <v>564</v>
      </c>
      <c r="C302" s="119" t="s">
        <v>70</v>
      </c>
      <c r="D302" s="119"/>
      <c r="E302" s="119" t="s">
        <v>76</v>
      </c>
      <c r="F302" s="119" t="s">
        <v>83</v>
      </c>
      <c r="G302" s="120">
        <v>1</v>
      </c>
      <c r="H302" s="435">
        <v>20000</v>
      </c>
      <c r="I302" s="122">
        <v>0</v>
      </c>
      <c r="J302" s="121">
        <f t="shared" si="52"/>
        <v>20000</v>
      </c>
      <c r="K302" s="138">
        <f t="shared" si="53"/>
        <v>20000</v>
      </c>
      <c r="L302" s="182"/>
      <c r="M302" s="46"/>
      <c r="N302" s="46"/>
      <c r="O302" s="46"/>
      <c r="P302" s="46"/>
      <c r="Q302" s="46"/>
      <c r="R302" s="46"/>
      <c r="S302" s="46"/>
      <c r="T302" s="46"/>
      <c r="U302" s="46"/>
      <c r="V302" s="2"/>
    </row>
    <row r="303" spans="1:24" hidden="1" outlineLevel="1">
      <c r="A303" s="158" t="s">
        <v>777</v>
      </c>
      <c r="B303" s="119" t="s">
        <v>778</v>
      </c>
      <c r="C303" s="119" t="s">
        <v>70</v>
      </c>
      <c r="D303" s="119"/>
      <c r="E303" s="119" t="s">
        <v>76</v>
      </c>
      <c r="F303" s="119" t="s">
        <v>83</v>
      </c>
      <c r="G303" s="120">
        <v>1</v>
      </c>
      <c r="H303" s="435">
        <v>2000</v>
      </c>
      <c r="I303" s="122">
        <v>0</v>
      </c>
      <c r="J303" s="121">
        <f t="shared" si="52"/>
        <v>2000</v>
      </c>
      <c r="K303" s="138">
        <f t="shared" si="53"/>
        <v>2000</v>
      </c>
      <c r="L303" s="182"/>
      <c r="M303" s="46"/>
      <c r="N303" s="46"/>
      <c r="O303" s="46"/>
      <c r="P303" s="46"/>
      <c r="Q303" s="46"/>
      <c r="R303" s="46"/>
      <c r="S303" s="46"/>
      <c r="T303" s="46"/>
      <c r="U303" s="46"/>
      <c r="V303" s="2"/>
    </row>
    <row r="304" spans="1:24" hidden="1" outlineLevel="1">
      <c r="A304" s="118" t="s">
        <v>779</v>
      </c>
      <c r="B304" s="119" t="s">
        <v>780</v>
      </c>
      <c r="C304" s="119" t="s">
        <v>70</v>
      </c>
      <c r="D304" s="119"/>
      <c r="E304" s="119" t="s">
        <v>76</v>
      </c>
      <c r="F304" s="119" t="s">
        <v>83</v>
      </c>
      <c r="G304" s="120">
        <v>1</v>
      </c>
      <c r="H304" s="435">
        <v>1200</v>
      </c>
      <c r="I304" s="122">
        <v>0</v>
      </c>
      <c r="J304" s="123">
        <f t="shared" si="52"/>
        <v>1200</v>
      </c>
      <c r="K304" s="117">
        <f t="shared" si="53"/>
        <v>1200</v>
      </c>
      <c r="L304" s="182"/>
      <c r="M304" s="46"/>
      <c r="N304" s="46"/>
      <c r="O304" s="46"/>
      <c r="P304" s="46"/>
      <c r="Q304" s="46"/>
      <c r="R304" s="46"/>
      <c r="S304" s="46"/>
      <c r="T304" s="46"/>
      <c r="U304" s="46"/>
      <c r="V304" s="2"/>
    </row>
    <row r="305" spans="1:22" collapsed="1">
      <c r="A305" s="347" t="s">
        <v>781</v>
      </c>
      <c r="B305" s="105" t="s">
        <v>782</v>
      </c>
      <c r="C305" s="105"/>
      <c r="D305" s="105"/>
      <c r="E305" s="105"/>
      <c r="F305" s="105"/>
      <c r="G305" s="106"/>
      <c r="H305" s="107"/>
      <c r="I305" s="108"/>
      <c r="J305" s="109"/>
      <c r="K305" s="110"/>
      <c r="L305" s="130">
        <f>SUM(K291:K304)</f>
        <v>1972848</v>
      </c>
      <c r="M305" s="373"/>
      <c r="N305" s="373"/>
      <c r="O305" s="373"/>
      <c r="P305" s="373"/>
      <c r="Q305" s="373"/>
      <c r="R305" s="373"/>
      <c r="S305" s="373"/>
      <c r="T305" s="373"/>
      <c r="U305" s="373"/>
      <c r="V305" s="2"/>
    </row>
    <row r="306" spans="1:22" hidden="1" outlineLevel="1">
      <c r="A306" s="118" t="s">
        <v>783</v>
      </c>
      <c r="B306" s="119" t="s">
        <v>784</v>
      </c>
      <c r="C306" s="119"/>
      <c r="D306" s="119"/>
      <c r="E306" s="119"/>
      <c r="F306" s="119"/>
      <c r="G306" s="122">
        <v>0.05</v>
      </c>
      <c r="H306" s="121"/>
      <c r="I306" s="122"/>
      <c r="J306" s="123"/>
      <c r="K306" s="117">
        <v>2782346.6749955532</v>
      </c>
      <c r="L306" s="182"/>
      <c r="M306" s="88"/>
      <c r="N306" s="88"/>
      <c r="O306" s="88"/>
      <c r="P306" s="88"/>
      <c r="Q306" s="88"/>
      <c r="R306" s="88"/>
      <c r="S306" s="88"/>
      <c r="T306" s="88"/>
      <c r="U306" s="88"/>
      <c r="V306" s="2"/>
    </row>
    <row r="307" spans="1:22" collapsed="1">
      <c r="A307" s="347" t="s">
        <v>783</v>
      </c>
      <c r="B307" s="105" t="s">
        <v>785</v>
      </c>
      <c r="C307" s="105"/>
      <c r="D307" s="105"/>
      <c r="E307" s="105"/>
      <c r="F307" s="105"/>
      <c r="G307" s="106"/>
      <c r="H307" s="107"/>
      <c r="I307" s="108"/>
      <c r="J307" s="107"/>
      <c r="K307" s="348"/>
      <c r="L307" s="130">
        <f>K306</f>
        <v>2782346.6749955532</v>
      </c>
      <c r="M307" s="373"/>
      <c r="N307" s="373"/>
      <c r="O307" s="373"/>
      <c r="P307" s="373"/>
      <c r="Q307" s="373"/>
      <c r="R307" s="373"/>
      <c r="S307" s="373"/>
      <c r="T307" s="373"/>
      <c r="U307" s="373"/>
      <c r="V307" s="2"/>
    </row>
    <row r="308" spans="1:22" hidden="1" outlineLevel="1">
      <c r="A308" s="111" t="s">
        <v>786</v>
      </c>
      <c r="B308" s="112" t="s">
        <v>787</v>
      </c>
      <c r="C308" s="112" t="s">
        <v>788</v>
      </c>
      <c r="D308" s="112"/>
      <c r="E308" s="112"/>
      <c r="F308" s="112"/>
      <c r="G308" s="156">
        <v>1.7000000000000001E-2</v>
      </c>
      <c r="H308" s="114"/>
      <c r="I308" s="115"/>
      <c r="J308" s="116"/>
      <c r="K308" s="117">
        <v>945538.86949848814</v>
      </c>
      <c r="L308" s="360"/>
      <c r="M308" s="88"/>
      <c r="N308" s="88"/>
      <c r="O308" s="88"/>
      <c r="P308" s="88"/>
      <c r="Q308" s="88"/>
      <c r="R308" s="88"/>
      <c r="S308" s="88"/>
      <c r="T308" s="88"/>
      <c r="U308" s="88"/>
      <c r="V308" s="2"/>
    </row>
    <row r="309" spans="1:22" collapsed="1">
      <c r="A309" s="347" t="s">
        <v>786</v>
      </c>
      <c r="B309" s="105" t="s">
        <v>789</v>
      </c>
      <c r="C309" s="105"/>
      <c r="D309" s="105"/>
      <c r="E309" s="105"/>
      <c r="F309" s="105"/>
      <c r="G309" s="106"/>
      <c r="H309" s="107"/>
      <c r="I309" s="108"/>
      <c r="J309" s="109"/>
      <c r="K309" s="110"/>
      <c r="L309" s="130">
        <f>SUM(K308)</f>
        <v>945538.86949848814</v>
      </c>
      <c r="M309" s="373"/>
      <c r="N309" s="373"/>
      <c r="O309" s="373"/>
      <c r="P309" s="373"/>
      <c r="Q309" s="373"/>
      <c r="R309" s="373"/>
      <c r="S309" s="373"/>
      <c r="T309" s="373"/>
      <c r="U309" s="373"/>
      <c r="V309" s="2"/>
    </row>
    <row r="310" spans="1:22" hidden="1" outlineLevel="1">
      <c r="A310" s="118" t="s">
        <v>790</v>
      </c>
      <c r="B310" s="119" t="s">
        <v>791</v>
      </c>
      <c r="C310" s="119"/>
      <c r="D310" s="119"/>
      <c r="E310" s="119"/>
      <c r="F310" s="119" t="s">
        <v>792</v>
      </c>
      <c r="G310" s="462">
        <v>5</v>
      </c>
      <c r="H310" s="121"/>
      <c r="I310" s="122"/>
      <c r="J310" s="123"/>
      <c r="K310" s="117">
        <v>310599.66749955533</v>
      </c>
      <c r="L310" s="182"/>
      <c r="M310" s="88"/>
      <c r="N310" s="88"/>
      <c r="O310" s="88"/>
      <c r="P310" s="88"/>
      <c r="Q310" s="88"/>
      <c r="R310" s="88"/>
      <c r="S310" s="88"/>
      <c r="T310" s="88"/>
      <c r="U310" s="88"/>
      <c r="V310" s="2"/>
    </row>
    <row r="311" spans="1:22" hidden="1" outlineLevel="1">
      <c r="A311" s="158" t="s">
        <v>793</v>
      </c>
      <c r="B311" s="119" t="s">
        <v>791</v>
      </c>
      <c r="C311" s="119"/>
      <c r="D311" s="119"/>
      <c r="E311" s="119"/>
      <c r="F311" s="119" t="s">
        <v>794</v>
      </c>
      <c r="G311" s="122">
        <v>0.05</v>
      </c>
      <c r="H311" s="121"/>
      <c r="I311" s="122"/>
      <c r="J311" s="121"/>
      <c r="K311" s="138">
        <v>15529.983374977768</v>
      </c>
      <c r="L311" s="182"/>
      <c r="M311" s="46"/>
      <c r="N311" s="46"/>
      <c r="O311" s="46"/>
      <c r="P311" s="46"/>
      <c r="Q311" s="46"/>
      <c r="R311" s="46"/>
      <c r="S311" s="46"/>
      <c r="T311" s="46"/>
      <c r="U311" s="46"/>
      <c r="V311" s="2"/>
    </row>
    <row r="312" spans="1:22" hidden="1" outlineLevel="1">
      <c r="A312" s="118" t="s">
        <v>795</v>
      </c>
      <c r="B312" s="119" t="s">
        <v>791</v>
      </c>
      <c r="C312" s="119"/>
      <c r="D312" s="119"/>
      <c r="E312" s="119"/>
      <c r="F312" s="119" t="s">
        <v>796</v>
      </c>
      <c r="G312" s="120">
        <v>0.95</v>
      </c>
      <c r="H312" s="121"/>
      <c r="I312" s="122"/>
      <c r="J312" s="123"/>
      <c r="K312" s="117">
        <v>295069.68412457756</v>
      </c>
      <c r="L312" s="182"/>
      <c r="M312" s="46"/>
      <c r="N312" s="46"/>
      <c r="O312" s="46"/>
      <c r="P312" s="46"/>
      <c r="Q312" s="46"/>
      <c r="R312" s="46"/>
      <c r="S312" s="46"/>
      <c r="T312" s="46"/>
      <c r="U312" s="46"/>
      <c r="V312" s="2"/>
    </row>
    <row r="313" spans="1:22" collapsed="1">
      <c r="A313" s="347" t="s">
        <v>797</v>
      </c>
      <c r="B313" s="105" t="s">
        <v>789</v>
      </c>
      <c r="C313" s="105"/>
      <c r="D313" s="105"/>
      <c r="E313" s="105"/>
      <c r="F313" s="105"/>
      <c r="G313" s="106"/>
      <c r="H313" s="107"/>
      <c r="I313" s="108"/>
      <c r="J313" s="109"/>
      <c r="K313" s="110"/>
      <c r="L313" s="130">
        <f>SUM(K310:K312)</f>
        <v>621199.33499911067</v>
      </c>
      <c r="M313" s="373"/>
      <c r="N313" s="373"/>
      <c r="O313" s="373"/>
      <c r="P313" s="373"/>
      <c r="Q313" s="373"/>
      <c r="R313" s="373"/>
      <c r="S313" s="373"/>
      <c r="T313" s="373"/>
      <c r="U313" s="373"/>
      <c r="V313" s="2"/>
    </row>
    <row r="314" spans="1:22" hidden="1" outlineLevel="1">
      <c r="A314" s="118" t="s">
        <v>798</v>
      </c>
      <c r="B314" s="119" t="s">
        <v>799</v>
      </c>
      <c r="C314" s="119"/>
      <c r="D314" s="119"/>
      <c r="E314" s="119"/>
      <c r="F314" s="119"/>
      <c r="G314" s="391">
        <v>0.02</v>
      </c>
      <c r="H314" s="121"/>
      <c r="I314" s="122"/>
      <c r="J314" s="123"/>
      <c r="K314" s="117">
        <v>1112938.6699982199</v>
      </c>
      <c r="L314" s="182"/>
      <c r="M314" s="88"/>
      <c r="N314" s="88"/>
      <c r="O314" s="88"/>
      <c r="P314" s="88"/>
      <c r="Q314" s="88"/>
      <c r="R314" s="88"/>
      <c r="S314" s="88"/>
      <c r="T314" s="88"/>
      <c r="U314" s="88"/>
      <c r="V314" s="2"/>
    </row>
    <row r="315" spans="1:22" hidden="1" outlineLevel="1">
      <c r="A315" s="118" t="s">
        <v>800</v>
      </c>
      <c r="B315" s="119" t="s">
        <v>799</v>
      </c>
      <c r="C315" s="119"/>
      <c r="D315" s="119"/>
      <c r="E315" s="119"/>
      <c r="F315" s="119"/>
      <c r="G315" s="391">
        <v>0.06</v>
      </c>
      <c r="H315" s="121"/>
      <c r="I315" s="122"/>
      <c r="J315" s="123"/>
      <c r="K315" s="117">
        <v>3338816.0099946638</v>
      </c>
      <c r="L315" s="182"/>
      <c r="M315" s="46"/>
      <c r="N315" s="46"/>
      <c r="O315" s="46"/>
      <c r="P315" s="46"/>
      <c r="Q315" s="46"/>
      <c r="R315" s="46"/>
      <c r="S315" s="46"/>
      <c r="T315" s="46"/>
      <c r="U315" s="46"/>
      <c r="V315" s="2"/>
    </row>
    <row r="316" spans="1:22" collapsed="1">
      <c r="A316" s="347" t="s">
        <v>801</v>
      </c>
      <c r="B316" s="105" t="s">
        <v>799</v>
      </c>
      <c r="C316" s="105"/>
      <c r="D316" s="105"/>
      <c r="E316" s="105"/>
      <c r="F316" s="105"/>
      <c r="G316" s="106"/>
      <c r="H316" s="107"/>
      <c r="I316" s="108"/>
      <c r="J316" s="109"/>
      <c r="K316" s="110"/>
      <c r="L316" s="130">
        <f>SUM(K314:K315)</f>
        <v>4451754.6799928835</v>
      </c>
      <c r="M316" s="373"/>
      <c r="N316" s="373"/>
      <c r="O316" s="373"/>
      <c r="P316" s="373"/>
      <c r="Q316" s="373"/>
      <c r="R316" s="373"/>
      <c r="S316" s="373"/>
      <c r="T316" s="373"/>
      <c r="U316" s="373"/>
      <c r="V316" s="2"/>
    </row>
    <row r="317" spans="1:22">
      <c r="A317" s="47"/>
      <c r="G317" s="385"/>
      <c r="H317" s="386"/>
      <c r="I317" s="312"/>
      <c r="J317" s="386"/>
      <c r="K317" s="182"/>
      <c r="L317" s="360"/>
      <c r="V317" s="2"/>
    </row>
    <row r="318" spans="1:22" ht="15.75" thickBot="1">
      <c r="A318" s="361" t="s">
        <v>802</v>
      </c>
      <c r="B318" s="362"/>
      <c r="C318" s="362"/>
      <c r="D318" s="362"/>
      <c r="E318" s="362"/>
      <c r="F318" s="362"/>
      <c r="G318" s="362"/>
      <c r="H318" s="363"/>
      <c r="I318" s="364"/>
      <c r="J318" s="365"/>
      <c r="K318" s="365"/>
      <c r="L318" s="366">
        <f>SUM(L14:L317)</f>
        <v>68871987.739389986</v>
      </c>
      <c r="M318" s="367"/>
      <c r="N318" s="367"/>
      <c r="O318" s="367"/>
      <c r="P318" s="367"/>
      <c r="Q318" s="367"/>
      <c r="R318" s="367"/>
      <c r="S318" s="367"/>
      <c r="T318" s="367"/>
      <c r="U318" s="367"/>
      <c r="V318" s="2"/>
    </row>
    <row r="319" spans="1:22" ht="15.75" thickBot="1">
      <c r="G319" s="2"/>
      <c r="H319" s="2"/>
      <c r="I319" s="170"/>
      <c r="L319" s="171">
        <f>SUM(K14:K318)-L318</f>
        <v>0</v>
      </c>
      <c r="M319" s="171"/>
    </row>
    <row r="320" spans="1:22">
      <c r="A320" s="172" t="s">
        <v>72</v>
      </c>
      <c r="B320" s="20" t="s">
        <v>69</v>
      </c>
      <c r="C320" s="20"/>
      <c r="D320" s="20"/>
      <c r="E320" s="173">
        <f t="shared" ref="E320:E355" si="54">_xlfn.XLOOKUP(A320,$A$14:$A$318,$L$14:$L$318)</f>
        <v>3338816.0099946638</v>
      </c>
      <c r="L320" s="171"/>
      <c r="N320" s="174" t="s">
        <v>803</v>
      </c>
      <c r="O320" s="24"/>
    </row>
    <row r="321" spans="1:43">
      <c r="A321" s="175" t="s">
        <v>77</v>
      </c>
      <c r="B321" s="18" t="s">
        <v>78</v>
      </c>
      <c r="C321" s="18"/>
      <c r="D321" s="18"/>
      <c r="E321" s="176">
        <f t="shared" si="54"/>
        <v>16000</v>
      </c>
      <c r="N321" s="177">
        <f>SUM(K291:K304,K16:K286)</f>
        <v>55619933.499911062</v>
      </c>
      <c r="O321" s="28"/>
    </row>
    <row r="322" spans="1:43">
      <c r="A322" s="175" t="s">
        <v>121</v>
      </c>
      <c r="B322" s="18" t="s">
        <v>122</v>
      </c>
      <c r="C322" s="18"/>
      <c r="D322" s="18"/>
      <c r="E322" s="176">
        <f t="shared" si="54"/>
        <v>2785657.8839000002</v>
      </c>
      <c r="N322" s="177">
        <f>N321*0.06</f>
        <v>3337196.0099946638</v>
      </c>
      <c r="O322" s="455">
        <f>N321*0.05</f>
        <v>2780996.6749955532</v>
      </c>
    </row>
    <row r="323" spans="1:43" ht="15.75" thickBot="1">
      <c r="A323" s="175" t="s">
        <v>804</v>
      </c>
      <c r="B323" s="18" t="s">
        <v>805</v>
      </c>
      <c r="C323" s="18"/>
      <c r="D323" s="18"/>
      <c r="E323" s="176" t="e">
        <f>_xlfn.XLOOKUP(A323,$A$14:$A$318,$L$14:$L$318)</f>
        <v>#N/A</v>
      </c>
      <c r="N323" s="178">
        <f>N322/B6</f>
        <v>111239.86699982213</v>
      </c>
      <c r="O323" s="73"/>
    </row>
    <row r="324" spans="1:43">
      <c r="A324" s="175" t="s">
        <v>146</v>
      </c>
      <c r="B324" s="18" t="s">
        <v>147</v>
      </c>
      <c r="C324" s="18"/>
      <c r="D324" s="18"/>
      <c r="E324" s="176">
        <f t="shared" si="54"/>
        <v>255200</v>
      </c>
    </row>
    <row r="325" spans="1:43" s="2" customFormat="1">
      <c r="A325" s="175" t="s">
        <v>175</v>
      </c>
      <c r="B325" s="18" t="s">
        <v>176</v>
      </c>
      <c r="C325" s="18"/>
      <c r="D325" s="18"/>
      <c r="E325" s="176">
        <f t="shared" si="54"/>
        <v>459954</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row>
    <row r="326" spans="1:43" s="2" customFormat="1">
      <c r="A326" s="175" t="s">
        <v>220</v>
      </c>
      <c r="B326" s="18" t="s">
        <v>221</v>
      </c>
      <c r="C326" s="18"/>
      <c r="D326" s="18"/>
      <c r="E326" s="176">
        <f t="shared" si="54"/>
        <v>8327162.3799999999</v>
      </c>
      <c r="G326" s="3"/>
      <c r="H326" s="3"/>
      <c r="I326" s="3"/>
      <c r="J326" s="3"/>
      <c r="K326" s="3"/>
      <c r="L326" s="3"/>
      <c r="M326" s="3"/>
      <c r="N326" s="441"/>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row>
    <row r="327" spans="1:43" s="2" customFormat="1">
      <c r="A327" s="175" t="s">
        <v>267</v>
      </c>
      <c r="B327" s="18" t="s">
        <v>268</v>
      </c>
      <c r="C327" s="18"/>
      <c r="D327" s="18"/>
      <c r="E327" s="176">
        <f t="shared" si="54"/>
        <v>2157341.9422999998</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row>
    <row r="328" spans="1:43" s="2" customFormat="1">
      <c r="A328" s="175" t="s">
        <v>297</v>
      </c>
      <c r="B328" s="18" t="s">
        <v>298</v>
      </c>
      <c r="C328" s="18"/>
      <c r="D328" s="18"/>
      <c r="E328" s="176">
        <f t="shared" si="54"/>
        <v>597923</v>
      </c>
      <c r="G328" s="3"/>
      <c r="H328" s="3"/>
      <c r="I328" s="3"/>
      <c r="J328" s="3"/>
      <c r="K328" s="3"/>
      <c r="L328" s="3"/>
      <c r="M328" s="3"/>
      <c r="N328" s="441"/>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row>
    <row r="329" spans="1:43" s="2" customFormat="1">
      <c r="A329" s="175" t="s">
        <v>391</v>
      </c>
      <c r="B329" s="18" t="s">
        <v>392</v>
      </c>
      <c r="C329" s="18"/>
      <c r="D329" s="18"/>
      <c r="E329" s="176">
        <f t="shared" si="54"/>
        <v>5644662.8446532246</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row>
    <row r="330" spans="1:43" s="2" customFormat="1">
      <c r="A330" s="175" t="s">
        <v>431</v>
      </c>
      <c r="B330" s="18" t="s">
        <v>432</v>
      </c>
      <c r="C330" s="18"/>
      <c r="D330" s="18"/>
      <c r="E330" s="176">
        <f t="shared" si="54"/>
        <v>468431</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row>
    <row r="331" spans="1:43" s="2" customFormat="1">
      <c r="A331" s="179" t="s">
        <v>440</v>
      </c>
      <c r="B331" s="35" t="s">
        <v>441</v>
      </c>
      <c r="C331" s="35"/>
      <c r="D331" s="35"/>
      <c r="E331" s="180">
        <f t="shared" si="54"/>
        <v>1168905.0105263158</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row>
    <row r="332" spans="1:43" s="2" customFormat="1">
      <c r="A332" s="172" t="s">
        <v>476</v>
      </c>
      <c r="B332" s="20" t="s">
        <v>477</v>
      </c>
      <c r="C332" s="20"/>
      <c r="D332" s="20"/>
      <c r="E332" s="173">
        <f t="shared" si="54"/>
        <v>2059949</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row>
    <row r="333" spans="1:43" s="2" customFormat="1">
      <c r="A333" s="175" t="s">
        <v>487</v>
      </c>
      <c r="B333" s="18" t="s">
        <v>488</v>
      </c>
      <c r="C333" s="18"/>
      <c r="D333" s="18"/>
      <c r="E333" s="176">
        <f t="shared" si="54"/>
        <v>907561</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row>
    <row r="334" spans="1:43" s="2" customFormat="1">
      <c r="A334" s="175" t="s">
        <v>489</v>
      </c>
      <c r="B334" s="18" t="s">
        <v>490</v>
      </c>
      <c r="C334" s="18"/>
      <c r="D334" s="18"/>
      <c r="E334" s="176">
        <f t="shared" si="54"/>
        <v>0</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row>
    <row r="335" spans="1:43" s="2" customFormat="1">
      <c r="A335" s="175" t="s">
        <v>496</v>
      </c>
      <c r="B335" s="18" t="s">
        <v>497</v>
      </c>
      <c r="C335" s="18"/>
      <c r="D335" s="18"/>
      <c r="E335" s="176">
        <f t="shared" si="54"/>
        <v>439560</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row>
    <row r="336" spans="1:43" s="2" customFormat="1">
      <c r="A336" s="175" t="s">
        <v>506</v>
      </c>
      <c r="B336" s="18" t="s">
        <v>507</v>
      </c>
      <c r="C336" s="18"/>
      <c r="D336" s="18"/>
      <c r="E336" s="176">
        <f t="shared" si="54"/>
        <v>1110813.1499999999</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row>
    <row r="337" spans="1:43" s="2" customFormat="1">
      <c r="A337" s="175" t="s">
        <v>520</v>
      </c>
      <c r="B337" s="18" t="s">
        <v>521</v>
      </c>
      <c r="C337" s="18"/>
      <c r="D337" s="18"/>
      <c r="E337" s="176">
        <f t="shared" si="54"/>
        <v>3688547</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row>
    <row r="338" spans="1:43" s="2" customFormat="1">
      <c r="A338" s="175" t="s">
        <v>527</v>
      </c>
      <c r="B338" s="18" t="s">
        <v>528</v>
      </c>
      <c r="C338" s="18"/>
      <c r="D338" s="18"/>
      <c r="E338" s="176">
        <f t="shared" si="54"/>
        <v>3588865.979381443</v>
      </c>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row>
    <row r="339" spans="1:43" s="2" customFormat="1">
      <c r="A339" s="175" t="s">
        <v>561</v>
      </c>
      <c r="B339" s="18" t="s">
        <v>562</v>
      </c>
      <c r="C339" s="18"/>
      <c r="D339" s="18"/>
      <c r="E339" s="176">
        <f t="shared" si="54"/>
        <v>4194933.9826938845</v>
      </c>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row>
    <row r="340" spans="1:43" s="2" customFormat="1">
      <c r="A340" s="175" t="s">
        <v>571</v>
      </c>
      <c r="B340" s="18" t="s">
        <v>572</v>
      </c>
      <c r="C340" s="18"/>
      <c r="D340" s="18"/>
      <c r="E340" s="176">
        <f t="shared" si="54"/>
        <v>166956.95000000001</v>
      </c>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row>
    <row r="341" spans="1:43" s="2" customFormat="1">
      <c r="A341" s="175" t="s">
        <v>582</v>
      </c>
      <c r="B341" s="18" t="s">
        <v>583</v>
      </c>
      <c r="C341" s="18"/>
      <c r="D341" s="18"/>
      <c r="E341" s="176">
        <f t="shared" si="54"/>
        <v>848751.35645618744</v>
      </c>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row>
    <row r="342" spans="1:43" s="2" customFormat="1">
      <c r="A342" s="175" t="s">
        <v>603</v>
      </c>
      <c r="B342" s="18" t="s">
        <v>604</v>
      </c>
      <c r="C342" s="18"/>
      <c r="D342" s="18"/>
      <c r="E342" s="176">
        <f t="shared" si="54"/>
        <v>1546728</v>
      </c>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row>
    <row r="343" spans="1:43" s="2" customFormat="1">
      <c r="A343" s="179" t="s">
        <v>679</v>
      </c>
      <c r="B343" s="35" t="s">
        <v>680</v>
      </c>
      <c r="C343" s="35"/>
      <c r="D343" s="35"/>
      <c r="E343" s="180">
        <f t="shared" si="54"/>
        <v>6907826.5700000003</v>
      </c>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row>
    <row r="344" spans="1:43" s="2" customFormat="1">
      <c r="A344" s="172" t="s">
        <v>708</v>
      </c>
      <c r="B344" s="20" t="s">
        <v>709</v>
      </c>
      <c r="C344" s="20"/>
      <c r="D344" s="20"/>
      <c r="E344" s="173">
        <f t="shared" si="54"/>
        <v>3305385</v>
      </c>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row>
    <row r="345" spans="1:43" s="2" customFormat="1">
      <c r="A345" s="175" t="s">
        <v>717</v>
      </c>
      <c r="B345" s="18" t="s">
        <v>718</v>
      </c>
      <c r="C345" s="18"/>
      <c r="D345" s="18"/>
      <c r="E345" s="176">
        <f t="shared" si="54"/>
        <v>7500</v>
      </c>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row>
    <row r="346" spans="1:43" s="2" customFormat="1">
      <c r="A346" s="175" t="s">
        <v>726</v>
      </c>
      <c r="B346" s="18" t="s">
        <v>727</v>
      </c>
      <c r="C346" s="18"/>
      <c r="D346" s="18"/>
      <c r="E346" s="176">
        <f t="shared" si="54"/>
        <v>1077434</v>
      </c>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row>
    <row r="347" spans="1:43" s="2" customFormat="1">
      <c r="A347" s="175" t="s">
        <v>748</v>
      </c>
      <c r="B347" s="18" t="s">
        <v>749</v>
      </c>
      <c r="C347" s="18"/>
      <c r="D347" s="18"/>
      <c r="E347" s="176">
        <f t="shared" si="54"/>
        <v>626535.45000000007</v>
      </c>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row>
    <row r="348" spans="1:43" s="2" customFormat="1">
      <c r="A348" s="175" t="s">
        <v>806</v>
      </c>
      <c r="B348" s="18"/>
      <c r="C348" s="18"/>
      <c r="D348" s="18"/>
      <c r="E348" s="176" t="e">
        <f t="shared" si="54"/>
        <v>#N/A</v>
      </c>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row>
    <row r="349" spans="1:43" s="2" customFormat="1">
      <c r="A349" s="175" t="s">
        <v>751</v>
      </c>
      <c r="B349" s="18"/>
      <c r="C349" s="18"/>
      <c r="D349" s="18"/>
      <c r="E349" s="176">
        <f t="shared" si="54"/>
        <v>0</v>
      </c>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row>
    <row r="350" spans="1:43" s="2" customFormat="1">
      <c r="A350" s="175" t="s">
        <v>781</v>
      </c>
      <c r="B350" s="18"/>
      <c r="C350" s="18"/>
      <c r="D350" s="18"/>
      <c r="E350" s="176">
        <f t="shared" si="54"/>
        <v>1972848</v>
      </c>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row>
    <row r="351" spans="1:43" s="2" customFormat="1">
      <c r="A351" s="175" t="s">
        <v>783</v>
      </c>
      <c r="B351" s="18" t="s">
        <v>785</v>
      </c>
      <c r="C351" s="18"/>
      <c r="D351" s="18"/>
      <c r="E351" s="176">
        <f t="shared" si="54"/>
        <v>0</v>
      </c>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row>
    <row r="352" spans="1:43" s="2" customFormat="1">
      <c r="A352" s="175" t="s">
        <v>786</v>
      </c>
      <c r="B352" s="18" t="s">
        <v>789</v>
      </c>
      <c r="C352" s="18"/>
      <c r="D352" s="18"/>
      <c r="E352" s="176">
        <f t="shared" si="54"/>
        <v>0</v>
      </c>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row>
    <row r="353" spans="1:43" s="2" customFormat="1">
      <c r="A353" s="175" t="s">
        <v>797</v>
      </c>
      <c r="B353" s="18" t="s">
        <v>789</v>
      </c>
      <c r="C353" s="18"/>
      <c r="D353" s="18"/>
      <c r="E353" s="176">
        <f t="shared" si="54"/>
        <v>621199.33499911067</v>
      </c>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row>
    <row r="354" spans="1:43" s="2" customFormat="1">
      <c r="A354" s="175" t="s">
        <v>800</v>
      </c>
      <c r="B354" s="18" t="s">
        <v>799</v>
      </c>
      <c r="C354" s="18"/>
      <c r="D354" s="18"/>
      <c r="E354" s="176">
        <f t="shared" si="54"/>
        <v>0</v>
      </c>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row>
    <row r="355" spans="1:43" s="2" customFormat="1">
      <c r="A355" s="181" t="s">
        <v>802</v>
      </c>
      <c r="B355" s="35"/>
      <c r="C355" s="35"/>
      <c r="D355" s="35"/>
      <c r="E355" s="180">
        <f t="shared" si="54"/>
        <v>68871987.739389986</v>
      </c>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row>
    <row r="356" spans="1:43" s="2" customFormat="1">
      <c r="A356" s="3"/>
      <c r="B356" s="3"/>
      <c r="C356" s="3"/>
      <c r="D356" s="3"/>
      <c r="E356" s="182" t="e">
        <f>SUM(E320:E331,E332:E343,E344:E354)-E355</f>
        <v>#N/A</v>
      </c>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row>
    <row r="360" spans="1:43">
      <c r="F360" s="183" t="s">
        <v>56</v>
      </c>
    </row>
    <row r="361" spans="1:43">
      <c r="A361" s="139"/>
      <c r="B361" s="184"/>
      <c r="C361" s="184"/>
      <c r="D361" s="184"/>
      <c r="E361" s="184"/>
      <c r="F361" s="183" t="s">
        <v>66</v>
      </c>
    </row>
    <row r="362" spans="1:43">
      <c r="A362" s="139" t="s">
        <v>807</v>
      </c>
      <c r="B362" s="184" t="s">
        <v>69</v>
      </c>
      <c r="C362" s="184"/>
      <c r="D362" s="184"/>
      <c r="E362" s="184"/>
      <c r="F362" s="185">
        <f t="shared" ref="F362:F392" si="55">SUMIF($B$14:$B$318,B362,$L$14:$L$318)</f>
        <v>3338816.0099946638</v>
      </c>
    </row>
    <row r="363" spans="1:43">
      <c r="A363" s="139" t="s">
        <v>808</v>
      </c>
      <c r="B363" s="184" t="s">
        <v>78</v>
      </c>
      <c r="C363" s="184"/>
      <c r="D363" s="184"/>
      <c r="E363" s="184"/>
      <c r="F363" s="185">
        <f t="shared" si="55"/>
        <v>16000</v>
      </c>
    </row>
    <row r="364" spans="1:43">
      <c r="A364" s="139" t="s">
        <v>809</v>
      </c>
      <c r="B364" s="184" t="s">
        <v>122</v>
      </c>
      <c r="C364" s="184"/>
      <c r="D364" s="184"/>
      <c r="E364" s="184"/>
      <c r="F364" s="185">
        <f t="shared" si="55"/>
        <v>2785657.8839000002</v>
      </c>
    </row>
    <row r="365" spans="1:43">
      <c r="A365" s="139" t="s">
        <v>810</v>
      </c>
      <c r="B365" s="184" t="s">
        <v>147</v>
      </c>
      <c r="C365" s="184"/>
      <c r="D365" s="184"/>
      <c r="E365" s="184"/>
      <c r="F365" s="185">
        <f t="shared" si="55"/>
        <v>255200</v>
      </c>
    </row>
    <row r="366" spans="1:43">
      <c r="A366" s="139" t="s">
        <v>811</v>
      </c>
      <c r="B366" s="184" t="s">
        <v>176</v>
      </c>
      <c r="C366" s="184"/>
      <c r="D366" s="184"/>
      <c r="E366" s="184"/>
      <c r="F366" s="185">
        <f t="shared" si="55"/>
        <v>459954</v>
      </c>
    </row>
    <row r="367" spans="1:43">
      <c r="A367" s="139" t="s">
        <v>812</v>
      </c>
      <c r="B367" s="184" t="s">
        <v>221</v>
      </c>
      <c r="C367" s="184"/>
      <c r="D367" s="184"/>
      <c r="E367" s="184"/>
      <c r="F367" s="185">
        <f t="shared" si="55"/>
        <v>8327162.3799999999</v>
      </c>
    </row>
    <row r="368" spans="1:43">
      <c r="A368" s="139" t="s">
        <v>813</v>
      </c>
      <c r="B368" s="184" t="s">
        <v>268</v>
      </c>
      <c r="C368" s="184"/>
      <c r="D368" s="184"/>
      <c r="E368" s="184"/>
      <c r="F368" s="185">
        <f t="shared" si="55"/>
        <v>2157341.9422999998</v>
      </c>
    </row>
    <row r="369" spans="1:6">
      <c r="A369" s="139" t="s">
        <v>814</v>
      </c>
      <c r="B369" s="184" t="s">
        <v>298</v>
      </c>
      <c r="C369" s="184"/>
      <c r="D369" s="184"/>
      <c r="E369" s="184"/>
      <c r="F369" s="185">
        <f t="shared" si="55"/>
        <v>597923</v>
      </c>
    </row>
    <row r="370" spans="1:6">
      <c r="A370" s="139" t="s">
        <v>815</v>
      </c>
      <c r="B370" s="184" t="s">
        <v>392</v>
      </c>
      <c r="C370" s="184"/>
      <c r="D370" s="184"/>
      <c r="E370" s="184"/>
      <c r="F370" s="185">
        <f t="shared" si="55"/>
        <v>5644662.8446532246</v>
      </c>
    </row>
    <row r="371" spans="1:6">
      <c r="A371" s="139" t="s">
        <v>816</v>
      </c>
      <c r="B371" s="184" t="s">
        <v>432</v>
      </c>
      <c r="C371" s="184"/>
      <c r="D371" s="184"/>
      <c r="E371" s="184"/>
      <c r="F371" s="185">
        <f t="shared" si="55"/>
        <v>468431</v>
      </c>
    </row>
    <row r="372" spans="1:6">
      <c r="A372" s="139" t="s">
        <v>817</v>
      </c>
      <c r="B372" s="184" t="s">
        <v>441</v>
      </c>
      <c r="C372" s="184"/>
      <c r="D372" s="184"/>
      <c r="E372" s="184"/>
      <c r="F372" s="185">
        <f t="shared" si="55"/>
        <v>1168905.0105263158</v>
      </c>
    </row>
    <row r="373" spans="1:6">
      <c r="A373" s="139" t="s">
        <v>818</v>
      </c>
      <c r="B373" s="184" t="s">
        <v>477</v>
      </c>
      <c r="C373" s="184"/>
      <c r="D373" s="184"/>
      <c r="E373" s="184"/>
      <c r="F373" s="185">
        <f t="shared" si="55"/>
        <v>2059949</v>
      </c>
    </row>
    <row r="374" spans="1:6">
      <c r="A374" s="139" t="s">
        <v>819</v>
      </c>
      <c r="B374" s="184" t="s">
        <v>488</v>
      </c>
      <c r="C374" s="184"/>
      <c r="D374" s="184"/>
      <c r="E374" s="184"/>
      <c r="F374" s="185">
        <f t="shared" si="55"/>
        <v>907561</v>
      </c>
    </row>
    <row r="375" spans="1:6">
      <c r="A375" s="139" t="s">
        <v>820</v>
      </c>
      <c r="B375" s="184" t="s">
        <v>497</v>
      </c>
      <c r="C375" s="184"/>
      <c r="D375" s="184"/>
      <c r="E375" s="184"/>
      <c r="F375" s="185">
        <f t="shared" si="55"/>
        <v>439560</v>
      </c>
    </row>
    <row r="376" spans="1:6">
      <c r="A376" s="139" t="s">
        <v>821</v>
      </c>
      <c r="B376" s="184" t="s">
        <v>507</v>
      </c>
      <c r="C376" s="184"/>
      <c r="D376" s="184"/>
      <c r="E376" s="184"/>
      <c r="F376" s="185">
        <f t="shared" si="55"/>
        <v>1110813.1499999999</v>
      </c>
    </row>
    <row r="377" spans="1:6">
      <c r="A377" s="139" t="s">
        <v>822</v>
      </c>
      <c r="B377" s="184" t="s">
        <v>521</v>
      </c>
      <c r="C377" s="184"/>
      <c r="D377" s="184"/>
      <c r="E377" s="184"/>
      <c r="F377" s="185">
        <f t="shared" si="55"/>
        <v>3688547</v>
      </c>
    </row>
    <row r="378" spans="1:6">
      <c r="A378" s="139" t="s">
        <v>823</v>
      </c>
      <c r="B378" s="184" t="s">
        <v>528</v>
      </c>
      <c r="C378" s="184"/>
      <c r="D378" s="184"/>
      <c r="E378" s="184"/>
      <c r="F378" s="185">
        <f t="shared" si="55"/>
        <v>3588865.979381443</v>
      </c>
    </row>
    <row r="379" spans="1:6">
      <c r="A379" s="139" t="s">
        <v>824</v>
      </c>
      <c r="B379" s="184" t="s">
        <v>562</v>
      </c>
      <c r="C379" s="184"/>
      <c r="D379" s="184"/>
      <c r="E379" s="184"/>
      <c r="F379" s="185">
        <f t="shared" si="55"/>
        <v>4194933.9826938845</v>
      </c>
    </row>
    <row r="380" spans="1:6">
      <c r="A380" s="139" t="s">
        <v>825</v>
      </c>
      <c r="B380" s="184" t="s">
        <v>572</v>
      </c>
      <c r="C380" s="184"/>
      <c r="D380" s="184"/>
      <c r="E380" s="184"/>
      <c r="F380" s="185">
        <f t="shared" si="55"/>
        <v>166956.95000000001</v>
      </c>
    </row>
    <row r="381" spans="1:6">
      <c r="A381" s="139" t="s">
        <v>826</v>
      </c>
      <c r="B381" s="184" t="s">
        <v>583</v>
      </c>
      <c r="C381" s="184"/>
      <c r="D381" s="184"/>
      <c r="E381" s="184"/>
      <c r="F381" s="185">
        <f t="shared" si="55"/>
        <v>848751.35645618744</v>
      </c>
    </row>
    <row r="382" spans="1:6">
      <c r="A382" s="139" t="s">
        <v>827</v>
      </c>
      <c r="B382" s="184" t="s">
        <v>604</v>
      </c>
      <c r="C382" s="184"/>
      <c r="D382" s="184"/>
      <c r="E382" s="184"/>
      <c r="F382" s="185">
        <f t="shared" si="55"/>
        <v>1546728</v>
      </c>
    </row>
    <row r="383" spans="1:6">
      <c r="A383" s="139" t="s">
        <v>828</v>
      </c>
      <c r="B383" s="184" t="s">
        <v>680</v>
      </c>
      <c r="C383" s="184"/>
      <c r="D383" s="184"/>
      <c r="E383" s="184"/>
      <c r="F383" s="185">
        <f t="shared" si="55"/>
        <v>6907826.5700000003</v>
      </c>
    </row>
    <row r="384" spans="1:6">
      <c r="A384" s="139" t="s">
        <v>829</v>
      </c>
      <c r="B384" s="184" t="s">
        <v>709</v>
      </c>
      <c r="C384" s="184"/>
      <c r="D384" s="184"/>
      <c r="E384" s="184"/>
      <c r="F384" s="185">
        <f t="shared" si="55"/>
        <v>4593885</v>
      </c>
    </row>
    <row r="385" spans="1:7">
      <c r="A385" s="139" t="s">
        <v>830</v>
      </c>
      <c r="B385" s="184" t="s">
        <v>718</v>
      </c>
      <c r="C385" s="184"/>
      <c r="D385" s="184"/>
      <c r="E385" s="184"/>
      <c r="F385" s="185">
        <f t="shared" si="55"/>
        <v>7500</v>
      </c>
    </row>
    <row r="386" spans="1:7">
      <c r="A386" s="139" t="s">
        <v>831</v>
      </c>
      <c r="B386" s="184" t="s">
        <v>727</v>
      </c>
      <c r="C386" s="184"/>
      <c r="D386" s="184"/>
      <c r="E386" s="184"/>
      <c r="F386" s="185">
        <f t="shared" si="55"/>
        <v>1077434</v>
      </c>
    </row>
    <row r="387" spans="1:7">
      <c r="A387" s="139" t="s">
        <v>832</v>
      </c>
      <c r="B387" s="184" t="s">
        <v>749</v>
      </c>
      <c r="C387" s="184"/>
      <c r="D387" s="184"/>
      <c r="E387" s="184"/>
      <c r="F387" s="185">
        <f t="shared" si="55"/>
        <v>626535.45000000007</v>
      </c>
    </row>
    <row r="388" spans="1:7">
      <c r="A388" s="139" t="s">
        <v>751</v>
      </c>
      <c r="B388" s="184" t="s">
        <v>751</v>
      </c>
      <c r="C388" s="184"/>
      <c r="D388" s="184"/>
      <c r="E388" s="184"/>
      <c r="F388" s="185">
        <f t="shared" si="55"/>
        <v>1112398.6699982213</v>
      </c>
    </row>
    <row r="389" spans="1:7">
      <c r="A389" s="139" t="s">
        <v>782</v>
      </c>
      <c r="B389" s="184" t="s">
        <v>782</v>
      </c>
      <c r="C389" s="184"/>
      <c r="D389" s="184"/>
      <c r="E389" s="184"/>
      <c r="F389" s="185">
        <f t="shared" si="55"/>
        <v>1972848</v>
      </c>
    </row>
    <row r="390" spans="1:7">
      <c r="A390" s="139" t="s">
        <v>833</v>
      </c>
      <c r="B390" s="184" t="s">
        <v>789</v>
      </c>
      <c r="C390" s="184"/>
      <c r="D390" s="184"/>
      <c r="E390" s="184"/>
      <c r="F390" s="185">
        <f t="shared" si="55"/>
        <v>1566738.2044975988</v>
      </c>
    </row>
    <row r="391" spans="1:7">
      <c r="A391" s="139" t="s">
        <v>834</v>
      </c>
      <c r="B391" s="184" t="s">
        <v>785</v>
      </c>
      <c r="C391" s="184"/>
      <c r="D391" s="184"/>
      <c r="E391" s="184"/>
      <c r="F391" s="185">
        <f t="shared" si="55"/>
        <v>2782346.6749955532</v>
      </c>
    </row>
    <row r="392" spans="1:7">
      <c r="A392" s="139" t="s">
        <v>835</v>
      </c>
      <c r="B392" s="184" t="s">
        <v>799</v>
      </c>
      <c r="C392" s="184"/>
      <c r="D392" s="184"/>
      <c r="E392" s="184"/>
      <c r="F392" s="185">
        <f t="shared" si="55"/>
        <v>4451754.6799928835</v>
      </c>
    </row>
    <row r="393" spans="1:7">
      <c r="A393" s="139" t="s">
        <v>66</v>
      </c>
      <c r="B393" s="184"/>
      <c r="C393" s="184"/>
      <c r="D393" s="184"/>
      <c r="E393" s="184"/>
      <c r="F393" s="186">
        <f>SUM(F362:F392)</f>
        <v>68871987.739389971</v>
      </c>
    </row>
    <row r="394" spans="1:7">
      <c r="A394" s="187" t="s">
        <v>836</v>
      </c>
      <c r="B394" s="188"/>
      <c r="C394" s="188"/>
      <c r="D394" s="188"/>
      <c r="E394" s="188"/>
      <c r="F394" s="189">
        <f>$L$318-F393</f>
        <v>0</v>
      </c>
    </row>
    <row r="396" spans="1:7">
      <c r="A396" s="190" t="s">
        <v>837</v>
      </c>
      <c r="B396" s="184"/>
      <c r="C396" s="184"/>
      <c r="D396" s="184"/>
      <c r="E396" s="184"/>
      <c r="F396" s="184"/>
      <c r="G396" s="139"/>
    </row>
    <row r="397" spans="1:7">
      <c r="A397" s="190" t="s">
        <v>838</v>
      </c>
      <c r="B397" s="184"/>
      <c r="C397" s="184"/>
      <c r="D397" s="184"/>
      <c r="E397" s="184"/>
      <c r="F397" s="184"/>
      <c r="G397" s="139"/>
    </row>
    <row r="398" spans="1:7">
      <c r="A398" s="139" t="s">
        <v>202</v>
      </c>
      <c r="B398" s="184" t="s">
        <v>350</v>
      </c>
      <c r="C398" s="184"/>
      <c r="D398" s="184"/>
      <c r="E398" s="184"/>
      <c r="F398" s="185">
        <f t="shared" ref="F398:F408" si="56">SUMIF($B$14:$B$318,B398,$K$14:$K$318)</f>
        <v>538541.69999999995</v>
      </c>
      <c r="G398" s="184" t="s">
        <v>392</v>
      </c>
    </row>
    <row r="399" spans="1:7">
      <c r="A399" s="139" t="s">
        <v>353</v>
      </c>
      <c r="B399" s="184" t="s">
        <v>354</v>
      </c>
      <c r="C399" s="184"/>
      <c r="D399" s="184"/>
      <c r="E399" s="184"/>
      <c r="F399" s="185">
        <f t="shared" si="56"/>
        <v>0</v>
      </c>
      <c r="G399" s="184" t="s">
        <v>392</v>
      </c>
    </row>
    <row r="400" spans="1:7">
      <c r="A400" s="139" t="s">
        <v>355</v>
      </c>
      <c r="B400" s="184" t="s">
        <v>356</v>
      </c>
      <c r="C400" s="184"/>
      <c r="D400" s="184"/>
      <c r="E400" s="184"/>
      <c r="F400" s="185">
        <f t="shared" si="56"/>
        <v>0</v>
      </c>
      <c r="G400" s="184" t="s">
        <v>392</v>
      </c>
    </row>
    <row r="401" spans="1:7">
      <c r="A401" s="139" t="s">
        <v>357</v>
      </c>
      <c r="B401" s="184" t="s">
        <v>358</v>
      </c>
      <c r="C401" s="184"/>
      <c r="D401" s="184"/>
      <c r="E401" s="184"/>
      <c r="F401" s="185">
        <f t="shared" si="56"/>
        <v>170408.37</v>
      </c>
      <c r="G401" s="184" t="s">
        <v>392</v>
      </c>
    </row>
    <row r="402" spans="1:7">
      <c r="A402" s="139" t="s">
        <v>360</v>
      </c>
      <c r="B402" s="184" t="s">
        <v>361</v>
      </c>
      <c r="C402" s="184"/>
      <c r="D402" s="184"/>
      <c r="E402" s="184"/>
      <c r="F402" s="185">
        <f t="shared" si="56"/>
        <v>4500</v>
      </c>
      <c r="G402" s="184" t="s">
        <v>392</v>
      </c>
    </row>
    <row r="403" spans="1:7">
      <c r="A403" s="139" t="s">
        <v>362</v>
      </c>
      <c r="B403" s="184" t="s">
        <v>363</v>
      </c>
      <c r="C403" s="184"/>
      <c r="D403" s="184"/>
      <c r="E403" s="184"/>
      <c r="F403" s="185">
        <f t="shared" si="56"/>
        <v>0</v>
      </c>
      <c r="G403" s="184" t="s">
        <v>392</v>
      </c>
    </row>
    <row r="404" spans="1:7">
      <c r="A404" s="139" t="s">
        <v>364</v>
      </c>
      <c r="B404" s="184" t="s">
        <v>365</v>
      </c>
      <c r="C404" s="184"/>
      <c r="D404" s="184"/>
      <c r="E404" s="184"/>
      <c r="F404" s="185">
        <f t="shared" si="56"/>
        <v>0</v>
      </c>
      <c r="G404" s="184" t="s">
        <v>392</v>
      </c>
    </row>
    <row r="405" spans="1:7">
      <c r="A405" s="139" t="s">
        <v>839</v>
      </c>
      <c r="B405" s="184" t="s">
        <v>367</v>
      </c>
      <c r="C405" s="184"/>
      <c r="D405" s="184"/>
      <c r="E405" s="184"/>
      <c r="F405" s="185">
        <f t="shared" si="56"/>
        <v>0</v>
      </c>
      <c r="G405" s="184" t="s">
        <v>392</v>
      </c>
    </row>
    <row r="406" spans="1:7">
      <c r="A406" s="139" t="s">
        <v>840</v>
      </c>
      <c r="B406" s="184" t="s">
        <v>370</v>
      </c>
      <c r="C406" s="184"/>
      <c r="D406" s="184"/>
      <c r="E406" s="184"/>
      <c r="F406" s="185">
        <f t="shared" si="56"/>
        <v>33266.571428571428</v>
      </c>
      <c r="G406" s="184" t="s">
        <v>392</v>
      </c>
    </row>
    <row r="407" spans="1:7">
      <c r="A407" s="139" t="s">
        <v>433</v>
      </c>
      <c r="B407" s="184" t="s">
        <v>434</v>
      </c>
      <c r="C407" s="184"/>
      <c r="D407" s="184"/>
      <c r="E407" s="184"/>
      <c r="F407" s="185">
        <f t="shared" si="56"/>
        <v>1168905.0105263158</v>
      </c>
      <c r="G407" s="184" t="s">
        <v>441</v>
      </c>
    </row>
    <row r="408" spans="1:7" ht="17.25">
      <c r="A408" s="139" t="s">
        <v>213</v>
      </c>
      <c r="B408" s="184" t="s">
        <v>449</v>
      </c>
      <c r="C408" s="184"/>
      <c r="D408" s="184"/>
      <c r="E408" s="184"/>
      <c r="F408" s="191">
        <f t="shared" si="56"/>
        <v>160809</v>
      </c>
      <c r="G408" s="184" t="s">
        <v>477</v>
      </c>
    </row>
    <row r="409" spans="1:7">
      <c r="A409" s="139" t="s">
        <v>841</v>
      </c>
      <c r="B409" s="184"/>
      <c r="C409" s="184"/>
      <c r="D409" s="184"/>
      <c r="E409" s="184"/>
      <c r="F409" s="186">
        <f>SUM(F398:F408)</f>
        <v>2076430.6519548872</v>
      </c>
      <c r="G409" s="139"/>
    </row>
    <row r="410" spans="1:7">
      <c r="A410" s="139"/>
      <c r="B410" s="184"/>
      <c r="C410" s="184"/>
      <c r="D410" s="184"/>
      <c r="E410" s="184"/>
      <c r="F410" s="184"/>
      <c r="G410" s="139"/>
    </row>
    <row r="411" spans="1:7">
      <c r="A411" s="139"/>
      <c r="B411" s="184"/>
      <c r="C411" s="184"/>
      <c r="D411" s="184"/>
      <c r="E411" s="184"/>
      <c r="F411" s="139"/>
      <c r="G411" s="139"/>
    </row>
    <row r="412" spans="1:7">
      <c r="A412" s="190" t="s">
        <v>842</v>
      </c>
      <c r="B412" s="184"/>
      <c r="C412" s="184"/>
      <c r="D412" s="184"/>
      <c r="E412" s="184"/>
      <c r="F412" s="184"/>
      <c r="G412" s="139"/>
    </row>
    <row r="413" spans="1:7">
      <c r="A413" s="187" t="s">
        <v>843</v>
      </c>
      <c r="B413" s="184"/>
      <c r="C413" s="184"/>
      <c r="D413" s="184"/>
      <c r="E413" s="184"/>
      <c r="F413" s="184"/>
      <c r="G413" s="139"/>
    </row>
    <row r="414" spans="1:7">
      <c r="A414" s="139" t="s">
        <v>844</v>
      </c>
      <c r="B414" s="184">
        <v>2</v>
      </c>
      <c r="C414" s="184"/>
      <c r="D414" s="184"/>
      <c r="E414" s="184"/>
      <c r="F414" s="185">
        <f t="shared" ref="F414:F419" si="57">SUMIF($B$14:$B$318,B414,$L$14:$L$318)</f>
        <v>16000</v>
      </c>
      <c r="G414" s="139"/>
    </row>
    <row r="415" spans="1:7">
      <c r="A415" s="139" t="s">
        <v>845</v>
      </c>
      <c r="B415" s="184">
        <v>31</v>
      </c>
      <c r="C415" s="184"/>
      <c r="D415" s="184"/>
      <c r="E415" s="184"/>
      <c r="F415" s="185">
        <f t="shared" si="57"/>
        <v>1546728</v>
      </c>
      <c r="G415" s="139"/>
    </row>
    <row r="416" spans="1:7">
      <c r="A416" s="139" t="s">
        <v>846</v>
      </c>
      <c r="B416" s="184">
        <v>32</v>
      </c>
      <c r="C416" s="184"/>
      <c r="D416" s="184"/>
      <c r="E416" s="184"/>
      <c r="F416" s="185">
        <f t="shared" si="57"/>
        <v>6907826.5700000003</v>
      </c>
      <c r="G416" s="139"/>
    </row>
    <row r="417" spans="1:7">
      <c r="A417" s="139" t="s">
        <v>847</v>
      </c>
      <c r="B417" s="184">
        <v>33</v>
      </c>
      <c r="C417" s="184"/>
      <c r="D417" s="184"/>
      <c r="E417" s="184"/>
      <c r="F417" s="185">
        <f t="shared" si="57"/>
        <v>4593885</v>
      </c>
      <c r="G417" s="139"/>
    </row>
    <row r="418" spans="1:7">
      <c r="A418" s="139" t="s">
        <v>848</v>
      </c>
      <c r="B418" s="184">
        <v>34</v>
      </c>
      <c r="C418" s="184"/>
      <c r="D418" s="184"/>
      <c r="E418" s="184"/>
      <c r="F418" s="185">
        <f t="shared" si="57"/>
        <v>7500</v>
      </c>
      <c r="G418" s="139"/>
    </row>
    <row r="419" spans="1:7">
      <c r="A419" s="139" t="s">
        <v>849</v>
      </c>
      <c r="B419" s="184">
        <v>48</v>
      </c>
      <c r="C419" s="184"/>
      <c r="D419" s="184"/>
      <c r="E419" s="184"/>
      <c r="F419" s="185">
        <f t="shared" si="57"/>
        <v>1077434</v>
      </c>
      <c r="G419" s="139"/>
    </row>
    <row r="420" spans="1:7">
      <c r="A420" s="139"/>
      <c r="B420" s="184"/>
      <c r="C420" s="184"/>
      <c r="D420" s="184"/>
      <c r="E420" s="184"/>
      <c r="F420" s="185"/>
      <c r="G420" s="139"/>
    </row>
    <row r="421" spans="1:7">
      <c r="A421" s="187" t="s">
        <v>850</v>
      </c>
      <c r="B421" s="184"/>
      <c r="C421" s="184"/>
      <c r="D421" s="184"/>
      <c r="E421" s="184"/>
      <c r="F421" s="185"/>
      <c r="G421" s="139"/>
    </row>
    <row r="422" spans="1:7">
      <c r="A422" s="139" t="s">
        <v>482</v>
      </c>
      <c r="B422" s="184" t="s">
        <v>483</v>
      </c>
      <c r="C422" s="184"/>
      <c r="D422" s="184"/>
      <c r="E422" s="184"/>
      <c r="F422" s="185">
        <f t="shared" ref="F422:F429" si="58">SUMIF($B$14:$B$318,B422,$K$14:$K$318)</f>
        <v>655512</v>
      </c>
      <c r="G422" s="139"/>
    </row>
    <row r="423" spans="1:7">
      <c r="A423" s="139" t="s">
        <v>308</v>
      </c>
      <c r="B423" s="184" t="s">
        <v>851</v>
      </c>
      <c r="C423" s="184"/>
      <c r="D423" s="184"/>
      <c r="E423" s="184"/>
      <c r="F423" s="185">
        <f t="shared" si="58"/>
        <v>0</v>
      </c>
      <c r="G423" s="139"/>
    </row>
    <row r="424" spans="1:7">
      <c r="A424" s="139" t="s">
        <v>852</v>
      </c>
      <c r="B424" s="184"/>
      <c r="C424" s="184"/>
      <c r="D424" s="184"/>
      <c r="E424" s="184"/>
      <c r="F424" s="185">
        <f t="shared" si="58"/>
        <v>0</v>
      </c>
      <c r="G424" s="139"/>
    </row>
    <row r="425" spans="1:7">
      <c r="A425" s="139" t="s">
        <v>853</v>
      </c>
      <c r="B425" s="184"/>
      <c r="C425" s="184"/>
      <c r="D425" s="184"/>
      <c r="E425" s="184"/>
      <c r="F425" s="185">
        <f t="shared" si="58"/>
        <v>0</v>
      </c>
      <c r="G425" s="139"/>
    </row>
    <row r="426" spans="1:7">
      <c r="A426" s="139" t="s">
        <v>479</v>
      </c>
      <c r="B426" s="184" t="s">
        <v>480</v>
      </c>
      <c r="C426" s="184"/>
      <c r="D426" s="184"/>
      <c r="E426" s="184"/>
      <c r="F426" s="185">
        <f t="shared" si="58"/>
        <v>245000</v>
      </c>
      <c r="G426" s="139"/>
    </row>
    <row r="427" spans="1:7">
      <c r="A427" s="139" t="s">
        <v>403</v>
      </c>
      <c r="B427" s="184" t="s">
        <v>854</v>
      </c>
      <c r="C427" s="184"/>
      <c r="D427" s="184"/>
      <c r="E427" s="184"/>
      <c r="F427" s="185">
        <f t="shared" si="58"/>
        <v>0</v>
      </c>
      <c r="G427" s="139"/>
    </row>
    <row r="428" spans="1:7">
      <c r="A428" s="139" t="s">
        <v>545</v>
      </c>
      <c r="B428" s="184" t="s">
        <v>855</v>
      </c>
      <c r="C428" s="184"/>
      <c r="D428" s="184"/>
      <c r="E428" s="184"/>
      <c r="F428" s="185">
        <f t="shared" si="58"/>
        <v>0</v>
      </c>
      <c r="G428" s="139"/>
    </row>
    <row r="429" spans="1:7">
      <c r="A429" s="139" t="s">
        <v>92</v>
      </c>
      <c r="B429" s="184" t="s">
        <v>80</v>
      </c>
      <c r="C429" s="184"/>
      <c r="D429" s="184"/>
      <c r="E429" s="139"/>
      <c r="F429" s="185">
        <f t="shared" si="58"/>
        <v>2146124.3359000003</v>
      </c>
      <c r="G429" s="139"/>
    </row>
    <row r="430" spans="1:7">
      <c r="A430" s="190" t="s">
        <v>856</v>
      </c>
      <c r="B430" s="183"/>
      <c r="C430" s="183"/>
      <c r="D430" s="183"/>
      <c r="E430" s="190"/>
      <c r="F430" s="192">
        <f>SUM(F414:F429)</f>
        <v>17196009.905900002</v>
      </c>
      <c r="G430" s="139"/>
    </row>
    <row r="431" spans="1:7">
      <c r="A431" s="139"/>
      <c r="B431" s="184"/>
      <c r="C431" s="184"/>
      <c r="D431" s="184"/>
      <c r="E431" s="139"/>
      <c r="F431" s="139"/>
      <c r="G431" s="139"/>
    </row>
    <row r="432" spans="1:7">
      <c r="A432" s="139"/>
      <c r="B432" s="139"/>
      <c r="C432" s="139"/>
      <c r="D432" s="139"/>
      <c r="E432" s="139"/>
      <c r="F432" s="139"/>
      <c r="G432" s="139"/>
    </row>
    <row r="433" spans="1:7">
      <c r="A433" s="139" t="s">
        <v>672</v>
      </c>
      <c r="B433" s="184" t="s">
        <v>857</v>
      </c>
      <c r="C433" s="184"/>
      <c r="D433" s="184"/>
      <c r="E433" s="193" t="s">
        <v>858</v>
      </c>
      <c r="F433" s="184"/>
      <c r="G433" s="139"/>
    </row>
    <row r="434" spans="1:7">
      <c r="A434" s="139" t="s">
        <v>674</v>
      </c>
      <c r="B434" s="184" t="s">
        <v>859</v>
      </c>
      <c r="C434" s="184"/>
      <c r="D434" s="184"/>
      <c r="E434" s="193" t="s">
        <v>858</v>
      </c>
      <c r="F434" s="184"/>
      <c r="G434" s="139"/>
    </row>
    <row r="435" spans="1:7">
      <c r="A435" s="139" t="s">
        <v>675</v>
      </c>
      <c r="B435" s="184" t="s">
        <v>860</v>
      </c>
      <c r="C435" s="184"/>
      <c r="D435" s="184"/>
      <c r="E435" s="193" t="s">
        <v>858</v>
      </c>
      <c r="F435" s="184"/>
      <c r="G435" s="139"/>
    </row>
    <row r="436" spans="1:7">
      <c r="A436" s="139" t="s">
        <v>676</v>
      </c>
      <c r="B436" s="184" t="s">
        <v>861</v>
      </c>
      <c r="C436" s="184"/>
      <c r="D436" s="184"/>
      <c r="E436" s="193" t="s">
        <v>858</v>
      </c>
      <c r="F436" s="184"/>
      <c r="G436" s="139"/>
    </row>
    <row r="437" spans="1:7">
      <c r="A437" s="139" t="s">
        <v>688</v>
      </c>
      <c r="B437" s="184" t="s">
        <v>862</v>
      </c>
      <c r="C437" s="184"/>
      <c r="D437" s="184"/>
      <c r="E437" s="193" t="s">
        <v>863</v>
      </c>
      <c r="F437" s="184"/>
      <c r="G437" s="139"/>
    </row>
    <row r="438" spans="1:7">
      <c r="A438" s="139" t="s">
        <v>704</v>
      </c>
      <c r="B438" s="184" t="s">
        <v>864</v>
      </c>
      <c r="C438" s="184"/>
      <c r="D438" s="184"/>
      <c r="E438" s="193" t="s">
        <v>863</v>
      </c>
      <c r="F438" s="184"/>
      <c r="G438" s="139"/>
    </row>
    <row r="439" spans="1:7">
      <c r="A439" s="139" t="s">
        <v>705</v>
      </c>
      <c r="B439" s="184" t="s">
        <v>865</v>
      </c>
      <c r="C439" s="184"/>
      <c r="D439" s="184"/>
      <c r="E439" s="193" t="s">
        <v>863</v>
      </c>
      <c r="F439" s="184"/>
      <c r="G439" s="139"/>
    </row>
    <row r="440" spans="1:7">
      <c r="A440" s="139" t="s">
        <v>707</v>
      </c>
      <c r="B440" s="184" t="s">
        <v>866</v>
      </c>
      <c r="C440" s="184"/>
      <c r="D440" s="184"/>
      <c r="E440" s="193" t="s">
        <v>863</v>
      </c>
      <c r="F440" s="139"/>
      <c r="G440" s="139"/>
    </row>
    <row r="441" spans="1:7">
      <c r="A441" s="139" t="s">
        <v>715</v>
      </c>
      <c r="B441" s="184" t="s">
        <v>867</v>
      </c>
      <c r="C441" s="184"/>
      <c r="D441" s="184"/>
      <c r="E441" s="193" t="s">
        <v>868</v>
      </c>
      <c r="F441" s="139"/>
      <c r="G441" s="139"/>
    </row>
    <row r="442" spans="1:7">
      <c r="A442" s="139" t="s">
        <v>92</v>
      </c>
      <c r="B442" s="184" t="s">
        <v>80</v>
      </c>
      <c r="C442" s="184"/>
      <c r="D442" s="184"/>
      <c r="E442" s="184"/>
      <c r="F442" s="139"/>
      <c r="G442" s="139"/>
    </row>
    <row r="443" spans="1:7">
      <c r="A443" s="139"/>
      <c r="B443" s="184"/>
      <c r="C443" s="184"/>
      <c r="D443" s="184"/>
      <c r="E443" s="184"/>
      <c r="F443" s="139"/>
      <c r="G443" s="139"/>
    </row>
    <row r="444" spans="1:7">
      <c r="A444" s="190" t="s">
        <v>869</v>
      </c>
      <c r="B444" s="184"/>
      <c r="C444" s="184"/>
      <c r="D444" s="184"/>
      <c r="E444" s="184"/>
      <c r="F444" s="139"/>
      <c r="G444" s="139"/>
    </row>
    <row r="445" spans="1:7">
      <c r="A445" s="190" t="s">
        <v>870</v>
      </c>
      <c r="B445" s="184"/>
      <c r="C445" s="184"/>
      <c r="D445" s="184"/>
      <c r="E445" s="184"/>
      <c r="F445" s="139"/>
      <c r="G445" s="139"/>
    </row>
    <row r="446" spans="1:7">
      <c r="A446" s="139" t="s">
        <v>403</v>
      </c>
      <c r="B446" s="184" t="s">
        <v>854</v>
      </c>
      <c r="C446" s="184"/>
      <c r="D446" s="184"/>
      <c r="E446" s="184"/>
      <c r="F446" s="185">
        <f t="shared" ref="F446:F456" si="59">SUMIF($B$14:$B$318,B446,$K$14:$K$318)</f>
        <v>0</v>
      </c>
      <c r="G446" s="139"/>
    </row>
    <row r="447" spans="1:7">
      <c r="A447" s="139" t="s">
        <v>545</v>
      </c>
      <c r="B447" s="184" t="s">
        <v>855</v>
      </c>
      <c r="C447" s="184"/>
      <c r="D447" s="184"/>
      <c r="E447" s="184"/>
      <c r="F447" s="185">
        <f t="shared" si="59"/>
        <v>0</v>
      </c>
      <c r="G447" s="139"/>
    </row>
    <row r="448" spans="1:7">
      <c r="A448" s="139" t="s">
        <v>672</v>
      </c>
      <c r="B448" s="184" t="s">
        <v>857</v>
      </c>
      <c r="C448" s="184"/>
      <c r="D448" s="184"/>
      <c r="E448" s="184"/>
      <c r="F448" s="185">
        <f t="shared" si="59"/>
        <v>0</v>
      </c>
      <c r="G448" s="139"/>
    </row>
    <row r="449" spans="1:7">
      <c r="A449" s="139" t="s">
        <v>674</v>
      </c>
      <c r="B449" s="184" t="s">
        <v>859</v>
      </c>
      <c r="C449" s="184"/>
      <c r="D449" s="184"/>
      <c r="E449" s="184"/>
      <c r="F449" s="185">
        <f t="shared" si="59"/>
        <v>0</v>
      </c>
      <c r="G449" s="139"/>
    </row>
    <row r="450" spans="1:7">
      <c r="A450" s="139" t="s">
        <v>675</v>
      </c>
      <c r="B450" s="184" t="s">
        <v>860</v>
      </c>
      <c r="C450" s="184"/>
      <c r="D450" s="184"/>
      <c r="E450" s="184"/>
      <c r="F450" s="185">
        <f t="shared" si="59"/>
        <v>0</v>
      </c>
      <c r="G450" s="139"/>
    </row>
    <row r="451" spans="1:7">
      <c r="A451" s="139" t="s">
        <v>676</v>
      </c>
      <c r="B451" s="184" t="s">
        <v>861</v>
      </c>
      <c r="C451" s="184"/>
      <c r="D451" s="184"/>
      <c r="E451" s="184"/>
      <c r="F451" s="185">
        <f t="shared" si="59"/>
        <v>0</v>
      </c>
      <c r="G451" s="139"/>
    </row>
    <row r="452" spans="1:7">
      <c r="A452" s="139" t="s">
        <v>704</v>
      </c>
      <c r="B452" s="184" t="s">
        <v>864</v>
      </c>
      <c r="C452" s="184"/>
      <c r="D452" s="184"/>
      <c r="E452" s="184"/>
      <c r="F452" s="185">
        <f t="shared" si="59"/>
        <v>0</v>
      </c>
      <c r="G452" s="139"/>
    </row>
    <row r="453" spans="1:7">
      <c r="A453" s="139" t="s">
        <v>705</v>
      </c>
      <c r="B453" s="184" t="s">
        <v>865</v>
      </c>
      <c r="C453" s="184"/>
      <c r="D453" s="184"/>
      <c r="E453" s="184"/>
      <c r="F453" s="185">
        <f t="shared" si="59"/>
        <v>0</v>
      </c>
      <c r="G453" s="139"/>
    </row>
    <row r="454" spans="1:7">
      <c r="A454" s="139" t="s">
        <v>688</v>
      </c>
      <c r="B454" s="184" t="s">
        <v>862</v>
      </c>
      <c r="C454" s="184"/>
      <c r="D454" s="184"/>
      <c r="E454" s="184"/>
      <c r="F454" s="185">
        <f t="shared" si="59"/>
        <v>0</v>
      </c>
      <c r="G454" s="139"/>
    </row>
    <row r="455" spans="1:7">
      <c r="A455" s="139" t="s">
        <v>707</v>
      </c>
      <c r="B455" s="184" t="s">
        <v>866</v>
      </c>
      <c r="C455" s="184"/>
      <c r="D455" s="184"/>
      <c r="E455" s="184"/>
      <c r="F455" s="185">
        <f t="shared" si="59"/>
        <v>0</v>
      </c>
      <c r="G455" s="139"/>
    </row>
    <row r="456" spans="1:7">
      <c r="A456" s="139" t="s">
        <v>715</v>
      </c>
      <c r="B456" s="184" t="s">
        <v>867</v>
      </c>
      <c r="C456" s="184"/>
      <c r="D456" s="184"/>
      <c r="E456" s="184"/>
      <c r="F456" s="185">
        <f t="shared" si="59"/>
        <v>0</v>
      </c>
      <c r="G456" s="139"/>
    </row>
    <row r="457" spans="1:7">
      <c r="A457" s="139"/>
      <c r="B457" s="184"/>
      <c r="C457" s="184"/>
      <c r="D457" s="184"/>
      <c r="E457" s="184"/>
      <c r="F457" s="139"/>
      <c r="G457" s="139"/>
    </row>
    <row r="458" spans="1:7">
      <c r="A458" s="190" t="s">
        <v>871</v>
      </c>
      <c r="B458" s="184"/>
      <c r="C458" s="184"/>
      <c r="D458" s="184"/>
      <c r="E458" s="184"/>
      <c r="F458" s="139"/>
      <c r="G458" s="139"/>
    </row>
    <row r="459" spans="1:7">
      <c r="A459" s="187" t="s">
        <v>843</v>
      </c>
      <c r="B459" s="184"/>
      <c r="C459" s="184"/>
      <c r="D459" s="184"/>
      <c r="E459" s="184"/>
      <c r="F459" s="139"/>
      <c r="G459" s="139"/>
    </row>
    <row r="460" spans="1:7">
      <c r="A460" s="139" t="s">
        <v>804</v>
      </c>
      <c r="B460" s="184" t="s">
        <v>805</v>
      </c>
      <c r="C460" s="184"/>
      <c r="D460" s="184"/>
      <c r="E460" s="184"/>
      <c r="F460" s="185">
        <f>SUMIF($B$14:$B$318,B460,$K$14:$K$318)</f>
        <v>0</v>
      </c>
      <c r="G460" s="139"/>
    </row>
    <row r="461" spans="1:7">
      <c r="A461" s="139"/>
      <c r="B461" s="184"/>
      <c r="C461" s="184"/>
      <c r="D461" s="184"/>
      <c r="E461" s="184"/>
      <c r="F461" s="139"/>
      <c r="G461" s="139"/>
    </row>
    <row r="462" spans="1:7">
      <c r="A462" s="187" t="s">
        <v>850</v>
      </c>
      <c r="B462" s="184"/>
      <c r="C462" s="184"/>
      <c r="D462" s="184"/>
      <c r="E462" s="184"/>
      <c r="F462" s="139"/>
      <c r="G462" s="139"/>
    </row>
    <row r="463" spans="1:7">
      <c r="A463" s="139" t="s">
        <v>92</v>
      </c>
      <c r="B463" s="184" t="s">
        <v>80</v>
      </c>
      <c r="C463" s="184"/>
      <c r="D463" s="184"/>
      <c r="E463" s="184"/>
      <c r="F463" s="185">
        <f t="shared" ref="F463:F494" si="60">SUMIF($B$14:$B$318,B463,$K$14:$K$318)</f>
        <v>2146124.3359000003</v>
      </c>
      <c r="G463" s="139"/>
    </row>
    <row r="464" spans="1:7">
      <c r="A464" s="139" t="s">
        <v>101</v>
      </c>
      <c r="B464" s="184" t="s">
        <v>102</v>
      </c>
      <c r="C464" s="184"/>
      <c r="D464" s="184"/>
      <c r="E464" s="184"/>
      <c r="F464" s="185">
        <f t="shared" si="60"/>
        <v>20200</v>
      </c>
      <c r="G464" s="139"/>
    </row>
    <row r="465" spans="1:7">
      <c r="A465" s="139" t="s">
        <v>105</v>
      </c>
      <c r="B465" s="184" t="s">
        <v>106</v>
      </c>
      <c r="C465" s="184"/>
      <c r="D465" s="184"/>
      <c r="E465" s="184"/>
      <c r="F465" s="185">
        <f t="shared" si="60"/>
        <v>0</v>
      </c>
      <c r="G465" s="139"/>
    </row>
    <row r="466" spans="1:7">
      <c r="A466" s="139" t="s">
        <v>108</v>
      </c>
      <c r="B466" s="184" t="s">
        <v>109</v>
      </c>
      <c r="C466" s="184"/>
      <c r="D466" s="184"/>
      <c r="E466" s="184"/>
      <c r="F466" s="185">
        <f t="shared" si="60"/>
        <v>10000</v>
      </c>
      <c r="G466" s="139"/>
    </row>
    <row r="467" spans="1:7">
      <c r="A467" s="139" t="s">
        <v>117</v>
      </c>
      <c r="B467" s="184" t="s">
        <v>118</v>
      </c>
      <c r="C467" s="184"/>
      <c r="D467" s="184"/>
      <c r="E467" s="184"/>
      <c r="F467" s="185">
        <f t="shared" si="60"/>
        <v>43318</v>
      </c>
      <c r="G467" s="139"/>
    </row>
    <row r="468" spans="1:7">
      <c r="A468" s="139" t="s">
        <v>139</v>
      </c>
      <c r="B468" s="184" t="s">
        <v>140</v>
      </c>
      <c r="C468" s="184"/>
      <c r="D468" s="184"/>
      <c r="E468" s="184"/>
      <c r="F468" s="185">
        <f t="shared" si="60"/>
        <v>5000</v>
      </c>
      <c r="G468" s="139"/>
    </row>
    <row r="469" spans="1:7">
      <c r="A469" s="139" t="s">
        <v>872</v>
      </c>
      <c r="B469" s="184" t="s">
        <v>143</v>
      </c>
      <c r="C469" s="184"/>
      <c r="D469" s="184"/>
      <c r="E469" s="184"/>
      <c r="F469" s="185">
        <f t="shared" si="60"/>
        <v>10000</v>
      </c>
      <c r="G469" s="139"/>
    </row>
    <row r="470" spans="1:7">
      <c r="A470" s="139" t="s">
        <v>161</v>
      </c>
      <c r="B470" s="184" t="s">
        <v>162</v>
      </c>
      <c r="C470" s="184"/>
      <c r="D470" s="184"/>
      <c r="E470" s="184"/>
      <c r="F470" s="185">
        <f t="shared" si="60"/>
        <v>0</v>
      </c>
      <c r="G470" s="139"/>
    </row>
    <row r="471" spans="1:7">
      <c r="A471" s="139" t="s">
        <v>164</v>
      </c>
      <c r="B471" s="184" t="s">
        <v>165</v>
      </c>
      <c r="C471" s="184"/>
      <c r="D471" s="184"/>
      <c r="E471" s="184"/>
      <c r="F471" s="185">
        <f t="shared" si="60"/>
        <v>1950</v>
      </c>
      <c r="G471" s="139"/>
    </row>
    <row r="472" spans="1:7">
      <c r="A472" s="139" t="s">
        <v>189</v>
      </c>
      <c r="B472" s="184" t="s">
        <v>190</v>
      </c>
      <c r="C472" s="184"/>
      <c r="D472" s="184"/>
      <c r="E472" s="184"/>
      <c r="F472" s="185">
        <f t="shared" si="60"/>
        <v>0</v>
      </c>
      <c r="G472" s="139"/>
    </row>
    <row r="473" spans="1:7">
      <c r="A473" s="139" t="s">
        <v>192</v>
      </c>
      <c r="B473" s="184" t="s">
        <v>193</v>
      </c>
      <c r="C473" s="184"/>
      <c r="D473" s="184"/>
      <c r="E473" s="184"/>
      <c r="F473" s="185">
        <f t="shared" si="60"/>
        <v>10000</v>
      </c>
      <c r="G473" s="139"/>
    </row>
    <row r="474" spans="1:7">
      <c r="A474" s="139" t="s">
        <v>195</v>
      </c>
      <c r="B474" s="184" t="s">
        <v>196</v>
      </c>
      <c r="C474" s="184"/>
      <c r="D474" s="184"/>
      <c r="E474" s="184"/>
      <c r="F474" s="185">
        <f t="shared" si="60"/>
        <v>0</v>
      </c>
      <c r="G474" s="139"/>
    </row>
    <row r="475" spans="1:7">
      <c r="A475" s="139" t="s">
        <v>198</v>
      </c>
      <c r="B475" s="184" t="s">
        <v>199</v>
      </c>
      <c r="C475" s="184"/>
      <c r="D475" s="184"/>
      <c r="E475" s="184"/>
      <c r="F475" s="185">
        <f t="shared" si="60"/>
        <v>0</v>
      </c>
      <c r="G475" s="139"/>
    </row>
    <row r="476" spans="1:7">
      <c r="A476" s="139" t="s">
        <v>214</v>
      </c>
      <c r="B476" s="184" t="s">
        <v>215</v>
      </c>
      <c r="C476" s="184"/>
      <c r="D476" s="184"/>
      <c r="E476" s="184"/>
      <c r="F476" s="185">
        <f t="shared" si="60"/>
        <v>5000</v>
      </c>
      <c r="G476" s="139"/>
    </row>
    <row r="477" spans="1:7">
      <c r="A477" s="139" t="s">
        <v>239</v>
      </c>
      <c r="B477" s="184" t="s">
        <v>240</v>
      </c>
      <c r="C477" s="184"/>
      <c r="D477" s="184"/>
      <c r="E477" s="184"/>
      <c r="F477" s="185">
        <f t="shared" si="60"/>
        <v>7500</v>
      </c>
      <c r="G477" s="139"/>
    </row>
    <row r="478" spans="1:7">
      <c r="A478" s="139" t="s">
        <v>244</v>
      </c>
      <c r="B478" s="184" t="s">
        <v>240</v>
      </c>
      <c r="C478" s="184"/>
      <c r="D478" s="184"/>
      <c r="E478" s="184"/>
      <c r="F478" s="185">
        <f t="shared" si="60"/>
        <v>7500</v>
      </c>
      <c r="G478" s="139"/>
    </row>
    <row r="479" spans="1:7">
      <c r="A479" s="139" t="s">
        <v>282</v>
      </c>
      <c r="B479" s="184" t="s">
        <v>283</v>
      </c>
      <c r="C479" s="184"/>
      <c r="D479" s="184"/>
      <c r="E479" s="184"/>
      <c r="F479" s="185">
        <f t="shared" si="60"/>
        <v>0</v>
      </c>
      <c r="G479" s="139"/>
    </row>
    <row r="480" spans="1:7">
      <c r="A480" s="139" t="s">
        <v>284</v>
      </c>
      <c r="B480" s="184" t="s">
        <v>285</v>
      </c>
      <c r="C480" s="184"/>
      <c r="D480" s="184"/>
      <c r="E480" s="184"/>
      <c r="F480" s="185">
        <f t="shared" si="60"/>
        <v>0</v>
      </c>
      <c r="G480" s="139"/>
    </row>
    <row r="481" spans="1:7">
      <c r="A481" s="139" t="s">
        <v>319</v>
      </c>
      <c r="B481" s="184" t="s">
        <v>316</v>
      </c>
      <c r="C481" s="184"/>
      <c r="D481" s="184"/>
      <c r="E481" s="184"/>
      <c r="F481" s="185">
        <f t="shared" si="60"/>
        <v>842819.61111111112</v>
      </c>
      <c r="G481" s="139"/>
    </row>
    <row r="482" spans="1:7">
      <c r="A482" s="139" t="s">
        <v>325</v>
      </c>
      <c r="B482" s="184" t="s">
        <v>316</v>
      </c>
      <c r="C482" s="184"/>
      <c r="D482" s="184"/>
      <c r="E482" s="184"/>
      <c r="F482" s="185">
        <f t="shared" si="60"/>
        <v>842819.61111111112</v>
      </c>
      <c r="G482" s="139"/>
    </row>
    <row r="483" spans="1:7">
      <c r="A483" s="139" t="s">
        <v>873</v>
      </c>
      <c r="B483" s="184" t="s">
        <v>316</v>
      </c>
      <c r="C483" s="184"/>
      <c r="D483" s="184"/>
      <c r="E483" s="184"/>
      <c r="F483" s="185">
        <f t="shared" si="60"/>
        <v>842819.61111111112</v>
      </c>
      <c r="G483" s="139"/>
    </row>
    <row r="484" spans="1:7">
      <c r="A484" s="139" t="s">
        <v>395</v>
      </c>
      <c r="B484" s="184" t="s">
        <v>396</v>
      </c>
      <c r="C484" s="184"/>
      <c r="D484" s="184"/>
      <c r="E484" s="184"/>
      <c r="F484" s="185">
        <f t="shared" si="60"/>
        <v>56265</v>
      </c>
      <c r="G484" s="139"/>
    </row>
    <row r="485" spans="1:7">
      <c r="A485" s="139" t="s">
        <v>414</v>
      </c>
      <c r="B485" s="184" t="s">
        <v>415</v>
      </c>
      <c r="C485" s="184"/>
      <c r="D485" s="184"/>
      <c r="E485" s="184"/>
      <c r="F485" s="185">
        <f t="shared" si="60"/>
        <v>0</v>
      </c>
      <c r="G485" s="139"/>
    </row>
    <row r="486" spans="1:7">
      <c r="A486" s="139" t="s">
        <v>416</v>
      </c>
      <c r="B486" s="184" t="s">
        <v>417</v>
      </c>
      <c r="C486" s="184"/>
      <c r="D486" s="184"/>
      <c r="E486" s="184"/>
      <c r="F486" s="185">
        <f t="shared" si="60"/>
        <v>13440</v>
      </c>
      <c r="G486" s="139"/>
    </row>
    <row r="487" spans="1:7">
      <c r="A487" s="139" t="s">
        <v>474</v>
      </c>
      <c r="B487" s="184" t="s">
        <v>475</v>
      </c>
      <c r="C487" s="184"/>
      <c r="D487" s="184"/>
      <c r="E487" s="184"/>
      <c r="F487" s="185">
        <f t="shared" si="60"/>
        <v>24000</v>
      </c>
      <c r="G487" s="139"/>
    </row>
    <row r="488" spans="1:7">
      <c r="A488" s="139" t="s">
        <v>479</v>
      </c>
      <c r="B488" s="184" t="s">
        <v>480</v>
      </c>
      <c r="C488" s="184"/>
      <c r="D488" s="184"/>
      <c r="E488" s="184"/>
      <c r="F488" s="185">
        <f t="shared" si="60"/>
        <v>245000</v>
      </c>
      <c r="G488" s="139"/>
    </row>
    <row r="489" spans="1:7">
      <c r="A489" s="139" t="s">
        <v>482</v>
      </c>
      <c r="B489" s="184" t="s">
        <v>483</v>
      </c>
      <c r="C489" s="184"/>
      <c r="D489" s="184"/>
      <c r="E489" s="184"/>
      <c r="F489" s="185">
        <f t="shared" si="60"/>
        <v>655512</v>
      </c>
      <c r="G489" s="139"/>
    </row>
    <row r="490" spans="1:7">
      <c r="A490" s="139" t="s">
        <v>484</v>
      </c>
      <c r="B490" s="184" t="s">
        <v>485</v>
      </c>
      <c r="C490" s="184"/>
      <c r="D490" s="184"/>
      <c r="E490" s="184"/>
      <c r="F490" s="185">
        <f t="shared" si="60"/>
        <v>7049</v>
      </c>
      <c r="G490" s="139"/>
    </row>
    <row r="491" spans="1:7">
      <c r="A491" s="139" t="s">
        <v>494</v>
      </c>
      <c r="B491" s="184" t="s">
        <v>495</v>
      </c>
      <c r="C491" s="184"/>
      <c r="D491" s="184"/>
      <c r="E491" s="184"/>
      <c r="F491" s="185">
        <f t="shared" si="60"/>
        <v>13000</v>
      </c>
      <c r="G491" s="139"/>
    </row>
    <row r="492" spans="1:7">
      <c r="A492" s="139" t="s">
        <v>516</v>
      </c>
      <c r="B492" s="184" t="s">
        <v>517</v>
      </c>
      <c r="C492" s="184"/>
      <c r="D492" s="184"/>
      <c r="E492" s="184"/>
      <c r="F492" s="185">
        <f t="shared" si="60"/>
        <v>25000</v>
      </c>
      <c r="G492" s="139"/>
    </row>
    <row r="493" spans="1:7">
      <c r="A493" s="139" t="s">
        <v>518</v>
      </c>
      <c r="B493" s="184" t="s">
        <v>519</v>
      </c>
      <c r="C493" s="184"/>
      <c r="D493" s="184"/>
      <c r="E493" s="184"/>
      <c r="F493" s="185">
        <f t="shared" si="60"/>
        <v>6000</v>
      </c>
      <c r="G493" s="139"/>
    </row>
    <row r="494" spans="1:7">
      <c r="A494" s="139" t="s">
        <v>539</v>
      </c>
      <c r="B494" s="184" t="s">
        <v>529</v>
      </c>
      <c r="C494" s="184"/>
      <c r="D494" s="184"/>
      <c r="E494" s="184"/>
      <c r="F494" s="185">
        <f t="shared" si="60"/>
        <v>3708740.982693885</v>
      </c>
      <c r="G494" s="139"/>
    </row>
    <row r="495" spans="1:7">
      <c r="A495" s="139" t="s">
        <v>541</v>
      </c>
      <c r="B495" s="184" t="s">
        <v>532</v>
      </c>
      <c r="C495" s="184"/>
      <c r="D495" s="184"/>
      <c r="E495" s="184"/>
      <c r="F495" s="185">
        <f t="shared" ref="F495:F512" si="61">SUMIF($B$14:$B$318,B495,$K$14:$K$318)</f>
        <v>225700</v>
      </c>
      <c r="G495" s="139"/>
    </row>
    <row r="496" spans="1:7">
      <c r="A496" s="139" t="s">
        <v>542</v>
      </c>
      <c r="B496" s="184" t="s">
        <v>529</v>
      </c>
      <c r="C496" s="184"/>
      <c r="D496" s="184"/>
      <c r="E496" s="184"/>
      <c r="F496" s="185">
        <f t="shared" si="61"/>
        <v>3708740.982693885</v>
      </c>
      <c r="G496" s="139"/>
    </row>
    <row r="497" spans="1:7">
      <c r="A497" s="139" t="s">
        <v>543</v>
      </c>
      <c r="B497" s="184" t="s">
        <v>544</v>
      </c>
      <c r="C497" s="184"/>
      <c r="D497" s="184"/>
      <c r="E497" s="184"/>
      <c r="F497" s="185">
        <f t="shared" si="61"/>
        <v>0</v>
      </c>
      <c r="G497" s="139"/>
    </row>
    <row r="498" spans="1:7">
      <c r="A498" s="139" t="s">
        <v>553</v>
      </c>
      <c r="B498" s="184" t="s">
        <v>554</v>
      </c>
      <c r="C498" s="184"/>
      <c r="D498" s="184"/>
      <c r="E498" s="184"/>
      <c r="F498" s="185">
        <f t="shared" si="61"/>
        <v>20000</v>
      </c>
      <c r="G498" s="139"/>
    </row>
    <row r="499" spans="1:7">
      <c r="A499" s="139" t="s">
        <v>555</v>
      </c>
      <c r="B499" s="184" t="s">
        <v>556</v>
      </c>
      <c r="C499" s="184"/>
      <c r="D499" s="184"/>
      <c r="E499" s="184"/>
      <c r="F499" s="185">
        <f t="shared" si="61"/>
        <v>12500</v>
      </c>
      <c r="G499" s="139"/>
    </row>
    <row r="500" spans="1:7">
      <c r="A500" s="139" t="s">
        <v>557</v>
      </c>
      <c r="B500" s="184" t="s">
        <v>558</v>
      </c>
      <c r="C500" s="184"/>
      <c r="D500" s="184"/>
      <c r="E500" s="184"/>
      <c r="F500" s="185">
        <f t="shared" si="61"/>
        <v>2500</v>
      </c>
      <c r="G500" s="139"/>
    </row>
    <row r="501" spans="1:7">
      <c r="A501" s="139" t="s">
        <v>559</v>
      </c>
      <c r="B501" s="184" t="s">
        <v>529</v>
      </c>
      <c r="C501" s="184"/>
      <c r="D501" s="184"/>
      <c r="E501" s="184"/>
      <c r="F501" s="185">
        <f t="shared" si="61"/>
        <v>3708740.982693885</v>
      </c>
      <c r="G501" s="139"/>
    </row>
    <row r="502" spans="1:7">
      <c r="A502" s="139" t="s">
        <v>560</v>
      </c>
      <c r="B502" s="184" t="s">
        <v>532</v>
      </c>
      <c r="C502" s="184"/>
      <c r="D502" s="184"/>
      <c r="E502" s="184"/>
      <c r="F502" s="185">
        <f t="shared" si="61"/>
        <v>225700</v>
      </c>
      <c r="G502" s="139"/>
    </row>
    <row r="503" spans="1:7">
      <c r="A503" s="139" t="s">
        <v>619</v>
      </c>
      <c r="B503" s="184" t="s">
        <v>620</v>
      </c>
      <c r="C503" s="184"/>
      <c r="D503" s="184"/>
      <c r="E503" s="184"/>
      <c r="F503" s="185">
        <f t="shared" si="61"/>
        <v>68195.5</v>
      </c>
      <c r="G503" s="139"/>
    </row>
    <row r="504" spans="1:7">
      <c r="A504" s="139" t="s">
        <v>630</v>
      </c>
      <c r="B504" s="184" t="s">
        <v>631</v>
      </c>
      <c r="C504" s="184"/>
      <c r="D504" s="184"/>
      <c r="E504" s="184"/>
      <c r="F504" s="185">
        <f t="shared" si="61"/>
        <v>10000</v>
      </c>
      <c r="G504" s="139"/>
    </row>
    <row r="505" spans="1:7">
      <c r="A505" s="139" t="s">
        <v>642</v>
      </c>
      <c r="B505" s="184" t="s">
        <v>643</v>
      </c>
      <c r="C505" s="184"/>
      <c r="D505" s="184"/>
      <c r="E505" s="184"/>
      <c r="F505" s="185">
        <f t="shared" si="61"/>
        <v>31800</v>
      </c>
      <c r="G505" s="139"/>
    </row>
    <row r="506" spans="1:7">
      <c r="A506" s="139" t="s">
        <v>663</v>
      </c>
      <c r="B506" s="184" t="s">
        <v>664</v>
      </c>
      <c r="C506" s="184"/>
      <c r="D506" s="184"/>
      <c r="E506" s="184"/>
      <c r="F506" s="185">
        <f t="shared" si="61"/>
        <v>15000</v>
      </c>
      <c r="G506" s="139"/>
    </row>
    <row r="507" spans="1:7">
      <c r="A507" s="139" t="s">
        <v>757</v>
      </c>
      <c r="B507" s="184" t="s">
        <v>758</v>
      </c>
      <c r="C507" s="184"/>
      <c r="D507" s="184"/>
      <c r="E507" s="184"/>
      <c r="F507" s="185">
        <f t="shared" si="61"/>
        <v>0</v>
      </c>
      <c r="G507" s="139"/>
    </row>
    <row r="508" spans="1:7">
      <c r="A508" s="139" t="s">
        <v>759</v>
      </c>
      <c r="B508" s="184" t="s">
        <v>760</v>
      </c>
      <c r="C508" s="184"/>
      <c r="D508" s="184"/>
      <c r="E508" s="184"/>
      <c r="F508" s="185">
        <f t="shared" si="61"/>
        <v>25000</v>
      </c>
      <c r="G508" s="139"/>
    </row>
    <row r="509" spans="1:7">
      <c r="A509" s="139" t="s">
        <v>761</v>
      </c>
      <c r="B509" s="184" t="s">
        <v>762</v>
      </c>
      <c r="C509" s="184"/>
      <c r="D509" s="184"/>
      <c r="E509" s="184"/>
      <c r="F509" s="185">
        <f t="shared" si="61"/>
        <v>94648</v>
      </c>
      <c r="G509" s="139"/>
    </row>
    <row r="510" spans="1:7">
      <c r="A510" s="139" t="s">
        <v>763</v>
      </c>
      <c r="B510" s="184" t="s">
        <v>764</v>
      </c>
      <c r="C510" s="184"/>
      <c r="D510" s="184"/>
      <c r="E510" s="184"/>
      <c r="F510" s="185">
        <f t="shared" si="61"/>
        <v>0</v>
      </c>
      <c r="G510" s="139"/>
    </row>
    <row r="511" spans="1:7">
      <c r="A511" s="139" t="s">
        <v>776</v>
      </c>
      <c r="B511" s="184" t="s">
        <v>564</v>
      </c>
      <c r="C511" s="184"/>
      <c r="D511" s="184"/>
      <c r="E511" s="184"/>
      <c r="F511" s="185">
        <f t="shared" si="61"/>
        <v>23000</v>
      </c>
      <c r="G511" s="139"/>
    </row>
    <row r="512" spans="1:7">
      <c r="A512" s="139" t="s">
        <v>777</v>
      </c>
      <c r="B512" s="184" t="s">
        <v>778</v>
      </c>
      <c r="C512" s="184"/>
      <c r="D512" s="184"/>
      <c r="E512" s="184"/>
      <c r="F512" s="185">
        <f t="shared" si="61"/>
        <v>2000</v>
      </c>
      <c r="G512" s="139"/>
    </row>
  </sheetData>
  <autoFilter ref="B13:K316" xr:uid="{C8A95798-AF23-4C19-883A-C25D023AB1DF}"/>
  <conditionalFormatting sqref="A2:B11 A14:D43 A55:D160">
    <cfRule type="expression" dxfId="107" priority="137">
      <formula>MOD(ROW(),2)</formula>
    </cfRule>
  </conditionalFormatting>
  <conditionalFormatting sqref="A44:K54">
    <cfRule type="expression" dxfId="106" priority="5">
      <formula>MOD(ROW(),2)</formula>
    </cfRule>
  </conditionalFormatting>
  <conditionalFormatting sqref="A171:K171">
    <cfRule type="expression" dxfId="105" priority="121">
      <formula>MOD(ROW(),2)</formula>
    </cfRule>
  </conditionalFormatting>
  <conditionalFormatting sqref="A318:L318">
    <cfRule type="expression" dxfId="104" priority="135">
      <formula>MOD(ROW(),2)</formula>
    </cfRule>
  </conditionalFormatting>
  <conditionalFormatting sqref="E356">
    <cfRule type="cellIs" dxfId="103" priority="134" operator="greaterThan">
      <formula>0</formula>
    </cfRule>
    <cfRule type="cellIs" dxfId="102" priority="133" operator="lessThan">
      <formula>0</formula>
    </cfRule>
  </conditionalFormatting>
  <conditionalFormatting sqref="E14:K27">
    <cfRule type="expression" dxfId="101" priority="115">
      <formula>MOD(ROW(),2)</formula>
    </cfRule>
  </conditionalFormatting>
  <conditionalFormatting sqref="E29:K33">
    <cfRule type="expression" dxfId="100" priority="113">
      <formula>MOD(ROW(),2)</formula>
    </cfRule>
  </conditionalFormatting>
  <conditionalFormatting sqref="E35:K42">
    <cfRule type="expression" dxfId="99" priority="110">
      <formula>MOD(ROW(),2)</formula>
    </cfRule>
  </conditionalFormatting>
  <conditionalFormatting sqref="E55:K56">
    <cfRule type="expression" dxfId="98" priority="107">
      <formula>MOD(ROW(),2)</formula>
    </cfRule>
  </conditionalFormatting>
  <conditionalFormatting sqref="E58:K70">
    <cfRule type="expression" dxfId="97" priority="104">
      <formula>MOD(ROW(),2)</formula>
    </cfRule>
  </conditionalFormatting>
  <conditionalFormatting sqref="E72:K85">
    <cfRule type="expression" dxfId="96" priority="4">
      <formula>MOD(ROW(),2)</formula>
    </cfRule>
  </conditionalFormatting>
  <conditionalFormatting sqref="E87:K124">
    <cfRule type="expression" dxfId="95" priority="98">
      <formula>MOD(ROW(),2)</formula>
    </cfRule>
  </conditionalFormatting>
  <conditionalFormatting sqref="E126:K141">
    <cfRule type="expression" dxfId="94" priority="95">
      <formula>MOD(ROW(),2)</formula>
    </cfRule>
  </conditionalFormatting>
  <conditionalFormatting sqref="E143:K145">
    <cfRule type="expression" dxfId="93" priority="2">
      <formula>MOD(ROW(),2)</formula>
    </cfRule>
  </conditionalFormatting>
  <conditionalFormatting sqref="E147:K154">
    <cfRule type="expression" dxfId="92" priority="91">
      <formula>MOD(ROW(),2)</formula>
    </cfRule>
  </conditionalFormatting>
  <conditionalFormatting sqref="E156:K158">
    <cfRule type="expression" dxfId="91" priority="87">
      <formula>MOD(ROW(),2)</formula>
    </cfRule>
  </conditionalFormatting>
  <conditionalFormatting sqref="E160:K163">
    <cfRule type="expression" dxfId="90" priority="7">
      <formula>MOD(ROW(),2)</formula>
    </cfRule>
  </conditionalFormatting>
  <conditionalFormatting sqref="E165:K167">
    <cfRule type="expression" dxfId="89" priority="79">
      <formula>MOD(ROW(),2)</formula>
    </cfRule>
  </conditionalFormatting>
  <conditionalFormatting sqref="E169:K170">
    <cfRule type="expression" dxfId="88" priority="77">
      <formula>MOD(ROW(),2)</formula>
    </cfRule>
  </conditionalFormatting>
  <conditionalFormatting sqref="E172:K173">
    <cfRule type="expression" dxfId="87" priority="75">
      <formula>MOD(ROW(),2)</formula>
    </cfRule>
  </conditionalFormatting>
  <conditionalFormatting sqref="E178:K193">
    <cfRule type="expression" dxfId="86" priority="67">
      <formula>MOD(ROW(),2)</formula>
    </cfRule>
  </conditionalFormatting>
  <conditionalFormatting sqref="E195:K197">
    <cfRule type="expression" dxfId="85" priority="63">
      <formula>MOD(ROW(),2)</formula>
    </cfRule>
  </conditionalFormatting>
  <conditionalFormatting sqref="E199:K202">
    <cfRule type="expression" dxfId="84" priority="59">
      <formula>MOD(ROW(),2)</formula>
    </cfRule>
  </conditionalFormatting>
  <conditionalFormatting sqref="E204:K212">
    <cfRule type="expression" dxfId="83" priority="55">
      <formula>MOD(ROW(),2)</formula>
    </cfRule>
  </conditionalFormatting>
  <conditionalFormatting sqref="E214:K250">
    <cfRule type="expression" dxfId="82" priority="51">
      <formula>MOD(ROW(),2)</formula>
    </cfRule>
  </conditionalFormatting>
  <conditionalFormatting sqref="E252:K267">
    <cfRule type="expression" dxfId="81" priority="47">
      <formula>MOD(ROW(),2)</formula>
    </cfRule>
  </conditionalFormatting>
  <conditionalFormatting sqref="E274:K276">
    <cfRule type="expression" dxfId="80" priority="37">
      <formula>MOD(ROW(),2)</formula>
    </cfRule>
  </conditionalFormatting>
  <conditionalFormatting sqref="E278:K286">
    <cfRule type="expression" dxfId="79" priority="33">
      <formula>MOD(ROW(),2)</formula>
    </cfRule>
  </conditionalFormatting>
  <conditionalFormatting sqref="E291:K304">
    <cfRule type="expression" dxfId="78" priority="25">
      <formula>MOD(ROW(),2)</formula>
    </cfRule>
  </conditionalFormatting>
  <conditionalFormatting sqref="E306:K308">
    <cfRule type="expression" dxfId="77" priority="12">
      <formula>MOD(ROW(),2)</formula>
    </cfRule>
  </conditionalFormatting>
  <conditionalFormatting sqref="E310:K312">
    <cfRule type="expression" dxfId="76" priority="1">
      <formula>MOD(ROW(),2)</formula>
    </cfRule>
  </conditionalFormatting>
  <conditionalFormatting sqref="E142:L142 L145 E146:L146">
    <cfRule type="expression" dxfId="75" priority="93">
      <formula>MOD(ROW(),2)</formula>
    </cfRule>
  </conditionalFormatting>
  <conditionalFormatting sqref="E174:L175 E176:K176 E177:L177">
    <cfRule type="expression" dxfId="74" priority="71">
      <formula>MOD(ROW(),2)</formula>
    </cfRule>
  </conditionalFormatting>
  <conditionalFormatting sqref="E268:L269 E270:K270 E271:L271 E272:K272 E273:L273">
    <cfRule type="expression" dxfId="73" priority="39">
      <formula>MOD(ROW(),2)</formula>
    </cfRule>
  </conditionalFormatting>
  <conditionalFormatting sqref="E287:L290">
    <cfRule type="expression" dxfId="72" priority="29">
      <formula>MOD(ROW(),2)</formula>
    </cfRule>
  </conditionalFormatting>
  <conditionalFormatting sqref="E313:L313 E314:K315 E316:L316">
    <cfRule type="expression" dxfId="71" priority="10">
      <formula>MOD(ROW(),2)</formula>
    </cfRule>
  </conditionalFormatting>
  <conditionalFormatting sqref="L42">
    <cfRule type="expression" dxfId="70" priority="111">
      <formula>MOD(ROW(),2)</formula>
    </cfRule>
  </conditionalFormatting>
  <conditionalFormatting sqref="L56">
    <cfRule type="expression" dxfId="69" priority="108">
      <formula>MOD(ROW(),2)</formula>
    </cfRule>
  </conditionalFormatting>
  <conditionalFormatting sqref="L70">
    <cfRule type="expression" dxfId="68" priority="105">
      <formula>MOD(ROW(),2)</formula>
    </cfRule>
  </conditionalFormatting>
  <conditionalFormatting sqref="L124">
    <cfRule type="expression" dxfId="67" priority="99">
      <formula>MOD(ROW(),2)</formula>
    </cfRule>
  </conditionalFormatting>
  <conditionalFormatting sqref="L141">
    <cfRule type="expression" dxfId="66" priority="96">
      <formula>MOD(ROW(),2)</formula>
    </cfRule>
  </conditionalFormatting>
  <conditionalFormatting sqref="L156">
    <cfRule type="expression" dxfId="65" priority="90">
      <formula>MOD(ROW(),2)</formula>
    </cfRule>
  </conditionalFormatting>
  <conditionalFormatting sqref="L160">
    <cfRule type="expression" dxfId="64" priority="8">
      <formula>MOD(ROW(),2)</formula>
    </cfRule>
  </conditionalFormatting>
  <conditionalFormatting sqref="L163">
    <cfRule type="expression" dxfId="63" priority="84">
      <formula>MOD(ROW(),2)</formula>
    </cfRule>
  </conditionalFormatting>
  <conditionalFormatting sqref="L165">
    <cfRule type="expression" dxfId="62" priority="82">
      <formula>MOD(ROW(),2)</formula>
    </cfRule>
  </conditionalFormatting>
  <conditionalFormatting sqref="L167">
    <cfRule type="expression" dxfId="61" priority="80">
      <formula>MOD(ROW(),2)</formula>
    </cfRule>
  </conditionalFormatting>
  <conditionalFormatting sqref="L169">
    <cfRule type="expression" dxfId="60" priority="78">
      <formula>MOD(ROW(),2)</formula>
    </cfRule>
  </conditionalFormatting>
  <conditionalFormatting sqref="L173">
    <cfRule type="expression" dxfId="59" priority="76">
      <formula>MOD(ROW(),2)</formula>
    </cfRule>
  </conditionalFormatting>
  <conditionalFormatting sqref="L193">
    <cfRule type="expression" dxfId="58" priority="68">
      <formula>MOD(ROW(),2)</formula>
    </cfRule>
  </conditionalFormatting>
  <conditionalFormatting sqref="L195">
    <cfRule type="expression" dxfId="57" priority="66">
      <formula>MOD(ROW(),2)</formula>
    </cfRule>
  </conditionalFormatting>
  <conditionalFormatting sqref="L197">
    <cfRule type="expression" dxfId="56" priority="64">
      <formula>MOD(ROW(),2)</formula>
    </cfRule>
  </conditionalFormatting>
  <conditionalFormatting sqref="L199">
    <cfRule type="expression" dxfId="55" priority="62">
      <formula>MOD(ROW(),2)</formula>
    </cfRule>
  </conditionalFormatting>
  <conditionalFormatting sqref="L204">
    <cfRule type="expression" dxfId="54" priority="58">
      <formula>MOD(ROW(),2)</formula>
    </cfRule>
  </conditionalFormatting>
  <conditionalFormatting sqref="L267">
    <cfRule type="expression" dxfId="53" priority="48">
      <formula>MOD(ROW(),2)</formula>
    </cfRule>
  </conditionalFormatting>
  <conditionalFormatting sqref="L278">
    <cfRule type="expression" dxfId="52" priority="36">
      <formula>MOD(ROW(),2)</formula>
    </cfRule>
  </conditionalFormatting>
  <conditionalFormatting sqref="L291">
    <cfRule type="expression" dxfId="51" priority="28">
      <formula>MOD(ROW(),2)</formula>
    </cfRule>
  </conditionalFormatting>
  <conditionalFormatting sqref="L308">
    <cfRule type="expression" dxfId="50" priority="3">
      <formula>MOD(ROW(),2)</formula>
    </cfRule>
  </conditionalFormatting>
  <conditionalFormatting sqref="L319:M319">
    <cfRule type="cellIs" dxfId="49" priority="132" operator="lessThan">
      <formula>0</formula>
    </cfRule>
    <cfRule type="cellIs" dxfId="48" priority="136" operator="greaterThan">
      <formula>0</formula>
    </cfRule>
  </conditionalFormatting>
  <conditionalFormatting sqref="M175:M177 M186 M250:M251 M258">
    <cfRule type="expression" dxfId="47" priority="127">
      <formula>MOD(ROW(),2)</formula>
    </cfRule>
  </conditionalFormatting>
  <conditionalFormatting sqref="M4:O8">
    <cfRule type="expression" dxfId="46" priority="140">
      <formula>MOD(ROW(),2)=0</formula>
    </cfRule>
  </conditionalFormatting>
  <conditionalFormatting sqref="M149:T149">
    <cfRule type="expression" dxfId="45" priority="117">
      <formula>MOD(ROW(),2)</formula>
    </cfRule>
  </conditionalFormatting>
  <conditionalFormatting sqref="M157:T157">
    <cfRule type="expression" dxfId="44" priority="116">
      <formula>MOD(ROW(),2)</formula>
    </cfRule>
  </conditionalFormatting>
  <conditionalFormatting sqref="M14:U148 E15:L15 E17:L17 E28:L28 E34:L34 E43:L43 E57:L57 E71:L71 E86:L86 E125:L125 M150:U156 E155:L155 M158:U160 E159:L159 A161:U161 A162:D170 M162:U174 E164:L164 E168:L168 A172:D316 M177:U185 M187:U249 E194:L194 E198:L198 E203:L203 E213:L213 E251:L251 M251:U257 M259:U316 E277:L277 E305:L305 E307:L307 E309:L309 A317:U317">
    <cfRule type="expression" dxfId="43" priority="120">
      <formula>MOD(ROW(),2)</formula>
    </cfRule>
  </conditionalFormatting>
  <conditionalFormatting sqref="Q3:S9">
    <cfRule type="expression" dxfId="42" priority="131">
      <formula>MOD(ROW(),2)</formula>
    </cfRule>
  </conditionalFormatting>
  <conditionalFormatting sqref="Q8:S8">
    <cfRule type="expression" dxfId="41" priority="138">
      <formula>MOD(ROW(),2)=0</formula>
    </cfRule>
  </conditionalFormatting>
  <dataValidations count="2">
    <dataValidation type="list" allowBlank="1" showInputMessage="1" showErrorMessage="1" sqref="B3" xr:uid="{7C159E95-DE86-49A7-AA3A-5BA044926CA7}">
      <formula1>"Level 1, Level 2, Level 3"</formula1>
    </dataValidation>
    <dataValidation type="list" allowBlank="1" showInputMessage="1" showErrorMessage="1" sqref="B4" xr:uid="{6C4D88C5-4AF7-45E3-A48B-F2737250D58B}">
      <formula1>"Urban, Market, Senior, Afforable"</formula1>
    </dataValidation>
  </dataValidations>
  <printOptions horizontalCentered="1"/>
  <pageMargins left="0.25" right="0.25" top="0.7" bottom="0.5" header="0.35" footer="0.05"/>
  <pageSetup paperSize="3" scale="64" fitToHeight="0" orientation="landscape" r:id="rId1"/>
  <headerFooter>
    <oddHeader>&amp;R&amp;G</oddHeader>
  </headerFooter>
  <rowBreaks count="4" manualBreakCount="4">
    <brk id="57" max="20" man="1"/>
    <brk id="125" max="20" man="1"/>
    <brk id="194" max="20" man="1"/>
    <brk id="251" max="20" man="1"/>
  </row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0DFB-5F88-4B5F-B832-A543ACA9F8AC}">
  <sheetPr>
    <tabColor theme="3" tint="0.499984740745262"/>
    <pageSetUpPr fitToPage="1"/>
  </sheetPr>
  <dimension ref="A1:AS514"/>
  <sheetViews>
    <sheetView showGridLines="0" view="pageBreakPreview" zoomScale="70" zoomScaleNormal="100" zoomScaleSheetLayoutView="70" workbookViewId="0">
      <pane xSplit="1" ySplit="19" topLeftCell="B158" activePane="bottomRight" state="frozen"/>
      <selection pane="bottomRight" activeCell="J14" sqref="J14"/>
      <selection pane="bottomLeft" activeCell="A20" sqref="A20"/>
      <selection pane="topRight" activeCell="B1" sqref="B1"/>
    </sheetView>
  </sheetViews>
  <sheetFormatPr defaultColWidth="9.140625" defaultRowHeight="15"/>
  <cols>
    <col min="1" max="1" width="44.85546875" style="3" bestFit="1" customWidth="1"/>
    <col min="2" max="2" width="18.28515625" style="2" bestFit="1" customWidth="1"/>
    <col min="3" max="3" width="17.42578125" style="2" customWidth="1"/>
    <col min="4" max="4" width="20" style="2" customWidth="1"/>
    <col min="5" max="5" width="15.42578125" style="2" customWidth="1"/>
    <col min="6" max="6" width="14.85546875" style="2" customWidth="1"/>
    <col min="7" max="7" width="10.28515625" style="3" customWidth="1"/>
    <col min="8" max="8" width="13.85546875" style="3" bestFit="1" customWidth="1"/>
    <col min="9" max="9" width="13.140625" style="3" customWidth="1"/>
    <col min="10" max="10" width="16.42578125" style="3" bestFit="1" customWidth="1"/>
    <col min="11" max="11" width="15" style="3" bestFit="1" customWidth="1"/>
    <col min="12" max="12" width="16.42578125" style="3" bestFit="1" customWidth="1"/>
    <col min="13" max="13" width="11.5703125" style="3" customWidth="1"/>
    <col min="14" max="14" width="28.140625" style="3" bestFit="1" customWidth="1"/>
    <col min="15" max="15" width="9.5703125" style="3" bestFit="1" customWidth="1"/>
    <col min="16" max="16" width="13.140625" style="3" bestFit="1" customWidth="1"/>
    <col min="17" max="17" width="20" style="3" bestFit="1" customWidth="1"/>
    <col min="18" max="18" width="9.28515625" style="3" bestFit="1" customWidth="1"/>
    <col min="19" max="19" width="4" style="3" bestFit="1" customWidth="1"/>
    <col min="20" max="23" width="24.140625" style="3" customWidth="1"/>
    <col min="24" max="25" width="9.140625" style="3"/>
    <col min="26" max="26" width="10.7109375" style="3" customWidth="1"/>
    <col min="27" max="36" width="9.140625" style="3"/>
    <col min="37" max="37" width="10.5703125" style="3" bestFit="1" customWidth="1"/>
    <col min="38" max="38" width="9.140625" style="3" customWidth="1"/>
    <col min="39" max="43" width="9.140625" style="3"/>
    <col min="44" max="44" width="12.85546875" style="3" customWidth="1"/>
    <col min="45" max="16384" width="9.140625" style="3"/>
  </cols>
  <sheetData>
    <row r="1" spans="1:45" ht="15.75" thickBot="1">
      <c r="A1" s="1" t="s">
        <v>8</v>
      </c>
      <c r="B1" s="1"/>
      <c r="D1" s="1" t="s">
        <v>12</v>
      </c>
      <c r="E1" s="1"/>
      <c r="F1" s="1"/>
      <c r="H1" s="1" t="s">
        <v>908</v>
      </c>
      <c r="I1" s="1"/>
      <c r="J1" s="1"/>
      <c r="K1" s="1"/>
      <c r="N1" s="4" t="s">
        <v>914</v>
      </c>
      <c r="O1" s="5"/>
      <c r="P1" s="6"/>
      <c r="Q1" s="4" t="s">
        <v>914</v>
      </c>
      <c r="R1" s="5"/>
      <c r="S1" s="6"/>
      <c r="T1" s="4" t="s">
        <v>914</v>
      </c>
      <c r="U1" s="5"/>
      <c r="V1" s="6"/>
    </row>
    <row r="2" spans="1:45" ht="15.75" thickBot="1">
      <c r="A2" s="7" t="s">
        <v>9</v>
      </c>
      <c r="B2" s="8" t="s">
        <v>879</v>
      </c>
      <c r="D2" s="9" t="s">
        <v>16</v>
      </c>
      <c r="E2" s="10" t="s">
        <v>17</v>
      </c>
      <c r="F2" s="10" t="s">
        <v>18</v>
      </c>
      <c r="H2" s="9" t="s">
        <v>16</v>
      </c>
      <c r="I2" s="10" t="s">
        <v>17</v>
      </c>
      <c r="J2" s="10" t="s">
        <v>18</v>
      </c>
      <c r="K2" s="10" t="s">
        <v>185</v>
      </c>
      <c r="N2" s="11" t="s">
        <v>917</v>
      </c>
      <c r="O2" s="12">
        <v>174940</v>
      </c>
      <c r="P2" s="13" t="s">
        <v>918</v>
      </c>
      <c r="Q2" s="14" t="s">
        <v>919</v>
      </c>
      <c r="R2" s="15">
        <v>0</v>
      </c>
      <c r="S2" s="16" t="s">
        <v>185</v>
      </c>
      <c r="T2" s="14" t="s">
        <v>920</v>
      </c>
      <c r="U2" s="15">
        <v>0</v>
      </c>
      <c r="V2" s="16" t="s">
        <v>185</v>
      </c>
    </row>
    <row r="3" spans="1:45">
      <c r="A3" s="17" t="s">
        <v>14</v>
      </c>
      <c r="B3" s="18" t="s">
        <v>880</v>
      </c>
      <c r="D3" s="19" t="s">
        <v>26</v>
      </c>
      <c r="E3" s="20">
        <v>0</v>
      </c>
      <c r="F3" s="21">
        <f t="shared" ref="F3:F8" si="0">E3/$E$8</f>
        <v>0</v>
      </c>
      <c r="H3" s="19" t="s">
        <v>452</v>
      </c>
      <c r="I3" s="20">
        <v>170</v>
      </c>
      <c r="J3" s="21">
        <f>I3/$I$7</f>
        <v>0.46831955922865015</v>
      </c>
      <c r="K3" s="20">
        <v>676</v>
      </c>
      <c r="N3" s="14" t="s">
        <v>138</v>
      </c>
      <c r="O3" s="15">
        <v>6</v>
      </c>
      <c r="P3" s="16" t="s">
        <v>132</v>
      </c>
      <c r="Q3" s="14" t="s">
        <v>213</v>
      </c>
      <c r="R3" s="15">
        <v>0</v>
      </c>
      <c r="S3" s="16"/>
      <c r="T3" s="14"/>
      <c r="U3" s="15"/>
      <c r="V3" s="16"/>
      <c r="AG3" s="22" t="s">
        <v>20</v>
      </c>
      <c r="AH3" s="23"/>
      <c r="AI3" s="23"/>
      <c r="AJ3" s="23"/>
      <c r="AK3" s="23" t="s">
        <v>21</v>
      </c>
      <c r="AL3" s="24">
        <f>21*7</f>
        <v>147</v>
      </c>
      <c r="AN3" s="22" t="s">
        <v>22</v>
      </c>
      <c r="AO3" s="23"/>
      <c r="AP3" s="23"/>
      <c r="AQ3" s="23"/>
      <c r="AR3" s="23" t="s">
        <v>21</v>
      </c>
      <c r="AS3" s="24">
        <f>15000+6560+6500+15400+4570+4635+4540+4250</f>
        <v>61455</v>
      </c>
    </row>
    <row r="4" spans="1:45">
      <c r="A4" s="17" t="s">
        <v>23</v>
      </c>
      <c r="B4" s="18" t="s">
        <v>24</v>
      </c>
      <c r="D4" s="25" t="s">
        <v>30</v>
      </c>
      <c r="E4" s="18">
        <v>218</v>
      </c>
      <c r="F4" s="26">
        <f>E4/$E$8</f>
        <v>0.60055096418732778</v>
      </c>
      <c r="H4" s="25" t="s">
        <v>459</v>
      </c>
      <c r="I4" s="18">
        <v>48</v>
      </c>
      <c r="J4" s="26">
        <f t="shared" ref="J4:J7" si="1">I4/$I$7</f>
        <v>0.13223140495867769</v>
      </c>
      <c r="K4" s="18">
        <v>764</v>
      </c>
      <c r="N4" s="27" t="s">
        <v>923</v>
      </c>
      <c r="O4" s="2">
        <f>O3*2</f>
        <v>12</v>
      </c>
      <c r="P4" s="28" t="s">
        <v>132</v>
      </c>
      <c r="Q4" s="14" t="s">
        <v>924</v>
      </c>
      <c r="R4" s="15">
        <v>331082</v>
      </c>
      <c r="S4" s="16" t="s">
        <v>185</v>
      </c>
      <c r="T4" s="14"/>
      <c r="U4" s="15"/>
      <c r="V4" s="16"/>
      <c r="AG4" s="27" t="s">
        <v>28</v>
      </c>
      <c r="AL4" s="28">
        <f>14*7</f>
        <v>98</v>
      </c>
      <c r="AN4" s="27" t="s">
        <v>28</v>
      </c>
      <c r="AS4" s="28"/>
    </row>
    <row r="5" spans="1:45">
      <c r="A5" s="17" t="s">
        <v>29</v>
      </c>
      <c r="B5" s="29">
        <v>46127</v>
      </c>
      <c r="D5" s="25" t="s">
        <v>35</v>
      </c>
      <c r="E5" s="18">
        <v>145</v>
      </c>
      <c r="F5" s="26">
        <f t="shared" si="0"/>
        <v>0.39944903581267216</v>
      </c>
      <c r="H5" s="25" t="s">
        <v>463</v>
      </c>
      <c r="I5" s="18">
        <v>127</v>
      </c>
      <c r="J5" s="26">
        <f t="shared" si="1"/>
        <v>0.34986225895316803</v>
      </c>
      <c r="K5" s="18">
        <v>901</v>
      </c>
      <c r="N5" s="14" t="s">
        <v>926</v>
      </c>
      <c r="O5" s="30">
        <v>14</v>
      </c>
      <c r="P5" s="16" t="s">
        <v>927</v>
      </c>
      <c r="Q5" s="14"/>
      <c r="R5" s="15"/>
      <c r="S5" s="16"/>
      <c r="T5" s="14"/>
      <c r="U5" s="15"/>
      <c r="V5" s="16"/>
      <c r="AG5" s="27" t="s">
        <v>32</v>
      </c>
      <c r="AH5" s="3">
        <f>21*4+8*8+7*6</f>
        <v>190</v>
      </c>
      <c r="AL5" s="28">
        <f>8*22</f>
        <v>176</v>
      </c>
      <c r="AN5" s="27" t="s">
        <v>32</v>
      </c>
      <c r="AO5" s="3">
        <v>19256</v>
      </c>
      <c r="AS5" s="28"/>
    </row>
    <row r="6" spans="1:45">
      <c r="A6" s="17" t="s">
        <v>33</v>
      </c>
      <c r="B6" s="15">
        <v>30</v>
      </c>
      <c r="D6" s="25" t="s">
        <v>39</v>
      </c>
      <c r="E6" s="18">
        <v>0</v>
      </c>
      <c r="F6" s="26">
        <f t="shared" si="0"/>
        <v>0</v>
      </c>
      <c r="H6" s="25" t="s">
        <v>469</v>
      </c>
      <c r="I6" s="18">
        <v>18</v>
      </c>
      <c r="J6" s="26">
        <f t="shared" si="1"/>
        <v>4.9586776859504134E-2</v>
      </c>
      <c r="K6" s="18">
        <v>968</v>
      </c>
      <c r="N6" s="14" t="s">
        <v>932</v>
      </c>
      <c r="O6" s="15">
        <f>7+6+5</f>
        <v>18</v>
      </c>
      <c r="P6" s="16" t="s">
        <v>132</v>
      </c>
      <c r="Q6" s="14" t="s">
        <v>933</v>
      </c>
      <c r="R6" s="31">
        <f>64*48</f>
        <v>3072</v>
      </c>
      <c r="S6" s="16" t="s">
        <v>185</v>
      </c>
      <c r="T6" s="32"/>
      <c r="U6" s="31"/>
      <c r="V6" s="33"/>
      <c r="AG6" s="27" t="s">
        <v>37</v>
      </c>
      <c r="AH6" s="3">
        <f>14*4+21*2+8*6</f>
        <v>146</v>
      </c>
      <c r="AL6" s="28">
        <f>7*10</f>
        <v>70</v>
      </c>
      <c r="AN6" s="27" t="s">
        <v>37</v>
      </c>
      <c r="AO6" s="3">
        <v>8980</v>
      </c>
      <c r="AS6" s="28"/>
    </row>
    <row r="7" spans="1:45" ht="15.75" thickBot="1">
      <c r="A7" s="17" t="s">
        <v>38</v>
      </c>
      <c r="B7" s="18">
        <v>2</v>
      </c>
      <c r="D7" s="34" t="s">
        <v>44</v>
      </c>
      <c r="E7" s="35">
        <v>0</v>
      </c>
      <c r="F7" s="36">
        <f t="shared" si="0"/>
        <v>0</v>
      </c>
      <c r="H7" s="40" t="s">
        <v>48</v>
      </c>
      <c r="I7" s="41">
        <f>SUM(I3:I6)</f>
        <v>363</v>
      </c>
      <c r="J7" s="42">
        <f t="shared" si="1"/>
        <v>1</v>
      </c>
      <c r="K7" s="45">
        <f>SUMPRODUCT(I3:I6,K3:K6)</f>
        <v>283443</v>
      </c>
      <c r="N7" s="37" t="s">
        <v>936</v>
      </c>
      <c r="O7" s="38">
        <v>1</v>
      </c>
      <c r="P7" s="39"/>
      <c r="Q7" s="14" t="s">
        <v>937</v>
      </c>
      <c r="R7" s="15">
        <v>0</v>
      </c>
      <c r="S7" s="16" t="s">
        <v>185</v>
      </c>
      <c r="T7" s="32"/>
      <c r="U7" s="31"/>
      <c r="V7" s="33"/>
      <c r="AG7" s="27" t="s">
        <v>41</v>
      </c>
      <c r="AH7" s="3">
        <f>21*2+14*2+8*6</f>
        <v>118</v>
      </c>
      <c r="AL7" s="28">
        <f>SUM(AL3:AL6)</f>
        <v>491</v>
      </c>
      <c r="AN7" s="27" t="s">
        <v>41</v>
      </c>
      <c r="AO7" s="3">
        <v>8850</v>
      </c>
      <c r="AS7" s="28"/>
    </row>
    <row r="8" spans="1:45" ht="15.75" thickBot="1">
      <c r="A8" s="17" t="s">
        <v>42</v>
      </c>
      <c r="B8" s="15">
        <v>361641</v>
      </c>
      <c r="D8" s="40" t="s">
        <v>48</v>
      </c>
      <c r="E8" s="41">
        <f>SUM(E3:E7)</f>
        <v>363</v>
      </c>
      <c r="F8" s="42">
        <f t="shared" si="0"/>
        <v>1</v>
      </c>
      <c r="K8" s="47"/>
      <c r="N8" s="14" t="s">
        <v>939</v>
      </c>
      <c r="O8" s="15">
        <v>1</v>
      </c>
      <c r="P8" s="16"/>
      <c r="Q8" s="32" t="s">
        <v>916</v>
      </c>
      <c r="R8" s="31">
        <v>0</v>
      </c>
      <c r="S8" s="33" t="s">
        <v>185</v>
      </c>
      <c r="T8" s="32"/>
      <c r="U8" s="31"/>
      <c r="V8" s="33"/>
      <c r="AA8" s="3">
        <v>347</v>
      </c>
      <c r="AG8" s="27" t="s">
        <v>46</v>
      </c>
      <c r="AH8" s="3">
        <f>21*2+14*8+8*12+7*8</f>
        <v>306</v>
      </c>
      <c r="AL8" s="28"/>
      <c r="AN8" s="27" t="s">
        <v>46</v>
      </c>
      <c r="AO8" s="3">
        <v>19965</v>
      </c>
      <c r="AS8" s="28"/>
    </row>
    <row r="9" spans="1:45" ht="15.75" thickBot="1">
      <c r="A9" s="17" t="s">
        <v>47</v>
      </c>
      <c r="B9" s="44">
        <v>17.25</v>
      </c>
      <c r="D9" s="1" t="s">
        <v>13</v>
      </c>
      <c r="E9" s="1"/>
      <c r="F9" s="1"/>
      <c r="K9" s="47"/>
      <c r="N9" s="14" t="s">
        <v>941</v>
      </c>
      <c r="O9" s="15">
        <f>13.5*48+1000</f>
        <v>1648</v>
      </c>
      <c r="P9" s="16" t="s">
        <v>169</v>
      </c>
      <c r="Q9" s="32" t="s">
        <v>617</v>
      </c>
      <c r="R9" s="31">
        <v>0</v>
      </c>
      <c r="S9" s="33" t="s">
        <v>185</v>
      </c>
      <c r="T9" s="32"/>
      <c r="U9" s="31"/>
      <c r="V9" s="33"/>
      <c r="AA9" s="3">
        <v>385</v>
      </c>
      <c r="AG9" s="27" t="s">
        <v>50</v>
      </c>
      <c r="AH9" s="3">
        <f>21*4+8*6</f>
        <v>132</v>
      </c>
      <c r="AI9" s="3">
        <f>SUM(AH5:AH9)</f>
        <v>892</v>
      </c>
      <c r="AL9" s="28"/>
      <c r="AN9" s="27" t="s">
        <v>50</v>
      </c>
      <c r="AO9" s="3">
        <f>5870+6250+6290+5915</f>
        <v>24325</v>
      </c>
      <c r="AP9" s="3">
        <f>SUM(AO5:AO9)</f>
        <v>81376</v>
      </c>
      <c r="AS9" s="28"/>
    </row>
    <row r="10" spans="1:45">
      <c r="A10" s="17" t="s">
        <v>51</v>
      </c>
      <c r="B10" s="15">
        <f>B9*43560</f>
        <v>751410</v>
      </c>
      <c r="D10" s="17" t="s">
        <v>19</v>
      </c>
      <c r="E10" s="46"/>
      <c r="F10" s="18">
        <v>295</v>
      </c>
      <c r="K10" s="47"/>
      <c r="N10" s="14" t="s">
        <v>153</v>
      </c>
      <c r="O10" s="15">
        <f>174940/100</f>
        <v>1749.4</v>
      </c>
      <c r="P10" s="16" t="s">
        <v>943</v>
      </c>
      <c r="Q10" s="32" t="s">
        <v>621</v>
      </c>
      <c r="R10" s="31">
        <v>0</v>
      </c>
      <c r="S10" s="33" t="s">
        <v>185</v>
      </c>
      <c r="T10" s="32"/>
      <c r="U10" s="31"/>
      <c r="V10" s="33"/>
      <c r="AA10" s="3">
        <v>300</v>
      </c>
      <c r="AG10" s="27"/>
      <c r="AL10" s="28"/>
      <c r="AN10" s="27"/>
      <c r="AS10" s="28"/>
    </row>
    <row r="11" spans="1:45" ht="15.75" thickBot="1">
      <c r="A11" s="17" t="s">
        <v>52</v>
      </c>
      <c r="B11" s="15">
        <v>3</v>
      </c>
      <c r="D11" s="17" t="s">
        <v>27</v>
      </c>
      <c r="E11" s="46"/>
      <c r="F11" s="18"/>
      <c r="K11" s="47"/>
      <c r="N11" s="14" t="s">
        <v>315</v>
      </c>
      <c r="O11" s="15">
        <f>(39388+45217+40885)*0.111111+(3000*3+3000*4+3000*3)*2*0.111111</f>
        <v>20609.97939</v>
      </c>
      <c r="P11" s="16" t="s">
        <v>945</v>
      </c>
      <c r="Q11" s="32" t="s">
        <v>642</v>
      </c>
      <c r="R11" s="31">
        <v>0</v>
      </c>
      <c r="S11" s="33" t="s">
        <v>169</v>
      </c>
      <c r="T11" s="32"/>
      <c r="U11" s="31"/>
      <c r="V11" s="33"/>
      <c r="AG11" s="27" t="s">
        <v>53</v>
      </c>
      <c r="AK11" s="3" t="s">
        <v>54</v>
      </c>
      <c r="AL11" s="28">
        <f>14*8</f>
        <v>112</v>
      </c>
      <c r="AN11" s="27" t="s">
        <v>53</v>
      </c>
      <c r="AR11" s="3" t="s">
        <v>54</v>
      </c>
      <c r="AS11" s="28">
        <f>5782+5760+8825+9150</f>
        <v>29517</v>
      </c>
    </row>
    <row r="12" spans="1:45">
      <c r="A12" s="48" t="s">
        <v>909</v>
      </c>
      <c r="B12" s="49"/>
      <c r="D12" s="17" t="s">
        <v>31</v>
      </c>
      <c r="E12" s="46"/>
      <c r="F12" s="18">
        <v>147</v>
      </c>
      <c r="K12" s="47"/>
      <c r="N12" s="14" t="s">
        <v>948</v>
      </c>
      <c r="O12" s="15">
        <v>0</v>
      </c>
      <c r="P12" s="16" t="s">
        <v>940</v>
      </c>
      <c r="Q12" s="50" t="s">
        <v>949</v>
      </c>
      <c r="R12" s="51">
        <v>0</v>
      </c>
      <c r="S12" s="52" t="s">
        <v>169</v>
      </c>
      <c r="T12" s="32"/>
      <c r="U12" s="31"/>
      <c r="V12" s="33"/>
      <c r="AG12" s="27" t="s">
        <v>32</v>
      </c>
      <c r="AL12" s="28">
        <f>20*8</f>
        <v>160</v>
      </c>
      <c r="AN12" s="27" t="s">
        <v>32</v>
      </c>
      <c r="AS12" s="28"/>
    </row>
    <row r="13" spans="1:45" ht="15.75" thickBot="1">
      <c r="A13" s="53" t="s">
        <v>1087</v>
      </c>
      <c r="B13" s="20"/>
      <c r="D13" s="17" t="s">
        <v>36</v>
      </c>
      <c r="E13" s="46"/>
      <c r="F13" s="18">
        <v>14</v>
      </c>
      <c r="K13" s="47"/>
      <c r="N13" s="14" t="s">
        <v>482</v>
      </c>
      <c r="O13" s="54">
        <f>F10</f>
        <v>295</v>
      </c>
      <c r="P13" s="16" t="s">
        <v>132</v>
      </c>
      <c r="Q13" s="32" t="s">
        <v>951</v>
      </c>
      <c r="R13" s="31">
        <v>0</v>
      </c>
      <c r="S13" s="33" t="s">
        <v>185</v>
      </c>
      <c r="T13" s="32"/>
      <c r="U13" s="51"/>
      <c r="V13" s="33"/>
      <c r="AG13" s="27" t="s">
        <v>37</v>
      </c>
      <c r="AL13" s="28">
        <f>8*18</f>
        <v>144</v>
      </c>
      <c r="AN13" s="27" t="s">
        <v>37</v>
      </c>
      <c r="AS13" s="28"/>
    </row>
    <row r="14" spans="1:45">
      <c r="A14" s="55" t="s">
        <v>1088</v>
      </c>
      <c r="B14" s="18"/>
      <c r="D14" s="17" t="s">
        <v>40</v>
      </c>
      <c r="E14" s="46"/>
      <c r="F14" s="18">
        <v>0</v>
      </c>
      <c r="H14" s="56" t="s">
        <v>1089</v>
      </c>
      <c r="I14" s="57"/>
      <c r="J14" s="58">
        <f>L320</f>
        <v>69361424.086824596</v>
      </c>
      <c r="N14" s="14" t="s">
        <v>952</v>
      </c>
      <c r="O14" s="15">
        <v>0</v>
      </c>
      <c r="P14" s="16" t="s">
        <v>953</v>
      </c>
      <c r="Q14" s="32" t="s">
        <v>954</v>
      </c>
      <c r="R14" s="31">
        <v>0</v>
      </c>
      <c r="S14" s="33"/>
      <c r="T14" s="32"/>
      <c r="U14" s="31"/>
      <c r="V14" s="33"/>
      <c r="AG14" s="27" t="s">
        <v>41</v>
      </c>
      <c r="AL14" s="28">
        <f>7*12</f>
        <v>84</v>
      </c>
      <c r="AN14" s="27" t="s">
        <v>41</v>
      </c>
      <c r="AS14" s="28"/>
    </row>
    <row r="15" spans="1:45">
      <c r="A15" s="55" t="s">
        <v>1090</v>
      </c>
      <c r="B15" s="18"/>
      <c r="D15" s="17" t="s">
        <v>45</v>
      </c>
      <c r="E15" s="46"/>
      <c r="F15" s="18">
        <f>SUM(F10:F14)</f>
        <v>456</v>
      </c>
      <c r="H15" s="59" t="s">
        <v>1091</v>
      </c>
      <c r="I15" s="60"/>
      <c r="J15" s="61">
        <f>J14/E8</f>
        <v>191078.30326948923</v>
      </c>
      <c r="N15" s="14" t="s">
        <v>930</v>
      </c>
      <c r="O15" s="15">
        <v>1</v>
      </c>
      <c r="P15" s="16" t="s">
        <v>98</v>
      </c>
      <c r="Q15" s="32" t="s">
        <v>617</v>
      </c>
      <c r="R15" s="31">
        <v>0</v>
      </c>
      <c r="S15" s="33"/>
      <c r="T15" s="32"/>
      <c r="U15" s="31"/>
      <c r="V15" s="33"/>
      <c r="AG15" s="27" t="s">
        <v>46</v>
      </c>
      <c r="AH15" s="3">
        <f>21*2+14*2+8*6+7*6</f>
        <v>160</v>
      </c>
      <c r="AI15" s="3">
        <f>AH15*2</f>
        <v>320</v>
      </c>
      <c r="AL15" s="28">
        <f>SUM(AL11:AL14)</f>
        <v>500</v>
      </c>
      <c r="AN15" s="27" t="s">
        <v>46</v>
      </c>
      <c r="AO15" s="3">
        <f>5035+5775+1960+1960</f>
        <v>14730</v>
      </c>
      <c r="AP15" s="3">
        <f>AO15*2</f>
        <v>29460</v>
      </c>
      <c r="AS15" s="28"/>
    </row>
    <row r="16" spans="1:45" ht="15.75" thickBot="1">
      <c r="A16" s="62" t="s">
        <v>913</v>
      </c>
      <c r="B16" s="43"/>
      <c r="D16" s="63" t="s">
        <v>49</v>
      </c>
      <c r="E16" s="64"/>
      <c r="F16" s="65">
        <f>F15/E8</f>
        <v>1.2561983471074381</v>
      </c>
      <c r="H16" s="66" t="s">
        <v>1092</v>
      </c>
      <c r="I16" s="67"/>
      <c r="J16" s="68">
        <f>J14/B8</f>
        <v>191.79635076450015</v>
      </c>
      <c r="N16" s="14" t="s">
        <v>419</v>
      </c>
      <c r="O16" s="15">
        <v>0</v>
      </c>
      <c r="P16" s="16" t="s">
        <v>98</v>
      </c>
      <c r="Q16" s="32" t="s">
        <v>956</v>
      </c>
      <c r="R16" s="31">
        <v>0</v>
      </c>
      <c r="S16" s="33"/>
      <c r="T16" s="32"/>
      <c r="U16" s="31"/>
      <c r="V16" s="33"/>
      <c r="AG16" s="27"/>
      <c r="AL16" s="28"/>
      <c r="AN16" s="27"/>
      <c r="AS16" s="28"/>
    </row>
    <row r="17" spans="1:45" ht="15.75" thickBot="1">
      <c r="A17" s="69"/>
      <c r="B17" s="70"/>
      <c r="C17" s="70"/>
      <c r="D17" s="70"/>
      <c r="H17" s="3" t="s">
        <v>1093</v>
      </c>
      <c r="J17" s="339">
        <f>K7/B8</f>
        <v>0.78376898637046133</v>
      </c>
      <c r="N17" s="14" t="s">
        <v>957</v>
      </c>
      <c r="O17" s="15">
        <f>12+9+9</f>
        <v>30</v>
      </c>
      <c r="P17" s="16" t="s">
        <v>98</v>
      </c>
      <c r="Q17" s="32"/>
      <c r="R17" s="31"/>
      <c r="S17" s="33"/>
      <c r="T17" s="32"/>
      <c r="U17" s="31"/>
      <c r="V17" s="33"/>
      <c r="AG17" s="71" t="s">
        <v>1094</v>
      </c>
      <c r="AH17" s="72">
        <f>12.5*62</f>
        <v>775</v>
      </c>
      <c r="AI17" s="72"/>
      <c r="AJ17" s="72"/>
      <c r="AK17" s="72"/>
      <c r="AL17" s="73"/>
      <c r="AN17" s="71" t="s">
        <v>1094</v>
      </c>
      <c r="AO17" s="72">
        <f>12.5*62</f>
        <v>775</v>
      </c>
      <c r="AP17" s="72"/>
      <c r="AQ17" s="72"/>
      <c r="AR17" s="72"/>
      <c r="AS17" s="73"/>
    </row>
    <row r="18" spans="1:45" ht="15.75" thickBot="1">
      <c r="A18" s="69"/>
      <c r="B18" s="70"/>
      <c r="C18" s="70"/>
      <c r="D18" s="70"/>
      <c r="J18" s="47"/>
      <c r="N18" s="74" t="s">
        <v>958</v>
      </c>
      <c r="O18" s="75">
        <f>3+3+4</f>
        <v>10</v>
      </c>
      <c r="P18" s="76" t="s">
        <v>98</v>
      </c>
      <c r="Q18" s="74"/>
      <c r="R18" s="75"/>
      <c r="S18" s="76"/>
      <c r="T18" s="74"/>
      <c r="U18" s="75"/>
      <c r="V18" s="76"/>
    </row>
    <row r="19" spans="1:45" ht="30.75" customHeight="1" thickBot="1">
      <c r="A19" s="77" t="s">
        <v>55</v>
      </c>
      <c r="B19" s="78" t="s">
        <v>56</v>
      </c>
      <c r="C19" s="78" t="s">
        <v>57</v>
      </c>
      <c r="D19" s="78" t="s">
        <v>58</v>
      </c>
      <c r="E19" s="78" t="s">
        <v>59</v>
      </c>
      <c r="F19" s="78" t="s">
        <v>60</v>
      </c>
      <c r="G19" s="78" t="s">
        <v>61</v>
      </c>
      <c r="H19" s="78" t="s">
        <v>62</v>
      </c>
      <c r="I19" s="79" t="s">
        <v>63</v>
      </c>
      <c r="J19" s="78" t="s">
        <v>64</v>
      </c>
      <c r="K19" s="78" t="s">
        <v>65</v>
      </c>
      <c r="L19" s="77" t="s">
        <v>66</v>
      </c>
      <c r="M19" s="80" t="s">
        <v>67</v>
      </c>
      <c r="N19" s="81"/>
      <c r="O19" s="81"/>
      <c r="P19" s="81"/>
      <c r="Q19" s="81"/>
      <c r="R19" s="81"/>
      <c r="S19" s="81"/>
      <c r="T19" s="81"/>
      <c r="U19" s="81"/>
      <c r="V19" s="81"/>
      <c r="W19" s="81"/>
    </row>
    <row r="20" spans="1:45">
      <c r="A20" s="82" t="s">
        <v>72</v>
      </c>
      <c r="B20" s="83" t="s">
        <v>69</v>
      </c>
      <c r="C20" s="83"/>
      <c r="D20" s="83"/>
      <c r="E20" s="83"/>
      <c r="F20" s="83"/>
      <c r="G20" s="83"/>
      <c r="H20" s="84"/>
      <c r="I20" s="85"/>
      <c r="J20" s="86"/>
      <c r="K20" s="86"/>
      <c r="L20" s="87">
        <f>K21</f>
        <v>3443297.715082909</v>
      </c>
      <c r="M20" s="88"/>
      <c r="N20" s="88"/>
      <c r="O20" s="88"/>
      <c r="P20" s="88"/>
      <c r="Q20" s="88"/>
      <c r="R20" s="88"/>
      <c r="S20" s="88"/>
      <c r="T20" s="88"/>
      <c r="U20" s="88"/>
      <c r="V20" s="88"/>
      <c r="W20" s="88"/>
    </row>
    <row r="21" spans="1:45">
      <c r="A21" s="89" t="s">
        <v>68</v>
      </c>
      <c r="B21" s="90" t="s">
        <v>69</v>
      </c>
      <c r="C21" s="90" t="s">
        <v>70</v>
      </c>
      <c r="D21" s="90"/>
      <c r="E21" s="90"/>
      <c r="F21" s="90" t="s">
        <v>71</v>
      </c>
      <c r="G21" s="91">
        <f>$B$6</f>
        <v>30</v>
      </c>
      <c r="H21" s="92">
        <f>SUM(L22:L291,L294,L311)*0.06/B6</f>
        <v>114776.59050276363</v>
      </c>
      <c r="I21" s="93">
        <v>0</v>
      </c>
      <c r="J21" s="94">
        <f>H21*(1+I21)</f>
        <v>114776.59050276363</v>
      </c>
      <c r="K21" s="95">
        <f>J21*G21</f>
        <v>3443297.715082909</v>
      </c>
      <c r="M21" s="46" t="s">
        <v>1095</v>
      </c>
      <c r="N21" s="46"/>
      <c r="O21" s="46"/>
      <c r="P21" s="46"/>
      <c r="Q21" s="46"/>
      <c r="R21" s="46"/>
      <c r="S21" s="46"/>
      <c r="T21" s="46"/>
      <c r="U21" s="46"/>
      <c r="V21" s="46"/>
      <c r="W21" s="46"/>
    </row>
    <row r="22" spans="1:45">
      <c r="A22" s="96" t="s">
        <v>77</v>
      </c>
      <c r="B22" s="97" t="s">
        <v>78</v>
      </c>
      <c r="C22" s="97"/>
      <c r="D22" s="97"/>
      <c r="E22" s="97"/>
      <c r="F22" s="97"/>
      <c r="G22" s="98"/>
      <c r="H22" s="99"/>
      <c r="I22" s="100"/>
      <c r="J22" s="101"/>
      <c r="K22" s="102"/>
      <c r="L22" s="103">
        <f>K23</f>
        <v>16000</v>
      </c>
      <c r="M22" s="46"/>
      <c r="N22" s="46"/>
      <c r="O22" s="46"/>
      <c r="P22" s="46"/>
      <c r="Q22" s="46"/>
      <c r="R22" s="46"/>
      <c r="S22" s="46"/>
      <c r="T22" s="46"/>
      <c r="U22" s="46"/>
      <c r="V22" s="46"/>
      <c r="W22" s="46"/>
    </row>
    <row r="23" spans="1:45">
      <c r="A23" s="104" t="s">
        <v>73</v>
      </c>
      <c r="B23" s="105" t="s">
        <v>74</v>
      </c>
      <c r="C23" s="105" t="s">
        <v>70</v>
      </c>
      <c r="D23" s="105" t="s">
        <v>75</v>
      </c>
      <c r="E23" s="105" t="s">
        <v>76</v>
      </c>
      <c r="F23" s="105"/>
      <c r="G23" s="106">
        <v>1</v>
      </c>
      <c r="H23" s="107">
        <v>16000</v>
      </c>
      <c r="I23" s="108">
        <v>0</v>
      </c>
      <c r="J23" s="109">
        <f>H23*(1+I23)</f>
        <v>16000</v>
      </c>
      <c r="K23" s="110">
        <f>J23*G23</f>
        <v>16000</v>
      </c>
      <c r="M23" s="46"/>
      <c r="N23" s="46"/>
      <c r="O23" s="46"/>
      <c r="P23" s="46"/>
      <c r="Q23" s="46"/>
      <c r="R23" s="46"/>
      <c r="S23" s="46"/>
      <c r="T23" s="46"/>
      <c r="U23" s="46"/>
      <c r="V23" s="46"/>
      <c r="W23" s="46"/>
    </row>
    <row r="24" spans="1:45">
      <c r="A24" s="96" t="s">
        <v>121</v>
      </c>
      <c r="B24" s="97" t="s">
        <v>122</v>
      </c>
      <c r="C24" s="97"/>
      <c r="D24" s="97"/>
      <c r="E24" s="97"/>
      <c r="F24" s="97"/>
      <c r="G24" s="98"/>
      <c r="H24" s="99"/>
      <c r="I24" s="100"/>
      <c r="J24" s="101"/>
      <c r="K24" s="102"/>
      <c r="L24" s="103">
        <f>SUM(K25:K34)</f>
        <v>2697268.4800000004</v>
      </c>
      <c r="M24" s="46"/>
      <c r="N24" s="46"/>
      <c r="O24" s="46"/>
      <c r="P24" s="46"/>
      <c r="Q24" s="46"/>
      <c r="R24" s="46"/>
      <c r="S24" s="46"/>
      <c r="T24" s="46"/>
      <c r="U24" s="46"/>
      <c r="V24" s="46"/>
      <c r="W24" s="46"/>
      <c r="X24" s="2"/>
    </row>
    <row r="25" spans="1:45">
      <c r="A25" s="111" t="s">
        <v>79</v>
      </c>
      <c r="B25" s="112" t="s">
        <v>80</v>
      </c>
      <c r="C25" s="112" t="s">
        <v>70</v>
      </c>
      <c r="D25" s="112" t="s">
        <v>81</v>
      </c>
      <c r="E25" s="112" t="s">
        <v>343</v>
      </c>
      <c r="F25" s="112" t="s">
        <v>185</v>
      </c>
      <c r="G25" s="113">
        <f>O2</f>
        <v>174940</v>
      </c>
      <c r="H25" s="114">
        <v>11.99</v>
      </c>
      <c r="I25" s="115">
        <v>0</v>
      </c>
      <c r="J25" s="116">
        <f>H25*(1+I25)</f>
        <v>11.99</v>
      </c>
      <c r="K25" s="117">
        <f t="shared" ref="K25:K34" si="2">J25*G25</f>
        <v>2097530.6</v>
      </c>
      <c r="M25" s="46"/>
      <c r="N25" s="46"/>
      <c r="O25" s="46"/>
      <c r="P25" s="46"/>
      <c r="Q25" s="46"/>
      <c r="R25" s="46"/>
      <c r="S25" s="46"/>
      <c r="T25" s="46"/>
      <c r="U25" s="46"/>
      <c r="V25" s="46"/>
      <c r="W25" s="46"/>
      <c r="X25" s="2"/>
    </row>
    <row r="26" spans="1:45">
      <c r="A26" s="118" t="s">
        <v>86</v>
      </c>
      <c r="B26" s="119" t="s">
        <v>80</v>
      </c>
      <c r="C26" s="119" t="s">
        <v>70</v>
      </c>
      <c r="D26" s="119" t="s">
        <v>81</v>
      </c>
      <c r="E26" s="119" t="s">
        <v>87</v>
      </c>
      <c r="F26" s="119"/>
      <c r="G26" s="120"/>
      <c r="H26" s="121"/>
      <c r="I26" s="122"/>
      <c r="J26" s="123">
        <f>H26*(1+I26)</f>
        <v>0</v>
      </c>
      <c r="K26" s="117">
        <f t="shared" si="2"/>
        <v>0</v>
      </c>
      <c r="M26" s="46"/>
      <c r="N26" s="46"/>
      <c r="O26" s="46"/>
      <c r="P26" s="46"/>
      <c r="Q26" s="46"/>
      <c r="R26" s="46"/>
      <c r="S26" s="46"/>
      <c r="T26" s="46"/>
      <c r="U26" s="46"/>
      <c r="V26" s="46"/>
      <c r="W26" s="46"/>
      <c r="X26" s="2"/>
    </row>
    <row r="27" spans="1:45">
      <c r="A27" s="118" t="s">
        <v>89</v>
      </c>
      <c r="B27" s="119" t="s">
        <v>80</v>
      </c>
      <c r="C27" s="119" t="s">
        <v>90</v>
      </c>
      <c r="D27" s="119" t="s">
        <v>81</v>
      </c>
      <c r="E27" s="90" t="s">
        <v>76</v>
      </c>
      <c r="F27" s="119" t="s">
        <v>83</v>
      </c>
      <c r="G27" s="120">
        <v>1</v>
      </c>
      <c r="H27" s="121">
        <v>2500</v>
      </c>
      <c r="I27" s="122">
        <v>0</v>
      </c>
      <c r="J27" s="123">
        <f t="shared" ref="J27" si="3">H27*(1+I27)</f>
        <v>2500</v>
      </c>
      <c r="K27" s="117">
        <f t="shared" si="2"/>
        <v>2500</v>
      </c>
      <c r="M27" s="46"/>
      <c r="N27" s="46"/>
      <c r="O27" s="46"/>
      <c r="P27" s="46"/>
      <c r="Q27" s="46"/>
      <c r="R27" s="46"/>
      <c r="S27" s="46"/>
      <c r="T27" s="46"/>
      <c r="U27" s="46"/>
      <c r="V27" s="46"/>
      <c r="W27" s="46"/>
      <c r="X27" s="2"/>
    </row>
    <row r="28" spans="1:45">
      <c r="A28" s="118" t="s">
        <v>92</v>
      </c>
      <c r="B28" s="119" t="s">
        <v>80</v>
      </c>
      <c r="C28" s="119" t="s">
        <v>70</v>
      </c>
      <c r="D28" s="119" t="s">
        <v>93</v>
      </c>
      <c r="E28" s="119" t="s">
        <v>343</v>
      </c>
      <c r="F28" s="90" t="s">
        <v>185</v>
      </c>
      <c r="G28" s="91">
        <v>300</v>
      </c>
      <c r="H28" s="121">
        <v>11.99</v>
      </c>
      <c r="I28" s="122"/>
      <c r="J28" s="123">
        <f>H28*(1+I28)</f>
        <v>11.99</v>
      </c>
      <c r="K28" s="117">
        <f t="shared" si="2"/>
        <v>3597</v>
      </c>
      <c r="M28" s="46"/>
      <c r="N28" s="46"/>
      <c r="O28" s="46"/>
      <c r="P28" s="46"/>
      <c r="Q28" s="46"/>
      <c r="R28" s="46"/>
      <c r="S28" s="46"/>
      <c r="T28" s="46"/>
      <c r="U28" s="46"/>
      <c r="V28" s="46"/>
      <c r="W28" s="46"/>
      <c r="X28" s="2"/>
    </row>
    <row r="29" spans="1:45">
      <c r="A29" s="118" t="s">
        <v>95</v>
      </c>
      <c r="B29" s="119" t="s">
        <v>96</v>
      </c>
      <c r="C29" s="119" t="s">
        <v>70</v>
      </c>
      <c r="D29" s="119" t="s">
        <v>97</v>
      </c>
      <c r="E29" s="119" t="s">
        <v>76</v>
      </c>
      <c r="F29" s="119" t="s">
        <v>185</v>
      </c>
      <c r="G29" s="120">
        <f>12*8*O5</f>
        <v>1344</v>
      </c>
      <c r="H29" s="121">
        <v>11.99</v>
      </c>
      <c r="I29" s="122">
        <v>0</v>
      </c>
      <c r="J29" s="123">
        <f t="shared" ref="J29:J34" si="4">H29*(1+I29)</f>
        <v>11.99</v>
      </c>
      <c r="K29" s="117">
        <f t="shared" si="2"/>
        <v>16114.56</v>
      </c>
      <c r="M29" s="46"/>
      <c r="N29" s="46"/>
      <c r="O29" s="46"/>
      <c r="P29" s="46"/>
      <c r="Q29" s="46"/>
      <c r="R29" s="46"/>
      <c r="S29" s="46"/>
      <c r="T29" s="46"/>
      <c r="U29" s="46"/>
      <c r="V29" s="46"/>
      <c r="W29" s="46"/>
      <c r="X29" s="2"/>
    </row>
    <row r="30" spans="1:45">
      <c r="A30" s="118" t="s">
        <v>101</v>
      </c>
      <c r="B30" s="119" t="s">
        <v>102</v>
      </c>
      <c r="C30" s="119" t="s">
        <v>70</v>
      </c>
      <c r="D30" s="119" t="s">
        <v>103</v>
      </c>
      <c r="E30" s="119" t="s">
        <v>343</v>
      </c>
      <c r="F30" s="119" t="s">
        <v>83</v>
      </c>
      <c r="G30" s="120">
        <v>1</v>
      </c>
      <c r="H30" s="121">
        <v>2500</v>
      </c>
      <c r="I30" s="122">
        <v>0</v>
      </c>
      <c r="J30" s="123">
        <f t="shared" si="4"/>
        <v>2500</v>
      </c>
      <c r="K30" s="117">
        <f t="shared" si="2"/>
        <v>2500</v>
      </c>
      <c r="M30" s="46"/>
      <c r="N30" s="46"/>
      <c r="O30" s="46"/>
      <c r="P30" s="46"/>
      <c r="Q30" s="46"/>
      <c r="R30" s="46"/>
      <c r="S30" s="46"/>
      <c r="T30" s="46"/>
      <c r="U30" s="46"/>
      <c r="V30" s="46"/>
      <c r="W30" s="46"/>
      <c r="X30" s="2"/>
    </row>
    <row r="31" spans="1:45">
      <c r="A31" s="118" t="s">
        <v>105</v>
      </c>
      <c r="B31" s="119" t="s">
        <v>106</v>
      </c>
      <c r="C31" s="119" t="s">
        <v>70</v>
      </c>
      <c r="D31" s="119" t="s">
        <v>103</v>
      </c>
      <c r="E31" s="119" t="s">
        <v>87</v>
      </c>
      <c r="F31" s="119"/>
      <c r="G31" s="120"/>
      <c r="H31" s="121"/>
      <c r="I31" s="122"/>
      <c r="J31" s="123">
        <f t="shared" si="4"/>
        <v>0</v>
      </c>
      <c r="K31" s="117">
        <f t="shared" si="2"/>
        <v>0</v>
      </c>
      <c r="M31" s="46"/>
      <c r="N31" s="46"/>
      <c r="O31" s="46"/>
      <c r="P31" s="46"/>
      <c r="Q31" s="46"/>
      <c r="R31" s="46"/>
      <c r="S31" s="46"/>
      <c r="T31" s="46"/>
      <c r="U31" s="46"/>
      <c r="V31" s="46"/>
      <c r="W31" s="46"/>
      <c r="X31" s="2"/>
    </row>
    <row r="32" spans="1:45">
      <c r="A32" s="118" t="s">
        <v>108</v>
      </c>
      <c r="B32" s="119" t="s">
        <v>109</v>
      </c>
      <c r="C32" s="119" t="s">
        <v>70</v>
      </c>
      <c r="D32" s="119" t="s">
        <v>110</v>
      </c>
      <c r="E32" s="119" t="s">
        <v>87</v>
      </c>
      <c r="F32" s="119"/>
      <c r="G32" s="120"/>
      <c r="H32" s="121"/>
      <c r="I32" s="122"/>
      <c r="J32" s="123">
        <f t="shared" si="4"/>
        <v>0</v>
      </c>
      <c r="K32" s="117">
        <f t="shared" si="2"/>
        <v>0</v>
      </c>
      <c r="M32" s="46"/>
      <c r="N32" s="46"/>
      <c r="O32" s="46"/>
      <c r="P32" s="46"/>
      <c r="Q32" s="46"/>
      <c r="R32" s="46"/>
      <c r="S32" s="46"/>
      <c r="T32" s="46"/>
      <c r="U32" s="46"/>
      <c r="V32" s="46"/>
      <c r="W32" s="46"/>
      <c r="X32" s="2"/>
    </row>
    <row r="33" spans="1:24">
      <c r="A33" s="118" t="s">
        <v>112</v>
      </c>
      <c r="B33" s="119" t="s">
        <v>113</v>
      </c>
      <c r="C33" s="119" t="s">
        <v>70</v>
      </c>
      <c r="D33" s="119" t="s">
        <v>81</v>
      </c>
      <c r="E33" s="119" t="s">
        <v>343</v>
      </c>
      <c r="F33" s="119" t="s">
        <v>185</v>
      </c>
      <c r="G33" s="120">
        <f>O2</f>
        <v>174940</v>
      </c>
      <c r="H33" s="121">
        <v>2.94</v>
      </c>
      <c r="I33" s="122">
        <v>0</v>
      </c>
      <c r="J33" s="123">
        <f t="shared" si="4"/>
        <v>2.94</v>
      </c>
      <c r="K33" s="117">
        <f t="shared" si="2"/>
        <v>514323.6</v>
      </c>
      <c r="M33" s="46"/>
      <c r="N33" s="46"/>
      <c r="O33" s="46"/>
      <c r="P33" s="46"/>
      <c r="Q33" s="46"/>
      <c r="R33" s="46"/>
      <c r="S33" s="46"/>
      <c r="T33" s="46"/>
      <c r="U33" s="46"/>
      <c r="V33" s="46"/>
      <c r="W33" s="46"/>
      <c r="X33" s="2"/>
    </row>
    <row r="34" spans="1:24">
      <c r="A34" s="124" t="s">
        <v>117</v>
      </c>
      <c r="B34" s="125" t="s">
        <v>118</v>
      </c>
      <c r="C34" s="125" t="s">
        <v>70</v>
      </c>
      <c r="D34" s="125" t="s">
        <v>81</v>
      </c>
      <c r="E34" s="125" t="s">
        <v>343</v>
      </c>
      <c r="F34" s="125" t="s">
        <v>185</v>
      </c>
      <c r="G34" s="126">
        <f>R6</f>
        <v>3072</v>
      </c>
      <c r="H34" s="127">
        <v>19.760000000000002</v>
      </c>
      <c r="I34" s="128">
        <v>0</v>
      </c>
      <c r="J34" s="129">
        <f t="shared" si="4"/>
        <v>19.760000000000002</v>
      </c>
      <c r="K34" s="110">
        <f t="shared" si="2"/>
        <v>60702.720000000001</v>
      </c>
      <c r="L34" s="130"/>
      <c r="M34" s="46"/>
      <c r="N34" s="46"/>
      <c r="O34" s="46"/>
      <c r="P34" s="46"/>
      <c r="Q34" s="46"/>
      <c r="R34" s="46"/>
      <c r="S34" s="46"/>
      <c r="T34" s="46"/>
      <c r="U34" s="46"/>
      <c r="V34" s="46"/>
      <c r="W34" s="46"/>
      <c r="X34" s="2"/>
    </row>
    <row r="35" spans="1:24">
      <c r="A35" s="96" t="s">
        <v>146</v>
      </c>
      <c r="B35" s="97" t="s">
        <v>147</v>
      </c>
      <c r="C35" s="97"/>
      <c r="D35" s="97"/>
      <c r="E35" s="97"/>
      <c r="F35" s="97"/>
      <c r="G35" s="98"/>
      <c r="H35" s="99"/>
      <c r="I35" s="100"/>
      <c r="J35" s="99"/>
      <c r="K35" s="131"/>
      <c r="L35" s="103">
        <f>SUM(K36:K40)</f>
        <v>207800</v>
      </c>
      <c r="M35" s="46"/>
      <c r="N35" s="46"/>
      <c r="O35" s="46"/>
      <c r="P35" s="46"/>
      <c r="Q35" s="46"/>
      <c r="R35" s="46"/>
      <c r="S35" s="46"/>
      <c r="T35" s="46"/>
      <c r="U35" s="46"/>
      <c r="V35" s="46"/>
      <c r="W35" s="46"/>
      <c r="X35" s="2"/>
    </row>
    <row r="36" spans="1:24">
      <c r="A36" s="111" t="s">
        <v>124</v>
      </c>
      <c r="B36" s="112" t="s">
        <v>125</v>
      </c>
      <c r="C36" s="112" t="s">
        <v>70</v>
      </c>
      <c r="D36" s="112" t="s">
        <v>81</v>
      </c>
      <c r="E36" s="112" t="s">
        <v>343</v>
      </c>
      <c r="F36" s="112" t="s">
        <v>126</v>
      </c>
      <c r="G36" s="113">
        <f>O4</f>
        <v>12</v>
      </c>
      <c r="H36" s="114">
        <v>9500</v>
      </c>
      <c r="I36" s="115">
        <v>0</v>
      </c>
      <c r="J36" s="116">
        <f t="shared" ref="J36:J40" si="5">H36*(1+I36)</f>
        <v>9500</v>
      </c>
      <c r="K36" s="117">
        <f>J36*G36</f>
        <v>114000</v>
      </c>
      <c r="M36" s="46"/>
      <c r="N36" s="46"/>
      <c r="O36" s="46"/>
      <c r="P36" s="46"/>
      <c r="Q36" s="46"/>
      <c r="R36" s="46"/>
      <c r="S36" s="46"/>
      <c r="T36" s="46"/>
      <c r="U36" s="46"/>
      <c r="V36" s="46"/>
      <c r="W36" s="46"/>
      <c r="X36" s="2"/>
    </row>
    <row r="37" spans="1:24">
      <c r="A37" s="118" t="s">
        <v>129</v>
      </c>
      <c r="B37" s="119" t="s">
        <v>130</v>
      </c>
      <c r="C37" s="119" t="s">
        <v>70</v>
      </c>
      <c r="D37" s="119" t="s">
        <v>97</v>
      </c>
      <c r="E37" s="119" t="s">
        <v>343</v>
      </c>
      <c r="F37" s="119" t="s">
        <v>132</v>
      </c>
      <c r="G37" s="120">
        <f>$O$5</f>
        <v>14</v>
      </c>
      <c r="H37" s="121">
        <v>5700</v>
      </c>
      <c r="I37" s="122">
        <v>0</v>
      </c>
      <c r="J37" s="123">
        <f t="shared" si="5"/>
        <v>5700</v>
      </c>
      <c r="K37" s="117">
        <f>J37*G37</f>
        <v>79800</v>
      </c>
      <c r="M37" s="46"/>
      <c r="N37" s="46"/>
      <c r="O37" s="46"/>
      <c r="P37" s="46"/>
      <c r="Q37" s="46"/>
      <c r="R37" s="46"/>
      <c r="S37" s="46"/>
      <c r="T37" s="46"/>
      <c r="U37" s="46"/>
      <c r="V37" s="46"/>
      <c r="W37" s="46"/>
      <c r="X37" s="2"/>
    </row>
    <row r="38" spans="1:24">
      <c r="A38" s="118" t="s">
        <v>136</v>
      </c>
      <c r="B38" s="119" t="s">
        <v>137</v>
      </c>
      <c r="C38" s="119" t="s">
        <v>70</v>
      </c>
      <c r="D38" s="119" t="s">
        <v>75</v>
      </c>
      <c r="E38" s="119" t="s">
        <v>87</v>
      </c>
      <c r="F38" s="119"/>
      <c r="G38" s="120"/>
      <c r="H38" s="121">
        <v>0</v>
      </c>
      <c r="I38" s="122"/>
      <c r="J38" s="123">
        <f t="shared" si="5"/>
        <v>0</v>
      </c>
      <c r="K38" s="117">
        <f>J38*G38</f>
        <v>0</v>
      </c>
      <c r="M38" s="46"/>
      <c r="N38" s="46"/>
      <c r="O38" s="46"/>
      <c r="P38" s="46"/>
      <c r="Q38" s="46"/>
      <c r="R38" s="46"/>
      <c r="S38" s="46"/>
      <c r="T38" s="46"/>
      <c r="U38" s="46"/>
      <c r="V38" s="46"/>
      <c r="W38" s="46"/>
      <c r="X38" s="2"/>
    </row>
    <row r="39" spans="1:24">
      <c r="A39" s="118" t="s">
        <v>139</v>
      </c>
      <c r="B39" s="119" t="s">
        <v>140</v>
      </c>
      <c r="C39" s="119" t="s">
        <v>70</v>
      </c>
      <c r="D39" s="119" t="s">
        <v>103</v>
      </c>
      <c r="E39" s="119" t="s">
        <v>76</v>
      </c>
      <c r="F39" s="119" t="s">
        <v>83</v>
      </c>
      <c r="G39" s="120">
        <v>1</v>
      </c>
      <c r="H39" s="121">
        <v>5000</v>
      </c>
      <c r="I39" s="122">
        <v>0</v>
      </c>
      <c r="J39" s="123">
        <f t="shared" si="5"/>
        <v>5000</v>
      </c>
      <c r="K39" s="117">
        <f>J39*G39</f>
        <v>5000</v>
      </c>
      <c r="M39" s="46"/>
      <c r="N39" s="46"/>
      <c r="O39" s="46"/>
      <c r="P39" s="46"/>
      <c r="Q39" s="46"/>
      <c r="R39" s="46"/>
      <c r="S39" s="46"/>
      <c r="T39" s="46"/>
      <c r="U39" s="46"/>
      <c r="V39" s="46"/>
      <c r="W39" s="46"/>
      <c r="X39" s="2"/>
    </row>
    <row r="40" spans="1:24">
      <c r="A40" s="118" t="s">
        <v>1096</v>
      </c>
      <c r="B40" s="119" t="s">
        <v>143</v>
      </c>
      <c r="C40" s="119" t="s">
        <v>144</v>
      </c>
      <c r="D40" s="119" t="s">
        <v>110</v>
      </c>
      <c r="E40" s="119" t="s">
        <v>343</v>
      </c>
      <c r="F40" s="119" t="s">
        <v>83</v>
      </c>
      <c r="G40" s="120">
        <v>1</v>
      </c>
      <c r="H40" s="121">
        <v>9000</v>
      </c>
      <c r="I40" s="122">
        <v>0</v>
      </c>
      <c r="J40" s="123">
        <f t="shared" si="5"/>
        <v>9000</v>
      </c>
      <c r="K40" s="117">
        <f>J40*G40</f>
        <v>9000</v>
      </c>
      <c r="M40" s="46"/>
      <c r="N40" s="46"/>
      <c r="O40" s="46"/>
      <c r="P40" s="46"/>
      <c r="Q40" s="46"/>
      <c r="R40" s="46"/>
      <c r="S40" s="46"/>
      <c r="T40" s="46"/>
      <c r="U40" s="46"/>
      <c r="V40" s="46"/>
      <c r="W40" s="46"/>
      <c r="X40" s="2"/>
    </row>
    <row r="41" spans="1:24">
      <c r="A41" s="96" t="s">
        <v>175</v>
      </c>
      <c r="B41" s="97" t="s">
        <v>176</v>
      </c>
      <c r="C41" s="97"/>
      <c r="D41" s="97"/>
      <c r="E41" s="132"/>
      <c r="F41" s="132"/>
      <c r="G41" s="133"/>
      <c r="H41" s="134"/>
      <c r="I41" s="135"/>
      <c r="J41" s="134"/>
      <c r="K41" s="136"/>
      <c r="L41" s="103">
        <f>SUM(K42:K49)</f>
        <v>349806</v>
      </c>
      <c r="M41" s="46"/>
      <c r="N41" s="46"/>
      <c r="O41" s="46"/>
      <c r="P41" s="46"/>
      <c r="Q41" s="46"/>
      <c r="R41" s="46"/>
      <c r="S41" s="46"/>
      <c r="T41" s="46"/>
      <c r="U41" s="46"/>
      <c r="V41" s="46"/>
      <c r="W41" s="46"/>
      <c r="X41" s="2"/>
    </row>
    <row r="42" spans="1:24">
      <c r="A42" s="111" t="s">
        <v>128</v>
      </c>
      <c r="B42" s="112" t="s">
        <v>149</v>
      </c>
      <c r="C42" s="112" t="s">
        <v>70</v>
      </c>
      <c r="D42" s="112" t="s">
        <v>81</v>
      </c>
      <c r="E42" s="112" t="s">
        <v>343</v>
      </c>
      <c r="F42" s="112" t="s">
        <v>83</v>
      </c>
      <c r="G42" s="113">
        <v>1</v>
      </c>
      <c r="H42" s="114">
        <v>100000</v>
      </c>
      <c r="I42" s="115">
        <v>0</v>
      </c>
      <c r="J42" s="116">
        <f t="shared" ref="J42:J49" si="6">H42*(1+I42)</f>
        <v>100000</v>
      </c>
      <c r="K42" s="117">
        <f t="shared" ref="K42:K49" si="7">J42*G42</f>
        <v>100000</v>
      </c>
      <c r="M42" s="46"/>
      <c r="N42" s="46"/>
      <c r="O42" s="46"/>
      <c r="P42" s="46"/>
      <c r="Q42" s="46"/>
      <c r="R42" s="46"/>
      <c r="S42" s="46"/>
      <c r="T42" s="46"/>
      <c r="U42" s="46"/>
      <c r="V42" s="46"/>
      <c r="W42" s="46"/>
      <c r="X42" s="2"/>
    </row>
    <row r="43" spans="1:24">
      <c r="A43" s="118" t="s">
        <v>151</v>
      </c>
      <c r="B43" s="119" t="s">
        <v>152</v>
      </c>
      <c r="C43" s="119" t="s">
        <v>70</v>
      </c>
      <c r="D43" s="119" t="s">
        <v>81</v>
      </c>
      <c r="E43" s="119" t="s">
        <v>343</v>
      </c>
      <c r="F43" s="119" t="s">
        <v>132</v>
      </c>
      <c r="G43" s="120">
        <f>$O$3</f>
        <v>6</v>
      </c>
      <c r="H43" s="121">
        <f>1950+2090</f>
        <v>4040</v>
      </c>
      <c r="I43" s="122">
        <v>0</v>
      </c>
      <c r="J43" s="116">
        <f t="shared" si="6"/>
        <v>4040</v>
      </c>
      <c r="K43" s="117">
        <f t="shared" si="7"/>
        <v>24240</v>
      </c>
      <c r="M43" s="46"/>
      <c r="N43" s="46"/>
      <c r="O43" s="46"/>
      <c r="P43" s="46"/>
      <c r="Q43" s="46"/>
      <c r="R43" s="46"/>
      <c r="S43" s="46"/>
      <c r="T43" s="46"/>
      <c r="U43" s="46"/>
      <c r="V43" s="46"/>
      <c r="W43" s="46"/>
      <c r="X43" s="2"/>
    </row>
    <row r="44" spans="1:24">
      <c r="A44" s="118" t="s">
        <v>154</v>
      </c>
      <c r="B44" s="119" t="s">
        <v>155</v>
      </c>
      <c r="C44" s="119" t="s">
        <v>70</v>
      </c>
      <c r="D44" s="119" t="s">
        <v>81</v>
      </c>
      <c r="E44" s="119" t="s">
        <v>343</v>
      </c>
      <c r="F44" s="119" t="s">
        <v>157</v>
      </c>
      <c r="G44" s="120">
        <f>O6*2</f>
        <v>36</v>
      </c>
      <c r="H44" s="121">
        <v>2000</v>
      </c>
      <c r="I44" s="122">
        <v>0</v>
      </c>
      <c r="J44" s="116">
        <f t="shared" si="6"/>
        <v>2000</v>
      </c>
      <c r="K44" s="117">
        <f t="shared" si="7"/>
        <v>72000</v>
      </c>
      <c r="M44" s="46"/>
      <c r="N44" s="46"/>
      <c r="O44" s="46"/>
      <c r="P44" s="46"/>
      <c r="Q44" s="46"/>
      <c r="R44" s="46"/>
      <c r="S44" s="46"/>
      <c r="T44" s="46"/>
      <c r="U44" s="46"/>
      <c r="V44" s="46"/>
      <c r="W44" s="46"/>
      <c r="X44" s="2"/>
    </row>
    <row r="45" spans="1:24">
      <c r="A45" s="118" t="s">
        <v>160</v>
      </c>
      <c r="B45" s="119" t="s">
        <v>155</v>
      </c>
      <c r="C45" s="119" t="s">
        <v>70</v>
      </c>
      <c r="D45" s="119" t="s">
        <v>81</v>
      </c>
      <c r="E45" s="119" t="s">
        <v>87</v>
      </c>
      <c r="F45" s="119"/>
      <c r="G45" s="120"/>
      <c r="H45" s="121">
        <v>0</v>
      </c>
      <c r="I45" s="122">
        <v>0</v>
      </c>
      <c r="J45" s="116">
        <f t="shared" si="6"/>
        <v>0</v>
      </c>
      <c r="K45" s="117">
        <f t="shared" si="7"/>
        <v>0</v>
      </c>
      <c r="M45" s="46"/>
      <c r="N45" s="46"/>
      <c r="O45" s="46"/>
      <c r="P45" s="46"/>
      <c r="Q45" s="46"/>
      <c r="R45" s="46"/>
      <c r="S45" s="46"/>
      <c r="T45" s="46"/>
      <c r="U45" s="46"/>
      <c r="V45" s="46"/>
      <c r="W45" s="46"/>
      <c r="X45" s="2"/>
    </row>
    <row r="46" spans="1:24">
      <c r="A46" s="118" t="s">
        <v>161</v>
      </c>
      <c r="B46" s="119" t="s">
        <v>162</v>
      </c>
      <c r="C46" s="119" t="s">
        <v>70</v>
      </c>
      <c r="D46" s="119" t="s">
        <v>103</v>
      </c>
      <c r="E46" s="119" t="s">
        <v>87</v>
      </c>
      <c r="F46" s="119"/>
      <c r="G46" s="120"/>
      <c r="H46" s="121">
        <v>0</v>
      </c>
      <c r="I46" s="122">
        <v>0</v>
      </c>
      <c r="J46" s="116">
        <f t="shared" si="6"/>
        <v>0</v>
      </c>
      <c r="K46" s="117">
        <f t="shared" si="7"/>
        <v>0</v>
      </c>
      <c r="M46" s="46"/>
      <c r="N46" s="46"/>
      <c r="O46" s="46"/>
      <c r="P46" s="46"/>
      <c r="Q46" s="46"/>
      <c r="R46" s="46"/>
      <c r="S46" s="46"/>
      <c r="T46" s="46"/>
      <c r="U46" s="46"/>
      <c r="V46" s="46"/>
      <c r="W46" s="46"/>
      <c r="X46" s="2"/>
    </row>
    <row r="47" spans="1:24">
      <c r="A47" s="118" t="s">
        <v>164</v>
      </c>
      <c r="B47" s="119" t="s">
        <v>165</v>
      </c>
      <c r="C47" s="119" t="s">
        <v>70</v>
      </c>
      <c r="D47" s="119" t="s">
        <v>110</v>
      </c>
      <c r="E47" s="119" t="s">
        <v>343</v>
      </c>
      <c r="F47" s="119" t="s">
        <v>132</v>
      </c>
      <c r="G47" s="120">
        <v>1</v>
      </c>
      <c r="H47" s="121">
        <v>1950</v>
      </c>
      <c r="I47" s="122">
        <v>0</v>
      </c>
      <c r="J47" s="116">
        <f t="shared" si="6"/>
        <v>1950</v>
      </c>
      <c r="K47" s="117">
        <f t="shared" si="7"/>
        <v>1950</v>
      </c>
      <c r="M47" s="46"/>
      <c r="N47" s="46"/>
      <c r="O47" s="46"/>
      <c r="P47" s="46"/>
      <c r="Q47" s="46"/>
      <c r="R47" s="46"/>
      <c r="S47" s="46"/>
      <c r="T47" s="46"/>
      <c r="U47" s="46"/>
      <c r="V47" s="46"/>
      <c r="W47" s="46"/>
      <c r="X47" s="2"/>
    </row>
    <row r="48" spans="1:24">
      <c r="A48" s="118" t="s">
        <v>167</v>
      </c>
      <c r="B48" s="119" t="s">
        <v>168</v>
      </c>
      <c r="C48" s="119" t="s">
        <v>70</v>
      </c>
      <c r="D48" s="119" t="s">
        <v>81</v>
      </c>
      <c r="E48" s="119" t="s">
        <v>343</v>
      </c>
      <c r="F48" s="119" t="s">
        <v>169</v>
      </c>
      <c r="G48" s="120">
        <f>$O$9</f>
        <v>1648</v>
      </c>
      <c r="H48" s="121">
        <v>92</v>
      </c>
      <c r="I48" s="122">
        <v>0</v>
      </c>
      <c r="J48" s="116">
        <f t="shared" si="6"/>
        <v>92</v>
      </c>
      <c r="K48" s="117">
        <f t="shared" si="7"/>
        <v>151616</v>
      </c>
      <c r="M48" s="46"/>
      <c r="N48" s="46"/>
      <c r="O48" s="46"/>
      <c r="P48" s="46"/>
      <c r="Q48" s="46"/>
      <c r="R48" s="46"/>
      <c r="S48" s="46"/>
      <c r="T48" s="46"/>
      <c r="U48" s="46"/>
      <c r="V48" s="46"/>
      <c r="W48" s="46"/>
      <c r="X48" s="2"/>
    </row>
    <row r="49" spans="1:24">
      <c r="A49" s="118" t="s">
        <v>171</v>
      </c>
      <c r="B49" s="119" t="s">
        <v>172</v>
      </c>
      <c r="C49" s="119" t="s">
        <v>70</v>
      </c>
      <c r="D49" s="119" t="s">
        <v>173</v>
      </c>
      <c r="E49" s="119" t="s">
        <v>87</v>
      </c>
      <c r="F49" s="119"/>
      <c r="G49" s="120"/>
      <c r="H49" s="121">
        <v>0</v>
      </c>
      <c r="I49" s="122">
        <v>0</v>
      </c>
      <c r="J49" s="116">
        <f t="shared" si="6"/>
        <v>0</v>
      </c>
      <c r="K49" s="117">
        <f t="shared" si="7"/>
        <v>0</v>
      </c>
      <c r="M49" s="46"/>
      <c r="N49" s="46"/>
      <c r="O49" s="46"/>
      <c r="P49" s="46"/>
      <c r="Q49" s="46"/>
      <c r="R49" s="46"/>
      <c r="S49" s="46"/>
      <c r="T49" s="46"/>
      <c r="U49" s="46"/>
      <c r="V49" s="46"/>
      <c r="W49" s="46"/>
      <c r="X49" s="2"/>
    </row>
    <row r="50" spans="1:24">
      <c r="A50" s="96" t="s">
        <v>220</v>
      </c>
      <c r="B50" s="97" t="s">
        <v>221</v>
      </c>
      <c r="C50" s="97"/>
      <c r="D50" s="97"/>
      <c r="E50" s="132"/>
      <c r="F50" s="132"/>
      <c r="G50" s="133"/>
      <c r="H50" s="134"/>
      <c r="I50" s="135"/>
      <c r="J50" s="134"/>
      <c r="K50" s="136"/>
      <c r="L50" s="103">
        <f>SUM(K51:K63)</f>
        <v>8880630.8000000007</v>
      </c>
      <c r="M50" s="46"/>
      <c r="N50" s="46"/>
      <c r="O50" s="46"/>
      <c r="P50" s="46"/>
      <c r="Q50" s="46"/>
      <c r="R50" s="46"/>
      <c r="S50" s="46"/>
      <c r="T50" s="46"/>
      <c r="U50" s="46"/>
      <c r="V50" s="46"/>
      <c r="W50" s="46"/>
      <c r="X50" s="2"/>
    </row>
    <row r="51" spans="1:24">
      <c r="A51" s="111" t="s">
        <v>308</v>
      </c>
      <c r="B51" s="112" t="s">
        <v>851</v>
      </c>
      <c r="C51" s="112" t="s">
        <v>70</v>
      </c>
      <c r="D51" s="112" t="s">
        <v>310</v>
      </c>
      <c r="E51" s="112"/>
      <c r="F51" s="112"/>
      <c r="G51" s="113"/>
      <c r="H51" s="114"/>
      <c r="I51" s="115">
        <v>0</v>
      </c>
      <c r="J51" s="116">
        <f t="shared" ref="J51:J63" si="8">H51*(1+I51)</f>
        <v>0</v>
      </c>
      <c r="K51" s="117">
        <f t="shared" ref="K51:K63" si="9">J51*G51</f>
        <v>0</v>
      </c>
      <c r="M51" s="46" t="s">
        <v>443</v>
      </c>
      <c r="N51" s="46"/>
      <c r="O51" s="46"/>
      <c r="P51" s="46"/>
      <c r="Q51" s="46"/>
      <c r="R51" s="46"/>
      <c r="S51" s="46"/>
      <c r="T51" s="46"/>
      <c r="U51" s="46"/>
      <c r="V51" s="46"/>
      <c r="W51" s="46"/>
      <c r="X51" s="2"/>
    </row>
    <row r="52" spans="1:24">
      <c r="A52" s="118" t="s">
        <v>178</v>
      </c>
      <c r="B52" s="119" t="s">
        <v>179</v>
      </c>
      <c r="C52" s="119" t="s">
        <v>70</v>
      </c>
      <c r="D52" s="119" t="s">
        <v>81</v>
      </c>
      <c r="E52" s="119" t="s">
        <v>1065</v>
      </c>
      <c r="F52" s="119" t="s">
        <v>185</v>
      </c>
      <c r="G52" s="120">
        <f>B8</f>
        <v>361641</v>
      </c>
      <c r="H52" s="121">
        <v>20.5</v>
      </c>
      <c r="I52" s="122">
        <v>0</v>
      </c>
      <c r="J52" s="116">
        <f t="shared" si="8"/>
        <v>20.5</v>
      </c>
      <c r="K52" s="117">
        <f t="shared" si="9"/>
        <v>7413640.5</v>
      </c>
      <c r="M52" s="46"/>
      <c r="N52" s="46"/>
      <c r="O52" s="46"/>
      <c r="P52" s="46"/>
      <c r="Q52" s="46"/>
      <c r="R52" s="46"/>
      <c r="S52" s="46"/>
      <c r="T52" s="46"/>
      <c r="U52" s="46"/>
      <c r="V52" s="46"/>
      <c r="W52" s="46"/>
      <c r="X52" s="2"/>
    </row>
    <row r="53" spans="1:24">
      <c r="A53" s="118" t="s">
        <v>187</v>
      </c>
      <c r="B53" s="119" t="s">
        <v>179</v>
      </c>
      <c r="C53" s="119" t="s">
        <v>70</v>
      </c>
      <c r="D53" s="119" t="s">
        <v>81</v>
      </c>
      <c r="E53" s="119" t="s">
        <v>87</v>
      </c>
      <c r="F53" s="119"/>
      <c r="G53" s="120"/>
      <c r="H53" s="121"/>
      <c r="I53" s="122">
        <v>0</v>
      </c>
      <c r="J53" s="116">
        <f t="shared" si="8"/>
        <v>0</v>
      </c>
      <c r="K53" s="117">
        <f t="shared" si="9"/>
        <v>0</v>
      </c>
      <c r="M53" s="46"/>
      <c r="N53" s="46"/>
      <c r="O53" s="46"/>
      <c r="P53" s="46"/>
      <c r="Q53" s="46"/>
      <c r="R53" s="46"/>
      <c r="S53" s="46"/>
      <c r="T53" s="46"/>
      <c r="U53" s="46"/>
      <c r="V53" s="46"/>
      <c r="W53" s="46"/>
      <c r="X53" s="2"/>
    </row>
    <row r="54" spans="1:24">
      <c r="A54" s="118" t="s">
        <v>189</v>
      </c>
      <c r="B54" s="119" t="s">
        <v>190</v>
      </c>
      <c r="C54" s="119" t="s">
        <v>70</v>
      </c>
      <c r="D54" s="119" t="s">
        <v>173</v>
      </c>
      <c r="E54" s="119" t="s">
        <v>87</v>
      </c>
      <c r="F54" s="119"/>
      <c r="G54" s="120"/>
      <c r="H54" s="121"/>
      <c r="I54" s="122">
        <v>0</v>
      </c>
      <c r="J54" s="116">
        <f t="shared" si="8"/>
        <v>0</v>
      </c>
      <c r="K54" s="117">
        <f t="shared" si="9"/>
        <v>0</v>
      </c>
      <c r="M54" s="46"/>
      <c r="N54" s="46"/>
      <c r="O54" s="46"/>
      <c r="P54" s="46"/>
      <c r="Q54" s="46"/>
      <c r="R54" s="46"/>
      <c r="S54" s="46"/>
      <c r="T54" s="46"/>
      <c r="U54" s="46"/>
      <c r="V54" s="46"/>
      <c r="W54" s="46"/>
      <c r="X54" s="2"/>
    </row>
    <row r="55" spans="1:24">
      <c r="A55" s="118" t="s">
        <v>192</v>
      </c>
      <c r="B55" s="119" t="s">
        <v>193</v>
      </c>
      <c r="C55" s="119" t="s">
        <v>70</v>
      </c>
      <c r="D55" s="119" t="s">
        <v>173</v>
      </c>
      <c r="E55" s="119" t="s">
        <v>76</v>
      </c>
      <c r="F55" s="119" t="s">
        <v>83</v>
      </c>
      <c r="G55" s="120">
        <v>4</v>
      </c>
      <c r="H55" s="121">
        <v>2500</v>
      </c>
      <c r="I55" s="122">
        <v>0</v>
      </c>
      <c r="J55" s="116">
        <f t="shared" si="8"/>
        <v>2500</v>
      </c>
      <c r="K55" s="117">
        <f t="shared" si="9"/>
        <v>10000</v>
      </c>
      <c r="M55" s="46"/>
      <c r="N55" s="46"/>
      <c r="O55" s="46"/>
      <c r="P55" s="46"/>
      <c r="Q55" s="46"/>
      <c r="R55" s="46"/>
      <c r="S55" s="46"/>
      <c r="T55" s="46"/>
      <c r="U55" s="46"/>
      <c r="V55" s="46"/>
      <c r="W55" s="46"/>
      <c r="X55" s="2"/>
    </row>
    <row r="56" spans="1:24">
      <c r="A56" s="118" t="s">
        <v>195</v>
      </c>
      <c r="B56" s="119" t="s">
        <v>196</v>
      </c>
      <c r="C56" s="119" t="s">
        <v>70</v>
      </c>
      <c r="D56" s="119" t="s">
        <v>173</v>
      </c>
      <c r="E56" s="119" t="s">
        <v>87</v>
      </c>
      <c r="F56" s="119"/>
      <c r="G56" s="120"/>
      <c r="H56" s="121"/>
      <c r="I56" s="122">
        <v>0</v>
      </c>
      <c r="J56" s="116">
        <f t="shared" si="8"/>
        <v>0</v>
      </c>
      <c r="K56" s="117">
        <f t="shared" si="9"/>
        <v>0</v>
      </c>
      <c r="M56" s="46"/>
      <c r="N56" s="46"/>
      <c r="O56" s="46"/>
      <c r="P56" s="46"/>
      <c r="Q56" s="46"/>
      <c r="R56" s="46"/>
      <c r="S56" s="46"/>
      <c r="T56" s="46"/>
      <c r="U56" s="46"/>
      <c r="V56" s="46"/>
      <c r="W56" s="46"/>
      <c r="X56" s="2"/>
    </row>
    <row r="57" spans="1:24">
      <c r="A57" s="118" t="s">
        <v>198</v>
      </c>
      <c r="B57" s="119" t="s">
        <v>199</v>
      </c>
      <c r="C57" s="119" t="s">
        <v>70</v>
      </c>
      <c r="D57" s="119" t="s">
        <v>81</v>
      </c>
      <c r="E57" s="119" t="s">
        <v>87</v>
      </c>
      <c r="F57" s="119"/>
      <c r="G57" s="120"/>
      <c r="H57" s="121"/>
      <c r="I57" s="122">
        <v>0</v>
      </c>
      <c r="J57" s="116">
        <f t="shared" si="8"/>
        <v>0</v>
      </c>
      <c r="K57" s="117">
        <f t="shared" si="9"/>
        <v>0</v>
      </c>
      <c r="M57" s="46"/>
      <c r="N57" s="46"/>
      <c r="O57" s="46"/>
      <c r="P57" s="46"/>
      <c r="Q57" s="46"/>
      <c r="R57" s="46"/>
      <c r="S57" s="46"/>
      <c r="T57" s="46"/>
      <c r="U57" s="46"/>
      <c r="V57" s="46"/>
      <c r="W57" s="46"/>
      <c r="X57" s="2"/>
    </row>
    <row r="58" spans="1:24">
      <c r="A58" s="118" t="s">
        <v>201</v>
      </c>
      <c r="B58" s="119" t="s">
        <v>199</v>
      </c>
      <c r="C58" s="119" t="s">
        <v>70</v>
      </c>
      <c r="D58" s="119" t="s">
        <v>110</v>
      </c>
      <c r="E58" s="119" t="s">
        <v>87</v>
      </c>
      <c r="F58" s="119"/>
      <c r="G58" s="120"/>
      <c r="H58" s="121"/>
      <c r="I58" s="122">
        <v>0</v>
      </c>
      <c r="J58" s="116">
        <f t="shared" si="8"/>
        <v>0</v>
      </c>
      <c r="K58" s="117">
        <f t="shared" si="9"/>
        <v>0</v>
      </c>
      <c r="M58" s="46"/>
      <c r="N58" s="46"/>
      <c r="O58" s="46"/>
      <c r="P58" s="46"/>
      <c r="Q58" s="46"/>
      <c r="R58" s="46"/>
      <c r="S58" s="46"/>
      <c r="T58" s="46"/>
      <c r="U58" s="46"/>
      <c r="V58" s="46"/>
      <c r="W58" s="46"/>
      <c r="X58" s="2"/>
    </row>
    <row r="59" spans="1:24">
      <c r="A59" s="137" t="s">
        <v>203</v>
      </c>
      <c r="B59" s="119" t="s">
        <v>204</v>
      </c>
      <c r="C59" s="119" t="s">
        <v>70</v>
      </c>
      <c r="D59" s="119" t="s">
        <v>81</v>
      </c>
      <c r="E59" s="119" t="s">
        <v>343</v>
      </c>
      <c r="F59" s="119" t="s">
        <v>311</v>
      </c>
      <c r="G59" s="120">
        <f>$E$8</f>
        <v>363</v>
      </c>
      <c r="H59" s="121">
        <v>3192.5</v>
      </c>
      <c r="I59" s="122">
        <v>0</v>
      </c>
      <c r="J59" s="116">
        <f t="shared" si="8"/>
        <v>3192.5</v>
      </c>
      <c r="K59" s="117">
        <f t="shared" si="9"/>
        <v>1158877.5</v>
      </c>
      <c r="M59" s="46"/>
      <c r="N59" s="46"/>
      <c r="O59" s="46"/>
      <c r="P59" s="46"/>
      <c r="Q59" s="46"/>
      <c r="R59" s="46"/>
      <c r="S59" s="46"/>
      <c r="T59" s="46"/>
      <c r="U59" s="46"/>
      <c r="V59" s="46"/>
      <c r="W59" s="46"/>
      <c r="X59" s="2"/>
    </row>
    <row r="60" spans="1:24">
      <c r="A60" s="118" t="s">
        <v>208</v>
      </c>
      <c r="B60" s="119" t="s">
        <v>204</v>
      </c>
      <c r="C60" s="119" t="s">
        <v>70</v>
      </c>
      <c r="D60" s="119" t="s">
        <v>173</v>
      </c>
      <c r="E60" s="119" t="s">
        <v>343</v>
      </c>
      <c r="F60" s="119" t="s">
        <v>185</v>
      </c>
      <c r="G60" s="120">
        <f>B8</f>
        <v>361641</v>
      </c>
      <c r="H60" s="121">
        <v>0.8</v>
      </c>
      <c r="I60" s="122">
        <v>0</v>
      </c>
      <c r="J60" s="116">
        <f t="shared" si="8"/>
        <v>0.8</v>
      </c>
      <c r="K60" s="117">
        <f t="shared" si="9"/>
        <v>289312.8</v>
      </c>
      <c r="M60" s="46"/>
      <c r="N60" s="46"/>
      <c r="O60" s="46"/>
      <c r="P60" s="46"/>
      <c r="Q60" s="46"/>
      <c r="R60" s="46"/>
      <c r="S60" s="46"/>
      <c r="T60" s="46"/>
      <c r="U60" s="46"/>
      <c r="V60" s="46"/>
      <c r="W60" s="46"/>
      <c r="X60" s="2"/>
    </row>
    <row r="61" spans="1:24">
      <c r="A61" s="118" t="s">
        <v>211</v>
      </c>
      <c r="B61" s="119" t="s">
        <v>212</v>
      </c>
      <c r="C61" s="119" t="s">
        <v>70</v>
      </c>
      <c r="D61" s="119" t="s">
        <v>93</v>
      </c>
      <c r="E61" s="119" t="s">
        <v>1097</v>
      </c>
      <c r="F61" s="119" t="s">
        <v>83</v>
      </c>
      <c r="G61" s="120">
        <v>1</v>
      </c>
      <c r="H61" s="121">
        <v>4000</v>
      </c>
      <c r="I61" s="122">
        <v>0</v>
      </c>
      <c r="J61" s="116">
        <f t="shared" si="8"/>
        <v>4000</v>
      </c>
      <c r="K61" s="117">
        <f t="shared" si="9"/>
        <v>4000</v>
      </c>
      <c r="M61" s="46"/>
      <c r="N61" s="46"/>
      <c r="O61" s="46"/>
      <c r="P61" s="46"/>
      <c r="Q61" s="46"/>
      <c r="R61" s="46"/>
      <c r="S61" s="46"/>
      <c r="T61" s="46"/>
      <c r="U61" s="46"/>
      <c r="V61" s="46"/>
      <c r="W61" s="46"/>
      <c r="X61" s="2"/>
    </row>
    <row r="62" spans="1:24">
      <c r="A62" s="118" t="s">
        <v>214</v>
      </c>
      <c r="B62" s="119" t="s">
        <v>215</v>
      </c>
      <c r="C62" s="119" t="s">
        <v>70</v>
      </c>
      <c r="D62" s="119" t="s">
        <v>173</v>
      </c>
      <c r="E62" s="119" t="s">
        <v>76</v>
      </c>
      <c r="F62" s="119" t="s">
        <v>83</v>
      </c>
      <c r="G62" s="120">
        <v>4</v>
      </c>
      <c r="H62" s="121">
        <v>1200</v>
      </c>
      <c r="I62" s="122">
        <v>0</v>
      </c>
      <c r="J62" s="116">
        <f t="shared" si="8"/>
        <v>1200</v>
      </c>
      <c r="K62" s="117">
        <f t="shared" si="9"/>
        <v>4800</v>
      </c>
      <c r="M62" s="46"/>
      <c r="N62" s="46"/>
      <c r="O62" s="46"/>
      <c r="P62" s="46"/>
      <c r="Q62" s="46"/>
      <c r="R62" s="46"/>
      <c r="S62" s="46"/>
      <c r="T62" s="46"/>
      <c r="U62" s="46"/>
      <c r="V62" s="46"/>
      <c r="W62" s="46"/>
      <c r="X62" s="2"/>
    </row>
    <row r="63" spans="1:24">
      <c r="A63" s="118" t="s">
        <v>217</v>
      </c>
      <c r="B63" s="119" t="s">
        <v>218</v>
      </c>
      <c r="C63" s="119" t="s">
        <v>70</v>
      </c>
      <c r="D63" s="119" t="s">
        <v>81</v>
      </c>
      <c r="E63" s="119" t="s">
        <v>87</v>
      </c>
      <c r="F63" s="119"/>
      <c r="G63" s="120"/>
      <c r="H63" s="121"/>
      <c r="I63" s="122">
        <v>0</v>
      </c>
      <c r="J63" s="116">
        <f t="shared" si="8"/>
        <v>0</v>
      </c>
      <c r="K63" s="117">
        <f t="shared" si="9"/>
        <v>0</v>
      </c>
      <c r="M63" s="46"/>
      <c r="N63" s="46"/>
      <c r="O63" s="46"/>
      <c r="P63" s="46"/>
      <c r="Q63" s="46"/>
      <c r="R63" s="46"/>
      <c r="S63" s="46"/>
      <c r="T63" s="46"/>
      <c r="U63" s="46"/>
      <c r="V63" s="46"/>
      <c r="W63" s="46"/>
      <c r="X63" s="2"/>
    </row>
    <row r="64" spans="1:24">
      <c r="A64" s="96" t="s">
        <v>267</v>
      </c>
      <c r="B64" s="97" t="s">
        <v>268</v>
      </c>
      <c r="C64" s="97"/>
      <c r="D64" s="97"/>
      <c r="E64" s="132"/>
      <c r="F64" s="132"/>
      <c r="G64" s="133"/>
      <c r="H64" s="134"/>
      <c r="I64" s="135"/>
      <c r="J64" s="134"/>
      <c r="K64" s="136"/>
      <c r="L64" s="103">
        <f>SUM(K65:K75)</f>
        <v>2198832.2299999995</v>
      </c>
      <c r="M64" s="46"/>
      <c r="N64" s="46"/>
      <c r="O64" s="46"/>
      <c r="P64" s="46"/>
      <c r="Q64" s="46"/>
      <c r="R64" s="46"/>
      <c r="S64" s="46"/>
      <c r="T64" s="46"/>
      <c r="U64" s="46"/>
      <c r="V64" s="46"/>
      <c r="W64" s="46"/>
      <c r="X64" s="2"/>
    </row>
    <row r="65" spans="1:24">
      <c r="A65" s="111" t="s">
        <v>223</v>
      </c>
      <c r="B65" s="112" t="s">
        <v>224</v>
      </c>
      <c r="C65" s="112" t="s">
        <v>70</v>
      </c>
      <c r="D65" s="112" t="s">
        <v>81</v>
      </c>
      <c r="E65" s="112" t="s">
        <v>343</v>
      </c>
      <c r="F65" s="112" t="s">
        <v>185</v>
      </c>
      <c r="G65" s="113">
        <f>B8</f>
        <v>361641</v>
      </c>
      <c r="H65" s="114">
        <v>2.7</v>
      </c>
      <c r="I65" s="115">
        <v>0</v>
      </c>
      <c r="J65" s="116">
        <f t="shared" ref="J65:J75" si="10">H65*(1+I65)</f>
        <v>2.7</v>
      </c>
      <c r="K65" s="117">
        <f t="shared" ref="K65:K75" si="11">J65*G65</f>
        <v>976430.70000000007</v>
      </c>
      <c r="M65" s="46" t="s">
        <v>1098</v>
      </c>
      <c r="N65" s="46"/>
      <c r="O65" s="46"/>
      <c r="P65" s="46"/>
      <c r="Q65" s="46"/>
      <c r="R65" s="46"/>
      <c r="S65" s="46"/>
      <c r="T65" s="46"/>
      <c r="U65" s="46"/>
      <c r="V65" s="46"/>
      <c r="W65" s="46"/>
      <c r="X65" s="2"/>
    </row>
    <row r="66" spans="1:24">
      <c r="A66" s="118" t="s">
        <v>153</v>
      </c>
      <c r="B66" s="119" t="s">
        <v>232</v>
      </c>
      <c r="C66" s="119" t="s">
        <v>70</v>
      </c>
      <c r="D66" s="119" t="s">
        <v>81</v>
      </c>
      <c r="E66" s="119" t="s">
        <v>343</v>
      </c>
      <c r="F66" s="119" t="s">
        <v>891</v>
      </c>
      <c r="G66" s="120">
        <f>$O$10</f>
        <v>1749.4</v>
      </c>
      <c r="H66" s="121">
        <v>603</v>
      </c>
      <c r="I66" s="122">
        <v>0</v>
      </c>
      <c r="J66" s="121">
        <f t="shared" si="10"/>
        <v>603</v>
      </c>
      <c r="K66" s="138">
        <f t="shared" si="11"/>
        <v>1054888.2</v>
      </c>
      <c r="M66" s="46"/>
      <c r="N66" s="46"/>
      <c r="O66" s="46"/>
      <c r="P66" s="46"/>
      <c r="Q66" s="46"/>
      <c r="R66" s="46"/>
      <c r="S66" s="46"/>
      <c r="T66" s="46"/>
      <c r="U66" s="46"/>
      <c r="V66" s="46"/>
      <c r="W66" s="46"/>
      <c r="X66" s="2"/>
    </row>
    <row r="67" spans="1:24">
      <c r="A67" s="118" t="s">
        <v>239</v>
      </c>
      <c r="B67" s="119" t="s">
        <v>240</v>
      </c>
      <c r="C67" s="119" t="s">
        <v>70</v>
      </c>
      <c r="D67" s="119" t="s">
        <v>173</v>
      </c>
      <c r="E67" s="119" t="s">
        <v>87</v>
      </c>
      <c r="F67" s="119"/>
      <c r="G67" s="120"/>
      <c r="H67" s="121"/>
      <c r="I67" s="122">
        <v>0</v>
      </c>
      <c r="J67" s="121">
        <f t="shared" si="10"/>
        <v>0</v>
      </c>
      <c r="K67" s="138">
        <f t="shared" si="11"/>
        <v>0</v>
      </c>
      <c r="M67" s="46"/>
      <c r="N67" s="46"/>
      <c r="O67" s="46"/>
      <c r="P67" s="46"/>
      <c r="Q67" s="46"/>
      <c r="R67" s="46"/>
      <c r="S67" s="46"/>
      <c r="T67" s="46"/>
      <c r="U67" s="46"/>
      <c r="V67" s="46"/>
      <c r="W67" s="46"/>
      <c r="X67" s="2"/>
    </row>
    <row r="68" spans="1:24">
      <c r="A68" s="118" t="s">
        <v>244</v>
      </c>
      <c r="B68" s="119" t="s">
        <v>240</v>
      </c>
      <c r="C68" s="119" t="s">
        <v>70</v>
      </c>
      <c r="D68" s="119" t="s">
        <v>93</v>
      </c>
      <c r="E68" s="119" t="s">
        <v>76</v>
      </c>
      <c r="F68" s="119" t="s">
        <v>83</v>
      </c>
      <c r="G68" s="120">
        <v>1</v>
      </c>
      <c r="H68" s="121">
        <v>7500</v>
      </c>
      <c r="I68" s="122">
        <v>0</v>
      </c>
      <c r="J68" s="121">
        <f t="shared" si="10"/>
        <v>7500</v>
      </c>
      <c r="K68" s="138">
        <f t="shared" si="11"/>
        <v>7500</v>
      </c>
      <c r="M68" s="46"/>
      <c r="N68" s="46"/>
      <c r="O68" s="46"/>
      <c r="P68" s="46"/>
      <c r="Q68" s="46"/>
      <c r="R68" s="46"/>
      <c r="S68" s="46"/>
      <c r="T68" s="46"/>
      <c r="U68" s="46"/>
      <c r="V68" s="46"/>
      <c r="W68" s="46"/>
      <c r="X68" s="2"/>
    </row>
    <row r="69" spans="1:24">
      <c r="A69" s="118" t="s">
        <v>246</v>
      </c>
      <c r="B69" s="119" t="s">
        <v>247</v>
      </c>
      <c r="C69" s="119" t="s">
        <v>70</v>
      </c>
      <c r="D69" s="119" t="s">
        <v>110</v>
      </c>
      <c r="E69" s="119" t="s">
        <v>76</v>
      </c>
      <c r="F69" s="119" t="s">
        <v>83</v>
      </c>
      <c r="G69" s="120">
        <f>O7</f>
        <v>1</v>
      </c>
      <c r="H69" s="121">
        <v>7500</v>
      </c>
      <c r="I69" s="122">
        <v>0</v>
      </c>
      <c r="J69" s="121">
        <f t="shared" si="10"/>
        <v>7500</v>
      </c>
      <c r="K69" s="138">
        <f t="shared" si="11"/>
        <v>7500</v>
      </c>
      <c r="M69" s="46"/>
      <c r="N69" s="46"/>
      <c r="O69" s="46"/>
      <c r="P69" s="46"/>
      <c r="Q69" s="46"/>
      <c r="R69" s="46"/>
      <c r="S69" s="46"/>
      <c r="T69" s="46"/>
      <c r="U69" s="46"/>
      <c r="V69" s="46"/>
      <c r="W69" s="46"/>
      <c r="X69" s="2"/>
    </row>
    <row r="70" spans="1:24">
      <c r="A70" s="118" t="s">
        <v>249</v>
      </c>
      <c r="B70" s="119" t="s">
        <v>250</v>
      </c>
      <c r="C70" s="119" t="s">
        <v>70</v>
      </c>
      <c r="D70" s="119" t="s">
        <v>97</v>
      </c>
      <c r="E70" s="119" t="s">
        <v>486</v>
      </c>
      <c r="F70" s="119" t="s">
        <v>132</v>
      </c>
      <c r="G70" s="120">
        <f>$O$5</f>
        <v>14</v>
      </c>
      <c r="H70" s="121">
        <v>5800</v>
      </c>
      <c r="I70" s="122">
        <v>0</v>
      </c>
      <c r="J70" s="121">
        <f t="shared" si="10"/>
        <v>5800</v>
      </c>
      <c r="K70" s="138">
        <f t="shared" si="11"/>
        <v>81200</v>
      </c>
      <c r="M70" s="46"/>
      <c r="N70" s="46"/>
      <c r="O70" s="46"/>
      <c r="P70" s="46"/>
      <c r="Q70" s="46"/>
      <c r="R70" s="46"/>
      <c r="S70" s="46"/>
      <c r="T70" s="46"/>
      <c r="U70" s="46"/>
      <c r="V70" s="46"/>
      <c r="W70" s="46"/>
      <c r="X70" s="2"/>
    </row>
    <row r="71" spans="1:24">
      <c r="A71" s="118" t="s">
        <v>253</v>
      </c>
      <c r="B71" s="119" t="s">
        <v>254</v>
      </c>
      <c r="C71" s="119" t="s">
        <v>70</v>
      </c>
      <c r="D71" s="119" t="s">
        <v>81</v>
      </c>
      <c r="E71" s="119" t="s">
        <v>343</v>
      </c>
      <c r="F71" s="119" t="s">
        <v>185</v>
      </c>
      <c r="G71" s="120">
        <f>$B$8</f>
        <v>361641</v>
      </c>
      <c r="H71" s="121">
        <v>0.08</v>
      </c>
      <c r="I71" s="122">
        <v>0</v>
      </c>
      <c r="J71" s="121">
        <f t="shared" si="10"/>
        <v>0.08</v>
      </c>
      <c r="K71" s="138">
        <f t="shared" si="11"/>
        <v>28931.279999999999</v>
      </c>
      <c r="M71" s="46"/>
      <c r="N71" s="46"/>
      <c r="O71" s="46"/>
      <c r="P71" s="46"/>
      <c r="Q71" s="46"/>
      <c r="R71" s="46"/>
      <c r="S71" s="46"/>
      <c r="T71" s="46"/>
      <c r="U71" s="46"/>
      <c r="V71" s="46"/>
      <c r="W71" s="46"/>
      <c r="X71" s="2"/>
    </row>
    <row r="72" spans="1:24">
      <c r="A72" s="118" t="s">
        <v>256</v>
      </c>
      <c r="B72" s="119" t="s">
        <v>257</v>
      </c>
      <c r="C72" s="119" t="s">
        <v>70</v>
      </c>
      <c r="D72" s="119" t="s">
        <v>81</v>
      </c>
      <c r="E72" s="119" t="s">
        <v>343</v>
      </c>
      <c r="F72" s="119" t="s">
        <v>185</v>
      </c>
      <c r="G72" s="120">
        <f>$B$8</f>
        <v>361641</v>
      </c>
      <c r="H72" s="121">
        <v>0.05</v>
      </c>
      <c r="I72" s="122">
        <v>0</v>
      </c>
      <c r="J72" s="121">
        <f t="shared" si="10"/>
        <v>0.05</v>
      </c>
      <c r="K72" s="138">
        <f t="shared" si="11"/>
        <v>18082.05</v>
      </c>
      <c r="M72" s="46"/>
      <c r="N72" s="46"/>
      <c r="O72" s="46"/>
      <c r="P72" s="46"/>
      <c r="Q72" s="46"/>
      <c r="R72" s="46"/>
      <c r="S72" s="46"/>
      <c r="T72" s="46"/>
      <c r="U72" s="46"/>
      <c r="V72" s="46"/>
      <c r="W72" s="46"/>
      <c r="X72" s="2"/>
    </row>
    <row r="73" spans="1:24">
      <c r="A73" s="118" t="s">
        <v>259</v>
      </c>
      <c r="B73" s="119" t="s">
        <v>260</v>
      </c>
      <c r="C73" s="119" t="s">
        <v>70</v>
      </c>
      <c r="D73" s="119" t="s">
        <v>81</v>
      </c>
      <c r="E73" s="119" t="s">
        <v>343</v>
      </c>
      <c r="F73" s="119" t="s">
        <v>132</v>
      </c>
      <c r="G73" s="120">
        <f>2*$B$11</f>
        <v>6</v>
      </c>
      <c r="H73" s="121">
        <v>1550</v>
      </c>
      <c r="I73" s="122">
        <v>0</v>
      </c>
      <c r="J73" s="121">
        <f t="shared" si="10"/>
        <v>1550</v>
      </c>
      <c r="K73" s="138">
        <f t="shared" si="11"/>
        <v>9300</v>
      </c>
      <c r="M73" s="46" t="s">
        <v>261</v>
      </c>
      <c r="N73" s="46"/>
      <c r="O73" s="46"/>
      <c r="P73" s="46"/>
      <c r="Q73" s="46"/>
      <c r="R73" s="46"/>
      <c r="S73" s="46"/>
      <c r="T73" s="46"/>
      <c r="U73" s="46"/>
      <c r="V73" s="46"/>
      <c r="W73" s="46"/>
      <c r="X73" s="2"/>
    </row>
    <row r="74" spans="1:24">
      <c r="A74" s="118" t="s">
        <v>263</v>
      </c>
      <c r="B74" s="119" t="s">
        <v>264</v>
      </c>
      <c r="C74" s="119" t="s">
        <v>70</v>
      </c>
      <c r="D74" s="119" t="s">
        <v>81</v>
      </c>
      <c r="E74" s="119" t="s">
        <v>343</v>
      </c>
      <c r="F74" s="119" t="s">
        <v>132</v>
      </c>
      <c r="G74" s="120">
        <f>2*$B$11</f>
        <v>6</v>
      </c>
      <c r="H74" s="121">
        <v>2500</v>
      </c>
      <c r="I74" s="122">
        <v>0</v>
      </c>
      <c r="J74" s="121">
        <f t="shared" si="10"/>
        <v>2500</v>
      </c>
      <c r="K74" s="138">
        <f t="shared" si="11"/>
        <v>15000</v>
      </c>
      <c r="M74" s="46" t="s">
        <v>261</v>
      </c>
      <c r="N74" s="46"/>
      <c r="O74" s="46"/>
      <c r="P74" s="46"/>
      <c r="Q74" s="46"/>
      <c r="R74" s="46"/>
      <c r="S74" s="46"/>
      <c r="T74" s="46"/>
      <c r="U74" s="46"/>
      <c r="V74" s="46"/>
      <c r="W74" s="46"/>
      <c r="X74" s="2"/>
    </row>
    <row r="75" spans="1:24">
      <c r="A75" s="118" t="s">
        <v>265</v>
      </c>
      <c r="B75" s="119" t="s">
        <v>266</v>
      </c>
      <c r="C75" s="119" t="s">
        <v>70</v>
      </c>
      <c r="D75" s="119" t="s">
        <v>81</v>
      </c>
      <c r="E75" s="119" t="s">
        <v>87</v>
      </c>
      <c r="F75" s="119"/>
      <c r="G75" s="120"/>
      <c r="H75" s="121"/>
      <c r="I75" s="122">
        <v>0</v>
      </c>
      <c r="J75" s="121">
        <f t="shared" si="10"/>
        <v>0</v>
      </c>
      <c r="K75" s="138">
        <f t="shared" si="11"/>
        <v>0</v>
      </c>
      <c r="L75" s="139"/>
      <c r="M75" s="46"/>
      <c r="N75" s="46"/>
      <c r="O75" s="46"/>
      <c r="P75" s="46"/>
      <c r="Q75" s="46"/>
      <c r="R75" s="46"/>
      <c r="S75" s="46"/>
      <c r="T75" s="46"/>
      <c r="U75" s="46"/>
      <c r="V75" s="46"/>
      <c r="W75" s="46"/>
      <c r="X75" s="2"/>
    </row>
    <row r="76" spans="1:24">
      <c r="A76" s="96" t="s">
        <v>297</v>
      </c>
      <c r="B76" s="97" t="s">
        <v>298</v>
      </c>
      <c r="C76" s="97"/>
      <c r="D76" s="97"/>
      <c r="E76" s="132"/>
      <c r="F76" s="132"/>
      <c r="G76" s="133"/>
      <c r="H76" s="134"/>
      <c r="I76" s="135"/>
      <c r="J76" s="134"/>
      <c r="K76" s="136"/>
      <c r="L76" s="103">
        <f>SUM(K77:K91)</f>
        <v>516935.78947368421</v>
      </c>
      <c r="M76" s="46"/>
      <c r="N76" s="46"/>
      <c r="O76" s="46"/>
      <c r="P76" s="46"/>
      <c r="Q76" s="46"/>
      <c r="R76" s="46"/>
      <c r="S76" s="46"/>
      <c r="T76" s="46"/>
      <c r="U76" s="46"/>
      <c r="V76" s="46"/>
      <c r="W76" s="46"/>
      <c r="X76" s="2"/>
    </row>
    <row r="77" spans="1:24">
      <c r="A77" s="111" t="s">
        <v>308</v>
      </c>
      <c r="B77" s="112" t="s">
        <v>1099</v>
      </c>
      <c r="C77" s="112" t="s">
        <v>70</v>
      </c>
      <c r="D77" s="112" t="s">
        <v>310</v>
      </c>
      <c r="E77" s="112"/>
      <c r="F77" s="112"/>
      <c r="G77" s="113"/>
      <c r="H77" s="114"/>
      <c r="I77" s="115">
        <v>0</v>
      </c>
      <c r="J77" s="116">
        <f t="shared" ref="J77:J91" si="12">H77*(1+I77)</f>
        <v>0</v>
      </c>
      <c r="K77" s="117">
        <f t="shared" ref="K77:K91" si="13">J77*G77</f>
        <v>0</v>
      </c>
      <c r="M77" s="46" t="s">
        <v>1100</v>
      </c>
      <c r="N77" s="46"/>
      <c r="O77" s="46"/>
      <c r="P77" s="46"/>
      <c r="Q77" s="46"/>
      <c r="R77" s="46"/>
      <c r="S77" s="46"/>
      <c r="T77" s="46"/>
      <c r="U77" s="46"/>
      <c r="V77" s="46"/>
      <c r="W77" s="46"/>
      <c r="X77" s="2"/>
    </row>
    <row r="78" spans="1:24">
      <c r="A78" s="118" t="s">
        <v>269</v>
      </c>
      <c r="B78" s="119" t="s">
        <v>270</v>
      </c>
      <c r="C78" s="119" t="s">
        <v>70</v>
      </c>
      <c r="D78" s="119" t="s">
        <v>173</v>
      </c>
      <c r="E78" s="119" t="s">
        <v>76</v>
      </c>
      <c r="F78" s="119" t="s">
        <v>132</v>
      </c>
      <c r="G78" s="120">
        <v>1</v>
      </c>
      <c r="H78" s="121">
        <v>8000</v>
      </c>
      <c r="I78" s="122">
        <v>0</v>
      </c>
      <c r="J78" s="121">
        <f t="shared" si="12"/>
        <v>8000</v>
      </c>
      <c r="K78" s="138">
        <f t="shared" si="13"/>
        <v>8000</v>
      </c>
      <c r="M78" s="46"/>
      <c r="N78" s="46"/>
      <c r="O78" s="46"/>
      <c r="P78" s="46"/>
      <c r="Q78" s="46"/>
      <c r="R78" s="46"/>
      <c r="S78" s="46"/>
      <c r="T78" s="46"/>
      <c r="U78" s="46"/>
      <c r="V78" s="46"/>
      <c r="W78" s="46"/>
      <c r="X78" s="2"/>
    </row>
    <row r="79" spans="1:24">
      <c r="A79" s="118" t="s">
        <v>271</v>
      </c>
      <c r="B79" s="119" t="s">
        <v>272</v>
      </c>
      <c r="C79" s="119" t="s">
        <v>70</v>
      </c>
      <c r="D79" s="119" t="s">
        <v>173</v>
      </c>
      <c r="E79" s="119" t="s">
        <v>273</v>
      </c>
      <c r="F79" s="119"/>
      <c r="G79" s="120"/>
      <c r="H79" s="121"/>
      <c r="I79" s="122">
        <v>0</v>
      </c>
      <c r="J79" s="121">
        <f t="shared" si="12"/>
        <v>0</v>
      </c>
      <c r="K79" s="138">
        <f t="shared" si="13"/>
        <v>0</v>
      </c>
      <c r="M79" s="46"/>
      <c r="N79" s="46"/>
      <c r="O79" s="46"/>
      <c r="P79" s="46"/>
      <c r="Q79" s="46"/>
      <c r="R79" s="46"/>
      <c r="S79" s="46"/>
      <c r="T79" s="46"/>
      <c r="U79" s="46"/>
      <c r="V79" s="46"/>
      <c r="W79" s="46"/>
      <c r="X79" s="2"/>
    </row>
    <row r="80" spans="1:24">
      <c r="A80" s="118" t="s">
        <v>274</v>
      </c>
      <c r="B80" s="119" t="s">
        <v>272</v>
      </c>
      <c r="C80" s="119" t="s">
        <v>70</v>
      </c>
      <c r="D80" s="119" t="s">
        <v>81</v>
      </c>
      <c r="E80" s="119" t="s">
        <v>87</v>
      </c>
      <c r="F80" s="119"/>
      <c r="G80" s="120"/>
      <c r="H80" s="121"/>
      <c r="I80" s="122">
        <v>0</v>
      </c>
      <c r="J80" s="121">
        <f t="shared" si="12"/>
        <v>0</v>
      </c>
      <c r="K80" s="138">
        <f t="shared" si="13"/>
        <v>0</v>
      </c>
      <c r="M80" s="46"/>
      <c r="N80" s="46"/>
      <c r="O80" s="46"/>
      <c r="P80" s="46"/>
      <c r="Q80" s="46"/>
      <c r="R80" s="46"/>
      <c r="S80" s="46"/>
      <c r="T80" s="46"/>
      <c r="U80" s="46"/>
      <c r="V80" s="46"/>
      <c r="W80" s="46"/>
      <c r="X80" s="2"/>
    </row>
    <row r="81" spans="1:24">
      <c r="A81" s="118" t="s">
        <v>275</v>
      </c>
      <c r="B81" s="119" t="s">
        <v>276</v>
      </c>
      <c r="C81" s="119" t="s">
        <v>70</v>
      </c>
      <c r="D81" s="119" t="s">
        <v>81</v>
      </c>
      <c r="E81" s="119" t="s">
        <v>87</v>
      </c>
      <c r="F81" s="119"/>
      <c r="G81" s="120"/>
      <c r="H81" s="121"/>
      <c r="I81" s="122">
        <v>0</v>
      </c>
      <c r="J81" s="121">
        <f t="shared" si="12"/>
        <v>0</v>
      </c>
      <c r="K81" s="138">
        <f t="shared" si="13"/>
        <v>0</v>
      </c>
      <c r="M81" s="46"/>
      <c r="N81" s="46"/>
      <c r="O81" s="46"/>
      <c r="P81" s="46"/>
      <c r="Q81" s="46"/>
      <c r="R81" s="46"/>
      <c r="S81" s="46"/>
      <c r="T81" s="46"/>
      <c r="U81" s="46"/>
      <c r="V81" s="46"/>
      <c r="W81" s="46"/>
      <c r="X81" s="2"/>
    </row>
    <row r="82" spans="1:24">
      <c r="A82" s="118" t="s">
        <v>277</v>
      </c>
      <c r="B82" s="119" t="s">
        <v>278</v>
      </c>
      <c r="C82" s="119" t="s">
        <v>70</v>
      </c>
      <c r="D82" s="119" t="s">
        <v>81</v>
      </c>
      <c r="E82" s="119" t="s">
        <v>343</v>
      </c>
      <c r="F82" s="119" t="s">
        <v>279</v>
      </c>
      <c r="G82" s="113">
        <f>$E$8</f>
        <v>363</v>
      </c>
      <c r="H82" s="121">
        <v>1157.8947368421052</v>
      </c>
      <c r="I82" s="122">
        <v>0</v>
      </c>
      <c r="J82" s="121">
        <f t="shared" si="12"/>
        <v>1157.8947368421052</v>
      </c>
      <c r="K82" s="138">
        <f t="shared" si="13"/>
        <v>420315.78947368421</v>
      </c>
      <c r="M82" s="46"/>
      <c r="N82" s="46"/>
      <c r="O82" s="46"/>
      <c r="P82" s="46"/>
      <c r="Q82" s="46"/>
      <c r="R82" s="46"/>
      <c r="S82" s="46"/>
      <c r="T82" s="46"/>
      <c r="U82" s="46"/>
      <c r="V82" s="46"/>
      <c r="W82" s="46"/>
      <c r="X82" s="2"/>
    </row>
    <row r="83" spans="1:24">
      <c r="A83" s="118" t="s">
        <v>281</v>
      </c>
      <c r="B83" s="119" t="s">
        <v>278</v>
      </c>
      <c r="C83" s="119" t="s">
        <v>90</v>
      </c>
      <c r="D83" s="119" t="s">
        <v>81</v>
      </c>
      <c r="E83" s="119" t="s">
        <v>76</v>
      </c>
      <c r="F83" s="119" t="s">
        <v>279</v>
      </c>
      <c r="G83" s="113">
        <f>$E$8</f>
        <v>363</v>
      </c>
      <c r="H83" s="121">
        <v>75</v>
      </c>
      <c r="I83" s="122">
        <v>0</v>
      </c>
      <c r="J83" s="121">
        <f t="shared" si="12"/>
        <v>75</v>
      </c>
      <c r="K83" s="138">
        <f t="shared" si="13"/>
        <v>27225</v>
      </c>
      <c r="M83" s="46"/>
      <c r="N83" s="46"/>
      <c r="O83" s="46"/>
      <c r="P83" s="46"/>
      <c r="Q83" s="46"/>
      <c r="R83" s="46"/>
      <c r="S83" s="46"/>
      <c r="T83" s="46"/>
      <c r="U83" s="46"/>
      <c r="V83" s="46"/>
      <c r="W83" s="46"/>
      <c r="X83" s="2"/>
    </row>
    <row r="84" spans="1:24">
      <c r="A84" s="118" t="s">
        <v>282</v>
      </c>
      <c r="B84" s="119" t="s">
        <v>283</v>
      </c>
      <c r="C84" s="119" t="s">
        <v>70</v>
      </c>
      <c r="D84" s="119" t="s">
        <v>110</v>
      </c>
      <c r="E84" s="119" t="s">
        <v>87</v>
      </c>
      <c r="F84" s="119"/>
      <c r="G84" s="120"/>
      <c r="H84" s="121"/>
      <c r="I84" s="122">
        <v>0</v>
      </c>
      <c r="J84" s="121">
        <f t="shared" si="12"/>
        <v>0</v>
      </c>
      <c r="K84" s="138">
        <f t="shared" si="13"/>
        <v>0</v>
      </c>
      <c r="M84" s="46"/>
      <c r="N84" s="46"/>
      <c r="O84" s="46"/>
      <c r="P84" s="46"/>
      <c r="Q84" s="46"/>
      <c r="R84" s="46"/>
      <c r="S84" s="46"/>
      <c r="T84" s="46"/>
      <c r="U84" s="46"/>
      <c r="V84" s="46"/>
      <c r="W84" s="46"/>
      <c r="X84" s="2"/>
    </row>
    <row r="85" spans="1:24">
      <c r="A85" s="118" t="s">
        <v>284</v>
      </c>
      <c r="B85" s="119" t="s">
        <v>285</v>
      </c>
      <c r="C85" s="119" t="s">
        <v>70</v>
      </c>
      <c r="D85" s="119" t="s">
        <v>103</v>
      </c>
      <c r="E85" s="119" t="s">
        <v>87</v>
      </c>
      <c r="F85" s="119"/>
      <c r="G85" s="120"/>
      <c r="H85" s="121"/>
      <c r="I85" s="122">
        <v>0</v>
      </c>
      <c r="J85" s="121">
        <f t="shared" si="12"/>
        <v>0</v>
      </c>
      <c r="K85" s="138">
        <f t="shared" si="13"/>
        <v>0</v>
      </c>
      <c r="M85" s="46"/>
      <c r="N85" s="46"/>
      <c r="O85" s="46"/>
      <c r="P85" s="46"/>
      <c r="Q85" s="46"/>
      <c r="R85" s="46"/>
      <c r="S85" s="46"/>
      <c r="T85" s="46"/>
      <c r="U85" s="46"/>
      <c r="V85" s="46"/>
      <c r="W85" s="46"/>
      <c r="X85" s="2"/>
    </row>
    <row r="86" spans="1:24">
      <c r="A86" s="118" t="s">
        <v>286</v>
      </c>
      <c r="B86" s="119" t="s">
        <v>287</v>
      </c>
      <c r="C86" s="119" t="s">
        <v>70</v>
      </c>
      <c r="D86" s="119" t="s">
        <v>81</v>
      </c>
      <c r="E86" s="119" t="s">
        <v>87</v>
      </c>
      <c r="F86" s="119"/>
      <c r="G86" s="120"/>
      <c r="H86" s="121"/>
      <c r="I86" s="122">
        <v>0</v>
      </c>
      <c r="J86" s="121">
        <f t="shared" si="12"/>
        <v>0</v>
      </c>
      <c r="K86" s="138">
        <f t="shared" si="13"/>
        <v>0</v>
      </c>
      <c r="M86" s="46"/>
      <c r="N86" s="46"/>
      <c r="O86" s="46"/>
      <c r="P86" s="46"/>
      <c r="Q86" s="46"/>
      <c r="R86" s="46"/>
      <c r="S86" s="46"/>
      <c r="T86" s="46"/>
      <c r="U86" s="46"/>
      <c r="V86" s="46"/>
      <c r="W86" s="46"/>
      <c r="X86" s="2"/>
    </row>
    <row r="87" spans="1:24">
      <c r="A87" s="118" t="s">
        <v>288</v>
      </c>
      <c r="B87" s="119" t="s">
        <v>289</v>
      </c>
      <c r="C87" s="119" t="s">
        <v>70</v>
      </c>
      <c r="D87" s="119" t="s">
        <v>81</v>
      </c>
      <c r="E87" s="119" t="s">
        <v>87</v>
      </c>
      <c r="F87" s="119"/>
      <c r="G87" s="120"/>
      <c r="H87" s="121"/>
      <c r="I87" s="122">
        <v>0</v>
      </c>
      <c r="J87" s="121">
        <f t="shared" si="12"/>
        <v>0</v>
      </c>
      <c r="K87" s="138">
        <f t="shared" si="13"/>
        <v>0</v>
      </c>
      <c r="M87" s="46"/>
      <c r="N87" s="46"/>
      <c r="O87" s="46"/>
      <c r="P87" s="46"/>
      <c r="Q87" s="46"/>
      <c r="R87" s="46"/>
      <c r="S87" s="46"/>
      <c r="T87" s="46"/>
      <c r="U87" s="46"/>
      <c r="V87" s="46"/>
      <c r="W87" s="46"/>
      <c r="X87" s="2"/>
    </row>
    <row r="88" spans="1:24">
      <c r="A88" s="118" t="s">
        <v>290</v>
      </c>
      <c r="B88" s="119" t="s">
        <v>291</v>
      </c>
      <c r="C88" s="119" t="s">
        <v>70</v>
      </c>
      <c r="D88" s="119" t="s">
        <v>81</v>
      </c>
      <c r="E88" s="119" t="s">
        <v>87</v>
      </c>
      <c r="F88" s="119"/>
      <c r="G88" s="120"/>
      <c r="H88" s="121"/>
      <c r="I88" s="122">
        <v>0</v>
      </c>
      <c r="J88" s="121">
        <f t="shared" si="12"/>
        <v>0</v>
      </c>
      <c r="K88" s="138">
        <f t="shared" si="13"/>
        <v>0</v>
      </c>
      <c r="M88" s="46"/>
      <c r="N88" s="46"/>
      <c r="O88" s="46"/>
      <c r="P88" s="46"/>
      <c r="Q88" s="46"/>
      <c r="R88" s="46"/>
      <c r="S88" s="46"/>
      <c r="T88" s="46"/>
      <c r="U88" s="46"/>
      <c r="V88" s="46"/>
      <c r="W88" s="46"/>
      <c r="X88" s="2"/>
    </row>
    <row r="89" spans="1:24">
      <c r="A89" s="118" t="s">
        <v>292</v>
      </c>
      <c r="B89" s="119" t="s">
        <v>289</v>
      </c>
      <c r="C89" s="119" t="s">
        <v>70</v>
      </c>
      <c r="D89" s="119" t="s">
        <v>81</v>
      </c>
      <c r="E89" s="119" t="s">
        <v>87</v>
      </c>
      <c r="F89" s="119"/>
      <c r="G89" s="120"/>
      <c r="H89" s="121"/>
      <c r="I89" s="122">
        <v>0</v>
      </c>
      <c r="J89" s="121">
        <f t="shared" si="12"/>
        <v>0</v>
      </c>
      <c r="K89" s="138">
        <f t="shared" si="13"/>
        <v>0</v>
      </c>
      <c r="M89" s="46"/>
      <c r="N89" s="46"/>
      <c r="O89" s="46"/>
      <c r="P89" s="46"/>
      <c r="Q89" s="46"/>
      <c r="R89" s="46"/>
      <c r="S89" s="46"/>
      <c r="T89" s="46"/>
      <c r="U89" s="46"/>
      <c r="V89" s="46"/>
      <c r="W89" s="46"/>
      <c r="X89" s="2"/>
    </row>
    <row r="90" spans="1:24">
      <c r="A90" s="118" t="s">
        <v>293</v>
      </c>
      <c r="B90" s="119" t="s">
        <v>289</v>
      </c>
      <c r="C90" s="119" t="s">
        <v>70</v>
      </c>
      <c r="D90" s="119" t="s">
        <v>81</v>
      </c>
      <c r="E90" s="119" t="s">
        <v>329</v>
      </c>
      <c r="F90" s="119" t="s">
        <v>311</v>
      </c>
      <c r="G90" s="113">
        <f>E8</f>
        <v>363</v>
      </c>
      <c r="H90" s="121">
        <v>165</v>
      </c>
      <c r="I90" s="122">
        <v>0</v>
      </c>
      <c r="J90" s="121">
        <f t="shared" si="12"/>
        <v>165</v>
      </c>
      <c r="K90" s="138">
        <f>J90*G90</f>
        <v>59895</v>
      </c>
      <c r="M90" s="46"/>
      <c r="N90" s="46"/>
      <c r="O90" s="46"/>
      <c r="P90" s="46"/>
      <c r="Q90" s="46"/>
      <c r="R90" s="46"/>
      <c r="S90" s="46"/>
      <c r="T90" s="46"/>
      <c r="U90" s="46"/>
      <c r="V90" s="46"/>
      <c r="W90" s="46"/>
      <c r="X90" s="2"/>
    </row>
    <row r="91" spans="1:24">
      <c r="A91" s="118" t="s">
        <v>296</v>
      </c>
      <c r="B91" s="119" t="s">
        <v>289</v>
      </c>
      <c r="C91" s="119" t="s">
        <v>70</v>
      </c>
      <c r="D91" s="119" t="s">
        <v>81</v>
      </c>
      <c r="E91" s="119" t="s">
        <v>76</v>
      </c>
      <c r="F91" s="119" t="s">
        <v>132</v>
      </c>
      <c r="G91" s="120">
        <v>6</v>
      </c>
      <c r="H91" s="121">
        <v>250</v>
      </c>
      <c r="I91" s="122">
        <v>0</v>
      </c>
      <c r="J91" s="121">
        <f t="shared" si="12"/>
        <v>250</v>
      </c>
      <c r="K91" s="138">
        <f t="shared" si="13"/>
        <v>1500</v>
      </c>
      <c r="M91" s="46"/>
      <c r="N91" s="46"/>
      <c r="O91" s="46"/>
      <c r="P91" s="46"/>
      <c r="Q91" s="46"/>
      <c r="R91" s="46"/>
      <c r="S91" s="46"/>
      <c r="T91" s="46"/>
      <c r="U91" s="46"/>
      <c r="V91" s="46"/>
      <c r="W91" s="46"/>
      <c r="X91" s="2"/>
    </row>
    <row r="92" spans="1:24">
      <c r="A92" s="96" t="s">
        <v>391</v>
      </c>
      <c r="B92" s="97" t="s">
        <v>392</v>
      </c>
      <c r="C92" s="97"/>
      <c r="D92" s="97"/>
      <c r="E92" s="132"/>
      <c r="F92" s="132"/>
      <c r="G92" s="133"/>
      <c r="H92" s="134"/>
      <c r="I92" s="135"/>
      <c r="J92" s="134"/>
      <c r="K92" s="136"/>
      <c r="L92" s="103">
        <f>SUM(K93:K130)</f>
        <v>5549735.2781879902</v>
      </c>
      <c r="M92" s="46"/>
      <c r="N92" s="46"/>
      <c r="O92" s="46"/>
      <c r="P92" s="46"/>
      <c r="Q92" s="46"/>
      <c r="R92" s="46"/>
      <c r="S92" s="46"/>
      <c r="T92" s="46"/>
      <c r="U92" s="46"/>
      <c r="V92" s="46"/>
      <c r="W92" s="46"/>
      <c r="X92" s="2"/>
    </row>
    <row r="93" spans="1:24">
      <c r="A93" s="111" t="s">
        <v>299</v>
      </c>
      <c r="B93" s="112" t="s">
        <v>300</v>
      </c>
      <c r="C93" s="112" t="s">
        <v>70</v>
      </c>
      <c r="D93" s="112" t="s">
        <v>81</v>
      </c>
      <c r="E93" s="112" t="s">
        <v>87</v>
      </c>
      <c r="F93" s="112"/>
      <c r="G93" s="113"/>
      <c r="H93" s="114"/>
      <c r="I93" s="115">
        <v>0</v>
      </c>
      <c r="J93" s="116">
        <f t="shared" ref="J93:J130" si="14">H93*(1+I93)</f>
        <v>0</v>
      </c>
      <c r="K93" s="117">
        <f t="shared" ref="K93:K130" si="15">J93*G93</f>
        <v>0</v>
      </c>
      <c r="M93" s="46"/>
      <c r="N93" s="46"/>
      <c r="O93" s="46"/>
      <c r="P93" s="46"/>
      <c r="Q93" s="46"/>
      <c r="R93" s="46"/>
      <c r="S93" s="46"/>
      <c r="T93" s="46"/>
      <c r="U93" s="46"/>
      <c r="V93" s="46"/>
      <c r="W93" s="46"/>
      <c r="X93" s="2"/>
    </row>
    <row r="94" spans="1:24">
      <c r="A94" s="118" t="s">
        <v>301</v>
      </c>
      <c r="B94" s="119" t="s">
        <v>302</v>
      </c>
      <c r="C94" s="119" t="s">
        <v>70</v>
      </c>
      <c r="D94" s="119" t="s">
        <v>81</v>
      </c>
      <c r="E94" s="119" t="s">
        <v>76</v>
      </c>
      <c r="F94" s="119" t="s">
        <v>83</v>
      </c>
      <c r="G94" s="120">
        <v>1</v>
      </c>
      <c r="H94" s="121">
        <v>10000</v>
      </c>
      <c r="I94" s="122">
        <v>0</v>
      </c>
      <c r="J94" s="121">
        <f t="shared" si="14"/>
        <v>10000</v>
      </c>
      <c r="K94" s="138">
        <f t="shared" si="15"/>
        <v>10000</v>
      </c>
      <c r="M94" s="46"/>
      <c r="N94" s="46"/>
      <c r="O94" s="46"/>
      <c r="P94" s="46"/>
      <c r="Q94" s="46"/>
      <c r="R94" s="46"/>
      <c r="S94" s="46"/>
      <c r="T94" s="46"/>
      <c r="U94" s="46"/>
      <c r="V94" s="46"/>
      <c r="W94" s="46"/>
      <c r="X94" s="2"/>
    </row>
    <row r="95" spans="1:24">
      <c r="A95" s="118" t="s">
        <v>303</v>
      </c>
      <c r="B95" s="119" t="s">
        <v>304</v>
      </c>
      <c r="C95" s="119" t="s">
        <v>70</v>
      </c>
      <c r="D95" s="119" t="s">
        <v>81</v>
      </c>
      <c r="E95" s="119" t="s">
        <v>343</v>
      </c>
      <c r="F95" s="119" t="s">
        <v>185</v>
      </c>
      <c r="G95" s="120">
        <f t="shared" ref="G95:G123" si="16">$B$8</f>
        <v>361641</v>
      </c>
      <c r="H95" s="121">
        <v>0.85</v>
      </c>
      <c r="I95" s="122">
        <v>0</v>
      </c>
      <c r="J95" s="121">
        <f t="shared" si="14"/>
        <v>0.85</v>
      </c>
      <c r="K95" s="138">
        <f t="shared" si="15"/>
        <v>307394.84999999998</v>
      </c>
      <c r="M95" s="46" t="s">
        <v>305</v>
      </c>
      <c r="N95" s="46"/>
      <c r="O95" s="46"/>
      <c r="P95" s="46"/>
      <c r="Q95" s="46"/>
      <c r="R95" s="46"/>
      <c r="S95" s="46"/>
      <c r="T95" s="46"/>
      <c r="U95" s="46"/>
      <c r="V95" s="46"/>
      <c r="W95" s="46"/>
      <c r="X95" s="2"/>
    </row>
    <row r="96" spans="1:24">
      <c r="A96" s="118" t="s">
        <v>306</v>
      </c>
      <c r="B96" s="119" t="s">
        <v>307</v>
      </c>
      <c r="C96" s="119" t="s">
        <v>70</v>
      </c>
      <c r="D96" s="119" t="s">
        <v>81</v>
      </c>
      <c r="E96" s="119" t="s">
        <v>76</v>
      </c>
      <c r="F96" s="119" t="s">
        <v>83</v>
      </c>
      <c r="G96" s="120">
        <v>1</v>
      </c>
      <c r="H96" s="121">
        <v>75000</v>
      </c>
      <c r="I96" s="122">
        <v>0</v>
      </c>
      <c r="J96" s="121">
        <f t="shared" si="14"/>
        <v>75000</v>
      </c>
      <c r="K96" s="138">
        <f t="shared" si="15"/>
        <v>75000</v>
      </c>
      <c r="M96" s="46"/>
      <c r="N96" s="46"/>
      <c r="O96" s="46"/>
      <c r="P96" s="46"/>
      <c r="Q96" s="46"/>
      <c r="R96" s="46"/>
      <c r="S96" s="46"/>
      <c r="T96" s="46"/>
      <c r="U96" s="46"/>
      <c r="V96" s="46"/>
      <c r="W96" s="46"/>
      <c r="X96" s="2"/>
    </row>
    <row r="97" spans="1:24">
      <c r="A97" s="118" t="s">
        <v>308</v>
      </c>
      <c r="B97" s="119" t="s">
        <v>309</v>
      </c>
      <c r="C97" s="119" t="s">
        <v>70</v>
      </c>
      <c r="D97" s="119" t="s">
        <v>310</v>
      </c>
      <c r="E97" s="119" t="s">
        <v>76</v>
      </c>
      <c r="F97" s="119" t="s">
        <v>311</v>
      </c>
      <c r="G97" s="113">
        <f>$E$8</f>
        <v>363</v>
      </c>
      <c r="H97" s="121">
        <v>79</v>
      </c>
      <c r="I97" s="122">
        <v>0</v>
      </c>
      <c r="J97" s="121">
        <f t="shared" si="14"/>
        <v>79</v>
      </c>
      <c r="K97" s="138">
        <f t="shared" si="15"/>
        <v>28677</v>
      </c>
      <c r="M97" s="46"/>
      <c r="N97" s="46"/>
      <c r="O97" s="46"/>
      <c r="P97" s="46"/>
      <c r="Q97" s="46"/>
      <c r="R97" s="46"/>
      <c r="S97" s="46"/>
      <c r="T97" s="46"/>
      <c r="U97" s="46"/>
      <c r="V97" s="46"/>
      <c r="W97" s="46"/>
      <c r="X97" s="2"/>
    </row>
    <row r="98" spans="1:24">
      <c r="A98" s="118" t="s">
        <v>312</v>
      </c>
      <c r="B98" s="119" t="s">
        <v>313</v>
      </c>
      <c r="C98" s="119" t="s">
        <v>70</v>
      </c>
      <c r="D98" s="119" t="s">
        <v>75</v>
      </c>
      <c r="E98" s="119" t="s">
        <v>76</v>
      </c>
      <c r="F98" s="119" t="s">
        <v>83</v>
      </c>
      <c r="G98" s="120">
        <v>1</v>
      </c>
      <c r="H98" s="121">
        <v>10000</v>
      </c>
      <c r="I98" s="122">
        <v>0</v>
      </c>
      <c r="J98" s="121">
        <f>H98*(1+I98)</f>
        <v>10000</v>
      </c>
      <c r="K98" s="138">
        <f t="shared" si="15"/>
        <v>10000</v>
      </c>
      <c r="M98" s="46" t="s">
        <v>314</v>
      </c>
      <c r="N98" s="46"/>
      <c r="O98" s="46"/>
      <c r="P98" s="46"/>
      <c r="Q98" s="46"/>
      <c r="R98" s="46"/>
      <c r="S98" s="46"/>
      <c r="T98" s="46"/>
      <c r="U98" s="46"/>
      <c r="V98" s="46"/>
      <c r="W98" s="46"/>
      <c r="X98" s="2"/>
    </row>
    <row r="99" spans="1:24">
      <c r="A99" s="118" t="s">
        <v>315</v>
      </c>
      <c r="B99" s="119" t="s">
        <v>316</v>
      </c>
      <c r="C99" s="119" t="s">
        <v>70</v>
      </c>
      <c r="D99" s="119" t="s">
        <v>81</v>
      </c>
      <c r="E99" s="119" t="s">
        <v>343</v>
      </c>
      <c r="F99" s="119" t="s">
        <v>351</v>
      </c>
      <c r="G99" s="120">
        <f>O11</f>
        <v>20609.97939</v>
      </c>
      <c r="H99" s="121">
        <v>40.82</v>
      </c>
      <c r="I99" s="122">
        <v>0</v>
      </c>
      <c r="J99" s="121">
        <f t="shared" si="14"/>
        <v>40.82</v>
      </c>
      <c r="K99" s="138">
        <f t="shared" si="15"/>
        <v>841299.35869979998</v>
      </c>
      <c r="M99" s="46" t="s">
        <v>1101</v>
      </c>
      <c r="N99" s="46"/>
      <c r="O99" s="46"/>
      <c r="P99" s="46"/>
      <c r="Q99" s="46"/>
      <c r="R99" s="46"/>
      <c r="S99" s="46"/>
      <c r="T99" s="46"/>
      <c r="U99" s="46"/>
      <c r="V99" s="46"/>
      <c r="W99" s="46"/>
      <c r="X99" s="2"/>
    </row>
    <row r="100" spans="1:24">
      <c r="A100" s="118" t="s">
        <v>319</v>
      </c>
      <c r="B100" s="119" t="s">
        <v>320</v>
      </c>
      <c r="C100" s="119" t="s">
        <v>144</v>
      </c>
      <c r="D100" s="119" t="s">
        <v>93</v>
      </c>
      <c r="E100" s="119" t="s">
        <v>76</v>
      </c>
      <c r="F100" s="119" t="s">
        <v>83</v>
      </c>
      <c r="G100" s="120">
        <f>O15</f>
        <v>1</v>
      </c>
      <c r="H100" s="121">
        <v>6000</v>
      </c>
      <c r="I100" s="122">
        <v>0</v>
      </c>
      <c r="J100" s="121">
        <f t="shared" si="14"/>
        <v>6000</v>
      </c>
      <c r="K100" s="138">
        <f t="shared" si="15"/>
        <v>6000</v>
      </c>
      <c r="M100" s="46"/>
      <c r="N100" s="46"/>
      <c r="O100" s="46"/>
      <c r="P100" s="46"/>
      <c r="Q100" s="46"/>
      <c r="R100" s="46"/>
      <c r="S100" s="46"/>
      <c r="T100" s="46"/>
      <c r="U100" s="46"/>
      <c r="V100" s="46"/>
      <c r="W100" s="46"/>
      <c r="X100" s="2"/>
    </row>
    <row r="101" spans="1:24">
      <c r="A101" s="118" t="s">
        <v>321</v>
      </c>
      <c r="B101" s="119" t="s">
        <v>322</v>
      </c>
      <c r="C101" s="119" t="s">
        <v>70</v>
      </c>
      <c r="D101" s="119" t="s">
        <v>103</v>
      </c>
      <c r="E101" s="119" t="s">
        <v>87</v>
      </c>
      <c r="F101" s="119"/>
      <c r="G101" s="120"/>
      <c r="H101" s="121"/>
      <c r="I101" s="122">
        <v>0</v>
      </c>
      <c r="J101" s="121">
        <f t="shared" si="14"/>
        <v>0</v>
      </c>
      <c r="K101" s="138">
        <f t="shared" si="15"/>
        <v>0</v>
      </c>
      <c r="M101" s="46"/>
      <c r="N101" s="46"/>
      <c r="O101" s="46"/>
      <c r="P101" s="46"/>
      <c r="Q101" s="46"/>
      <c r="R101" s="46"/>
      <c r="S101" s="46"/>
      <c r="T101" s="46"/>
      <c r="U101" s="46"/>
      <c r="V101" s="46"/>
      <c r="W101" s="46"/>
      <c r="X101" s="2"/>
    </row>
    <row r="102" spans="1:24">
      <c r="A102" s="118" t="s">
        <v>323</v>
      </c>
      <c r="B102" s="119" t="s">
        <v>324</v>
      </c>
      <c r="C102" s="119" t="s">
        <v>144</v>
      </c>
      <c r="D102" s="119" t="s">
        <v>103</v>
      </c>
      <c r="E102" s="119" t="s">
        <v>76</v>
      </c>
      <c r="F102" s="119" t="s">
        <v>83</v>
      </c>
      <c r="G102" s="120">
        <f>$O$7</f>
        <v>1</v>
      </c>
      <c r="H102" s="121">
        <v>2000</v>
      </c>
      <c r="I102" s="122">
        <v>0</v>
      </c>
      <c r="J102" s="121">
        <f t="shared" si="14"/>
        <v>2000</v>
      </c>
      <c r="K102" s="138">
        <f t="shared" si="15"/>
        <v>2000</v>
      </c>
      <c r="M102" s="46"/>
      <c r="N102" s="46"/>
      <c r="O102" s="46"/>
      <c r="P102" s="46"/>
      <c r="Q102" s="46"/>
      <c r="R102" s="46"/>
      <c r="S102" s="46"/>
      <c r="T102" s="46"/>
      <c r="U102" s="46"/>
      <c r="V102" s="46"/>
      <c r="W102" s="46"/>
      <c r="X102" s="2"/>
    </row>
    <row r="103" spans="1:24">
      <c r="A103" s="118" t="s">
        <v>325</v>
      </c>
      <c r="B103" s="119" t="s">
        <v>326</v>
      </c>
      <c r="C103" s="119" t="s">
        <v>70</v>
      </c>
      <c r="D103" s="119" t="s">
        <v>103</v>
      </c>
      <c r="E103" s="119" t="s">
        <v>87</v>
      </c>
      <c r="F103" s="119"/>
      <c r="G103" s="120"/>
      <c r="H103" s="121"/>
      <c r="I103" s="122">
        <v>0</v>
      </c>
      <c r="J103" s="121">
        <f t="shared" si="14"/>
        <v>0</v>
      </c>
      <c r="K103" s="138">
        <f t="shared" si="15"/>
        <v>0</v>
      </c>
      <c r="M103" s="46"/>
      <c r="N103" s="46"/>
      <c r="O103" s="46"/>
      <c r="P103" s="46"/>
      <c r="Q103" s="46"/>
      <c r="R103" s="46"/>
      <c r="S103" s="46"/>
      <c r="T103" s="46"/>
      <c r="U103" s="46"/>
      <c r="V103" s="46"/>
      <c r="W103" s="46"/>
      <c r="X103" s="2"/>
    </row>
    <row r="104" spans="1:24">
      <c r="A104" s="118" t="s">
        <v>327</v>
      </c>
      <c r="B104" s="119" t="s">
        <v>328</v>
      </c>
      <c r="C104" s="119" t="s">
        <v>70</v>
      </c>
      <c r="D104" s="119" t="s">
        <v>110</v>
      </c>
      <c r="E104" s="119" t="s">
        <v>329</v>
      </c>
      <c r="F104" s="119" t="s">
        <v>83</v>
      </c>
      <c r="G104" s="120">
        <v>1</v>
      </c>
      <c r="H104" s="121">
        <v>5000</v>
      </c>
      <c r="I104" s="122">
        <v>0</v>
      </c>
      <c r="J104" s="121">
        <f t="shared" si="14"/>
        <v>5000</v>
      </c>
      <c r="K104" s="138">
        <f t="shared" si="15"/>
        <v>5000</v>
      </c>
      <c r="M104" s="46"/>
      <c r="N104" s="46"/>
      <c r="O104" s="46"/>
      <c r="P104" s="46"/>
      <c r="Q104" s="46"/>
      <c r="R104" s="46"/>
      <c r="S104" s="46"/>
      <c r="T104" s="46"/>
      <c r="U104" s="46"/>
      <c r="V104" s="46"/>
      <c r="W104" s="46"/>
      <c r="X104" s="2"/>
    </row>
    <row r="105" spans="1:24">
      <c r="A105" s="118" t="s">
        <v>330</v>
      </c>
      <c r="B105" s="119" t="s">
        <v>331</v>
      </c>
      <c r="C105" s="119" t="s">
        <v>90</v>
      </c>
      <c r="D105" s="119" t="s">
        <v>81</v>
      </c>
      <c r="E105" s="119" t="s">
        <v>76</v>
      </c>
      <c r="F105" s="119" t="s">
        <v>83</v>
      </c>
      <c r="G105" s="120">
        <v>1</v>
      </c>
      <c r="H105" s="121">
        <v>1500</v>
      </c>
      <c r="I105" s="122">
        <v>0</v>
      </c>
      <c r="J105" s="121">
        <f t="shared" si="14"/>
        <v>1500</v>
      </c>
      <c r="K105" s="138">
        <f t="shared" si="15"/>
        <v>1500</v>
      </c>
      <c r="M105" s="46"/>
      <c r="N105" s="46"/>
      <c r="O105" s="46"/>
      <c r="P105" s="46"/>
      <c r="Q105" s="46"/>
      <c r="R105" s="46"/>
      <c r="S105" s="46"/>
      <c r="T105" s="46"/>
      <c r="U105" s="46"/>
      <c r="V105" s="46"/>
      <c r="W105" s="46"/>
      <c r="X105" s="2"/>
    </row>
    <row r="106" spans="1:24">
      <c r="A106" s="118" t="s">
        <v>332</v>
      </c>
      <c r="B106" s="119" t="s">
        <v>333</v>
      </c>
      <c r="C106" s="119" t="s">
        <v>70</v>
      </c>
      <c r="D106" s="119" t="s">
        <v>81</v>
      </c>
      <c r="E106" s="119" t="s">
        <v>343</v>
      </c>
      <c r="F106" s="119" t="s">
        <v>185</v>
      </c>
      <c r="G106" s="120">
        <f t="shared" ref="G106" si="17">$B$8</f>
        <v>361641</v>
      </c>
      <c r="H106" s="121">
        <v>8.02</v>
      </c>
      <c r="I106" s="122">
        <v>0</v>
      </c>
      <c r="J106" s="121">
        <f t="shared" si="14"/>
        <v>8.02</v>
      </c>
      <c r="K106" s="138">
        <f t="shared" si="15"/>
        <v>2900360.82</v>
      </c>
      <c r="M106" s="46"/>
      <c r="N106" s="46"/>
      <c r="O106" s="46"/>
      <c r="P106" s="46"/>
      <c r="Q106" s="46"/>
      <c r="R106" s="46"/>
      <c r="S106" s="46"/>
      <c r="T106" s="46"/>
      <c r="U106" s="46"/>
      <c r="V106" s="46"/>
      <c r="W106" s="46"/>
      <c r="X106" s="2"/>
    </row>
    <row r="107" spans="1:24">
      <c r="A107" s="118" t="s">
        <v>335</v>
      </c>
      <c r="B107" s="119" t="s">
        <v>336</v>
      </c>
      <c r="C107" s="119" t="s">
        <v>90</v>
      </c>
      <c r="D107" s="119" t="s">
        <v>81</v>
      </c>
      <c r="E107" s="119" t="s">
        <v>76</v>
      </c>
      <c r="F107" s="119" t="s">
        <v>311</v>
      </c>
      <c r="G107" s="113">
        <f>$E$8</f>
        <v>363</v>
      </c>
      <c r="H107" s="121">
        <v>85</v>
      </c>
      <c r="I107" s="122">
        <v>0</v>
      </c>
      <c r="J107" s="121">
        <f t="shared" si="14"/>
        <v>85</v>
      </c>
      <c r="K107" s="138">
        <f t="shared" si="15"/>
        <v>30855</v>
      </c>
      <c r="M107" s="46"/>
      <c r="N107" s="46"/>
      <c r="O107" s="46"/>
      <c r="P107" s="46"/>
      <c r="Q107" s="46"/>
      <c r="R107" s="46"/>
      <c r="S107" s="46"/>
      <c r="T107" s="46"/>
      <c r="U107" s="46"/>
      <c r="V107" s="46"/>
      <c r="W107" s="46"/>
      <c r="X107" s="2"/>
    </row>
    <row r="108" spans="1:24">
      <c r="A108" s="118" t="s">
        <v>337</v>
      </c>
      <c r="B108" s="119" t="s">
        <v>338</v>
      </c>
      <c r="C108" s="119" t="s">
        <v>70</v>
      </c>
      <c r="D108" s="119" t="s">
        <v>93</v>
      </c>
      <c r="E108" s="119" t="s">
        <v>76</v>
      </c>
      <c r="F108" s="119" t="s">
        <v>83</v>
      </c>
      <c r="G108" s="113">
        <v>1</v>
      </c>
      <c r="H108" s="121">
        <v>1000</v>
      </c>
      <c r="I108" s="122">
        <v>0</v>
      </c>
      <c r="J108" s="121">
        <f t="shared" si="14"/>
        <v>1000</v>
      </c>
      <c r="K108" s="138">
        <f t="shared" si="15"/>
        <v>1000</v>
      </c>
      <c r="M108" s="46"/>
      <c r="N108" s="46"/>
      <c r="O108" s="46"/>
      <c r="P108" s="46"/>
      <c r="Q108" s="46"/>
      <c r="R108" s="46"/>
      <c r="S108" s="46"/>
      <c r="T108" s="46"/>
      <c r="U108" s="46"/>
      <c r="V108" s="46"/>
      <c r="W108" s="46"/>
      <c r="X108" s="2"/>
    </row>
    <row r="109" spans="1:24">
      <c r="A109" s="118" t="s">
        <v>339</v>
      </c>
      <c r="B109" s="119" t="s">
        <v>340</v>
      </c>
      <c r="C109" s="119" t="s">
        <v>70</v>
      </c>
      <c r="D109" s="119" t="s">
        <v>81</v>
      </c>
      <c r="E109" s="119" t="s">
        <v>87</v>
      </c>
      <c r="F109" s="119"/>
      <c r="G109" s="120"/>
      <c r="H109" s="121"/>
      <c r="I109" s="122">
        <v>0</v>
      </c>
      <c r="J109" s="121">
        <f t="shared" si="14"/>
        <v>0</v>
      </c>
      <c r="K109" s="138">
        <f t="shared" si="15"/>
        <v>0</v>
      </c>
      <c r="M109" s="46"/>
      <c r="N109" s="46"/>
      <c r="O109" s="46"/>
      <c r="P109" s="46"/>
      <c r="Q109" s="46"/>
      <c r="R109" s="46"/>
      <c r="S109" s="46"/>
      <c r="T109" s="46"/>
      <c r="U109" s="46"/>
      <c r="V109" s="46"/>
      <c r="W109" s="46"/>
      <c r="X109" s="2"/>
    </row>
    <row r="110" spans="1:24">
      <c r="A110" s="118" t="s">
        <v>341</v>
      </c>
      <c r="B110" s="119" t="s">
        <v>342</v>
      </c>
      <c r="C110" s="119" t="s">
        <v>70</v>
      </c>
      <c r="D110" s="119" t="s">
        <v>173</v>
      </c>
      <c r="E110" s="119" t="s">
        <v>329</v>
      </c>
      <c r="F110" s="119" t="s">
        <v>83</v>
      </c>
      <c r="G110" s="120">
        <v>1</v>
      </c>
      <c r="H110" s="121">
        <v>67657</v>
      </c>
      <c r="I110" s="122">
        <v>0</v>
      </c>
      <c r="J110" s="121">
        <f t="shared" si="14"/>
        <v>67657</v>
      </c>
      <c r="K110" s="138">
        <f t="shared" si="15"/>
        <v>67657</v>
      </c>
      <c r="M110" s="46"/>
      <c r="N110" s="46"/>
      <c r="O110" s="46"/>
      <c r="P110" s="46"/>
      <c r="Q110" s="46"/>
      <c r="R110" s="46"/>
      <c r="S110" s="46"/>
      <c r="T110" s="46"/>
      <c r="U110" s="46"/>
      <c r="V110" s="46"/>
      <c r="W110" s="46"/>
      <c r="X110" s="2"/>
    </row>
    <row r="111" spans="1:24">
      <c r="A111" s="118" t="s">
        <v>346</v>
      </c>
      <c r="B111" s="119" t="s">
        <v>347</v>
      </c>
      <c r="C111" s="119" t="s">
        <v>70</v>
      </c>
      <c r="D111" s="119" t="s">
        <v>81</v>
      </c>
      <c r="E111" s="119" t="s">
        <v>87</v>
      </c>
      <c r="F111" s="119"/>
      <c r="G111" s="120"/>
      <c r="H111" s="121"/>
      <c r="I111" s="122">
        <v>0</v>
      </c>
      <c r="J111" s="121">
        <f t="shared" si="14"/>
        <v>0</v>
      </c>
      <c r="K111" s="138">
        <f t="shared" si="15"/>
        <v>0</v>
      </c>
      <c r="M111" s="46"/>
      <c r="N111" s="46"/>
      <c r="O111" s="46"/>
      <c r="P111" s="46"/>
      <c r="Q111" s="46"/>
      <c r="R111" s="46"/>
      <c r="S111" s="46"/>
      <c r="T111" s="46"/>
      <c r="U111" s="46"/>
      <c r="V111" s="46"/>
      <c r="W111" s="46"/>
      <c r="X111" s="2"/>
    </row>
    <row r="112" spans="1:24">
      <c r="A112" s="118" t="s">
        <v>348</v>
      </c>
      <c r="B112" s="119" t="s">
        <v>349</v>
      </c>
      <c r="C112" s="119" t="s">
        <v>70</v>
      </c>
      <c r="D112" s="119" t="s">
        <v>103</v>
      </c>
      <c r="E112" s="119" t="s">
        <v>87</v>
      </c>
      <c r="F112" s="119"/>
      <c r="G112" s="120"/>
      <c r="H112" s="121"/>
      <c r="I112" s="122">
        <v>0</v>
      </c>
      <c r="J112" s="121">
        <f t="shared" si="14"/>
        <v>0</v>
      </c>
      <c r="K112" s="138">
        <f t="shared" si="15"/>
        <v>0</v>
      </c>
      <c r="M112" s="46"/>
      <c r="N112" s="46"/>
      <c r="O112" s="46"/>
      <c r="P112" s="46"/>
      <c r="Q112" s="46"/>
      <c r="R112" s="46"/>
      <c r="S112" s="46"/>
      <c r="T112" s="46"/>
      <c r="U112" s="46"/>
      <c r="V112" s="46"/>
      <c r="W112" s="46"/>
      <c r="X112" s="2"/>
    </row>
    <row r="113" spans="1:24">
      <c r="A113" s="118" t="s">
        <v>202</v>
      </c>
      <c r="B113" s="119" t="s">
        <v>350</v>
      </c>
      <c r="C113" s="119" t="s">
        <v>70</v>
      </c>
      <c r="D113" s="119" t="s">
        <v>81</v>
      </c>
      <c r="E113" s="119" t="s">
        <v>486</v>
      </c>
      <c r="F113" s="119" t="s">
        <v>351</v>
      </c>
      <c r="G113" s="120">
        <v>16642</v>
      </c>
      <c r="H113" s="121">
        <f>1.93*9</f>
        <v>17.37</v>
      </c>
      <c r="I113" s="122">
        <v>0</v>
      </c>
      <c r="J113" s="121">
        <f t="shared" si="14"/>
        <v>17.37</v>
      </c>
      <c r="K113" s="138">
        <f t="shared" si="15"/>
        <v>289071.54000000004</v>
      </c>
      <c r="M113" s="46" t="s">
        <v>352</v>
      </c>
      <c r="N113" s="46"/>
      <c r="O113" s="46"/>
      <c r="P113" s="46"/>
      <c r="Q113" s="46"/>
      <c r="R113" s="46"/>
      <c r="S113" s="46"/>
      <c r="T113" s="46"/>
      <c r="U113" s="46"/>
      <c r="V113" s="46"/>
      <c r="W113" s="46"/>
      <c r="X113" s="2"/>
    </row>
    <row r="114" spans="1:24">
      <c r="A114" s="118" t="s">
        <v>353</v>
      </c>
      <c r="B114" s="119" t="s">
        <v>354</v>
      </c>
      <c r="C114" s="119" t="s">
        <v>70</v>
      </c>
      <c r="D114" s="119" t="s">
        <v>173</v>
      </c>
      <c r="E114" s="119" t="s">
        <v>87</v>
      </c>
      <c r="F114" s="119"/>
      <c r="G114" s="120">
        <v>0</v>
      </c>
      <c r="H114" s="121">
        <v>0</v>
      </c>
      <c r="I114" s="122">
        <v>0</v>
      </c>
      <c r="J114" s="121">
        <f t="shared" si="14"/>
        <v>0</v>
      </c>
      <c r="K114" s="138">
        <f t="shared" si="15"/>
        <v>0</v>
      </c>
      <c r="M114" s="46"/>
      <c r="N114" s="46"/>
      <c r="O114" s="46"/>
      <c r="P114" s="46"/>
      <c r="Q114" s="46"/>
      <c r="R114" s="46"/>
      <c r="S114" s="46"/>
      <c r="T114" s="46"/>
      <c r="U114" s="46"/>
      <c r="V114" s="46"/>
      <c r="W114" s="46"/>
      <c r="X114" s="2"/>
    </row>
    <row r="115" spans="1:24">
      <c r="A115" s="118" t="s">
        <v>355</v>
      </c>
      <c r="B115" s="119" t="s">
        <v>356</v>
      </c>
      <c r="C115" s="119" t="s">
        <v>70</v>
      </c>
      <c r="D115" s="119" t="s">
        <v>173</v>
      </c>
      <c r="E115" s="119" t="s">
        <v>87</v>
      </c>
      <c r="F115" s="119"/>
      <c r="G115" s="120">
        <v>0</v>
      </c>
      <c r="H115" s="121">
        <v>0</v>
      </c>
      <c r="I115" s="122">
        <v>0</v>
      </c>
      <c r="J115" s="121">
        <f t="shared" si="14"/>
        <v>0</v>
      </c>
      <c r="K115" s="138">
        <f t="shared" si="15"/>
        <v>0</v>
      </c>
      <c r="M115" s="46"/>
      <c r="N115" s="46"/>
      <c r="O115" s="46"/>
      <c r="P115" s="46"/>
      <c r="Q115" s="46"/>
      <c r="R115" s="46"/>
      <c r="S115" s="46"/>
      <c r="T115" s="46"/>
      <c r="U115" s="46"/>
      <c r="V115" s="46"/>
      <c r="W115" s="46"/>
      <c r="X115" s="2"/>
    </row>
    <row r="116" spans="1:24">
      <c r="A116" s="118" t="s">
        <v>357</v>
      </c>
      <c r="B116" s="119" t="s">
        <v>358</v>
      </c>
      <c r="C116" s="119" t="s">
        <v>70</v>
      </c>
      <c r="D116" s="119" t="s">
        <v>173</v>
      </c>
      <c r="E116" s="119" t="s">
        <v>329</v>
      </c>
      <c r="F116" s="119" t="s">
        <v>185</v>
      </c>
      <c r="G116" s="120">
        <f t="shared" si="16"/>
        <v>361641</v>
      </c>
      <c r="H116" s="121">
        <v>0.37</v>
      </c>
      <c r="I116" s="122">
        <v>0</v>
      </c>
      <c r="J116" s="121">
        <f t="shared" si="14"/>
        <v>0.37</v>
      </c>
      <c r="K116" s="138">
        <f t="shared" si="15"/>
        <v>133807.17000000001</v>
      </c>
      <c r="M116" s="46"/>
      <c r="N116" s="46"/>
      <c r="O116" s="46"/>
      <c r="P116" s="46"/>
      <c r="Q116" s="46"/>
      <c r="R116" s="46"/>
      <c r="S116" s="46"/>
      <c r="T116" s="46"/>
      <c r="U116" s="46"/>
      <c r="V116" s="46"/>
      <c r="W116" s="46"/>
      <c r="X116" s="2"/>
    </row>
    <row r="117" spans="1:24">
      <c r="A117" s="118" t="s">
        <v>360</v>
      </c>
      <c r="B117" s="119" t="s">
        <v>361</v>
      </c>
      <c r="C117" s="119" t="s">
        <v>144</v>
      </c>
      <c r="D117" s="119" t="s">
        <v>173</v>
      </c>
      <c r="E117" s="119" t="s">
        <v>76</v>
      </c>
      <c r="F117" s="119" t="s">
        <v>132</v>
      </c>
      <c r="G117" s="120">
        <f>O3</f>
        <v>6</v>
      </c>
      <c r="H117" s="121">
        <v>750</v>
      </c>
      <c r="I117" s="122">
        <v>0</v>
      </c>
      <c r="J117" s="121">
        <f t="shared" si="14"/>
        <v>750</v>
      </c>
      <c r="K117" s="138">
        <f t="shared" si="15"/>
        <v>4500</v>
      </c>
      <c r="M117" s="46"/>
      <c r="N117" s="46"/>
      <c r="O117" s="46"/>
      <c r="P117" s="46"/>
      <c r="Q117" s="46"/>
      <c r="R117" s="46"/>
      <c r="S117" s="46"/>
      <c r="T117" s="46"/>
      <c r="U117" s="46"/>
      <c r="V117" s="46"/>
      <c r="W117" s="46"/>
      <c r="X117" s="2"/>
    </row>
    <row r="118" spans="1:24">
      <c r="A118" s="118" t="s">
        <v>362</v>
      </c>
      <c r="B118" s="119" t="s">
        <v>363</v>
      </c>
      <c r="C118" s="119" t="s">
        <v>70</v>
      </c>
      <c r="D118" s="119" t="s">
        <v>173</v>
      </c>
      <c r="E118" s="119" t="s">
        <v>87</v>
      </c>
      <c r="F118" s="119"/>
      <c r="G118" s="120">
        <v>0</v>
      </c>
      <c r="H118" s="121">
        <v>0</v>
      </c>
      <c r="I118" s="122">
        <v>0</v>
      </c>
      <c r="J118" s="121">
        <f t="shared" si="14"/>
        <v>0</v>
      </c>
      <c r="K118" s="138">
        <f t="shared" si="15"/>
        <v>0</v>
      </c>
      <c r="M118" s="46"/>
      <c r="N118" s="46"/>
      <c r="O118" s="46"/>
      <c r="P118" s="46"/>
      <c r="Q118" s="46"/>
      <c r="R118" s="46"/>
      <c r="S118" s="46"/>
      <c r="T118" s="46"/>
      <c r="U118" s="46"/>
      <c r="V118" s="46"/>
      <c r="W118" s="46"/>
      <c r="X118" s="2"/>
    </row>
    <row r="119" spans="1:24">
      <c r="A119" s="118" t="s">
        <v>364</v>
      </c>
      <c r="B119" s="119" t="s">
        <v>365</v>
      </c>
      <c r="C119" s="119" t="s">
        <v>70</v>
      </c>
      <c r="D119" s="119" t="s">
        <v>173</v>
      </c>
      <c r="E119" s="119" t="s">
        <v>87</v>
      </c>
      <c r="F119" s="119" t="s">
        <v>185</v>
      </c>
      <c r="G119" s="120">
        <v>0</v>
      </c>
      <c r="H119" s="121">
        <v>0</v>
      </c>
      <c r="I119" s="122">
        <v>0</v>
      </c>
      <c r="J119" s="121">
        <f t="shared" si="14"/>
        <v>0</v>
      </c>
      <c r="K119" s="138">
        <f t="shared" si="15"/>
        <v>0</v>
      </c>
      <c r="M119" s="46"/>
      <c r="N119" s="46"/>
      <c r="O119" s="46"/>
      <c r="P119" s="46"/>
      <c r="Q119" s="46"/>
      <c r="R119" s="46"/>
      <c r="S119" s="46"/>
      <c r="T119" s="46"/>
      <c r="U119" s="46"/>
      <c r="V119" s="46"/>
      <c r="W119" s="46"/>
      <c r="X119" s="2"/>
    </row>
    <row r="120" spans="1:24">
      <c r="A120" s="118" t="s">
        <v>366</v>
      </c>
      <c r="B120" s="119" t="s">
        <v>367</v>
      </c>
      <c r="C120" s="119" t="s">
        <v>70</v>
      </c>
      <c r="D120" s="119" t="s">
        <v>173</v>
      </c>
      <c r="E120" s="119" t="s">
        <v>329</v>
      </c>
      <c r="F120" s="119" t="s">
        <v>185</v>
      </c>
      <c r="G120" s="120">
        <f>U2</f>
        <v>0</v>
      </c>
      <c r="H120" s="121">
        <v>16.53336114421931</v>
      </c>
      <c r="I120" s="122">
        <v>0</v>
      </c>
      <c r="J120" s="121">
        <f t="shared" si="14"/>
        <v>16.53336114421931</v>
      </c>
      <c r="K120" s="138">
        <f t="shared" si="15"/>
        <v>0</v>
      </c>
      <c r="M120" s="46"/>
      <c r="N120" s="46"/>
      <c r="O120" s="46"/>
      <c r="P120" s="46"/>
      <c r="Q120" s="46"/>
      <c r="R120" s="46"/>
      <c r="S120" s="46"/>
      <c r="T120" s="46"/>
      <c r="U120" s="46"/>
      <c r="V120" s="46"/>
      <c r="W120" s="46"/>
      <c r="X120" s="2"/>
    </row>
    <row r="121" spans="1:24">
      <c r="A121" s="118" t="s">
        <v>369</v>
      </c>
      <c r="B121" s="119" t="s">
        <v>370</v>
      </c>
      <c r="C121" s="119" t="s">
        <v>70</v>
      </c>
      <c r="D121" s="119" t="s">
        <v>173</v>
      </c>
      <c r="E121" s="119" t="s">
        <v>329</v>
      </c>
      <c r="F121" s="119" t="s">
        <v>132</v>
      </c>
      <c r="G121" s="120">
        <f>$O$6</f>
        <v>18</v>
      </c>
      <c r="H121" s="121">
        <v>1848.1428571428571</v>
      </c>
      <c r="I121" s="122">
        <v>0</v>
      </c>
      <c r="J121" s="121">
        <f t="shared" si="14"/>
        <v>1848.1428571428571</v>
      </c>
      <c r="K121" s="138">
        <f t="shared" si="15"/>
        <v>33266.571428571428</v>
      </c>
      <c r="M121" s="46"/>
      <c r="N121" s="46"/>
      <c r="O121" s="46"/>
      <c r="P121" s="46"/>
      <c r="Q121" s="46"/>
      <c r="R121" s="46"/>
      <c r="S121" s="46"/>
      <c r="T121" s="46"/>
      <c r="U121" s="46"/>
      <c r="V121" s="46"/>
      <c r="W121" s="46"/>
      <c r="X121" s="2"/>
    </row>
    <row r="122" spans="1:24">
      <c r="A122" s="118" t="s">
        <v>372</v>
      </c>
      <c r="B122" s="119" t="s">
        <v>373</v>
      </c>
      <c r="C122" s="119" t="s">
        <v>70</v>
      </c>
      <c r="D122" s="119" t="s">
        <v>173</v>
      </c>
      <c r="E122" s="119" t="s">
        <v>329</v>
      </c>
      <c r="F122" s="119" t="s">
        <v>185</v>
      </c>
      <c r="G122" s="120">
        <f t="shared" si="16"/>
        <v>361641</v>
      </c>
      <c r="H122" s="121">
        <v>5.1209072935450933E-2</v>
      </c>
      <c r="I122" s="122">
        <v>0</v>
      </c>
      <c r="J122" s="121">
        <f t="shared" si="14"/>
        <v>5.1209072935450933E-2</v>
      </c>
      <c r="K122" s="138">
        <f t="shared" si="15"/>
        <v>18519.30034544941</v>
      </c>
      <c r="M122" s="46" t="s">
        <v>1070</v>
      </c>
      <c r="N122" s="46"/>
      <c r="O122" s="46"/>
      <c r="P122" s="46"/>
      <c r="Q122" s="46"/>
      <c r="R122" s="46"/>
      <c r="S122" s="46"/>
      <c r="T122" s="46"/>
      <c r="U122" s="46"/>
      <c r="V122" s="46"/>
      <c r="W122" s="46"/>
      <c r="X122" s="2"/>
    </row>
    <row r="123" spans="1:24">
      <c r="A123" s="118" t="s">
        <v>375</v>
      </c>
      <c r="B123" s="119" t="s">
        <v>376</v>
      </c>
      <c r="C123" s="119" t="s">
        <v>70</v>
      </c>
      <c r="D123" s="119" t="s">
        <v>173</v>
      </c>
      <c r="E123" s="119" t="s">
        <v>329</v>
      </c>
      <c r="F123" s="119" t="s">
        <v>185</v>
      </c>
      <c r="G123" s="120">
        <f t="shared" si="16"/>
        <v>361641</v>
      </c>
      <c r="H123" s="121">
        <v>0.29699958719881808</v>
      </c>
      <c r="I123" s="122">
        <v>0</v>
      </c>
      <c r="J123" s="121">
        <f t="shared" si="14"/>
        <v>0.29699958719881808</v>
      </c>
      <c r="K123" s="138">
        <f t="shared" si="15"/>
        <v>107407.22771416778</v>
      </c>
      <c r="M123" s="46" t="s">
        <v>1070</v>
      </c>
      <c r="N123" s="46"/>
      <c r="O123" s="46"/>
      <c r="P123" s="46"/>
      <c r="Q123" s="46"/>
      <c r="R123" s="46"/>
      <c r="S123" s="46"/>
      <c r="T123" s="46"/>
      <c r="U123" s="46"/>
      <c r="V123" s="46"/>
      <c r="W123" s="46"/>
      <c r="X123" s="2"/>
    </row>
    <row r="124" spans="1:24">
      <c r="A124" s="118" t="s">
        <v>378</v>
      </c>
      <c r="B124" s="119" t="s">
        <v>379</v>
      </c>
      <c r="C124" s="119" t="s">
        <v>90</v>
      </c>
      <c r="D124" s="119" t="s">
        <v>81</v>
      </c>
      <c r="E124" s="119" t="s">
        <v>76</v>
      </c>
      <c r="F124" s="119" t="s">
        <v>83</v>
      </c>
      <c r="G124" s="113">
        <v>1</v>
      </c>
      <c r="H124" s="121">
        <v>10000</v>
      </c>
      <c r="I124" s="122">
        <v>0</v>
      </c>
      <c r="J124" s="121">
        <f t="shared" si="14"/>
        <v>10000</v>
      </c>
      <c r="K124" s="138">
        <f t="shared" si="15"/>
        <v>10000</v>
      </c>
      <c r="M124" s="46"/>
      <c r="N124" s="46"/>
      <c r="O124" s="46"/>
      <c r="P124" s="46"/>
      <c r="Q124" s="46"/>
      <c r="R124" s="46"/>
      <c r="S124" s="46"/>
      <c r="T124" s="46"/>
      <c r="U124" s="46"/>
      <c r="V124" s="46"/>
      <c r="W124" s="46"/>
      <c r="X124" s="2"/>
    </row>
    <row r="125" spans="1:24">
      <c r="A125" s="118" t="s">
        <v>380</v>
      </c>
      <c r="B125" s="119" t="s">
        <v>381</v>
      </c>
      <c r="C125" s="119" t="s">
        <v>70</v>
      </c>
      <c r="D125" s="119" t="s">
        <v>81</v>
      </c>
      <c r="E125" s="119" t="s">
        <v>343</v>
      </c>
      <c r="F125" s="119" t="s">
        <v>185</v>
      </c>
      <c r="G125" s="120">
        <f>$B$8</f>
        <v>361641</v>
      </c>
      <c r="H125" s="121">
        <v>1.84</v>
      </c>
      <c r="I125" s="122">
        <v>0</v>
      </c>
      <c r="J125" s="121">
        <f t="shared" si="14"/>
        <v>1.84</v>
      </c>
      <c r="K125" s="138">
        <f t="shared" si="15"/>
        <v>665419.44000000006</v>
      </c>
      <c r="M125" s="46"/>
      <c r="N125" s="46"/>
      <c r="O125" s="46"/>
      <c r="P125" s="46"/>
      <c r="Q125" s="46"/>
      <c r="R125" s="46"/>
      <c r="S125" s="46"/>
      <c r="T125" s="46"/>
      <c r="U125" s="46"/>
      <c r="V125" s="46"/>
      <c r="W125" s="46"/>
      <c r="X125" s="2"/>
    </row>
    <row r="126" spans="1:24">
      <c r="A126" s="118" t="s">
        <v>382</v>
      </c>
      <c r="B126" s="119" t="s">
        <v>383</v>
      </c>
      <c r="C126" s="119" t="s">
        <v>70</v>
      </c>
      <c r="D126" s="119" t="s">
        <v>93</v>
      </c>
      <c r="E126" s="119" t="s">
        <v>76</v>
      </c>
      <c r="F126" s="119" t="s">
        <v>83</v>
      </c>
      <c r="G126" s="113">
        <v>1</v>
      </c>
      <c r="H126" s="121">
        <v>1000</v>
      </c>
      <c r="I126" s="122">
        <v>0</v>
      </c>
      <c r="J126" s="121">
        <f t="shared" si="14"/>
        <v>1000</v>
      </c>
      <c r="K126" s="138">
        <f t="shared" si="15"/>
        <v>1000</v>
      </c>
      <c r="M126" s="46"/>
      <c r="N126" s="46"/>
      <c r="O126" s="46"/>
      <c r="P126" s="46"/>
      <c r="Q126" s="46"/>
      <c r="R126" s="46"/>
      <c r="S126" s="46"/>
      <c r="T126" s="46"/>
      <c r="U126" s="46"/>
      <c r="V126" s="46"/>
      <c r="W126" s="46"/>
      <c r="X126" s="2"/>
    </row>
    <row r="127" spans="1:24">
      <c r="A127" s="118" t="s">
        <v>384</v>
      </c>
      <c r="B127" s="119" t="s">
        <v>385</v>
      </c>
      <c r="C127" s="119" t="s">
        <v>70</v>
      </c>
      <c r="D127" s="119" t="s">
        <v>81</v>
      </c>
      <c r="E127" s="119" t="s">
        <v>87</v>
      </c>
      <c r="F127" s="119"/>
      <c r="G127" s="120"/>
      <c r="H127" s="121"/>
      <c r="I127" s="122">
        <v>0</v>
      </c>
      <c r="J127" s="121">
        <f t="shared" si="14"/>
        <v>0</v>
      </c>
      <c r="K127" s="138">
        <f t="shared" si="15"/>
        <v>0</v>
      </c>
      <c r="M127" s="46"/>
      <c r="N127" s="46"/>
      <c r="O127" s="46"/>
      <c r="P127" s="46"/>
      <c r="Q127" s="46"/>
      <c r="R127" s="46"/>
      <c r="S127" s="46"/>
      <c r="T127" s="46"/>
      <c r="U127" s="46"/>
      <c r="V127" s="46"/>
      <c r="W127" s="46"/>
      <c r="X127" s="2"/>
    </row>
    <row r="128" spans="1:24">
      <c r="A128" s="118" t="s">
        <v>386</v>
      </c>
      <c r="B128" s="119" t="s">
        <v>387</v>
      </c>
      <c r="C128" s="119" t="s">
        <v>70</v>
      </c>
      <c r="D128" s="119" t="s">
        <v>103</v>
      </c>
      <c r="E128" s="119" t="s">
        <v>87</v>
      </c>
      <c r="F128" s="119"/>
      <c r="G128" s="120"/>
      <c r="H128" s="121"/>
      <c r="I128" s="122">
        <v>0</v>
      </c>
      <c r="J128" s="121">
        <f t="shared" si="14"/>
        <v>0</v>
      </c>
      <c r="K128" s="138">
        <f t="shared" si="15"/>
        <v>0</v>
      </c>
      <c r="M128" s="46"/>
      <c r="N128" s="46"/>
      <c r="O128" s="46"/>
      <c r="P128" s="46"/>
      <c r="Q128" s="46"/>
      <c r="R128" s="46"/>
      <c r="S128" s="46"/>
      <c r="T128" s="46"/>
      <c r="U128" s="46"/>
      <c r="V128" s="46"/>
      <c r="W128" s="46"/>
      <c r="X128" s="2"/>
    </row>
    <row r="129" spans="1:24">
      <c r="A129" s="118" t="s">
        <v>388</v>
      </c>
      <c r="B129" s="119"/>
      <c r="C129" s="119" t="s">
        <v>70</v>
      </c>
      <c r="D129" s="119" t="s">
        <v>173</v>
      </c>
      <c r="E129" s="119" t="s">
        <v>87</v>
      </c>
      <c r="F129" s="119"/>
      <c r="G129" s="120"/>
      <c r="H129" s="121"/>
      <c r="I129" s="122">
        <v>0</v>
      </c>
      <c r="J129" s="121">
        <f t="shared" si="14"/>
        <v>0</v>
      </c>
      <c r="K129" s="138">
        <f t="shared" si="15"/>
        <v>0</v>
      </c>
      <c r="M129" s="46"/>
      <c r="N129" s="46"/>
      <c r="O129" s="46"/>
      <c r="P129" s="46"/>
      <c r="Q129" s="46"/>
      <c r="R129" s="46"/>
      <c r="S129" s="46"/>
      <c r="T129" s="46"/>
      <c r="U129" s="46"/>
      <c r="V129" s="46"/>
      <c r="W129" s="46"/>
      <c r="X129" s="2"/>
    </row>
    <row r="130" spans="1:24">
      <c r="A130" s="118" t="s">
        <v>389</v>
      </c>
      <c r="B130" s="119" t="s">
        <v>390</v>
      </c>
      <c r="C130" s="119" t="s">
        <v>70</v>
      </c>
      <c r="D130" s="119" t="s">
        <v>173</v>
      </c>
      <c r="E130" s="119" t="s">
        <v>87</v>
      </c>
      <c r="F130" s="119"/>
      <c r="G130" s="120"/>
      <c r="H130" s="121"/>
      <c r="I130" s="122">
        <v>0</v>
      </c>
      <c r="J130" s="121">
        <f t="shared" si="14"/>
        <v>0</v>
      </c>
      <c r="K130" s="138">
        <f t="shared" si="15"/>
        <v>0</v>
      </c>
      <c r="M130" s="46"/>
      <c r="N130" s="46"/>
      <c r="O130" s="46"/>
      <c r="P130" s="46"/>
      <c r="Q130" s="46"/>
      <c r="R130" s="46"/>
      <c r="S130" s="46"/>
      <c r="T130" s="46"/>
      <c r="U130" s="46"/>
      <c r="V130" s="46"/>
      <c r="W130" s="46"/>
      <c r="X130" s="2"/>
    </row>
    <row r="131" spans="1:24">
      <c r="A131" s="96" t="s">
        <v>431</v>
      </c>
      <c r="B131" s="97" t="s">
        <v>432</v>
      </c>
      <c r="C131" s="97"/>
      <c r="D131" s="97"/>
      <c r="E131" s="132"/>
      <c r="F131" s="132"/>
      <c r="G131" s="133"/>
      <c r="H131" s="134"/>
      <c r="I131" s="135"/>
      <c r="J131" s="134"/>
      <c r="K131" s="136"/>
      <c r="L131" s="103">
        <f>SUM(K132:K147)</f>
        <v>424275</v>
      </c>
      <c r="M131" s="46"/>
      <c r="N131" s="46"/>
      <c r="O131" s="46"/>
      <c r="P131" s="46"/>
      <c r="Q131" s="46"/>
      <c r="R131" s="46"/>
      <c r="S131" s="46"/>
      <c r="T131" s="46"/>
      <c r="U131" s="46"/>
      <c r="V131" s="46"/>
      <c r="W131" s="46"/>
      <c r="X131" s="2"/>
    </row>
    <row r="132" spans="1:24">
      <c r="A132" s="111" t="s">
        <v>393</v>
      </c>
      <c r="B132" s="112" t="s">
        <v>394</v>
      </c>
      <c r="C132" s="112" t="s">
        <v>70</v>
      </c>
      <c r="D132" s="112" t="s">
        <v>75</v>
      </c>
      <c r="E132" s="112" t="s">
        <v>87</v>
      </c>
      <c r="F132" s="112"/>
      <c r="G132" s="113"/>
      <c r="H132" s="114">
        <v>5478</v>
      </c>
      <c r="I132" s="115">
        <v>0</v>
      </c>
      <c r="J132" s="116">
        <f t="shared" ref="J132:J147" si="18">H132*(1+I132)</f>
        <v>5478</v>
      </c>
      <c r="K132" s="117">
        <f t="shared" ref="K132:K147" si="19">J132*G132</f>
        <v>0</v>
      </c>
      <c r="M132" s="46"/>
      <c r="N132" s="46"/>
      <c r="O132" s="46"/>
      <c r="P132" s="46"/>
      <c r="Q132" s="46"/>
      <c r="R132" s="46"/>
      <c r="S132" s="46"/>
      <c r="T132" s="46"/>
      <c r="U132" s="46"/>
      <c r="V132" s="46"/>
      <c r="W132" s="46"/>
      <c r="X132" s="2"/>
    </row>
    <row r="133" spans="1:24">
      <c r="A133" s="118" t="s">
        <v>395</v>
      </c>
      <c r="B133" s="119" t="s">
        <v>396</v>
      </c>
      <c r="C133" s="119" t="s">
        <v>70</v>
      </c>
      <c r="D133" s="119" t="s">
        <v>397</v>
      </c>
      <c r="E133" s="119" t="s">
        <v>1049</v>
      </c>
      <c r="F133" s="119" t="s">
        <v>344</v>
      </c>
      <c r="G133" s="113">
        <f>$E$8</f>
        <v>363</v>
      </c>
      <c r="H133" s="121">
        <v>155</v>
      </c>
      <c r="I133" s="122">
        <v>0</v>
      </c>
      <c r="J133" s="121">
        <f t="shared" si="18"/>
        <v>155</v>
      </c>
      <c r="K133" s="138">
        <f t="shared" si="19"/>
        <v>56265</v>
      </c>
      <c r="M133" s="46"/>
      <c r="N133" s="46"/>
      <c r="O133" s="46"/>
      <c r="P133" s="46"/>
      <c r="Q133" s="46"/>
      <c r="R133" s="46"/>
      <c r="S133" s="46"/>
      <c r="T133" s="46"/>
      <c r="U133" s="46"/>
      <c r="V133" s="46"/>
      <c r="W133" s="46"/>
      <c r="X133" s="2"/>
    </row>
    <row r="134" spans="1:24">
      <c r="A134" s="118" t="s">
        <v>399</v>
      </c>
      <c r="B134" s="119" t="s">
        <v>400</v>
      </c>
      <c r="C134" s="119" t="s">
        <v>70</v>
      </c>
      <c r="D134" s="119" t="s">
        <v>75</v>
      </c>
      <c r="E134" s="90" t="s">
        <v>76</v>
      </c>
      <c r="F134" s="119" t="s">
        <v>83</v>
      </c>
      <c r="G134" s="120">
        <v>1</v>
      </c>
      <c r="H134" s="121">
        <v>6000</v>
      </c>
      <c r="I134" s="122">
        <v>0</v>
      </c>
      <c r="J134" s="121">
        <f t="shared" si="18"/>
        <v>6000</v>
      </c>
      <c r="K134" s="138">
        <f t="shared" si="19"/>
        <v>6000</v>
      </c>
      <c r="M134" s="46"/>
      <c r="N134" s="46"/>
      <c r="O134" s="46"/>
      <c r="P134" s="46"/>
      <c r="Q134" s="46"/>
      <c r="R134" s="46"/>
      <c r="S134" s="46"/>
      <c r="T134" s="46"/>
      <c r="U134" s="46"/>
      <c r="V134" s="46"/>
      <c r="W134" s="46"/>
      <c r="X134" s="2"/>
    </row>
    <row r="135" spans="1:24">
      <c r="A135" s="118" t="s">
        <v>401</v>
      </c>
      <c r="B135" s="119" t="s">
        <v>402</v>
      </c>
      <c r="C135" s="119" t="s">
        <v>70</v>
      </c>
      <c r="D135" s="119" t="s">
        <v>75</v>
      </c>
      <c r="E135" s="119" t="s">
        <v>76</v>
      </c>
      <c r="F135" s="119" t="s">
        <v>83</v>
      </c>
      <c r="G135" s="120">
        <v>1</v>
      </c>
      <c r="H135" s="121">
        <v>5000</v>
      </c>
      <c r="I135" s="122">
        <v>0</v>
      </c>
      <c r="J135" s="121">
        <f t="shared" si="18"/>
        <v>5000</v>
      </c>
      <c r="K135" s="138">
        <f t="shared" si="19"/>
        <v>5000</v>
      </c>
      <c r="M135" s="46"/>
      <c r="N135" s="46"/>
      <c r="O135" s="46"/>
      <c r="P135" s="46"/>
      <c r="Q135" s="46"/>
      <c r="R135" s="46"/>
      <c r="S135" s="46"/>
      <c r="T135" s="46"/>
      <c r="U135" s="46"/>
      <c r="V135" s="46"/>
      <c r="W135" s="46"/>
      <c r="X135" s="2"/>
    </row>
    <row r="136" spans="1:24">
      <c r="A136" s="118" t="s">
        <v>403</v>
      </c>
      <c r="B136" s="119" t="s">
        <v>404</v>
      </c>
      <c r="C136" s="119" t="s">
        <v>70</v>
      </c>
      <c r="D136" s="119" t="s">
        <v>405</v>
      </c>
      <c r="E136" s="119" t="s">
        <v>76</v>
      </c>
      <c r="F136" s="119" t="s">
        <v>83</v>
      </c>
      <c r="G136" s="120">
        <v>1</v>
      </c>
      <c r="H136" s="121">
        <v>7000</v>
      </c>
      <c r="I136" s="122">
        <v>0</v>
      </c>
      <c r="J136" s="121">
        <f t="shared" si="18"/>
        <v>7000</v>
      </c>
      <c r="K136" s="138">
        <f t="shared" si="19"/>
        <v>7000</v>
      </c>
      <c r="M136" s="46"/>
      <c r="N136" s="46"/>
      <c r="O136" s="46"/>
      <c r="P136" s="46"/>
      <c r="Q136" s="46"/>
      <c r="R136" s="46"/>
      <c r="S136" s="46"/>
      <c r="T136" s="46"/>
      <c r="U136" s="46"/>
      <c r="V136" s="46"/>
      <c r="W136" s="46"/>
      <c r="X136" s="2"/>
    </row>
    <row r="137" spans="1:24">
      <c r="A137" s="118" t="s">
        <v>406</v>
      </c>
      <c r="B137" s="119" t="s">
        <v>407</v>
      </c>
      <c r="C137" s="119" t="s">
        <v>70</v>
      </c>
      <c r="D137" s="119" t="s">
        <v>81</v>
      </c>
      <c r="E137" s="119" t="s">
        <v>1049</v>
      </c>
      <c r="F137" s="119" t="s">
        <v>344</v>
      </c>
      <c r="G137" s="113">
        <f>$E$8+E6+E7</f>
        <v>363</v>
      </c>
      <c r="H137" s="121">
        <v>17</v>
      </c>
      <c r="I137" s="122">
        <v>0</v>
      </c>
      <c r="J137" s="121">
        <f t="shared" si="18"/>
        <v>17</v>
      </c>
      <c r="K137" s="138">
        <f t="shared" si="19"/>
        <v>6171</v>
      </c>
      <c r="M137" s="46"/>
      <c r="N137" s="46"/>
      <c r="O137" s="46"/>
      <c r="P137" s="46"/>
      <c r="Q137" s="46"/>
      <c r="R137" s="46"/>
      <c r="S137" s="46"/>
      <c r="T137" s="46"/>
      <c r="U137" s="46"/>
      <c r="V137" s="46"/>
      <c r="W137" s="46"/>
      <c r="X137" s="2"/>
    </row>
    <row r="138" spans="1:24">
      <c r="A138" s="118" t="s">
        <v>410</v>
      </c>
      <c r="B138" s="119" t="s">
        <v>411</v>
      </c>
      <c r="C138" s="119" t="s">
        <v>70</v>
      </c>
      <c r="D138" s="119" t="s">
        <v>81</v>
      </c>
      <c r="E138" s="119" t="s">
        <v>87</v>
      </c>
      <c r="F138" s="119"/>
      <c r="G138" s="120"/>
      <c r="H138" s="121">
        <v>0</v>
      </c>
      <c r="I138" s="122">
        <v>0</v>
      </c>
      <c r="J138" s="121">
        <f t="shared" si="18"/>
        <v>0</v>
      </c>
      <c r="K138" s="138">
        <f t="shared" si="19"/>
        <v>0</v>
      </c>
      <c r="M138" s="46"/>
      <c r="N138" s="46"/>
      <c r="O138" s="46"/>
      <c r="P138" s="46"/>
      <c r="Q138" s="46"/>
      <c r="R138" s="46"/>
      <c r="S138" s="46"/>
      <c r="T138" s="46"/>
      <c r="U138" s="46"/>
      <c r="V138" s="46"/>
      <c r="W138" s="46"/>
      <c r="X138" s="2"/>
    </row>
    <row r="139" spans="1:24">
      <c r="A139" s="118" t="s">
        <v>412</v>
      </c>
      <c r="B139" s="119" t="s">
        <v>413</v>
      </c>
      <c r="C139" s="119" t="s">
        <v>70</v>
      </c>
      <c r="D139" s="119" t="s">
        <v>81</v>
      </c>
      <c r="E139" s="119" t="s">
        <v>87</v>
      </c>
      <c r="F139" s="119"/>
      <c r="G139" s="120"/>
      <c r="H139" s="121">
        <v>0</v>
      </c>
      <c r="I139" s="122">
        <v>0</v>
      </c>
      <c r="J139" s="121">
        <f t="shared" si="18"/>
        <v>0</v>
      </c>
      <c r="K139" s="138">
        <f t="shared" si="19"/>
        <v>0</v>
      </c>
      <c r="M139" s="46"/>
      <c r="N139" s="46"/>
      <c r="O139" s="46"/>
      <c r="P139" s="46"/>
      <c r="Q139" s="46"/>
      <c r="R139" s="46"/>
      <c r="S139" s="46"/>
      <c r="T139" s="46"/>
      <c r="U139" s="46"/>
      <c r="V139" s="46"/>
      <c r="W139" s="46"/>
      <c r="X139" s="2"/>
    </row>
    <row r="140" spans="1:24">
      <c r="A140" s="118" t="s">
        <v>414</v>
      </c>
      <c r="B140" s="119" t="s">
        <v>415</v>
      </c>
      <c r="C140" s="119" t="s">
        <v>70</v>
      </c>
      <c r="D140" s="119" t="s">
        <v>103</v>
      </c>
      <c r="E140" s="119" t="s">
        <v>87</v>
      </c>
      <c r="F140" s="119"/>
      <c r="G140" s="120"/>
      <c r="H140" s="121">
        <v>0</v>
      </c>
      <c r="I140" s="122">
        <v>0</v>
      </c>
      <c r="J140" s="121">
        <f t="shared" si="18"/>
        <v>0</v>
      </c>
      <c r="K140" s="138">
        <f t="shared" si="19"/>
        <v>0</v>
      </c>
      <c r="M140" s="46"/>
      <c r="N140" s="46"/>
      <c r="O140" s="46"/>
      <c r="P140" s="46"/>
      <c r="Q140" s="46"/>
      <c r="R140" s="46"/>
      <c r="S140" s="46"/>
      <c r="T140" s="46"/>
      <c r="U140" s="46"/>
      <c r="V140" s="46"/>
      <c r="W140" s="46"/>
      <c r="X140" s="2"/>
    </row>
    <row r="141" spans="1:24">
      <c r="A141" s="118" t="s">
        <v>416</v>
      </c>
      <c r="B141" s="119" t="s">
        <v>417</v>
      </c>
      <c r="C141" s="119" t="s">
        <v>70</v>
      </c>
      <c r="D141" s="119" t="s">
        <v>103</v>
      </c>
      <c r="E141" s="119" t="s">
        <v>418</v>
      </c>
      <c r="F141" s="119" t="s">
        <v>83</v>
      </c>
      <c r="G141" s="120">
        <v>4</v>
      </c>
      <c r="H141" s="121">
        <v>3360</v>
      </c>
      <c r="I141" s="122">
        <v>0</v>
      </c>
      <c r="J141" s="121">
        <f t="shared" si="18"/>
        <v>3360</v>
      </c>
      <c r="K141" s="138">
        <f t="shared" si="19"/>
        <v>13440</v>
      </c>
      <c r="M141" s="46"/>
      <c r="N141" s="46"/>
      <c r="O141" s="46"/>
      <c r="P141" s="46"/>
      <c r="Q141" s="46"/>
      <c r="R141" s="46"/>
      <c r="S141" s="46"/>
      <c r="T141" s="46"/>
      <c r="U141" s="46"/>
      <c r="V141" s="46"/>
      <c r="W141" s="46"/>
      <c r="X141" s="2"/>
    </row>
    <row r="142" spans="1:24">
      <c r="A142" s="118" t="s">
        <v>419</v>
      </c>
      <c r="B142" s="119" t="s">
        <v>420</v>
      </c>
      <c r="C142" s="119" t="s">
        <v>70</v>
      </c>
      <c r="D142" s="119" t="s">
        <v>75</v>
      </c>
      <c r="E142" s="119" t="s">
        <v>76</v>
      </c>
      <c r="F142" s="119" t="s">
        <v>83</v>
      </c>
      <c r="G142" s="120">
        <v>1</v>
      </c>
      <c r="H142" s="121">
        <v>5000</v>
      </c>
      <c r="I142" s="122">
        <v>0</v>
      </c>
      <c r="J142" s="121">
        <f t="shared" si="18"/>
        <v>5000</v>
      </c>
      <c r="K142" s="138">
        <f t="shared" si="19"/>
        <v>5000</v>
      </c>
      <c r="M142" s="46"/>
      <c r="N142" s="46"/>
      <c r="O142" s="46"/>
      <c r="P142" s="46"/>
      <c r="Q142" s="46"/>
      <c r="R142" s="46"/>
      <c r="S142" s="46"/>
      <c r="T142" s="46"/>
      <c r="U142" s="46"/>
      <c r="V142" s="46"/>
      <c r="W142" s="46"/>
      <c r="X142" s="2"/>
    </row>
    <row r="143" spans="1:24">
      <c r="A143" s="118" t="s">
        <v>421</v>
      </c>
      <c r="B143" s="119" t="s">
        <v>422</v>
      </c>
      <c r="C143" s="119" t="s">
        <v>70</v>
      </c>
      <c r="D143" s="119" t="s">
        <v>81</v>
      </c>
      <c r="E143" s="119" t="s">
        <v>76</v>
      </c>
      <c r="F143" s="119" t="s">
        <v>83</v>
      </c>
      <c r="G143" s="113">
        <v>1</v>
      </c>
      <c r="H143" s="121">
        <v>30000</v>
      </c>
      <c r="I143" s="122">
        <v>0</v>
      </c>
      <c r="J143" s="121">
        <f t="shared" si="18"/>
        <v>30000</v>
      </c>
      <c r="K143" s="138">
        <f t="shared" si="19"/>
        <v>30000</v>
      </c>
      <c r="M143" s="46" t="s">
        <v>423</v>
      </c>
      <c r="N143" s="46"/>
      <c r="O143" s="46"/>
      <c r="P143" s="46"/>
      <c r="Q143" s="46"/>
      <c r="R143" s="46"/>
      <c r="S143" s="46"/>
      <c r="T143" s="46"/>
      <c r="U143" s="46"/>
      <c r="V143" s="46"/>
      <c r="W143" s="46"/>
      <c r="X143" s="2"/>
    </row>
    <row r="144" spans="1:24">
      <c r="A144" s="118" t="s">
        <v>424</v>
      </c>
      <c r="B144" s="119" t="s">
        <v>425</v>
      </c>
      <c r="C144" s="119" t="s">
        <v>70</v>
      </c>
      <c r="D144" s="119" t="s">
        <v>81</v>
      </c>
      <c r="E144" s="119" t="s">
        <v>1072</v>
      </c>
      <c r="F144" s="119" t="s">
        <v>344</v>
      </c>
      <c r="G144" s="113">
        <f>$E$8</f>
        <v>363</v>
      </c>
      <c r="H144" s="121">
        <v>153</v>
      </c>
      <c r="I144" s="122">
        <v>0</v>
      </c>
      <c r="J144" s="121">
        <f t="shared" si="18"/>
        <v>153</v>
      </c>
      <c r="K144" s="138">
        <f t="shared" si="19"/>
        <v>55539</v>
      </c>
      <c r="M144" s="46"/>
      <c r="N144" s="46"/>
      <c r="O144" s="46"/>
      <c r="P144" s="46"/>
      <c r="Q144" s="46"/>
      <c r="R144" s="46"/>
      <c r="S144" s="46"/>
      <c r="T144" s="46"/>
      <c r="U144" s="46"/>
      <c r="V144" s="46"/>
      <c r="W144" s="46"/>
      <c r="X144" s="2"/>
    </row>
    <row r="145" spans="1:24">
      <c r="A145" s="118" t="s">
        <v>426</v>
      </c>
      <c r="B145" s="119" t="s">
        <v>427</v>
      </c>
      <c r="C145" s="119" t="s">
        <v>70</v>
      </c>
      <c r="D145" s="119" t="s">
        <v>81</v>
      </c>
      <c r="E145" s="119" t="s">
        <v>343</v>
      </c>
      <c r="F145" s="119" t="s">
        <v>344</v>
      </c>
      <c r="G145" s="113">
        <f>$E$8</f>
        <v>363</v>
      </c>
      <c r="H145" s="121">
        <v>220</v>
      </c>
      <c r="I145" s="122">
        <v>0</v>
      </c>
      <c r="J145" s="121">
        <f t="shared" si="18"/>
        <v>220</v>
      </c>
      <c r="K145" s="138">
        <f t="shared" si="19"/>
        <v>79860</v>
      </c>
      <c r="M145" s="46"/>
      <c r="N145" s="46"/>
      <c r="O145" s="46"/>
      <c r="P145" s="46"/>
      <c r="Q145" s="46"/>
      <c r="R145" s="46"/>
      <c r="S145" s="46"/>
      <c r="T145" s="46"/>
      <c r="U145" s="46"/>
      <c r="V145" s="46"/>
      <c r="W145" s="46"/>
      <c r="X145" s="2"/>
    </row>
    <row r="146" spans="1:24">
      <c r="A146" s="118" t="s">
        <v>428</v>
      </c>
      <c r="B146" s="119" t="s">
        <v>429</v>
      </c>
      <c r="C146" s="119" t="s">
        <v>70</v>
      </c>
      <c r="D146" s="119" t="s">
        <v>81</v>
      </c>
      <c r="E146" s="119" t="s">
        <v>343</v>
      </c>
      <c r="F146" s="119" t="s">
        <v>132</v>
      </c>
      <c r="G146" s="120">
        <f>$O$17</f>
        <v>30</v>
      </c>
      <c r="H146" s="121">
        <v>2500</v>
      </c>
      <c r="I146" s="122">
        <v>0</v>
      </c>
      <c r="J146" s="121">
        <f t="shared" si="18"/>
        <v>2500</v>
      </c>
      <c r="K146" s="138">
        <f t="shared" si="19"/>
        <v>75000</v>
      </c>
      <c r="M146" s="46"/>
      <c r="N146" s="46"/>
      <c r="O146" s="46"/>
      <c r="P146" s="46"/>
      <c r="Q146" s="46"/>
      <c r="R146" s="46"/>
      <c r="S146" s="46"/>
      <c r="T146" s="46"/>
      <c r="U146" s="46"/>
      <c r="V146" s="46"/>
      <c r="W146" s="46"/>
      <c r="X146" s="2"/>
    </row>
    <row r="147" spans="1:24">
      <c r="A147" s="118" t="s">
        <v>430</v>
      </c>
      <c r="B147" s="119" t="s">
        <v>429</v>
      </c>
      <c r="C147" s="119" t="s">
        <v>70</v>
      </c>
      <c r="D147" s="119" t="s">
        <v>81</v>
      </c>
      <c r="E147" s="119" t="s">
        <v>343</v>
      </c>
      <c r="F147" s="119" t="s">
        <v>132</v>
      </c>
      <c r="G147" s="120">
        <f>$O$18</f>
        <v>10</v>
      </c>
      <c r="H147" s="121">
        <v>8500</v>
      </c>
      <c r="I147" s="122">
        <v>0</v>
      </c>
      <c r="J147" s="121">
        <f t="shared" si="18"/>
        <v>8500</v>
      </c>
      <c r="K147" s="138">
        <f t="shared" si="19"/>
        <v>85000</v>
      </c>
      <c r="M147" s="46"/>
      <c r="N147" s="46"/>
      <c r="O147" s="46"/>
      <c r="P147" s="46"/>
      <c r="Q147" s="46"/>
      <c r="R147" s="46"/>
      <c r="S147" s="46"/>
      <c r="T147" s="46"/>
      <c r="U147" s="46"/>
      <c r="V147" s="46"/>
      <c r="W147" s="46"/>
      <c r="X147" s="2"/>
    </row>
    <row r="148" spans="1:24">
      <c r="A148" s="96" t="s">
        <v>440</v>
      </c>
      <c r="B148" s="97" t="s">
        <v>441</v>
      </c>
      <c r="C148" s="97"/>
      <c r="D148" s="97"/>
      <c r="E148" s="97"/>
      <c r="F148" s="97"/>
      <c r="G148" s="98"/>
      <c r="H148" s="99"/>
      <c r="I148" s="100"/>
      <c r="J148" s="99"/>
      <c r="K148" s="131"/>
      <c r="L148" s="103">
        <f>SUM(K149)</f>
        <v>1253975.6086956521</v>
      </c>
      <c r="M148" s="46"/>
      <c r="N148" s="46"/>
      <c r="O148" s="46"/>
      <c r="P148" s="46"/>
      <c r="Q148" s="46"/>
      <c r="R148" s="46"/>
      <c r="S148" s="46"/>
      <c r="T148" s="46"/>
      <c r="U148" s="46"/>
      <c r="V148" s="46"/>
      <c r="W148" s="46"/>
      <c r="X148" s="2"/>
    </row>
    <row r="149" spans="1:24">
      <c r="A149" s="104" t="s">
        <v>433</v>
      </c>
      <c r="B149" s="105" t="s">
        <v>434</v>
      </c>
      <c r="C149" s="105" t="s">
        <v>70</v>
      </c>
      <c r="D149" s="105" t="s">
        <v>81</v>
      </c>
      <c r="E149" s="105" t="s">
        <v>486</v>
      </c>
      <c r="F149" s="105" t="s">
        <v>344</v>
      </c>
      <c r="G149" s="106">
        <f>$E$8</f>
        <v>363</v>
      </c>
      <c r="H149" s="107">
        <v>3454.478260869565</v>
      </c>
      <c r="I149" s="108">
        <v>0</v>
      </c>
      <c r="J149" s="109">
        <f t="shared" ref="J149" si="20">H149*(1+I149)</f>
        <v>3454.478260869565</v>
      </c>
      <c r="K149" s="110">
        <f>J149*G149</f>
        <v>1253975.6086956521</v>
      </c>
      <c r="M149" s="46"/>
      <c r="N149" s="46"/>
      <c r="O149" s="46"/>
      <c r="P149" s="46"/>
      <c r="Q149" s="46"/>
      <c r="R149" s="46"/>
      <c r="S149" s="46"/>
      <c r="T149" s="46"/>
      <c r="U149" s="46"/>
      <c r="V149" s="46"/>
      <c r="W149" s="46"/>
      <c r="X149" s="2"/>
    </row>
    <row r="150" spans="1:24">
      <c r="A150" s="96" t="s">
        <v>476</v>
      </c>
      <c r="B150" s="97" t="s">
        <v>477</v>
      </c>
      <c r="C150" s="97"/>
      <c r="D150" s="97"/>
      <c r="E150" s="132"/>
      <c r="F150" s="132"/>
      <c r="G150" s="133"/>
      <c r="H150" s="134"/>
      <c r="I150" s="135"/>
      <c r="J150" s="134"/>
      <c r="K150" s="136"/>
      <c r="L150" s="140">
        <f>SUM(K151:K158)</f>
        <v>2274288.4958810071</v>
      </c>
      <c r="M150" s="46"/>
      <c r="N150" s="46"/>
      <c r="O150" s="46"/>
      <c r="P150" s="46"/>
      <c r="Q150" s="46"/>
      <c r="R150" s="46"/>
      <c r="S150" s="46"/>
      <c r="T150" s="46"/>
      <c r="U150" s="46"/>
      <c r="V150" s="46"/>
      <c r="W150" s="46"/>
      <c r="X150" s="2"/>
    </row>
    <row r="151" spans="1:24">
      <c r="A151" s="111" t="s">
        <v>308</v>
      </c>
      <c r="B151" s="112" t="s">
        <v>442</v>
      </c>
      <c r="C151" s="112" t="s">
        <v>70</v>
      </c>
      <c r="D151" s="112" t="s">
        <v>310</v>
      </c>
      <c r="E151" s="112" t="s">
        <v>87</v>
      </c>
      <c r="F151" s="112">
        <v>0</v>
      </c>
      <c r="G151" s="113">
        <v>0</v>
      </c>
      <c r="H151" s="114">
        <v>0</v>
      </c>
      <c r="I151" s="115">
        <v>0</v>
      </c>
      <c r="J151" s="116">
        <f t="shared" ref="J151:J158" si="21">H151*(1+I151)</f>
        <v>0</v>
      </c>
      <c r="K151" s="117">
        <f t="shared" ref="K151:K158" si="22">J151*G151</f>
        <v>0</v>
      </c>
      <c r="M151" s="46" t="s">
        <v>443</v>
      </c>
      <c r="N151" s="46"/>
      <c r="O151" s="46"/>
      <c r="P151" s="46"/>
      <c r="Q151" s="46"/>
      <c r="R151" s="46"/>
      <c r="S151" s="46"/>
      <c r="T151" s="46"/>
      <c r="U151" s="46"/>
      <c r="V151" s="46"/>
      <c r="W151" s="46"/>
      <c r="X151" s="2"/>
    </row>
    <row r="152" spans="1:24">
      <c r="A152" s="118" t="s">
        <v>213</v>
      </c>
      <c r="B152" s="119" t="s">
        <v>449</v>
      </c>
      <c r="C152" s="119" t="s">
        <v>70</v>
      </c>
      <c r="D152" s="119" t="s">
        <v>81</v>
      </c>
      <c r="E152" s="119" t="s">
        <v>343</v>
      </c>
      <c r="F152" s="119" t="s">
        <v>279</v>
      </c>
      <c r="G152" s="113">
        <f>$E$8</f>
        <v>363</v>
      </c>
      <c r="H152" s="121">
        <v>454.65789473684208</v>
      </c>
      <c r="I152" s="122">
        <v>0</v>
      </c>
      <c r="J152" s="121">
        <f t="shared" si="21"/>
        <v>454.65789473684208</v>
      </c>
      <c r="K152" s="138">
        <f t="shared" si="22"/>
        <v>165040.81578947368</v>
      </c>
      <c r="M152" s="46"/>
      <c r="N152" s="46"/>
      <c r="O152" s="46"/>
      <c r="P152" s="46"/>
      <c r="Q152" s="46"/>
      <c r="R152" s="46"/>
      <c r="S152" s="46"/>
      <c r="T152" s="46"/>
      <c r="U152" s="46"/>
      <c r="V152" s="46"/>
      <c r="W152" s="46"/>
      <c r="X152" s="2"/>
    </row>
    <row r="153" spans="1:24">
      <c r="A153" s="118" t="s">
        <v>453</v>
      </c>
      <c r="B153" s="119" t="s">
        <v>454</v>
      </c>
      <c r="C153" s="119" t="s">
        <v>70</v>
      </c>
      <c r="D153" s="119" t="s">
        <v>81</v>
      </c>
      <c r="E153" s="119" t="s">
        <v>486</v>
      </c>
      <c r="F153" s="119" t="s">
        <v>344</v>
      </c>
      <c r="G153" s="113">
        <f>$E$8</f>
        <v>363</v>
      </c>
      <c r="H153" s="121">
        <v>3778.0052631578947</v>
      </c>
      <c r="I153" s="122">
        <v>0</v>
      </c>
      <c r="J153" s="121">
        <f t="shared" si="21"/>
        <v>3778.0052631578947</v>
      </c>
      <c r="K153" s="138">
        <f t="shared" si="22"/>
        <v>1371415.9105263157</v>
      </c>
      <c r="L153" s="182"/>
      <c r="M153" s="46" t="s">
        <v>1102</v>
      </c>
      <c r="N153" s="46"/>
      <c r="O153" s="46"/>
      <c r="P153" s="46"/>
      <c r="Q153" s="46"/>
      <c r="R153" s="46"/>
      <c r="S153" s="46"/>
      <c r="T153" s="46"/>
      <c r="U153" s="46"/>
      <c r="V153" s="46"/>
      <c r="W153" s="46"/>
      <c r="X153" s="2"/>
    </row>
    <row r="154" spans="1:24">
      <c r="A154" s="118" t="s">
        <v>460</v>
      </c>
      <c r="B154" s="119" t="s">
        <v>461</v>
      </c>
      <c r="C154" s="119" t="s">
        <v>70</v>
      </c>
      <c r="D154" s="119" t="s">
        <v>81</v>
      </c>
      <c r="E154" s="119" t="s">
        <v>76</v>
      </c>
      <c r="F154" s="119" t="s">
        <v>83</v>
      </c>
      <c r="G154" s="120">
        <v>1</v>
      </c>
      <c r="H154" s="121">
        <v>75000</v>
      </c>
      <c r="I154" s="122">
        <v>0</v>
      </c>
      <c r="J154" s="121">
        <f t="shared" si="21"/>
        <v>75000</v>
      </c>
      <c r="K154" s="138">
        <f t="shared" si="22"/>
        <v>75000</v>
      </c>
      <c r="L154" s="182"/>
      <c r="M154" s="46"/>
      <c r="N154" s="46"/>
      <c r="O154" s="46"/>
      <c r="P154" s="46"/>
      <c r="Q154" s="46"/>
      <c r="R154" s="46"/>
      <c r="S154" s="46"/>
      <c r="T154" s="46"/>
      <c r="U154" s="46"/>
      <c r="V154" s="46"/>
      <c r="W154" s="46"/>
      <c r="X154" s="2"/>
    </row>
    <row r="155" spans="1:24">
      <c r="A155" s="118" t="s">
        <v>464</v>
      </c>
      <c r="B155" s="119" t="s">
        <v>465</v>
      </c>
      <c r="C155" s="119" t="s">
        <v>70</v>
      </c>
      <c r="D155" s="119" t="s">
        <v>81</v>
      </c>
      <c r="E155" s="119" t="s">
        <v>486</v>
      </c>
      <c r="F155" s="119" t="s">
        <v>344</v>
      </c>
      <c r="G155" s="113">
        <f>$E$8</f>
        <v>363</v>
      </c>
      <c r="H155" s="121">
        <v>1622.1260869565217</v>
      </c>
      <c r="I155" s="122">
        <v>0</v>
      </c>
      <c r="J155" s="121">
        <f t="shared" si="21"/>
        <v>1622.1260869565217</v>
      </c>
      <c r="K155" s="138">
        <f t="shared" si="22"/>
        <v>588831.76956521743</v>
      </c>
      <c r="L155" s="182"/>
      <c r="M155" s="46" t="s">
        <v>1103</v>
      </c>
      <c r="N155" s="46"/>
      <c r="O155" s="46"/>
      <c r="P155" s="46"/>
      <c r="Q155" s="46"/>
      <c r="R155" s="46"/>
      <c r="S155" s="46"/>
      <c r="T155" s="46"/>
      <c r="U155" s="46"/>
      <c r="V155" s="46"/>
      <c r="W155" s="46"/>
      <c r="X155" s="2"/>
    </row>
    <row r="156" spans="1:24">
      <c r="A156" s="118" t="s">
        <v>470</v>
      </c>
      <c r="B156" s="119" t="s">
        <v>471</v>
      </c>
      <c r="C156" s="119" t="s">
        <v>144</v>
      </c>
      <c r="D156" s="119" t="s">
        <v>81</v>
      </c>
      <c r="E156" s="119" t="s">
        <v>76</v>
      </c>
      <c r="F156" s="119" t="s">
        <v>83</v>
      </c>
      <c r="G156" s="120">
        <v>1</v>
      </c>
      <c r="H156" s="121">
        <v>50000</v>
      </c>
      <c r="I156" s="122">
        <v>0</v>
      </c>
      <c r="J156" s="121">
        <f t="shared" si="21"/>
        <v>50000</v>
      </c>
      <c r="K156" s="138">
        <f t="shared" si="22"/>
        <v>50000</v>
      </c>
      <c r="M156" s="46"/>
      <c r="N156" s="46"/>
      <c r="O156" s="46"/>
      <c r="P156" s="46"/>
      <c r="Q156" s="46"/>
      <c r="R156" s="46"/>
      <c r="S156" s="46"/>
      <c r="T156" s="46"/>
      <c r="U156" s="46"/>
      <c r="V156" s="46"/>
      <c r="W156" s="46"/>
      <c r="X156" s="2"/>
    </row>
    <row r="157" spans="1:24">
      <c r="A157" s="118" t="s">
        <v>472</v>
      </c>
      <c r="B157" s="119" t="s">
        <v>473</v>
      </c>
      <c r="C157" s="119" t="s">
        <v>70</v>
      </c>
      <c r="D157" s="119" t="s">
        <v>103</v>
      </c>
      <c r="E157" s="119" t="s">
        <v>87</v>
      </c>
      <c r="F157" s="119"/>
      <c r="G157" s="120"/>
      <c r="H157" s="121"/>
      <c r="I157" s="122">
        <v>0</v>
      </c>
      <c r="J157" s="121">
        <f t="shared" si="21"/>
        <v>0</v>
      </c>
      <c r="K157" s="138">
        <f t="shared" si="22"/>
        <v>0</v>
      </c>
      <c r="M157" s="46"/>
      <c r="N157" s="46"/>
      <c r="O157" s="46"/>
      <c r="P157" s="46"/>
      <c r="Q157" s="46"/>
      <c r="R157" s="46"/>
      <c r="S157" s="46"/>
      <c r="T157" s="46"/>
      <c r="U157" s="46"/>
      <c r="V157" s="46"/>
      <c r="W157" s="46"/>
      <c r="X157" s="2"/>
    </row>
    <row r="158" spans="1:24">
      <c r="A158" s="118" t="s">
        <v>474</v>
      </c>
      <c r="B158" s="119" t="s">
        <v>475</v>
      </c>
      <c r="C158" s="119" t="s">
        <v>70</v>
      </c>
      <c r="D158" s="119" t="s">
        <v>103</v>
      </c>
      <c r="E158" s="119" t="s">
        <v>76</v>
      </c>
      <c r="F158" s="119" t="s">
        <v>83</v>
      </c>
      <c r="G158" s="120">
        <v>4</v>
      </c>
      <c r="H158" s="121">
        <v>6000</v>
      </c>
      <c r="I158" s="122">
        <v>0</v>
      </c>
      <c r="J158" s="121">
        <f t="shared" si="21"/>
        <v>6000</v>
      </c>
      <c r="K158" s="138">
        <f t="shared" si="22"/>
        <v>24000</v>
      </c>
      <c r="M158" s="46"/>
      <c r="N158" s="46"/>
      <c r="O158" s="46"/>
      <c r="P158" s="46"/>
      <c r="Q158" s="46"/>
      <c r="R158" s="46"/>
      <c r="S158" s="46"/>
      <c r="T158" s="46"/>
      <c r="U158" s="46"/>
      <c r="V158" s="46"/>
      <c r="W158" s="46"/>
      <c r="X158" s="2"/>
    </row>
    <row r="159" spans="1:24">
      <c r="A159" s="96" t="s">
        <v>487</v>
      </c>
      <c r="B159" s="97" t="s">
        <v>488</v>
      </c>
      <c r="C159" s="97"/>
      <c r="D159" s="97"/>
      <c r="E159" s="132"/>
      <c r="F159" s="132"/>
      <c r="G159" s="133"/>
      <c r="H159" s="134"/>
      <c r="I159" s="135"/>
      <c r="J159" s="134"/>
      <c r="K159" s="136"/>
      <c r="L159" s="103">
        <f>SUM(K160:K162)</f>
        <v>821104</v>
      </c>
      <c r="M159" s="46"/>
      <c r="N159" s="46"/>
      <c r="O159" s="46"/>
      <c r="P159" s="46"/>
      <c r="Q159" s="46"/>
      <c r="R159" s="46"/>
      <c r="S159" s="46"/>
      <c r="T159" s="46"/>
      <c r="U159" s="46"/>
      <c r="V159" s="46"/>
      <c r="W159" s="46"/>
      <c r="X159" s="2"/>
    </row>
    <row r="160" spans="1:24">
      <c r="A160" s="111" t="s">
        <v>479</v>
      </c>
      <c r="B160" s="112" t="s">
        <v>480</v>
      </c>
      <c r="C160" s="112" t="s">
        <v>70</v>
      </c>
      <c r="D160" s="112" t="s">
        <v>103</v>
      </c>
      <c r="E160" s="112" t="s">
        <v>343</v>
      </c>
      <c r="F160" s="112" t="s">
        <v>83</v>
      </c>
      <c r="G160" s="113">
        <f>$O$7</f>
        <v>1</v>
      </c>
      <c r="H160" s="114">
        <v>245000</v>
      </c>
      <c r="I160" s="115">
        <v>0</v>
      </c>
      <c r="J160" s="116">
        <f t="shared" ref="J160:J162" si="23">H160*(1+I160)</f>
        <v>245000</v>
      </c>
      <c r="K160" s="117">
        <f>J160*G160</f>
        <v>245000</v>
      </c>
      <c r="L160" s="182"/>
      <c r="M160" s="46"/>
      <c r="N160" s="46"/>
      <c r="O160" s="46"/>
      <c r="P160" s="46"/>
      <c r="Q160" s="46"/>
      <c r="R160" s="46"/>
      <c r="S160" s="46"/>
      <c r="T160" s="46"/>
      <c r="U160" s="46"/>
      <c r="V160" s="46"/>
      <c r="W160" s="46"/>
      <c r="X160" s="2"/>
    </row>
    <row r="161" spans="1:24">
      <c r="A161" s="118" t="s">
        <v>482</v>
      </c>
      <c r="B161" s="119" t="s">
        <v>483</v>
      </c>
      <c r="C161" s="119" t="s">
        <v>70</v>
      </c>
      <c r="D161" s="119" t="s">
        <v>397</v>
      </c>
      <c r="E161" s="119" t="s">
        <v>486</v>
      </c>
      <c r="F161" s="119" t="s">
        <v>132</v>
      </c>
      <c r="G161" s="120">
        <f>$O$13</f>
        <v>295</v>
      </c>
      <c r="H161" s="121">
        <v>1929</v>
      </c>
      <c r="I161" s="122">
        <v>0</v>
      </c>
      <c r="J161" s="121">
        <f t="shared" si="23"/>
        <v>1929</v>
      </c>
      <c r="K161" s="138">
        <f>J161*G161</f>
        <v>569055</v>
      </c>
      <c r="M161" s="46"/>
      <c r="N161" s="46"/>
      <c r="O161" s="46"/>
      <c r="P161" s="46"/>
      <c r="Q161" s="46"/>
      <c r="R161" s="46"/>
      <c r="S161" s="46"/>
      <c r="T161" s="46"/>
      <c r="U161" s="46"/>
      <c r="V161" s="46"/>
      <c r="W161" s="46"/>
      <c r="X161" s="2"/>
    </row>
    <row r="162" spans="1:24">
      <c r="A162" s="118" t="s">
        <v>484</v>
      </c>
      <c r="B162" s="119" t="s">
        <v>485</v>
      </c>
      <c r="C162" s="119" t="s">
        <v>70</v>
      </c>
      <c r="D162" s="119" t="s">
        <v>110</v>
      </c>
      <c r="E162" s="119" t="s">
        <v>486</v>
      </c>
      <c r="F162" s="119" t="s">
        <v>132</v>
      </c>
      <c r="G162" s="120">
        <f>$O$7</f>
        <v>1</v>
      </c>
      <c r="H162" s="121">
        <v>7049</v>
      </c>
      <c r="I162" s="122">
        <v>0</v>
      </c>
      <c r="J162" s="121">
        <f t="shared" si="23"/>
        <v>7049</v>
      </c>
      <c r="K162" s="138">
        <f>J162*G162</f>
        <v>7049</v>
      </c>
      <c r="M162" s="46"/>
      <c r="N162" s="46"/>
      <c r="O162" s="46"/>
      <c r="P162" s="46"/>
      <c r="Q162" s="46"/>
      <c r="R162" s="46"/>
      <c r="S162" s="46"/>
      <c r="T162" s="46"/>
      <c r="U162" s="46"/>
      <c r="V162" s="46"/>
      <c r="W162" s="46"/>
      <c r="X162" s="2"/>
    </row>
    <row r="163" spans="1:24">
      <c r="A163" s="96" t="s">
        <v>489</v>
      </c>
      <c r="B163" s="97" t="s">
        <v>490</v>
      </c>
      <c r="C163" s="97"/>
      <c r="D163" s="97"/>
      <c r="E163" s="132"/>
      <c r="F163" s="132"/>
      <c r="G163" s="133"/>
      <c r="H163" s="134"/>
      <c r="I163" s="135"/>
      <c r="J163" s="134"/>
      <c r="K163" s="136"/>
      <c r="L163" s="103">
        <f>SUM(K164)</f>
        <v>0</v>
      </c>
      <c r="M163" s="46"/>
      <c r="N163" s="46"/>
      <c r="O163" s="46"/>
      <c r="P163" s="46"/>
      <c r="Q163" s="46"/>
      <c r="R163" s="46"/>
      <c r="S163" s="46"/>
      <c r="T163" s="46"/>
      <c r="U163" s="46"/>
      <c r="V163" s="46"/>
      <c r="W163" s="46"/>
      <c r="X163" s="2"/>
    </row>
    <row r="164" spans="1:24">
      <c r="A164" s="104" t="s">
        <v>489</v>
      </c>
      <c r="B164" s="105" t="s">
        <v>490</v>
      </c>
      <c r="C164" s="105" t="s">
        <v>70</v>
      </c>
      <c r="D164" s="105" t="s">
        <v>81</v>
      </c>
      <c r="E164" s="141" t="s">
        <v>87</v>
      </c>
      <c r="F164" s="141"/>
      <c r="G164" s="142"/>
      <c r="H164" s="143"/>
      <c r="I164" s="144">
        <v>0</v>
      </c>
      <c r="J164" s="145">
        <f t="shared" ref="J164" si="24">H164*(1+I164)</f>
        <v>0</v>
      </c>
      <c r="K164" s="146">
        <f>J164*G164</f>
        <v>0</v>
      </c>
      <c r="M164" s="46"/>
      <c r="N164" s="46"/>
      <c r="O164" s="46"/>
      <c r="P164" s="46"/>
      <c r="Q164" s="46"/>
      <c r="R164" s="46"/>
      <c r="S164" s="46"/>
      <c r="T164" s="46"/>
      <c r="U164" s="46"/>
      <c r="V164" s="46"/>
      <c r="W164" s="46"/>
      <c r="X164" s="2"/>
    </row>
    <row r="165" spans="1:24">
      <c r="A165" s="96" t="s">
        <v>496</v>
      </c>
      <c r="B165" s="97" t="s">
        <v>497</v>
      </c>
      <c r="C165" s="97"/>
      <c r="D165" s="97"/>
      <c r="E165" s="132"/>
      <c r="F165" s="132"/>
      <c r="G165" s="133"/>
      <c r="H165" s="134"/>
      <c r="I165" s="135"/>
      <c r="J165" s="134"/>
      <c r="K165" s="136"/>
      <c r="L165" s="103">
        <f>SUM(K166:K167)</f>
        <v>439560</v>
      </c>
      <c r="M165" s="46"/>
      <c r="N165" s="46"/>
      <c r="O165" s="46"/>
      <c r="P165" s="46"/>
      <c r="Q165" s="46"/>
      <c r="R165" s="46"/>
      <c r="S165" s="46"/>
      <c r="T165" s="46"/>
      <c r="U165" s="46"/>
      <c r="V165" s="46"/>
      <c r="W165" s="46"/>
      <c r="X165" s="2"/>
    </row>
    <row r="166" spans="1:24">
      <c r="A166" s="111" t="s">
        <v>491</v>
      </c>
      <c r="B166" s="112" t="s">
        <v>492</v>
      </c>
      <c r="C166" s="112" t="s">
        <v>70</v>
      </c>
      <c r="D166" s="112" t="s">
        <v>81</v>
      </c>
      <c r="E166" s="112" t="s">
        <v>486</v>
      </c>
      <c r="F166" s="112" t="s">
        <v>126</v>
      </c>
      <c r="G166" s="113">
        <f>O4</f>
        <v>12</v>
      </c>
      <c r="H166" s="114">
        <v>35546.666666666664</v>
      </c>
      <c r="I166" s="115">
        <v>0</v>
      </c>
      <c r="J166" s="116">
        <f t="shared" ref="J166:J167" si="25">H166*(1+I166)</f>
        <v>35546.666666666664</v>
      </c>
      <c r="K166" s="117">
        <f>J166*G166</f>
        <v>426560</v>
      </c>
      <c r="M166" s="46" t="s">
        <v>1074</v>
      </c>
      <c r="N166" s="46"/>
      <c r="O166" s="46"/>
      <c r="P166" s="46"/>
      <c r="Q166" s="46"/>
      <c r="R166" s="46"/>
      <c r="S166" s="46"/>
      <c r="T166" s="46"/>
      <c r="U166" s="46"/>
      <c r="V166" s="46"/>
      <c r="W166" s="46"/>
      <c r="X166" s="2"/>
    </row>
    <row r="167" spans="1:24">
      <c r="A167" s="118" t="s">
        <v>494</v>
      </c>
      <c r="B167" s="119" t="s">
        <v>495</v>
      </c>
      <c r="C167" s="119" t="s">
        <v>70</v>
      </c>
      <c r="D167" s="119" t="s">
        <v>103</v>
      </c>
      <c r="E167" s="119" t="s">
        <v>76</v>
      </c>
      <c r="F167" s="119" t="s">
        <v>132</v>
      </c>
      <c r="G167" s="120">
        <f>$O$7*2</f>
        <v>2</v>
      </c>
      <c r="H167" s="121">
        <v>6500</v>
      </c>
      <c r="I167" s="122">
        <v>0</v>
      </c>
      <c r="J167" s="121">
        <f t="shared" si="25"/>
        <v>6500</v>
      </c>
      <c r="K167" s="138">
        <f>J167*G167</f>
        <v>13000</v>
      </c>
      <c r="M167" s="46"/>
      <c r="N167" s="46"/>
      <c r="O167" s="46"/>
      <c r="P167" s="46"/>
      <c r="Q167" s="46"/>
      <c r="R167" s="46"/>
      <c r="S167" s="46"/>
      <c r="T167" s="46"/>
      <c r="U167" s="46"/>
      <c r="V167" s="46"/>
      <c r="W167" s="46"/>
      <c r="X167" s="2"/>
    </row>
    <row r="168" spans="1:24">
      <c r="A168" s="96" t="s">
        <v>506</v>
      </c>
      <c r="B168" s="97" t="s">
        <v>507</v>
      </c>
      <c r="C168" s="97"/>
      <c r="D168" s="97"/>
      <c r="E168" s="97"/>
      <c r="F168" s="97"/>
      <c r="G168" s="98"/>
      <c r="H168" s="99"/>
      <c r="I168" s="100"/>
      <c r="J168" s="99"/>
      <c r="K168" s="131"/>
      <c r="L168" s="103">
        <f>SUM(K169:K171)</f>
        <v>1029020.4500000001</v>
      </c>
      <c r="M168" s="46"/>
      <c r="N168" s="46"/>
      <c r="O168" s="46"/>
      <c r="P168" s="46"/>
      <c r="Q168" s="46"/>
      <c r="R168" s="46"/>
      <c r="S168" s="46"/>
      <c r="T168" s="46"/>
      <c r="U168" s="46"/>
      <c r="V168" s="46"/>
      <c r="W168" s="46"/>
      <c r="X168" s="2"/>
    </row>
    <row r="169" spans="1:24">
      <c r="A169" s="111" t="s">
        <v>1104</v>
      </c>
      <c r="B169" s="112" t="s">
        <v>499</v>
      </c>
      <c r="C169" s="112" t="s">
        <v>70</v>
      </c>
      <c r="D169" s="112" t="s">
        <v>81</v>
      </c>
      <c r="E169" s="112" t="s">
        <v>76</v>
      </c>
      <c r="F169" s="112" t="s">
        <v>83</v>
      </c>
      <c r="G169" s="113">
        <v>1</v>
      </c>
      <c r="H169" s="114">
        <v>10000</v>
      </c>
      <c r="I169" s="115">
        <v>0</v>
      </c>
      <c r="J169" s="116">
        <f t="shared" ref="J169:J171" si="26">H169*(1+I169)</f>
        <v>10000</v>
      </c>
      <c r="K169" s="117">
        <f>J169*G169</f>
        <v>10000</v>
      </c>
      <c r="M169" s="46"/>
      <c r="N169" s="46"/>
      <c r="O169" s="46"/>
      <c r="P169" s="46"/>
      <c r="Q169" s="46"/>
      <c r="R169" s="46"/>
      <c r="S169" s="46"/>
      <c r="T169" s="46"/>
      <c r="U169" s="46"/>
      <c r="V169" s="46"/>
      <c r="W169" s="46"/>
      <c r="X169" s="2"/>
    </row>
    <row r="170" spans="1:24">
      <c r="A170" s="118" t="s">
        <v>500</v>
      </c>
      <c r="B170" s="119" t="s">
        <v>501</v>
      </c>
      <c r="C170" s="119" t="s">
        <v>70</v>
      </c>
      <c r="D170" s="119" t="s">
        <v>81</v>
      </c>
      <c r="E170" s="119" t="s">
        <v>343</v>
      </c>
      <c r="F170" s="119" t="s">
        <v>185</v>
      </c>
      <c r="G170" s="120">
        <f t="shared" ref="G170:G182" si="27">$B$8</f>
        <v>361641</v>
      </c>
      <c r="H170" s="121">
        <v>2.4500000000000002</v>
      </c>
      <c r="I170" s="122">
        <v>0</v>
      </c>
      <c r="J170" s="121">
        <f t="shared" si="26"/>
        <v>2.4500000000000002</v>
      </c>
      <c r="K170" s="138">
        <f>J170*G170</f>
        <v>886020.45000000007</v>
      </c>
      <c r="M170" s="46"/>
      <c r="N170" s="46"/>
      <c r="O170" s="46"/>
      <c r="P170" s="46"/>
      <c r="Q170" s="46"/>
      <c r="R170" s="46"/>
      <c r="S170" s="46"/>
      <c r="T170" s="46"/>
      <c r="U170" s="46"/>
      <c r="V170" s="46"/>
      <c r="W170" s="46"/>
      <c r="X170" s="2"/>
    </row>
    <row r="171" spans="1:24">
      <c r="A171" s="118" t="s">
        <v>503</v>
      </c>
      <c r="B171" s="119" t="s">
        <v>504</v>
      </c>
      <c r="C171" s="119" t="s">
        <v>70</v>
      </c>
      <c r="D171" s="119" t="s">
        <v>93</v>
      </c>
      <c r="E171" s="119" t="s">
        <v>343</v>
      </c>
      <c r="F171" s="119" t="s">
        <v>132</v>
      </c>
      <c r="G171" s="120">
        <v>1</v>
      </c>
      <c r="H171" s="121">
        <v>133000</v>
      </c>
      <c r="I171" s="122">
        <v>0</v>
      </c>
      <c r="J171" s="121">
        <f t="shared" si="26"/>
        <v>133000</v>
      </c>
      <c r="K171" s="138">
        <f>J171*G171</f>
        <v>133000</v>
      </c>
      <c r="M171" s="46"/>
      <c r="N171" s="46"/>
      <c r="O171" s="46"/>
      <c r="P171" s="46"/>
      <c r="Q171" s="46"/>
      <c r="R171" s="46"/>
      <c r="S171" s="46"/>
      <c r="T171" s="46"/>
      <c r="U171" s="46"/>
      <c r="V171" s="46"/>
      <c r="W171" s="46"/>
      <c r="X171" s="2"/>
    </row>
    <row r="172" spans="1:24">
      <c r="A172" s="96" t="s">
        <v>520</v>
      </c>
      <c r="B172" s="97" t="s">
        <v>521</v>
      </c>
      <c r="C172" s="97"/>
      <c r="D172" s="97"/>
      <c r="E172" s="132"/>
      <c r="F172" s="132"/>
      <c r="G172" s="133"/>
      <c r="H172" s="134"/>
      <c r="I172" s="135"/>
      <c r="J172" s="134"/>
      <c r="K172" s="136"/>
      <c r="L172" s="103">
        <f>SUM(K173:K177)</f>
        <v>3852664.6315789479</v>
      </c>
      <c r="M172" s="147"/>
      <c r="N172" s="46"/>
      <c r="O172" s="46"/>
      <c r="P172" s="46"/>
      <c r="Q172" s="46"/>
      <c r="R172" s="46"/>
      <c r="S172" s="46"/>
      <c r="T172" s="46"/>
      <c r="U172" s="46"/>
      <c r="V172" s="46"/>
      <c r="W172" s="46"/>
      <c r="X172" s="2"/>
    </row>
    <row r="173" spans="1:24">
      <c r="A173" s="111" t="s">
        <v>508</v>
      </c>
      <c r="B173" s="112" t="s">
        <v>509</v>
      </c>
      <c r="C173" s="112" t="s">
        <v>70</v>
      </c>
      <c r="D173" s="112" t="s">
        <v>81</v>
      </c>
      <c r="E173" s="112" t="s">
        <v>343</v>
      </c>
      <c r="F173" s="112" t="s">
        <v>132</v>
      </c>
      <c r="G173" s="113">
        <f>E3+E4+E5</f>
        <v>363</v>
      </c>
      <c r="H173" s="148">
        <f>2000000/190</f>
        <v>10526.315789473685</v>
      </c>
      <c r="I173" s="115">
        <v>0</v>
      </c>
      <c r="J173" s="117">
        <f t="shared" ref="J173:J177" si="28">H173*(1+I173)</f>
        <v>10526.315789473685</v>
      </c>
      <c r="K173" s="117">
        <f>J173*G173</f>
        <v>3821052.6315789479</v>
      </c>
      <c r="M173" s="46" t="s">
        <v>1105</v>
      </c>
      <c r="N173" s="46"/>
      <c r="O173" s="46"/>
      <c r="P173" s="46"/>
      <c r="Q173" s="46"/>
      <c r="R173" s="46"/>
      <c r="S173" s="46"/>
      <c r="T173" s="46"/>
      <c r="U173" s="46"/>
      <c r="V173" s="46"/>
      <c r="W173" s="46"/>
      <c r="X173" s="2"/>
    </row>
    <row r="174" spans="1:24">
      <c r="A174" s="118" t="s">
        <v>513</v>
      </c>
      <c r="B174" s="119" t="s">
        <v>509</v>
      </c>
      <c r="C174" s="119" t="s">
        <v>70</v>
      </c>
      <c r="D174" s="119" t="s">
        <v>81</v>
      </c>
      <c r="E174" s="112" t="s">
        <v>87</v>
      </c>
      <c r="F174" s="119">
        <v>0</v>
      </c>
      <c r="G174" s="120">
        <f>SUM(E6:E7)</f>
        <v>0</v>
      </c>
      <c r="H174" s="121">
        <v>0</v>
      </c>
      <c r="I174" s="122">
        <v>0</v>
      </c>
      <c r="J174" s="121">
        <f t="shared" si="28"/>
        <v>0</v>
      </c>
      <c r="K174" s="138">
        <f>J174*G174</f>
        <v>0</v>
      </c>
      <c r="M174" s="46"/>
      <c r="N174" s="46"/>
      <c r="O174" s="46"/>
      <c r="P174" s="46"/>
      <c r="Q174" s="46"/>
      <c r="R174" s="46"/>
      <c r="S174" s="46"/>
      <c r="T174" s="46"/>
      <c r="U174" s="46"/>
      <c r="V174" s="46"/>
      <c r="W174" s="46"/>
      <c r="X174" s="2"/>
    </row>
    <row r="175" spans="1:24">
      <c r="A175" s="118" t="s">
        <v>514</v>
      </c>
      <c r="B175" s="119" t="s">
        <v>515</v>
      </c>
      <c r="C175" s="119" t="s">
        <v>70</v>
      </c>
      <c r="D175" s="119" t="s">
        <v>93</v>
      </c>
      <c r="E175" s="119" t="s">
        <v>76</v>
      </c>
      <c r="F175" s="119" t="s">
        <v>83</v>
      </c>
      <c r="G175" s="120">
        <v>1</v>
      </c>
      <c r="H175" s="121">
        <v>1000</v>
      </c>
      <c r="I175" s="122">
        <v>0</v>
      </c>
      <c r="J175" s="121">
        <f t="shared" si="28"/>
        <v>1000</v>
      </c>
      <c r="K175" s="138">
        <f t="shared" ref="K175" si="29">J175*G175</f>
        <v>1000</v>
      </c>
      <c r="M175" s="46"/>
      <c r="N175" s="46"/>
      <c r="O175" s="46"/>
      <c r="P175" s="46"/>
      <c r="Q175" s="46"/>
      <c r="R175" s="46"/>
      <c r="S175" s="46"/>
      <c r="T175" s="46"/>
      <c r="U175" s="46"/>
      <c r="V175" s="46"/>
      <c r="W175" s="46"/>
      <c r="X175" s="2"/>
    </row>
    <row r="176" spans="1:24">
      <c r="A176" s="118" t="s">
        <v>516</v>
      </c>
      <c r="B176" s="119" t="s">
        <v>517</v>
      </c>
      <c r="C176" s="119" t="s">
        <v>70</v>
      </c>
      <c r="D176" s="119" t="s">
        <v>103</v>
      </c>
      <c r="E176" s="119" t="s">
        <v>343</v>
      </c>
      <c r="F176" s="119" t="s">
        <v>83</v>
      </c>
      <c r="G176" s="120">
        <f>$O$7</f>
        <v>1</v>
      </c>
      <c r="H176" s="121">
        <v>24612</v>
      </c>
      <c r="I176" s="122">
        <v>0</v>
      </c>
      <c r="J176" s="121">
        <f t="shared" si="28"/>
        <v>24612</v>
      </c>
      <c r="K176" s="138">
        <f>J176*G176</f>
        <v>24612</v>
      </c>
      <c r="M176" s="46" t="s">
        <v>1106</v>
      </c>
      <c r="N176" s="46"/>
      <c r="O176" s="46"/>
      <c r="P176" s="46"/>
      <c r="Q176" s="46"/>
      <c r="R176" s="46"/>
      <c r="S176" s="46"/>
      <c r="T176" s="46"/>
      <c r="U176" s="46"/>
      <c r="V176" s="46"/>
      <c r="W176" s="46"/>
      <c r="X176" s="2"/>
    </row>
    <row r="177" spans="1:24">
      <c r="A177" s="118" t="s">
        <v>518</v>
      </c>
      <c r="B177" s="119" t="s">
        <v>519</v>
      </c>
      <c r="C177" s="119" t="s">
        <v>70</v>
      </c>
      <c r="D177" s="119" t="s">
        <v>110</v>
      </c>
      <c r="E177" s="119" t="s">
        <v>76</v>
      </c>
      <c r="F177" s="119" t="s">
        <v>83</v>
      </c>
      <c r="G177" s="120">
        <f>$O$7</f>
        <v>1</v>
      </c>
      <c r="H177" s="121">
        <v>6000</v>
      </c>
      <c r="I177" s="122">
        <v>0</v>
      </c>
      <c r="J177" s="121">
        <f t="shared" si="28"/>
        <v>6000</v>
      </c>
      <c r="K177" s="138">
        <f>J177*G177</f>
        <v>6000</v>
      </c>
      <c r="M177" s="46" t="s">
        <v>1106</v>
      </c>
      <c r="N177" s="46"/>
      <c r="O177" s="46"/>
      <c r="P177" s="46"/>
      <c r="Q177" s="46"/>
      <c r="R177" s="46"/>
      <c r="S177" s="46"/>
      <c r="T177" s="46"/>
      <c r="U177" s="46"/>
      <c r="V177" s="46"/>
      <c r="W177" s="46"/>
      <c r="X177" s="2"/>
    </row>
    <row r="178" spans="1:24">
      <c r="A178" s="96" t="s">
        <v>527</v>
      </c>
      <c r="B178" s="97" t="s">
        <v>528</v>
      </c>
      <c r="C178" s="97"/>
      <c r="D178" s="97"/>
      <c r="E178" s="97"/>
      <c r="F178" s="97"/>
      <c r="G178" s="98"/>
      <c r="H178" s="99"/>
      <c r="I178" s="100"/>
      <c r="J178" s="99"/>
      <c r="K178" s="131"/>
      <c r="L178" s="103">
        <f>SUM(K179:K180)</f>
        <v>3939796.6559999995</v>
      </c>
      <c r="M178" s="46"/>
      <c r="N178" s="46"/>
      <c r="O178" s="46"/>
      <c r="P178" s="46"/>
      <c r="Q178" s="46"/>
      <c r="R178" s="46"/>
      <c r="S178" s="46"/>
      <c r="T178" s="46"/>
      <c r="U178" s="46"/>
      <c r="V178" s="46"/>
      <c r="W178" s="46"/>
      <c r="X178" s="2"/>
    </row>
    <row r="179" spans="1:24">
      <c r="A179" s="118" t="s">
        <v>522</v>
      </c>
      <c r="B179" s="119" t="s">
        <v>523</v>
      </c>
      <c r="C179" s="119" t="s">
        <v>70</v>
      </c>
      <c r="D179" s="119" t="s">
        <v>81</v>
      </c>
      <c r="E179" s="119" t="s">
        <v>343</v>
      </c>
      <c r="F179" s="119" t="s">
        <v>344</v>
      </c>
      <c r="G179" s="120">
        <f>$E$8</f>
        <v>363</v>
      </c>
      <c r="H179" s="121">
        <v>10812.111999999999</v>
      </c>
      <c r="I179" s="122">
        <v>0</v>
      </c>
      <c r="J179" s="121">
        <f t="shared" ref="J179:J180" si="30">H179*(1+I179)</f>
        <v>10812.111999999999</v>
      </c>
      <c r="K179" s="138">
        <f>J179*G179</f>
        <v>3924796.6559999995</v>
      </c>
      <c r="M179" s="46" t="s">
        <v>1107</v>
      </c>
      <c r="N179" s="46"/>
      <c r="O179" s="46"/>
      <c r="P179" s="46"/>
      <c r="Q179" s="46"/>
      <c r="R179" s="46"/>
      <c r="S179" s="46"/>
      <c r="T179" s="46"/>
      <c r="U179" s="46"/>
      <c r="V179" s="46"/>
      <c r="W179" s="46"/>
      <c r="X179" s="2"/>
    </row>
    <row r="180" spans="1:24">
      <c r="A180" s="118" t="s">
        <v>525</v>
      </c>
      <c r="B180" s="119" t="s">
        <v>526</v>
      </c>
      <c r="C180" s="119" t="s">
        <v>70</v>
      </c>
      <c r="D180" s="119" t="s">
        <v>93</v>
      </c>
      <c r="E180" s="119" t="s">
        <v>76</v>
      </c>
      <c r="F180" s="119" t="s">
        <v>83</v>
      </c>
      <c r="G180" s="120">
        <v>1</v>
      </c>
      <c r="H180" s="121">
        <v>15000</v>
      </c>
      <c r="I180" s="122">
        <v>0</v>
      </c>
      <c r="J180" s="121">
        <f t="shared" si="30"/>
        <v>15000</v>
      </c>
      <c r="K180" s="138">
        <f>J180*G180</f>
        <v>15000</v>
      </c>
      <c r="M180" s="46"/>
      <c r="N180" s="46"/>
      <c r="O180" s="46"/>
      <c r="P180" s="46"/>
      <c r="Q180" s="46"/>
      <c r="R180" s="46"/>
      <c r="S180" s="46"/>
      <c r="T180" s="46"/>
      <c r="U180" s="46"/>
      <c r="V180" s="46"/>
      <c r="W180" s="46"/>
      <c r="X180" s="2"/>
    </row>
    <row r="181" spans="1:24">
      <c r="A181" s="96" t="s">
        <v>561</v>
      </c>
      <c r="B181" s="97" t="s">
        <v>562</v>
      </c>
      <c r="C181" s="97"/>
      <c r="D181" s="97"/>
      <c r="E181" s="132"/>
      <c r="F181" s="132"/>
      <c r="G181" s="133"/>
      <c r="H181" s="134"/>
      <c r="I181" s="135"/>
      <c r="J181" s="134"/>
      <c r="K181" s="136"/>
      <c r="L181" s="103">
        <f>SUM(K182:K197)</f>
        <v>3964403.0774365156</v>
      </c>
      <c r="M181" s="46"/>
      <c r="N181" s="46"/>
      <c r="O181" s="46"/>
      <c r="P181" s="46"/>
      <c r="Q181" s="46"/>
      <c r="R181" s="46"/>
      <c r="S181" s="46"/>
      <c r="T181" s="46"/>
      <c r="U181" s="46"/>
      <c r="V181" s="46"/>
      <c r="W181" s="46"/>
      <c r="X181" s="2"/>
    </row>
    <row r="182" spans="1:24">
      <c r="A182" s="111" t="s">
        <v>107</v>
      </c>
      <c r="B182" s="112" t="s">
        <v>529</v>
      </c>
      <c r="C182" s="112" t="s">
        <v>70</v>
      </c>
      <c r="D182" s="112" t="s">
        <v>81</v>
      </c>
      <c r="E182" s="112" t="s">
        <v>343</v>
      </c>
      <c r="F182" s="112" t="s">
        <v>185</v>
      </c>
      <c r="G182" s="113">
        <f t="shared" si="27"/>
        <v>361641</v>
      </c>
      <c r="H182" s="114">
        <v>9.2699536607970341</v>
      </c>
      <c r="I182" s="115">
        <v>0.05</v>
      </c>
      <c r="J182" s="116">
        <f t="shared" ref="J182:J197" si="31">H182*(1+I182)</f>
        <v>9.7334513438368866</v>
      </c>
      <c r="K182" s="117">
        <f t="shared" ref="K182:K197" si="32">J182*G182</f>
        <v>3520015.0774365156</v>
      </c>
      <c r="M182" s="149" t="s">
        <v>1108</v>
      </c>
      <c r="N182" s="46"/>
      <c r="O182" s="46"/>
      <c r="P182" s="46"/>
      <c r="Q182" s="46"/>
      <c r="R182" s="46"/>
      <c r="S182" s="46"/>
      <c r="T182" s="46"/>
      <c r="U182" s="46"/>
      <c r="V182" s="46"/>
      <c r="W182" s="46"/>
      <c r="X182" s="2"/>
    </row>
    <row r="183" spans="1:24">
      <c r="A183" s="118" t="s">
        <v>252</v>
      </c>
      <c r="B183" s="119" t="s">
        <v>532</v>
      </c>
      <c r="C183" s="119" t="s">
        <v>70</v>
      </c>
      <c r="D183" s="119" t="s">
        <v>81</v>
      </c>
      <c r="E183" s="119" t="s">
        <v>329</v>
      </c>
      <c r="F183" s="119" t="s">
        <v>344</v>
      </c>
      <c r="G183" s="120">
        <f>$E$8</f>
        <v>363</v>
      </c>
      <c r="H183" s="121">
        <v>600</v>
      </c>
      <c r="I183" s="122">
        <v>0</v>
      </c>
      <c r="J183" s="121">
        <f t="shared" si="31"/>
        <v>600</v>
      </c>
      <c r="K183" s="138">
        <f t="shared" si="32"/>
        <v>217800</v>
      </c>
      <c r="M183" s="46"/>
      <c r="N183" s="46"/>
      <c r="O183" s="46"/>
      <c r="P183" s="46"/>
      <c r="Q183" s="46"/>
      <c r="R183" s="46"/>
      <c r="S183" s="46"/>
      <c r="T183" s="46"/>
      <c r="U183" s="46"/>
      <c r="V183" s="46"/>
      <c r="W183" s="46"/>
      <c r="X183" s="2"/>
    </row>
    <row r="184" spans="1:24">
      <c r="A184" s="118" t="s">
        <v>533</v>
      </c>
      <c r="B184" s="119" t="s">
        <v>534</v>
      </c>
      <c r="C184" s="119" t="s">
        <v>70</v>
      </c>
      <c r="D184" s="119" t="s">
        <v>81</v>
      </c>
      <c r="E184" s="119" t="s">
        <v>1049</v>
      </c>
      <c r="F184" s="119" t="s">
        <v>344</v>
      </c>
      <c r="G184" s="120">
        <f>$E$8</f>
        <v>363</v>
      </c>
      <c r="H184" s="121">
        <v>119</v>
      </c>
      <c r="I184" s="122">
        <v>0</v>
      </c>
      <c r="J184" s="121">
        <f t="shared" si="31"/>
        <v>119</v>
      </c>
      <c r="K184" s="138">
        <f t="shared" si="32"/>
        <v>43197</v>
      </c>
      <c r="M184" s="46"/>
      <c r="N184" s="46"/>
      <c r="O184" s="46"/>
      <c r="P184" s="46"/>
      <c r="Q184" s="46"/>
      <c r="R184" s="46"/>
      <c r="S184" s="46"/>
      <c r="T184" s="46"/>
      <c r="U184" s="46"/>
      <c r="V184" s="46"/>
      <c r="W184" s="46"/>
      <c r="X184" s="2"/>
    </row>
    <row r="185" spans="1:24">
      <c r="A185" s="118" t="s">
        <v>536</v>
      </c>
      <c r="B185" s="119" t="s">
        <v>537</v>
      </c>
      <c r="C185" s="119" t="s">
        <v>70</v>
      </c>
      <c r="D185" s="119" t="s">
        <v>81</v>
      </c>
      <c r="E185" s="119" t="s">
        <v>1049</v>
      </c>
      <c r="F185" s="119" t="s">
        <v>344</v>
      </c>
      <c r="G185" s="120">
        <f>$E$8</f>
        <v>363</v>
      </c>
      <c r="H185" s="121">
        <v>112</v>
      </c>
      <c r="I185" s="122">
        <v>0</v>
      </c>
      <c r="J185" s="121">
        <f t="shared" si="31"/>
        <v>112</v>
      </c>
      <c r="K185" s="138">
        <f t="shared" si="32"/>
        <v>40656</v>
      </c>
      <c r="M185" s="46"/>
      <c r="N185" s="46"/>
      <c r="O185" s="46"/>
      <c r="P185" s="46"/>
      <c r="Q185" s="46"/>
      <c r="R185" s="46"/>
      <c r="S185" s="46"/>
      <c r="T185" s="46"/>
      <c r="U185" s="46"/>
      <c r="V185" s="46"/>
      <c r="W185" s="46"/>
      <c r="X185" s="2"/>
    </row>
    <row r="186" spans="1:24">
      <c r="A186" s="118" t="s">
        <v>539</v>
      </c>
      <c r="B186" s="119" t="s">
        <v>529</v>
      </c>
      <c r="C186" s="119" t="s">
        <v>70</v>
      </c>
      <c r="D186" s="119" t="s">
        <v>397</v>
      </c>
      <c r="E186" s="119" t="s">
        <v>1049</v>
      </c>
      <c r="F186" s="119" t="s">
        <v>540</v>
      </c>
      <c r="G186" s="120">
        <f>F10</f>
        <v>295</v>
      </c>
      <c r="H186" s="121">
        <v>138</v>
      </c>
      <c r="I186" s="122">
        <v>0</v>
      </c>
      <c r="J186" s="121">
        <f t="shared" si="31"/>
        <v>138</v>
      </c>
      <c r="K186" s="138">
        <f t="shared" si="32"/>
        <v>40710</v>
      </c>
      <c r="M186" s="46"/>
      <c r="N186" s="46"/>
      <c r="O186" s="46"/>
      <c r="P186" s="46"/>
      <c r="Q186" s="46"/>
      <c r="R186" s="46"/>
      <c r="S186" s="46"/>
      <c r="T186" s="46"/>
      <c r="U186" s="46"/>
      <c r="V186" s="46"/>
      <c r="W186" s="46"/>
      <c r="X186" s="2"/>
    </row>
    <row r="187" spans="1:24">
      <c r="A187" s="118" t="s">
        <v>541</v>
      </c>
      <c r="B187" s="119" t="s">
        <v>532</v>
      </c>
      <c r="C187" s="119" t="s">
        <v>70</v>
      </c>
      <c r="D187" s="119" t="s">
        <v>397</v>
      </c>
      <c r="E187" s="119" t="s">
        <v>76</v>
      </c>
      <c r="F187" s="119" t="s">
        <v>540</v>
      </c>
      <c r="G187" s="120">
        <f>$O$13</f>
        <v>295</v>
      </c>
      <c r="H187" s="121">
        <v>25</v>
      </c>
      <c r="I187" s="122">
        <v>0</v>
      </c>
      <c r="J187" s="121">
        <f t="shared" si="31"/>
        <v>25</v>
      </c>
      <c r="K187" s="138">
        <f t="shared" si="32"/>
        <v>7375</v>
      </c>
      <c r="M187" s="46"/>
      <c r="N187" s="46"/>
      <c r="O187" s="46"/>
      <c r="P187" s="46"/>
      <c r="Q187" s="46"/>
      <c r="R187" s="46"/>
      <c r="S187" s="46"/>
      <c r="T187" s="46"/>
      <c r="U187" s="46"/>
      <c r="V187" s="46"/>
      <c r="W187" s="46"/>
      <c r="X187" s="2"/>
    </row>
    <row r="188" spans="1:24">
      <c r="A188" s="118" t="s">
        <v>542</v>
      </c>
      <c r="B188" s="119" t="s">
        <v>529</v>
      </c>
      <c r="C188" s="119" t="s">
        <v>70</v>
      </c>
      <c r="D188" s="119" t="s">
        <v>103</v>
      </c>
      <c r="E188" s="119" t="s">
        <v>87</v>
      </c>
      <c r="F188" s="119"/>
      <c r="G188" s="120"/>
      <c r="H188" s="121"/>
      <c r="I188" s="122">
        <v>0</v>
      </c>
      <c r="J188" s="121">
        <f t="shared" si="31"/>
        <v>0</v>
      </c>
      <c r="K188" s="138">
        <f t="shared" si="32"/>
        <v>0</v>
      </c>
      <c r="M188" s="46"/>
      <c r="N188" s="46"/>
      <c r="O188" s="46"/>
      <c r="P188" s="46"/>
      <c r="Q188" s="46"/>
      <c r="R188" s="46"/>
      <c r="S188" s="46"/>
      <c r="T188" s="46"/>
      <c r="U188" s="46"/>
      <c r="V188" s="46"/>
      <c r="W188" s="46"/>
      <c r="X188" s="2"/>
    </row>
    <row r="189" spans="1:24">
      <c r="A189" s="118" t="s">
        <v>543</v>
      </c>
      <c r="B189" s="119" t="s">
        <v>544</v>
      </c>
      <c r="C189" s="119" t="s">
        <v>70</v>
      </c>
      <c r="D189" s="119" t="s">
        <v>103</v>
      </c>
      <c r="E189" s="119" t="s">
        <v>87</v>
      </c>
      <c r="F189" s="119"/>
      <c r="G189" s="120"/>
      <c r="H189" s="121"/>
      <c r="I189" s="122">
        <v>0</v>
      </c>
      <c r="J189" s="121">
        <f t="shared" si="31"/>
        <v>0</v>
      </c>
      <c r="K189" s="138">
        <f t="shared" si="32"/>
        <v>0</v>
      </c>
      <c r="M189" s="46"/>
      <c r="N189" s="46"/>
      <c r="O189" s="46"/>
      <c r="P189" s="46"/>
      <c r="Q189" s="46"/>
      <c r="R189" s="46"/>
      <c r="S189" s="46"/>
      <c r="T189" s="46"/>
      <c r="U189" s="46"/>
      <c r="V189" s="46"/>
      <c r="W189" s="46"/>
      <c r="X189" s="2"/>
    </row>
    <row r="190" spans="1:24">
      <c r="A190" s="118" t="s">
        <v>545</v>
      </c>
      <c r="B190" s="119" t="s">
        <v>546</v>
      </c>
      <c r="C190" s="119" t="s">
        <v>70</v>
      </c>
      <c r="D190" s="119" t="s">
        <v>405</v>
      </c>
      <c r="E190" s="119" t="s">
        <v>131</v>
      </c>
      <c r="F190" s="119" t="s">
        <v>132</v>
      </c>
      <c r="G190" s="120">
        <v>0</v>
      </c>
      <c r="H190" s="121">
        <v>25000</v>
      </c>
      <c r="I190" s="122">
        <v>0</v>
      </c>
      <c r="J190" s="121">
        <f t="shared" si="31"/>
        <v>25000</v>
      </c>
      <c r="K190" s="138">
        <f t="shared" si="32"/>
        <v>0</v>
      </c>
      <c r="M190" s="46"/>
      <c r="N190" s="46"/>
      <c r="O190" s="46"/>
      <c r="P190" s="46"/>
      <c r="Q190" s="46"/>
      <c r="R190" s="46"/>
      <c r="S190" s="46"/>
      <c r="T190" s="46"/>
      <c r="U190" s="46"/>
      <c r="V190" s="46"/>
      <c r="W190" s="46"/>
      <c r="X190" s="2"/>
    </row>
    <row r="191" spans="1:24">
      <c r="A191" s="118" t="s">
        <v>548</v>
      </c>
      <c r="B191" s="119" t="s">
        <v>549</v>
      </c>
      <c r="C191" s="119" t="s">
        <v>70</v>
      </c>
      <c r="D191" s="119" t="s">
        <v>75</v>
      </c>
      <c r="E191" s="119" t="s">
        <v>76</v>
      </c>
      <c r="F191" s="119" t="s">
        <v>552</v>
      </c>
      <c r="G191" s="151">
        <f>$B$9</f>
        <v>17.25</v>
      </c>
      <c r="H191" s="121">
        <v>1200</v>
      </c>
      <c r="I191" s="122">
        <v>0</v>
      </c>
      <c r="J191" s="121">
        <f t="shared" si="31"/>
        <v>1200</v>
      </c>
      <c r="K191" s="138">
        <f t="shared" si="32"/>
        <v>20700</v>
      </c>
      <c r="M191" s="150"/>
      <c r="N191" s="46"/>
      <c r="O191" s="46"/>
      <c r="P191" s="46"/>
      <c r="Q191" s="46"/>
      <c r="R191" s="46"/>
      <c r="S191" s="46"/>
      <c r="T191" s="46"/>
      <c r="U191" s="46"/>
      <c r="V191" s="46"/>
      <c r="W191" s="46"/>
      <c r="X191" s="2"/>
    </row>
    <row r="192" spans="1:24">
      <c r="A192" s="118" t="s">
        <v>550</v>
      </c>
      <c r="B192" s="119" t="s">
        <v>551</v>
      </c>
      <c r="C192" s="119" t="s">
        <v>70</v>
      </c>
      <c r="D192" s="119" t="s">
        <v>75</v>
      </c>
      <c r="E192" s="119" t="s">
        <v>76</v>
      </c>
      <c r="F192" s="119" t="s">
        <v>552</v>
      </c>
      <c r="G192" s="151">
        <f>$B$9</f>
        <v>17.25</v>
      </c>
      <c r="H192" s="121">
        <v>1200</v>
      </c>
      <c r="I192" s="122">
        <v>0</v>
      </c>
      <c r="J192" s="121">
        <f t="shared" si="31"/>
        <v>1200</v>
      </c>
      <c r="K192" s="138">
        <f t="shared" si="32"/>
        <v>20700</v>
      </c>
      <c r="M192" s="46"/>
      <c r="N192" s="46"/>
      <c r="O192" s="46"/>
      <c r="P192" s="46"/>
      <c r="Q192" s="46"/>
      <c r="R192" s="46"/>
      <c r="S192" s="46"/>
      <c r="T192" s="46"/>
      <c r="U192" s="46"/>
      <c r="V192" s="46"/>
      <c r="W192" s="46"/>
      <c r="X192" s="2"/>
    </row>
    <row r="193" spans="1:24">
      <c r="A193" s="118" t="s">
        <v>553</v>
      </c>
      <c r="B193" s="119" t="s">
        <v>554</v>
      </c>
      <c r="C193" s="119" t="s">
        <v>70</v>
      </c>
      <c r="D193" s="119" t="s">
        <v>103</v>
      </c>
      <c r="E193" s="119" t="s">
        <v>76</v>
      </c>
      <c r="F193" s="119" t="s">
        <v>83</v>
      </c>
      <c r="G193" s="120">
        <f>$O$7</f>
        <v>1</v>
      </c>
      <c r="H193" s="121">
        <v>20000</v>
      </c>
      <c r="I193" s="122">
        <v>0</v>
      </c>
      <c r="J193" s="121">
        <f t="shared" si="31"/>
        <v>20000</v>
      </c>
      <c r="K193" s="138">
        <f t="shared" si="32"/>
        <v>20000</v>
      </c>
      <c r="M193" s="150"/>
      <c r="N193" s="46"/>
      <c r="O193" s="46"/>
      <c r="P193" s="46"/>
      <c r="Q193" s="46"/>
      <c r="R193" s="46"/>
      <c r="S193" s="46"/>
      <c r="T193" s="46"/>
      <c r="U193" s="46"/>
      <c r="V193" s="46"/>
      <c r="W193" s="46"/>
      <c r="X193" s="2"/>
    </row>
    <row r="194" spans="1:24">
      <c r="A194" s="118" t="s">
        <v>555</v>
      </c>
      <c r="B194" s="119" t="s">
        <v>556</v>
      </c>
      <c r="C194" s="119" t="s">
        <v>70</v>
      </c>
      <c r="D194" s="119" t="s">
        <v>103</v>
      </c>
      <c r="E194" s="119" t="s">
        <v>76</v>
      </c>
      <c r="F194" s="119" t="s">
        <v>83</v>
      </c>
      <c r="G194" s="120">
        <f>$O$7</f>
        <v>1</v>
      </c>
      <c r="H194" s="121">
        <v>12500</v>
      </c>
      <c r="I194" s="122">
        <v>0</v>
      </c>
      <c r="J194" s="121">
        <f t="shared" si="31"/>
        <v>12500</v>
      </c>
      <c r="K194" s="138">
        <f t="shared" si="32"/>
        <v>12500</v>
      </c>
      <c r="M194" s="46"/>
      <c r="N194" s="46"/>
      <c r="O194" s="46"/>
      <c r="P194" s="46"/>
      <c r="Q194" s="46"/>
      <c r="R194" s="46"/>
      <c r="S194" s="46"/>
      <c r="T194" s="46"/>
      <c r="U194" s="46"/>
      <c r="V194" s="46"/>
      <c r="W194" s="46"/>
      <c r="X194" s="2"/>
    </row>
    <row r="195" spans="1:24">
      <c r="A195" s="118" t="s">
        <v>557</v>
      </c>
      <c r="B195" s="119" t="s">
        <v>558</v>
      </c>
      <c r="C195" s="119" t="s">
        <v>70</v>
      </c>
      <c r="D195" s="119" t="s">
        <v>110</v>
      </c>
      <c r="E195" s="119" t="s">
        <v>76</v>
      </c>
      <c r="F195" s="119" t="s">
        <v>83</v>
      </c>
      <c r="G195" s="120">
        <f>$O$7</f>
        <v>1</v>
      </c>
      <c r="H195" s="121">
        <v>2500</v>
      </c>
      <c r="I195" s="122">
        <v>0</v>
      </c>
      <c r="J195" s="121">
        <f t="shared" si="31"/>
        <v>2500</v>
      </c>
      <c r="K195" s="138">
        <f t="shared" si="32"/>
        <v>2500</v>
      </c>
      <c r="M195" s="46"/>
      <c r="N195" s="46"/>
      <c r="O195" s="46"/>
      <c r="P195" s="46"/>
      <c r="Q195" s="46"/>
      <c r="R195" s="46"/>
      <c r="S195" s="46"/>
      <c r="T195" s="46"/>
      <c r="U195" s="46"/>
      <c r="V195" s="46"/>
      <c r="W195" s="46"/>
      <c r="X195" s="2"/>
    </row>
    <row r="196" spans="1:24">
      <c r="A196" s="118" t="s">
        <v>559</v>
      </c>
      <c r="B196" s="119" t="s">
        <v>529</v>
      </c>
      <c r="C196" s="119" t="s">
        <v>70</v>
      </c>
      <c r="D196" s="119" t="s">
        <v>93</v>
      </c>
      <c r="E196" s="119" t="s">
        <v>76</v>
      </c>
      <c r="F196" s="119" t="s">
        <v>83</v>
      </c>
      <c r="G196" s="120">
        <v>1</v>
      </c>
      <c r="H196" s="121">
        <v>17500</v>
      </c>
      <c r="I196" s="122">
        <v>0</v>
      </c>
      <c r="J196" s="121">
        <f t="shared" si="31"/>
        <v>17500</v>
      </c>
      <c r="K196" s="138">
        <f t="shared" si="32"/>
        <v>17500</v>
      </c>
      <c r="M196" s="150"/>
      <c r="N196" s="46"/>
      <c r="O196" s="46"/>
      <c r="P196" s="46"/>
      <c r="Q196" s="46"/>
      <c r="R196" s="46"/>
      <c r="S196" s="46"/>
      <c r="T196" s="46"/>
      <c r="U196" s="46"/>
      <c r="V196" s="46"/>
      <c r="W196" s="46"/>
      <c r="X196" s="2"/>
    </row>
    <row r="197" spans="1:24">
      <c r="A197" s="118" t="s">
        <v>560</v>
      </c>
      <c r="B197" s="119" t="s">
        <v>532</v>
      </c>
      <c r="C197" s="119" t="s">
        <v>70</v>
      </c>
      <c r="D197" s="119" t="s">
        <v>93</v>
      </c>
      <c r="E197" s="119" t="s">
        <v>76</v>
      </c>
      <c r="F197" s="119" t="s">
        <v>83</v>
      </c>
      <c r="G197" s="120">
        <v>1</v>
      </c>
      <c r="H197" s="121">
        <v>750</v>
      </c>
      <c r="I197" s="122">
        <v>0</v>
      </c>
      <c r="J197" s="121">
        <f t="shared" si="31"/>
        <v>750</v>
      </c>
      <c r="K197" s="138">
        <f t="shared" si="32"/>
        <v>750</v>
      </c>
      <c r="M197" s="46"/>
      <c r="N197" s="46"/>
      <c r="O197" s="46"/>
      <c r="P197" s="46"/>
      <c r="Q197" s="46"/>
      <c r="R197" s="46"/>
      <c r="S197" s="46"/>
      <c r="T197" s="46"/>
      <c r="U197" s="46"/>
      <c r="V197" s="46"/>
      <c r="W197" s="46"/>
      <c r="X197" s="2"/>
    </row>
    <row r="198" spans="1:24">
      <c r="A198" s="96" t="s">
        <v>571</v>
      </c>
      <c r="B198" s="97" t="s">
        <v>572</v>
      </c>
      <c r="C198" s="97"/>
      <c r="D198" s="97"/>
      <c r="E198" s="132"/>
      <c r="F198" s="132"/>
      <c r="G198" s="133"/>
      <c r="H198" s="134"/>
      <c r="I198" s="135"/>
      <c r="J198" s="134"/>
      <c r="K198" s="136"/>
      <c r="L198" s="103">
        <f>SUM(K199:K201)</f>
        <v>217168.19</v>
      </c>
      <c r="M198" s="46"/>
      <c r="N198" s="46"/>
      <c r="O198" s="46"/>
      <c r="P198" s="46"/>
      <c r="Q198" s="46"/>
      <c r="R198" s="46"/>
      <c r="S198" s="46"/>
      <c r="T198" s="46"/>
      <c r="U198" s="46"/>
      <c r="V198" s="46"/>
      <c r="W198" s="46"/>
      <c r="X198" s="2"/>
    </row>
    <row r="199" spans="1:24">
      <c r="A199" s="111" t="s">
        <v>563</v>
      </c>
      <c r="B199" s="112" t="s">
        <v>564</v>
      </c>
      <c r="C199" s="112" t="s">
        <v>144</v>
      </c>
      <c r="D199" s="112" t="s">
        <v>81</v>
      </c>
      <c r="E199" s="112" t="s">
        <v>76</v>
      </c>
      <c r="F199" s="112" t="s">
        <v>83</v>
      </c>
      <c r="G199" s="113">
        <f>$B$11</f>
        <v>3</v>
      </c>
      <c r="H199" s="114">
        <v>1000</v>
      </c>
      <c r="I199" s="115">
        <v>0</v>
      </c>
      <c r="J199" s="116">
        <f t="shared" ref="J199:J201" si="33">H199*(1+I199)</f>
        <v>1000</v>
      </c>
      <c r="K199" s="117">
        <f>J199*G199</f>
        <v>3000</v>
      </c>
      <c r="M199" s="46" t="s">
        <v>565</v>
      </c>
      <c r="N199" s="46"/>
      <c r="O199" s="46"/>
      <c r="P199" s="46"/>
      <c r="Q199" s="46"/>
      <c r="R199" s="46"/>
      <c r="S199" s="46"/>
      <c r="T199" s="46"/>
      <c r="U199" s="46"/>
      <c r="V199" s="46"/>
      <c r="W199" s="46"/>
      <c r="X199" s="2"/>
    </row>
    <row r="200" spans="1:24">
      <c r="A200" s="118" t="s">
        <v>566</v>
      </c>
      <c r="B200" s="119" t="s">
        <v>567</v>
      </c>
      <c r="C200" s="119" t="s">
        <v>70</v>
      </c>
      <c r="D200" s="119" t="s">
        <v>81</v>
      </c>
      <c r="E200" s="119" t="s">
        <v>329</v>
      </c>
      <c r="F200" s="119" t="s">
        <v>185</v>
      </c>
      <c r="G200" s="120">
        <f>$B$8</f>
        <v>361641</v>
      </c>
      <c r="H200" s="121">
        <v>0.59</v>
      </c>
      <c r="I200" s="122">
        <v>0</v>
      </c>
      <c r="J200" s="121">
        <f t="shared" si="33"/>
        <v>0.59</v>
      </c>
      <c r="K200" s="138">
        <f>J200*G200</f>
        <v>213368.19</v>
      </c>
      <c r="M200" s="46"/>
      <c r="N200" s="46"/>
      <c r="O200" s="46"/>
      <c r="P200" s="46"/>
      <c r="Q200" s="46"/>
      <c r="R200" s="46"/>
      <c r="S200" s="46"/>
      <c r="T200" s="46"/>
      <c r="U200" s="46"/>
      <c r="V200" s="46"/>
      <c r="W200" s="46"/>
      <c r="X200" s="2"/>
    </row>
    <row r="201" spans="1:24">
      <c r="A201" s="118" t="s">
        <v>568</v>
      </c>
      <c r="B201" s="119" t="s">
        <v>569</v>
      </c>
      <c r="C201" s="119" t="s">
        <v>70</v>
      </c>
      <c r="D201" s="119" t="s">
        <v>103</v>
      </c>
      <c r="E201" s="119" t="s">
        <v>76</v>
      </c>
      <c r="F201" s="119" t="s">
        <v>83</v>
      </c>
      <c r="G201" s="120">
        <f>$O$7</f>
        <v>1</v>
      </c>
      <c r="H201" s="121">
        <v>800</v>
      </c>
      <c r="I201" s="122">
        <v>0</v>
      </c>
      <c r="J201" s="121">
        <f t="shared" si="33"/>
        <v>800</v>
      </c>
      <c r="K201" s="138">
        <f>J201*G201</f>
        <v>800</v>
      </c>
      <c r="M201" s="46" t="s">
        <v>570</v>
      </c>
      <c r="N201" s="46"/>
      <c r="O201" s="46"/>
      <c r="P201" s="46"/>
      <c r="Q201" s="46"/>
      <c r="R201" s="46"/>
      <c r="S201" s="46"/>
      <c r="T201" s="46"/>
      <c r="U201" s="46"/>
      <c r="V201" s="46"/>
      <c r="W201" s="46"/>
      <c r="X201" s="2"/>
    </row>
    <row r="202" spans="1:24">
      <c r="A202" s="96" t="s">
        <v>582</v>
      </c>
      <c r="B202" s="97" t="s">
        <v>583</v>
      </c>
      <c r="C202" s="97"/>
      <c r="D202" s="97"/>
      <c r="E202" s="132"/>
      <c r="F202" s="132"/>
      <c r="G202" s="133"/>
      <c r="H202" s="134"/>
      <c r="I202" s="135"/>
      <c r="J202" s="134"/>
      <c r="K202" s="136"/>
      <c r="L202" s="103">
        <f>SUM(K203:K206)</f>
        <v>942311.97375939845</v>
      </c>
      <c r="M202" s="46"/>
      <c r="N202" s="46"/>
      <c r="O202" s="46"/>
      <c r="P202" s="46"/>
      <c r="Q202" s="46"/>
      <c r="R202" s="46"/>
      <c r="S202" s="46"/>
      <c r="T202" s="46"/>
      <c r="U202" s="46"/>
      <c r="V202" s="46"/>
      <c r="W202" s="46"/>
      <c r="X202" s="2"/>
    </row>
    <row r="203" spans="1:24">
      <c r="A203" s="152" t="s">
        <v>573</v>
      </c>
      <c r="B203" s="112" t="s">
        <v>574</v>
      </c>
      <c r="C203" s="112" t="s">
        <v>70</v>
      </c>
      <c r="D203" s="112" t="s">
        <v>81</v>
      </c>
      <c r="E203" s="112" t="s">
        <v>343</v>
      </c>
      <c r="F203" s="112" t="s">
        <v>344</v>
      </c>
      <c r="G203" s="113">
        <f>$E$8</f>
        <v>363</v>
      </c>
      <c r="H203" s="114">
        <v>447.89473684210526</v>
      </c>
      <c r="I203" s="115">
        <v>0</v>
      </c>
      <c r="J203" s="116">
        <f t="shared" ref="J203:J205" si="34">H203*(1+I203)</f>
        <v>447.89473684210526</v>
      </c>
      <c r="K203" s="117">
        <f>J203*G203</f>
        <v>162585.78947368421</v>
      </c>
      <c r="M203" s="46" t="s">
        <v>1109</v>
      </c>
      <c r="N203" s="46"/>
      <c r="O203" s="46"/>
      <c r="P203" s="46"/>
      <c r="Q203" s="46"/>
      <c r="R203" s="46"/>
      <c r="S203" s="46"/>
      <c r="T203" s="46"/>
      <c r="U203" s="46"/>
      <c r="V203" s="46"/>
      <c r="W203" s="46"/>
      <c r="X203" s="2"/>
    </row>
    <row r="204" spans="1:24">
      <c r="A204" s="118" t="s">
        <v>575</v>
      </c>
      <c r="B204" s="119" t="s">
        <v>576</v>
      </c>
      <c r="C204" s="119" t="s">
        <v>70</v>
      </c>
      <c r="D204" s="119" t="s">
        <v>75</v>
      </c>
      <c r="E204" s="119" t="s">
        <v>329</v>
      </c>
      <c r="F204" s="119" t="s">
        <v>71</v>
      </c>
      <c r="G204" s="120">
        <f>$B$6</f>
        <v>30</v>
      </c>
      <c r="H204" s="121">
        <v>5642.8571428571431</v>
      </c>
      <c r="I204" s="122">
        <v>0</v>
      </c>
      <c r="J204" s="121">
        <f t="shared" si="34"/>
        <v>5642.8571428571431</v>
      </c>
      <c r="K204" s="138">
        <f>J204*G204</f>
        <v>169285.71428571429</v>
      </c>
      <c r="M204" s="46" t="s">
        <v>577</v>
      </c>
      <c r="N204" s="46"/>
      <c r="O204" s="46"/>
      <c r="P204" s="46"/>
      <c r="Q204" s="46"/>
      <c r="R204" s="46"/>
      <c r="S204" s="46"/>
      <c r="T204" s="46"/>
      <c r="U204" s="46"/>
      <c r="V204" s="46"/>
      <c r="W204" s="46"/>
      <c r="X204" s="2"/>
    </row>
    <row r="205" spans="1:24">
      <c r="A205" s="118" t="s">
        <v>578</v>
      </c>
      <c r="B205" s="119" t="s">
        <v>579</v>
      </c>
      <c r="C205" s="119" t="s">
        <v>70</v>
      </c>
      <c r="D205" s="119" t="s">
        <v>81</v>
      </c>
      <c r="E205" s="119" t="s">
        <v>343</v>
      </c>
      <c r="F205" s="119" t="s">
        <v>185</v>
      </c>
      <c r="G205" s="120">
        <v>361641</v>
      </c>
      <c r="H205" s="121">
        <v>1.67</v>
      </c>
      <c r="I205" s="122">
        <v>0</v>
      </c>
      <c r="J205" s="121">
        <f t="shared" si="34"/>
        <v>1.67</v>
      </c>
      <c r="K205" s="138">
        <f>J205*G205</f>
        <v>603940.47</v>
      </c>
      <c r="M205" s="46" t="s">
        <v>1110</v>
      </c>
      <c r="N205" s="46"/>
      <c r="O205" s="46"/>
      <c r="P205" s="46"/>
      <c r="Q205" s="46"/>
      <c r="R205" s="46"/>
      <c r="S205" s="46"/>
      <c r="T205" s="46"/>
      <c r="U205" s="46"/>
      <c r="V205" s="46"/>
      <c r="W205" s="46"/>
      <c r="X205" s="2"/>
    </row>
    <row r="206" spans="1:24">
      <c r="A206" s="118" t="s">
        <v>580</v>
      </c>
      <c r="B206" s="119" t="s">
        <v>581</v>
      </c>
      <c r="C206" s="119" t="s">
        <v>70</v>
      </c>
      <c r="D206" s="119" t="s">
        <v>93</v>
      </c>
      <c r="E206" s="119" t="s">
        <v>76</v>
      </c>
      <c r="F206" s="119" t="s">
        <v>83</v>
      </c>
      <c r="G206" s="120">
        <v>1</v>
      </c>
      <c r="H206" s="121">
        <v>6500</v>
      </c>
      <c r="I206" s="122">
        <v>0</v>
      </c>
      <c r="J206" s="121">
        <v>6500</v>
      </c>
      <c r="K206" s="138">
        <v>6500</v>
      </c>
      <c r="M206" s="46"/>
      <c r="N206" s="46"/>
      <c r="O206" s="46"/>
      <c r="P206" s="46"/>
      <c r="Q206" s="46"/>
      <c r="R206" s="46"/>
      <c r="S206" s="46"/>
      <c r="T206" s="46"/>
      <c r="U206" s="46"/>
      <c r="V206" s="46"/>
      <c r="W206" s="46"/>
      <c r="X206" s="2"/>
    </row>
    <row r="207" spans="1:24">
      <c r="A207" s="96" t="s">
        <v>603</v>
      </c>
      <c r="B207" s="97" t="s">
        <v>604</v>
      </c>
      <c r="C207" s="97"/>
      <c r="D207" s="97"/>
      <c r="E207" s="132"/>
      <c r="F207" s="132"/>
      <c r="G207" s="133"/>
      <c r="H207" s="134"/>
      <c r="I207" s="135"/>
      <c r="J207" s="134"/>
      <c r="K207" s="136"/>
      <c r="L207" s="103">
        <f>SUM(K208:K216)</f>
        <v>1264963.8500000001</v>
      </c>
      <c r="M207" s="46"/>
      <c r="N207" s="46"/>
      <c r="O207" s="46"/>
      <c r="P207" s="46"/>
      <c r="Q207" s="46"/>
      <c r="R207" s="46"/>
      <c r="S207" s="46"/>
      <c r="T207" s="46"/>
      <c r="U207" s="46"/>
      <c r="V207" s="46"/>
      <c r="W207" s="46"/>
      <c r="X207" s="2"/>
    </row>
    <row r="208" spans="1:24">
      <c r="A208" s="111" t="s">
        <v>584</v>
      </c>
      <c r="B208" s="112" t="s">
        <v>585</v>
      </c>
      <c r="C208" s="112" t="s">
        <v>70</v>
      </c>
      <c r="D208" s="112" t="s">
        <v>75</v>
      </c>
      <c r="E208" s="112" t="s">
        <v>76</v>
      </c>
      <c r="F208" s="112" t="s">
        <v>552</v>
      </c>
      <c r="G208" s="153">
        <f>$B$9</f>
        <v>17.25</v>
      </c>
      <c r="H208" s="114">
        <v>6500</v>
      </c>
      <c r="I208" s="115">
        <v>0</v>
      </c>
      <c r="J208" s="116">
        <f t="shared" ref="J208:J216" si="35">H208*(1+I208)</f>
        <v>6500</v>
      </c>
      <c r="K208" s="138">
        <f>J208*G208</f>
        <v>112125</v>
      </c>
      <c r="M208" s="46"/>
      <c r="N208" s="46"/>
      <c r="O208" s="46"/>
      <c r="P208" s="46"/>
      <c r="Q208" s="46"/>
      <c r="R208" s="46"/>
      <c r="S208" s="46"/>
      <c r="T208" s="46"/>
      <c r="U208" s="46"/>
      <c r="V208" s="46"/>
      <c r="W208" s="46"/>
      <c r="X208" s="2"/>
    </row>
    <row r="209" spans="1:24">
      <c r="A209" s="118" t="s">
        <v>586</v>
      </c>
      <c r="B209" s="119" t="s">
        <v>587</v>
      </c>
      <c r="C209" s="119" t="s">
        <v>70</v>
      </c>
      <c r="D209" s="119" t="s">
        <v>75</v>
      </c>
      <c r="E209" s="119" t="s">
        <v>76</v>
      </c>
      <c r="F209" s="119" t="s">
        <v>552</v>
      </c>
      <c r="G209" s="151">
        <f>$B$9</f>
        <v>17.25</v>
      </c>
      <c r="H209" s="121">
        <v>3500</v>
      </c>
      <c r="I209" s="122">
        <v>0</v>
      </c>
      <c r="J209" s="121">
        <f t="shared" si="35"/>
        <v>3500</v>
      </c>
      <c r="K209" s="138">
        <f t="shared" ref="K209:K216" si="36">J209*G209</f>
        <v>60375</v>
      </c>
      <c r="M209" s="46"/>
      <c r="N209" s="46"/>
      <c r="O209" s="46"/>
      <c r="P209" s="46"/>
      <c r="Q209" s="46"/>
      <c r="R209" s="46"/>
      <c r="S209" s="46"/>
      <c r="T209" s="46"/>
      <c r="U209" s="46"/>
      <c r="V209" s="46"/>
      <c r="W209" s="46"/>
      <c r="X209" s="2"/>
    </row>
    <row r="210" spans="1:24">
      <c r="A210" s="118" t="s">
        <v>1111</v>
      </c>
      <c r="B210" s="119" t="s">
        <v>589</v>
      </c>
      <c r="C210" s="119" t="s">
        <v>70</v>
      </c>
      <c r="D210" s="119" t="s">
        <v>75</v>
      </c>
      <c r="E210" s="119" t="s">
        <v>131</v>
      </c>
      <c r="F210" s="119" t="s">
        <v>83</v>
      </c>
      <c r="G210" s="120">
        <v>1</v>
      </c>
      <c r="H210" s="121">
        <v>25000</v>
      </c>
      <c r="I210" s="122">
        <v>0</v>
      </c>
      <c r="J210" s="121">
        <f t="shared" si="35"/>
        <v>25000</v>
      </c>
      <c r="K210" s="138">
        <f t="shared" si="36"/>
        <v>25000</v>
      </c>
      <c r="M210" s="46" t="s">
        <v>1077</v>
      </c>
      <c r="N210" s="46"/>
      <c r="O210" s="46"/>
      <c r="P210" s="46"/>
      <c r="Q210" s="46"/>
      <c r="R210" s="46"/>
      <c r="S210" s="46"/>
      <c r="T210" s="46"/>
      <c r="U210" s="46"/>
      <c r="V210" s="46"/>
      <c r="W210" s="46"/>
      <c r="X210" s="2"/>
    </row>
    <row r="211" spans="1:24">
      <c r="A211" s="118" t="s">
        <v>590</v>
      </c>
      <c r="B211" s="119" t="s">
        <v>591</v>
      </c>
      <c r="C211" s="119" t="s">
        <v>70</v>
      </c>
      <c r="D211" s="119" t="s">
        <v>75</v>
      </c>
      <c r="E211" s="119" t="s">
        <v>131</v>
      </c>
      <c r="F211" s="119" t="s">
        <v>83</v>
      </c>
      <c r="G211" s="120">
        <v>1</v>
      </c>
      <c r="H211" s="121">
        <v>50000</v>
      </c>
      <c r="I211" s="122">
        <v>0</v>
      </c>
      <c r="J211" s="121">
        <f t="shared" si="35"/>
        <v>50000</v>
      </c>
      <c r="K211" s="138">
        <f t="shared" si="36"/>
        <v>50000</v>
      </c>
      <c r="M211" s="46" t="s">
        <v>1077</v>
      </c>
      <c r="N211" s="46"/>
      <c r="O211" s="46"/>
      <c r="P211" s="46"/>
      <c r="Q211" s="46"/>
      <c r="R211" s="46"/>
      <c r="S211" s="46"/>
      <c r="T211" s="46"/>
      <c r="U211" s="46"/>
      <c r="V211" s="46"/>
      <c r="W211" s="46"/>
      <c r="X211" s="2"/>
    </row>
    <row r="212" spans="1:24">
      <c r="A212" s="118" t="s">
        <v>592</v>
      </c>
      <c r="B212" s="119" t="s">
        <v>593</v>
      </c>
      <c r="C212" s="119" t="s">
        <v>70</v>
      </c>
      <c r="D212" s="119" t="s">
        <v>75</v>
      </c>
      <c r="E212" s="119" t="s">
        <v>131</v>
      </c>
      <c r="F212" s="119" t="s">
        <v>83</v>
      </c>
      <c r="G212" s="120">
        <v>1</v>
      </c>
      <c r="H212" s="121">
        <v>793445</v>
      </c>
      <c r="I212" s="122">
        <v>0</v>
      </c>
      <c r="J212" s="121">
        <f t="shared" si="35"/>
        <v>793445</v>
      </c>
      <c r="K212" s="138">
        <f t="shared" si="36"/>
        <v>793445</v>
      </c>
      <c r="M212" s="46" t="s">
        <v>1077</v>
      </c>
      <c r="N212" s="46"/>
      <c r="O212" s="46"/>
      <c r="P212" s="46"/>
      <c r="Q212" s="46"/>
      <c r="R212" s="46"/>
      <c r="S212" s="46"/>
      <c r="T212" s="46"/>
      <c r="U212" s="46"/>
      <c r="V212" s="46"/>
      <c r="W212" s="46"/>
      <c r="X212" s="2"/>
    </row>
    <row r="213" spans="1:24">
      <c r="A213" s="118" t="s">
        <v>595</v>
      </c>
      <c r="B213" s="119" t="s">
        <v>596</v>
      </c>
      <c r="C213" s="119" t="s">
        <v>70</v>
      </c>
      <c r="D213" s="119" t="s">
        <v>75</v>
      </c>
      <c r="E213" s="119" t="s">
        <v>131</v>
      </c>
      <c r="F213" s="119" t="s">
        <v>83</v>
      </c>
      <c r="G213" s="120">
        <v>1</v>
      </c>
      <c r="H213" s="121">
        <v>30893.85</v>
      </c>
      <c r="I213" s="122">
        <v>0</v>
      </c>
      <c r="J213" s="121">
        <f t="shared" si="35"/>
        <v>30893.85</v>
      </c>
      <c r="K213" s="138">
        <f t="shared" si="36"/>
        <v>30893.85</v>
      </c>
      <c r="M213" s="46" t="s">
        <v>1077</v>
      </c>
      <c r="N213" s="46"/>
      <c r="O213" s="46"/>
      <c r="P213" s="46"/>
      <c r="Q213" s="46"/>
      <c r="R213" s="46"/>
      <c r="S213" s="46"/>
      <c r="T213" s="46"/>
      <c r="U213" s="46"/>
      <c r="V213" s="46"/>
      <c r="W213" s="46"/>
      <c r="X213" s="2"/>
    </row>
    <row r="214" spans="1:24">
      <c r="A214" s="118" t="s">
        <v>597</v>
      </c>
      <c r="B214" s="119" t="s">
        <v>598</v>
      </c>
      <c r="C214" s="119" t="s">
        <v>70</v>
      </c>
      <c r="D214" s="119" t="s">
        <v>75</v>
      </c>
      <c r="E214" s="119" t="s">
        <v>131</v>
      </c>
      <c r="F214" s="119" t="s">
        <v>83</v>
      </c>
      <c r="G214" s="120">
        <v>1</v>
      </c>
      <c r="H214" s="121">
        <v>150000</v>
      </c>
      <c r="I214" s="122">
        <v>0</v>
      </c>
      <c r="J214" s="121">
        <f t="shared" si="35"/>
        <v>150000</v>
      </c>
      <c r="K214" s="138">
        <f t="shared" si="36"/>
        <v>150000</v>
      </c>
      <c r="M214" s="46" t="s">
        <v>1077</v>
      </c>
      <c r="N214" s="46"/>
      <c r="O214" s="46"/>
      <c r="P214" s="46"/>
      <c r="Q214" s="46"/>
      <c r="R214" s="46"/>
      <c r="S214" s="46"/>
      <c r="T214" s="46"/>
      <c r="U214" s="46"/>
      <c r="V214" s="46"/>
      <c r="W214" s="46"/>
      <c r="X214" s="2"/>
    </row>
    <row r="215" spans="1:24">
      <c r="A215" s="118" t="s">
        <v>599</v>
      </c>
      <c r="B215" s="119" t="s">
        <v>600</v>
      </c>
      <c r="C215" s="119" t="s">
        <v>70</v>
      </c>
      <c r="D215" s="119" t="s">
        <v>75</v>
      </c>
      <c r="E215" s="119" t="s">
        <v>87</v>
      </c>
      <c r="F215" s="119"/>
      <c r="G215" s="120"/>
      <c r="H215" s="121"/>
      <c r="I215" s="122">
        <v>0</v>
      </c>
      <c r="J215" s="121">
        <f t="shared" si="35"/>
        <v>0</v>
      </c>
      <c r="K215" s="138">
        <f t="shared" si="36"/>
        <v>0</v>
      </c>
      <c r="M215" s="46"/>
      <c r="N215" s="46"/>
      <c r="O215" s="46"/>
      <c r="P215" s="46"/>
      <c r="Q215" s="46"/>
      <c r="R215" s="46"/>
      <c r="S215" s="46"/>
      <c r="T215" s="46"/>
      <c r="U215" s="46"/>
      <c r="V215" s="46"/>
      <c r="W215" s="46"/>
      <c r="X215" s="2"/>
    </row>
    <row r="216" spans="1:24">
      <c r="A216" s="118" t="s">
        <v>601</v>
      </c>
      <c r="B216" s="119" t="s">
        <v>602</v>
      </c>
      <c r="C216" s="119" t="s">
        <v>70</v>
      </c>
      <c r="D216" s="119" t="s">
        <v>75</v>
      </c>
      <c r="E216" s="119" t="s">
        <v>76</v>
      </c>
      <c r="F216" s="119" t="s">
        <v>552</v>
      </c>
      <c r="G216" s="151">
        <f>$B$9</f>
        <v>17.25</v>
      </c>
      <c r="H216" s="121">
        <v>2500</v>
      </c>
      <c r="I216" s="122">
        <v>0</v>
      </c>
      <c r="J216" s="121">
        <f t="shared" si="35"/>
        <v>2500</v>
      </c>
      <c r="K216" s="138">
        <f t="shared" si="36"/>
        <v>43125</v>
      </c>
      <c r="M216" s="46"/>
      <c r="N216" s="46"/>
      <c r="O216" s="46"/>
      <c r="P216" s="46"/>
      <c r="Q216" s="46"/>
      <c r="R216" s="46"/>
      <c r="S216" s="46"/>
      <c r="T216" s="46"/>
      <c r="U216" s="46"/>
      <c r="V216" s="46"/>
      <c r="W216" s="46"/>
      <c r="X216" s="2"/>
    </row>
    <row r="217" spans="1:24">
      <c r="A217" s="96" t="s">
        <v>679</v>
      </c>
      <c r="B217" s="97" t="s">
        <v>680</v>
      </c>
      <c r="C217" s="97"/>
      <c r="D217" s="97"/>
      <c r="E217" s="132"/>
      <c r="F217" s="132"/>
      <c r="G217" s="133"/>
      <c r="H217" s="134"/>
      <c r="I217" s="135"/>
      <c r="J217" s="134"/>
      <c r="K217" s="136"/>
      <c r="L217" s="103">
        <f>SUM(K218:K254)</f>
        <v>7051690.4948293027</v>
      </c>
      <c r="M217" s="46"/>
      <c r="N217" s="46"/>
      <c r="O217" s="46"/>
      <c r="P217" s="46"/>
      <c r="Q217" s="46"/>
      <c r="R217" s="46"/>
      <c r="S217" s="46"/>
      <c r="T217" s="46"/>
      <c r="U217" s="46"/>
      <c r="V217" s="46"/>
      <c r="W217" s="46"/>
      <c r="X217" s="2"/>
    </row>
    <row r="218" spans="1:24">
      <c r="A218" s="111" t="s">
        <v>605</v>
      </c>
      <c r="B218" s="112" t="s">
        <v>606</v>
      </c>
      <c r="C218" s="112" t="s">
        <v>90</v>
      </c>
      <c r="D218" s="112" t="s">
        <v>75</v>
      </c>
      <c r="E218" s="112" t="s">
        <v>76</v>
      </c>
      <c r="F218" s="112" t="s">
        <v>83</v>
      </c>
      <c r="G218" s="113">
        <v>1</v>
      </c>
      <c r="H218" s="114">
        <v>5000</v>
      </c>
      <c r="I218" s="115">
        <v>0</v>
      </c>
      <c r="J218" s="116">
        <f t="shared" ref="J218:J254" si="37">H218*(1+I218)</f>
        <v>5000</v>
      </c>
      <c r="K218" s="117">
        <f t="shared" ref="K218:K254" si="38">J218*G218</f>
        <v>5000</v>
      </c>
      <c r="M218" s="46"/>
      <c r="N218" s="46"/>
      <c r="O218" s="46"/>
      <c r="P218" s="46"/>
      <c r="Q218" s="46"/>
      <c r="R218" s="46"/>
      <c r="S218" s="46"/>
      <c r="T218" s="46"/>
      <c r="U218" s="46"/>
      <c r="V218" s="46"/>
      <c r="W218" s="46"/>
      <c r="X218" s="2"/>
    </row>
    <row r="219" spans="1:24">
      <c r="A219" s="118" t="s">
        <v>607</v>
      </c>
      <c r="B219" s="119" t="s">
        <v>608</v>
      </c>
      <c r="C219" s="119" t="s">
        <v>70</v>
      </c>
      <c r="D219" s="119" t="s">
        <v>97</v>
      </c>
      <c r="E219" s="119" t="s">
        <v>76</v>
      </c>
      <c r="F219" s="119" t="s">
        <v>83</v>
      </c>
      <c r="G219" s="120">
        <v>1</v>
      </c>
      <c r="H219" s="121">
        <v>2500</v>
      </c>
      <c r="I219" s="122">
        <v>0</v>
      </c>
      <c r="J219" s="121">
        <f t="shared" si="37"/>
        <v>2500</v>
      </c>
      <c r="K219" s="138">
        <f t="shared" si="38"/>
        <v>2500</v>
      </c>
      <c r="M219" s="46"/>
      <c r="N219" s="46"/>
      <c r="O219" s="46"/>
      <c r="P219" s="46"/>
      <c r="Q219" s="46"/>
      <c r="R219" s="46"/>
      <c r="S219" s="46"/>
      <c r="T219" s="46"/>
      <c r="U219" s="46"/>
      <c r="V219" s="46"/>
      <c r="W219" s="46"/>
      <c r="X219" s="2"/>
    </row>
    <row r="220" spans="1:24">
      <c r="A220" s="118" t="s">
        <v>609</v>
      </c>
      <c r="B220" s="119" t="s">
        <v>610</v>
      </c>
      <c r="C220" s="119" t="s">
        <v>70</v>
      </c>
      <c r="D220" s="119" t="s">
        <v>75</v>
      </c>
      <c r="E220" s="119" t="s">
        <v>76</v>
      </c>
      <c r="F220" s="119" t="s">
        <v>83</v>
      </c>
      <c r="G220" s="120">
        <v>1</v>
      </c>
      <c r="H220" s="121">
        <v>30000</v>
      </c>
      <c r="I220" s="122">
        <v>0</v>
      </c>
      <c r="J220" s="121">
        <f t="shared" si="37"/>
        <v>30000</v>
      </c>
      <c r="K220" s="138">
        <f t="shared" si="38"/>
        <v>30000</v>
      </c>
      <c r="M220" s="46" t="s">
        <v>611</v>
      </c>
      <c r="N220" s="46"/>
      <c r="O220" s="46"/>
      <c r="P220" s="46"/>
      <c r="Q220" s="46"/>
      <c r="R220" s="46"/>
      <c r="S220" s="46"/>
      <c r="T220" s="46"/>
      <c r="U220" s="46"/>
      <c r="V220" s="46"/>
      <c r="W220" s="46"/>
      <c r="X220" s="2"/>
    </row>
    <row r="221" spans="1:24">
      <c r="A221" s="118" t="s">
        <v>612</v>
      </c>
      <c r="B221" s="119" t="s">
        <v>613</v>
      </c>
      <c r="C221" s="119" t="s">
        <v>70</v>
      </c>
      <c r="D221" s="119" t="s">
        <v>75</v>
      </c>
      <c r="E221" s="119" t="s">
        <v>343</v>
      </c>
      <c r="F221" s="119" t="s">
        <v>83</v>
      </c>
      <c r="G221" s="120">
        <v>1</v>
      </c>
      <c r="H221" s="121">
        <v>587370</v>
      </c>
      <c r="I221" s="122">
        <v>0</v>
      </c>
      <c r="J221" s="121">
        <f t="shared" si="37"/>
        <v>587370</v>
      </c>
      <c r="K221" s="138">
        <f t="shared" si="38"/>
        <v>587370</v>
      </c>
      <c r="L221" s="182"/>
      <c r="M221" s="46" t="s">
        <v>611</v>
      </c>
      <c r="N221" s="46"/>
      <c r="O221" s="46"/>
      <c r="P221" s="46"/>
      <c r="Q221" s="46"/>
      <c r="R221" s="46"/>
      <c r="S221" s="46"/>
      <c r="T221" s="46"/>
      <c r="U221" s="46"/>
      <c r="V221" s="46"/>
      <c r="W221" s="46"/>
      <c r="X221" s="2"/>
    </row>
    <row r="222" spans="1:24">
      <c r="A222" s="118" t="s">
        <v>615</v>
      </c>
      <c r="B222" s="119" t="s">
        <v>616</v>
      </c>
      <c r="C222" s="119" t="s">
        <v>70</v>
      </c>
      <c r="D222" s="119" t="s">
        <v>75</v>
      </c>
      <c r="E222" s="119" t="s">
        <v>76</v>
      </c>
      <c r="F222" s="119" t="s">
        <v>185</v>
      </c>
      <c r="G222" s="120">
        <f>R14</f>
        <v>0</v>
      </c>
      <c r="H222" s="121">
        <v>0.2</v>
      </c>
      <c r="I222" s="122">
        <v>0</v>
      </c>
      <c r="J222" s="121">
        <f t="shared" si="37"/>
        <v>0.2</v>
      </c>
      <c r="K222" s="138">
        <f t="shared" si="38"/>
        <v>0</v>
      </c>
      <c r="M222" s="46"/>
      <c r="N222" s="46"/>
      <c r="O222" s="46"/>
      <c r="P222" s="46"/>
      <c r="Q222" s="46"/>
      <c r="R222" s="46"/>
      <c r="S222" s="46"/>
      <c r="T222" s="46"/>
      <c r="U222" s="46"/>
      <c r="V222" s="46"/>
      <c r="W222" s="46"/>
      <c r="X222" s="2"/>
    </row>
    <row r="223" spans="1:24">
      <c r="A223" s="118" t="s">
        <v>617</v>
      </c>
      <c r="B223" s="119" t="s">
        <v>618</v>
      </c>
      <c r="C223" s="119" t="s">
        <v>70</v>
      </c>
      <c r="D223" s="119" t="s">
        <v>97</v>
      </c>
      <c r="E223" s="119" t="s">
        <v>329</v>
      </c>
      <c r="F223" s="119" t="s">
        <v>185</v>
      </c>
      <c r="G223" s="120">
        <f>$R$15</f>
        <v>0</v>
      </c>
      <c r="H223" s="121">
        <v>8.5</v>
      </c>
      <c r="I223" s="122">
        <v>0</v>
      </c>
      <c r="J223" s="121">
        <f t="shared" si="37"/>
        <v>8.5</v>
      </c>
      <c r="K223" s="138">
        <f t="shared" si="38"/>
        <v>0</v>
      </c>
      <c r="M223" s="46"/>
      <c r="N223" s="46"/>
      <c r="O223" s="46"/>
      <c r="P223" s="46"/>
      <c r="Q223" s="46"/>
      <c r="R223" s="46"/>
      <c r="S223" s="46"/>
      <c r="T223" s="46"/>
      <c r="U223" s="46"/>
      <c r="V223" s="46"/>
      <c r="W223" s="46"/>
      <c r="X223" s="2"/>
    </row>
    <row r="224" spans="1:24">
      <c r="A224" s="118" t="s">
        <v>619</v>
      </c>
      <c r="B224" s="119" t="s">
        <v>620</v>
      </c>
      <c r="C224" s="119" t="s">
        <v>70</v>
      </c>
      <c r="D224" s="119" t="s">
        <v>103</v>
      </c>
      <c r="E224" s="119" t="s">
        <v>329</v>
      </c>
      <c r="F224" s="119" t="s">
        <v>185</v>
      </c>
      <c r="G224" s="120">
        <f>$R$16</f>
        <v>0</v>
      </c>
      <c r="H224" s="121">
        <v>8.5</v>
      </c>
      <c r="I224" s="122">
        <v>0</v>
      </c>
      <c r="J224" s="121">
        <f t="shared" si="37"/>
        <v>8.5</v>
      </c>
      <c r="K224" s="138">
        <f t="shared" si="38"/>
        <v>0</v>
      </c>
      <c r="M224" s="46"/>
      <c r="N224" s="46"/>
      <c r="O224" s="46"/>
      <c r="P224" s="46"/>
      <c r="Q224" s="46"/>
      <c r="R224" s="46"/>
      <c r="S224" s="46"/>
      <c r="T224" s="46"/>
      <c r="U224" s="46"/>
      <c r="V224" s="46"/>
      <c r="W224" s="46"/>
      <c r="X224" s="2"/>
    </row>
    <row r="225" spans="1:24">
      <c r="A225" s="118" t="s">
        <v>622</v>
      </c>
      <c r="B225" s="119" t="s">
        <v>623</v>
      </c>
      <c r="C225" s="119" t="s">
        <v>70</v>
      </c>
      <c r="D225" s="119" t="s">
        <v>75</v>
      </c>
      <c r="E225" s="119" t="s">
        <v>343</v>
      </c>
      <c r="F225" s="119" t="s">
        <v>83</v>
      </c>
      <c r="G225" s="120">
        <v>1</v>
      </c>
      <c r="H225" s="121">
        <v>66295</v>
      </c>
      <c r="I225" s="122">
        <v>0</v>
      </c>
      <c r="J225" s="121">
        <f t="shared" si="37"/>
        <v>66295</v>
      </c>
      <c r="K225" s="138">
        <f t="shared" si="38"/>
        <v>66295</v>
      </c>
      <c r="M225" s="46" t="s">
        <v>611</v>
      </c>
      <c r="N225" s="46"/>
      <c r="O225" s="46"/>
      <c r="P225" s="46"/>
      <c r="Q225" s="46"/>
      <c r="R225" s="46"/>
      <c r="S225" s="46"/>
      <c r="T225" s="46"/>
      <c r="U225" s="46"/>
      <c r="V225" s="46"/>
      <c r="W225" s="46"/>
      <c r="X225" s="2"/>
    </row>
    <row r="226" spans="1:24">
      <c r="A226" s="118" t="s">
        <v>624</v>
      </c>
      <c r="B226" s="119" t="s">
        <v>625</v>
      </c>
      <c r="C226" s="119" t="s">
        <v>70</v>
      </c>
      <c r="D226" s="119" t="s">
        <v>75</v>
      </c>
      <c r="E226" s="119" t="s">
        <v>343</v>
      </c>
      <c r="F226" s="119" t="s">
        <v>83</v>
      </c>
      <c r="G226" s="120">
        <v>1</v>
      </c>
      <c r="H226" s="121">
        <v>42120</v>
      </c>
      <c r="I226" s="122">
        <v>0</v>
      </c>
      <c r="J226" s="121">
        <f t="shared" si="37"/>
        <v>42120</v>
      </c>
      <c r="K226" s="138">
        <f t="shared" si="38"/>
        <v>42120</v>
      </c>
      <c r="M226" s="46" t="s">
        <v>611</v>
      </c>
      <c r="N226" s="46"/>
      <c r="O226" s="46"/>
      <c r="P226" s="46"/>
      <c r="Q226" s="46"/>
      <c r="R226" s="46"/>
      <c r="S226" s="46"/>
      <c r="T226" s="46"/>
      <c r="U226" s="46"/>
      <c r="V226" s="46"/>
      <c r="W226" s="46"/>
      <c r="X226" s="2"/>
    </row>
    <row r="227" spans="1:24">
      <c r="A227" s="137" t="s">
        <v>626</v>
      </c>
      <c r="B227" s="119" t="s">
        <v>627</v>
      </c>
      <c r="C227" s="119" t="s">
        <v>70</v>
      </c>
      <c r="D227" s="119" t="s">
        <v>75</v>
      </c>
      <c r="E227" s="119" t="s">
        <v>343</v>
      </c>
      <c r="F227" s="119" t="s">
        <v>83</v>
      </c>
      <c r="G227" s="120">
        <v>1</v>
      </c>
      <c r="H227" s="121">
        <v>89086</v>
      </c>
      <c r="I227" s="122">
        <v>0</v>
      </c>
      <c r="J227" s="121">
        <f t="shared" si="37"/>
        <v>89086</v>
      </c>
      <c r="K227" s="138">
        <f t="shared" si="38"/>
        <v>89086</v>
      </c>
      <c r="M227" s="46" t="s">
        <v>611</v>
      </c>
      <c r="N227" s="46"/>
      <c r="O227" s="46"/>
      <c r="P227" s="46"/>
      <c r="Q227" s="46"/>
      <c r="R227" s="46"/>
      <c r="S227" s="46"/>
      <c r="T227" s="46"/>
      <c r="U227" s="46"/>
      <c r="V227" s="46"/>
      <c r="W227" s="46"/>
      <c r="X227" s="2"/>
    </row>
    <row r="228" spans="1:24">
      <c r="A228" s="118" t="s">
        <v>628</v>
      </c>
      <c r="B228" s="119" t="s">
        <v>629</v>
      </c>
      <c r="C228" s="119" t="s">
        <v>70</v>
      </c>
      <c r="D228" s="119" t="s">
        <v>97</v>
      </c>
      <c r="E228" s="119" t="s">
        <v>87</v>
      </c>
      <c r="F228" s="119"/>
      <c r="G228" s="120"/>
      <c r="H228" s="121"/>
      <c r="I228" s="122">
        <v>0</v>
      </c>
      <c r="J228" s="121">
        <f t="shared" si="37"/>
        <v>0</v>
      </c>
      <c r="K228" s="138">
        <f t="shared" si="38"/>
        <v>0</v>
      </c>
      <c r="M228" s="46"/>
      <c r="N228" s="46"/>
      <c r="O228" s="46"/>
      <c r="P228" s="46"/>
      <c r="Q228" s="46"/>
      <c r="R228" s="46"/>
      <c r="S228" s="46"/>
      <c r="T228" s="46"/>
      <c r="U228" s="46"/>
      <c r="V228" s="46"/>
      <c r="W228" s="46"/>
      <c r="X228" s="2"/>
    </row>
    <row r="229" spans="1:24">
      <c r="A229" s="118" t="s">
        <v>630</v>
      </c>
      <c r="B229" s="119" t="s">
        <v>631</v>
      </c>
      <c r="C229" s="119" t="s">
        <v>70</v>
      </c>
      <c r="D229" s="119" t="s">
        <v>103</v>
      </c>
      <c r="E229" s="119" t="s">
        <v>76</v>
      </c>
      <c r="F229" s="119" t="s">
        <v>83</v>
      </c>
      <c r="G229" s="120">
        <f>$O$7</f>
        <v>1</v>
      </c>
      <c r="H229" s="121">
        <v>10000</v>
      </c>
      <c r="I229" s="122">
        <v>0</v>
      </c>
      <c r="J229" s="121">
        <f t="shared" si="37"/>
        <v>10000</v>
      </c>
      <c r="K229" s="138">
        <f t="shared" si="38"/>
        <v>10000</v>
      </c>
      <c r="M229" s="46"/>
      <c r="N229" s="46"/>
      <c r="O229" s="46"/>
      <c r="P229" s="46"/>
      <c r="Q229" s="46"/>
      <c r="R229" s="46"/>
      <c r="S229" s="46"/>
      <c r="T229" s="46"/>
      <c r="U229" s="46"/>
      <c r="V229" s="46"/>
      <c r="W229" s="46"/>
      <c r="X229" s="2"/>
    </row>
    <row r="230" spans="1:24">
      <c r="A230" s="118" t="s">
        <v>632</v>
      </c>
      <c r="B230" s="119" t="s">
        <v>633</v>
      </c>
      <c r="C230" s="119" t="s">
        <v>70</v>
      </c>
      <c r="D230" s="119" t="s">
        <v>75</v>
      </c>
      <c r="E230" s="119" t="s">
        <v>76</v>
      </c>
      <c r="F230" s="119" t="s">
        <v>552</v>
      </c>
      <c r="G230" s="151">
        <f>$B$9</f>
        <v>17.25</v>
      </c>
      <c r="H230" s="121">
        <v>2500</v>
      </c>
      <c r="I230" s="122">
        <v>0</v>
      </c>
      <c r="J230" s="121">
        <f t="shared" si="37"/>
        <v>2500</v>
      </c>
      <c r="K230" s="138">
        <f t="shared" si="38"/>
        <v>43125</v>
      </c>
      <c r="M230" s="46"/>
      <c r="N230" s="46"/>
      <c r="O230" s="46"/>
      <c r="P230" s="46"/>
      <c r="Q230" s="46"/>
      <c r="R230" s="46"/>
      <c r="S230" s="46"/>
      <c r="T230" s="46"/>
      <c r="U230" s="46"/>
      <c r="V230" s="46"/>
      <c r="W230" s="46"/>
      <c r="X230" s="2"/>
    </row>
    <row r="231" spans="1:24">
      <c r="A231" s="118" t="s">
        <v>634</v>
      </c>
      <c r="B231" s="119" t="s">
        <v>635</v>
      </c>
      <c r="C231" s="119" t="s">
        <v>70</v>
      </c>
      <c r="D231" s="119" t="s">
        <v>75</v>
      </c>
      <c r="E231" s="119" t="s">
        <v>343</v>
      </c>
      <c r="F231" s="119" t="s">
        <v>83</v>
      </c>
      <c r="G231" s="120">
        <v>1</v>
      </c>
      <c r="H231" s="121">
        <v>92505</v>
      </c>
      <c r="I231" s="122">
        <v>0</v>
      </c>
      <c r="J231" s="121">
        <f t="shared" si="37"/>
        <v>92505</v>
      </c>
      <c r="K231" s="138">
        <f t="shared" si="38"/>
        <v>92505</v>
      </c>
      <c r="M231" s="46" t="s">
        <v>904</v>
      </c>
      <c r="N231" s="46"/>
      <c r="O231" s="46"/>
      <c r="P231" s="46"/>
      <c r="Q231" s="46"/>
      <c r="R231" s="46"/>
      <c r="S231" s="46"/>
      <c r="T231" s="46"/>
      <c r="U231" s="46"/>
      <c r="V231" s="46"/>
      <c r="W231" s="46"/>
      <c r="X231" s="2"/>
    </row>
    <row r="232" spans="1:24">
      <c r="A232" s="118" t="s">
        <v>636</v>
      </c>
      <c r="B232" s="119" t="s">
        <v>637</v>
      </c>
      <c r="C232" s="119" t="s">
        <v>70</v>
      </c>
      <c r="D232" s="119" t="s">
        <v>97</v>
      </c>
      <c r="E232" s="119" t="s">
        <v>343</v>
      </c>
      <c r="F232" s="119" t="s">
        <v>132</v>
      </c>
      <c r="G232" s="120">
        <f>$O$5</f>
        <v>14</v>
      </c>
      <c r="H232" s="121">
        <v>2485</v>
      </c>
      <c r="I232" s="122">
        <v>0</v>
      </c>
      <c r="J232" s="121">
        <f t="shared" si="37"/>
        <v>2485</v>
      </c>
      <c r="K232" s="138">
        <f t="shared" si="38"/>
        <v>34790</v>
      </c>
      <c r="M232" s="46"/>
      <c r="N232" s="46"/>
      <c r="O232" s="46"/>
      <c r="P232" s="46"/>
      <c r="Q232" s="46"/>
      <c r="R232" s="46"/>
      <c r="S232" s="46"/>
      <c r="T232" s="46"/>
      <c r="U232" s="46"/>
      <c r="V232" s="46"/>
      <c r="W232" s="46"/>
      <c r="X232" s="2"/>
    </row>
    <row r="233" spans="1:24">
      <c r="A233" s="118" t="s">
        <v>638</v>
      </c>
      <c r="B233" s="119" t="s">
        <v>639</v>
      </c>
      <c r="C233" s="119" t="s">
        <v>144</v>
      </c>
      <c r="D233" s="119" t="s">
        <v>97</v>
      </c>
      <c r="E233" s="119" t="s">
        <v>76</v>
      </c>
      <c r="F233" s="119" t="s">
        <v>83</v>
      </c>
      <c r="G233" s="120">
        <v>1</v>
      </c>
      <c r="H233" s="121">
        <v>10000</v>
      </c>
      <c r="I233" s="122">
        <v>0</v>
      </c>
      <c r="J233" s="121">
        <f t="shared" si="37"/>
        <v>10000</v>
      </c>
      <c r="K233" s="138">
        <f t="shared" si="38"/>
        <v>10000</v>
      </c>
      <c r="M233" s="46"/>
      <c r="N233" s="46"/>
      <c r="O233" s="46"/>
      <c r="P233" s="46"/>
      <c r="Q233" s="46"/>
      <c r="R233" s="46"/>
      <c r="S233" s="46"/>
      <c r="T233" s="46"/>
      <c r="U233" s="46"/>
      <c r="V233" s="46"/>
      <c r="W233" s="46"/>
      <c r="X233" s="2"/>
    </row>
    <row r="234" spans="1:24">
      <c r="A234" s="118" t="s">
        <v>640</v>
      </c>
      <c r="B234" s="119" t="s">
        <v>641</v>
      </c>
      <c r="C234" s="119" t="s">
        <v>70</v>
      </c>
      <c r="D234" s="119" t="s">
        <v>75</v>
      </c>
      <c r="E234" s="119" t="s">
        <v>76</v>
      </c>
      <c r="F234" s="119" t="s">
        <v>169</v>
      </c>
      <c r="G234" s="120">
        <v>150</v>
      </c>
      <c r="H234" s="121">
        <v>70</v>
      </c>
      <c r="I234" s="122">
        <v>0</v>
      </c>
      <c r="J234" s="121">
        <f t="shared" si="37"/>
        <v>70</v>
      </c>
      <c r="K234" s="138">
        <f t="shared" si="38"/>
        <v>10500</v>
      </c>
      <c r="M234" s="46"/>
      <c r="N234" s="46"/>
      <c r="O234" s="46"/>
      <c r="P234" s="46"/>
      <c r="Q234" s="46"/>
      <c r="R234" s="46"/>
      <c r="S234" s="46"/>
      <c r="T234" s="46"/>
      <c r="U234" s="46"/>
      <c r="V234" s="46"/>
      <c r="W234" s="46"/>
      <c r="X234" s="2"/>
    </row>
    <row r="235" spans="1:24">
      <c r="A235" s="118" t="s">
        <v>642</v>
      </c>
      <c r="B235" s="119" t="s">
        <v>643</v>
      </c>
      <c r="C235" s="119" t="s">
        <v>70</v>
      </c>
      <c r="D235" s="119" t="s">
        <v>103</v>
      </c>
      <c r="E235" s="119" t="s">
        <v>343</v>
      </c>
      <c r="F235" s="119" t="s">
        <v>169</v>
      </c>
      <c r="G235" s="120">
        <v>300</v>
      </c>
      <c r="H235" s="121">
        <v>70</v>
      </c>
      <c r="I235" s="122">
        <v>0</v>
      </c>
      <c r="J235" s="121">
        <f t="shared" si="37"/>
        <v>70</v>
      </c>
      <c r="K235" s="138">
        <f t="shared" si="38"/>
        <v>21000</v>
      </c>
      <c r="M235" s="46"/>
      <c r="N235" s="46"/>
      <c r="O235" s="46"/>
      <c r="P235" s="46"/>
      <c r="Q235" s="46"/>
      <c r="R235" s="46"/>
      <c r="S235" s="46"/>
      <c r="T235" s="46"/>
      <c r="U235" s="46"/>
      <c r="V235" s="46"/>
      <c r="W235" s="46"/>
      <c r="X235" s="2"/>
    </row>
    <row r="236" spans="1:24">
      <c r="A236" s="118" t="s">
        <v>644</v>
      </c>
      <c r="B236" s="119" t="s">
        <v>643</v>
      </c>
      <c r="C236" s="119" t="s">
        <v>70</v>
      </c>
      <c r="D236" s="119" t="s">
        <v>103</v>
      </c>
      <c r="E236" s="119" t="s">
        <v>343</v>
      </c>
      <c r="F236" s="119" t="s">
        <v>132</v>
      </c>
      <c r="G236" s="120">
        <f>$O$7*2</f>
        <v>2</v>
      </c>
      <c r="H236" s="121">
        <v>1950</v>
      </c>
      <c r="I236" s="122">
        <v>0</v>
      </c>
      <c r="J236" s="121">
        <f t="shared" si="37"/>
        <v>1950</v>
      </c>
      <c r="K236" s="138">
        <f t="shared" si="38"/>
        <v>3900</v>
      </c>
      <c r="M236" s="46"/>
      <c r="N236" s="46"/>
      <c r="O236" s="46"/>
      <c r="P236" s="46"/>
      <c r="Q236" s="46"/>
      <c r="R236" s="46"/>
      <c r="S236" s="46"/>
      <c r="T236" s="46"/>
      <c r="U236" s="46"/>
      <c r="V236" s="46"/>
      <c r="W236" s="46"/>
      <c r="X236" s="2"/>
    </row>
    <row r="237" spans="1:24">
      <c r="A237" s="118" t="s">
        <v>645</v>
      </c>
      <c r="B237" s="119" t="s">
        <v>646</v>
      </c>
      <c r="C237" s="119" t="s">
        <v>70</v>
      </c>
      <c r="D237" s="119" t="s">
        <v>75</v>
      </c>
      <c r="E237" s="119" t="s">
        <v>343</v>
      </c>
      <c r="F237" s="119" t="s">
        <v>83</v>
      </c>
      <c r="G237" s="120">
        <v>1</v>
      </c>
      <c r="H237" s="121">
        <v>6000</v>
      </c>
      <c r="I237" s="122">
        <v>0</v>
      </c>
      <c r="J237" s="121">
        <f t="shared" si="37"/>
        <v>6000</v>
      </c>
      <c r="K237" s="138">
        <f t="shared" si="38"/>
        <v>6000</v>
      </c>
      <c r="M237" s="46" t="s">
        <v>647</v>
      </c>
      <c r="N237" s="46"/>
      <c r="O237" s="46"/>
      <c r="P237" s="46"/>
      <c r="Q237" s="46"/>
      <c r="R237" s="46"/>
      <c r="S237" s="46"/>
      <c r="T237" s="46"/>
      <c r="U237" s="46"/>
      <c r="V237" s="46"/>
      <c r="W237" s="46"/>
      <c r="X237" s="2"/>
    </row>
    <row r="238" spans="1:24">
      <c r="A238" s="118" t="s">
        <v>648</v>
      </c>
      <c r="B238" s="119" t="s">
        <v>649</v>
      </c>
      <c r="C238" s="119" t="s">
        <v>70</v>
      </c>
      <c r="D238" s="119" t="s">
        <v>75</v>
      </c>
      <c r="E238" s="119" t="s">
        <v>87</v>
      </c>
      <c r="F238" s="119"/>
      <c r="G238" s="120"/>
      <c r="H238" s="121">
        <v>3555</v>
      </c>
      <c r="I238" s="122">
        <v>0</v>
      </c>
      <c r="J238" s="121">
        <f t="shared" si="37"/>
        <v>3555</v>
      </c>
      <c r="K238" s="138">
        <f t="shared" si="38"/>
        <v>0</v>
      </c>
      <c r="M238" s="46"/>
      <c r="N238" s="46"/>
      <c r="O238" s="46"/>
      <c r="P238" s="46"/>
      <c r="Q238" s="46"/>
      <c r="R238" s="46"/>
      <c r="S238" s="46"/>
      <c r="T238" s="46"/>
      <c r="U238" s="46"/>
      <c r="V238" s="46"/>
      <c r="W238" s="46"/>
      <c r="X238" s="2"/>
    </row>
    <row r="239" spans="1:24">
      <c r="A239" s="118" t="s">
        <v>650</v>
      </c>
      <c r="B239" s="119" t="s">
        <v>651</v>
      </c>
      <c r="C239" s="119" t="s">
        <v>70</v>
      </c>
      <c r="D239" s="119" t="s">
        <v>75</v>
      </c>
      <c r="E239" s="119" t="s">
        <v>87</v>
      </c>
      <c r="F239" s="119"/>
      <c r="G239" s="120"/>
      <c r="H239" s="121">
        <v>44</v>
      </c>
      <c r="I239" s="122">
        <v>0</v>
      </c>
      <c r="J239" s="121">
        <f t="shared" si="37"/>
        <v>44</v>
      </c>
      <c r="K239" s="138">
        <f t="shared" si="38"/>
        <v>0</v>
      </c>
      <c r="M239" s="46"/>
      <c r="N239" s="46"/>
      <c r="O239" s="46"/>
      <c r="P239" s="46"/>
      <c r="Q239" s="46"/>
      <c r="R239" s="46"/>
      <c r="S239" s="46"/>
      <c r="T239" s="46"/>
      <c r="U239" s="46"/>
      <c r="V239" s="46"/>
      <c r="W239" s="46"/>
      <c r="X239" s="2"/>
    </row>
    <row r="240" spans="1:24">
      <c r="A240" s="118" t="s">
        <v>652</v>
      </c>
      <c r="B240" s="119" t="s">
        <v>653</v>
      </c>
      <c r="C240" s="119" t="s">
        <v>70</v>
      </c>
      <c r="D240" s="119" t="s">
        <v>75</v>
      </c>
      <c r="E240" s="119" t="s">
        <v>131</v>
      </c>
      <c r="F240" s="119" t="s">
        <v>83</v>
      </c>
      <c r="G240" s="120">
        <v>2</v>
      </c>
      <c r="H240" s="121">
        <v>1950</v>
      </c>
      <c r="I240" s="122">
        <v>0</v>
      </c>
      <c r="J240" s="121">
        <f t="shared" si="37"/>
        <v>1950</v>
      </c>
      <c r="K240" s="138">
        <f t="shared" si="38"/>
        <v>3900</v>
      </c>
      <c r="M240" s="46"/>
      <c r="N240" s="46"/>
      <c r="O240" s="46"/>
      <c r="P240" s="46"/>
      <c r="Q240" s="46"/>
      <c r="R240" s="46"/>
      <c r="S240" s="46"/>
      <c r="T240" s="46"/>
      <c r="U240" s="46"/>
      <c r="V240" s="46"/>
      <c r="W240" s="46"/>
      <c r="X240" s="2"/>
    </row>
    <row r="241" spans="1:24">
      <c r="A241" s="118" t="s">
        <v>654</v>
      </c>
      <c r="B241" s="119" t="s">
        <v>655</v>
      </c>
      <c r="C241" s="119" t="s">
        <v>70</v>
      </c>
      <c r="D241" s="119" t="s">
        <v>75</v>
      </c>
      <c r="E241" s="119" t="s">
        <v>76</v>
      </c>
      <c r="F241" s="119" t="s">
        <v>83</v>
      </c>
      <c r="G241" s="151">
        <v>1</v>
      </c>
      <c r="H241" s="121">
        <v>15000</v>
      </c>
      <c r="I241" s="122">
        <v>0</v>
      </c>
      <c r="J241" s="121">
        <f t="shared" si="37"/>
        <v>15000</v>
      </c>
      <c r="K241" s="138">
        <f t="shared" si="38"/>
        <v>15000</v>
      </c>
      <c r="M241" s="46"/>
      <c r="N241" s="46"/>
      <c r="O241" s="46"/>
      <c r="P241" s="46"/>
      <c r="Q241" s="46"/>
      <c r="R241" s="46"/>
      <c r="S241" s="46"/>
      <c r="T241" s="46"/>
      <c r="U241" s="46"/>
      <c r="V241" s="46"/>
      <c r="W241" s="46"/>
      <c r="X241" s="2"/>
    </row>
    <row r="242" spans="1:24">
      <c r="A242" s="118" t="s">
        <v>656</v>
      </c>
      <c r="B242" s="119" t="s">
        <v>657</v>
      </c>
      <c r="C242" s="119" t="s">
        <v>70</v>
      </c>
      <c r="D242" s="119" t="s">
        <v>75</v>
      </c>
      <c r="E242" s="119" t="s">
        <v>131</v>
      </c>
      <c r="F242" s="119" t="s">
        <v>83</v>
      </c>
      <c r="G242" s="120">
        <v>1</v>
      </c>
      <c r="H242" s="121">
        <v>98343</v>
      </c>
      <c r="I242" s="122">
        <v>0</v>
      </c>
      <c r="J242" s="121">
        <f t="shared" si="37"/>
        <v>98343</v>
      </c>
      <c r="K242" s="138">
        <f t="shared" si="38"/>
        <v>98343</v>
      </c>
      <c r="M242" s="46" t="s">
        <v>611</v>
      </c>
      <c r="N242" s="46"/>
      <c r="O242" s="46"/>
      <c r="P242" s="46"/>
      <c r="Q242" s="46"/>
      <c r="R242" s="46"/>
      <c r="S242" s="46"/>
      <c r="T242" s="46"/>
      <c r="U242" s="46"/>
      <c r="V242" s="46"/>
      <c r="W242" s="46"/>
      <c r="X242" s="2"/>
    </row>
    <row r="243" spans="1:24">
      <c r="A243" s="118" t="s">
        <v>658</v>
      </c>
      <c r="B243" s="119" t="s">
        <v>659</v>
      </c>
      <c r="C243" s="119" t="s">
        <v>70</v>
      </c>
      <c r="D243" s="119" t="s">
        <v>75</v>
      </c>
      <c r="E243" s="119" t="s">
        <v>273</v>
      </c>
      <c r="F243" s="119" t="s">
        <v>83</v>
      </c>
      <c r="G243" s="120">
        <v>1</v>
      </c>
      <c r="H243" s="121">
        <v>0</v>
      </c>
      <c r="I243" s="122">
        <v>0</v>
      </c>
      <c r="J243" s="121">
        <f t="shared" si="37"/>
        <v>0</v>
      </c>
      <c r="K243" s="138">
        <f t="shared" si="38"/>
        <v>0</v>
      </c>
      <c r="M243" s="46" t="s">
        <v>611</v>
      </c>
      <c r="N243" s="46"/>
      <c r="O243" s="46"/>
      <c r="P243" s="46"/>
      <c r="Q243" s="46"/>
      <c r="R243" s="46"/>
      <c r="S243" s="46"/>
      <c r="T243" s="46"/>
      <c r="U243" s="46"/>
      <c r="V243" s="46"/>
      <c r="W243" s="46"/>
      <c r="X243" s="2"/>
    </row>
    <row r="244" spans="1:24">
      <c r="A244" s="118" t="s">
        <v>661</v>
      </c>
      <c r="B244" s="119" t="s">
        <v>662</v>
      </c>
      <c r="C244" s="119" t="s">
        <v>70</v>
      </c>
      <c r="D244" s="119" t="s">
        <v>75</v>
      </c>
      <c r="E244" s="119" t="s">
        <v>76</v>
      </c>
      <c r="F244" s="119" t="s">
        <v>83</v>
      </c>
      <c r="G244" s="120">
        <v>1</v>
      </c>
      <c r="H244" s="121">
        <v>15000</v>
      </c>
      <c r="I244" s="122">
        <v>0</v>
      </c>
      <c r="J244" s="121">
        <f t="shared" si="37"/>
        <v>15000</v>
      </c>
      <c r="K244" s="138">
        <f t="shared" si="38"/>
        <v>15000</v>
      </c>
      <c r="M244" s="46"/>
      <c r="N244" s="46"/>
      <c r="O244" s="46"/>
      <c r="P244" s="46"/>
      <c r="Q244" s="46"/>
      <c r="R244" s="46"/>
      <c r="S244" s="46"/>
      <c r="T244" s="46"/>
      <c r="U244" s="46"/>
      <c r="V244" s="46"/>
      <c r="W244" s="46"/>
      <c r="X244" s="2"/>
    </row>
    <row r="245" spans="1:24">
      <c r="A245" s="118" t="s">
        <v>663</v>
      </c>
      <c r="B245" s="119" t="s">
        <v>664</v>
      </c>
      <c r="C245" s="119" t="s">
        <v>144</v>
      </c>
      <c r="D245" s="119" t="s">
        <v>103</v>
      </c>
      <c r="E245" s="119" t="s">
        <v>76</v>
      </c>
      <c r="F245" s="119" t="s">
        <v>83</v>
      </c>
      <c r="G245" s="120">
        <v>1</v>
      </c>
      <c r="H245" s="121">
        <v>11000</v>
      </c>
      <c r="I245" s="122">
        <v>0</v>
      </c>
      <c r="J245" s="121">
        <f t="shared" si="37"/>
        <v>11000</v>
      </c>
      <c r="K245" s="138">
        <f t="shared" si="38"/>
        <v>11000</v>
      </c>
      <c r="M245" s="46"/>
      <c r="N245" s="46"/>
      <c r="O245" s="46"/>
      <c r="P245" s="46"/>
      <c r="Q245" s="46"/>
      <c r="R245" s="46"/>
      <c r="S245" s="46"/>
      <c r="T245" s="46"/>
      <c r="U245" s="46"/>
      <c r="V245" s="46"/>
      <c r="W245" s="46"/>
      <c r="X245" s="2"/>
    </row>
    <row r="246" spans="1:24">
      <c r="A246" s="118" t="s">
        <v>665</v>
      </c>
      <c r="B246" s="119" t="s">
        <v>666</v>
      </c>
      <c r="C246" s="119" t="s">
        <v>144</v>
      </c>
      <c r="D246" s="119" t="s">
        <v>81</v>
      </c>
      <c r="E246" s="119" t="s">
        <v>76</v>
      </c>
      <c r="F246" s="119" t="s">
        <v>83</v>
      </c>
      <c r="G246" s="120">
        <v>1</v>
      </c>
      <c r="H246" s="121">
        <v>7000</v>
      </c>
      <c r="I246" s="122">
        <v>0</v>
      </c>
      <c r="J246" s="121">
        <f t="shared" si="37"/>
        <v>7000</v>
      </c>
      <c r="K246" s="138">
        <f t="shared" si="38"/>
        <v>7000</v>
      </c>
      <c r="M246" s="46"/>
      <c r="N246" s="46"/>
      <c r="O246" s="46"/>
      <c r="P246" s="46"/>
      <c r="Q246" s="46"/>
      <c r="R246" s="46"/>
      <c r="S246" s="46"/>
      <c r="T246" s="46"/>
      <c r="U246" s="46"/>
      <c r="V246" s="46"/>
      <c r="W246" s="46"/>
      <c r="X246" s="2"/>
    </row>
    <row r="247" spans="1:24">
      <c r="A247" s="118" t="s">
        <v>210</v>
      </c>
      <c r="B247" s="119" t="s">
        <v>667</v>
      </c>
      <c r="C247" s="119" t="s">
        <v>70</v>
      </c>
      <c r="D247" s="119" t="s">
        <v>75</v>
      </c>
      <c r="E247" s="119" t="s">
        <v>343</v>
      </c>
      <c r="F247" s="119" t="s">
        <v>185</v>
      </c>
      <c r="G247" s="113">
        <f>R4</f>
        <v>331082</v>
      </c>
      <c r="H247" s="121">
        <v>15.584552602766996</v>
      </c>
      <c r="I247" s="122">
        <v>0</v>
      </c>
      <c r="J247" s="121">
        <f t="shared" si="37"/>
        <v>15.584552602766996</v>
      </c>
      <c r="K247" s="138">
        <f t="shared" si="38"/>
        <v>5159764.8448293023</v>
      </c>
      <c r="L247" s="182"/>
      <c r="M247" s="46" t="s">
        <v>1112</v>
      </c>
      <c r="N247" s="46"/>
      <c r="O247" s="46"/>
      <c r="P247" s="46"/>
      <c r="Q247" s="46"/>
      <c r="R247" s="46"/>
      <c r="S247" s="46"/>
      <c r="T247" s="46"/>
      <c r="U247" s="46"/>
      <c r="V247" s="46"/>
      <c r="W247" s="46"/>
      <c r="X247" s="2"/>
    </row>
    <row r="248" spans="1:24">
      <c r="A248" s="118" t="s">
        <v>669</v>
      </c>
      <c r="B248" s="119" t="s">
        <v>667</v>
      </c>
      <c r="C248" s="119" t="s">
        <v>70</v>
      </c>
      <c r="D248" s="119" t="s">
        <v>75</v>
      </c>
      <c r="E248" s="119" t="s">
        <v>87</v>
      </c>
      <c r="F248" s="119"/>
      <c r="G248" s="120"/>
      <c r="H248" s="121"/>
      <c r="I248" s="122">
        <v>0</v>
      </c>
      <c r="J248" s="121">
        <f t="shared" si="37"/>
        <v>0</v>
      </c>
      <c r="K248" s="138">
        <f t="shared" si="38"/>
        <v>0</v>
      </c>
      <c r="M248" s="46"/>
      <c r="N248" s="46"/>
      <c r="O248" s="46"/>
      <c r="P248" s="46"/>
      <c r="Q248" s="46"/>
      <c r="R248" s="46"/>
      <c r="S248" s="46"/>
      <c r="T248" s="46"/>
      <c r="U248" s="46"/>
      <c r="V248" s="46"/>
      <c r="W248" s="46"/>
      <c r="X248" s="2"/>
    </row>
    <row r="249" spans="1:24">
      <c r="A249" s="118" t="s">
        <v>670</v>
      </c>
      <c r="B249" s="119" t="s">
        <v>671</v>
      </c>
      <c r="C249" s="119" t="s">
        <v>70</v>
      </c>
      <c r="D249" s="119" t="s">
        <v>75</v>
      </c>
      <c r="E249" s="119" t="s">
        <v>87</v>
      </c>
      <c r="F249" s="119"/>
      <c r="G249" s="120"/>
      <c r="H249" s="121"/>
      <c r="I249" s="122">
        <v>0</v>
      </c>
      <c r="J249" s="121">
        <f t="shared" si="37"/>
        <v>0</v>
      </c>
      <c r="K249" s="138">
        <f t="shared" si="38"/>
        <v>0</v>
      </c>
      <c r="M249" s="46"/>
      <c r="N249" s="46"/>
      <c r="O249" s="46"/>
      <c r="P249" s="46"/>
      <c r="Q249" s="46"/>
      <c r="R249" s="46"/>
      <c r="S249" s="46"/>
      <c r="T249" s="46"/>
      <c r="U249" s="46"/>
      <c r="V249" s="46"/>
      <c r="W249" s="46"/>
      <c r="X249" s="2"/>
    </row>
    <row r="250" spans="1:24">
      <c r="A250" s="118" t="s">
        <v>672</v>
      </c>
      <c r="B250" s="119" t="s">
        <v>610</v>
      </c>
      <c r="C250" s="119" t="s">
        <v>70</v>
      </c>
      <c r="D250" s="119" t="s">
        <v>405</v>
      </c>
      <c r="E250" s="119" t="s">
        <v>673</v>
      </c>
      <c r="F250" s="119" t="s">
        <v>83</v>
      </c>
      <c r="G250" s="120">
        <v>1</v>
      </c>
      <c r="H250" s="121">
        <v>5000</v>
      </c>
      <c r="I250" s="122">
        <v>0</v>
      </c>
      <c r="J250" s="121">
        <f t="shared" si="37"/>
        <v>5000</v>
      </c>
      <c r="K250" s="138">
        <f t="shared" si="38"/>
        <v>5000</v>
      </c>
      <c r="M250" s="46"/>
      <c r="N250" s="46"/>
      <c r="O250" s="46"/>
      <c r="P250" s="46"/>
      <c r="Q250" s="46"/>
      <c r="R250" s="46"/>
      <c r="S250" s="46"/>
      <c r="T250" s="46"/>
      <c r="U250" s="46"/>
      <c r="V250" s="46"/>
      <c r="W250" s="46"/>
      <c r="X250" s="2"/>
    </row>
    <row r="251" spans="1:24">
      <c r="A251" s="118" t="s">
        <v>674</v>
      </c>
      <c r="B251" s="119" t="s">
        <v>613</v>
      </c>
      <c r="C251" s="119" t="s">
        <v>70</v>
      </c>
      <c r="D251" s="119" t="s">
        <v>405</v>
      </c>
      <c r="E251" s="119" t="s">
        <v>343</v>
      </c>
      <c r="F251" s="119" t="s">
        <v>83</v>
      </c>
      <c r="G251" s="120">
        <v>1</v>
      </c>
      <c r="H251" s="121">
        <v>302930.65000000002</v>
      </c>
      <c r="I251" s="122">
        <v>0</v>
      </c>
      <c r="J251" s="121">
        <f t="shared" si="37"/>
        <v>302930.65000000002</v>
      </c>
      <c r="K251" s="138">
        <f t="shared" si="38"/>
        <v>302930.65000000002</v>
      </c>
      <c r="M251" s="46" t="s">
        <v>905</v>
      </c>
      <c r="N251" s="46"/>
      <c r="O251" s="46"/>
      <c r="P251" s="46"/>
      <c r="Q251" s="46"/>
      <c r="R251" s="46"/>
      <c r="S251" s="46"/>
      <c r="T251" s="46"/>
      <c r="U251" s="46"/>
      <c r="V251" s="46"/>
      <c r="W251" s="46"/>
      <c r="X251" s="2"/>
    </row>
    <row r="252" spans="1:24">
      <c r="A252" s="118" t="s">
        <v>675</v>
      </c>
      <c r="B252" s="119" t="s">
        <v>623</v>
      </c>
      <c r="C252" s="119" t="s">
        <v>70</v>
      </c>
      <c r="D252" s="119" t="s">
        <v>405</v>
      </c>
      <c r="E252" s="119" t="s">
        <v>343</v>
      </c>
      <c r="F252" s="119" t="s">
        <v>83</v>
      </c>
      <c r="G252" s="120">
        <v>1</v>
      </c>
      <c r="H252" s="121">
        <v>50205</v>
      </c>
      <c r="I252" s="122">
        <v>0</v>
      </c>
      <c r="J252" s="121">
        <f t="shared" si="37"/>
        <v>50205</v>
      </c>
      <c r="K252" s="138">
        <f t="shared" si="38"/>
        <v>50205</v>
      </c>
      <c r="M252" s="46" t="s">
        <v>611</v>
      </c>
      <c r="N252" s="46"/>
      <c r="O252" s="46"/>
      <c r="P252" s="46"/>
      <c r="Q252" s="46"/>
      <c r="R252" s="46"/>
      <c r="S252" s="46"/>
      <c r="T252" s="46"/>
      <c r="U252" s="46"/>
      <c r="V252" s="46"/>
      <c r="W252" s="46"/>
      <c r="X252" s="2"/>
    </row>
    <row r="253" spans="1:24">
      <c r="A253" s="118" t="s">
        <v>676</v>
      </c>
      <c r="B253" s="119" t="s">
        <v>627</v>
      </c>
      <c r="C253" s="119" t="s">
        <v>70</v>
      </c>
      <c r="D253" s="119" t="s">
        <v>405</v>
      </c>
      <c r="E253" s="119" t="s">
        <v>343</v>
      </c>
      <c r="F253" s="119" t="s">
        <v>83</v>
      </c>
      <c r="G253" s="120">
        <v>1</v>
      </c>
      <c r="H253" s="121">
        <v>32531</v>
      </c>
      <c r="I253" s="122">
        <v>0</v>
      </c>
      <c r="J253" s="121">
        <f t="shared" si="37"/>
        <v>32531</v>
      </c>
      <c r="K253" s="138">
        <f t="shared" si="38"/>
        <v>32531</v>
      </c>
      <c r="M253" s="46" t="s">
        <v>611</v>
      </c>
      <c r="N253" s="46"/>
      <c r="O253" s="46"/>
      <c r="P253" s="46"/>
      <c r="Q253" s="46"/>
      <c r="R253" s="46"/>
      <c r="S253" s="46"/>
      <c r="T253" s="46"/>
      <c r="U253" s="46"/>
      <c r="V253" s="46"/>
      <c r="W253" s="46"/>
      <c r="X253" s="2"/>
    </row>
    <row r="254" spans="1:24" s="155" customFormat="1">
      <c r="A254" s="118" t="s">
        <v>677</v>
      </c>
      <c r="B254" s="119" t="s">
        <v>678</v>
      </c>
      <c r="C254" s="119" t="s">
        <v>70</v>
      </c>
      <c r="D254" s="119" t="s">
        <v>405</v>
      </c>
      <c r="E254" s="119" t="s">
        <v>131</v>
      </c>
      <c r="F254" s="119" t="s">
        <v>83</v>
      </c>
      <c r="G254" s="120">
        <v>1</v>
      </c>
      <c r="H254" s="121">
        <v>296825</v>
      </c>
      <c r="I254" s="122">
        <v>0</v>
      </c>
      <c r="J254" s="121">
        <f t="shared" si="37"/>
        <v>296825</v>
      </c>
      <c r="K254" s="138">
        <f t="shared" si="38"/>
        <v>296825</v>
      </c>
      <c r="L254" s="3"/>
      <c r="M254" s="46" t="s">
        <v>1113</v>
      </c>
      <c r="N254" s="46"/>
      <c r="O254" s="150"/>
      <c r="P254" s="150"/>
      <c r="Q254" s="150"/>
      <c r="R254" s="150"/>
      <c r="S254" s="150"/>
      <c r="T254" s="150"/>
      <c r="U254" s="150"/>
      <c r="V254" s="150"/>
      <c r="W254" s="150"/>
      <c r="X254" s="154"/>
    </row>
    <row r="255" spans="1:24">
      <c r="A255" s="96" t="s">
        <v>708</v>
      </c>
      <c r="B255" s="97" t="s">
        <v>709</v>
      </c>
      <c r="C255" s="97"/>
      <c r="D255" s="97"/>
      <c r="E255" s="132"/>
      <c r="F255" s="132"/>
      <c r="G255" s="133"/>
      <c r="H255" s="134"/>
      <c r="I255" s="135"/>
      <c r="J255" s="134"/>
      <c r="K255" s="136"/>
      <c r="L255" s="140">
        <f>SUM(K256:K271)</f>
        <v>3217799</v>
      </c>
      <c r="M255" s="46"/>
      <c r="N255" s="46"/>
      <c r="O255" s="46"/>
      <c r="P255" s="46"/>
      <c r="Q255" s="46"/>
      <c r="R255" s="46"/>
      <c r="S255" s="46"/>
      <c r="T255" s="46"/>
      <c r="U255" s="46"/>
      <c r="V255" s="46"/>
      <c r="W255" s="46"/>
      <c r="X255" s="2"/>
    </row>
    <row r="256" spans="1:24">
      <c r="A256" s="152" t="s">
        <v>238</v>
      </c>
      <c r="B256" s="112" t="s">
        <v>681</v>
      </c>
      <c r="C256" s="112" t="s">
        <v>144</v>
      </c>
      <c r="D256" s="112"/>
      <c r="E256" s="112" t="s">
        <v>76</v>
      </c>
      <c r="F256" s="112" t="s">
        <v>344</v>
      </c>
      <c r="G256" s="113">
        <f>$E$8</f>
        <v>363</v>
      </c>
      <c r="H256" s="114">
        <v>375</v>
      </c>
      <c r="I256" s="115">
        <v>0</v>
      </c>
      <c r="J256" s="116">
        <f t="shared" ref="J256:J271" si="39">H256*(1+I256)</f>
        <v>375</v>
      </c>
      <c r="K256" s="117">
        <f t="shared" ref="K256:K271" si="40">J256*G256</f>
        <v>136125</v>
      </c>
      <c r="L256" s="182"/>
      <c r="M256" s="46"/>
      <c r="N256" s="46"/>
      <c r="O256" s="46"/>
      <c r="P256" s="46"/>
      <c r="Q256" s="46"/>
      <c r="R256" s="46"/>
      <c r="S256" s="46"/>
      <c r="T256" s="46"/>
      <c r="U256" s="46"/>
      <c r="V256" s="46"/>
      <c r="W256" s="46"/>
      <c r="X256" s="2"/>
    </row>
    <row r="257" spans="1:24">
      <c r="A257" s="137" t="s">
        <v>682</v>
      </c>
      <c r="B257" s="119" t="s">
        <v>683</v>
      </c>
      <c r="C257" s="119" t="s">
        <v>144</v>
      </c>
      <c r="D257" s="119" t="s">
        <v>405</v>
      </c>
      <c r="E257" s="119" t="s">
        <v>76</v>
      </c>
      <c r="F257" s="119" t="s">
        <v>83</v>
      </c>
      <c r="G257" s="120">
        <v>1</v>
      </c>
      <c r="H257" s="121">
        <v>10000</v>
      </c>
      <c r="I257" s="122">
        <v>0</v>
      </c>
      <c r="J257" s="121">
        <f t="shared" si="39"/>
        <v>10000</v>
      </c>
      <c r="K257" s="138">
        <f t="shared" si="40"/>
        <v>10000</v>
      </c>
      <c r="L257" s="182"/>
      <c r="M257" s="46"/>
      <c r="N257" s="46"/>
      <c r="O257" s="46"/>
      <c r="P257" s="46"/>
      <c r="Q257" s="46"/>
      <c r="R257" s="46"/>
      <c r="S257" s="46"/>
      <c r="T257" s="46"/>
      <c r="U257" s="46"/>
      <c r="V257" s="46"/>
      <c r="W257" s="46"/>
      <c r="X257" s="2"/>
    </row>
    <row r="258" spans="1:24">
      <c r="A258" s="137" t="s">
        <v>684</v>
      </c>
      <c r="B258" s="119" t="s">
        <v>683</v>
      </c>
      <c r="C258" s="119" t="s">
        <v>70</v>
      </c>
      <c r="D258" s="119" t="s">
        <v>75</v>
      </c>
      <c r="E258" s="119" t="s">
        <v>343</v>
      </c>
      <c r="F258" s="119" t="s">
        <v>83</v>
      </c>
      <c r="G258" s="120">
        <v>1</v>
      </c>
      <c r="H258" s="121">
        <v>1166027</v>
      </c>
      <c r="I258" s="122">
        <v>0</v>
      </c>
      <c r="J258" s="121">
        <f t="shared" si="39"/>
        <v>1166027</v>
      </c>
      <c r="K258" s="138">
        <f t="shared" si="40"/>
        <v>1166027</v>
      </c>
      <c r="L258" s="182"/>
      <c r="M258" s="46" t="s">
        <v>1080</v>
      </c>
      <c r="N258" s="46"/>
      <c r="O258" s="46"/>
      <c r="P258" s="46"/>
      <c r="Q258" s="46"/>
      <c r="R258" s="46"/>
      <c r="S258" s="46"/>
      <c r="T258" s="46"/>
      <c r="U258" s="46"/>
      <c r="V258" s="46"/>
      <c r="W258" s="46"/>
      <c r="X258" s="2"/>
    </row>
    <row r="259" spans="1:24">
      <c r="A259" s="137" t="s">
        <v>686</v>
      </c>
      <c r="B259" s="119" t="s">
        <v>687</v>
      </c>
      <c r="C259" s="119" t="s">
        <v>70</v>
      </c>
      <c r="D259" s="119" t="s">
        <v>75</v>
      </c>
      <c r="E259" s="119" t="s">
        <v>343</v>
      </c>
      <c r="F259" s="119" t="s">
        <v>83</v>
      </c>
      <c r="G259" s="120">
        <v>1</v>
      </c>
      <c r="H259" s="121">
        <v>645121</v>
      </c>
      <c r="I259" s="122">
        <v>0</v>
      </c>
      <c r="J259" s="121">
        <f t="shared" si="39"/>
        <v>645121</v>
      </c>
      <c r="K259" s="138">
        <f t="shared" si="40"/>
        <v>645121</v>
      </c>
      <c r="L259" s="182"/>
      <c r="M259" s="46" t="s">
        <v>611</v>
      </c>
      <c r="N259" s="46"/>
      <c r="O259" s="46"/>
      <c r="P259" s="46"/>
      <c r="Q259" s="46"/>
      <c r="R259" s="46"/>
      <c r="S259" s="46"/>
      <c r="T259" s="46"/>
      <c r="U259" s="46"/>
      <c r="V259" s="46"/>
      <c r="W259" s="46"/>
      <c r="X259" s="2"/>
    </row>
    <row r="260" spans="1:24">
      <c r="A260" s="137" t="s">
        <v>688</v>
      </c>
      <c r="B260" s="119" t="s">
        <v>689</v>
      </c>
      <c r="C260" s="119" t="s">
        <v>70</v>
      </c>
      <c r="D260" s="119" t="s">
        <v>75</v>
      </c>
      <c r="E260" s="119" t="s">
        <v>76</v>
      </c>
      <c r="F260" s="119" t="s">
        <v>83</v>
      </c>
      <c r="G260" s="120">
        <v>1</v>
      </c>
      <c r="H260" s="121">
        <v>50000</v>
      </c>
      <c r="I260" s="122">
        <v>0</v>
      </c>
      <c r="J260" s="121">
        <f t="shared" si="39"/>
        <v>50000</v>
      </c>
      <c r="K260" s="138">
        <f t="shared" si="40"/>
        <v>50000</v>
      </c>
      <c r="L260" s="182"/>
      <c r="M260" s="46"/>
      <c r="N260" s="46"/>
      <c r="O260" s="46"/>
      <c r="P260" s="46"/>
      <c r="Q260" s="46"/>
      <c r="R260" s="46"/>
      <c r="S260" s="46"/>
      <c r="T260" s="46"/>
      <c r="U260" s="46"/>
      <c r="V260" s="46"/>
      <c r="W260" s="46"/>
      <c r="X260" s="2"/>
    </row>
    <row r="261" spans="1:24">
      <c r="A261" s="137" t="s">
        <v>690</v>
      </c>
      <c r="B261" s="119" t="s">
        <v>691</v>
      </c>
      <c r="C261" s="119" t="s">
        <v>144</v>
      </c>
      <c r="D261" s="119"/>
      <c r="E261" s="119" t="s">
        <v>76</v>
      </c>
      <c r="F261" s="119" t="s">
        <v>83</v>
      </c>
      <c r="G261" s="120">
        <v>1</v>
      </c>
      <c r="H261" s="121">
        <v>5000</v>
      </c>
      <c r="I261" s="122">
        <v>0</v>
      </c>
      <c r="J261" s="121">
        <f t="shared" si="39"/>
        <v>5000</v>
      </c>
      <c r="K261" s="138">
        <f t="shared" si="40"/>
        <v>5000</v>
      </c>
      <c r="L261" s="182"/>
      <c r="M261" s="46"/>
      <c r="N261" s="46"/>
      <c r="O261" s="46"/>
      <c r="P261" s="46"/>
      <c r="Q261" s="46"/>
      <c r="R261" s="46"/>
      <c r="S261" s="46"/>
      <c r="T261" s="46"/>
      <c r="U261" s="46"/>
      <c r="V261" s="46"/>
      <c r="W261" s="46"/>
      <c r="X261" s="2"/>
    </row>
    <row r="262" spans="1:24" s="155" customFormat="1">
      <c r="A262" s="137" t="s">
        <v>692</v>
      </c>
      <c r="B262" s="119" t="s">
        <v>693</v>
      </c>
      <c r="C262" s="119" t="s">
        <v>70</v>
      </c>
      <c r="D262" s="119" t="s">
        <v>405</v>
      </c>
      <c r="E262" s="119" t="s">
        <v>131</v>
      </c>
      <c r="F262" s="119" t="s">
        <v>83</v>
      </c>
      <c r="G262" s="120">
        <v>1</v>
      </c>
      <c r="H262" s="121">
        <v>0</v>
      </c>
      <c r="I262" s="122">
        <v>0.15</v>
      </c>
      <c r="J262" s="121">
        <f t="shared" si="39"/>
        <v>0</v>
      </c>
      <c r="K262" s="138">
        <f t="shared" si="40"/>
        <v>0</v>
      </c>
      <c r="L262" s="182"/>
      <c r="M262" s="46" t="s">
        <v>1114</v>
      </c>
      <c r="N262" s="150"/>
      <c r="O262" s="150"/>
      <c r="P262" s="150"/>
      <c r="Q262" s="150"/>
      <c r="R262" s="150"/>
      <c r="S262" s="150"/>
      <c r="T262" s="150"/>
      <c r="U262" s="150"/>
      <c r="V262" s="150"/>
      <c r="W262" s="150"/>
      <c r="X262" s="154"/>
    </row>
    <row r="263" spans="1:24">
      <c r="A263" s="118" t="s">
        <v>694</v>
      </c>
      <c r="B263" s="119" t="s">
        <v>695</v>
      </c>
      <c r="C263" s="119" t="s">
        <v>70</v>
      </c>
      <c r="D263" s="119"/>
      <c r="E263" s="119" t="s">
        <v>343</v>
      </c>
      <c r="F263" s="119" t="s">
        <v>83</v>
      </c>
      <c r="G263" s="120">
        <v>1</v>
      </c>
      <c r="H263" s="121">
        <v>436476</v>
      </c>
      <c r="I263" s="122">
        <v>0</v>
      </c>
      <c r="J263" s="121">
        <f t="shared" si="39"/>
        <v>436476</v>
      </c>
      <c r="K263" s="138">
        <f t="shared" si="40"/>
        <v>436476</v>
      </c>
      <c r="L263" s="182"/>
      <c r="M263" s="46" t="s">
        <v>1115</v>
      </c>
      <c r="N263" s="46"/>
      <c r="O263" s="46"/>
      <c r="P263" s="46"/>
      <c r="Q263" s="46"/>
      <c r="R263" s="46"/>
      <c r="S263" s="46"/>
      <c r="T263" s="46"/>
      <c r="U263" s="46"/>
      <c r="V263" s="46"/>
      <c r="W263" s="46"/>
      <c r="X263" s="2"/>
    </row>
    <row r="264" spans="1:24">
      <c r="A264" s="118" t="s">
        <v>696</v>
      </c>
      <c r="B264" s="119" t="s">
        <v>697</v>
      </c>
      <c r="C264" s="119" t="s">
        <v>144</v>
      </c>
      <c r="D264" s="119"/>
      <c r="E264" s="119" t="s">
        <v>76</v>
      </c>
      <c r="F264" s="119" t="s">
        <v>83</v>
      </c>
      <c r="G264" s="120">
        <v>0</v>
      </c>
      <c r="H264" s="121">
        <v>0</v>
      </c>
      <c r="I264" s="122">
        <v>0</v>
      </c>
      <c r="J264" s="121">
        <f t="shared" si="39"/>
        <v>0</v>
      </c>
      <c r="K264" s="138">
        <f t="shared" si="40"/>
        <v>0</v>
      </c>
      <c r="M264" s="46" t="s">
        <v>1083</v>
      </c>
      <c r="N264" s="46"/>
      <c r="O264" s="46"/>
      <c r="P264" s="46"/>
      <c r="Q264" s="46"/>
      <c r="R264" s="46"/>
      <c r="S264" s="46"/>
      <c r="T264" s="46"/>
      <c r="U264" s="46"/>
      <c r="V264" s="46"/>
      <c r="W264" s="46"/>
      <c r="X264" s="2"/>
    </row>
    <row r="265" spans="1:24">
      <c r="A265" s="118" t="s">
        <v>698</v>
      </c>
      <c r="B265" s="119" t="s">
        <v>699</v>
      </c>
      <c r="C265" s="119" t="s">
        <v>70</v>
      </c>
      <c r="D265" s="119"/>
      <c r="E265" s="119" t="s">
        <v>76</v>
      </c>
      <c r="F265" s="119" t="s">
        <v>83</v>
      </c>
      <c r="G265" s="120">
        <v>1</v>
      </c>
      <c r="H265" s="121">
        <v>15600</v>
      </c>
      <c r="I265" s="122">
        <v>0</v>
      </c>
      <c r="J265" s="121">
        <f t="shared" ref="J265" si="41">H265*(1+I265)</f>
        <v>15600</v>
      </c>
      <c r="K265" s="138">
        <f t="shared" ref="K265" si="42">J265*G265</f>
        <v>15600</v>
      </c>
      <c r="M265" s="46"/>
      <c r="N265" s="46"/>
      <c r="O265" s="46"/>
      <c r="P265" s="46"/>
      <c r="Q265" s="46"/>
      <c r="R265" s="46"/>
      <c r="S265" s="46"/>
      <c r="T265" s="46"/>
      <c r="U265" s="46"/>
      <c r="V265" s="46"/>
      <c r="W265" s="46"/>
      <c r="X265" s="2"/>
    </row>
    <row r="266" spans="1:24">
      <c r="A266" s="118" t="s">
        <v>700</v>
      </c>
      <c r="B266" s="119" t="s">
        <v>701</v>
      </c>
      <c r="C266" s="119" t="s">
        <v>70</v>
      </c>
      <c r="D266" s="119"/>
      <c r="E266" s="119" t="s">
        <v>87</v>
      </c>
      <c r="F266" s="119"/>
      <c r="G266" s="120"/>
      <c r="H266" s="121"/>
      <c r="I266" s="122">
        <v>0</v>
      </c>
      <c r="J266" s="121">
        <f t="shared" si="39"/>
        <v>0</v>
      </c>
      <c r="K266" s="138">
        <f t="shared" si="40"/>
        <v>0</v>
      </c>
      <c r="M266" s="46"/>
      <c r="N266" s="46"/>
      <c r="O266" s="46"/>
      <c r="P266" s="46"/>
      <c r="Q266" s="46"/>
      <c r="R266" s="46"/>
      <c r="S266" s="46"/>
      <c r="T266" s="46"/>
      <c r="U266" s="46"/>
      <c r="V266" s="46"/>
      <c r="W266" s="46"/>
      <c r="X266" s="2"/>
    </row>
    <row r="267" spans="1:24">
      <c r="A267" s="118" t="s">
        <v>702</v>
      </c>
      <c r="B267" s="119" t="s">
        <v>703</v>
      </c>
      <c r="C267" s="119" t="s">
        <v>70</v>
      </c>
      <c r="D267" s="119"/>
      <c r="E267" s="119" t="s">
        <v>87</v>
      </c>
      <c r="F267" s="119"/>
      <c r="G267" s="120"/>
      <c r="H267" s="121"/>
      <c r="I267" s="122">
        <v>0</v>
      </c>
      <c r="J267" s="121">
        <f t="shared" si="39"/>
        <v>0</v>
      </c>
      <c r="K267" s="138">
        <f t="shared" si="40"/>
        <v>0</v>
      </c>
      <c r="M267" s="46"/>
      <c r="N267" s="46"/>
      <c r="O267" s="46"/>
      <c r="P267" s="46"/>
      <c r="Q267" s="46"/>
      <c r="R267" s="46"/>
      <c r="S267" s="46"/>
      <c r="T267" s="46"/>
      <c r="U267" s="46"/>
      <c r="V267" s="46"/>
      <c r="W267" s="46"/>
      <c r="X267" s="2"/>
    </row>
    <row r="268" spans="1:24">
      <c r="A268" s="118" t="s">
        <v>704</v>
      </c>
      <c r="B268" s="119" t="s">
        <v>683</v>
      </c>
      <c r="C268" s="119" t="s">
        <v>70</v>
      </c>
      <c r="D268" s="119" t="s">
        <v>405</v>
      </c>
      <c r="E268" s="119" t="s">
        <v>343</v>
      </c>
      <c r="F268" s="119" t="s">
        <v>83</v>
      </c>
      <c r="G268" s="120">
        <v>1</v>
      </c>
      <c r="H268" s="121">
        <v>540210</v>
      </c>
      <c r="I268" s="122">
        <v>0</v>
      </c>
      <c r="J268" s="121">
        <f t="shared" si="39"/>
        <v>540210</v>
      </c>
      <c r="K268" s="138">
        <f t="shared" si="40"/>
        <v>540210</v>
      </c>
      <c r="L268" s="182"/>
      <c r="M268" s="46" t="s">
        <v>611</v>
      </c>
      <c r="N268" s="46"/>
      <c r="O268" s="46"/>
      <c r="P268" s="46"/>
      <c r="Q268" s="46"/>
      <c r="R268" s="46"/>
      <c r="S268" s="46"/>
      <c r="T268" s="46"/>
      <c r="U268" s="46"/>
      <c r="V268" s="46"/>
      <c r="W268" s="46"/>
      <c r="X268" s="2"/>
    </row>
    <row r="269" spans="1:24">
      <c r="A269" s="118" t="s">
        <v>705</v>
      </c>
      <c r="B269" s="119" t="s">
        <v>687</v>
      </c>
      <c r="C269" s="119" t="s">
        <v>70</v>
      </c>
      <c r="D269" s="119" t="s">
        <v>405</v>
      </c>
      <c r="E269" s="119" t="s">
        <v>343</v>
      </c>
      <c r="F269" s="119" t="s">
        <v>83</v>
      </c>
      <c r="G269" s="120">
        <v>1</v>
      </c>
      <c r="H269" s="121">
        <v>154740</v>
      </c>
      <c r="I269" s="122">
        <v>0</v>
      </c>
      <c r="J269" s="121">
        <f t="shared" si="39"/>
        <v>154740</v>
      </c>
      <c r="K269" s="138">
        <f t="shared" si="40"/>
        <v>154740</v>
      </c>
      <c r="L269" s="182"/>
      <c r="M269" s="46" t="s">
        <v>611</v>
      </c>
      <c r="N269" s="46"/>
      <c r="O269" s="46"/>
      <c r="P269" s="46"/>
      <c r="Q269" s="46"/>
      <c r="R269" s="46"/>
      <c r="S269" s="46"/>
      <c r="T269" s="46"/>
      <c r="U269" s="46"/>
      <c r="V269" s="46"/>
      <c r="W269" s="46"/>
      <c r="X269" s="2"/>
    </row>
    <row r="270" spans="1:24">
      <c r="A270" s="118" t="s">
        <v>706</v>
      </c>
      <c r="B270" s="119" t="s">
        <v>689</v>
      </c>
      <c r="C270" s="119" t="s">
        <v>70</v>
      </c>
      <c r="D270" s="119" t="s">
        <v>405</v>
      </c>
      <c r="E270" s="119" t="s">
        <v>76</v>
      </c>
      <c r="F270" s="119" t="s">
        <v>83</v>
      </c>
      <c r="G270" s="120">
        <v>1</v>
      </c>
      <c r="H270" s="121">
        <v>25000</v>
      </c>
      <c r="I270" s="122">
        <v>0</v>
      </c>
      <c r="J270" s="121">
        <f t="shared" si="39"/>
        <v>25000</v>
      </c>
      <c r="K270" s="138">
        <f t="shared" si="40"/>
        <v>25000</v>
      </c>
      <c r="L270" s="182"/>
      <c r="M270" s="46"/>
      <c r="N270" s="46"/>
      <c r="O270" s="46"/>
      <c r="P270" s="46"/>
      <c r="Q270" s="46"/>
      <c r="R270" s="46"/>
      <c r="S270" s="46"/>
      <c r="T270" s="46"/>
      <c r="U270" s="46"/>
      <c r="V270" s="46"/>
      <c r="W270" s="46"/>
      <c r="X270" s="2"/>
    </row>
    <row r="271" spans="1:24">
      <c r="A271" s="118" t="s">
        <v>707</v>
      </c>
      <c r="B271" s="119" t="s">
        <v>695</v>
      </c>
      <c r="C271" s="119" t="s">
        <v>70</v>
      </c>
      <c r="D271" s="119" t="s">
        <v>405</v>
      </c>
      <c r="E271" s="119" t="s">
        <v>343</v>
      </c>
      <c r="F271" s="119" t="s">
        <v>83</v>
      </c>
      <c r="G271" s="120">
        <v>1</v>
      </c>
      <c r="H271" s="121">
        <v>33500</v>
      </c>
      <c r="I271" s="122">
        <v>0</v>
      </c>
      <c r="J271" s="121">
        <f t="shared" si="39"/>
        <v>33500</v>
      </c>
      <c r="K271" s="138">
        <f t="shared" si="40"/>
        <v>33500</v>
      </c>
      <c r="L271" s="182"/>
      <c r="M271" s="46" t="s">
        <v>1116</v>
      </c>
      <c r="N271" s="46"/>
      <c r="O271" s="46"/>
      <c r="P271" s="46"/>
      <c r="Q271" s="46"/>
      <c r="R271" s="46"/>
      <c r="S271" s="46"/>
      <c r="T271" s="46"/>
      <c r="U271" s="46"/>
      <c r="V271" s="46"/>
      <c r="W271" s="46"/>
      <c r="X271" s="2"/>
    </row>
    <row r="272" spans="1:24">
      <c r="A272" s="96" t="s">
        <v>714</v>
      </c>
      <c r="B272" s="97" t="s">
        <v>709</v>
      </c>
      <c r="C272" s="97"/>
      <c r="D272" s="97"/>
      <c r="E272" s="132"/>
      <c r="F272" s="132"/>
      <c r="G272" s="133"/>
      <c r="H272" s="134"/>
      <c r="I272" s="135"/>
      <c r="J272" s="134"/>
      <c r="K272" s="136"/>
      <c r="L272" s="140">
        <f>SUM(K273:K274)</f>
        <v>1288500</v>
      </c>
      <c r="M272" s="46"/>
      <c r="N272" s="46"/>
      <c r="O272" s="46"/>
      <c r="P272" s="46"/>
      <c r="Q272" s="46"/>
      <c r="R272" s="46"/>
      <c r="S272" s="46"/>
      <c r="T272" s="46"/>
      <c r="U272" s="46"/>
      <c r="V272" s="46"/>
      <c r="W272" s="46"/>
      <c r="X272" s="2"/>
    </row>
    <row r="273" spans="1:24">
      <c r="A273" s="111" t="s">
        <v>710</v>
      </c>
      <c r="B273" s="112"/>
      <c r="C273" s="112"/>
      <c r="D273" s="112" t="s">
        <v>75</v>
      </c>
      <c r="E273" s="112" t="s">
        <v>76</v>
      </c>
      <c r="F273" s="112" t="s">
        <v>83</v>
      </c>
      <c r="G273" s="113">
        <v>2</v>
      </c>
      <c r="H273" s="114">
        <v>644250</v>
      </c>
      <c r="I273" s="115">
        <v>0</v>
      </c>
      <c r="J273" s="116">
        <f t="shared" ref="J273:J274" si="43">H273*(1+I273)</f>
        <v>644250</v>
      </c>
      <c r="K273" s="117">
        <f t="shared" ref="K273:K274" si="44">J273*G273</f>
        <v>1288500</v>
      </c>
      <c r="M273" s="46"/>
      <c r="N273" s="46"/>
      <c r="O273" s="46"/>
      <c r="P273" s="46"/>
      <c r="Q273" s="46"/>
      <c r="R273" s="46"/>
      <c r="S273" s="46"/>
      <c r="T273" s="46"/>
      <c r="U273" s="46"/>
      <c r="V273" s="46"/>
      <c r="W273" s="46"/>
      <c r="X273" s="2"/>
    </row>
    <row r="274" spans="1:24">
      <c r="A274" s="118" t="s">
        <v>712</v>
      </c>
      <c r="B274" s="119"/>
      <c r="C274" s="119"/>
      <c r="D274" s="119" t="s">
        <v>75</v>
      </c>
      <c r="E274" s="119" t="s">
        <v>76</v>
      </c>
      <c r="F274" s="119" t="s">
        <v>83</v>
      </c>
      <c r="G274" s="120">
        <v>0</v>
      </c>
      <c r="H274" s="121">
        <v>0</v>
      </c>
      <c r="I274" s="122">
        <v>0</v>
      </c>
      <c r="J274" s="121">
        <f t="shared" si="43"/>
        <v>0</v>
      </c>
      <c r="K274" s="138">
        <f t="shared" si="44"/>
        <v>0</v>
      </c>
      <c r="M274" s="46"/>
      <c r="N274" s="46"/>
      <c r="O274" s="46"/>
      <c r="P274" s="46"/>
      <c r="Q274" s="46"/>
      <c r="R274" s="46"/>
      <c r="S274" s="46"/>
      <c r="T274" s="46"/>
      <c r="U274" s="46"/>
      <c r="V274" s="46"/>
      <c r="W274" s="46"/>
      <c r="X274" s="2"/>
    </row>
    <row r="275" spans="1:24">
      <c r="A275" s="96" t="s">
        <v>717</v>
      </c>
      <c r="B275" s="97" t="s">
        <v>718</v>
      </c>
      <c r="C275" s="97"/>
      <c r="D275" s="97"/>
      <c r="E275" s="97"/>
      <c r="F275" s="97"/>
      <c r="G275" s="98"/>
      <c r="H275" s="99"/>
      <c r="I275" s="100"/>
      <c r="J275" s="99"/>
      <c r="K275" s="131"/>
      <c r="L275" s="103">
        <f>SUM(K276)</f>
        <v>7500</v>
      </c>
      <c r="M275" s="46"/>
      <c r="N275" s="46"/>
      <c r="O275" s="46"/>
      <c r="P275" s="46"/>
      <c r="Q275" s="46"/>
      <c r="R275" s="46"/>
      <c r="S275" s="46"/>
      <c r="T275" s="46"/>
      <c r="U275" s="46"/>
      <c r="V275" s="46"/>
      <c r="W275" s="46"/>
      <c r="X275" s="2"/>
    </row>
    <row r="276" spans="1:24">
      <c r="A276" s="104" t="s">
        <v>715</v>
      </c>
      <c r="B276" s="105" t="s">
        <v>716</v>
      </c>
      <c r="C276" s="105" t="s">
        <v>144</v>
      </c>
      <c r="D276" s="105" t="s">
        <v>405</v>
      </c>
      <c r="E276" s="105" t="s">
        <v>76</v>
      </c>
      <c r="F276" s="105" t="s">
        <v>83</v>
      </c>
      <c r="G276" s="106">
        <v>1</v>
      </c>
      <c r="H276" s="107">
        <v>7500</v>
      </c>
      <c r="I276" s="108">
        <v>0</v>
      </c>
      <c r="J276" s="109">
        <f t="shared" ref="J276" si="45">H276*(1+I276)</f>
        <v>7500</v>
      </c>
      <c r="K276" s="110">
        <f>J276*G276</f>
        <v>7500</v>
      </c>
      <c r="M276" s="46"/>
      <c r="N276" s="46"/>
      <c r="O276" s="46"/>
      <c r="P276" s="46"/>
      <c r="Q276" s="46"/>
      <c r="R276" s="46"/>
      <c r="S276" s="46"/>
      <c r="T276" s="46"/>
      <c r="U276" s="46"/>
      <c r="V276" s="46"/>
      <c r="W276" s="46"/>
      <c r="X276" s="2"/>
    </row>
    <row r="277" spans="1:24">
      <c r="A277" s="96" t="s">
        <v>726</v>
      </c>
      <c r="B277" s="97" t="s">
        <v>727</v>
      </c>
      <c r="C277" s="97"/>
      <c r="D277" s="97"/>
      <c r="E277" s="97"/>
      <c r="F277" s="97"/>
      <c r="G277" s="98"/>
      <c r="H277" s="99"/>
      <c r="I277" s="100"/>
      <c r="J277" s="99"/>
      <c r="K277" s="131"/>
      <c r="L277" s="103">
        <f>SUM(K278:K280)</f>
        <v>100000</v>
      </c>
      <c r="M277" s="46"/>
      <c r="N277" s="46"/>
      <c r="O277" s="46"/>
      <c r="P277" s="46"/>
      <c r="Q277" s="46"/>
      <c r="R277" s="46"/>
      <c r="S277" s="46"/>
      <c r="T277" s="46"/>
      <c r="U277" s="46"/>
      <c r="V277" s="46"/>
      <c r="W277" s="46"/>
      <c r="X277" s="2"/>
    </row>
    <row r="278" spans="1:24">
      <c r="A278" s="111" t="s">
        <v>719</v>
      </c>
      <c r="B278" s="112" t="s">
        <v>720</v>
      </c>
      <c r="C278" s="112" t="s">
        <v>70</v>
      </c>
      <c r="D278" s="112"/>
      <c r="E278" s="112" t="s">
        <v>76</v>
      </c>
      <c r="F278" s="112" t="s">
        <v>83</v>
      </c>
      <c r="G278" s="113">
        <v>1</v>
      </c>
      <c r="H278" s="114">
        <v>0</v>
      </c>
      <c r="I278" s="115">
        <v>0</v>
      </c>
      <c r="J278" s="116">
        <f t="shared" ref="J278:J280" si="46">H278*(1+I278)</f>
        <v>0</v>
      </c>
      <c r="K278" s="117">
        <f>J278*G278</f>
        <v>0</v>
      </c>
      <c r="M278" s="46"/>
      <c r="N278" s="46"/>
      <c r="O278" s="46"/>
      <c r="P278" s="46"/>
      <c r="Q278" s="46"/>
      <c r="R278" s="46"/>
      <c r="S278" s="46"/>
      <c r="T278" s="46"/>
      <c r="U278" s="46"/>
      <c r="V278" s="46"/>
      <c r="W278" s="46"/>
      <c r="X278" s="2"/>
    </row>
    <row r="279" spans="1:24">
      <c r="A279" s="118" t="s">
        <v>722</v>
      </c>
      <c r="B279" s="119" t="s">
        <v>723</v>
      </c>
      <c r="C279" s="119" t="s">
        <v>144</v>
      </c>
      <c r="D279" s="119"/>
      <c r="E279" s="119" t="s">
        <v>76</v>
      </c>
      <c r="F279" s="119" t="s">
        <v>83</v>
      </c>
      <c r="G279" s="120">
        <v>1</v>
      </c>
      <c r="H279" s="121">
        <v>50000</v>
      </c>
      <c r="I279" s="122">
        <v>0</v>
      </c>
      <c r="J279" s="121">
        <f t="shared" si="46"/>
        <v>50000</v>
      </c>
      <c r="K279" s="138">
        <f>J279*G279</f>
        <v>50000</v>
      </c>
      <c r="M279" s="46" t="s">
        <v>1086</v>
      </c>
      <c r="N279" s="46"/>
      <c r="O279" s="46"/>
      <c r="P279" s="46"/>
      <c r="Q279" s="46"/>
      <c r="R279" s="46"/>
      <c r="S279" s="46"/>
      <c r="T279" s="46"/>
      <c r="U279" s="46"/>
      <c r="V279" s="46"/>
      <c r="W279" s="46"/>
      <c r="X279" s="2"/>
    </row>
    <row r="280" spans="1:24">
      <c r="A280" s="118" t="s">
        <v>724</v>
      </c>
      <c r="B280" s="119" t="s">
        <v>725</v>
      </c>
      <c r="C280" s="119" t="s">
        <v>144</v>
      </c>
      <c r="D280" s="119"/>
      <c r="E280" s="119" t="s">
        <v>76</v>
      </c>
      <c r="F280" s="119" t="s">
        <v>83</v>
      </c>
      <c r="G280" s="120">
        <v>1</v>
      </c>
      <c r="H280" s="121">
        <v>50000</v>
      </c>
      <c r="I280" s="122">
        <v>0</v>
      </c>
      <c r="J280" s="121">
        <f t="shared" si="46"/>
        <v>50000</v>
      </c>
      <c r="K280" s="138">
        <f>J280*G280</f>
        <v>50000</v>
      </c>
      <c r="M280" s="46"/>
      <c r="N280" s="46"/>
      <c r="O280" s="46"/>
      <c r="P280" s="46"/>
      <c r="Q280" s="46"/>
      <c r="R280" s="46"/>
      <c r="S280" s="46"/>
      <c r="T280" s="46"/>
      <c r="U280" s="46"/>
      <c r="V280" s="46"/>
      <c r="W280" s="46"/>
      <c r="X280" s="2"/>
    </row>
    <row r="281" spans="1:24">
      <c r="A281" s="96" t="s">
        <v>748</v>
      </c>
      <c r="B281" s="97" t="s">
        <v>749</v>
      </c>
      <c r="C281" s="97"/>
      <c r="D281" s="97"/>
      <c r="E281" s="97"/>
      <c r="F281" s="97"/>
      <c r="G281" s="98"/>
      <c r="H281" s="99"/>
      <c r="I281" s="100"/>
      <c r="J281" s="99"/>
      <c r="K281" s="131"/>
      <c r="L281" s="103">
        <f>SUM(K282:K290)</f>
        <v>623010.75</v>
      </c>
      <c r="M281" s="46"/>
      <c r="N281" s="46"/>
      <c r="O281" s="46"/>
      <c r="P281" s="46"/>
      <c r="Q281" s="46"/>
      <c r="R281" s="46"/>
      <c r="S281" s="46"/>
      <c r="T281" s="46"/>
      <c r="U281" s="46"/>
      <c r="V281" s="46"/>
      <c r="W281" s="46"/>
      <c r="X281" s="2"/>
    </row>
    <row r="282" spans="1:24">
      <c r="A282" s="111" t="s">
        <v>728</v>
      </c>
      <c r="B282" s="112" t="s">
        <v>729</v>
      </c>
      <c r="C282" s="112" t="s">
        <v>70</v>
      </c>
      <c r="D282" s="112"/>
      <c r="E282" s="112" t="s">
        <v>329</v>
      </c>
      <c r="F282" s="112" t="s">
        <v>83</v>
      </c>
      <c r="G282" s="153">
        <f>$B$9</f>
        <v>17.25</v>
      </c>
      <c r="H282" s="114">
        <v>9972</v>
      </c>
      <c r="I282" s="115">
        <v>0</v>
      </c>
      <c r="J282" s="116">
        <f t="shared" ref="J282:J290" si="47">H282*(1+I282)</f>
        <v>9972</v>
      </c>
      <c r="K282" s="117">
        <f t="shared" ref="K282:K290" si="48">J282*G282</f>
        <v>172017</v>
      </c>
      <c r="M282" s="46" t="s">
        <v>730</v>
      </c>
      <c r="N282" s="46"/>
      <c r="O282" s="46"/>
      <c r="P282" s="46"/>
      <c r="Q282" s="46"/>
      <c r="R282" s="46"/>
      <c r="S282" s="46"/>
      <c r="T282" s="46"/>
      <c r="U282" s="46"/>
      <c r="V282" s="46"/>
      <c r="W282" s="46"/>
      <c r="X282" s="2"/>
    </row>
    <row r="283" spans="1:24">
      <c r="A283" s="118" t="s">
        <v>731</v>
      </c>
      <c r="B283" s="119" t="s">
        <v>732</v>
      </c>
      <c r="C283" s="119" t="s">
        <v>70</v>
      </c>
      <c r="D283" s="119"/>
      <c r="E283" s="119" t="s">
        <v>76</v>
      </c>
      <c r="F283" s="119" t="s">
        <v>83</v>
      </c>
      <c r="G283" s="151">
        <v>1</v>
      </c>
      <c r="H283" s="121">
        <v>10000</v>
      </c>
      <c r="I283" s="122">
        <v>0</v>
      </c>
      <c r="J283" s="121">
        <f t="shared" si="47"/>
        <v>10000</v>
      </c>
      <c r="K283" s="138">
        <f t="shared" si="48"/>
        <v>10000</v>
      </c>
      <c r="M283" s="46" t="s">
        <v>730</v>
      </c>
      <c r="N283" s="46"/>
      <c r="O283" s="46"/>
      <c r="P283" s="46"/>
      <c r="Q283" s="46"/>
      <c r="R283" s="46"/>
      <c r="S283" s="46"/>
      <c r="T283" s="46"/>
      <c r="U283" s="46"/>
      <c r="V283" s="46"/>
      <c r="W283" s="46"/>
      <c r="X283" s="2"/>
    </row>
    <row r="284" spans="1:24">
      <c r="A284" s="118" t="s">
        <v>733</v>
      </c>
      <c r="B284" s="119" t="s">
        <v>734</v>
      </c>
      <c r="C284" s="119" t="s">
        <v>70</v>
      </c>
      <c r="D284" s="119"/>
      <c r="E284" s="119" t="s">
        <v>76</v>
      </c>
      <c r="F284" s="119" t="s">
        <v>83</v>
      </c>
      <c r="G284" s="151">
        <v>1</v>
      </c>
      <c r="H284" s="121">
        <v>5000</v>
      </c>
      <c r="I284" s="122">
        <v>0</v>
      </c>
      <c r="J284" s="121">
        <f t="shared" si="47"/>
        <v>5000</v>
      </c>
      <c r="K284" s="138">
        <f t="shared" si="48"/>
        <v>5000</v>
      </c>
      <c r="M284" s="46" t="s">
        <v>730</v>
      </c>
      <c r="N284" s="46"/>
      <c r="O284" s="46"/>
      <c r="P284" s="46"/>
      <c r="Q284" s="46"/>
      <c r="R284" s="46"/>
      <c r="S284" s="46"/>
      <c r="T284" s="46"/>
      <c r="U284" s="46"/>
      <c r="V284" s="46"/>
      <c r="W284" s="46"/>
      <c r="X284" s="2"/>
    </row>
    <row r="285" spans="1:24">
      <c r="A285" s="118" t="s">
        <v>735</v>
      </c>
      <c r="B285" s="119" t="s">
        <v>736</v>
      </c>
      <c r="C285" s="119" t="s">
        <v>70</v>
      </c>
      <c r="D285" s="119"/>
      <c r="E285" s="119" t="s">
        <v>329</v>
      </c>
      <c r="F285" s="119" t="s">
        <v>83</v>
      </c>
      <c r="G285" s="151">
        <f t="shared" ref="G285:G290" si="49">$B$9</f>
        <v>17.25</v>
      </c>
      <c r="H285" s="121">
        <v>5775</v>
      </c>
      <c r="I285" s="122">
        <v>0</v>
      </c>
      <c r="J285" s="121">
        <f t="shared" si="47"/>
        <v>5775</v>
      </c>
      <c r="K285" s="138">
        <f t="shared" si="48"/>
        <v>99618.75</v>
      </c>
      <c r="M285" s="46" t="s">
        <v>730</v>
      </c>
      <c r="N285" s="46"/>
      <c r="O285" s="46"/>
      <c r="P285" s="46"/>
      <c r="Q285" s="46"/>
      <c r="R285" s="46"/>
      <c r="S285" s="46"/>
      <c r="T285" s="46"/>
      <c r="U285" s="46"/>
      <c r="V285" s="46"/>
      <c r="W285" s="46"/>
      <c r="X285" s="2"/>
    </row>
    <row r="286" spans="1:24">
      <c r="A286" s="118" t="s">
        <v>738</v>
      </c>
      <c r="B286" s="119" t="s">
        <v>739</v>
      </c>
      <c r="C286" s="119" t="s">
        <v>70</v>
      </c>
      <c r="D286" s="119"/>
      <c r="E286" s="119" t="s">
        <v>329</v>
      </c>
      <c r="F286" s="119" t="s">
        <v>83</v>
      </c>
      <c r="G286" s="151">
        <f t="shared" si="49"/>
        <v>17.25</v>
      </c>
      <c r="H286" s="121">
        <v>7500</v>
      </c>
      <c r="I286" s="122">
        <v>0</v>
      </c>
      <c r="J286" s="121">
        <f t="shared" si="47"/>
        <v>7500</v>
      </c>
      <c r="K286" s="138">
        <f t="shared" si="48"/>
        <v>129375</v>
      </c>
      <c r="M286" s="46" t="s">
        <v>730</v>
      </c>
      <c r="N286" s="46"/>
      <c r="O286" s="46"/>
      <c r="P286" s="46"/>
      <c r="Q286" s="46"/>
      <c r="R286" s="46"/>
      <c r="S286" s="46"/>
      <c r="T286" s="46"/>
      <c r="U286" s="46"/>
      <c r="V286" s="46"/>
      <c r="W286" s="46"/>
      <c r="X286" s="2"/>
    </row>
    <row r="287" spans="1:24">
      <c r="A287" s="118" t="s">
        <v>740</v>
      </c>
      <c r="B287" s="119" t="s">
        <v>741</v>
      </c>
      <c r="C287" s="119" t="s">
        <v>70</v>
      </c>
      <c r="D287" s="119"/>
      <c r="E287" s="119" t="s">
        <v>329</v>
      </c>
      <c r="F287" s="119" t="s">
        <v>83</v>
      </c>
      <c r="G287" s="151">
        <f t="shared" si="49"/>
        <v>17.25</v>
      </c>
      <c r="H287" s="121">
        <v>7500</v>
      </c>
      <c r="I287" s="122">
        <v>0</v>
      </c>
      <c r="J287" s="121">
        <f t="shared" si="47"/>
        <v>7500</v>
      </c>
      <c r="K287" s="138">
        <f t="shared" si="48"/>
        <v>129375</v>
      </c>
      <c r="M287" s="46" t="s">
        <v>730</v>
      </c>
      <c r="N287" s="46"/>
      <c r="O287" s="46"/>
      <c r="P287" s="46"/>
      <c r="Q287" s="46"/>
      <c r="R287" s="46"/>
      <c r="S287" s="46"/>
      <c r="T287" s="46"/>
      <c r="U287" s="46"/>
      <c r="V287" s="46"/>
      <c r="W287" s="46"/>
      <c r="X287" s="2"/>
    </row>
    <row r="288" spans="1:24">
      <c r="A288" s="118" t="s">
        <v>742</v>
      </c>
      <c r="B288" s="119" t="s">
        <v>743</v>
      </c>
      <c r="C288" s="119" t="s">
        <v>70</v>
      </c>
      <c r="D288" s="119"/>
      <c r="E288" s="119" t="s">
        <v>76</v>
      </c>
      <c r="F288" s="119" t="s">
        <v>83</v>
      </c>
      <c r="G288" s="151">
        <f t="shared" si="49"/>
        <v>17.25</v>
      </c>
      <c r="H288" s="121">
        <v>1000</v>
      </c>
      <c r="I288" s="122">
        <v>0</v>
      </c>
      <c r="J288" s="121">
        <f t="shared" si="47"/>
        <v>1000</v>
      </c>
      <c r="K288" s="138">
        <f t="shared" si="48"/>
        <v>17250</v>
      </c>
      <c r="M288" s="46" t="s">
        <v>730</v>
      </c>
      <c r="N288" s="46"/>
      <c r="O288" s="46"/>
      <c r="P288" s="46"/>
      <c r="Q288" s="46"/>
      <c r="R288" s="46"/>
      <c r="S288" s="46"/>
      <c r="T288" s="46"/>
      <c r="U288" s="46"/>
      <c r="V288" s="46"/>
      <c r="W288" s="46"/>
      <c r="X288" s="2"/>
    </row>
    <row r="289" spans="1:24">
      <c r="A289" s="118" t="s">
        <v>744</v>
      </c>
      <c r="B289" s="119" t="s">
        <v>745</v>
      </c>
      <c r="C289" s="119" t="s">
        <v>70</v>
      </c>
      <c r="D289" s="119"/>
      <c r="E289" s="119" t="s">
        <v>76</v>
      </c>
      <c r="F289" s="119" t="s">
        <v>83</v>
      </c>
      <c r="G289" s="151">
        <f t="shared" si="49"/>
        <v>17.25</v>
      </c>
      <c r="H289" s="121">
        <v>1000</v>
      </c>
      <c r="I289" s="122">
        <v>0</v>
      </c>
      <c r="J289" s="121">
        <f t="shared" si="47"/>
        <v>1000</v>
      </c>
      <c r="K289" s="138">
        <f t="shared" si="48"/>
        <v>17250</v>
      </c>
      <c r="M289" s="46" t="s">
        <v>730</v>
      </c>
      <c r="N289" s="46"/>
      <c r="O289" s="46"/>
      <c r="P289" s="46"/>
      <c r="Q289" s="46"/>
      <c r="R289" s="46"/>
      <c r="S289" s="46"/>
      <c r="T289" s="46"/>
      <c r="U289" s="46"/>
      <c r="V289" s="46"/>
      <c r="W289" s="46"/>
      <c r="X289" s="2"/>
    </row>
    <row r="290" spans="1:24">
      <c r="A290" s="118" t="s">
        <v>746</v>
      </c>
      <c r="B290" s="119" t="s">
        <v>747</v>
      </c>
      <c r="C290" s="119" t="s">
        <v>70</v>
      </c>
      <c r="D290" s="119"/>
      <c r="E290" s="119" t="s">
        <v>329</v>
      </c>
      <c r="F290" s="119" t="s">
        <v>83</v>
      </c>
      <c r="G290" s="151">
        <f t="shared" si="49"/>
        <v>17.25</v>
      </c>
      <c r="H290" s="121">
        <v>2500</v>
      </c>
      <c r="I290" s="122">
        <v>0</v>
      </c>
      <c r="J290" s="121">
        <f t="shared" si="47"/>
        <v>2500</v>
      </c>
      <c r="K290" s="138">
        <f t="shared" si="48"/>
        <v>43125</v>
      </c>
      <c r="M290" s="46" t="s">
        <v>730</v>
      </c>
      <c r="N290" s="46"/>
      <c r="O290" s="46"/>
      <c r="P290" s="46"/>
      <c r="Q290" s="46"/>
      <c r="R290" s="46"/>
      <c r="S290" s="46"/>
      <c r="T290" s="46"/>
      <c r="U290" s="46"/>
      <c r="V290" s="46"/>
      <c r="W290" s="46"/>
      <c r="X290" s="2"/>
    </row>
    <row r="291" spans="1:24">
      <c r="A291" s="96" t="s">
        <v>752</v>
      </c>
      <c r="B291" s="97" t="s">
        <v>751</v>
      </c>
      <c r="C291" s="97"/>
      <c r="D291" s="97"/>
      <c r="E291" s="97"/>
      <c r="F291" s="97"/>
      <c r="G291" s="98"/>
      <c r="H291" s="99"/>
      <c r="I291" s="100"/>
      <c r="J291" s="99"/>
      <c r="K291" s="131"/>
      <c r="L291" s="103">
        <f>SUM(K292:K293)</f>
        <v>1062580.81511685</v>
      </c>
      <c r="M291" s="46"/>
      <c r="N291" s="46"/>
      <c r="O291" s="46"/>
      <c r="P291" s="46"/>
      <c r="Q291" s="46"/>
      <c r="R291" s="46"/>
      <c r="S291" s="46"/>
      <c r="T291" s="46"/>
      <c r="U291" s="46"/>
      <c r="V291" s="46"/>
      <c r="W291" s="46"/>
      <c r="X291" s="2"/>
    </row>
    <row r="292" spans="1:24">
      <c r="A292" s="111" t="s">
        <v>750</v>
      </c>
      <c r="B292" s="112"/>
      <c r="C292" s="112"/>
      <c r="D292" s="112"/>
      <c r="E292" s="112"/>
      <c r="F292" s="112"/>
      <c r="G292" s="156">
        <v>0</v>
      </c>
      <c r="H292" s="114"/>
      <c r="I292" s="115"/>
      <c r="J292" s="116"/>
      <c r="K292" s="117">
        <f>G292*SUM(K22:K290)</f>
        <v>0</v>
      </c>
      <c r="M292" s="46"/>
      <c r="N292" s="46"/>
      <c r="O292" s="46"/>
      <c r="P292" s="46"/>
      <c r="Q292" s="46"/>
      <c r="R292" s="46"/>
      <c r="S292" s="46"/>
      <c r="T292" s="46"/>
      <c r="U292" s="46"/>
      <c r="V292" s="46"/>
      <c r="W292" s="46"/>
      <c r="X292" s="2"/>
    </row>
    <row r="293" spans="1:24">
      <c r="A293" s="104" t="s">
        <v>751</v>
      </c>
      <c r="B293" s="105"/>
      <c r="C293" s="105"/>
      <c r="D293" s="105"/>
      <c r="E293" s="105"/>
      <c r="F293" s="105"/>
      <c r="G293" s="157">
        <v>0.02</v>
      </c>
      <c r="H293" s="107"/>
      <c r="I293" s="108"/>
      <c r="J293" s="109"/>
      <c r="K293" s="110">
        <f>G293*SUM(K23:K291)</f>
        <v>1062580.81511685</v>
      </c>
      <c r="M293" s="46"/>
      <c r="N293" s="46"/>
      <c r="O293" s="46"/>
      <c r="P293" s="46"/>
      <c r="Q293" s="46"/>
      <c r="R293" s="46"/>
      <c r="S293" s="46"/>
      <c r="T293" s="46"/>
      <c r="U293" s="46"/>
      <c r="V293" s="46"/>
      <c r="W293" s="46"/>
      <c r="X293" s="2"/>
    </row>
    <row r="294" spans="1:24">
      <c r="A294" s="96" t="s">
        <v>781</v>
      </c>
      <c r="B294" s="97" t="s">
        <v>782</v>
      </c>
      <c r="C294" s="97"/>
      <c r="D294" s="97"/>
      <c r="E294" s="97"/>
      <c r="F294" s="97"/>
      <c r="G294" s="98"/>
      <c r="H294" s="99"/>
      <c r="I294" s="100"/>
      <c r="J294" s="99"/>
      <c r="K294" s="131"/>
      <c r="L294" s="103">
        <f>SUM(K295:K308)</f>
        <v>2460200</v>
      </c>
      <c r="M294" s="46"/>
      <c r="N294" s="46"/>
      <c r="O294" s="46"/>
      <c r="P294" s="46"/>
      <c r="Q294" s="46"/>
      <c r="R294" s="46"/>
      <c r="S294" s="46"/>
      <c r="T294" s="46"/>
      <c r="U294" s="46"/>
      <c r="V294" s="46"/>
      <c r="W294" s="46"/>
      <c r="X294" s="2"/>
    </row>
    <row r="295" spans="1:24">
      <c r="A295" s="111" t="s">
        <v>753</v>
      </c>
      <c r="B295" s="112" t="s">
        <v>754</v>
      </c>
      <c r="C295" s="112" t="s">
        <v>70</v>
      </c>
      <c r="D295" s="112"/>
      <c r="E295" s="112" t="s">
        <v>76</v>
      </c>
      <c r="F295" s="112" t="s">
        <v>83</v>
      </c>
      <c r="G295" s="113">
        <v>1</v>
      </c>
      <c r="H295" s="114">
        <v>10000</v>
      </c>
      <c r="I295" s="115">
        <v>0</v>
      </c>
      <c r="J295" s="116">
        <f t="shared" ref="J295:J308" si="50">H295*(1+I295)</f>
        <v>10000</v>
      </c>
      <c r="K295" s="117">
        <f t="shared" ref="K295:K308" si="51">J295*G295</f>
        <v>10000</v>
      </c>
      <c r="L295" s="182"/>
      <c r="M295" s="46"/>
      <c r="N295" s="46"/>
      <c r="O295" s="46"/>
      <c r="P295" s="46"/>
      <c r="Q295" s="46"/>
      <c r="R295" s="46"/>
      <c r="S295" s="46"/>
      <c r="T295" s="46"/>
      <c r="U295" s="46"/>
      <c r="V295" s="46"/>
      <c r="W295" s="46"/>
      <c r="X295" s="2"/>
    </row>
    <row r="296" spans="1:24">
      <c r="A296" s="118" t="s">
        <v>755</v>
      </c>
      <c r="B296" s="119" t="s">
        <v>756</v>
      </c>
      <c r="C296" s="119" t="s">
        <v>70</v>
      </c>
      <c r="D296" s="119"/>
      <c r="E296" s="119" t="s">
        <v>87</v>
      </c>
      <c r="F296" s="119"/>
      <c r="G296" s="120"/>
      <c r="H296" s="121"/>
      <c r="I296" s="122">
        <v>0</v>
      </c>
      <c r="J296" s="121">
        <f t="shared" si="50"/>
        <v>0</v>
      </c>
      <c r="K296" s="138">
        <f t="shared" si="51"/>
        <v>0</v>
      </c>
      <c r="L296" s="182"/>
      <c r="M296" s="46"/>
      <c r="N296" s="46"/>
      <c r="O296" s="46"/>
      <c r="P296" s="46"/>
      <c r="Q296" s="46"/>
      <c r="R296" s="46"/>
      <c r="S296" s="46"/>
      <c r="T296" s="46"/>
      <c r="U296" s="46"/>
      <c r="V296" s="46"/>
      <c r="W296" s="46"/>
      <c r="X296" s="2"/>
    </row>
    <row r="297" spans="1:24">
      <c r="A297" s="118" t="s">
        <v>757</v>
      </c>
      <c r="B297" s="119" t="s">
        <v>758</v>
      </c>
      <c r="C297" s="119" t="s">
        <v>70</v>
      </c>
      <c r="D297" s="119"/>
      <c r="E297" s="119" t="s">
        <v>87</v>
      </c>
      <c r="F297" s="119" t="s">
        <v>83</v>
      </c>
      <c r="G297" s="120">
        <v>0</v>
      </c>
      <c r="H297" s="121">
        <v>21000</v>
      </c>
      <c r="I297" s="122">
        <v>0</v>
      </c>
      <c r="J297" s="121">
        <f t="shared" si="50"/>
        <v>21000</v>
      </c>
      <c r="K297" s="138">
        <f t="shared" si="51"/>
        <v>0</v>
      </c>
      <c r="L297" s="182"/>
      <c r="M297" s="46"/>
      <c r="N297" s="46"/>
      <c r="O297" s="46"/>
      <c r="P297" s="46"/>
      <c r="Q297" s="46"/>
      <c r="R297" s="46"/>
      <c r="S297" s="46"/>
      <c r="T297" s="46"/>
      <c r="U297" s="46"/>
      <c r="V297" s="46"/>
      <c r="W297" s="46"/>
      <c r="X297" s="2"/>
    </row>
    <row r="298" spans="1:24">
      <c r="A298" s="118" t="s">
        <v>759</v>
      </c>
      <c r="B298" s="119" t="s">
        <v>760</v>
      </c>
      <c r="C298" s="119" t="s">
        <v>70</v>
      </c>
      <c r="D298" s="119"/>
      <c r="E298" s="119" t="s">
        <v>76</v>
      </c>
      <c r="F298" s="119" t="s">
        <v>83</v>
      </c>
      <c r="G298" s="120">
        <v>1</v>
      </c>
      <c r="H298" s="121">
        <v>22000</v>
      </c>
      <c r="I298" s="122">
        <v>0</v>
      </c>
      <c r="J298" s="121">
        <f t="shared" si="50"/>
        <v>22000</v>
      </c>
      <c r="K298" s="138">
        <f t="shared" si="51"/>
        <v>22000</v>
      </c>
      <c r="L298" s="182"/>
      <c r="M298" s="46"/>
      <c r="N298" s="46"/>
      <c r="O298" s="46"/>
      <c r="P298" s="46"/>
      <c r="Q298" s="46"/>
      <c r="R298" s="46"/>
      <c r="S298" s="46"/>
      <c r="T298" s="46"/>
      <c r="U298" s="46"/>
      <c r="V298" s="46"/>
      <c r="W298" s="46"/>
      <c r="X298" s="2"/>
    </row>
    <row r="299" spans="1:24">
      <c r="A299" s="158" t="s">
        <v>761</v>
      </c>
      <c r="B299" s="119" t="s">
        <v>762</v>
      </c>
      <c r="C299" s="119" t="s">
        <v>70</v>
      </c>
      <c r="D299" s="119"/>
      <c r="E299" s="119" t="s">
        <v>329</v>
      </c>
      <c r="F299" s="119" t="s">
        <v>83</v>
      </c>
      <c r="G299" s="120">
        <v>3</v>
      </c>
      <c r="H299" s="159">
        <v>45000</v>
      </c>
      <c r="I299" s="122">
        <v>0</v>
      </c>
      <c r="J299" s="121">
        <f t="shared" si="50"/>
        <v>45000</v>
      </c>
      <c r="K299" s="138">
        <f t="shared" si="51"/>
        <v>135000</v>
      </c>
      <c r="L299" s="182"/>
      <c r="M299" s="46"/>
      <c r="N299" s="46"/>
      <c r="O299" s="46"/>
      <c r="P299" s="46"/>
      <c r="Q299" s="46"/>
      <c r="R299" s="46"/>
      <c r="S299" s="46"/>
      <c r="T299" s="46"/>
      <c r="U299" s="46"/>
      <c r="V299" s="46"/>
      <c r="W299" s="46"/>
      <c r="X299" s="2"/>
    </row>
    <row r="300" spans="1:24">
      <c r="A300" s="158" t="s">
        <v>763</v>
      </c>
      <c r="B300" s="119" t="s">
        <v>764</v>
      </c>
      <c r="C300" s="119" t="s">
        <v>70</v>
      </c>
      <c r="D300" s="119"/>
      <c r="E300" s="119" t="s">
        <v>87</v>
      </c>
      <c r="F300" s="119"/>
      <c r="G300" s="120"/>
      <c r="H300" s="121"/>
      <c r="I300" s="122">
        <v>0</v>
      </c>
      <c r="J300" s="121">
        <f t="shared" si="50"/>
        <v>0</v>
      </c>
      <c r="K300" s="138">
        <f t="shared" si="51"/>
        <v>0</v>
      </c>
      <c r="L300" s="182"/>
      <c r="M300" s="46"/>
      <c r="N300" s="46"/>
      <c r="O300" s="46"/>
      <c r="P300" s="46"/>
      <c r="Q300" s="46"/>
      <c r="R300" s="46"/>
      <c r="S300" s="46"/>
      <c r="T300" s="46"/>
      <c r="U300" s="46"/>
      <c r="V300" s="46"/>
      <c r="W300" s="46"/>
      <c r="X300" s="2"/>
    </row>
    <row r="301" spans="1:24">
      <c r="A301" s="158" t="s">
        <v>765</v>
      </c>
      <c r="B301" s="119" t="s">
        <v>766</v>
      </c>
      <c r="C301" s="119" t="s">
        <v>70</v>
      </c>
      <c r="D301" s="119"/>
      <c r="E301" s="119" t="s">
        <v>76</v>
      </c>
      <c r="F301" s="119" t="s">
        <v>83</v>
      </c>
      <c r="G301" s="120">
        <v>1</v>
      </c>
      <c r="H301" s="121">
        <v>15000</v>
      </c>
      <c r="I301" s="122">
        <v>0</v>
      </c>
      <c r="J301" s="121">
        <f t="shared" si="50"/>
        <v>15000</v>
      </c>
      <c r="K301" s="138">
        <f t="shared" si="51"/>
        <v>15000</v>
      </c>
      <c r="L301" s="182"/>
      <c r="M301" s="46"/>
      <c r="N301" s="46"/>
      <c r="O301" s="46"/>
      <c r="P301" s="46"/>
      <c r="Q301" s="46"/>
      <c r="R301" s="46"/>
      <c r="S301" s="46"/>
      <c r="T301" s="46"/>
      <c r="U301" s="46"/>
      <c r="V301" s="46"/>
      <c r="W301" s="46"/>
      <c r="X301" s="2"/>
    </row>
    <row r="302" spans="1:24">
      <c r="A302" s="158" t="s">
        <v>767</v>
      </c>
      <c r="B302" s="119" t="s">
        <v>768</v>
      </c>
      <c r="C302" s="119" t="s">
        <v>70</v>
      </c>
      <c r="D302" s="119"/>
      <c r="E302" s="119" t="s">
        <v>769</v>
      </c>
      <c r="F302" s="119" t="s">
        <v>83</v>
      </c>
      <c r="G302" s="120">
        <v>1</v>
      </c>
      <c r="H302" s="121">
        <v>5000</v>
      </c>
      <c r="I302" s="122">
        <v>0</v>
      </c>
      <c r="J302" s="121">
        <f t="shared" si="50"/>
        <v>5000</v>
      </c>
      <c r="K302" s="138">
        <f t="shared" si="51"/>
        <v>5000</v>
      </c>
      <c r="L302" s="182"/>
      <c r="M302" s="46"/>
      <c r="N302" s="46"/>
      <c r="O302" s="46"/>
      <c r="P302" s="46"/>
      <c r="Q302" s="46"/>
      <c r="R302" s="46"/>
      <c r="S302" s="46"/>
      <c r="T302" s="46"/>
      <c r="U302" s="46"/>
      <c r="V302" s="46"/>
      <c r="W302" s="46"/>
      <c r="X302" s="2"/>
    </row>
    <row r="303" spans="1:24">
      <c r="A303" s="158" t="s">
        <v>770</v>
      </c>
      <c r="B303" s="119" t="s">
        <v>771</v>
      </c>
      <c r="C303" s="119" t="s">
        <v>70</v>
      </c>
      <c r="D303" s="119"/>
      <c r="E303" s="119" t="s">
        <v>87</v>
      </c>
      <c r="F303" s="119"/>
      <c r="G303" s="120"/>
      <c r="H303" s="121"/>
      <c r="I303" s="122">
        <v>0</v>
      </c>
      <c r="J303" s="121">
        <f t="shared" si="50"/>
        <v>0</v>
      </c>
      <c r="K303" s="138">
        <f t="shared" si="51"/>
        <v>0</v>
      </c>
      <c r="L303" s="182"/>
      <c r="M303" s="46"/>
      <c r="N303" s="46"/>
      <c r="O303" s="46"/>
      <c r="P303" s="46"/>
      <c r="Q303" s="46"/>
      <c r="R303" s="46"/>
      <c r="S303" s="46"/>
      <c r="T303" s="46"/>
      <c r="U303" s="46"/>
      <c r="V303" s="46"/>
      <c r="W303" s="46"/>
      <c r="X303" s="2"/>
    </row>
    <row r="304" spans="1:24">
      <c r="A304" s="118" t="s">
        <v>772</v>
      </c>
      <c r="B304" s="119" t="s">
        <v>773</v>
      </c>
      <c r="C304" s="119" t="s">
        <v>70</v>
      </c>
      <c r="D304" s="119"/>
      <c r="E304" s="119" t="s">
        <v>76</v>
      </c>
      <c r="F304" s="119" t="s">
        <v>83</v>
      </c>
      <c r="G304" s="120">
        <v>3</v>
      </c>
      <c r="H304" s="121">
        <v>650000</v>
      </c>
      <c r="I304" s="122">
        <v>0</v>
      </c>
      <c r="J304" s="121">
        <f t="shared" si="50"/>
        <v>650000</v>
      </c>
      <c r="K304" s="138">
        <f t="shared" si="51"/>
        <v>1950000</v>
      </c>
      <c r="L304" s="182"/>
      <c r="M304" s="46"/>
      <c r="N304" s="46"/>
      <c r="O304" s="46"/>
      <c r="P304" s="46"/>
      <c r="Q304" s="46"/>
      <c r="R304" s="46"/>
      <c r="S304" s="46"/>
      <c r="T304" s="46"/>
      <c r="U304" s="46"/>
      <c r="V304" s="46"/>
      <c r="W304" s="46"/>
      <c r="X304" s="2"/>
    </row>
    <row r="305" spans="1:24">
      <c r="A305" s="118" t="s">
        <v>222</v>
      </c>
      <c r="B305" s="119" t="s">
        <v>775</v>
      </c>
      <c r="C305" s="119" t="s">
        <v>70</v>
      </c>
      <c r="D305" s="119"/>
      <c r="E305" s="119" t="s">
        <v>673</v>
      </c>
      <c r="F305" s="119" t="s">
        <v>83</v>
      </c>
      <c r="G305" s="120">
        <v>3</v>
      </c>
      <c r="H305" s="121">
        <v>100000</v>
      </c>
      <c r="I305" s="122">
        <v>0</v>
      </c>
      <c r="J305" s="121">
        <f t="shared" si="50"/>
        <v>100000</v>
      </c>
      <c r="K305" s="138">
        <f t="shared" si="51"/>
        <v>300000</v>
      </c>
      <c r="L305" s="182"/>
      <c r="M305" s="46"/>
      <c r="N305" s="46"/>
      <c r="O305" s="46"/>
      <c r="P305" s="46"/>
      <c r="Q305" s="46"/>
      <c r="R305" s="46"/>
      <c r="S305" s="46"/>
      <c r="T305" s="46"/>
      <c r="U305" s="46"/>
      <c r="V305" s="46"/>
      <c r="W305" s="46"/>
      <c r="X305" s="2"/>
    </row>
    <row r="306" spans="1:24">
      <c r="A306" s="158" t="s">
        <v>776</v>
      </c>
      <c r="B306" s="119" t="s">
        <v>564</v>
      </c>
      <c r="C306" s="119" t="s">
        <v>70</v>
      </c>
      <c r="D306" s="119"/>
      <c r="E306" s="119" t="s">
        <v>76</v>
      </c>
      <c r="F306" s="119" t="s">
        <v>83</v>
      </c>
      <c r="G306" s="120">
        <v>1</v>
      </c>
      <c r="H306" s="121">
        <v>20000</v>
      </c>
      <c r="I306" s="122">
        <v>0</v>
      </c>
      <c r="J306" s="121">
        <f t="shared" si="50"/>
        <v>20000</v>
      </c>
      <c r="K306" s="138">
        <f t="shared" si="51"/>
        <v>20000</v>
      </c>
      <c r="L306" s="182"/>
      <c r="M306" s="46"/>
      <c r="N306" s="46"/>
      <c r="O306" s="46"/>
      <c r="P306" s="46"/>
      <c r="Q306" s="46"/>
      <c r="R306" s="46"/>
      <c r="S306" s="46"/>
      <c r="T306" s="46"/>
      <c r="U306" s="46"/>
      <c r="V306" s="46"/>
      <c r="W306" s="46"/>
      <c r="X306" s="2"/>
    </row>
    <row r="307" spans="1:24">
      <c r="A307" s="158" t="s">
        <v>777</v>
      </c>
      <c r="B307" s="119" t="s">
        <v>778</v>
      </c>
      <c r="C307" s="119" t="s">
        <v>70</v>
      </c>
      <c r="D307" s="119"/>
      <c r="E307" s="119" t="s">
        <v>76</v>
      </c>
      <c r="F307" s="119" t="s">
        <v>83</v>
      </c>
      <c r="G307" s="120">
        <v>1</v>
      </c>
      <c r="H307" s="121">
        <v>2000</v>
      </c>
      <c r="I307" s="122">
        <v>0</v>
      </c>
      <c r="J307" s="121">
        <f t="shared" si="50"/>
        <v>2000</v>
      </c>
      <c r="K307" s="138">
        <f t="shared" si="51"/>
        <v>2000</v>
      </c>
      <c r="L307" s="182"/>
      <c r="M307" s="46"/>
      <c r="N307" s="46"/>
      <c r="O307" s="46"/>
      <c r="P307" s="46"/>
      <c r="Q307" s="46"/>
      <c r="R307" s="46"/>
      <c r="S307" s="46"/>
      <c r="T307" s="46"/>
      <c r="U307" s="46"/>
      <c r="V307" s="46"/>
      <c r="W307" s="46"/>
      <c r="X307" s="2"/>
    </row>
    <row r="308" spans="1:24">
      <c r="A308" s="158" t="s">
        <v>779</v>
      </c>
      <c r="B308" s="119" t="s">
        <v>780</v>
      </c>
      <c r="C308" s="119" t="s">
        <v>70</v>
      </c>
      <c r="D308" s="119"/>
      <c r="E308" s="119" t="s">
        <v>76</v>
      </c>
      <c r="F308" s="119" t="s">
        <v>83</v>
      </c>
      <c r="G308" s="120">
        <v>1</v>
      </c>
      <c r="H308" s="121">
        <v>1200</v>
      </c>
      <c r="I308" s="122">
        <v>0</v>
      </c>
      <c r="J308" s="121">
        <f t="shared" si="50"/>
        <v>1200</v>
      </c>
      <c r="K308" s="138">
        <f t="shared" si="51"/>
        <v>1200</v>
      </c>
      <c r="M308" s="46"/>
      <c r="N308" s="46"/>
      <c r="O308" s="46"/>
      <c r="P308" s="46"/>
      <c r="Q308" s="46"/>
      <c r="R308" s="46"/>
      <c r="S308" s="46"/>
      <c r="T308" s="46"/>
      <c r="U308" s="46"/>
      <c r="V308" s="46"/>
      <c r="W308" s="46"/>
      <c r="X308" s="2"/>
    </row>
    <row r="309" spans="1:24">
      <c r="A309" s="96" t="s">
        <v>783</v>
      </c>
      <c r="B309" s="97" t="s">
        <v>785</v>
      </c>
      <c r="C309" s="97"/>
      <c r="D309" s="97"/>
      <c r="E309" s="97"/>
      <c r="F309" s="97"/>
      <c r="G309" s="98"/>
      <c r="H309" s="99"/>
      <c r="I309" s="100"/>
      <c r="J309" s="99"/>
      <c r="K309" s="131"/>
      <c r="L309" s="103">
        <f>SUM(K310)</f>
        <v>3004755.9643021128</v>
      </c>
      <c r="M309" s="46"/>
      <c r="N309" s="46"/>
      <c r="O309" s="46"/>
      <c r="P309" s="46"/>
      <c r="Q309" s="46"/>
      <c r="R309" s="46"/>
      <c r="S309" s="46"/>
      <c r="T309" s="46"/>
      <c r="U309" s="46"/>
      <c r="V309" s="46"/>
      <c r="W309" s="46"/>
      <c r="X309" s="2"/>
    </row>
    <row r="310" spans="1:24">
      <c r="A310" s="104" t="s">
        <v>783</v>
      </c>
      <c r="B310" s="105" t="s">
        <v>784</v>
      </c>
      <c r="C310" s="105"/>
      <c r="D310" s="105"/>
      <c r="E310" s="105"/>
      <c r="F310" s="105"/>
      <c r="G310" s="157">
        <v>0.05</v>
      </c>
      <c r="H310" s="107"/>
      <c r="I310" s="108"/>
      <c r="J310" s="109"/>
      <c r="K310" s="110">
        <f>G310*SUM(K20:K308)</f>
        <v>3004755.9643021128</v>
      </c>
      <c r="M310" s="46"/>
      <c r="N310" s="46"/>
      <c r="O310" s="46"/>
      <c r="P310" s="46"/>
      <c r="Q310" s="46"/>
      <c r="R310" s="46"/>
      <c r="S310" s="46"/>
      <c r="T310" s="46"/>
      <c r="U310" s="46"/>
      <c r="V310" s="46"/>
      <c r="W310" s="46"/>
      <c r="X310" s="2"/>
    </row>
    <row r="311" spans="1:24">
      <c r="A311" s="96" t="s">
        <v>786</v>
      </c>
      <c r="B311" s="97" t="s">
        <v>789</v>
      </c>
      <c r="C311" s="97"/>
      <c r="D311" s="97"/>
      <c r="E311" s="97"/>
      <c r="F311" s="97"/>
      <c r="G311" s="98"/>
      <c r="H311" s="99"/>
      <c r="I311" s="100"/>
      <c r="J311" s="99"/>
      <c r="K311" s="131"/>
      <c r="L311" s="103">
        <f>SUM(K312)</f>
        <v>736473.68042247149</v>
      </c>
      <c r="M311" s="46"/>
      <c r="N311" s="46"/>
      <c r="O311" s="46"/>
      <c r="P311" s="46"/>
      <c r="Q311" s="46"/>
      <c r="R311" s="46"/>
      <c r="S311" s="46"/>
      <c r="T311" s="46"/>
      <c r="U311" s="46"/>
      <c r="V311" s="46"/>
      <c r="W311" s="46"/>
      <c r="X311" s="2"/>
    </row>
    <row r="312" spans="1:24">
      <c r="A312" s="104" t="s">
        <v>786</v>
      </c>
      <c r="B312" s="105" t="s">
        <v>787</v>
      </c>
      <c r="C312" s="105" t="s">
        <v>788</v>
      </c>
      <c r="D312" s="105"/>
      <c r="E312" s="105"/>
      <c r="F312" s="105"/>
      <c r="G312" s="157">
        <v>1.2999999999999999E-2</v>
      </c>
      <c r="H312" s="107"/>
      <c r="I312" s="108"/>
      <c r="J312" s="109"/>
      <c r="K312" s="110">
        <f>G312*SUM(K22:K290,K293:K308)</f>
        <v>736473.68042247149</v>
      </c>
      <c r="M312" s="46"/>
      <c r="N312" s="46"/>
      <c r="O312" s="46"/>
      <c r="P312" s="46"/>
      <c r="Q312" s="46"/>
      <c r="R312" s="46"/>
      <c r="S312" s="46"/>
      <c r="T312" s="46"/>
      <c r="U312" s="46"/>
      <c r="V312" s="46"/>
      <c r="W312" s="46"/>
      <c r="X312" s="2"/>
    </row>
    <row r="313" spans="1:24">
      <c r="A313" s="96" t="s">
        <v>797</v>
      </c>
      <c r="B313" s="97" t="s">
        <v>789</v>
      </c>
      <c r="C313" s="97"/>
      <c r="D313" s="97"/>
      <c r="E313" s="97"/>
      <c r="F313" s="97"/>
      <c r="G313" s="98"/>
      <c r="H313" s="99"/>
      <c r="I313" s="100"/>
      <c r="J313" s="99"/>
      <c r="K313" s="131"/>
      <c r="L313" s="103">
        <f>SUM(K314:K316)</f>
        <v>387191.89036704466</v>
      </c>
      <c r="M313" s="46"/>
      <c r="N313" s="46"/>
      <c r="O313" s="46"/>
      <c r="P313" s="46"/>
      <c r="Q313" s="46"/>
      <c r="R313" s="46"/>
      <c r="S313" s="46"/>
      <c r="T313" s="46"/>
      <c r="U313" s="46"/>
      <c r="V313" s="46"/>
      <c r="W313" s="46"/>
      <c r="X313" s="2"/>
    </row>
    <row r="314" spans="1:24">
      <c r="A314" s="111" t="s">
        <v>790</v>
      </c>
      <c r="B314" s="112" t="s">
        <v>791</v>
      </c>
      <c r="C314" s="112"/>
      <c r="D314" s="112"/>
      <c r="E314" s="112"/>
      <c r="F314" s="112" t="s">
        <v>792</v>
      </c>
      <c r="G314" s="160">
        <v>3.03</v>
      </c>
      <c r="H314" s="114"/>
      <c r="I314" s="115"/>
      <c r="J314" s="116"/>
      <c r="K314" s="117">
        <f>(SUM(K22:K312)+3500000)/1000*G314</f>
        <v>193595.94518352233</v>
      </c>
      <c r="M314" s="46"/>
      <c r="N314" s="46"/>
      <c r="O314" s="46"/>
      <c r="P314" s="46"/>
      <c r="Q314" s="46"/>
      <c r="R314" s="46"/>
      <c r="S314" s="46"/>
      <c r="T314" s="46"/>
      <c r="U314" s="46"/>
      <c r="V314" s="46"/>
      <c r="W314" s="46"/>
      <c r="X314" s="2"/>
    </row>
    <row r="315" spans="1:24">
      <c r="A315" s="158" t="s">
        <v>793</v>
      </c>
      <c r="B315" s="119" t="s">
        <v>791</v>
      </c>
      <c r="C315" s="119"/>
      <c r="D315" s="119"/>
      <c r="E315" s="119"/>
      <c r="F315" s="119" t="s">
        <v>794</v>
      </c>
      <c r="G315" s="122">
        <v>0.05</v>
      </c>
      <c r="H315" s="121"/>
      <c r="I315" s="122"/>
      <c r="J315" s="121"/>
      <c r="K315" s="138">
        <f>K314*G315</f>
        <v>9679.7972591761172</v>
      </c>
      <c r="M315" s="46"/>
      <c r="N315" s="46"/>
      <c r="O315" s="46"/>
      <c r="P315" s="46"/>
      <c r="Q315" s="46"/>
      <c r="R315" s="46"/>
      <c r="S315" s="46"/>
      <c r="T315" s="46"/>
      <c r="U315" s="46"/>
      <c r="V315" s="46"/>
      <c r="W315" s="46"/>
      <c r="X315" s="2"/>
    </row>
    <row r="316" spans="1:24">
      <c r="A316" s="158" t="s">
        <v>795</v>
      </c>
      <c r="B316" s="119" t="s">
        <v>791</v>
      </c>
      <c r="C316" s="119"/>
      <c r="D316" s="119"/>
      <c r="E316" s="119"/>
      <c r="F316" s="119" t="s">
        <v>796</v>
      </c>
      <c r="G316" s="122">
        <v>0.95</v>
      </c>
      <c r="H316" s="121"/>
      <c r="I316" s="122"/>
      <c r="J316" s="121"/>
      <c r="K316" s="138">
        <f>K314*G316</f>
        <v>183916.14792434621</v>
      </c>
      <c r="M316" s="46"/>
      <c r="N316" s="46"/>
      <c r="O316" s="46"/>
      <c r="P316" s="46"/>
      <c r="Q316" s="46"/>
      <c r="R316" s="46"/>
      <c r="S316" s="46"/>
      <c r="T316" s="46"/>
      <c r="U316" s="46"/>
      <c r="V316" s="46"/>
      <c r="W316" s="46"/>
      <c r="X316" s="2"/>
    </row>
    <row r="317" spans="1:24">
      <c r="A317" s="96" t="s">
        <v>800</v>
      </c>
      <c r="B317" s="97" t="s">
        <v>799</v>
      </c>
      <c r="C317" s="97"/>
      <c r="D317" s="97"/>
      <c r="E317" s="97"/>
      <c r="F317" s="97"/>
      <c r="G317" s="98"/>
      <c r="H317" s="99"/>
      <c r="I317" s="100"/>
      <c r="J317" s="99"/>
      <c r="K317" s="131"/>
      <c r="L317" s="103">
        <f>SUM(K318:K319)</f>
        <v>5137883.2656907104</v>
      </c>
      <c r="M317" s="46"/>
      <c r="N317" s="46"/>
      <c r="O317" s="46"/>
      <c r="P317" s="46"/>
      <c r="Q317" s="46"/>
      <c r="R317" s="46"/>
      <c r="S317" s="46"/>
      <c r="T317" s="46"/>
      <c r="U317" s="46"/>
      <c r="V317" s="46"/>
      <c r="W317" s="46"/>
      <c r="X317" s="2"/>
    </row>
    <row r="318" spans="1:24">
      <c r="A318" s="89" t="s">
        <v>798</v>
      </c>
      <c r="B318" s="90" t="s">
        <v>799</v>
      </c>
      <c r="C318" s="90"/>
      <c r="D318" s="90"/>
      <c r="E318" s="90"/>
      <c r="F318" s="90"/>
      <c r="G318" s="161">
        <v>0.02</v>
      </c>
      <c r="H318" s="162"/>
      <c r="I318" s="93"/>
      <c r="J318" s="94"/>
      <c r="K318" s="95">
        <f>SUM(K19:K316)*G318</f>
        <v>1284470.8164226776</v>
      </c>
      <c r="M318" s="46"/>
      <c r="N318" s="46"/>
      <c r="O318" s="46"/>
      <c r="P318" s="46"/>
      <c r="Q318" s="46"/>
      <c r="R318" s="46"/>
      <c r="S318" s="46"/>
      <c r="T318" s="46"/>
      <c r="U318" s="46"/>
      <c r="V318" s="46"/>
      <c r="W318" s="46"/>
      <c r="X318" s="2"/>
    </row>
    <row r="319" spans="1:24">
      <c r="A319" s="89" t="s">
        <v>800</v>
      </c>
      <c r="B319" s="90" t="s">
        <v>799</v>
      </c>
      <c r="C319" s="90"/>
      <c r="D319" s="90"/>
      <c r="E319" s="90"/>
      <c r="F319" s="90"/>
      <c r="G319" s="161">
        <v>0.06</v>
      </c>
      <c r="H319" s="162"/>
      <c r="I319" s="93"/>
      <c r="J319" s="94"/>
      <c r="K319" s="95">
        <f>SUM(K20:K317)*G319</f>
        <v>3853412.4492680328</v>
      </c>
      <c r="M319" s="46"/>
      <c r="N319" s="46"/>
      <c r="O319" s="46"/>
      <c r="P319" s="46"/>
      <c r="Q319" s="46"/>
      <c r="R319" s="46"/>
      <c r="S319" s="46"/>
      <c r="T319" s="46"/>
      <c r="U319" s="46"/>
      <c r="V319" s="46"/>
      <c r="W319" s="46"/>
      <c r="X319" s="2"/>
    </row>
    <row r="320" spans="1:24" ht="15.75" thickBot="1">
      <c r="A320" s="163" t="s">
        <v>802</v>
      </c>
      <c r="B320" s="164"/>
      <c r="C320" s="164"/>
      <c r="D320" s="164"/>
      <c r="E320" s="164"/>
      <c r="F320" s="164"/>
      <c r="G320" s="164"/>
      <c r="H320" s="165"/>
      <c r="I320" s="166"/>
      <c r="J320" s="167"/>
      <c r="K320" s="167"/>
      <c r="L320" s="168">
        <f>SUM(L20:L319)</f>
        <v>69361424.086824596</v>
      </c>
      <c r="M320" s="169"/>
      <c r="N320" s="169"/>
      <c r="O320" s="169"/>
      <c r="P320" s="169"/>
      <c r="Q320" s="169"/>
      <c r="R320" s="169"/>
      <c r="S320" s="169"/>
      <c r="T320" s="169"/>
      <c r="U320" s="169"/>
      <c r="V320" s="169"/>
      <c r="W320" s="169"/>
      <c r="X320" s="2"/>
    </row>
    <row r="321" spans="1:45" ht="15.75" thickBot="1">
      <c r="G321" s="2"/>
      <c r="H321" s="2"/>
      <c r="I321" s="170"/>
      <c r="L321" s="171">
        <f>SUM(K20:K320)-L320</f>
        <v>0</v>
      </c>
      <c r="M321" s="171"/>
    </row>
    <row r="322" spans="1:45">
      <c r="A322" s="172" t="s">
        <v>72</v>
      </c>
      <c r="B322" s="20" t="s">
        <v>69</v>
      </c>
      <c r="C322" s="20"/>
      <c r="D322" s="20"/>
      <c r="E322" s="173">
        <f t="shared" ref="E322:E357" si="52">_xlfn.XLOOKUP(A322,$A$20:$A$320,$L$20:$L$320)</f>
        <v>3443297.715082909</v>
      </c>
      <c r="L322" s="171"/>
      <c r="N322" s="174" t="s">
        <v>803</v>
      </c>
      <c r="O322" s="24"/>
    </row>
    <row r="323" spans="1:45">
      <c r="A323" s="175" t="s">
        <v>77</v>
      </c>
      <c r="B323" s="18" t="s">
        <v>78</v>
      </c>
      <c r="C323" s="18"/>
      <c r="D323" s="18"/>
      <c r="E323" s="176">
        <f t="shared" si="52"/>
        <v>16000</v>
      </c>
      <c r="N323" s="177">
        <f>SUM(K294:K308,K23:K290)</f>
        <v>55589240.755842485</v>
      </c>
      <c r="O323" s="28"/>
    </row>
    <row r="324" spans="1:45">
      <c r="A324" s="175" t="s">
        <v>121</v>
      </c>
      <c r="B324" s="18" t="s">
        <v>122</v>
      </c>
      <c r="C324" s="18"/>
      <c r="D324" s="18"/>
      <c r="E324" s="176">
        <f t="shared" si="52"/>
        <v>2697268.4800000004</v>
      </c>
      <c r="N324" s="177">
        <f>N323*0.06</f>
        <v>3335354.4453505487</v>
      </c>
      <c r="O324" s="28"/>
    </row>
    <row r="325" spans="1:45" ht="15.75" thickBot="1">
      <c r="A325" s="175" t="s">
        <v>804</v>
      </c>
      <c r="B325" s="18" t="s">
        <v>805</v>
      </c>
      <c r="C325" s="18"/>
      <c r="D325" s="18"/>
      <c r="E325" s="176" t="e">
        <f t="shared" si="52"/>
        <v>#N/A</v>
      </c>
      <c r="N325" s="178">
        <f>N324/B6</f>
        <v>111178.48151168496</v>
      </c>
      <c r="O325" s="73"/>
    </row>
    <row r="326" spans="1:45">
      <c r="A326" s="175" t="s">
        <v>146</v>
      </c>
      <c r="B326" s="18" t="s">
        <v>147</v>
      </c>
      <c r="C326" s="18"/>
      <c r="D326" s="18"/>
      <c r="E326" s="176">
        <f t="shared" si="52"/>
        <v>207800</v>
      </c>
    </row>
    <row r="327" spans="1:45" s="2" customFormat="1">
      <c r="A327" s="175" t="s">
        <v>175</v>
      </c>
      <c r="B327" s="18" t="s">
        <v>176</v>
      </c>
      <c r="C327" s="18"/>
      <c r="D327" s="18"/>
      <c r="E327" s="176">
        <f t="shared" si="52"/>
        <v>349806</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row>
    <row r="328" spans="1:45" s="2" customFormat="1">
      <c r="A328" s="175" t="s">
        <v>220</v>
      </c>
      <c r="B328" s="18" t="s">
        <v>221</v>
      </c>
      <c r="C328" s="18"/>
      <c r="D328" s="18"/>
      <c r="E328" s="176">
        <f t="shared" si="52"/>
        <v>8880630.8000000007</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row>
    <row r="329" spans="1:45" s="2" customFormat="1">
      <c r="A329" s="175" t="s">
        <v>267</v>
      </c>
      <c r="B329" s="18" t="s">
        <v>268</v>
      </c>
      <c r="C329" s="18"/>
      <c r="D329" s="18"/>
      <c r="E329" s="176">
        <f t="shared" si="52"/>
        <v>2198832.2299999995</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row>
    <row r="330" spans="1:45" s="2" customFormat="1">
      <c r="A330" s="175" t="s">
        <v>297</v>
      </c>
      <c r="B330" s="18" t="s">
        <v>298</v>
      </c>
      <c r="C330" s="18"/>
      <c r="D330" s="18"/>
      <c r="E330" s="176">
        <f t="shared" si="52"/>
        <v>516935.78947368421</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row>
    <row r="331" spans="1:45" s="2" customFormat="1">
      <c r="A331" s="175" t="s">
        <v>391</v>
      </c>
      <c r="B331" s="18" t="s">
        <v>392</v>
      </c>
      <c r="C331" s="18"/>
      <c r="D331" s="18"/>
      <c r="E331" s="176">
        <f t="shared" si="52"/>
        <v>5549735.2781879902</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row>
    <row r="332" spans="1:45" s="2" customFormat="1">
      <c r="A332" s="175" t="s">
        <v>431</v>
      </c>
      <c r="B332" s="18" t="s">
        <v>432</v>
      </c>
      <c r="C332" s="18"/>
      <c r="D332" s="18"/>
      <c r="E332" s="176">
        <f t="shared" si="52"/>
        <v>424275</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row>
    <row r="333" spans="1:45" s="2" customFormat="1">
      <c r="A333" s="179" t="s">
        <v>440</v>
      </c>
      <c r="B333" s="35" t="s">
        <v>441</v>
      </c>
      <c r="C333" s="35"/>
      <c r="D333" s="35"/>
      <c r="E333" s="180">
        <f t="shared" si="52"/>
        <v>1253975.6086956521</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row>
    <row r="334" spans="1:45" s="2" customFormat="1">
      <c r="A334" s="172" t="s">
        <v>476</v>
      </c>
      <c r="B334" s="20" t="s">
        <v>477</v>
      </c>
      <c r="C334" s="20"/>
      <c r="D334" s="20"/>
      <c r="E334" s="173">
        <f t="shared" si="52"/>
        <v>2274288.4958810071</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row>
    <row r="335" spans="1:45" s="2" customFormat="1">
      <c r="A335" s="175" t="s">
        <v>487</v>
      </c>
      <c r="B335" s="18" t="s">
        <v>488</v>
      </c>
      <c r="C335" s="18"/>
      <c r="D335" s="18"/>
      <c r="E335" s="176">
        <f t="shared" si="52"/>
        <v>821104</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row>
    <row r="336" spans="1:45" s="2" customFormat="1">
      <c r="A336" s="175" t="s">
        <v>489</v>
      </c>
      <c r="B336" s="18" t="s">
        <v>490</v>
      </c>
      <c r="C336" s="18"/>
      <c r="D336" s="18"/>
      <c r="E336" s="176">
        <f t="shared" si="52"/>
        <v>0</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row>
    <row r="337" spans="1:45" s="2" customFormat="1">
      <c r="A337" s="175" t="s">
        <v>496</v>
      </c>
      <c r="B337" s="18" t="s">
        <v>497</v>
      </c>
      <c r="C337" s="18"/>
      <c r="D337" s="18"/>
      <c r="E337" s="176">
        <f t="shared" si="52"/>
        <v>439560</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row>
    <row r="338" spans="1:45" s="2" customFormat="1">
      <c r="A338" s="175" t="s">
        <v>506</v>
      </c>
      <c r="B338" s="18" t="s">
        <v>507</v>
      </c>
      <c r="C338" s="18"/>
      <c r="D338" s="18"/>
      <c r="E338" s="176">
        <f t="shared" si="52"/>
        <v>1029020.4500000001</v>
      </c>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row>
    <row r="339" spans="1:45" s="2" customFormat="1">
      <c r="A339" s="175" t="s">
        <v>520</v>
      </c>
      <c r="B339" s="18" t="s">
        <v>521</v>
      </c>
      <c r="C339" s="18"/>
      <c r="D339" s="18"/>
      <c r="E339" s="176">
        <f t="shared" si="52"/>
        <v>3852664.6315789479</v>
      </c>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row>
    <row r="340" spans="1:45" s="2" customFormat="1">
      <c r="A340" s="175" t="s">
        <v>527</v>
      </c>
      <c r="B340" s="18" t="s">
        <v>528</v>
      </c>
      <c r="C340" s="18"/>
      <c r="D340" s="18"/>
      <c r="E340" s="176">
        <f t="shared" si="52"/>
        <v>3939796.6559999995</v>
      </c>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row>
    <row r="341" spans="1:45" s="2" customFormat="1">
      <c r="A341" s="175" t="s">
        <v>561</v>
      </c>
      <c r="B341" s="18" t="s">
        <v>562</v>
      </c>
      <c r="C341" s="18"/>
      <c r="D341" s="18"/>
      <c r="E341" s="176">
        <f t="shared" si="52"/>
        <v>3964403.0774365156</v>
      </c>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row>
    <row r="342" spans="1:45" s="2" customFormat="1">
      <c r="A342" s="175" t="s">
        <v>571</v>
      </c>
      <c r="B342" s="18" t="s">
        <v>572</v>
      </c>
      <c r="C342" s="18"/>
      <c r="D342" s="18"/>
      <c r="E342" s="176">
        <f t="shared" si="52"/>
        <v>217168.19</v>
      </c>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row>
    <row r="343" spans="1:45" s="2" customFormat="1">
      <c r="A343" s="175" t="s">
        <v>582</v>
      </c>
      <c r="B343" s="18" t="s">
        <v>583</v>
      </c>
      <c r="C343" s="18"/>
      <c r="D343" s="18"/>
      <c r="E343" s="176">
        <f t="shared" si="52"/>
        <v>942311.97375939845</v>
      </c>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row>
    <row r="344" spans="1:45" s="2" customFormat="1">
      <c r="A344" s="175" t="s">
        <v>603</v>
      </c>
      <c r="B344" s="18" t="s">
        <v>604</v>
      </c>
      <c r="C344" s="18"/>
      <c r="D344" s="18"/>
      <c r="E344" s="176">
        <f t="shared" si="52"/>
        <v>1264963.8500000001</v>
      </c>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row>
    <row r="345" spans="1:45" s="2" customFormat="1">
      <c r="A345" s="179" t="s">
        <v>679</v>
      </c>
      <c r="B345" s="35" t="s">
        <v>680</v>
      </c>
      <c r="C345" s="35"/>
      <c r="D345" s="35"/>
      <c r="E345" s="180">
        <f t="shared" si="52"/>
        <v>7051690.4948293027</v>
      </c>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row>
    <row r="346" spans="1:45" s="2" customFormat="1">
      <c r="A346" s="172" t="s">
        <v>708</v>
      </c>
      <c r="B346" s="20" t="s">
        <v>709</v>
      </c>
      <c r="C346" s="20"/>
      <c r="D346" s="20"/>
      <c r="E346" s="173">
        <f t="shared" si="52"/>
        <v>3217799</v>
      </c>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row>
    <row r="347" spans="1:45" s="2" customFormat="1">
      <c r="A347" s="175" t="s">
        <v>717</v>
      </c>
      <c r="B347" s="18" t="s">
        <v>718</v>
      </c>
      <c r="C347" s="18"/>
      <c r="D347" s="18"/>
      <c r="E347" s="176">
        <f t="shared" si="52"/>
        <v>7500</v>
      </c>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row>
    <row r="348" spans="1:45" s="2" customFormat="1">
      <c r="A348" s="175" t="s">
        <v>726</v>
      </c>
      <c r="B348" s="18" t="s">
        <v>727</v>
      </c>
      <c r="C348" s="18"/>
      <c r="D348" s="18"/>
      <c r="E348" s="176">
        <f t="shared" si="52"/>
        <v>100000</v>
      </c>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row>
    <row r="349" spans="1:45" s="2" customFormat="1">
      <c r="A349" s="175" t="s">
        <v>748</v>
      </c>
      <c r="B349" s="18" t="s">
        <v>749</v>
      </c>
      <c r="C349" s="18"/>
      <c r="D349" s="18"/>
      <c r="E349" s="176">
        <f t="shared" si="52"/>
        <v>623010.75</v>
      </c>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row>
    <row r="350" spans="1:45" s="2" customFormat="1">
      <c r="A350" s="175" t="s">
        <v>806</v>
      </c>
      <c r="B350" s="18"/>
      <c r="C350" s="18"/>
      <c r="D350" s="18"/>
      <c r="E350" s="176" t="e">
        <f t="shared" si="52"/>
        <v>#N/A</v>
      </c>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row>
    <row r="351" spans="1:45" s="2" customFormat="1">
      <c r="A351" s="175" t="s">
        <v>751</v>
      </c>
      <c r="B351" s="18"/>
      <c r="C351" s="18"/>
      <c r="D351" s="18"/>
      <c r="E351" s="176">
        <f t="shared" si="52"/>
        <v>0</v>
      </c>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row>
    <row r="352" spans="1:45" s="2" customFormat="1">
      <c r="A352" s="175" t="s">
        <v>781</v>
      </c>
      <c r="B352" s="18"/>
      <c r="C352" s="18"/>
      <c r="D352" s="18"/>
      <c r="E352" s="176">
        <f t="shared" si="52"/>
        <v>2460200</v>
      </c>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row>
    <row r="353" spans="1:45" s="2" customFormat="1">
      <c r="A353" s="175" t="s">
        <v>783</v>
      </c>
      <c r="B353" s="18" t="s">
        <v>785</v>
      </c>
      <c r="C353" s="18"/>
      <c r="D353" s="18"/>
      <c r="E353" s="176">
        <f t="shared" si="52"/>
        <v>3004755.9643021128</v>
      </c>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row>
    <row r="354" spans="1:45" s="2" customFormat="1">
      <c r="A354" s="175" t="s">
        <v>786</v>
      </c>
      <c r="B354" s="18" t="s">
        <v>789</v>
      </c>
      <c r="C354" s="18"/>
      <c r="D354" s="18"/>
      <c r="E354" s="176">
        <f t="shared" si="52"/>
        <v>736473.68042247149</v>
      </c>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row>
    <row r="355" spans="1:45" s="2" customFormat="1">
      <c r="A355" s="175" t="s">
        <v>797</v>
      </c>
      <c r="B355" s="18" t="s">
        <v>789</v>
      </c>
      <c r="C355" s="18"/>
      <c r="D355" s="18"/>
      <c r="E355" s="176">
        <f t="shared" si="52"/>
        <v>387191.89036704466</v>
      </c>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row>
    <row r="356" spans="1:45" s="2" customFormat="1">
      <c r="A356" s="175" t="s">
        <v>800</v>
      </c>
      <c r="B356" s="18" t="s">
        <v>799</v>
      </c>
      <c r="C356" s="18"/>
      <c r="D356" s="18"/>
      <c r="E356" s="176">
        <f t="shared" si="52"/>
        <v>5137883.2656907104</v>
      </c>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row>
    <row r="357" spans="1:45" s="2" customFormat="1">
      <c r="A357" s="181" t="s">
        <v>802</v>
      </c>
      <c r="B357" s="35"/>
      <c r="C357" s="35"/>
      <c r="D357" s="35"/>
      <c r="E357" s="180">
        <f t="shared" si="52"/>
        <v>69361424.086824596</v>
      </c>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row>
    <row r="358" spans="1:45" s="2" customFormat="1">
      <c r="A358" s="3"/>
      <c r="B358" s="3"/>
      <c r="C358" s="3"/>
      <c r="D358" s="3"/>
      <c r="E358" s="182" t="e">
        <f>SUM(E322:E333,E334:E345,E346:E356)-E357</f>
        <v>#N/A</v>
      </c>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row>
    <row r="362" spans="1:45">
      <c r="F362" s="183" t="s">
        <v>56</v>
      </c>
    </row>
    <row r="363" spans="1:45">
      <c r="A363" s="139"/>
      <c r="B363" s="184"/>
      <c r="C363" s="184"/>
      <c r="D363" s="184"/>
      <c r="E363" s="184"/>
      <c r="F363" s="183" t="s">
        <v>66</v>
      </c>
    </row>
    <row r="364" spans="1:45">
      <c r="A364" s="139" t="s">
        <v>807</v>
      </c>
      <c r="B364" s="184" t="s">
        <v>69</v>
      </c>
      <c r="C364" s="184"/>
      <c r="D364" s="184"/>
      <c r="E364" s="184"/>
      <c r="F364" s="185">
        <f t="shared" ref="F364:F394" si="53">SUMIF($B$20:$B$320,B364,$L$20:$L$320)</f>
        <v>3443297.715082909</v>
      </c>
    </row>
    <row r="365" spans="1:45">
      <c r="A365" s="139" t="s">
        <v>808</v>
      </c>
      <c r="B365" s="184" t="s">
        <v>78</v>
      </c>
      <c r="C365" s="184"/>
      <c r="D365" s="184"/>
      <c r="E365" s="184"/>
      <c r="F365" s="185">
        <f t="shared" si="53"/>
        <v>16000</v>
      </c>
    </row>
    <row r="366" spans="1:45">
      <c r="A366" s="139" t="s">
        <v>809</v>
      </c>
      <c r="B366" s="184" t="s">
        <v>122</v>
      </c>
      <c r="C366" s="184"/>
      <c r="D366" s="184"/>
      <c r="E366" s="184"/>
      <c r="F366" s="185">
        <f t="shared" si="53"/>
        <v>2697268.4800000004</v>
      </c>
    </row>
    <row r="367" spans="1:45">
      <c r="A367" s="139" t="s">
        <v>810</v>
      </c>
      <c r="B367" s="184" t="s">
        <v>147</v>
      </c>
      <c r="C367" s="184"/>
      <c r="D367" s="184"/>
      <c r="E367" s="184"/>
      <c r="F367" s="185">
        <f t="shared" si="53"/>
        <v>207800</v>
      </c>
    </row>
    <row r="368" spans="1:45">
      <c r="A368" s="139" t="s">
        <v>811</v>
      </c>
      <c r="B368" s="184" t="s">
        <v>176</v>
      </c>
      <c r="C368" s="184"/>
      <c r="D368" s="184"/>
      <c r="E368" s="184"/>
      <c r="F368" s="185">
        <f t="shared" si="53"/>
        <v>349806</v>
      </c>
    </row>
    <row r="369" spans="1:6">
      <c r="A369" s="139" t="s">
        <v>812</v>
      </c>
      <c r="B369" s="184" t="s">
        <v>221</v>
      </c>
      <c r="C369" s="184"/>
      <c r="D369" s="184"/>
      <c r="E369" s="184"/>
      <c r="F369" s="185">
        <f t="shared" si="53"/>
        <v>8880630.8000000007</v>
      </c>
    </row>
    <row r="370" spans="1:6">
      <c r="A370" s="139" t="s">
        <v>813</v>
      </c>
      <c r="B370" s="184" t="s">
        <v>268</v>
      </c>
      <c r="C370" s="184"/>
      <c r="D370" s="184"/>
      <c r="E370" s="184"/>
      <c r="F370" s="185">
        <f t="shared" si="53"/>
        <v>2198832.2299999995</v>
      </c>
    </row>
    <row r="371" spans="1:6">
      <c r="A371" s="139" t="s">
        <v>814</v>
      </c>
      <c r="B371" s="184" t="s">
        <v>298</v>
      </c>
      <c r="C371" s="184"/>
      <c r="D371" s="184"/>
      <c r="E371" s="184"/>
      <c r="F371" s="185">
        <f t="shared" si="53"/>
        <v>516935.78947368421</v>
      </c>
    </row>
    <row r="372" spans="1:6">
      <c r="A372" s="139" t="s">
        <v>815</v>
      </c>
      <c r="B372" s="184" t="s">
        <v>392</v>
      </c>
      <c r="C372" s="184"/>
      <c r="D372" s="184"/>
      <c r="E372" s="184"/>
      <c r="F372" s="185">
        <f t="shared" si="53"/>
        <v>5549735.2781879902</v>
      </c>
    </row>
    <row r="373" spans="1:6">
      <c r="A373" s="139" t="s">
        <v>816</v>
      </c>
      <c r="B373" s="184" t="s">
        <v>432</v>
      </c>
      <c r="C373" s="184"/>
      <c r="D373" s="184"/>
      <c r="E373" s="184"/>
      <c r="F373" s="185">
        <f t="shared" si="53"/>
        <v>424275</v>
      </c>
    </row>
    <row r="374" spans="1:6">
      <c r="A374" s="139" t="s">
        <v>817</v>
      </c>
      <c r="B374" s="184" t="s">
        <v>441</v>
      </c>
      <c r="C374" s="184"/>
      <c r="D374" s="184"/>
      <c r="E374" s="184"/>
      <c r="F374" s="185">
        <f t="shared" si="53"/>
        <v>1253975.6086956521</v>
      </c>
    </row>
    <row r="375" spans="1:6">
      <c r="A375" s="139" t="s">
        <v>818</v>
      </c>
      <c r="B375" s="184" t="s">
        <v>477</v>
      </c>
      <c r="C375" s="184"/>
      <c r="D375" s="184"/>
      <c r="E375" s="184"/>
      <c r="F375" s="185">
        <f t="shared" si="53"/>
        <v>2274288.4958810071</v>
      </c>
    </row>
    <row r="376" spans="1:6">
      <c r="A376" s="139" t="s">
        <v>819</v>
      </c>
      <c r="B376" s="184" t="s">
        <v>488</v>
      </c>
      <c r="C376" s="184"/>
      <c r="D376" s="184"/>
      <c r="E376" s="184"/>
      <c r="F376" s="185">
        <f t="shared" si="53"/>
        <v>821104</v>
      </c>
    </row>
    <row r="377" spans="1:6">
      <c r="A377" s="139" t="s">
        <v>820</v>
      </c>
      <c r="B377" s="184" t="s">
        <v>497</v>
      </c>
      <c r="C377" s="184"/>
      <c r="D377" s="184"/>
      <c r="E377" s="184"/>
      <c r="F377" s="185">
        <f t="shared" si="53"/>
        <v>439560</v>
      </c>
    </row>
    <row r="378" spans="1:6">
      <c r="A378" s="139" t="s">
        <v>821</v>
      </c>
      <c r="B378" s="184" t="s">
        <v>507</v>
      </c>
      <c r="C378" s="184"/>
      <c r="D378" s="184"/>
      <c r="E378" s="184"/>
      <c r="F378" s="185">
        <f t="shared" si="53"/>
        <v>1029020.4500000001</v>
      </c>
    </row>
    <row r="379" spans="1:6">
      <c r="A379" s="139" t="s">
        <v>822</v>
      </c>
      <c r="B379" s="184" t="s">
        <v>521</v>
      </c>
      <c r="C379" s="184"/>
      <c r="D379" s="184"/>
      <c r="E379" s="184"/>
      <c r="F379" s="185">
        <f t="shared" si="53"/>
        <v>3852664.6315789479</v>
      </c>
    </row>
    <row r="380" spans="1:6">
      <c r="A380" s="139" t="s">
        <v>823</v>
      </c>
      <c r="B380" s="184" t="s">
        <v>528</v>
      </c>
      <c r="C380" s="184"/>
      <c r="D380" s="184"/>
      <c r="E380" s="184"/>
      <c r="F380" s="185">
        <f t="shared" si="53"/>
        <v>3939796.6559999995</v>
      </c>
    </row>
    <row r="381" spans="1:6">
      <c r="A381" s="139" t="s">
        <v>824</v>
      </c>
      <c r="B381" s="184" t="s">
        <v>562</v>
      </c>
      <c r="C381" s="184"/>
      <c r="D381" s="184"/>
      <c r="E381" s="184"/>
      <c r="F381" s="185">
        <f t="shared" si="53"/>
        <v>3964403.0774365156</v>
      </c>
    </row>
    <row r="382" spans="1:6">
      <c r="A382" s="139" t="s">
        <v>825</v>
      </c>
      <c r="B382" s="184" t="s">
        <v>572</v>
      </c>
      <c r="C382" s="184"/>
      <c r="D382" s="184"/>
      <c r="E382" s="184"/>
      <c r="F382" s="185">
        <f t="shared" si="53"/>
        <v>217168.19</v>
      </c>
    </row>
    <row r="383" spans="1:6">
      <c r="A383" s="139" t="s">
        <v>826</v>
      </c>
      <c r="B383" s="184" t="s">
        <v>583</v>
      </c>
      <c r="C383" s="184"/>
      <c r="D383" s="184"/>
      <c r="E383" s="184"/>
      <c r="F383" s="185">
        <f t="shared" si="53"/>
        <v>942311.97375939845</v>
      </c>
    </row>
    <row r="384" spans="1:6">
      <c r="A384" s="139" t="s">
        <v>827</v>
      </c>
      <c r="B384" s="184" t="s">
        <v>604</v>
      </c>
      <c r="C384" s="184"/>
      <c r="D384" s="184"/>
      <c r="E384" s="184"/>
      <c r="F384" s="185">
        <f t="shared" si="53"/>
        <v>1264963.8500000001</v>
      </c>
    </row>
    <row r="385" spans="1:7">
      <c r="A385" s="139" t="s">
        <v>828</v>
      </c>
      <c r="B385" s="184" t="s">
        <v>680</v>
      </c>
      <c r="C385" s="184"/>
      <c r="D385" s="184"/>
      <c r="E385" s="184"/>
      <c r="F385" s="185">
        <f t="shared" si="53"/>
        <v>7051690.4948293027</v>
      </c>
    </row>
    <row r="386" spans="1:7">
      <c r="A386" s="139" t="s">
        <v>829</v>
      </c>
      <c r="B386" s="184" t="s">
        <v>709</v>
      </c>
      <c r="C386" s="184"/>
      <c r="D386" s="184"/>
      <c r="E386" s="184"/>
      <c r="F386" s="185">
        <f t="shared" si="53"/>
        <v>4506299</v>
      </c>
    </row>
    <row r="387" spans="1:7">
      <c r="A387" s="139" t="s">
        <v>830</v>
      </c>
      <c r="B387" s="184" t="s">
        <v>718</v>
      </c>
      <c r="C387" s="184"/>
      <c r="D387" s="184"/>
      <c r="E387" s="184"/>
      <c r="F387" s="185">
        <f t="shared" si="53"/>
        <v>7500</v>
      </c>
    </row>
    <row r="388" spans="1:7">
      <c r="A388" s="139" t="s">
        <v>831</v>
      </c>
      <c r="B388" s="184" t="s">
        <v>727</v>
      </c>
      <c r="C388" s="184"/>
      <c r="D388" s="184"/>
      <c r="E388" s="184"/>
      <c r="F388" s="185">
        <f t="shared" si="53"/>
        <v>100000</v>
      </c>
    </row>
    <row r="389" spans="1:7">
      <c r="A389" s="139" t="s">
        <v>832</v>
      </c>
      <c r="B389" s="184" t="s">
        <v>749</v>
      </c>
      <c r="C389" s="184"/>
      <c r="D389" s="184"/>
      <c r="E389" s="184"/>
      <c r="F389" s="185">
        <f t="shared" si="53"/>
        <v>623010.75</v>
      </c>
    </row>
    <row r="390" spans="1:7">
      <c r="A390" s="139" t="s">
        <v>751</v>
      </c>
      <c r="B390" s="184" t="s">
        <v>751</v>
      </c>
      <c r="C390" s="184"/>
      <c r="D390" s="184"/>
      <c r="E390" s="184"/>
      <c r="F390" s="185">
        <f t="shared" si="53"/>
        <v>1062580.81511685</v>
      </c>
    </row>
    <row r="391" spans="1:7">
      <c r="A391" s="139" t="s">
        <v>782</v>
      </c>
      <c r="B391" s="184" t="s">
        <v>782</v>
      </c>
      <c r="C391" s="184"/>
      <c r="D391" s="184"/>
      <c r="E391" s="184"/>
      <c r="F391" s="185">
        <f t="shared" si="53"/>
        <v>2460200</v>
      </c>
    </row>
    <row r="392" spans="1:7">
      <c r="A392" s="139" t="s">
        <v>833</v>
      </c>
      <c r="B392" s="184" t="s">
        <v>789</v>
      </c>
      <c r="C392" s="184"/>
      <c r="D392" s="184"/>
      <c r="E392" s="184"/>
      <c r="F392" s="185">
        <f t="shared" si="53"/>
        <v>1123665.5707895162</v>
      </c>
    </row>
    <row r="393" spans="1:7">
      <c r="A393" s="139" t="s">
        <v>834</v>
      </c>
      <c r="B393" s="184" t="s">
        <v>785</v>
      </c>
      <c r="C393" s="184"/>
      <c r="D393" s="184"/>
      <c r="E393" s="184"/>
      <c r="F393" s="185">
        <f t="shared" si="53"/>
        <v>3004755.9643021128</v>
      </c>
    </row>
    <row r="394" spans="1:7">
      <c r="A394" s="139" t="s">
        <v>835</v>
      </c>
      <c r="B394" s="184" t="s">
        <v>799</v>
      </c>
      <c r="C394" s="184"/>
      <c r="D394" s="184"/>
      <c r="E394" s="184"/>
      <c r="F394" s="185">
        <f t="shared" si="53"/>
        <v>5137883.2656907104</v>
      </c>
    </row>
    <row r="395" spans="1:7">
      <c r="A395" s="139" t="s">
        <v>66</v>
      </c>
      <c r="B395" s="184"/>
      <c r="C395" s="184"/>
      <c r="D395" s="184"/>
      <c r="E395" s="184"/>
      <c r="F395" s="186">
        <f>SUM(F364:F394)</f>
        <v>69361424.086824596</v>
      </c>
    </row>
    <row r="396" spans="1:7">
      <c r="A396" s="187" t="s">
        <v>836</v>
      </c>
      <c r="B396" s="188"/>
      <c r="C396" s="188"/>
      <c r="D396" s="188"/>
      <c r="E396" s="188"/>
      <c r="F396" s="189">
        <f>$L$320-F395</f>
        <v>0</v>
      </c>
    </row>
    <row r="398" spans="1:7">
      <c r="A398" s="190" t="s">
        <v>837</v>
      </c>
      <c r="B398" s="184"/>
      <c r="C398" s="184"/>
      <c r="D398" s="184"/>
      <c r="E398" s="184"/>
      <c r="F398" s="184"/>
      <c r="G398" s="139"/>
    </row>
    <row r="399" spans="1:7">
      <c r="A399" s="190" t="s">
        <v>838</v>
      </c>
      <c r="B399" s="184"/>
      <c r="C399" s="184"/>
      <c r="D399" s="184"/>
      <c r="E399" s="184"/>
      <c r="F399" s="184"/>
      <c r="G399" s="139"/>
    </row>
    <row r="400" spans="1:7">
      <c r="A400" s="139" t="s">
        <v>202</v>
      </c>
      <c r="B400" s="184" t="s">
        <v>350</v>
      </c>
      <c r="C400" s="184"/>
      <c r="D400" s="184"/>
      <c r="E400" s="184"/>
      <c r="F400" s="185">
        <f t="shared" ref="F400:F410" si="54">SUMIF($B$20:$B$320,B400,$K$20:$K$320)</f>
        <v>289071.54000000004</v>
      </c>
      <c r="G400" s="184" t="s">
        <v>392</v>
      </c>
    </row>
    <row r="401" spans="1:7">
      <c r="A401" s="139" t="s">
        <v>353</v>
      </c>
      <c r="B401" s="184" t="s">
        <v>354</v>
      </c>
      <c r="C401" s="184"/>
      <c r="D401" s="184"/>
      <c r="E401" s="184"/>
      <c r="F401" s="185">
        <f t="shared" si="54"/>
        <v>0</v>
      </c>
      <c r="G401" s="184" t="s">
        <v>392</v>
      </c>
    </row>
    <row r="402" spans="1:7">
      <c r="A402" s="139" t="s">
        <v>355</v>
      </c>
      <c r="B402" s="184" t="s">
        <v>356</v>
      </c>
      <c r="C402" s="184"/>
      <c r="D402" s="184"/>
      <c r="E402" s="184"/>
      <c r="F402" s="185">
        <f t="shared" si="54"/>
        <v>0</v>
      </c>
      <c r="G402" s="184" t="s">
        <v>392</v>
      </c>
    </row>
    <row r="403" spans="1:7">
      <c r="A403" s="139" t="s">
        <v>357</v>
      </c>
      <c r="B403" s="184" t="s">
        <v>358</v>
      </c>
      <c r="C403" s="184"/>
      <c r="D403" s="184"/>
      <c r="E403" s="184"/>
      <c r="F403" s="185">
        <f t="shared" si="54"/>
        <v>133807.17000000001</v>
      </c>
      <c r="G403" s="184" t="s">
        <v>392</v>
      </c>
    </row>
    <row r="404" spans="1:7">
      <c r="A404" s="139" t="s">
        <v>360</v>
      </c>
      <c r="B404" s="184" t="s">
        <v>361</v>
      </c>
      <c r="C404" s="184"/>
      <c r="D404" s="184"/>
      <c r="E404" s="184"/>
      <c r="F404" s="185">
        <f t="shared" si="54"/>
        <v>4500</v>
      </c>
      <c r="G404" s="184" t="s">
        <v>392</v>
      </c>
    </row>
    <row r="405" spans="1:7">
      <c r="A405" s="139" t="s">
        <v>362</v>
      </c>
      <c r="B405" s="184" t="s">
        <v>363</v>
      </c>
      <c r="C405" s="184"/>
      <c r="D405" s="184"/>
      <c r="E405" s="184"/>
      <c r="F405" s="185">
        <f t="shared" si="54"/>
        <v>0</v>
      </c>
      <c r="G405" s="184" t="s">
        <v>392</v>
      </c>
    </row>
    <row r="406" spans="1:7">
      <c r="A406" s="139" t="s">
        <v>364</v>
      </c>
      <c r="B406" s="184" t="s">
        <v>365</v>
      </c>
      <c r="C406" s="184"/>
      <c r="D406" s="184"/>
      <c r="E406" s="184"/>
      <c r="F406" s="185">
        <f t="shared" si="54"/>
        <v>0</v>
      </c>
      <c r="G406" s="184" t="s">
        <v>392</v>
      </c>
    </row>
    <row r="407" spans="1:7">
      <c r="A407" s="139" t="s">
        <v>839</v>
      </c>
      <c r="B407" s="184" t="s">
        <v>367</v>
      </c>
      <c r="C407" s="184"/>
      <c r="D407" s="184"/>
      <c r="E407" s="184"/>
      <c r="F407" s="185">
        <f t="shared" si="54"/>
        <v>0</v>
      </c>
      <c r="G407" s="184" t="s">
        <v>392</v>
      </c>
    </row>
    <row r="408" spans="1:7">
      <c r="A408" s="139" t="s">
        <v>840</v>
      </c>
      <c r="B408" s="184" t="s">
        <v>370</v>
      </c>
      <c r="C408" s="184"/>
      <c r="D408" s="184"/>
      <c r="E408" s="184"/>
      <c r="F408" s="185">
        <f t="shared" si="54"/>
        <v>33266.571428571428</v>
      </c>
      <c r="G408" s="184" t="s">
        <v>392</v>
      </c>
    </row>
    <row r="409" spans="1:7">
      <c r="A409" s="139" t="s">
        <v>433</v>
      </c>
      <c r="B409" s="184" t="s">
        <v>434</v>
      </c>
      <c r="C409" s="184"/>
      <c r="D409" s="184"/>
      <c r="E409" s="184"/>
      <c r="F409" s="185">
        <f t="shared" si="54"/>
        <v>1253975.6086956521</v>
      </c>
      <c r="G409" s="184" t="s">
        <v>441</v>
      </c>
    </row>
    <row r="410" spans="1:7" ht="17.25">
      <c r="A410" s="139" t="s">
        <v>213</v>
      </c>
      <c r="B410" s="184" t="s">
        <v>449</v>
      </c>
      <c r="C410" s="184"/>
      <c r="D410" s="184"/>
      <c r="E410" s="184"/>
      <c r="F410" s="191">
        <f t="shared" si="54"/>
        <v>165040.81578947368</v>
      </c>
      <c r="G410" s="184" t="s">
        <v>477</v>
      </c>
    </row>
    <row r="411" spans="1:7">
      <c r="A411" s="139" t="s">
        <v>841</v>
      </c>
      <c r="B411" s="184"/>
      <c r="C411" s="184"/>
      <c r="D411" s="184"/>
      <c r="E411" s="184"/>
      <c r="F411" s="186">
        <f>SUM(F400:F410)</f>
        <v>1879661.7059136974</v>
      </c>
      <c r="G411" s="139"/>
    </row>
    <row r="412" spans="1:7">
      <c r="A412" s="139"/>
      <c r="B412" s="184"/>
      <c r="C412" s="184"/>
      <c r="D412" s="184"/>
      <c r="E412" s="184"/>
      <c r="F412" s="184"/>
      <c r="G412" s="139"/>
    </row>
    <row r="413" spans="1:7">
      <c r="A413" s="139"/>
      <c r="B413" s="184"/>
      <c r="C413" s="184"/>
      <c r="D413" s="184"/>
      <c r="E413" s="184"/>
      <c r="F413" s="139"/>
      <c r="G413" s="139"/>
    </row>
    <row r="414" spans="1:7">
      <c r="A414" s="190" t="s">
        <v>842</v>
      </c>
      <c r="B414" s="184"/>
      <c r="C414" s="184"/>
      <c r="D414" s="184"/>
      <c r="E414" s="184"/>
      <c r="F414" s="184"/>
      <c r="G414" s="139"/>
    </row>
    <row r="415" spans="1:7">
      <c r="A415" s="187" t="s">
        <v>843</v>
      </c>
      <c r="B415" s="184"/>
      <c r="C415" s="184"/>
      <c r="D415" s="184"/>
      <c r="E415" s="184"/>
      <c r="F415" s="184"/>
      <c r="G415" s="139"/>
    </row>
    <row r="416" spans="1:7">
      <c r="A416" s="139" t="s">
        <v>844</v>
      </c>
      <c r="B416" s="184">
        <v>2</v>
      </c>
      <c r="C416" s="184"/>
      <c r="D416" s="184"/>
      <c r="E416" s="184"/>
      <c r="F416" s="185">
        <f t="shared" ref="F416:F421" si="55">SUMIF($B$20:$B$320,B416,$L$20:$L$320)</f>
        <v>16000</v>
      </c>
      <c r="G416" s="139"/>
    </row>
    <row r="417" spans="1:7">
      <c r="A417" s="139" t="s">
        <v>845</v>
      </c>
      <c r="B417" s="184">
        <v>31</v>
      </c>
      <c r="C417" s="184"/>
      <c r="D417" s="184"/>
      <c r="E417" s="184"/>
      <c r="F417" s="185">
        <f t="shared" si="55"/>
        <v>1264963.8500000001</v>
      </c>
      <c r="G417" s="139"/>
    </row>
    <row r="418" spans="1:7">
      <c r="A418" s="139" t="s">
        <v>846</v>
      </c>
      <c r="B418" s="184">
        <v>32</v>
      </c>
      <c r="C418" s="184"/>
      <c r="D418" s="184"/>
      <c r="E418" s="184"/>
      <c r="F418" s="185">
        <f t="shared" si="55"/>
        <v>7051690.4948293027</v>
      </c>
      <c r="G418" s="139"/>
    </row>
    <row r="419" spans="1:7">
      <c r="A419" s="139" t="s">
        <v>847</v>
      </c>
      <c r="B419" s="184">
        <v>33</v>
      </c>
      <c r="C419" s="184"/>
      <c r="D419" s="184"/>
      <c r="E419" s="184"/>
      <c r="F419" s="185">
        <f t="shared" si="55"/>
        <v>4506299</v>
      </c>
      <c r="G419" s="139"/>
    </row>
    <row r="420" spans="1:7">
      <c r="A420" s="139" t="s">
        <v>848</v>
      </c>
      <c r="B420" s="184">
        <v>34</v>
      </c>
      <c r="C420" s="184"/>
      <c r="D420" s="184"/>
      <c r="E420" s="184"/>
      <c r="F420" s="185">
        <f t="shared" si="55"/>
        <v>7500</v>
      </c>
      <c r="G420" s="139"/>
    </row>
    <row r="421" spans="1:7">
      <c r="A421" s="139" t="s">
        <v>849</v>
      </c>
      <c r="B421" s="184">
        <v>48</v>
      </c>
      <c r="C421" s="184"/>
      <c r="D421" s="184"/>
      <c r="E421" s="184"/>
      <c r="F421" s="185">
        <f t="shared" si="55"/>
        <v>100000</v>
      </c>
      <c r="G421" s="139"/>
    </row>
    <row r="422" spans="1:7">
      <c r="A422" s="139"/>
      <c r="B422" s="184"/>
      <c r="C422" s="184"/>
      <c r="D422" s="184"/>
      <c r="E422" s="184"/>
      <c r="F422" s="185"/>
      <c r="G422" s="139"/>
    </row>
    <row r="423" spans="1:7">
      <c r="A423" s="187" t="s">
        <v>850</v>
      </c>
      <c r="B423" s="184"/>
      <c r="C423" s="184"/>
      <c r="D423" s="184"/>
      <c r="E423" s="184"/>
      <c r="F423" s="185"/>
      <c r="G423" s="139"/>
    </row>
    <row r="424" spans="1:7">
      <c r="A424" s="139" t="s">
        <v>482</v>
      </c>
      <c r="B424" s="184" t="s">
        <v>483</v>
      </c>
      <c r="C424" s="184"/>
      <c r="D424" s="184"/>
      <c r="E424" s="184"/>
      <c r="F424" s="185">
        <f t="shared" ref="F424:F431" si="56">SUMIF($B$20:$B$320,B424,$K$20:$K$320)</f>
        <v>569055</v>
      </c>
      <c r="G424" s="139"/>
    </row>
    <row r="425" spans="1:7">
      <c r="A425" s="139" t="s">
        <v>308</v>
      </c>
      <c r="B425" s="184" t="s">
        <v>851</v>
      </c>
      <c r="C425" s="184"/>
      <c r="D425" s="184"/>
      <c r="E425" s="184"/>
      <c r="F425" s="185">
        <f t="shared" si="56"/>
        <v>0</v>
      </c>
      <c r="G425" s="139"/>
    </row>
    <row r="426" spans="1:7">
      <c r="A426" s="139" t="s">
        <v>852</v>
      </c>
      <c r="B426" s="184"/>
      <c r="C426" s="184"/>
      <c r="D426" s="184"/>
      <c r="E426" s="184"/>
      <c r="F426" s="185">
        <f t="shared" si="56"/>
        <v>0</v>
      </c>
      <c r="G426" s="139"/>
    </row>
    <row r="427" spans="1:7">
      <c r="A427" s="139" t="s">
        <v>853</v>
      </c>
      <c r="B427" s="184"/>
      <c r="C427" s="184"/>
      <c r="D427" s="184"/>
      <c r="E427" s="184"/>
      <c r="F427" s="185">
        <f t="shared" si="56"/>
        <v>0</v>
      </c>
      <c r="G427" s="139"/>
    </row>
    <row r="428" spans="1:7">
      <c r="A428" s="139" t="s">
        <v>479</v>
      </c>
      <c r="B428" s="184" t="s">
        <v>480</v>
      </c>
      <c r="C428" s="184"/>
      <c r="D428" s="184"/>
      <c r="E428" s="184"/>
      <c r="F428" s="185">
        <f t="shared" si="56"/>
        <v>245000</v>
      </c>
      <c r="G428" s="139"/>
    </row>
    <row r="429" spans="1:7">
      <c r="A429" s="139" t="s">
        <v>403</v>
      </c>
      <c r="B429" s="184" t="s">
        <v>854</v>
      </c>
      <c r="C429" s="184"/>
      <c r="D429" s="184"/>
      <c r="E429" s="184"/>
      <c r="F429" s="185">
        <f t="shared" si="56"/>
        <v>0</v>
      </c>
      <c r="G429" s="139"/>
    </row>
    <row r="430" spans="1:7">
      <c r="A430" s="139" t="s">
        <v>545</v>
      </c>
      <c r="B430" s="184" t="s">
        <v>855</v>
      </c>
      <c r="C430" s="184"/>
      <c r="D430" s="184"/>
      <c r="E430" s="184"/>
      <c r="F430" s="185">
        <f t="shared" si="56"/>
        <v>0</v>
      </c>
      <c r="G430" s="139"/>
    </row>
    <row r="431" spans="1:7">
      <c r="A431" s="139" t="s">
        <v>92</v>
      </c>
      <c r="B431" s="184" t="s">
        <v>80</v>
      </c>
      <c r="C431" s="184"/>
      <c r="D431" s="184"/>
      <c r="E431" s="139"/>
      <c r="F431" s="185">
        <f t="shared" si="56"/>
        <v>2103627.6</v>
      </c>
      <c r="G431" s="139"/>
    </row>
    <row r="432" spans="1:7">
      <c r="A432" s="190" t="s">
        <v>856</v>
      </c>
      <c r="B432" s="183"/>
      <c r="C432" s="183"/>
      <c r="D432" s="183"/>
      <c r="E432" s="190"/>
      <c r="F432" s="192">
        <f>SUM(F416:F431)</f>
        <v>15864135.944829302</v>
      </c>
      <c r="G432" s="139"/>
    </row>
    <row r="433" spans="1:7">
      <c r="A433" s="139"/>
      <c r="B433" s="184"/>
      <c r="C433" s="184"/>
      <c r="D433" s="184"/>
      <c r="E433" s="139"/>
      <c r="F433" s="139"/>
      <c r="G433" s="139"/>
    </row>
    <row r="434" spans="1:7">
      <c r="A434" s="139"/>
      <c r="B434" s="139"/>
      <c r="C434" s="139"/>
      <c r="D434" s="139"/>
      <c r="E434" s="139"/>
      <c r="F434" s="139"/>
      <c r="G434" s="139"/>
    </row>
    <row r="435" spans="1:7">
      <c r="A435" s="139" t="s">
        <v>672</v>
      </c>
      <c r="B435" s="184" t="s">
        <v>857</v>
      </c>
      <c r="C435" s="184"/>
      <c r="D435" s="184"/>
      <c r="E435" s="193" t="s">
        <v>858</v>
      </c>
      <c r="F435" s="184"/>
      <c r="G435" s="139"/>
    </row>
    <row r="436" spans="1:7">
      <c r="A436" s="139" t="s">
        <v>674</v>
      </c>
      <c r="B436" s="184" t="s">
        <v>859</v>
      </c>
      <c r="C436" s="184"/>
      <c r="D436" s="184"/>
      <c r="E436" s="193" t="s">
        <v>858</v>
      </c>
      <c r="F436" s="184"/>
      <c r="G436" s="139"/>
    </row>
    <row r="437" spans="1:7">
      <c r="A437" s="139" t="s">
        <v>675</v>
      </c>
      <c r="B437" s="184" t="s">
        <v>860</v>
      </c>
      <c r="C437" s="184"/>
      <c r="D437" s="184"/>
      <c r="E437" s="193" t="s">
        <v>858</v>
      </c>
      <c r="F437" s="184"/>
      <c r="G437" s="139"/>
    </row>
    <row r="438" spans="1:7">
      <c r="A438" s="139" t="s">
        <v>676</v>
      </c>
      <c r="B438" s="184" t="s">
        <v>861</v>
      </c>
      <c r="C438" s="184"/>
      <c r="D438" s="184"/>
      <c r="E438" s="193" t="s">
        <v>858</v>
      </c>
      <c r="F438" s="184"/>
      <c r="G438" s="139"/>
    </row>
    <row r="439" spans="1:7">
      <c r="A439" s="139" t="s">
        <v>688</v>
      </c>
      <c r="B439" s="184" t="s">
        <v>862</v>
      </c>
      <c r="C439" s="184"/>
      <c r="D439" s="184"/>
      <c r="E439" s="193" t="s">
        <v>863</v>
      </c>
      <c r="F439" s="184"/>
      <c r="G439" s="139"/>
    </row>
    <row r="440" spans="1:7">
      <c r="A440" s="139" t="s">
        <v>704</v>
      </c>
      <c r="B440" s="184" t="s">
        <v>864</v>
      </c>
      <c r="C440" s="184"/>
      <c r="D440" s="184"/>
      <c r="E440" s="193" t="s">
        <v>863</v>
      </c>
      <c r="F440" s="184"/>
      <c r="G440" s="139"/>
    </row>
    <row r="441" spans="1:7">
      <c r="A441" s="139" t="s">
        <v>705</v>
      </c>
      <c r="B441" s="184" t="s">
        <v>865</v>
      </c>
      <c r="C441" s="184"/>
      <c r="D441" s="184"/>
      <c r="E441" s="193" t="s">
        <v>863</v>
      </c>
      <c r="F441" s="184"/>
      <c r="G441" s="139"/>
    </row>
    <row r="442" spans="1:7">
      <c r="A442" s="139" t="s">
        <v>707</v>
      </c>
      <c r="B442" s="184" t="s">
        <v>866</v>
      </c>
      <c r="C442" s="184"/>
      <c r="D442" s="184"/>
      <c r="E442" s="193" t="s">
        <v>863</v>
      </c>
      <c r="F442" s="139"/>
      <c r="G442" s="139"/>
    </row>
    <row r="443" spans="1:7">
      <c r="A443" s="139" t="s">
        <v>715</v>
      </c>
      <c r="B443" s="184" t="s">
        <v>867</v>
      </c>
      <c r="C443" s="184"/>
      <c r="D443" s="184"/>
      <c r="E443" s="193" t="s">
        <v>868</v>
      </c>
      <c r="F443" s="139"/>
      <c r="G443" s="139"/>
    </row>
    <row r="444" spans="1:7">
      <c r="A444" s="139" t="s">
        <v>92</v>
      </c>
      <c r="B444" s="184" t="s">
        <v>80</v>
      </c>
      <c r="C444" s="184"/>
      <c r="D444" s="184"/>
      <c r="E444" s="184"/>
      <c r="F444" s="139"/>
      <c r="G444" s="139"/>
    </row>
    <row r="445" spans="1:7">
      <c r="A445" s="139"/>
      <c r="B445" s="184"/>
      <c r="C445" s="184"/>
      <c r="D445" s="184"/>
      <c r="E445" s="184"/>
      <c r="F445" s="139"/>
      <c r="G445" s="139"/>
    </row>
    <row r="446" spans="1:7">
      <c r="A446" s="190" t="s">
        <v>869</v>
      </c>
      <c r="B446" s="184"/>
      <c r="C446" s="184"/>
      <c r="D446" s="184"/>
      <c r="E446" s="184"/>
      <c r="F446" s="139"/>
      <c r="G446" s="139"/>
    </row>
    <row r="447" spans="1:7">
      <c r="A447" s="190" t="s">
        <v>870</v>
      </c>
      <c r="B447" s="184"/>
      <c r="C447" s="184"/>
      <c r="D447" s="184"/>
      <c r="E447" s="184"/>
      <c r="F447" s="139"/>
      <c r="G447" s="139"/>
    </row>
    <row r="448" spans="1:7">
      <c r="A448" s="139" t="s">
        <v>403</v>
      </c>
      <c r="B448" s="184" t="s">
        <v>854</v>
      </c>
      <c r="C448" s="184"/>
      <c r="D448" s="184"/>
      <c r="E448" s="184"/>
      <c r="F448" s="185">
        <f t="shared" ref="F448:F458" si="57">SUMIF($B$20:$B$320,B448,$K$20:$K$320)</f>
        <v>0</v>
      </c>
      <c r="G448" s="139"/>
    </row>
    <row r="449" spans="1:7">
      <c r="A449" s="139" t="s">
        <v>545</v>
      </c>
      <c r="B449" s="184" t="s">
        <v>855</v>
      </c>
      <c r="C449" s="184"/>
      <c r="D449" s="184"/>
      <c r="E449" s="184"/>
      <c r="F449" s="185">
        <f t="shared" si="57"/>
        <v>0</v>
      </c>
      <c r="G449" s="139"/>
    </row>
    <row r="450" spans="1:7">
      <c r="A450" s="139" t="s">
        <v>672</v>
      </c>
      <c r="B450" s="184" t="s">
        <v>857</v>
      </c>
      <c r="C450" s="184"/>
      <c r="D450" s="184"/>
      <c r="E450" s="184"/>
      <c r="F450" s="185">
        <f t="shared" si="57"/>
        <v>0</v>
      </c>
      <c r="G450" s="139"/>
    </row>
    <row r="451" spans="1:7">
      <c r="A451" s="139" t="s">
        <v>674</v>
      </c>
      <c r="B451" s="184" t="s">
        <v>859</v>
      </c>
      <c r="C451" s="184"/>
      <c r="D451" s="184"/>
      <c r="E451" s="184"/>
      <c r="F451" s="185">
        <f t="shared" si="57"/>
        <v>0</v>
      </c>
      <c r="G451" s="139"/>
    </row>
    <row r="452" spans="1:7">
      <c r="A452" s="139" t="s">
        <v>675</v>
      </c>
      <c r="B452" s="184" t="s">
        <v>860</v>
      </c>
      <c r="C452" s="184"/>
      <c r="D452" s="184"/>
      <c r="E452" s="184"/>
      <c r="F452" s="185">
        <f t="shared" si="57"/>
        <v>0</v>
      </c>
      <c r="G452" s="139"/>
    </row>
    <row r="453" spans="1:7">
      <c r="A453" s="139" t="s">
        <v>676</v>
      </c>
      <c r="B453" s="184" t="s">
        <v>861</v>
      </c>
      <c r="C453" s="184"/>
      <c r="D453" s="184"/>
      <c r="E453" s="184"/>
      <c r="F453" s="185">
        <f t="shared" si="57"/>
        <v>0</v>
      </c>
      <c r="G453" s="139"/>
    </row>
    <row r="454" spans="1:7">
      <c r="A454" s="139" t="s">
        <v>704</v>
      </c>
      <c r="B454" s="184" t="s">
        <v>864</v>
      </c>
      <c r="C454" s="184"/>
      <c r="D454" s="184"/>
      <c r="E454" s="184"/>
      <c r="F454" s="185">
        <f t="shared" si="57"/>
        <v>0</v>
      </c>
      <c r="G454" s="139"/>
    </row>
    <row r="455" spans="1:7">
      <c r="A455" s="139" t="s">
        <v>705</v>
      </c>
      <c r="B455" s="184" t="s">
        <v>865</v>
      </c>
      <c r="C455" s="184"/>
      <c r="D455" s="184"/>
      <c r="E455" s="184"/>
      <c r="F455" s="185">
        <f t="shared" si="57"/>
        <v>0</v>
      </c>
      <c r="G455" s="139"/>
    </row>
    <row r="456" spans="1:7">
      <c r="A456" s="139" t="s">
        <v>688</v>
      </c>
      <c r="B456" s="184" t="s">
        <v>862</v>
      </c>
      <c r="C456" s="184"/>
      <c r="D456" s="184"/>
      <c r="E456" s="184"/>
      <c r="F456" s="185">
        <f t="shared" si="57"/>
        <v>0</v>
      </c>
      <c r="G456" s="139"/>
    </row>
    <row r="457" spans="1:7">
      <c r="A457" s="139" t="s">
        <v>707</v>
      </c>
      <c r="B457" s="184" t="s">
        <v>866</v>
      </c>
      <c r="C457" s="184"/>
      <c r="D457" s="184"/>
      <c r="E457" s="184"/>
      <c r="F457" s="185">
        <f t="shared" si="57"/>
        <v>0</v>
      </c>
      <c r="G457" s="139"/>
    </row>
    <row r="458" spans="1:7">
      <c r="A458" s="139" t="s">
        <v>715</v>
      </c>
      <c r="B458" s="184" t="s">
        <v>867</v>
      </c>
      <c r="C458" s="184"/>
      <c r="D458" s="184"/>
      <c r="E458" s="184"/>
      <c r="F458" s="185">
        <f t="shared" si="57"/>
        <v>0</v>
      </c>
      <c r="G458" s="139"/>
    </row>
    <row r="459" spans="1:7">
      <c r="A459" s="139"/>
      <c r="B459" s="184"/>
      <c r="C459" s="184"/>
      <c r="D459" s="184"/>
      <c r="E459" s="184"/>
      <c r="F459" s="139"/>
      <c r="G459" s="139"/>
    </row>
    <row r="460" spans="1:7">
      <c r="A460" s="190" t="s">
        <v>871</v>
      </c>
      <c r="B460" s="184"/>
      <c r="C460" s="184"/>
      <c r="D460" s="184"/>
      <c r="E460" s="184"/>
      <c r="F460" s="139"/>
      <c r="G460" s="139"/>
    </row>
    <row r="461" spans="1:7">
      <c r="A461" s="187" t="s">
        <v>843</v>
      </c>
      <c r="B461" s="184"/>
      <c r="C461" s="184"/>
      <c r="D461" s="184"/>
      <c r="E461" s="184"/>
      <c r="F461" s="139"/>
      <c r="G461" s="139"/>
    </row>
    <row r="462" spans="1:7">
      <c r="A462" s="139" t="s">
        <v>804</v>
      </c>
      <c r="B462" s="184" t="s">
        <v>805</v>
      </c>
      <c r="C462" s="184"/>
      <c r="D462" s="184"/>
      <c r="E462" s="184"/>
      <c r="F462" s="185">
        <f>SUMIF($B$20:$B$320,B462,$K$20:$K$320)</f>
        <v>0</v>
      </c>
      <c r="G462" s="139"/>
    </row>
    <row r="463" spans="1:7">
      <c r="A463" s="139"/>
      <c r="B463" s="184"/>
      <c r="C463" s="184"/>
      <c r="D463" s="184"/>
      <c r="E463" s="184"/>
      <c r="F463" s="139"/>
      <c r="G463" s="139"/>
    </row>
    <row r="464" spans="1:7">
      <c r="A464" s="187" t="s">
        <v>850</v>
      </c>
      <c r="B464" s="184"/>
      <c r="C464" s="184"/>
      <c r="D464" s="184"/>
      <c r="E464" s="184"/>
      <c r="F464" s="139"/>
      <c r="G464" s="139"/>
    </row>
    <row r="465" spans="1:7">
      <c r="A465" s="139" t="s">
        <v>92</v>
      </c>
      <c r="B465" s="184" t="s">
        <v>80</v>
      </c>
      <c r="C465" s="184"/>
      <c r="D465" s="184"/>
      <c r="E465" s="184"/>
      <c r="F465" s="185">
        <f t="shared" ref="F465:F496" si="58">SUMIF($B$20:$B$320,B465,$K$20:$K$320)</f>
        <v>2103627.6</v>
      </c>
      <c r="G465" s="139"/>
    </row>
    <row r="466" spans="1:7">
      <c r="A466" s="139" t="s">
        <v>101</v>
      </c>
      <c r="B466" s="184" t="s">
        <v>102</v>
      </c>
      <c r="C466" s="184"/>
      <c r="D466" s="184"/>
      <c r="E466" s="184"/>
      <c r="F466" s="185">
        <f t="shared" si="58"/>
        <v>2500</v>
      </c>
      <c r="G466" s="139"/>
    </row>
    <row r="467" spans="1:7">
      <c r="A467" s="139" t="s">
        <v>105</v>
      </c>
      <c r="B467" s="184" t="s">
        <v>106</v>
      </c>
      <c r="C467" s="184"/>
      <c r="D467" s="184"/>
      <c r="E467" s="184"/>
      <c r="F467" s="185">
        <f t="shared" si="58"/>
        <v>0</v>
      </c>
      <c r="G467" s="139"/>
    </row>
    <row r="468" spans="1:7">
      <c r="A468" s="139" t="s">
        <v>108</v>
      </c>
      <c r="B468" s="184" t="s">
        <v>109</v>
      </c>
      <c r="C468" s="184"/>
      <c r="D468" s="184"/>
      <c r="E468" s="184"/>
      <c r="F468" s="185">
        <f t="shared" si="58"/>
        <v>0</v>
      </c>
      <c r="G468" s="139"/>
    </row>
    <row r="469" spans="1:7">
      <c r="A469" s="139" t="s">
        <v>117</v>
      </c>
      <c r="B469" s="184" t="s">
        <v>118</v>
      </c>
      <c r="C469" s="184"/>
      <c r="D469" s="184"/>
      <c r="E469" s="184"/>
      <c r="F469" s="185">
        <f t="shared" si="58"/>
        <v>60702.720000000001</v>
      </c>
      <c r="G469" s="139"/>
    </row>
    <row r="470" spans="1:7">
      <c r="A470" s="139" t="s">
        <v>139</v>
      </c>
      <c r="B470" s="184" t="s">
        <v>140</v>
      </c>
      <c r="C470" s="184"/>
      <c r="D470" s="184"/>
      <c r="E470" s="184"/>
      <c r="F470" s="185">
        <f t="shared" si="58"/>
        <v>5000</v>
      </c>
      <c r="G470" s="139"/>
    </row>
    <row r="471" spans="1:7">
      <c r="A471" s="139" t="s">
        <v>872</v>
      </c>
      <c r="B471" s="184" t="s">
        <v>143</v>
      </c>
      <c r="C471" s="184"/>
      <c r="D471" s="184"/>
      <c r="E471" s="184"/>
      <c r="F471" s="185">
        <f t="shared" si="58"/>
        <v>9000</v>
      </c>
      <c r="G471" s="139"/>
    </row>
    <row r="472" spans="1:7">
      <c r="A472" s="139" t="s">
        <v>161</v>
      </c>
      <c r="B472" s="184" t="s">
        <v>162</v>
      </c>
      <c r="C472" s="184"/>
      <c r="D472" s="184"/>
      <c r="E472" s="184"/>
      <c r="F472" s="185">
        <f t="shared" si="58"/>
        <v>0</v>
      </c>
      <c r="G472" s="139"/>
    </row>
    <row r="473" spans="1:7">
      <c r="A473" s="139" t="s">
        <v>164</v>
      </c>
      <c r="B473" s="184" t="s">
        <v>165</v>
      </c>
      <c r="C473" s="184"/>
      <c r="D473" s="184"/>
      <c r="E473" s="184"/>
      <c r="F473" s="185">
        <f t="shared" si="58"/>
        <v>1950</v>
      </c>
      <c r="G473" s="139"/>
    </row>
    <row r="474" spans="1:7">
      <c r="A474" s="139" t="s">
        <v>189</v>
      </c>
      <c r="B474" s="184" t="s">
        <v>190</v>
      </c>
      <c r="C474" s="184"/>
      <c r="D474" s="184"/>
      <c r="E474" s="184"/>
      <c r="F474" s="185">
        <f t="shared" si="58"/>
        <v>0</v>
      </c>
      <c r="G474" s="139"/>
    </row>
    <row r="475" spans="1:7">
      <c r="A475" s="139" t="s">
        <v>192</v>
      </c>
      <c r="B475" s="184" t="s">
        <v>193</v>
      </c>
      <c r="C475" s="184"/>
      <c r="D475" s="184"/>
      <c r="E475" s="184"/>
      <c r="F475" s="185">
        <f t="shared" si="58"/>
        <v>10000</v>
      </c>
      <c r="G475" s="139"/>
    </row>
    <row r="476" spans="1:7">
      <c r="A476" s="139" t="s">
        <v>195</v>
      </c>
      <c r="B476" s="184" t="s">
        <v>196</v>
      </c>
      <c r="C476" s="184"/>
      <c r="D476" s="184"/>
      <c r="E476" s="184"/>
      <c r="F476" s="185">
        <f t="shared" si="58"/>
        <v>0</v>
      </c>
      <c r="G476" s="139"/>
    </row>
    <row r="477" spans="1:7">
      <c r="A477" s="139" t="s">
        <v>198</v>
      </c>
      <c r="B477" s="184" t="s">
        <v>199</v>
      </c>
      <c r="C477" s="184"/>
      <c r="D477" s="184"/>
      <c r="E477" s="184"/>
      <c r="F477" s="185">
        <f t="shared" si="58"/>
        <v>0</v>
      </c>
      <c r="G477" s="139"/>
    </row>
    <row r="478" spans="1:7">
      <c r="A478" s="139" t="s">
        <v>214</v>
      </c>
      <c r="B478" s="184" t="s">
        <v>215</v>
      </c>
      <c r="C478" s="184"/>
      <c r="D478" s="184"/>
      <c r="E478" s="184"/>
      <c r="F478" s="185">
        <f t="shared" si="58"/>
        <v>4800</v>
      </c>
      <c r="G478" s="139"/>
    </row>
    <row r="479" spans="1:7">
      <c r="A479" s="139" t="s">
        <v>239</v>
      </c>
      <c r="B479" s="184" t="s">
        <v>240</v>
      </c>
      <c r="C479" s="184"/>
      <c r="D479" s="184"/>
      <c r="E479" s="184"/>
      <c r="F479" s="185">
        <f t="shared" si="58"/>
        <v>7500</v>
      </c>
      <c r="G479" s="139"/>
    </row>
    <row r="480" spans="1:7">
      <c r="A480" s="139" t="s">
        <v>244</v>
      </c>
      <c r="B480" s="184" t="s">
        <v>240</v>
      </c>
      <c r="C480" s="184"/>
      <c r="D480" s="184"/>
      <c r="E480" s="184"/>
      <c r="F480" s="185">
        <f t="shared" si="58"/>
        <v>7500</v>
      </c>
      <c r="G480" s="139"/>
    </row>
    <row r="481" spans="1:7">
      <c r="A481" s="139" t="s">
        <v>282</v>
      </c>
      <c r="B481" s="184" t="s">
        <v>283</v>
      </c>
      <c r="C481" s="184"/>
      <c r="D481" s="184"/>
      <c r="E481" s="184"/>
      <c r="F481" s="185">
        <f t="shared" si="58"/>
        <v>0</v>
      </c>
      <c r="G481" s="139"/>
    </row>
    <row r="482" spans="1:7">
      <c r="A482" s="139" t="s">
        <v>284</v>
      </c>
      <c r="B482" s="184" t="s">
        <v>285</v>
      </c>
      <c r="C482" s="184"/>
      <c r="D482" s="184"/>
      <c r="E482" s="184"/>
      <c r="F482" s="185">
        <f t="shared" si="58"/>
        <v>0</v>
      </c>
      <c r="G482" s="139"/>
    </row>
    <row r="483" spans="1:7">
      <c r="A483" s="139" t="s">
        <v>319</v>
      </c>
      <c r="B483" s="184" t="s">
        <v>316</v>
      </c>
      <c r="C483" s="184"/>
      <c r="D483" s="184"/>
      <c r="E483" s="184"/>
      <c r="F483" s="185">
        <f t="shared" si="58"/>
        <v>841299.35869979998</v>
      </c>
      <c r="G483" s="139"/>
    </row>
    <row r="484" spans="1:7">
      <c r="A484" s="139" t="s">
        <v>325</v>
      </c>
      <c r="B484" s="184" t="s">
        <v>316</v>
      </c>
      <c r="C484" s="184"/>
      <c r="D484" s="184"/>
      <c r="E484" s="184"/>
      <c r="F484" s="185">
        <f t="shared" si="58"/>
        <v>841299.35869979998</v>
      </c>
      <c r="G484" s="139"/>
    </row>
    <row r="485" spans="1:7">
      <c r="A485" s="139" t="s">
        <v>873</v>
      </c>
      <c r="B485" s="184" t="s">
        <v>316</v>
      </c>
      <c r="C485" s="184"/>
      <c r="D485" s="184"/>
      <c r="E485" s="184"/>
      <c r="F485" s="185">
        <f t="shared" si="58"/>
        <v>841299.35869979998</v>
      </c>
      <c r="G485" s="139"/>
    </row>
    <row r="486" spans="1:7">
      <c r="A486" s="139" t="s">
        <v>395</v>
      </c>
      <c r="B486" s="184" t="s">
        <v>396</v>
      </c>
      <c r="C486" s="184"/>
      <c r="D486" s="184"/>
      <c r="E486" s="184"/>
      <c r="F486" s="185">
        <f t="shared" si="58"/>
        <v>56265</v>
      </c>
      <c r="G486" s="139"/>
    </row>
    <row r="487" spans="1:7">
      <c r="A487" s="139" t="s">
        <v>414</v>
      </c>
      <c r="B487" s="184" t="s">
        <v>415</v>
      </c>
      <c r="C487" s="184"/>
      <c r="D487" s="184"/>
      <c r="E487" s="184"/>
      <c r="F487" s="185">
        <f t="shared" si="58"/>
        <v>0</v>
      </c>
      <c r="G487" s="139"/>
    </row>
    <row r="488" spans="1:7">
      <c r="A488" s="139" t="s">
        <v>416</v>
      </c>
      <c r="B488" s="184" t="s">
        <v>417</v>
      </c>
      <c r="C488" s="184"/>
      <c r="D488" s="184"/>
      <c r="E488" s="184"/>
      <c r="F488" s="185">
        <f t="shared" si="58"/>
        <v>13440</v>
      </c>
      <c r="G488" s="139"/>
    </row>
    <row r="489" spans="1:7">
      <c r="A489" s="139" t="s">
        <v>474</v>
      </c>
      <c r="B489" s="184" t="s">
        <v>475</v>
      </c>
      <c r="C489" s="184"/>
      <c r="D489" s="184"/>
      <c r="E489" s="184"/>
      <c r="F489" s="185">
        <f t="shared" si="58"/>
        <v>24000</v>
      </c>
      <c r="G489" s="139"/>
    </row>
    <row r="490" spans="1:7">
      <c r="A490" s="139" t="s">
        <v>479</v>
      </c>
      <c r="B490" s="184" t="s">
        <v>480</v>
      </c>
      <c r="C490" s="184"/>
      <c r="D490" s="184"/>
      <c r="E490" s="184"/>
      <c r="F490" s="185">
        <f t="shared" si="58"/>
        <v>245000</v>
      </c>
      <c r="G490" s="139"/>
    </row>
    <row r="491" spans="1:7">
      <c r="A491" s="139" t="s">
        <v>482</v>
      </c>
      <c r="B491" s="184" t="s">
        <v>483</v>
      </c>
      <c r="C491" s="184"/>
      <c r="D491" s="184"/>
      <c r="E491" s="184"/>
      <c r="F491" s="185">
        <f t="shared" si="58"/>
        <v>569055</v>
      </c>
      <c r="G491" s="139"/>
    </row>
    <row r="492" spans="1:7">
      <c r="A492" s="139" t="s">
        <v>484</v>
      </c>
      <c r="B492" s="184" t="s">
        <v>485</v>
      </c>
      <c r="C492" s="184"/>
      <c r="D492" s="184"/>
      <c r="E492" s="184"/>
      <c r="F492" s="185">
        <f t="shared" si="58"/>
        <v>7049</v>
      </c>
      <c r="G492" s="139"/>
    </row>
    <row r="493" spans="1:7">
      <c r="A493" s="139" t="s">
        <v>494</v>
      </c>
      <c r="B493" s="184" t="s">
        <v>495</v>
      </c>
      <c r="C493" s="184"/>
      <c r="D493" s="184"/>
      <c r="E493" s="184"/>
      <c r="F493" s="185">
        <f t="shared" si="58"/>
        <v>13000</v>
      </c>
      <c r="G493" s="139"/>
    </row>
    <row r="494" spans="1:7">
      <c r="A494" s="139" t="s">
        <v>516</v>
      </c>
      <c r="B494" s="184" t="s">
        <v>517</v>
      </c>
      <c r="C494" s="184"/>
      <c r="D494" s="184"/>
      <c r="E494" s="184"/>
      <c r="F494" s="185">
        <f t="shared" si="58"/>
        <v>24612</v>
      </c>
      <c r="G494" s="139"/>
    </row>
    <row r="495" spans="1:7">
      <c r="A495" s="139" t="s">
        <v>518</v>
      </c>
      <c r="B495" s="184" t="s">
        <v>519</v>
      </c>
      <c r="C495" s="184"/>
      <c r="D495" s="184"/>
      <c r="E495" s="184"/>
      <c r="F495" s="185">
        <f t="shared" si="58"/>
        <v>6000</v>
      </c>
      <c r="G495" s="139"/>
    </row>
    <row r="496" spans="1:7">
      <c r="A496" s="139" t="s">
        <v>539</v>
      </c>
      <c r="B496" s="184" t="s">
        <v>529</v>
      </c>
      <c r="C496" s="184"/>
      <c r="D496" s="184"/>
      <c r="E496" s="184"/>
      <c r="F496" s="185">
        <f t="shared" si="58"/>
        <v>3578225.0774365156</v>
      </c>
      <c r="G496" s="139"/>
    </row>
    <row r="497" spans="1:7">
      <c r="A497" s="139" t="s">
        <v>541</v>
      </c>
      <c r="B497" s="184" t="s">
        <v>532</v>
      </c>
      <c r="C497" s="184"/>
      <c r="D497" s="184"/>
      <c r="E497" s="184"/>
      <c r="F497" s="185">
        <f t="shared" ref="F497:F514" si="59">SUMIF($B$20:$B$320,B497,$K$20:$K$320)</f>
        <v>225925</v>
      </c>
      <c r="G497" s="139"/>
    </row>
    <row r="498" spans="1:7">
      <c r="A498" s="139" t="s">
        <v>542</v>
      </c>
      <c r="B498" s="184" t="s">
        <v>529</v>
      </c>
      <c r="C498" s="184"/>
      <c r="D498" s="184"/>
      <c r="E498" s="184"/>
      <c r="F498" s="185">
        <f t="shared" si="59"/>
        <v>3578225.0774365156</v>
      </c>
      <c r="G498" s="139"/>
    </row>
    <row r="499" spans="1:7">
      <c r="A499" s="139" t="s">
        <v>543</v>
      </c>
      <c r="B499" s="184" t="s">
        <v>544</v>
      </c>
      <c r="C499" s="184"/>
      <c r="D499" s="184"/>
      <c r="E499" s="184"/>
      <c r="F499" s="185">
        <f t="shared" si="59"/>
        <v>0</v>
      </c>
      <c r="G499" s="139"/>
    </row>
    <row r="500" spans="1:7">
      <c r="A500" s="139" t="s">
        <v>553</v>
      </c>
      <c r="B500" s="184" t="s">
        <v>554</v>
      </c>
      <c r="C500" s="184"/>
      <c r="D500" s="184"/>
      <c r="E500" s="184"/>
      <c r="F500" s="185">
        <f t="shared" si="59"/>
        <v>20000</v>
      </c>
      <c r="G500" s="139"/>
    </row>
    <row r="501" spans="1:7">
      <c r="A501" s="139" t="s">
        <v>555</v>
      </c>
      <c r="B501" s="184" t="s">
        <v>556</v>
      </c>
      <c r="C501" s="184"/>
      <c r="D501" s="184"/>
      <c r="E501" s="184"/>
      <c r="F501" s="185">
        <f t="shared" si="59"/>
        <v>12500</v>
      </c>
      <c r="G501" s="139"/>
    </row>
    <row r="502" spans="1:7">
      <c r="A502" s="139" t="s">
        <v>557</v>
      </c>
      <c r="B502" s="184" t="s">
        <v>558</v>
      </c>
      <c r="C502" s="184"/>
      <c r="D502" s="184"/>
      <c r="E502" s="184"/>
      <c r="F502" s="185">
        <f t="shared" si="59"/>
        <v>2500</v>
      </c>
      <c r="G502" s="139"/>
    </row>
    <row r="503" spans="1:7">
      <c r="A503" s="139" t="s">
        <v>559</v>
      </c>
      <c r="B503" s="184" t="s">
        <v>529</v>
      </c>
      <c r="C503" s="184"/>
      <c r="D503" s="184"/>
      <c r="E503" s="184"/>
      <c r="F503" s="185">
        <f t="shared" si="59"/>
        <v>3578225.0774365156</v>
      </c>
      <c r="G503" s="139"/>
    </row>
    <row r="504" spans="1:7">
      <c r="A504" s="139" t="s">
        <v>560</v>
      </c>
      <c r="B504" s="184" t="s">
        <v>532</v>
      </c>
      <c r="C504" s="184"/>
      <c r="D504" s="184"/>
      <c r="E504" s="184"/>
      <c r="F504" s="185">
        <f t="shared" si="59"/>
        <v>225925</v>
      </c>
      <c r="G504" s="139"/>
    </row>
    <row r="505" spans="1:7">
      <c r="A505" s="139" t="s">
        <v>619</v>
      </c>
      <c r="B505" s="184" t="s">
        <v>620</v>
      </c>
      <c r="C505" s="184"/>
      <c r="D505" s="184"/>
      <c r="E505" s="184"/>
      <c r="F505" s="185">
        <f t="shared" si="59"/>
        <v>0</v>
      </c>
      <c r="G505" s="139"/>
    </row>
    <row r="506" spans="1:7">
      <c r="A506" s="139" t="s">
        <v>630</v>
      </c>
      <c r="B506" s="184" t="s">
        <v>631</v>
      </c>
      <c r="C506" s="184"/>
      <c r="D506" s="184"/>
      <c r="E506" s="184"/>
      <c r="F506" s="185">
        <f t="shared" si="59"/>
        <v>10000</v>
      </c>
      <c r="G506" s="139"/>
    </row>
    <row r="507" spans="1:7">
      <c r="A507" s="139" t="s">
        <v>642</v>
      </c>
      <c r="B507" s="184" t="s">
        <v>643</v>
      </c>
      <c r="C507" s="184"/>
      <c r="D507" s="184"/>
      <c r="E507" s="184"/>
      <c r="F507" s="185">
        <f t="shared" si="59"/>
        <v>24900</v>
      </c>
      <c r="G507" s="139"/>
    </row>
    <row r="508" spans="1:7">
      <c r="A508" s="139" t="s">
        <v>663</v>
      </c>
      <c r="B508" s="184" t="s">
        <v>664</v>
      </c>
      <c r="C508" s="184"/>
      <c r="D508" s="184"/>
      <c r="E508" s="184"/>
      <c r="F508" s="185">
        <f t="shared" si="59"/>
        <v>11000</v>
      </c>
      <c r="G508" s="139"/>
    </row>
    <row r="509" spans="1:7">
      <c r="A509" s="139" t="s">
        <v>757</v>
      </c>
      <c r="B509" s="184" t="s">
        <v>758</v>
      </c>
      <c r="C509" s="184"/>
      <c r="D509" s="184"/>
      <c r="E509" s="184"/>
      <c r="F509" s="185">
        <f t="shared" si="59"/>
        <v>0</v>
      </c>
      <c r="G509" s="139"/>
    </row>
    <row r="510" spans="1:7">
      <c r="A510" s="139" t="s">
        <v>759</v>
      </c>
      <c r="B510" s="184" t="s">
        <v>760</v>
      </c>
      <c r="C510" s="184"/>
      <c r="D510" s="184"/>
      <c r="E510" s="184"/>
      <c r="F510" s="185">
        <f t="shared" si="59"/>
        <v>22000</v>
      </c>
      <c r="G510" s="139"/>
    </row>
    <row r="511" spans="1:7">
      <c r="A511" s="139" t="s">
        <v>761</v>
      </c>
      <c r="B511" s="184" t="s">
        <v>762</v>
      </c>
      <c r="C511" s="184"/>
      <c r="D511" s="184"/>
      <c r="E511" s="184"/>
      <c r="F511" s="185">
        <f t="shared" si="59"/>
        <v>135000</v>
      </c>
      <c r="G511" s="139"/>
    </row>
    <row r="512" spans="1:7">
      <c r="A512" s="139" t="s">
        <v>763</v>
      </c>
      <c r="B512" s="184" t="s">
        <v>764</v>
      </c>
      <c r="C512" s="184"/>
      <c r="D512" s="184"/>
      <c r="E512" s="184"/>
      <c r="F512" s="185">
        <f t="shared" si="59"/>
        <v>0</v>
      </c>
      <c r="G512" s="139"/>
    </row>
    <row r="513" spans="1:7">
      <c r="A513" s="139" t="s">
        <v>776</v>
      </c>
      <c r="B513" s="184" t="s">
        <v>564</v>
      </c>
      <c r="C513" s="184"/>
      <c r="D513" s="184"/>
      <c r="E513" s="184"/>
      <c r="F513" s="185">
        <f t="shared" si="59"/>
        <v>23000</v>
      </c>
      <c r="G513" s="139"/>
    </row>
    <row r="514" spans="1:7">
      <c r="A514" s="139" t="s">
        <v>777</v>
      </c>
      <c r="B514" s="184" t="s">
        <v>778</v>
      </c>
      <c r="C514" s="184"/>
      <c r="D514" s="184"/>
      <c r="E514" s="184"/>
      <c r="F514" s="185">
        <f t="shared" si="59"/>
        <v>2000</v>
      </c>
      <c r="G514" s="139"/>
    </row>
  </sheetData>
  <conditionalFormatting sqref="A13:B16">
    <cfRule type="expression" dxfId="40" priority="28">
      <formula>MOD(ROW(),2)=0</formula>
    </cfRule>
  </conditionalFormatting>
  <conditionalFormatting sqref="A62:D174">
    <cfRule type="expression" dxfId="39" priority="5">
      <formula>MOD(ROW(),2)</formula>
    </cfRule>
  </conditionalFormatting>
  <conditionalFormatting sqref="A176:D253">
    <cfRule type="expression" dxfId="38" priority="10">
      <formula>MOD(ROW(),2)</formula>
    </cfRule>
  </conditionalFormatting>
  <conditionalFormatting sqref="A61:K61">
    <cfRule type="expression" dxfId="37" priority="3">
      <formula>MOD(ROW(),2)</formula>
    </cfRule>
  </conditionalFormatting>
  <conditionalFormatting sqref="A175:K175">
    <cfRule type="expression" dxfId="36" priority="8">
      <formula>MOD(ROW(),2)</formula>
    </cfRule>
  </conditionalFormatting>
  <conditionalFormatting sqref="D3:F7">
    <cfRule type="expression" dxfId="35" priority="29">
      <formula>MOD(ROW(),2)=0</formula>
    </cfRule>
  </conditionalFormatting>
  <conditionalFormatting sqref="D10:F16 A20:D60 M20:W81 M83:W152 M154:W160 M162:W178 M181:W189 M191:W253 M255:W261 A255:D291 M263:W319">
    <cfRule type="expression" dxfId="34" priority="20">
      <formula>MOD(ROW(),2)</formula>
    </cfRule>
  </conditionalFormatting>
  <conditionalFormatting sqref="D15:F15">
    <cfRule type="expression" dxfId="33" priority="27">
      <formula>MOD(ROW(),2)=0</formula>
    </cfRule>
  </conditionalFormatting>
  <conditionalFormatting sqref="E358">
    <cfRule type="cellIs" dxfId="32" priority="22" operator="lessThan">
      <formula>0</formula>
    </cfRule>
    <cfRule type="cellIs" dxfId="31" priority="23" operator="greaterThan">
      <formula>0</formula>
    </cfRule>
  </conditionalFormatting>
  <conditionalFormatting sqref="E36:K40">
    <cfRule type="expression" dxfId="30" priority="19">
      <formula>MOD(ROW(),2)</formula>
    </cfRule>
  </conditionalFormatting>
  <conditionalFormatting sqref="E42:K49">
    <cfRule type="expression" dxfId="29" priority="18">
      <formula>MOD(ROW(),2)</formula>
    </cfRule>
  </conditionalFormatting>
  <conditionalFormatting sqref="E77:K91">
    <cfRule type="expression" dxfId="28" priority="17">
      <formula>MOD(ROW(),2)</formula>
    </cfRule>
  </conditionalFormatting>
  <conditionalFormatting sqref="E93:K130">
    <cfRule type="expression" dxfId="27" priority="4">
      <formula>MOD(ROW(),2)</formula>
    </cfRule>
  </conditionalFormatting>
  <conditionalFormatting sqref="E179:K180">
    <cfRule type="expression" dxfId="26" priority="9">
      <formula>MOD(ROW(),2)</formula>
    </cfRule>
  </conditionalFormatting>
  <conditionalFormatting sqref="E20:L20 E21:K21 E22:L22 E23:K23 E24:L24 E25:K33 E34:L35 E41:L41 E50:L50 E51:K60 E62:K63 E64:L64 E65:K75 E76:L76 E92:L92 E131:L131 E132:K147 E148:L148 E149:K149 E150:L150 E151:K158 E159:L159 E160:K162 E163:L163 E164:K164 E165:L165 E166:K167 E168:L168 E169:K171 E172:L172 E173:K174 E176:K177 E178:L178 E181:L181 E182:K197 E198:L198 E199:K201 E202:L202 E203:K206 E207:L207 E208:K216 E217:L217 E218:K253 A254:K254 E255:L255 E256:K271 E272:L272 E273:K274 E275:L275 E276:K276 E277:L277 E278:K280 E281:L281 E282:K290 E291:L291 A292:K292 E293:K293 A293:D317 E294:L294 E295:K308 E309:L309 E310:K310 E311:L311 E312:K312 E313:L313 E314:K316 E317:L317 A318:K319 A320:L320">
    <cfRule type="expression" dxfId="25" priority="24">
      <formula>MOD(ROW(),2)</formula>
    </cfRule>
  </conditionalFormatting>
  <conditionalFormatting sqref="H3:K7">
    <cfRule type="expression" dxfId="24" priority="12">
      <formula>MOD(ROW(),2)=0</formula>
    </cfRule>
  </conditionalFormatting>
  <conditionalFormatting sqref="L321:M321">
    <cfRule type="cellIs" dxfId="23" priority="21" operator="lessThan">
      <formula>0</formula>
    </cfRule>
    <cfRule type="cellIs" dxfId="22" priority="25" operator="greaterThan">
      <formula>0</formula>
    </cfRule>
  </conditionalFormatting>
  <conditionalFormatting sqref="M82 M179:M180 M190 M254 M262">
    <cfRule type="expression" dxfId="21" priority="15">
      <formula>MOD(ROW(),2)</formula>
    </cfRule>
  </conditionalFormatting>
  <conditionalFormatting sqref="M153:V153">
    <cfRule type="expression" dxfId="20" priority="2">
      <formula>MOD(ROW(),2)</formula>
    </cfRule>
  </conditionalFormatting>
  <conditionalFormatting sqref="M161:V161">
    <cfRule type="expression" dxfId="19" priority="1">
      <formula>MOD(ROW(),2)</formula>
    </cfRule>
  </conditionalFormatting>
  <conditionalFormatting sqref="N5:P18">
    <cfRule type="expression" dxfId="18" priority="14">
      <formula>MOD(ROW(),2)</formula>
    </cfRule>
  </conditionalFormatting>
  <conditionalFormatting sqref="N1:V3 A2:B11">
    <cfRule type="expression" dxfId="17" priority="26">
      <formula>MOD(ROW(),2)</formula>
    </cfRule>
  </conditionalFormatting>
  <conditionalFormatting sqref="Q4:V18">
    <cfRule type="expression" dxfId="16" priority="13">
      <formula>MOD(ROW(),2)</formula>
    </cfRule>
  </conditionalFormatting>
  <dataValidations count="2">
    <dataValidation type="list" allowBlank="1" showInputMessage="1" showErrorMessage="1" sqref="B4" xr:uid="{977AF3BF-3472-4640-86DD-1E4F59D9F472}">
      <formula1>"Urban, Market, Senior, Afforable"</formula1>
    </dataValidation>
    <dataValidation type="list" allowBlank="1" showInputMessage="1" showErrorMessage="1" sqref="B3" xr:uid="{09ABD856-54DA-4F55-ABDD-C637A70AD2E5}">
      <formula1>"Level 1, Level 2, Level 3"</formula1>
    </dataValidation>
  </dataValidations>
  <printOptions horizontalCentered="1"/>
  <pageMargins left="0.25" right="0.25" top="0.7" bottom="0.5" header="0.35" footer="0.05"/>
  <pageSetup paperSize="3" scale="51" fitToHeight="0" orientation="landscape" r:id="rId1"/>
  <headerFooter>
    <oddHeader>&amp;R&amp;G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5B4F4-9321-40FA-8A30-C6AFC4B44A77}">
  <sheetPr>
    <tabColor theme="3" tint="0.499984740745262"/>
  </sheetPr>
  <dimension ref="A1:AD520"/>
  <sheetViews>
    <sheetView showGridLines="0" view="pageBreakPreview" zoomScale="85" zoomScaleNormal="100" zoomScaleSheetLayoutView="85" workbookViewId="0">
      <selection activeCell="J8" sqref="J8"/>
    </sheetView>
  </sheetViews>
  <sheetFormatPr defaultColWidth="9.140625" defaultRowHeight="15" outlineLevelCol="1"/>
  <cols>
    <col min="1" max="1" width="39" style="3" customWidth="1"/>
    <col min="2" max="2" width="23.140625" style="2" customWidth="1"/>
    <col min="3" max="4" width="14.85546875" style="2" customWidth="1" outlineLevel="1"/>
    <col min="5" max="5" width="11.7109375" style="2" customWidth="1" outlineLevel="1"/>
    <col min="6" max="6" width="14.85546875" style="2" customWidth="1" outlineLevel="1"/>
    <col min="7" max="7" width="10.28515625" style="3" customWidth="1" outlineLevel="1"/>
    <col min="8" max="8" width="11.7109375" style="3" customWidth="1" outlineLevel="1"/>
    <col min="9" max="9" width="13.5703125" style="3" customWidth="1" outlineLevel="1"/>
    <col min="10" max="10" width="14" style="3" customWidth="1" outlineLevel="1"/>
    <col min="11" max="11" width="12" style="3" customWidth="1"/>
    <col min="12" max="12" width="11.28515625" style="3" bestFit="1" customWidth="1"/>
    <col min="13" max="13" width="2.42578125" style="3" customWidth="1"/>
    <col min="14" max="14" width="96.28515625" style="3" bestFit="1" customWidth="1" outlineLevel="1"/>
    <col min="15" max="15" width="7.7109375" style="3" bestFit="1" customWidth="1" outlineLevel="1"/>
    <col min="16" max="16" width="22.28515625" style="3" bestFit="1" customWidth="1" outlineLevel="1"/>
    <col min="17" max="17" width="4.7109375" style="3" hidden="1" customWidth="1" outlineLevel="1"/>
    <col min="18" max="18" width="16" style="3" bestFit="1" customWidth="1" outlineLevel="1"/>
    <col min="19" max="19" width="6.7109375" style="3" bestFit="1" customWidth="1" outlineLevel="1"/>
    <col min="20" max="20" width="12.140625" style="3" bestFit="1" customWidth="1" outlineLevel="1"/>
    <col min="21" max="22" width="6.7109375" style="3" hidden="1" customWidth="1" outlineLevel="1"/>
    <col min="23" max="23" width="9.140625" style="3" hidden="1" customWidth="1" outlineLevel="1"/>
    <col min="24" max="24" width="10" style="3" bestFit="1" customWidth="1"/>
    <col min="25" max="27" width="9.140625" style="3"/>
    <col min="28" max="28" width="11.28515625" style="3" bestFit="1" customWidth="1"/>
    <col min="29" max="30" width="10.85546875" style="3" bestFit="1" customWidth="1"/>
    <col min="31" max="16384" width="9.140625" style="3"/>
  </cols>
  <sheetData>
    <row r="1" spans="1:24" ht="15.75" thickBot="1">
      <c r="A1" s="1" t="s">
        <v>8</v>
      </c>
      <c r="B1" s="1"/>
      <c r="D1" s="1" t="s">
        <v>12</v>
      </c>
      <c r="E1" s="1"/>
      <c r="F1" s="1"/>
      <c r="H1" s="194" t="s">
        <v>1117</v>
      </c>
      <c r="I1" s="194"/>
      <c r="J1" s="194"/>
      <c r="N1" s="5" t="s">
        <v>914</v>
      </c>
      <c r="O1" s="5"/>
      <c r="P1" s="5"/>
      <c r="R1" s="5" t="s">
        <v>914</v>
      </c>
      <c r="S1" s="5"/>
      <c r="T1" s="5"/>
    </row>
    <row r="2" spans="1:24" ht="15.75" thickBot="1">
      <c r="A2" s="7" t="s">
        <v>9</v>
      </c>
      <c r="B2" s="8" t="s">
        <v>10</v>
      </c>
      <c r="D2" s="9" t="s">
        <v>16</v>
      </c>
      <c r="E2" s="10" t="s">
        <v>17</v>
      </c>
      <c r="F2" s="10" t="s">
        <v>18</v>
      </c>
      <c r="H2" s="195" t="s">
        <v>1118</v>
      </c>
      <c r="I2" s="196" t="s">
        <v>344</v>
      </c>
      <c r="J2" s="196" t="s">
        <v>918</v>
      </c>
      <c r="N2" s="197" t="s">
        <v>917</v>
      </c>
      <c r="O2" s="198">
        <f>'[59]Scenario 2 - Phase 1'!O2+'[59]Scenario 2 - Phase 2'!O2</f>
        <v>164597</v>
      </c>
      <c r="P2" s="197" t="s">
        <v>1119</v>
      </c>
      <c r="R2" s="46" t="s">
        <v>1120</v>
      </c>
      <c r="S2" s="199">
        <f>'[59]Scenario 2 - Phase 1'!S2+'[59]Scenario 2 - Phase 2'!S2</f>
        <v>14292</v>
      </c>
      <c r="T2" s="46" t="s">
        <v>185</v>
      </c>
    </row>
    <row r="3" spans="1:24">
      <c r="A3" s="17" t="s">
        <v>14</v>
      </c>
      <c r="B3" s="18" t="s">
        <v>880</v>
      </c>
      <c r="D3" s="19" t="s">
        <v>26</v>
      </c>
      <c r="E3" s="200">
        <f>'[59]Scenario 2 - Phase 1'!E3+'[59]Scenario 2 - Phase 2'!E3</f>
        <v>0</v>
      </c>
      <c r="F3" s="21">
        <f t="shared" ref="F3:F8" si="0">E3/$E$8</f>
        <v>0</v>
      </c>
      <c r="H3" s="201">
        <v>1</v>
      </c>
      <c r="I3" s="202">
        <f>155-53</f>
        <v>102</v>
      </c>
      <c r="J3" s="203">
        <f>47126*2</f>
        <v>94252</v>
      </c>
      <c r="N3" s="46" t="s">
        <v>138</v>
      </c>
      <c r="O3" s="199">
        <f>'[59]Scenario 2 - Phase 1'!O3+'[59]Scenario 2 - Phase 2'!O3</f>
        <v>6</v>
      </c>
      <c r="P3" s="46" t="s">
        <v>1121</v>
      </c>
      <c r="R3" s="46" t="s">
        <v>1122</v>
      </c>
      <c r="S3" s="199">
        <f>'[59]Scenario 2 - Phase 1'!S3+'[59]Scenario 2 - Phase 2'!S3</f>
        <v>10833</v>
      </c>
      <c r="T3" s="46" t="s">
        <v>185</v>
      </c>
    </row>
    <row r="4" spans="1:24">
      <c r="A4" s="17" t="s">
        <v>23</v>
      </c>
      <c r="B4" s="18" t="s">
        <v>24</v>
      </c>
      <c r="D4" s="25" t="s">
        <v>30</v>
      </c>
      <c r="E4" s="204">
        <f>'[59]Scenario 2 - Phase 1'!E4+'[59]Scenario 2 - Phase 2'!E4</f>
        <v>218</v>
      </c>
      <c r="F4" s="26">
        <f t="shared" si="0"/>
        <v>0.60055096418732778</v>
      </c>
      <c r="H4" s="18">
        <v>2</v>
      </c>
      <c r="I4" s="205">
        <f>192-65</f>
        <v>127</v>
      </c>
      <c r="J4" s="203">
        <f>56588*2</f>
        <v>113176</v>
      </c>
      <c r="N4" s="46" t="s">
        <v>926</v>
      </c>
      <c r="O4" s="199">
        <f>'[59]Scenario 2 - Phase 1'!O4+'[59]Scenario 2 - Phase 2'!O4</f>
        <v>10.542857142857143</v>
      </c>
      <c r="P4" s="46" t="s">
        <v>1123</v>
      </c>
      <c r="R4" s="46" t="s">
        <v>1124</v>
      </c>
      <c r="S4" s="199">
        <f>'[59]Scenario 2 - Phase 1'!S4+'[59]Scenario 2 - Phase 2'!S4</f>
        <v>0</v>
      </c>
      <c r="T4" s="46" t="s">
        <v>455</v>
      </c>
    </row>
    <row r="5" spans="1:24">
      <c r="A5" s="17" t="s">
        <v>29</v>
      </c>
      <c r="B5" s="29">
        <v>45809</v>
      </c>
      <c r="D5" s="25" t="s">
        <v>35</v>
      </c>
      <c r="E5" s="206">
        <f>'[59]Scenario 2 - Phase 1'!E5+'[59]Scenario 2 - Phase 2'!E5</f>
        <v>145</v>
      </c>
      <c r="F5" s="26">
        <f t="shared" si="0"/>
        <v>0.39944903581267216</v>
      </c>
      <c r="H5" s="18">
        <v>3</v>
      </c>
      <c r="I5" s="207">
        <f>'[59]Scenario 2 - Phase 2'!I3</f>
        <v>134</v>
      </c>
      <c r="J5" s="203">
        <f>'[59]Scenario 2 - Phase 2'!J3</f>
        <v>121766</v>
      </c>
      <c r="N5" s="46" t="s">
        <v>932</v>
      </c>
      <c r="O5" s="199">
        <f>'[59]Scenario 2 - Phase 1'!O5+'[59]Scenario 2 - Phase 2'!O5</f>
        <v>16</v>
      </c>
      <c r="P5" s="46" t="s">
        <v>132</v>
      </c>
      <c r="R5" s="46" t="s">
        <v>1125</v>
      </c>
      <c r="S5" s="199">
        <f>'[59]Scenario 2 - Phase 1'!S5+'[59]Scenario 2 - Phase 2'!S5</f>
        <v>0</v>
      </c>
      <c r="T5" s="46" t="s">
        <v>455</v>
      </c>
    </row>
    <row r="6" spans="1:24" ht="15.75" thickBot="1">
      <c r="A6" s="17" t="s">
        <v>1126</v>
      </c>
      <c r="B6" s="18">
        <v>24</v>
      </c>
      <c r="D6" s="25" t="s">
        <v>39</v>
      </c>
      <c r="E6" s="208">
        <f>'[59]Scenario 2 - Phase 1'!E6+'[59]Scenario 2 - Phase 2'!E6</f>
        <v>0</v>
      </c>
      <c r="F6" s="26">
        <f t="shared" si="0"/>
        <v>0</v>
      </c>
      <c r="H6" s="195" t="s">
        <v>48</v>
      </c>
      <c r="I6" s="196">
        <f>E8</f>
        <v>363</v>
      </c>
      <c r="J6" s="209">
        <f>SUM(J3:J5)</f>
        <v>329194</v>
      </c>
      <c r="N6" s="88" t="s">
        <v>936</v>
      </c>
      <c r="O6" s="210">
        <f>'[59]Scenario 2 - Phase 1'!O6+'[59]Scenario 2 - Phase 2'!O6</f>
        <v>2</v>
      </c>
      <c r="P6" s="88"/>
      <c r="R6" s="46" t="s">
        <v>933</v>
      </c>
      <c r="S6" s="199">
        <f>'[59]Scenario 2 - Phase 1'!S6+'[59]Scenario 2 - Phase 2'!S6</f>
        <v>3984</v>
      </c>
      <c r="T6" s="46" t="s">
        <v>185</v>
      </c>
    </row>
    <row r="7" spans="1:24" ht="15.75" thickBot="1">
      <c r="A7" s="17" t="s">
        <v>38</v>
      </c>
      <c r="B7" s="18" t="s">
        <v>1127</v>
      </c>
      <c r="D7" s="34" t="s">
        <v>44</v>
      </c>
      <c r="E7" s="211">
        <f>'[59]Scenario 2 - Phase 1'!E7+'[59]Scenario 2 - Phase 2'!E7</f>
        <v>0</v>
      </c>
      <c r="F7" s="36">
        <f t="shared" si="0"/>
        <v>0</v>
      </c>
      <c r="N7" s="46" t="s">
        <v>939</v>
      </c>
      <c r="O7" s="199">
        <f>'[59]Scenario 2 - Phase 1'!O7+'[59]Scenario 2 - Phase 2'!O7</f>
        <v>2</v>
      </c>
      <c r="P7" s="46"/>
      <c r="R7" s="46" t="s">
        <v>937</v>
      </c>
      <c r="S7" s="199">
        <f>'[59]Scenario 2 - Phase 1'!S7+'[59]Scenario 2 - Phase 2'!S7</f>
        <v>0</v>
      </c>
      <c r="T7" s="46" t="s">
        <v>185</v>
      </c>
    </row>
    <row r="8" spans="1:24" ht="15.75" thickBot="1">
      <c r="A8" s="17" t="s">
        <v>1128</v>
      </c>
      <c r="B8" s="15">
        <f>J6</f>
        <v>329194</v>
      </c>
      <c r="D8" s="40" t="s">
        <v>48</v>
      </c>
      <c r="E8" s="41">
        <f>SUM(E3:E7)</f>
        <v>363</v>
      </c>
      <c r="F8" s="42">
        <f t="shared" si="0"/>
        <v>1</v>
      </c>
      <c r="H8" s="212" t="s">
        <v>1089</v>
      </c>
      <c r="I8" s="213"/>
      <c r="J8" s="214">
        <f>L326</f>
        <v>69293293.736619905</v>
      </c>
      <c r="N8" s="46" t="s">
        <v>941</v>
      </c>
      <c r="O8" s="199">
        <f>'[59]Scenario 2 - Phase 1'!O8+'[59]Scenario 2 - Phase 2'!O8</f>
        <v>2682.7400386078752</v>
      </c>
      <c r="P8" s="46" t="s">
        <v>1129</v>
      </c>
      <c r="R8" s="215" t="s">
        <v>617</v>
      </c>
      <c r="S8" s="216">
        <f>'[59]Scenario 2 - Phase 1'!S8+'[59]Scenario 2 - Phase 2'!S8</f>
        <v>0</v>
      </c>
      <c r="T8" s="215" t="s">
        <v>185</v>
      </c>
    </row>
    <row r="9" spans="1:24" ht="15.75" thickBot="1">
      <c r="A9" s="17" t="s">
        <v>47</v>
      </c>
      <c r="B9" s="217">
        <f>'[59]Scenario 2 - Phase 1'!B9+'[59]Scenario 2 - Phase 2'!B9</f>
        <v>17.25</v>
      </c>
      <c r="D9" s="1" t="s">
        <v>13</v>
      </c>
      <c r="E9" s="1"/>
      <c r="F9" s="1"/>
      <c r="H9" s="218" t="s">
        <v>1091</v>
      </c>
      <c r="I9" s="219"/>
      <c r="J9" s="220">
        <f>J8/E8</f>
        <v>190890.6163543248</v>
      </c>
      <c r="K9" s="47"/>
      <c r="N9" s="46" t="s">
        <v>153</v>
      </c>
      <c r="O9" s="199">
        <f>'[59]Scenario 2 - Phase 1'!O9+'[59]Scenario 2 - Phase 2'!O9</f>
        <v>1693.23</v>
      </c>
      <c r="P9" s="46" t="s">
        <v>943</v>
      </c>
      <c r="R9" s="215" t="s">
        <v>210</v>
      </c>
      <c r="S9" s="216">
        <f>'[59]Scenario 2 - Phase 1'!S9+'[59]Scenario 2 - Phase 2'!S9</f>
        <v>77100</v>
      </c>
      <c r="T9" s="215" t="s">
        <v>1130</v>
      </c>
    </row>
    <row r="10" spans="1:24" ht="15.75" thickBot="1">
      <c r="A10" s="17" t="s">
        <v>51</v>
      </c>
      <c r="B10" s="15">
        <f>B9*43560</f>
        <v>751410</v>
      </c>
      <c r="D10" s="221" t="s">
        <v>1131</v>
      </c>
      <c r="E10" s="88"/>
      <c r="F10" s="222">
        <f>'[59]Scenario 2 - Phase 1'!F10+'[59]Scenario 2 - Phase 2'!F10</f>
        <v>0</v>
      </c>
      <c r="H10" s="223" t="s">
        <v>1092</v>
      </c>
      <c r="I10" s="40"/>
      <c r="J10" s="224">
        <f>J8/B8</f>
        <v>210.49379313298513</v>
      </c>
      <c r="K10" s="47"/>
      <c r="N10" s="46" t="s">
        <v>315</v>
      </c>
      <c r="O10" s="199">
        <f>'[59]Scenario 2 - Phase 1'!O10+'[59]Scenario 2 - Phase 2'!O10</f>
        <v>18377.333333333336</v>
      </c>
      <c r="P10" s="46" t="s">
        <v>945</v>
      </c>
      <c r="R10" s="215" t="s">
        <v>210</v>
      </c>
      <c r="S10" s="216">
        <f>'[59]Scenario 2 - Phase 1'!S10+'[59]Scenario 2 - Phase 2'!S10</f>
        <v>94000</v>
      </c>
      <c r="T10" s="215" t="s">
        <v>1132</v>
      </c>
    </row>
    <row r="11" spans="1:24" ht="15.75" thickBot="1">
      <c r="A11" s="17" t="s">
        <v>52</v>
      </c>
      <c r="B11" s="15">
        <v>3</v>
      </c>
      <c r="D11" s="17" t="s">
        <v>19</v>
      </c>
      <c r="E11" s="46"/>
      <c r="F11" s="208">
        <f>'[59]Scenario 2 - Phase 1'!F11+'[59]Scenario 2 - Phase 2'!F11</f>
        <v>0</v>
      </c>
      <c r="K11" s="47"/>
      <c r="N11" s="46" t="s">
        <v>1133</v>
      </c>
      <c r="O11" s="199">
        <f>'[59]Scenario 2 - Phase 1'!O11+'[59]Scenario 2 - Phase 2'!O11</f>
        <v>282874</v>
      </c>
      <c r="P11" s="46" t="s">
        <v>940</v>
      </c>
      <c r="R11" s="215" t="s">
        <v>210</v>
      </c>
      <c r="S11" s="216">
        <f>'[59]Scenario 2 - Phase 1'!S11+'[59]Scenario 2 - Phase 2'!S11</f>
        <v>97500</v>
      </c>
      <c r="T11" s="215" t="s">
        <v>1134</v>
      </c>
    </row>
    <row r="12" spans="1:24">
      <c r="A12" s="48" t="s">
        <v>909</v>
      </c>
      <c r="B12" s="49"/>
      <c r="D12" s="17" t="s">
        <v>31</v>
      </c>
      <c r="E12" s="46"/>
      <c r="F12" s="208">
        <f>'[59]Scenario 2 - Phase 1'!F12+'[59]Scenario 2 - Phase 2'!F12</f>
        <v>706</v>
      </c>
      <c r="K12" s="47"/>
      <c r="N12" s="46" t="s">
        <v>482</v>
      </c>
      <c r="O12" s="225">
        <f>'[59]Scenario 2 - Phase 1'!O12+'[59]Scenario 2 - Phase 2'!O12</f>
        <v>423.59999999999997</v>
      </c>
      <c r="P12" s="46" t="s">
        <v>1135</v>
      </c>
      <c r="R12" s="215" t="s">
        <v>642</v>
      </c>
      <c r="S12" s="216">
        <f>'[59]Scenario 2 - Phase 1'!S12+'[59]Scenario 2 - Phase 2'!S12</f>
        <v>254</v>
      </c>
      <c r="T12" s="215"/>
    </row>
    <row r="13" spans="1:24">
      <c r="A13" s="53" t="s">
        <v>1087</v>
      </c>
      <c r="B13" s="226"/>
      <c r="D13" s="17" t="s">
        <v>36</v>
      </c>
      <c r="E13" s="46"/>
      <c r="F13" s="208">
        <f>'[59]Scenario 2 - Phase 1'!F13+'[59]Scenario 2 - Phase 2'!F13</f>
        <v>8</v>
      </c>
      <c r="K13" s="47"/>
      <c r="N13" s="46" t="s">
        <v>615</v>
      </c>
      <c r="O13" s="199">
        <f>'[59]Scenario 2 - Phase 1'!O13+'[59]Scenario 2 - Phase 2'!O13</f>
        <v>285447</v>
      </c>
      <c r="P13" s="46" t="s">
        <v>1136</v>
      </c>
      <c r="R13" s="227" t="s">
        <v>949</v>
      </c>
      <c r="S13" s="228">
        <f>'[59]Scenario 2 - Phase 1'!S13+'[59]Scenario 2 - Phase 2'!S13</f>
        <v>255</v>
      </c>
      <c r="T13" s="227"/>
    </row>
    <row r="14" spans="1:24">
      <c r="A14" s="55" t="s">
        <v>1137</v>
      </c>
      <c r="B14" s="46"/>
      <c r="D14" s="17" t="s">
        <v>1138</v>
      </c>
      <c r="E14" s="46"/>
      <c r="F14" s="208">
        <f>'[59]Scenario 2 - Phase 1'!F14+'[59]Scenario 2 - Phase 2'!F14</f>
        <v>0</v>
      </c>
      <c r="J14" s="182"/>
      <c r="K14" s="47"/>
      <c r="N14" s="46" t="s">
        <v>1139</v>
      </c>
      <c r="O14" s="199">
        <f>'[59]Scenario 2 - Phase 1'!O14+'[59]Scenario 2 - Phase 2'!O14</f>
        <v>1699.5000000000002</v>
      </c>
      <c r="P14" s="46" t="s">
        <v>1140</v>
      </c>
      <c r="R14" s="215" t="s">
        <v>1141</v>
      </c>
      <c r="S14" s="216">
        <f>'[59]Scenario 2 - Phase 1'!S14+'[59]Scenario 2 - Phase 2'!S14</f>
        <v>9315</v>
      </c>
      <c r="T14" s="215" t="s">
        <v>1130</v>
      </c>
    </row>
    <row r="15" spans="1:24">
      <c r="A15" s="55" t="s">
        <v>1090</v>
      </c>
      <c r="B15" s="46"/>
      <c r="D15" s="17" t="s">
        <v>45</v>
      </c>
      <c r="E15" s="46"/>
      <c r="F15" s="18">
        <f>SUM(F10:F12)</f>
        <v>706</v>
      </c>
      <c r="I15" s="229"/>
      <c r="N15" s="46" t="s">
        <v>1139</v>
      </c>
      <c r="O15" s="199">
        <f>'[59]Scenario 2 - Phase 1'!O15+'[59]Scenario 2 - Phase 2'!O15</f>
        <v>1815.0000000000002</v>
      </c>
      <c r="P15" s="46" t="s">
        <v>1142</v>
      </c>
      <c r="R15" s="215" t="s">
        <v>1141</v>
      </c>
      <c r="S15" s="216">
        <f>'[59]Scenario 2 - Phase 1'!S15+'[59]Scenario 2 - Phase 2'!S15</f>
        <v>12738</v>
      </c>
      <c r="T15" s="215" t="s">
        <v>1132</v>
      </c>
    </row>
    <row r="16" spans="1:24" ht="15.75" thickBot="1">
      <c r="A16" s="62" t="s">
        <v>913</v>
      </c>
      <c r="B16" s="64"/>
      <c r="D16" s="63" t="s">
        <v>49</v>
      </c>
      <c r="E16" s="64"/>
      <c r="F16" s="65">
        <f>SUM(F10:F12)/E8</f>
        <v>1.9449035812672177</v>
      </c>
      <c r="J16" s="47"/>
      <c r="N16" s="46" t="s">
        <v>1139</v>
      </c>
      <c r="O16" s="199">
        <f>'[59]Scenario 2 - Phase 1'!O16+'[59]Scenario 2 - Phase 2'!O16</f>
        <v>2392.5</v>
      </c>
      <c r="P16" s="46" t="s">
        <v>1143</v>
      </c>
      <c r="R16" s="215" t="s">
        <v>1141</v>
      </c>
      <c r="S16" s="216">
        <f>'[59]Scenario 2 - Phase 1'!S16+'[59]Scenario 2 - Phase 2'!S16</f>
        <v>14079</v>
      </c>
      <c r="T16" s="215" t="s">
        <v>1134</v>
      </c>
      <c r="X16" s="230">
        <v>219566.7724867725</v>
      </c>
    </row>
    <row r="17" spans="1:30">
      <c r="A17" s="69"/>
      <c r="B17" s="70"/>
      <c r="C17" s="70"/>
      <c r="D17" s="70"/>
      <c r="J17" s="47"/>
      <c r="N17" s="46"/>
      <c r="O17" s="15"/>
      <c r="P17" s="46"/>
      <c r="R17" s="46" t="s">
        <v>621</v>
      </c>
      <c r="S17" s="199">
        <f>'[59]Scenario 2 - Phase 1'!S17+'[59]Scenario 2 - Phase 2'!S17</f>
        <v>7800</v>
      </c>
      <c r="T17" s="46" t="s">
        <v>185</v>
      </c>
    </row>
    <row r="18" spans="1:30">
      <c r="A18" s="69"/>
      <c r="B18" s="70"/>
      <c r="C18" s="70"/>
      <c r="D18" s="70"/>
      <c r="J18" s="47"/>
      <c r="N18" s="47"/>
    </row>
    <row r="19" spans="1:30" ht="30.75" customHeight="1" thickBot="1">
      <c r="A19" s="77" t="s">
        <v>55</v>
      </c>
      <c r="B19" s="78" t="s">
        <v>56</v>
      </c>
      <c r="C19" s="78" t="s">
        <v>57</v>
      </c>
      <c r="D19" s="78" t="s">
        <v>1144</v>
      </c>
      <c r="E19" s="78" t="s">
        <v>59</v>
      </c>
      <c r="F19" s="78" t="s">
        <v>1145</v>
      </c>
      <c r="G19" s="78" t="s">
        <v>61</v>
      </c>
      <c r="H19" s="78" t="s">
        <v>1146</v>
      </c>
      <c r="I19" s="79" t="s">
        <v>1147</v>
      </c>
      <c r="J19" s="78" t="s">
        <v>1148</v>
      </c>
      <c r="K19" s="78" t="s">
        <v>65</v>
      </c>
      <c r="L19" s="77" t="s">
        <v>66</v>
      </c>
      <c r="M19" s="231"/>
      <c r="N19" s="80" t="s">
        <v>67</v>
      </c>
      <c r="O19" s="81"/>
      <c r="P19" s="81"/>
      <c r="Q19" s="81"/>
      <c r="R19" s="81"/>
      <c r="S19" s="81"/>
      <c r="T19" s="81"/>
      <c r="U19" s="81"/>
      <c r="V19" s="81"/>
    </row>
    <row r="20" spans="1:30">
      <c r="A20" s="82" t="s">
        <v>72</v>
      </c>
      <c r="B20" s="83" t="s">
        <v>69</v>
      </c>
      <c r="C20" s="83"/>
      <c r="D20" s="83"/>
      <c r="E20" s="83"/>
      <c r="F20" s="83"/>
      <c r="G20" s="83"/>
      <c r="H20" s="84"/>
      <c r="I20" s="85"/>
      <c r="J20" s="86"/>
      <c r="K20" s="86"/>
      <c r="L20" s="87">
        <f>K21</f>
        <v>3514986.3</v>
      </c>
      <c r="N20" s="88"/>
      <c r="O20" s="88"/>
      <c r="P20" s="88"/>
      <c r="Q20" s="88"/>
      <c r="R20" s="88"/>
      <c r="S20" s="88"/>
      <c r="T20" s="88"/>
      <c r="U20" s="88"/>
      <c r="V20" s="88"/>
      <c r="AA20" s="86"/>
      <c r="AB20" s="87">
        <v>3514986.3</v>
      </c>
      <c r="AC20" s="171">
        <f>AA20-K20</f>
        <v>0</v>
      </c>
      <c r="AD20" s="171">
        <f>AB20-L20</f>
        <v>0</v>
      </c>
    </row>
    <row r="21" spans="1:30">
      <c r="A21" s="89" t="s">
        <v>72</v>
      </c>
      <c r="B21" s="90" t="s">
        <v>69</v>
      </c>
      <c r="C21" s="90" t="s">
        <v>70</v>
      </c>
      <c r="D21" s="90"/>
      <c r="E21" s="90"/>
      <c r="F21" s="90" t="s">
        <v>71</v>
      </c>
      <c r="G21" s="232">
        <f>'[59]Scenario 2 - Phase 1'!G21+'[59]Scenario 2 - Phase 2'!G21</f>
        <v>42</v>
      </c>
      <c r="H21" s="162">
        <v>83690.149999999994</v>
      </c>
      <c r="I21" s="93">
        <v>0</v>
      </c>
      <c r="J21" s="94">
        <f>H21*(1+I21)</f>
        <v>83690.149999999994</v>
      </c>
      <c r="K21" s="95">
        <f>J21*G21</f>
        <v>3514986.3</v>
      </c>
      <c r="N21" s="46"/>
      <c r="O21" s="46"/>
      <c r="P21" s="46"/>
      <c r="Q21" s="46"/>
      <c r="R21" s="46"/>
      <c r="S21" s="46"/>
      <c r="T21" s="46"/>
      <c r="U21" s="46"/>
      <c r="V21" s="46"/>
      <c r="W21" s="233"/>
      <c r="AA21" s="95">
        <v>3514986.3</v>
      </c>
      <c r="AC21" s="171">
        <f t="shared" ref="AC21:AD84" si="1">AA21-K21</f>
        <v>0</v>
      </c>
      <c r="AD21" s="171">
        <f t="shared" si="1"/>
        <v>0</v>
      </c>
    </row>
    <row r="22" spans="1:30">
      <c r="A22" s="96" t="s">
        <v>77</v>
      </c>
      <c r="B22" s="97" t="s">
        <v>78</v>
      </c>
      <c r="C22" s="97"/>
      <c r="D22" s="97"/>
      <c r="E22" s="97"/>
      <c r="F22" s="97"/>
      <c r="G22" s="98"/>
      <c r="H22" s="99"/>
      <c r="I22" s="100"/>
      <c r="J22" s="101"/>
      <c r="K22" s="102"/>
      <c r="L22" s="103">
        <f>K23</f>
        <v>16000</v>
      </c>
      <c r="N22" s="46"/>
      <c r="O22" s="46"/>
      <c r="P22" s="46"/>
      <c r="Q22" s="46"/>
      <c r="R22" s="46"/>
      <c r="S22" s="46"/>
      <c r="T22" s="46"/>
      <c r="U22" s="46"/>
      <c r="V22" s="46"/>
      <c r="AA22" s="102"/>
      <c r="AB22" s="103">
        <v>16000</v>
      </c>
      <c r="AC22" s="171">
        <f t="shared" si="1"/>
        <v>0</v>
      </c>
      <c r="AD22" s="171">
        <f t="shared" si="1"/>
        <v>0</v>
      </c>
    </row>
    <row r="23" spans="1:30">
      <c r="A23" s="104" t="s">
        <v>73</v>
      </c>
      <c r="B23" s="105" t="s">
        <v>74</v>
      </c>
      <c r="C23" s="105" t="s">
        <v>70</v>
      </c>
      <c r="D23" s="105" t="s">
        <v>75</v>
      </c>
      <c r="E23" s="105" t="s">
        <v>76</v>
      </c>
      <c r="F23" s="105"/>
      <c r="G23" s="106">
        <v>1</v>
      </c>
      <c r="H23" s="234">
        <f>'[59]Scenario 2 - Phase 1'!H23+'[59]Scenario 2 - Phase 2'!H23</f>
        <v>16000</v>
      </c>
      <c r="I23" s="108">
        <v>0</v>
      </c>
      <c r="J23" s="109">
        <f>H23*(1+I23)</f>
        <v>16000</v>
      </c>
      <c r="K23" s="110">
        <f>J23*G23</f>
        <v>16000</v>
      </c>
      <c r="N23" s="46"/>
      <c r="O23" s="46"/>
      <c r="P23" s="46"/>
      <c r="Q23" s="46"/>
      <c r="R23" s="46"/>
      <c r="S23" s="46"/>
      <c r="T23" s="46"/>
      <c r="U23" s="46"/>
      <c r="V23" s="46"/>
      <c r="AA23" s="110">
        <v>16000</v>
      </c>
      <c r="AC23" s="171">
        <f t="shared" si="1"/>
        <v>0</v>
      </c>
      <c r="AD23" s="171">
        <f t="shared" si="1"/>
        <v>0</v>
      </c>
    </row>
    <row r="24" spans="1:30">
      <c r="A24" s="96" t="s">
        <v>121</v>
      </c>
      <c r="B24" s="97" t="s">
        <v>122</v>
      </c>
      <c r="C24" s="97"/>
      <c r="D24" s="97"/>
      <c r="E24" s="97"/>
      <c r="F24" s="97"/>
      <c r="G24" s="98"/>
      <c r="H24" s="99"/>
      <c r="I24" s="100"/>
      <c r="J24" s="101"/>
      <c r="K24" s="102"/>
      <c r="L24" s="103">
        <f>SUM(K25:K34)</f>
        <v>2594295.6785714286</v>
      </c>
      <c r="N24" s="46"/>
      <c r="O24" s="46"/>
      <c r="P24" s="46"/>
      <c r="Q24" s="46"/>
      <c r="R24" s="46"/>
      <c r="S24" s="46"/>
      <c r="T24" s="46"/>
      <c r="U24" s="46"/>
      <c r="V24" s="46"/>
      <c r="X24" s="235">
        <f>L24/E8</f>
        <v>7146.8200511609602</v>
      </c>
      <c r="Y24" s="236"/>
      <c r="AA24" s="102"/>
      <c r="AB24" s="103">
        <v>2594295.6785714286</v>
      </c>
      <c r="AC24" s="171">
        <f t="shared" si="1"/>
        <v>0</v>
      </c>
      <c r="AD24" s="171">
        <f t="shared" si="1"/>
        <v>0</v>
      </c>
    </row>
    <row r="25" spans="1:30">
      <c r="A25" s="111" t="s">
        <v>79</v>
      </c>
      <c r="B25" s="112" t="s">
        <v>80</v>
      </c>
      <c r="C25" s="112" t="s">
        <v>70</v>
      </c>
      <c r="D25" s="112" t="s">
        <v>81</v>
      </c>
      <c r="E25" s="112" t="s">
        <v>343</v>
      </c>
      <c r="F25" s="112" t="s">
        <v>185</v>
      </c>
      <c r="G25" s="113">
        <f>O2</f>
        <v>164597</v>
      </c>
      <c r="H25" s="114">
        <v>11.99</v>
      </c>
      <c r="I25" s="115">
        <v>0</v>
      </c>
      <c r="J25" s="116">
        <f>H25*(1+I25)</f>
        <v>11.99</v>
      </c>
      <c r="K25" s="117">
        <f>J25*G25</f>
        <v>1973518.03</v>
      </c>
      <c r="N25" s="46"/>
      <c r="O25" s="46"/>
      <c r="P25" s="46"/>
      <c r="Q25" s="46"/>
      <c r="R25" s="46"/>
      <c r="S25" s="46"/>
      <c r="T25" s="46"/>
      <c r="U25" s="46"/>
      <c r="V25" s="46"/>
      <c r="Y25" s="2"/>
      <c r="AA25" s="117">
        <v>1973518.0300000003</v>
      </c>
      <c r="AC25" s="171">
        <f t="shared" si="1"/>
        <v>0</v>
      </c>
      <c r="AD25" s="171">
        <f t="shared" si="1"/>
        <v>0</v>
      </c>
    </row>
    <row r="26" spans="1:30">
      <c r="A26" s="118" t="s">
        <v>86</v>
      </c>
      <c r="B26" s="119" t="s">
        <v>80</v>
      </c>
      <c r="C26" s="119" t="s">
        <v>70</v>
      </c>
      <c r="D26" s="119" t="s">
        <v>81</v>
      </c>
      <c r="E26" s="119" t="s">
        <v>87</v>
      </c>
      <c r="F26" s="119"/>
      <c r="G26" s="120">
        <v>0</v>
      </c>
      <c r="H26" s="121">
        <v>0</v>
      </c>
      <c r="I26" s="122">
        <v>0</v>
      </c>
      <c r="J26" s="123">
        <f>H26*(1+I26)</f>
        <v>0</v>
      </c>
      <c r="K26" s="117">
        <f t="shared" ref="K26:K49" si="2">J26*G26</f>
        <v>0</v>
      </c>
      <c r="N26" s="46"/>
      <c r="O26" s="46"/>
      <c r="P26" s="46"/>
      <c r="Q26" s="46"/>
      <c r="R26" s="46"/>
      <c r="S26" s="46"/>
      <c r="T26" s="46"/>
      <c r="U26" s="46"/>
      <c r="V26" s="46"/>
      <c r="Y26" s="2"/>
      <c r="AA26" s="117">
        <v>0</v>
      </c>
      <c r="AC26" s="171">
        <f t="shared" si="1"/>
        <v>0</v>
      </c>
      <c r="AD26" s="171">
        <f t="shared" si="1"/>
        <v>0</v>
      </c>
    </row>
    <row r="27" spans="1:30">
      <c r="A27" s="118" t="s">
        <v>89</v>
      </c>
      <c r="B27" s="119" t="s">
        <v>80</v>
      </c>
      <c r="C27" s="119" t="s">
        <v>90</v>
      </c>
      <c r="D27" s="119" t="s">
        <v>81</v>
      </c>
      <c r="E27" s="90" t="s">
        <v>76</v>
      </c>
      <c r="F27" s="90" t="s">
        <v>83</v>
      </c>
      <c r="G27" s="91">
        <v>1</v>
      </c>
      <c r="H27" s="237">
        <f>'[59]Scenario 2 - Phase 1'!H27+'[59]Scenario 2 - Phase 2'!H27</f>
        <v>15000</v>
      </c>
      <c r="I27" s="122">
        <v>0</v>
      </c>
      <c r="J27" s="123">
        <f t="shared" ref="J27" si="3">H27*(1+I27)</f>
        <v>15000</v>
      </c>
      <c r="K27" s="117">
        <f t="shared" si="2"/>
        <v>15000</v>
      </c>
      <c r="N27" s="46"/>
      <c r="O27" s="46"/>
      <c r="P27" s="46"/>
      <c r="Q27" s="46"/>
      <c r="R27" s="46"/>
      <c r="S27" s="46"/>
      <c r="T27" s="46"/>
      <c r="U27" s="46"/>
      <c r="V27" s="46"/>
      <c r="Y27" s="2"/>
      <c r="AA27" s="117">
        <v>15000</v>
      </c>
      <c r="AC27" s="171">
        <f t="shared" si="1"/>
        <v>0</v>
      </c>
      <c r="AD27" s="171">
        <f t="shared" si="1"/>
        <v>0</v>
      </c>
    </row>
    <row r="28" spans="1:30">
      <c r="A28" s="118" t="s">
        <v>92</v>
      </c>
      <c r="B28" s="119" t="s">
        <v>80</v>
      </c>
      <c r="C28" s="119" t="s">
        <v>70</v>
      </c>
      <c r="D28" s="119" t="s">
        <v>93</v>
      </c>
      <c r="E28" s="119" t="s">
        <v>343</v>
      </c>
      <c r="F28" s="119" t="s">
        <v>185</v>
      </c>
      <c r="G28" s="238">
        <f>'[59]Scenario 2 - Phase 1'!G28+'[59]Scenario 2 - Phase 2'!G28</f>
        <v>600</v>
      </c>
      <c r="H28" s="121">
        <v>11.99</v>
      </c>
      <c r="I28" s="122">
        <v>0</v>
      </c>
      <c r="J28" s="123">
        <f>H28*(1+I28)</f>
        <v>11.99</v>
      </c>
      <c r="K28" s="117">
        <f t="shared" si="2"/>
        <v>7194</v>
      </c>
      <c r="N28" s="46"/>
      <c r="O28" s="46"/>
      <c r="P28" s="46"/>
      <c r="Q28" s="46"/>
      <c r="R28" s="46"/>
      <c r="S28" s="46"/>
      <c r="T28" s="46"/>
      <c r="U28" s="46"/>
      <c r="V28" s="46"/>
      <c r="W28" s="233"/>
      <c r="Y28" s="2"/>
      <c r="AA28" s="117">
        <v>7194</v>
      </c>
      <c r="AC28" s="171">
        <f t="shared" si="1"/>
        <v>0</v>
      </c>
      <c r="AD28" s="171">
        <f t="shared" si="1"/>
        <v>0</v>
      </c>
    </row>
    <row r="29" spans="1:30">
      <c r="A29" s="118" t="s">
        <v>95</v>
      </c>
      <c r="B29" s="119" t="s">
        <v>96</v>
      </c>
      <c r="C29" s="119" t="s">
        <v>70</v>
      </c>
      <c r="D29" s="119" t="s">
        <v>97</v>
      </c>
      <c r="E29" s="119" t="s">
        <v>1049</v>
      </c>
      <c r="F29" s="119" t="s">
        <v>132</v>
      </c>
      <c r="G29" s="120">
        <f>O4</f>
        <v>10.542857142857143</v>
      </c>
      <c r="H29" s="121">
        <v>2698</v>
      </c>
      <c r="I29" s="122">
        <v>0</v>
      </c>
      <c r="J29" s="123">
        <f t="shared" ref="J29:J34" si="4">H29*(1+I29)</f>
        <v>2698</v>
      </c>
      <c r="K29" s="117">
        <f t="shared" si="2"/>
        <v>28444.62857142857</v>
      </c>
      <c r="N29" s="46"/>
      <c r="O29" s="46"/>
      <c r="P29" s="46"/>
      <c r="Q29" s="46"/>
      <c r="R29" s="46"/>
      <c r="S29" s="46"/>
      <c r="T29" s="46"/>
      <c r="U29" s="46"/>
      <c r="V29" s="46"/>
      <c r="Y29" s="2"/>
      <c r="AA29" s="117">
        <v>28444.62857142857</v>
      </c>
      <c r="AC29" s="171">
        <f t="shared" si="1"/>
        <v>0</v>
      </c>
      <c r="AD29" s="171">
        <f t="shared" si="1"/>
        <v>0</v>
      </c>
    </row>
    <row r="30" spans="1:30">
      <c r="A30" s="118" t="s">
        <v>101</v>
      </c>
      <c r="B30" s="119" t="s">
        <v>102</v>
      </c>
      <c r="C30" s="119" t="s">
        <v>70</v>
      </c>
      <c r="D30" s="119" t="s">
        <v>103</v>
      </c>
      <c r="E30" s="119" t="s">
        <v>343</v>
      </c>
      <c r="F30" s="119" t="s">
        <v>83</v>
      </c>
      <c r="G30" s="238">
        <f>'[59]Scenario 2 - Phase 1'!G30+'[59]Scenario 2 - Phase 2'!G30</f>
        <v>3</v>
      </c>
      <c r="H30" s="121">
        <v>2500</v>
      </c>
      <c r="I30" s="122">
        <v>0</v>
      </c>
      <c r="J30" s="123">
        <f t="shared" si="4"/>
        <v>2500</v>
      </c>
      <c r="K30" s="117">
        <f t="shared" si="2"/>
        <v>7500</v>
      </c>
      <c r="N30" s="46"/>
      <c r="O30" s="46"/>
      <c r="P30" s="46"/>
      <c r="Q30" s="46"/>
      <c r="R30" s="46"/>
      <c r="S30" s="46"/>
      <c r="T30" s="46"/>
      <c r="U30" s="46"/>
      <c r="V30" s="46"/>
      <c r="Y30" s="2"/>
      <c r="AA30" s="117">
        <v>7500</v>
      </c>
      <c r="AC30" s="171">
        <f t="shared" si="1"/>
        <v>0</v>
      </c>
      <c r="AD30" s="171">
        <f t="shared" si="1"/>
        <v>0</v>
      </c>
    </row>
    <row r="31" spans="1:30">
      <c r="A31" s="118" t="s">
        <v>105</v>
      </c>
      <c r="B31" s="119" t="s">
        <v>106</v>
      </c>
      <c r="C31" s="119" t="s">
        <v>70</v>
      </c>
      <c r="D31" s="119" t="s">
        <v>103</v>
      </c>
      <c r="E31" s="119" t="s">
        <v>87</v>
      </c>
      <c r="F31" s="119"/>
      <c r="G31" s="120"/>
      <c r="H31" s="121"/>
      <c r="I31" s="122"/>
      <c r="J31" s="123">
        <f t="shared" si="4"/>
        <v>0</v>
      </c>
      <c r="K31" s="117">
        <f t="shared" si="2"/>
        <v>0</v>
      </c>
      <c r="N31" s="46"/>
      <c r="O31" s="46"/>
      <c r="P31" s="46"/>
      <c r="Q31" s="46"/>
      <c r="R31" s="46"/>
      <c r="S31" s="46"/>
      <c r="T31" s="46"/>
      <c r="U31" s="46"/>
      <c r="V31" s="46"/>
      <c r="Y31" s="2"/>
      <c r="AA31" s="117">
        <v>0</v>
      </c>
      <c r="AC31" s="171">
        <f t="shared" si="1"/>
        <v>0</v>
      </c>
      <c r="AD31" s="171">
        <f t="shared" si="1"/>
        <v>0</v>
      </c>
    </row>
    <row r="32" spans="1:30">
      <c r="A32" s="118" t="s">
        <v>108</v>
      </c>
      <c r="B32" s="119" t="s">
        <v>109</v>
      </c>
      <c r="C32" s="119" t="s">
        <v>70</v>
      </c>
      <c r="D32" s="119" t="s">
        <v>110</v>
      </c>
      <c r="E32" s="119" t="s">
        <v>87</v>
      </c>
      <c r="F32" s="119"/>
      <c r="G32" s="120"/>
      <c r="H32" s="121"/>
      <c r="I32" s="122"/>
      <c r="J32" s="123">
        <f t="shared" si="4"/>
        <v>0</v>
      </c>
      <c r="K32" s="117">
        <f t="shared" si="2"/>
        <v>0</v>
      </c>
      <c r="N32" s="46"/>
      <c r="O32" s="46"/>
      <c r="P32" s="46"/>
      <c r="Q32" s="46"/>
      <c r="R32" s="46"/>
      <c r="S32" s="46"/>
      <c r="T32" s="46"/>
      <c r="U32" s="46"/>
      <c r="V32" s="46"/>
      <c r="Y32" s="2"/>
      <c r="AA32" s="117">
        <v>0</v>
      </c>
      <c r="AC32" s="171">
        <f t="shared" si="1"/>
        <v>0</v>
      </c>
      <c r="AD32" s="171">
        <f t="shared" si="1"/>
        <v>0</v>
      </c>
    </row>
    <row r="33" spans="1:30">
      <c r="A33" s="118" t="s">
        <v>112</v>
      </c>
      <c r="B33" s="119" t="s">
        <v>113</v>
      </c>
      <c r="C33" s="119" t="s">
        <v>70</v>
      </c>
      <c r="D33" s="119" t="s">
        <v>81</v>
      </c>
      <c r="E33" s="119" t="s">
        <v>343</v>
      </c>
      <c r="F33" s="119" t="s">
        <v>185</v>
      </c>
      <c r="G33" s="120">
        <f>J6/2</f>
        <v>164597</v>
      </c>
      <c r="H33" s="121">
        <v>2.94</v>
      </c>
      <c r="I33" s="122">
        <v>0</v>
      </c>
      <c r="J33" s="123">
        <f t="shared" si="4"/>
        <v>2.94</v>
      </c>
      <c r="K33" s="117">
        <f t="shared" si="2"/>
        <v>483915.18</v>
      </c>
      <c r="N33" s="46"/>
      <c r="O33" s="46"/>
      <c r="P33" s="46"/>
      <c r="Q33" s="46"/>
      <c r="R33" s="46"/>
      <c r="S33" s="46"/>
      <c r="T33" s="46"/>
      <c r="U33" s="46"/>
      <c r="V33" s="46"/>
      <c r="Y33" s="2"/>
      <c r="AA33" s="117">
        <v>483915.17999999993</v>
      </c>
      <c r="AC33" s="171">
        <f t="shared" si="1"/>
        <v>0</v>
      </c>
      <c r="AD33" s="171">
        <f t="shared" si="1"/>
        <v>0</v>
      </c>
    </row>
    <row r="34" spans="1:30">
      <c r="A34" s="124" t="s">
        <v>117</v>
      </c>
      <c r="B34" s="125" t="s">
        <v>118</v>
      </c>
      <c r="C34" s="125" t="s">
        <v>70</v>
      </c>
      <c r="D34" s="125" t="s">
        <v>81</v>
      </c>
      <c r="E34" s="125" t="s">
        <v>343</v>
      </c>
      <c r="F34" s="125" t="s">
        <v>185</v>
      </c>
      <c r="G34" s="126">
        <f>SUM($S$6:$S$7)</f>
        <v>3984</v>
      </c>
      <c r="H34" s="127">
        <v>19.760000000000002</v>
      </c>
      <c r="I34" s="128">
        <v>0</v>
      </c>
      <c r="J34" s="129">
        <f t="shared" si="4"/>
        <v>19.760000000000002</v>
      </c>
      <c r="K34" s="110">
        <f t="shared" si="2"/>
        <v>78723.840000000011</v>
      </c>
      <c r="L34" s="130"/>
      <c r="N34" s="46"/>
      <c r="O34" s="46"/>
      <c r="P34" s="46"/>
      <c r="Q34" s="46"/>
      <c r="R34" s="46"/>
      <c r="S34" s="46"/>
      <c r="T34" s="46"/>
      <c r="U34" s="46"/>
      <c r="V34" s="46"/>
      <c r="Y34" s="2"/>
      <c r="AA34" s="110">
        <v>78723.840000000011</v>
      </c>
      <c r="AB34" s="130"/>
      <c r="AC34" s="171">
        <f t="shared" si="1"/>
        <v>0</v>
      </c>
      <c r="AD34" s="171">
        <f t="shared" si="1"/>
        <v>0</v>
      </c>
    </row>
    <row r="35" spans="1:30">
      <c r="A35" s="96" t="s">
        <v>804</v>
      </c>
      <c r="B35" s="97" t="s">
        <v>805</v>
      </c>
      <c r="C35" s="97"/>
      <c r="D35" s="97"/>
      <c r="E35" s="97"/>
      <c r="F35" s="97"/>
      <c r="G35" s="98"/>
      <c r="H35" s="99"/>
      <c r="I35" s="100"/>
      <c r="J35" s="101"/>
      <c r="K35" s="102"/>
      <c r="L35" s="103">
        <f>SUM(K36:K43)</f>
        <v>0</v>
      </c>
      <c r="N35" s="46"/>
      <c r="O35" s="46"/>
      <c r="P35" s="46"/>
      <c r="Q35" s="46"/>
      <c r="R35" s="46"/>
      <c r="S35" s="46"/>
      <c r="T35" s="46"/>
      <c r="U35" s="46"/>
      <c r="V35" s="46"/>
      <c r="Y35" s="2"/>
      <c r="AA35" s="102"/>
      <c r="AB35" s="103">
        <v>0</v>
      </c>
      <c r="AC35" s="171">
        <f t="shared" si="1"/>
        <v>0</v>
      </c>
      <c r="AD35" s="171">
        <f t="shared" si="1"/>
        <v>0</v>
      </c>
    </row>
    <row r="36" spans="1:30">
      <c r="A36" s="111" t="s">
        <v>1149</v>
      </c>
      <c r="B36" s="112"/>
      <c r="C36" s="112" t="s">
        <v>70</v>
      </c>
      <c r="D36" s="112"/>
      <c r="E36" s="112" t="s">
        <v>87</v>
      </c>
      <c r="F36" s="112"/>
      <c r="G36" s="113"/>
      <c r="H36" s="114"/>
      <c r="I36" s="115"/>
      <c r="J36" s="116">
        <f t="shared" ref="J36:J43" si="5">H36*(1+I36)</f>
        <v>0</v>
      </c>
      <c r="K36" s="117">
        <f>J36*G36</f>
        <v>0</v>
      </c>
      <c r="N36" s="46"/>
      <c r="O36" s="46"/>
      <c r="P36" s="46"/>
      <c r="Q36" s="46"/>
      <c r="R36" s="46"/>
      <c r="S36" s="46"/>
      <c r="T36" s="46"/>
      <c r="U36" s="46"/>
      <c r="V36" s="46"/>
      <c r="Y36" s="2"/>
      <c r="AA36" s="117">
        <v>0</v>
      </c>
      <c r="AC36" s="171">
        <f t="shared" si="1"/>
        <v>0</v>
      </c>
      <c r="AD36" s="171">
        <f t="shared" si="1"/>
        <v>0</v>
      </c>
    </row>
    <row r="37" spans="1:30">
      <c r="A37" s="118" t="s">
        <v>1150</v>
      </c>
      <c r="B37" s="119"/>
      <c r="C37" s="119" t="s">
        <v>70</v>
      </c>
      <c r="D37" s="119"/>
      <c r="E37" s="119" t="s">
        <v>87</v>
      </c>
      <c r="F37" s="119"/>
      <c r="G37" s="120"/>
      <c r="H37" s="121"/>
      <c r="I37" s="122"/>
      <c r="J37" s="123">
        <f t="shared" si="5"/>
        <v>0</v>
      </c>
      <c r="K37" s="117">
        <f t="shared" si="2"/>
        <v>0</v>
      </c>
      <c r="N37" s="46"/>
      <c r="O37" s="46"/>
      <c r="P37" s="46"/>
      <c r="Q37" s="46"/>
      <c r="R37" s="46"/>
      <c r="S37" s="46"/>
      <c r="T37" s="46"/>
      <c r="U37" s="46"/>
      <c r="V37" s="46"/>
      <c r="Y37" s="2"/>
      <c r="AA37" s="117">
        <v>0</v>
      </c>
      <c r="AC37" s="171">
        <f t="shared" si="1"/>
        <v>0</v>
      </c>
      <c r="AD37" s="171">
        <f t="shared" si="1"/>
        <v>0</v>
      </c>
    </row>
    <row r="38" spans="1:30">
      <c r="A38" s="118" t="s">
        <v>1151</v>
      </c>
      <c r="B38" s="119"/>
      <c r="C38" s="119" t="s">
        <v>70</v>
      </c>
      <c r="D38" s="119"/>
      <c r="E38" s="119" t="s">
        <v>87</v>
      </c>
      <c r="F38" s="119"/>
      <c r="G38" s="120"/>
      <c r="H38" s="121"/>
      <c r="I38" s="122"/>
      <c r="J38" s="123">
        <f t="shared" si="5"/>
        <v>0</v>
      </c>
      <c r="K38" s="117">
        <f t="shared" si="2"/>
        <v>0</v>
      </c>
      <c r="N38" s="46"/>
      <c r="O38" s="46"/>
      <c r="P38" s="46"/>
      <c r="Q38" s="46"/>
      <c r="R38" s="46"/>
      <c r="S38" s="46"/>
      <c r="T38" s="46"/>
      <c r="U38" s="46"/>
      <c r="V38" s="46"/>
      <c r="Y38" s="2"/>
      <c r="AA38" s="117">
        <v>0</v>
      </c>
      <c r="AC38" s="171">
        <f t="shared" si="1"/>
        <v>0</v>
      </c>
      <c r="AD38" s="171">
        <f t="shared" si="1"/>
        <v>0</v>
      </c>
    </row>
    <row r="39" spans="1:30">
      <c r="A39" s="118" t="s">
        <v>1152</v>
      </c>
      <c r="B39" s="119"/>
      <c r="C39" s="119" t="s">
        <v>70</v>
      </c>
      <c r="D39" s="119"/>
      <c r="E39" s="119" t="s">
        <v>87</v>
      </c>
      <c r="F39" s="119"/>
      <c r="G39" s="120"/>
      <c r="H39" s="121"/>
      <c r="I39" s="122"/>
      <c r="J39" s="123">
        <f t="shared" si="5"/>
        <v>0</v>
      </c>
      <c r="K39" s="117">
        <f t="shared" si="2"/>
        <v>0</v>
      </c>
      <c r="N39" s="46"/>
      <c r="O39" s="46"/>
      <c r="P39" s="46"/>
      <c r="Q39" s="46"/>
      <c r="R39" s="46"/>
      <c r="S39" s="46"/>
      <c r="T39" s="46"/>
      <c r="U39" s="46"/>
      <c r="V39" s="46"/>
      <c r="Y39" s="2"/>
      <c r="AA39" s="117">
        <v>0</v>
      </c>
      <c r="AC39" s="171">
        <f t="shared" si="1"/>
        <v>0</v>
      </c>
      <c r="AD39" s="171">
        <f t="shared" si="1"/>
        <v>0</v>
      </c>
    </row>
    <row r="40" spans="1:30">
      <c r="A40" s="118" t="s">
        <v>1153</v>
      </c>
      <c r="B40" s="119"/>
      <c r="C40" s="119" t="s">
        <v>70</v>
      </c>
      <c r="D40" s="119"/>
      <c r="E40" s="119" t="s">
        <v>87</v>
      </c>
      <c r="F40" s="119"/>
      <c r="G40" s="120"/>
      <c r="H40" s="121"/>
      <c r="I40" s="122"/>
      <c r="J40" s="123">
        <f t="shared" si="5"/>
        <v>0</v>
      </c>
      <c r="K40" s="117">
        <f t="shared" si="2"/>
        <v>0</v>
      </c>
      <c r="N40" s="46"/>
      <c r="O40" s="46"/>
      <c r="P40" s="46"/>
      <c r="Q40" s="46"/>
      <c r="R40" s="46"/>
      <c r="S40" s="46"/>
      <c r="T40" s="46"/>
      <c r="U40" s="46"/>
      <c r="V40" s="46"/>
      <c r="Y40" s="2"/>
      <c r="AA40" s="117">
        <v>0</v>
      </c>
      <c r="AC40" s="171">
        <f t="shared" si="1"/>
        <v>0</v>
      </c>
      <c r="AD40" s="171">
        <f t="shared" si="1"/>
        <v>0</v>
      </c>
    </row>
    <row r="41" spans="1:30">
      <c r="A41" s="118" t="s">
        <v>1154</v>
      </c>
      <c r="B41" s="119"/>
      <c r="C41" s="119" t="s">
        <v>70</v>
      </c>
      <c r="D41" s="119"/>
      <c r="E41" s="119" t="s">
        <v>87</v>
      </c>
      <c r="F41" s="119"/>
      <c r="G41" s="120"/>
      <c r="H41" s="121"/>
      <c r="I41" s="122"/>
      <c r="J41" s="123">
        <f t="shared" si="5"/>
        <v>0</v>
      </c>
      <c r="K41" s="117">
        <f t="shared" si="2"/>
        <v>0</v>
      </c>
      <c r="N41" s="46"/>
      <c r="O41" s="46"/>
      <c r="P41" s="46"/>
      <c r="Q41" s="46"/>
      <c r="R41" s="46"/>
      <c r="S41" s="46"/>
      <c r="T41" s="46"/>
      <c r="U41" s="46"/>
      <c r="V41" s="46"/>
      <c r="Y41" s="2"/>
      <c r="AA41" s="117">
        <v>0</v>
      </c>
      <c r="AC41" s="171">
        <f t="shared" si="1"/>
        <v>0</v>
      </c>
      <c r="AD41" s="171">
        <f t="shared" si="1"/>
        <v>0</v>
      </c>
    </row>
    <row r="42" spans="1:30">
      <c r="A42" s="118" t="s">
        <v>1155</v>
      </c>
      <c r="B42" s="119"/>
      <c r="C42" s="119" t="s">
        <v>70</v>
      </c>
      <c r="D42" s="119"/>
      <c r="E42" s="119" t="s">
        <v>87</v>
      </c>
      <c r="F42" s="119"/>
      <c r="G42" s="120"/>
      <c r="H42" s="121"/>
      <c r="I42" s="122"/>
      <c r="J42" s="123">
        <f t="shared" si="5"/>
        <v>0</v>
      </c>
      <c r="K42" s="117">
        <f t="shared" si="2"/>
        <v>0</v>
      </c>
      <c r="N42" s="46"/>
      <c r="O42" s="46"/>
      <c r="P42" s="46"/>
      <c r="Q42" s="46"/>
      <c r="R42" s="46"/>
      <c r="S42" s="46"/>
      <c r="T42" s="46"/>
      <c r="U42" s="46"/>
      <c r="V42" s="46"/>
      <c r="Y42" s="2"/>
      <c r="AA42" s="117">
        <v>0</v>
      </c>
      <c r="AC42" s="171">
        <f t="shared" si="1"/>
        <v>0</v>
      </c>
      <c r="AD42" s="171">
        <f t="shared" si="1"/>
        <v>0</v>
      </c>
    </row>
    <row r="43" spans="1:30">
      <c r="A43" s="124" t="s">
        <v>1156</v>
      </c>
      <c r="B43" s="125"/>
      <c r="C43" s="125" t="s">
        <v>70</v>
      </c>
      <c r="D43" s="125"/>
      <c r="E43" s="125" t="s">
        <v>87</v>
      </c>
      <c r="F43" s="125"/>
      <c r="G43" s="126"/>
      <c r="H43" s="127"/>
      <c r="I43" s="128"/>
      <c r="J43" s="129">
        <f t="shared" si="5"/>
        <v>0</v>
      </c>
      <c r="K43" s="110">
        <f t="shared" si="2"/>
        <v>0</v>
      </c>
      <c r="N43" s="46"/>
      <c r="O43" s="46"/>
      <c r="P43" s="46"/>
      <c r="Q43" s="46"/>
      <c r="R43" s="46"/>
      <c r="S43" s="46"/>
      <c r="T43" s="46"/>
      <c r="U43" s="46"/>
      <c r="V43" s="46"/>
      <c r="Y43" s="2"/>
      <c r="AA43" s="110">
        <v>0</v>
      </c>
      <c r="AC43" s="171">
        <f t="shared" si="1"/>
        <v>0</v>
      </c>
      <c r="AD43" s="171">
        <f t="shared" si="1"/>
        <v>0</v>
      </c>
    </row>
    <row r="44" spans="1:30">
      <c r="A44" s="96" t="s">
        <v>146</v>
      </c>
      <c r="B44" s="97" t="s">
        <v>147</v>
      </c>
      <c r="C44" s="97"/>
      <c r="D44" s="97"/>
      <c r="E44" s="97"/>
      <c r="F44" s="97"/>
      <c r="G44" s="98"/>
      <c r="H44" s="99"/>
      <c r="I44" s="100"/>
      <c r="J44" s="99"/>
      <c r="K44" s="131"/>
      <c r="L44" s="103">
        <f>SUM(K45:K49)</f>
        <v>174094.28571428571</v>
      </c>
      <c r="N44" s="46"/>
      <c r="O44" s="46"/>
      <c r="P44" s="46"/>
      <c r="Q44" s="46"/>
      <c r="R44" s="46"/>
      <c r="S44" s="46"/>
      <c r="T44" s="46"/>
      <c r="U44" s="46"/>
      <c r="V44" s="46"/>
      <c r="Y44" s="2"/>
      <c r="AA44" s="131"/>
      <c r="AB44" s="103">
        <v>174094.28571428571</v>
      </c>
      <c r="AC44" s="171">
        <f t="shared" si="1"/>
        <v>0</v>
      </c>
      <c r="AD44" s="171">
        <f t="shared" si="1"/>
        <v>0</v>
      </c>
    </row>
    <row r="45" spans="1:30">
      <c r="A45" s="111" t="s">
        <v>124</v>
      </c>
      <c r="B45" s="112" t="s">
        <v>125</v>
      </c>
      <c r="C45" s="112" t="s">
        <v>70</v>
      </c>
      <c r="D45" s="112" t="s">
        <v>81</v>
      </c>
      <c r="E45" s="112" t="s">
        <v>343</v>
      </c>
      <c r="F45" s="112" t="s">
        <v>132</v>
      </c>
      <c r="G45" s="113">
        <f>$O$3</f>
        <v>6</v>
      </c>
      <c r="H45" s="114">
        <f>28500/3*2</f>
        <v>19000</v>
      </c>
      <c r="I45" s="115">
        <v>0</v>
      </c>
      <c r="J45" s="116">
        <f t="shared" ref="J45:J49" si="6">H45*(1+I45)</f>
        <v>19000</v>
      </c>
      <c r="K45" s="117">
        <f t="shared" si="2"/>
        <v>114000</v>
      </c>
      <c r="N45" s="46"/>
      <c r="O45" s="46"/>
      <c r="P45" s="46"/>
      <c r="Q45" s="46"/>
      <c r="R45" s="46"/>
      <c r="S45" s="46"/>
      <c r="T45" s="46"/>
      <c r="U45" s="46"/>
      <c r="V45" s="46"/>
      <c r="Y45" s="2"/>
      <c r="AA45" s="117">
        <v>114000</v>
      </c>
      <c r="AC45" s="171">
        <f t="shared" si="1"/>
        <v>0</v>
      </c>
      <c r="AD45" s="171">
        <f t="shared" si="1"/>
        <v>0</v>
      </c>
    </row>
    <row r="46" spans="1:30">
      <c r="A46" s="118" t="s">
        <v>129</v>
      </c>
      <c r="B46" s="119" t="s">
        <v>130</v>
      </c>
      <c r="C46" s="119" t="s">
        <v>70</v>
      </c>
      <c r="D46" s="119" t="s">
        <v>97</v>
      </c>
      <c r="E46" s="119" t="s">
        <v>343</v>
      </c>
      <c r="F46" s="119" t="s">
        <v>132</v>
      </c>
      <c r="G46" s="120">
        <f>$O$4</f>
        <v>10.542857142857143</v>
      </c>
      <c r="H46" s="121">
        <v>5700</v>
      </c>
      <c r="I46" s="122">
        <v>0</v>
      </c>
      <c r="J46" s="123">
        <f t="shared" si="6"/>
        <v>5700</v>
      </c>
      <c r="K46" s="117">
        <f t="shared" si="2"/>
        <v>60094.28571428571</v>
      </c>
      <c r="N46" s="46"/>
      <c r="O46" s="46"/>
      <c r="P46" s="46"/>
      <c r="Q46" s="46"/>
      <c r="R46" s="46"/>
      <c r="S46" s="46"/>
      <c r="T46" s="46"/>
      <c r="U46" s="46"/>
      <c r="V46" s="46"/>
      <c r="Y46" s="2"/>
      <c r="AA46" s="117">
        <v>60094.28571428571</v>
      </c>
      <c r="AC46" s="171">
        <f t="shared" si="1"/>
        <v>0</v>
      </c>
      <c r="AD46" s="171">
        <f t="shared" si="1"/>
        <v>0</v>
      </c>
    </row>
    <row r="47" spans="1:30">
      <c r="A47" s="118" t="s">
        <v>136</v>
      </c>
      <c r="B47" s="119" t="s">
        <v>137</v>
      </c>
      <c r="C47" s="119" t="s">
        <v>70</v>
      </c>
      <c r="D47" s="119" t="s">
        <v>75</v>
      </c>
      <c r="E47" s="119" t="s">
        <v>87</v>
      </c>
      <c r="F47" s="119"/>
      <c r="G47" s="120"/>
      <c r="H47" s="121"/>
      <c r="I47" s="122"/>
      <c r="J47" s="123">
        <f t="shared" si="6"/>
        <v>0</v>
      </c>
      <c r="K47" s="117">
        <f t="shared" si="2"/>
        <v>0</v>
      </c>
      <c r="N47" s="46"/>
      <c r="O47" s="46"/>
      <c r="P47" s="46"/>
      <c r="Q47" s="46"/>
      <c r="R47" s="46"/>
      <c r="S47" s="46"/>
      <c r="T47" s="46"/>
      <c r="U47" s="46"/>
      <c r="V47" s="46"/>
      <c r="Y47" s="2"/>
      <c r="AA47" s="117">
        <v>0</v>
      </c>
      <c r="AC47" s="171">
        <f t="shared" si="1"/>
        <v>0</v>
      </c>
      <c r="AD47" s="171">
        <f t="shared" si="1"/>
        <v>0</v>
      </c>
    </row>
    <row r="48" spans="1:30">
      <c r="A48" s="118" t="s">
        <v>139</v>
      </c>
      <c r="B48" s="119" t="s">
        <v>140</v>
      </c>
      <c r="C48" s="119" t="s">
        <v>70</v>
      </c>
      <c r="D48" s="119" t="s">
        <v>103</v>
      </c>
      <c r="E48" s="119" t="s">
        <v>87</v>
      </c>
      <c r="F48" s="119"/>
      <c r="G48" s="120"/>
      <c r="H48" s="121"/>
      <c r="I48" s="122"/>
      <c r="J48" s="123">
        <f t="shared" si="6"/>
        <v>0</v>
      </c>
      <c r="K48" s="117">
        <f t="shared" si="2"/>
        <v>0</v>
      </c>
      <c r="N48" s="46"/>
      <c r="O48" s="46"/>
      <c r="P48" s="46"/>
      <c r="Q48" s="46"/>
      <c r="R48" s="46"/>
      <c r="S48" s="46"/>
      <c r="T48" s="46"/>
      <c r="U48" s="46"/>
      <c r="V48" s="46"/>
      <c r="Y48" s="2"/>
      <c r="AA48" s="117">
        <v>0</v>
      </c>
      <c r="AC48" s="171">
        <f t="shared" si="1"/>
        <v>0</v>
      </c>
      <c r="AD48" s="171">
        <f t="shared" si="1"/>
        <v>0</v>
      </c>
    </row>
    <row r="49" spans="1:30">
      <c r="A49" s="118" t="s">
        <v>1096</v>
      </c>
      <c r="B49" s="119" t="s">
        <v>143</v>
      </c>
      <c r="C49" s="119" t="s">
        <v>70</v>
      </c>
      <c r="D49" s="119" t="s">
        <v>110</v>
      </c>
      <c r="E49" s="119" t="s">
        <v>87</v>
      </c>
      <c r="F49" s="119"/>
      <c r="G49" s="120"/>
      <c r="H49" s="121"/>
      <c r="I49" s="122"/>
      <c r="J49" s="123">
        <f t="shared" si="6"/>
        <v>0</v>
      </c>
      <c r="K49" s="117">
        <f t="shared" si="2"/>
        <v>0</v>
      </c>
      <c r="N49" s="46"/>
      <c r="O49" s="46"/>
      <c r="P49" s="46"/>
      <c r="Q49" s="46"/>
      <c r="R49" s="46"/>
      <c r="S49" s="46"/>
      <c r="T49" s="46"/>
      <c r="U49" s="46"/>
      <c r="V49" s="46"/>
      <c r="Y49" s="2"/>
      <c r="AA49" s="117">
        <v>0</v>
      </c>
      <c r="AC49" s="171">
        <f t="shared" si="1"/>
        <v>0</v>
      </c>
      <c r="AD49" s="171">
        <f t="shared" si="1"/>
        <v>0</v>
      </c>
    </row>
    <row r="50" spans="1:30">
      <c r="A50" s="96" t="s">
        <v>175</v>
      </c>
      <c r="B50" s="97" t="s">
        <v>176</v>
      </c>
      <c r="C50" s="97"/>
      <c r="D50" s="97"/>
      <c r="E50" s="97"/>
      <c r="F50" s="97"/>
      <c r="G50" s="98"/>
      <c r="H50" s="99"/>
      <c r="I50" s="100"/>
      <c r="J50" s="99"/>
      <c r="K50" s="131"/>
      <c r="L50" s="103">
        <f>SUM(K51:K58)</f>
        <v>413758.91216114117</v>
      </c>
      <c r="N50" s="46"/>
      <c r="O50" s="46"/>
      <c r="P50" s="46"/>
      <c r="Q50" s="46"/>
      <c r="R50" s="46"/>
      <c r="S50" s="46"/>
      <c r="T50" s="46"/>
      <c r="U50" s="46"/>
      <c r="V50" s="46"/>
      <c r="Y50" s="2"/>
      <c r="AA50" s="131"/>
      <c r="AB50" s="103">
        <v>413758.91216114117</v>
      </c>
      <c r="AC50" s="171">
        <f t="shared" si="1"/>
        <v>0</v>
      </c>
      <c r="AD50" s="171">
        <f t="shared" si="1"/>
        <v>0</v>
      </c>
    </row>
    <row r="51" spans="1:30">
      <c r="A51" s="111" t="s">
        <v>128</v>
      </c>
      <c r="B51" s="112" t="s">
        <v>149</v>
      </c>
      <c r="C51" s="112" t="s">
        <v>70</v>
      </c>
      <c r="D51" s="112" t="s">
        <v>81</v>
      </c>
      <c r="E51" s="112" t="s">
        <v>87</v>
      </c>
      <c r="F51" s="112"/>
      <c r="G51" s="113"/>
      <c r="H51" s="114">
        <v>186154</v>
      </c>
      <c r="I51" s="115">
        <v>0</v>
      </c>
      <c r="J51" s="116">
        <f t="shared" ref="J51:J58" si="7">H51*(1+I51)</f>
        <v>186154</v>
      </c>
      <c r="K51" s="117">
        <f t="shared" ref="K51:K58" si="8">J51*G51</f>
        <v>0</v>
      </c>
      <c r="N51" s="46" t="s">
        <v>1157</v>
      </c>
      <c r="O51" s="46"/>
      <c r="P51" s="46"/>
      <c r="Q51" s="46"/>
      <c r="R51" s="46"/>
      <c r="S51" s="46"/>
      <c r="T51" s="46"/>
      <c r="U51" s="46"/>
      <c r="V51" s="46"/>
      <c r="Y51" s="2"/>
      <c r="AA51" s="117">
        <v>0</v>
      </c>
      <c r="AC51" s="171">
        <f t="shared" si="1"/>
        <v>0</v>
      </c>
      <c r="AD51" s="171">
        <f t="shared" si="1"/>
        <v>0</v>
      </c>
    </row>
    <row r="52" spans="1:30">
      <c r="A52" s="118" t="s">
        <v>151</v>
      </c>
      <c r="B52" s="119" t="s">
        <v>152</v>
      </c>
      <c r="C52" s="119" t="s">
        <v>70</v>
      </c>
      <c r="D52" s="119" t="s">
        <v>81</v>
      </c>
      <c r="E52" s="119" t="s">
        <v>1049</v>
      </c>
      <c r="F52" s="119" t="s">
        <v>132</v>
      </c>
      <c r="G52" s="120">
        <f>$O$3</f>
        <v>6</v>
      </c>
      <c r="H52" s="121">
        <v>5990</v>
      </c>
      <c r="I52" s="122">
        <v>0</v>
      </c>
      <c r="J52" s="116">
        <f t="shared" si="7"/>
        <v>5990</v>
      </c>
      <c r="K52" s="117">
        <f t="shared" si="8"/>
        <v>35940</v>
      </c>
      <c r="N52" s="46"/>
      <c r="O52" s="46"/>
      <c r="P52" s="46"/>
      <c r="Q52" s="46"/>
      <c r="R52" s="46"/>
      <c r="S52" s="46"/>
      <c r="T52" s="46"/>
      <c r="U52" s="46"/>
      <c r="V52" s="46"/>
      <c r="W52" s="233"/>
      <c r="Y52" s="2"/>
      <c r="AA52" s="117">
        <v>35940</v>
      </c>
      <c r="AC52" s="171">
        <f t="shared" si="1"/>
        <v>0</v>
      </c>
      <c r="AD52" s="171">
        <f t="shared" si="1"/>
        <v>0</v>
      </c>
    </row>
    <row r="53" spans="1:30">
      <c r="A53" s="118" t="s">
        <v>154</v>
      </c>
      <c r="B53" s="119" t="s">
        <v>155</v>
      </c>
      <c r="C53" s="119" t="s">
        <v>70</v>
      </c>
      <c r="D53" s="119" t="s">
        <v>81</v>
      </c>
      <c r="E53" s="119" t="s">
        <v>1049</v>
      </c>
      <c r="F53" s="119" t="s">
        <v>83</v>
      </c>
      <c r="G53" s="120">
        <f>$O$5</f>
        <v>16</v>
      </c>
      <c r="H53" s="121">
        <f>11750/3*2</f>
        <v>7833.333333333333</v>
      </c>
      <c r="I53" s="122">
        <v>0</v>
      </c>
      <c r="J53" s="116">
        <f t="shared" si="7"/>
        <v>7833.333333333333</v>
      </c>
      <c r="K53" s="117">
        <f t="shared" si="8"/>
        <v>125333.33333333333</v>
      </c>
      <c r="N53" s="46"/>
      <c r="O53" s="46"/>
      <c r="P53" s="46"/>
      <c r="Q53" s="46"/>
      <c r="R53" s="46"/>
      <c r="S53" s="46"/>
      <c r="T53" s="46"/>
      <c r="U53" s="46"/>
      <c r="V53" s="46"/>
      <c r="Y53" s="2"/>
      <c r="AA53" s="117">
        <v>125333.33333333331</v>
      </c>
      <c r="AC53" s="171">
        <f t="shared" si="1"/>
        <v>0</v>
      </c>
      <c r="AD53" s="171">
        <f t="shared" si="1"/>
        <v>0</v>
      </c>
    </row>
    <row r="54" spans="1:30">
      <c r="A54" s="118" t="s">
        <v>160</v>
      </c>
      <c r="B54" s="119" t="s">
        <v>155</v>
      </c>
      <c r="C54" s="119" t="s">
        <v>70</v>
      </c>
      <c r="D54" s="119" t="s">
        <v>81</v>
      </c>
      <c r="E54" s="119" t="s">
        <v>87</v>
      </c>
      <c r="F54" s="119"/>
      <c r="G54" s="120"/>
      <c r="H54" s="121">
        <v>0</v>
      </c>
      <c r="I54" s="122">
        <v>0</v>
      </c>
      <c r="J54" s="116">
        <f t="shared" si="7"/>
        <v>0</v>
      </c>
      <c r="K54" s="117">
        <f t="shared" si="8"/>
        <v>0</v>
      </c>
      <c r="N54" s="46"/>
      <c r="O54" s="46"/>
      <c r="P54" s="46"/>
      <c r="Q54" s="46"/>
      <c r="R54" s="46"/>
      <c r="S54" s="46"/>
      <c r="T54" s="46"/>
      <c r="U54" s="46"/>
      <c r="V54" s="46"/>
      <c r="Y54" s="2"/>
      <c r="AA54" s="117">
        <v>0</v>
      </c>
      <c r="AC54" s="171">
        <f t="shared" si="1"/>
        <v>0</v>
      </c>
      <c r="AD54" s="171">
        <f t="shared" si="1"/>
        <v>0</v>
      </c>
    </row>
    <row r="55" spans="1:30">
      <c r="A55" s="118" t="s">
        <v>161</v>
      </c>
      <c r="B55" s="119" t="s">
        <v>162</v>
      </c>
      <c r="C55" s="119" t="s">
        <v>70</v>
      </c>
      <c r="D55" s="119" t="s">
        <v>103</v>
      </c>
      <c r="E55" s="119" t="s">
        <v>87</v>
      </c>
      <c r="F55" s="119"/>
      <c r="G55" s="120"/>
      <c r="H55" s="121">
        <v>0</v>
      </c>
      <c r="I55" s="122">
        <v>0</v>
      </c>
      <c r="J55" s="116">
        <f t="shared" si="7"/>
        <v>0</v>
      </c>
      <c r="K55" s="117">
        <f t="shared" si="8"/>
        <v>0</v>
      </c>
      <c r="N55" s="46"/>
      <c r="O55" s="46"/>
      <c r="P55" s="46"/>
      <c r="Q55" s="46"/>
      <c r="R55" s="46"/>
      <c r="S55" s="46"/>
      <c r="T55" s="46"/>
      <c r="U55" s="46"/>
      <c r="V55" s="46"/>
      <c r="Y55" s="2"/>
      <c r="AA55" s="117">
        <v>0</v>
      </c>
      <c r="AC55" s="171">
        <f t="shared" si="1"/>
        <v>0</v>
      </c>
      <c r="AD55" s="171">
        <f t="shared" si="1"/>
        <v>0</v>
      </c>
    </row>
    <row r="56" spans="1:30">
      <c r="A56" s="118" t="s">
        <v>164</v>
      </c>
      <c r="B56" s="119" t="s">
        <v>165</v>
      </c>
      <c r="C56" s="119" t="s">
        <v>70</v>
      </c>
      <c r="D56" s="119" t="s">
        <v>110</v>
      </c>
      <c r="E56" s="119" t="s">
        <v>1049</v>
      </c>
      <c r="F56" s="119" t="s">
        <v>132</v>
      </c>
      <c r="G56" s="120">
        <f>$O$6</f>
        <v>2</v>
      </c>
      <c r="H56" s="121">
        <v>1950</v>
      </c>
      <c r="I56" s="122">
        <v>0</v>
      </c>
      <c r="J56" s="116">
        <f t="shared" si="7"/>
        <v>1950</v>
      </c>
      <c r="K56" s="117">
        <f t="shared" si="8"/>
        <v>3900</v>
      </c>
      <c r="N56" s="46"/>
      <c r="O56" s="46"/>
      <c r="P56" s="46"/>
      <c r="Q56" s="46"/>
      <c r="R56" s="46"/>
      <c r="S56" s="46"/>
      <c r="T56" s="46"/>
      <c r="U56" s="46"/>
      <c r="V56" s="46"/>
      <c r="Y56" s="2"/>
      <c r="AA56" s="117">
        <v>3900</v>
      </c>
      <c r="AC56" s="171">
        <f t="shared" si="1"/>
        <v>0</v>
      </c>
      <c r="AD56" s="171">
        <f t="shared" si="1"/>
        <v>0</v>
      </c>
    </row>
    <row r="57" spans="1:30">
      <c r="A57" s="118" t="s">
        <v>167</v>
      </c>
      <c r="B57" s="119" t="s">
        <v>168</v>
      </c>
      <c r="C57" s="119" t="s">
        <v>70</v>
      </c>
      <c r="D57" s="119" t="s">
        <v>81</v>
      </c>
      <c r="E57" s="119" t="s">
        <v>1049</v>
      </c>
      <c r="F57" s="119" t="s">
        <v>1158</v>
      </c>
      <c r="G57" s="238">
        <f>'[59]Scenario 2 - Phase 1'!G57+'[59]Scenario 2 - Phase 2'!G57</f>
        <v>2682.7400386078752</v>
      </c>
      <c r="H57" s="237">
        <f t="shared" ref="H57" si="9">K57/G57</f>
        <v>92.661076082796171</v>
      </c>
      <c r="I57" s="122">
        <v>0</v>
      </c>
      <c r="J57" s="121"/>
      <c r="K57" s="239">
        <f>'[59]Scenario 2 - Phase 1'!K57+'[59]Scenario 2 - Phase 2'!K57</f>
        <v>248585.57882780788</v>
      </c>
      <c r="N57" s="46"/>
      <c r="O57" s="46"/>
      <c r="P57" s="46"/>
      <c r="Q57" s="46"/>
      <c r="R57" s="46"/>
      <c r="S57" s="46"/>
      <c r="T57" s="46"/>
      <c r="U57" s="46"/>
      <c r="V57" s="46"/>
      <c r="Y57" s="2"/>
      <c r="AA57" s="117">
        <v>248585.57882780788</v>
      </c>
      <c r="AC57" s="171">
        <f t="shared" si="1"/>
        <v>0</v>
      </c>
      <c r="AD57" s="171">
        <f t="shared" si="1"/>
        <v>0</v>
      </c>
    </row>
    <row r="58" spans="1:30">
      <c r="A58" s="118" t="s">
        <v>171</v>
      </c>
      <c r="B58" s="119" t="s">
        <v>172</v>
      </c>
      <c r="C58" s="119" t="s">
        <v>70</v>
      </c>
      <c r="D58" s="119" t="s">
        <v>173</v>
      </c>
      <c r="E58" s="119" t="s">
        <v>87</v>
      </c>
      <c r="F58" s="119"/>
      <c r="G58" s="120"/>
      <c r="H58" s="121">
        <v>0</v>
      </c>
      <c r="I58" s="122">
        <v>0</v>
      </c>
      <c r="J58" s="116">
        <f t="shared" si="7"/>
        <v>0</v>
      </c>
      <c r="K58" s="117">
        <f t="shared" si="8"/>
        <v>0</v>
      </c>
      <c r="N58" s="46"/>
      <c r="O58" s="46"/>
      <c r="P58" s="46"/>
      <c r="Q58" s="46"/>
      <c r="R58" s="46"/>
      <c r="S58" s="46"/>
      <c r="T58" s="46"/>
      <c r="U58" s="46"/>
      <c r="V58" s="46"/>
      <c r="Y58" s="2"/>
      <c r="AA58" s="117">
        <v>0</v>
      </c>
      <c r="AC58" s="171">
        <f t="shared" si="1"/>
        <v>0</v>
      </c>
      <c r="AD58" s="171">
        <f t="shared" si="1"/>
        <v>0</v>
      </c>
    </row>
    <row r="59" spans="1:30">
      <c r="A59" s="96" t="s">
        <v>220</v>
      </c>
      <c r="B59" s="97" t="s">
        <v>221</v>
      </c>
      <c r="C59" s="97"/>
      <c r="D59" s="97"/>
      <c r="E59" s="97"/>
      <c r="F59" s="97"/>
      <c r="G59" s="98"/>
      <c r="H59" s="99"/>
      <c r="I59" s="100"/>
      <c r="J59" s="99"/>
      <c r="K59" s="131"/>
      <c r="L59" s="103">
        <f>SUM(K60:K71)</f>
        <v>8101853.5200000005</v>
      </c>
      <c r="N59" s="46"/>
      <c r="O59" s="46"/>
      <c r="P59" s="46"/>
      <c r="Q59" s="46"/>
      <c r="R59" s="46"/>
      <c r="S59" s="46"/>
      <c r="T59" s="46"/>
      <c r="U59" s="46"/>
      <c r="V59" s="46"/>
      <c r="Y59" s="2"/>
      <c r="AA59" s="131"/>
      <c r="AB59" s="103">
        <v>8101853.5200000005</v>
      </c>
      <c r="AC59" s="171">
        <f t="shared" si="1"/>
        <v>0</v>
      </c>
      <c r="AD59" s="171">
        <f t="shared" si="1"/>
        <v>0</v>
      </c>
    </row>
    <row r="60" spans="1:30">
      <c r="A60" s="111" t="s">
        <v>308</v>
      </c>
      <c r="B60" s="112" t="s">
        <v>851</v>
      </c>
      <c r="C60" s="112" t="s">
        <v>70</v>
      </c>
      <c r="D60" s="112" t="s">
        <v>310</v>
      </c>
      <c r="E60" s="112" t="s">
        <v>343</v>
      </c>
      <c r="F60" s="112" t="s">
        <v>311</v>
      </c>
      <c r="G60" s="113">
        <f>E8</f>
        <v>363</v>
      </c>
      <c r="H60" s="114">
        <v>79</v>
      </c>
      <c r="I60" s="115">
        <v>0</v>
      </c>
      <c r="J60" s="116">
        <f t="shared" ref="J60:J71" si="10">H60*(1+I60)</f>
        <v>79</v>
      </c>
      <c r="K60" s="117">
        <f t="shared" ref="K60:K71" si="11">J60*G60</f>
        <v>28677</v>
      </c>
      <c r="N60" s="46"/>
      <c r="O60" s="46"/>
      <c r="P60" s="46"/>
      <c r="Q60" s="46"/>
      <c r="R60" s="46"/>
      <c r="S60" s="46"/>
      <c r="T60" s="46"/>
      <c r="U60" s="46"/>
      <c r="V60" s="46"/>
      <c r="Y60" s="2"/>
      <c r="AA60" s="117">
        <v>28677</v>
      </c>
      <c r="AC60" s="171">
        <f t="shared" si="1"/>
        <v>0</v>
      </c>
      <c r="AD60" s="171">
        <f t="shared" si="1"/>
        <v>0</v>
      </c>
    </row>
    <row r="61" spans="1:30">
      <c r="A61" s="118" t="s">
        <v>178</v>
      </c>
      <c r="B61" s="119" t="s">
        <v>179</v>
      </c>
      <c r="C61" s="119" t="s">
        <v>70</v>
      </c>
      <c r="D61" s="119" t="s">
        <v>81</v>
      </c>
      <c r="E61" s="119" t="s">
        <v>343</v>
      </c>
      <c r="F61" s="119" t="s">
        <v>185</v>
      </c>
      <c r="G61" s="120">
        <f>B8</f>
        <v>329194</v>
      </c>
      <c r="H61" s="121">
        <v>19.920000000000002</v>
      </c>
      <c r="I61" s="122">
        <v>0</v>
      </c>
      <c r="J61" s="116">
        <f t="shared" si="10"/>
        <v>19.920000000000002</v>
      </c>
      <c r="K61" s="117">
        <f t="shared" si="11"/>
        <v>6557544.4800000004</v>
      </c>
      <c r="N61" s="46"/>
      <c r="O61" s="46"/>
      <c r="P61" s="46"/>
      <c r="Q61" s="46"/>
      <c r="R61" s="46"/>
      <c r="S61" s="46"/>
      <c r="T61" s="46"/>
      <c r="U61" s="46"/>
      <c r="V61" s="46"/>
      <c r="Y61" s="2"/>
      <c r="AA61" s="117">
        <v>6557544.4800000004</v>
      </c>
      <c r="AC61" s="171">
        <f t="shared" si="1"/>
        <v>0</v>
      </c>
      <c r="AD61" s="171">
        <f t="shared" si="1"/>
        <v>0</v>
      </c>
    </row>
    <row r="62" spans="1:30">
      <c r="A62" s="118" t="s">
        <v>187</v>
      </c>
      <c r="B62" s="119" t="s">
        <v>179</v>
      </c>
      <c r="C62" s="119" t="s">
        <v>70</v>
      </c>
      <c r="D62" s="119" t="s">
        <v>81</v>
      </c>
      <c r="E62" s="119" t="s">
        <v>87</v>
      </c>
      <c r="F62" s="119"/>
      <c r="G62" s="120"/>
      <c r="H62" s="121"/>
      <c r="I62" s="122">
        <v>0</v>
      </c>
      <c r="J62" s="116">
        <f t="shared" si="10"/>
        <v>0</v>
      </c>
      <c r="K62" s="117">
        <f t="shared" si="11"/>
        <v>0</v>
      </c>
      <c r="N62" s="46"/>
      <c r="O62" s="46"/>
      <c r="P62" s="46"/>
      <c r="Q62" s="46"/>
      <c r="R62" s="46"/>
      <c r="S62" s="46"/>
      <c r="T62" s="46"/>
      <c r="U62" s="46"/>
      <c r="V62" s="46"/>
      <c r="Y62" s="2"/>
      <c r="AA62" s="117">
        <v>0</v>
      </c>
      <c r="AC62" s="171">
        <f t="shared" si="1"/>
        <v>0</v>
      </c>
      <c r="AD62" s="171">
        <f t="shared" si="1"/>
        <v>0</v>
      </c>
    </row>
    <row r="63" spans="1:30">
      <c r="A63" s="118" t="s">
        <v>189</v>
      </c>
      <c r="B63" s="119" t="s">
        <v>190</v>
      </c>
      <c r="C63" s="119" t="s">
        <v>70</v>
      </c>
      <c r="D63" s="119" t="s">
        <v>173</v>
      </c>
      <c r="E63" s="119" t="s">
        <v>87</v>
      </c>
      <c r="F63" s="119"/>
      <c r="G63" s="120"/>
      <c r="H63" s="121"/>
      <c r="I63" s="122">
        <v>0</v>
      </c>
      <c r="J63" s="116">
        <f t="shared" si="10"/>
        <v>0</v>
      </c>
      <c r="K63" s="117">
        <f t="shared" si="11"/>
        <v>0</v>
      </c>
      <c r="N63" s="46"/>
      <c r="O63" s="46"/>
      <c r="P63" s="46"/>
      <c r="Q63" s="46"/>
      <c r="R63" s="46"/>
      <c r="S63" s="46"/>
      <c r="T63" s="46"/>
      <c r="U63" s="46"/>
      <c r="V63" s="46"/>
      <c r="Y63" s="2"/>
      <c r="AA63" s="117">
        <v>0</v>
      </c>
      <c r="AC63" s="171">
        <f t="shared" si="1"/>
        <v>0</v>
      </c>
      <c r="AD63" s="171">
        <f t="shared" si="1"/>
        <v>0</v>
      </c>
    </row>
    <row r="64" spans="1:30">
      <c r="A64" s="118" t="s">
        <v>192</v>
      </c>
      <c r="B64" s="119" t="s">
        <v>193</v>
      </c>
      <c r="C64" s="119" t="s">
        <v>70</v>
      </c>
      <c r="D64" s="119" t="s">
        <v>173</v>
      </c>
      <c r="E64" s="119" t="s">
        <v>329</v>
      </c>
      <c r="F64" s="119" t="s">
        <v>83</v>
      </c>
      <c r="G64" s="238">
        <f>'[59]Scenario 2 - Phase 1'!G64+'[59]Scenario 2 - Phase 2'!G64</f>
        <v>4</v>
      </c>
      <c r="H64" s="121">
        <v>2810</v>
      </c>
      <c r="I64" s="122">
        <v>0</v>
      </c>
      <c r="J64" s="116">
        <f t="shared" si="10"/>
        <v>2810</v>
      </c>
      <c r="K64" s="117">
        <f t="shared" si="11"/>
        <v>11240</v>
      </c>
      <c r="N64" s="46"/>
      <c r="O64" s="46"/>
      <c r="P64" s="46"/>
      <c r="Q64" s="46"/>
      <c r="R64" s="46"/>
      <c r="S64" s="46"/>
      <c r="T64" s="46"/>
      <c r="U64" s="46"/>
      <c r="V64" s="46"/>
      <c r="Y64" s="2"/>
      <c r="AA64" s="117">
        <v>11240</v>
      </c>
      <c r="AC64" s="171">
        <f t="shared" si="1"/>
        <v>0</v>
      </c>
      <c r="AD64" s="171">
        <f t="shared" si="1"/>
        <v>0</v>
      </c>
    </row>
    <row r="65" spans="1:30">
      <c r="A65" s="118" t="s">
        <v>195</v>
      </c>
      <c r="B65" s="119" t="s">
        <v>196</v>
      </c>
      <c r="C65" s="119" t="s">
        <v>70</v>
      </c>
      <c r="D65" s="119" t="s">
        <v>173</v>
      </c>
      <c r="E65" s="119" t="s">
        <v>87</v>
      </c>
      <c r="F65" s="119"/>
      <c r="G65" s="120"/>
      <c r="H65" s="121"/>
      <c r="I65" s="122">
        <v>0</v>
      </c>
      <c r="J65" s="116">
        <f t="shared" si="10"/>
        <v>0</v>
      </c>
      <c r="K65" s="117">
        <f t="shared" si="11"/>
        <v>0</v>
      </c>
      <c r="N65" s="46"/>
      <c r="O65" s="46"/>
      <c r="P65" s="46"/>
      <c r="Q65" s="46"/>
      <c r="R65" s="46"/>
      <c r="S65" s="46"/>
      <c r="T65" s="46"/>
      <c r="U65" s="46"/>
      <c r="V65" s="46"/>
      <c r="Y65" s="2"/>
      <c r="AA65" s="117">
        <v>0</v>
      </c>
      <c r="AC65" s="171">
        <f t="shared" si="1"/>
        <v>0</v>
      </c>
      <c r="AD65" s="171">
        <f t="shared" si="1"/>
        <v>0</v>
      </c>
    </row>
    <row r="66" spans="1:30">
      <c r="A66" s="118" t="s">
        <v>198</v>
      </c>
      <c r="B66" s="119" t="s">
        <v>199</v>
      </c>
      <c r="C66" s="119" t="s">
        <v>70</v>
      </c>
      <c r="D66" s="119" t="s">
        <v>81</v>
      </c>
      <c r="E66" s="119" t="s">
        <v>87</v>
      </c>
      <c r="F66" s="119"/>
      <c r="G66" s="120"/>
      <c r="H66" s="121"/>
      <c r="I66" s="122">
        <v>0</v>
      </c>
      <c r="J66" s="116">
        <f t="shared" si="10"/>
        <v>0</v>
      </c>
      <c r="K66" s="117">
        <f t="shared" si="11"/>
        <v>0</v>
      </c>
      <c r="N66" s="46"/>
      <c r="O66" s="46"/>
      <c r="P66" s="46"/>
      <c r="Q66" s="46"/>
      <c r="R66" s="46"/>
      <c r="S66" s="46"/>
      <c r="T66" s="46"/>
      <c r="U66" s="46"/>
      <c r="V66" s="46"/>
      <c r="Y66" s="2"/>
      <c r="AA66" s="117">
        <v>0</v>
      </c>
      <c r="AC66" s="171">
        <f t="shared" si="1"/>
        <v>0</v>
      </c>
      <c r="AD66" s="171">
        <f t="shared" si="1"/>
        <v>0</v>
      </c>
    </row>
    <row r="67" spans="1:30">
      <c r="A67" s="118" t="s">
        <v>201</v>
      </c>
      <c r="B67" s="119" t="s">
        <v>199</v>
      </c>
      <c r="C67" s="119" t="s">
        <v>70</v>
      </c>
      <c r="D67" s="119" t="s">
        <v>110</v>
      </c>
      <c r="E67" s="119" t="s">
        <v>87</v>
      </c>
      <c r="F67" s="119"/>
      <c r="G67" s="120"/>
      <c r="H67" s="121"/>
      <c r="I67" s="122">
        <v>0</v>
      </c>
      <c r="J67" s="116">
        <f t="shared" si="10"/>
        <v>0</v>
      </c>
      <c r="K67" s="117">
        <f t="shared" si="11"/>
        <v>0</v>
      </c>
      <c r="N67" s="46"/>
      <c r="O67" s="46"/>
      <c r="P67" s="46"/>
      <c r="Q67" s="46"/>
      <c r="R67" s="46"/>
      <c r="S67" s="46"/>
      <c r="T67" s="46"/>
      <c r="U67" s="46"/>
      <c r="V67" s="46"/>
      <c r="Y67" s="2"/>
      <c r="AA67" s="117">
        <v>0</v>
      </c>
      <c r="AC67" s="171">
        <f t="shared" si="1"/>
        <v>0</v>
      </c>
      <c r="AD67" s="171">
        <f t="shared" si="1"/>
        <v>0</v>
      </c>
    </row>
    <row r="68" spans="1:30">
      <c r="A68" s="118" t="s">
        <v>203</v>
      </c>
      <c r="B68" s="119" t="s">
        <v>204</v>
      </c>
      <c r="C68" s="119" t="s">
        <v>70</v>
      </c>
      <c r="D68" s="119" t="s">
        <v>81</v>
      </c>
      <c r="E68" s="119" t="s">
        <v>329</v>
      </c>
      <c r="F68" s="119" t="s">
        <v>311</v>
      </c>
      <c r="G68" s="120">
        <f>E8</f>
        <v>363</v>
      </c>
      <c r="H68" s="121">
        <v>3081</v>
      </c>
      <c r="I68" s="122">
        <v>0</v>
      </c>
      <c r="J68" s="116">
        <f t="shared" si="10"/>
        <v>3081</v>
      </c>
      <c r="K68" s="117">
        <f t="shared" si="11"/>
        <v>1118403</v>
      </c>
      <c r="N68" s="46"/>
      <c r="O68" s="46"/>
      <c r="P68" s="46"/>
      <c r="Q68" s="46"/>
      <c r="R68" s="46"/>
      <c r="S68" s="46"/>
      <c r="T68" s="46"/>
      <c r="U68" s="46"/>
      <c r="V68" s="46"/>
      <c r="Y68" s="2"/>
      <c r="AA68" s="117">
        <v>1118403</v>
      </c>
      <c r="AC68" s="171">
        <f t="shared" si="1"/>
        <v>0</v>
      </c>
      <c r="AD68" s="171">
        <f t="shared" si="1"/>
        <v>0</v>
      </c>
    </row>
    <row r="69" spans="1:30">
      <c r="A69" s="118" t="s">
        <v>208</v>
      </c>
      <c r="B69" s="119" t="s">
        <v>204</v>
      </c>
      <c r="C69" s="119" t="s">
        <v>70</v>
      </c>
      <c r="D69" s="119" t="s">
        <v>173</v>
      </c>
      <c r="E69" s="119" t="s">
        <v>329</v>
      </c>
      <c r="F69" s="119" t="s">
        <v>185</v>
      </c>
      <c r="G69" s="120">
        <f>B8</f>
        <v>329194</v>
      </c>
      <c r="H69" s="121">
        <v>1.1599999999999999</v>
      </c>
      <c r="I69" s="122">
        <v>0</v>
      </c>
      <c r="J69" s="116">
        <f t="shared" si="10"/>
        <v>1.1599999999999999</v>
      </c>
      <c r="K69" s="117">
        <f t="shared" si="11"/>
        <v>381865.04</v>
      </c>
      <c r="N69" s="46"/>
      <c r="O69" s="46"/>
      <c r="P69" s="46"/>
      <c r="Q69" s="46"/>
      <c r="R69" s="46"/>
      <c r="S69" s="46"/>
      <c r="T69" s="46"/>
      <c r="U69" s="46"/>
      <c r="V69" s="46"/>
      <c r="Y69" s="2"/>
      <c r="AA69" s="117">
        <v>381865.04</v>
      </c>
      <c r="AC69" s="171">
        <f t="shared" si="1"/>
        <v>0</v>
      </c>
      <c r="AD69" s="171">
        <f t="shared" si="1"/>
        <v>0</v>
      </c>
    </row>
    <row r="70" spans="1:30">
      <c r="A70" s="118" t="s">
        <v>214</v>
      </c>
      <c r="B70" s="119" t="s">
        <v>215</v>
      </c>
      <c r="C70" s="119" t="s">
        <v>70</v>
      </c>
      <c r="D70" s="119" t="s">
        <v>173</v>
      </c>
      <c r="E70" s="119" t="s">
        <v>329</v>
      </c>
      <c r="F70" s="119" t="s">
        <v>83</v>
      </c>
      <c r="G70" s="238">
        <f>'[59]Scenario 2 - Phase 1'!G70+'[59]Scenario 2 - Phase 2'!G70</f>
        <v>4</v>
      </c>
      <c r="H70" s="237">
        <f t="shared" ref="H70" si="12">K70/G70</f>
        <v>1031</v>
      </c>
      <c r="I70" s="122">
        <v>0</v>
      </c>
      <c r="J70" s="121"/>
      <c r="K70" s="239">
        <f>'[59]Scenario 2 - Phase 1'!K70+'[59]Scenario 2 - Phase 2'!K70</f>
        <v>4124</v>
      </c>
      <c r="N70" s="46"/>
      <c r="O70" s="46"/>
      <c r="P70" s="46"/>
      <c r="Q70" s="46"/>
      <c r="R70" s="46"/>
      <c r="S70" s="46"/>
      <c r="T70" s="46"/>
      <c r="U70" s="46"/>
      <c r="V70" s="46"/>
      <c r="Y70" s="2"/>
      <c r="AA70" s="117">
        <v>4124</v>
      </c>
      <c r="AC70" s="171">
        <f t="shared" si="1"/>
        <v>0</v>
      </c>
      <c r="AD70" s="171">
        <f t="shared" si="1"/>
        <v>0</v>
      </c>
    </row>
    <row r="71" spans="1:30">
      <c r="A71" s="118" t="s">
        <v>217</v>
      </c>
      <c r="B71" s="119" t="s">
        <v>218</v>
      </c>
      <c r="C71" s="119" t="s">
        <v>70</v>
      </c>
      <c r="D71" s="119" t="s">
        <v>81</v>
      </c>
      <c r="E71" s="119" t="s">
        <v>87</v>
      </c>
      <c r="F71" s="119"/>
      <c r="G71" s="120"/>
      <c r="H71" s="121"/>
      <c r="I71" s="122">
        <v>0</v>
      </c>
      <c r="J71" s="116">
        <f t="shared" si="10"/>
        <v>0</v>
      </c>
      <c r="K71" s="117">
        <f t="shared" si="11"/>
        <v>0</v>
      </c>
      <c r="N71" s="46"/>
      <c r="O71" s="46"/>
      <c r="P71" s="46"/>
      <c r="Q71" s="46"/>
      <c r="R71" s="46"/>
      <c r="S71" s="46"/>
      <c r="T71" s="46"/>
      <c r="U71" s="46"/>
      <c r="V71" s="46"/>
      <c r="Y71" s="2"/>
      <c r="AA71" s="117">
        <v>0</v>
      </c>
      <c r="AC71" s="171">
        <f t="shared" si="1"/>
        <v>0</v>
      </c>
      <c r="AD71" s="171">
        <f t="shared" si="1"/>
        <v>0</v>
      </c>
    </row>
    <row r="72" spans="1:30">
      <c r="A72" s="96" t="s">
        <v>267</v>
      </c>
      <c r="B72" s="97" t="s">
        <v>268</v>
      </c>
      <c r="C72" s="97"/>
      <c r="D72" s="97"/>
      <c r="E72" s="97"/>
      <c r="F72" s="97"/>
      <c r="G72" s="98"/>
      <c r="H72" s="99"/>
      <c r="I72" s="100"/>
      <c r="J72" s="99"/>
      <c r="K72" s="131"/>
      <c r="L72" s="103">
        <f>SUM(K73:K83)</f>
        <v>2004765.6700000002</v>
      </c>
      <c r="N72" s="46"/>
      <c r="O72" s="46"/>
      <c r="P72" s="46"/>
      <c r="Q72" s="46"/>
      <c r="R72" s="46"/>
      <c r="S72" s="46"/>
      <c r="T72" s="46"/>
      <c r="U72" s="46"/>
      <c r="V72" s="46"/>
      <c r="Y72" s="2"/>
      <c r="AA72" s="131"/>
      <c r="AB72" s="103">
        <v>2004765.6700000002</v>
      </c>
      <c r="AC72" s="171">
        <f t="shared" si="1"/>
        <v>0</v>
      </c>
      <c r="AD72" s="171">
        <f t="shared" si="1"/>
        <v>0</v>
      </c>
    </row>
    <row r="73" spans="1:30">
      <c r="A73" s="111" t="s">
        <v>223</v>
      </c>
      <c r="B73" s="112" t="s">
        <v>224</v>
      </c>
      <c r="C73" s="112" t="s">
        <v>70</v>
      </c>
      <c r="D73" s="112" t="s">
        <v>81</v>
      </c>
      <c r="E73" s="112" t="s">
        <v>343</v>
      </c>
      <c r="F73" s="112" t="s">
        <v>185</v>
      </c>
      <c r="G73" s="113">
        <f>B8</f>
        <v>329194</v>
      </c>
      <c r="H73" s="114">
        <v>2.54</v>
      </c>
      <c r="I73" s="115">
        <v>0</v>
      </c>
      <c r="J73" s="116">
        <f t="shared" ref="J73:J83" si="13">H73*(1+I73)</f>
        <v>2.54</v>
      </c>
      <c r="K73" s="117">
        <f t="shared" ref="K73:K83" si="14">J73*G73</f>
        <v>836152.76</v>
      </c>
      <c r="N73" s="46"/>
      <c r="O73" s="46"/>
      <c r="P73" s="46"/>
      <c r="Q73" s="46"/>
      <c r="R73" s="46"/>
      <c r="S73" s="46"/>
      <c r="T73" s="46"/>
      <c r="U73" s="46"/>
      <c r="V73" s="46"/>
      <c r="Y73" s="2"/>
      <c r="AA73" s="117">
        <v>836152.76</v>
      </c>
      <c r="AC73" s="171">
        <f t="shared" si="1"/>
        <v>0</v>
      </c>
      <c r="AD73" s="171">
        <f t="shared" si="1"/>
        <v>0</v>
      </c>
    </row>
    <row r="74" spans="1:30">
      <c r="A74" s="118" t="s">
        <v>153</v>
      </c>
      <c r="B74" s="119" t="s">
        <v>232</v>
      </c>
      <c r="C74" s="119" t="s">
        <v>70</v>
      </c>
      <c r="D74" s="119" t="s">
        <v>81</v>
      </c>
      <c r="E74" s="119" t="s">
        <v>343</v>
      </c>
      <c r="F74" s="119" t="s">
        <v>1036</v>
      </c>
      <c r="G74" s="120">
        <f>O9</f>
        <v>1693.23</v>
      </c>
      <c r="H74" s="121">
        <v>603</v>
      </c>
      <c r="I74" s="122">
        <v>0</v>
      </c>
      <c r="J74" s="121">
        <f t="shared" si="13"/>
        <v>603</v>
      </c>
      <c r="K74" s="138">
        <f t="shared" si="14"/>
        <v>1021017.6900000001</v>
      </c>
      <c r="N74" s="46"/>
      <c r="O74" s="46"/>
      <c r="P74" s="46"/>
      <c r="Q74" s="46"/>
      <c r="R74" s="46"/>
      <c r="S74" s="46"/>
      <c r="T74" s="46"/>
      <c r="U74" s="46"/>
      <c r="V74" s="46"/>
      <c r="Y74" s="2"/>
      <c r="AA74" s="138">
        <v>1021017.6900000001</v>
      </c>
      <c r="AC74" s="171">
        <f t="shared" si="1"/>
        <v>0</v>
      </c>
      <c r="AD74" s="171">
        <f t="shared" si="1"/>
        <v>0</v>
      </c>
    </row>
    <row r="75" spans="1:30">
      <c r="A75" s="118" t="s">
        <v>239</v>
      </c>
      <c r="B75" s="119" t="s">
        <v>240</v>
      </c>
      <c r="C75" s="119" t="s">
        <v>70</v>
      </c>
      <c r="D75" s="119" t="s">
        <v>173</v>
      </c>
      <c r="E75" s="119" t="s">
        <v>87</v>
      </c>
      <c r="F75" s="119"/>
      <c r="G75" s="120"/>
      <c r="H75" s="121"/>
      <c r="I75" s="122">
        <v>0</v>
      </c>
      <c r="J75" s="121">
        <f t="shared" si="13"/>
        <v>0</v>
      </c>
      <c r="K75" s="138">
        <f t="shared" si="14"/>
        <v>0</v>
      </c>
      <c r="N75" s="46"/>
      <c r="O75" s="46"/>
      <c r="P75" s="46"/>
      <c r="Q75" s="46"/>
      <c r="R75" s="46"/>
      <c r="S75" s="46"/>
      <c r="T75" s="46"/>
      <c r="U75" s="46"/>
      <c r="V75" s="46"/>
      <c r="Y75" s="2"/>
      <c r="AA75" s="138">
        <v>0</v>
      </c>
      <c r="AC75" s="171">
        <f t="shared" si="1"/>
        <v>0</v>
      </c>
      <c r="AD75" s="171">
        <f t="shared" si="1"/>
        <v>0</v>
      </c>
    </row>
    <row r="76" spans="1:30">
      <c r="A76" s="118" t="s">
        <v>244</v>
      </c>
      <c r="B76" s="119" t="s">
        <v>240</v>
      </c>
      <c r="C76" s="119" t="s">
        <v>70</v>
      </c>
      <c r="D76" s="119" t="s">
        <v>93</v>
      </c>
      <c r="E76" s="119" t="s">
        <v>76</v>
      </c>
      <c r="F76" s="119" t="s">
        <v>83</v>
      </c>
      <c r="G76" s="120">
        <v>1</v>
      </c>
      <c r="H76" s="121">
        <v>6700</v>
      </c>
      <c r="I76" s="122">
        <v>0</v>
      </c>
      <c r="J76" s="121">
        <f t="shared" si="13"/>
        <v>6700</v>
      </c>
      <c r="K76" s="138">
        <f t="shared" si="14"/>
        <v>6700</v>
      </c>
      <c r="N76" s="46"/>
      <c r="O76" s="46"/>
      <c r="P76" s="46"/>
      <c r="Q76" s="46"/>
      <c r="R76" s="46"/>
      <c r="S76" s="46"/>
      <c r="T76" s="46"/>
      <c r="U76" s="46"/>
      <c r="V76" s="46"/>
      <c r="Y76" s="2"/>
      <c r="AA76" s="138">
        <v>6700</v>
      </c>
      <c r="AC76" s="171">
        <f t="shared" si="1"/>
        <v>0</v>
      </c>
      <c r="AD76" s="171">
        <f t="shared" si="1"/>
        <v>0</v>
      </c>
    </row>
    <row r="77" spans="1:30">
      <c r="A77" s="118" t="s">
        <v>246</v>
      </c>
      <c r="B77" s="119" t="s">
        <v>247</v>
      </c>
      <c r="C77" s="119" t="s">
        <v>70</v>
      </c>
      <c r="D77" s="119" t="s">
        <v>110</v>
      </c>
      <c r="E77" s="119" t="s">
        <v>87</v>
      </c>
      <c r="F77" s="119"/>
      <c r="G77" s="120"/>
      <c r="H77" s="121"/>
      <c r="I77" s="122">
        <v>0</v>
      </c>
      <c r="J77" s="121">
        <f t="shared" si="13"/>
        <v>0</v>
      </c>
      <c r="K77" s="138">
        <f t="shared" si="14"/>
        <v>0</v>
      </c>
      <c r="N77" s="46"/>
      <c r="O77" s="46"/>
      <c r="P77" s="46"/>
      <c r="Q77" s="46"/>
      <c r="R77" s="46"/>
      <c r="S77" s="46"/>
      <c r="T77" s="46"/>
      <c r="U77" s="46"/>
      <c r="V77" s="46"/>
      <c r="W77" s="233"/>
      <c r="Y77" s="2"/>
      <c r="AA77" s="138">
        <v>0</v>
      </c>
      <c r="AC77" s="171">
        <f t="shared" si="1"/>
        <v>0</v>
      </c>
      <c r="AD77" s="171">
        <f t="shared" si="1"/>
        <v>0</v>
      </c>
    </row>
    <row r="78" spans="1:30">
      <c r="A78" s="118" t="s">
        <v>249</v>
      </c>
      <c r="B78" s="119" t="s">
        <v>250</v>
      </c>
      <c r="C78" s="119" t="s">
        <v>70</v>
      </c>
      <c r="D78" s="119" t="s">
        <v>97</v>
      </c>
      <c r="E78" s="119" t="s">
        <v>343</v>
      </c>
      <c r="F78" s="119" t="s">
        <v>132</v>
      </c>
      <c r="G78" s="120">
        <f>$O$4</f>
        <v>10.542857142857143</v>
      </c>
      <c r="H78" s="121">
        <v>7000</v>
      </c>
      <c r="I78" s="122">
        <v>0</v>
      </c>
      <c r="J78" s="121">
        <f t="shared" si="13"/>
        <v>7000</v>
      </c>
      <c r="K78" s="138">
        <f t="shared" si="14"/>
        <v>73800</v>
      </c>
      <c r="N78" s="46"/>
      <c r="O78" s="46"/>
      <c r="P78" s="46"/>
      <c r="Q78" s="46"/>
      <c r="R78" s="46"/>
      <c r="S78" s="46"/>
      <c r="T78" s="46"/>
      <c r="U78" s="46"/>
      <c r="V78" s="46"/>
      <c r="Y78" s="2"/>
      <c r="AA78" s="138">
        <v>73800</v>
      </c>
      <c r="AC78" s="171">
        <f t="shared" si="1"/>
        <v>0</v>
      </c>
      <c r="AD78" s="171">
        <f t="shared" si="1"/>
        <v>0</v>
      </c>
    </row>
    <row r="79" spans="1:30">
      <c r="A79" s="118" t="s">
        <v>253</v>
      </c>
      <c r="B79" s="119" t="s">
        <v>254</v>
      </c>
      <c r="C79" s="119" t="s">
        <v>70</v>
      </c>
      <c r="D79" s="119" t="s">
        <v>81</v>
      </c>
      <c r="E79" s="119" t="s">
        <v>343</v>
      </c>
      <c r="F79" s="119" t="s">
        <v>185</v>
      </c>
      <c r="G79" s="120">
        <f>$B$8</f>
        <v>329194</v>
      </c>
      <c r="H79" s="121">
        <v>0.08</v>
      </c>
      <c r="I79" s="122">
        <v>0</v>
      </c>
      <c r="J79" s="121">
        <f t="shared" si="13"/>
        <v>0.08</v>
      </c>
      <c r="K79" s="138">
        <f t="shared" si="14"/>
        <v>26335.52</v>
      </c>
      <c r="N79" s="46"/>
      <c r="O79" s="46"/>
      <c r="P79" s="46"/>
      <c r="Q79" s="46"/>
      <c r="R79" s="46"/>
      <c r="S79" s="46"/>
      <c r="T79" s="46"/>
      <c r="U79" s="46"/>
      <c r="V79" s="46"/>
      <c r="Y79" s="2"/>
      <c r="AA79" s="138">
        <v>26335.520000000004</v>
      </c>
      <c r="AC79" s="171">
        <f t="shared" si="1"/>
        <v>0</v>
      </c>
      <c r="AD79" s="171">
        <f t="shared" si="1"/>
        <v>0</v>
      </c>
    </row>
    <row r="80" spans="1:30">
      <c r="A80" s="118" t="s">
        <v>256</v>
      </c>
      <c r="B80" s="119" t="s">
        <v>257</v>
      </c>
      <c r="C80" s="119" t="s">
        <v>70</v>
      </c>
      <c r="D80" s="119" t="s">
        <v>81</v>
      </c>
      <c r="E80" s="119" t="s">
        <v>343</v>
      </c>
      <c r="F80" s="119" t="s">
        <v>185</v>
      </c>
      <c r="G80" s="120">
        <f>$B$8</f>
        <v>329194</v>
      </c>
      <c r="H80" s="121">
        <v>0.05</v>
      </c>
      <c r="I80" s="122">
        <v>0</v>
      </c>
      <c r="J80" s="121">
        <f t="shared" si="13"/>
        <v>0.05</v>
      </c>
      <c r="K80" s="138">
        <f t="shared" si="14"/>
        <v>16459.7</v>
      </c>
      <c r="N80" s="46"/>
      <c r="O80" s="46"/>
      <c r="P80" s="46"/>
      <c r="Q80" s="46"/>
      <c r="R80" s="46"/>
      <c r="S80" s="46"/>
      <c r="T80" s="46"/>
      <c r="U80" s="46"/>
      <c r="V80" s="46"/>
      <c r="Y80" s="2"/>
      <c r="AA80" s="138">
        <v>16459.7</v>
      </c>
      <c r="AC80" s="171">
        <f t="shared" si="1"/>
        <v>0</v>
      </c>
      <c r="AD80" s="171">
        <f t="shared" si="1"/>
        <v>0</v>
      </c>
    </row>
    <row r="81" spans="1:30">
      <c r="A81" s="118" t="s">
        <v>259</v>
      </c>
      <c r="B81" s="119" t="s">
        <v>260</v>
      </c>
      <c r="C81" s="119" t="s">
        <v>70</v>
      </c>
      <c r="D81" s="119" t="s">
        <v>81</v>
      </c>
      <c r="E81" s="119" t="s">
        <v>343</v>
      </c>
      <c r="F81" s="119" t="s">
        <v>132</v>
      </c>
      <c r="G81" s="120">
        <f>2*$B$11</f>
        <v>6</v>
      </c>
      <c r="H81" s="121">
        <v>1550</v>
      </c>
      <c r="I81" s="122">
        <v>0</v>
      </c>
      <c r="J81" s="121">
        <f t="shared" si="13"/>
        <v>1550</v>
      </c>
      <c r="K81" s="138">
        <f t="shared" si="14"/>
        <v>9300</v>
      </c>
      <c r="N81" s="46" t="s">
        <v>261</v>
      </c>
      <c r="O81" s="46"/>
      <c r="P81" s="46"/>
      <c r="Q81" s="46"/>
      <c r="R81" s="46"/>
      <c r="S81" s="46"/>
      <c r="T81" s="46"/>
      <c r="U81" s="46"/>
      <c r="V81" s="46"/>
      <c r="Y81" s="2"/>
      <c r="AA81" s="138">
        <v>9300</v>
      </c>
      <c r="AC81" s="171">
        <f t="shared" si="1"/>
        <v>0</v>
      </c>
      <c r="AD81" s="171">
        <f t="shared" si="1"/>
        <v>0</v>
      </c>
    </row>
    <row r="82" spans="1:30">
      <c r="A82" s="118" t="s">
        <v>263</v>
      </c>
      <c r="B82" s="119" t="s">
        <v>264</v>
      </c>
      <c r="C82" s="119" t="s">
        <v>70</v>
      </c>
      <c r="D82" s="119" t="s">
        <v>81</v>
      </c>
      <c r="E82" s="119" t="s">
        <v>343</v>
      </c>
      <c r="F82" s="119" t="s">
        <v>132</v>
      </c>
      <c r="G82" s="120">
        <f>2*$B$11</f>
        <v>6</v>
      </c>
      <c r="H82" s="121">
        <v>2500</v>
      </c>
      <c r="I82" s="122">
        <v>0</v>
      </c>
      <c r="J82" s="121">
        <f t="shared" si="13"/>
        <v>2500</v>
      </c>
      <c r="K82" s="138">
        <f t="shared" si="14"/>
        <v>15000</v>
      </c>
      <c r="N82" s="46" t="s">
        <v>261</v>
      </c>
      <c r="O82" s="46"/>
      <c r="P82" s="46"/>
      <c r="Q82" s="46"/>
      <c r="R82" s="46"/>
      <c r="S82" s="46"/>
      <c r="T82" s="46"/>
      <c r="U82" s="46"/>
      <c r="V82" s="46"/>
      <c r="Y82" s="2"/>
      <c r="AA82" s="138">
        <v>15000</v>
      </c>
      <c r="AC82" s="171">
        <f t="shared" si="1"/>
        <v>0</v>
      </c>
      <c r="AD82" s="171">
        <f t="shared" si="1"/>
        <v>0</v>
      </c>
    </row>
    <row r="83" spans="1:30">
      <c r="A83" s="118" t="s">
        <v>265</v>
      </c>
      <c r="B83" s="119" t="s">
        <v>266</v>
      </c>
      <c r="C83" s="119" t="s">
        <v>70</v>
      </c>
      <c r="D83" s="119" t="s">
        <v>81</v>
      </c>
      <c r="E83" s="119" t="s">
        <v>87</v>
      </c>
      <c r="F83" s="119"/>
      <c r="G83" s="120"/>
      <c r="H83" s="121"/>
      <c r="I83" s="122">
        <v>0</v>
      </c>
      <c r="J83" s="121">
        <f t="shared" si="13"/>
        <v>0</v>
      </c>
      <c r="K83" s="138">
        <f t="shared" si="14"/>
        <v>0</v>
      </c>
      <c r="N83" s="46"/>
      <c r="O83" s="46"/>
      <c r="P83" s="46"/>
      <c r="Q83" s="46"/>
      <c r="R83" s="46"/>
      <c r="S83" s="46"/>
      <c r="T83" s="46"/>
      <c r="U83" s="46"/>
      <c r="V83" s="46"/>
      <c r="Y83" s="2"/>
      <c r="AA83" s="138">
        <v>0</v>
      </c>
      <c r="AC83" s="171">
        <f t="shared" si="1"/>
        <v>0</v>
      </c>
      <c r="AD83" s="171">
        <f t="shared" si="1"/>
        <v>0</v>
      </c>
    </row>
    <row r="84" spans="1:30">
      <c r="A84" s="96" t="s">
        <v>297</v>
      </c>
      <c r="B84" s="97" t="s">
        <v>298</v>
      </c>
      <c r="C84" s="97"/>
      <c r="D84" s="97"/>
      <c r="E84" s="97"/>
      <c r="F84" s="97"/>
      <c r="G84" s="98"/>
      <c r="H84" s="99"/>
      <c r="I84" s="100"/>
      <c r="J84" s="99"/>
      <c r="K84" s="131"/>
      <c r="L84" s="103">
        <f>SUM(K85:K99)</f>
        <v>574050.30000000005</v>
      </c>
      <c r="N84" s="46"/>
      <c r="O84" s="46"/>
      <c r="P84" s="46"/>
      <c r="Q84" s="46"/>
      <c r="R84" s="46"/>
      <c r="S84" s="46"/>
      <c r="T84" s="46"/>
      <c r="U84" s="46"/>
      <c r="V84" s="46"/>
      <c r="Y84" s="2"/>
      <c r="AA84" s="131"/>
      <c r="AB84" s="103">
        <v>574050.30000000005</v>
      </c>
      <c r="AC84" s="171">
        <f t="shared" si="1"/>
        <v>0</v>
      </c>
      <c r="AD84" s="171">
        <f t="shared" si="1"/>
        <v>0</v>
      </c>
    </row>
    <row r="85" spans="1:30">
      <c r="A85" s="111" t="s">
        <v>308</v>
      </c>
      <c r="B85" s="112" t="s">
        <v>1099</v>
      </c>
      <c r="C85" s="112" t="s">
        <v>70</v>
      </c>
      <c r="D85" s="112" t="s">
        <v>310</v>
      </c>
      <c r="E85" s="112"/>
      <c r="F85" s="112" t="s">
        <v>279</v>
      </c>
      <c r="G85" s="113">
        <f>$E$8</f>
        <v>363</v>
      </c>
      <c r="H85" s="114">
        <v>79</v>
      </c>
      <c r="I85" s="115">
        <v>0</v>
      </c>
      <c r="J85" s="116">
        <f t="shared" ref="J85:J99" si="15">H85*(1+I85)</f>
        <v>79</v>
      </c>
      <c r="K85" s="117">
        <f t="shared" ref="K85:K99" si="16">J85*G85</f>
        <v>28677</v>
      </c>
      <c r="N85" s="46"/>
      <c r="O85" s="46"/>
      <c r="P85" s="46"/>
      <c r="Q85" s="46"/>
      <c r="R85" s="46"/>
      <c r="S85" s="46"/>
      <c r="T85" s="46"/>
      <c r="U85" s="46"/>
      <c r="V85" s="46"/>
      <c r="W85" s="233"/>
      <c r="Y85" s="2"/>
      <c r="AA85" s="117">
        <v>28677</v>
      </c>
      <c r="AC85" s="171">
        <f t="shared" ref="AC85:AD148" si="17">AA85-K85</f>
        <v>0</v>
      </c>
      <c r="AD85" s="171">
        <f t="shared" si="17"/>
        <v>0</v>
      </c>
    </row>
    <row r="86" spans="1:30">
      <c r="A86" s="118" t="s">
        <v>269</v>
      </c>
      <c r="B86" s="119" t="s">
        <v>270</v>
      </c>
      <c r="C86" s="119" t="s">
        <v>70</v>
      </c>
      <c r="D86" s="119" t="s">
        <v>173</v>
      </c>
      <c r="E86" s="119" t="s">
        <v>87</v>
      </c>
      <c r="F86" s="119"/>
      <c r="G86" s="120"/>
      <c r="H86" s="121"/>
      <c r="I86" s="122">
        <v>0</v>
      </c>
      <c r="J86" s="121">
        <f t="shared" si="15"/>
        <v>0</v>
      </c>
      <c r="K86" s="138">
        <f t="shared" si="16"/>
        <v>0</v>
      </c>
      <c r="N86" s="46"/>
      <c r="O86" s="46"/>
      <c r="P86" s="46"/>
      <c r="Q86" s="46"/>
      <c r="R86" s="46"/>
      <c r="S86" s="46"/>
      <c r="T86" s="46"/>
      <c r="U86" s="46"/>
      <c r="V86" s="46"/>
      <c r="Y86" s="2"/>
      <c r="AA86" s="138">
        <v>0</v>
      </c>
      <c r="AC86" s="171">
        <f t="shared" si="17"/>
        <v>0</v>
      </c>
      <c r="AD86" s="171">
        <f t="shared" si="17"/>
        <v>0</v>
      </c>
    </row>
    <row r="87" spans="1:30">
      <c r="A87" s="118" t="s">
        <v>271</v>
      </c>
      <c r="B87" s="119" t="s">
        <v>272</v>
      </c>
      <c r="C87" s="119" t="s">
        <v>70</v>
      </c>
      <c r="D87" s="119" t="s">
        <v>173</v>
      </c>
      <c r="E87" s="119" t="s">
        <v>273</v>
      </c>
      <c r="F87" s="119"/>
      <c r="G87" s="120"/>
      <c r="H87" s="121"/>
      <c r="I87" s="122">
        <v>0</v>
      </c>
      <c r="J87" s="121">
        <f t="shared" si="15"/>
        <v>0</v>
      </c>
      <c r="K87" s="138">
        <f t="shared" si="16"/>
        <v>0</v>
      </c>
      <c r="N87" s="46"/>
      <c r="O87" s="46"/>
      <c r="P87" s="46"/>
      <c r="Q87" s="46"/>
      <c r="R87" s="46"/>
      <c r="S87" s="46"/>
      <c r="T87" s="46"/>
      <c r="U87" s="46"/>
      <c r="V87" s="46"/>
      <c r="Y87" s="2"/>
      <c r="AA87" s="138">
        <v>0</v>
      </c>
      <c r="AC87" s="171">
        <f t="shared" si="17"/>
        <v>0</v>
      </c>
      <c r="AD87" s="171">
        <f t="shared" si="17"/>
        <v>0</v>
      </c>
    </row>
    <row r="88" spans="1:30">
      <c r="A88" s="118" t="s">
        <v>274</v>
      </c>
      <c r="B88" s="119" t="s">
        <v>272</v>
      </c>
      <c r="C88" s="119" t="s">
        <v>70</v>
      </c>
      <c r="D88" s="119" t="s">
        <v>81</v>
      </c>
      <c r="E88" s="119" t="s">
        <v>87</v>
      </c>
      <c r="F88" s="119"/>
      <c r="G88" s="120"/>
      <c r="H88" s="121"/>
      <c r="I88" s="122">
        <v>0</v>
      </c>
      <c r="J88" s="121">
        <f t="shared" si="15"/>
        <v>0</v>
      </c>
      <c r="K88" s="138">
        <f t="shared" si="16"/>
        <v>0</v>
      </c>
      <c r="N88" s="46"/>
      <c r="O88" s="46"/>
      <c r="P88" s="46"/>
      <c r="Q88" s="46"/>
      <c r="R88" s="46"/>
      <c r="S88" s="46"/>
      <c r="T88" s="46"/>
      <c r="U88" s="46"/>
      <c r="V88" s="46"/>
      <c r="Y88" s="2"/>
      <c r="AA88" s="138">
        <v>0</v>
      </c>
      <c r="AC88" s="171">
        <f t="shared" si="17"/>
        <v>0</v>
      </c>
      <c r="AD88" s="171">
        <f t="shared" si="17"/>
        <v>0</v>
      </c>
    </row>
    <row r="89" spans="1:30">
      <c r="A89" s="118" t="s">
        <v>275</v>
      </c>
      <c r="B89" s="119" t="s">
        <v>276</v>
      </c>
      <c r="C89" s="119" t="s">
        <v>70</v>
      </c>
      <c r="D89" s="119" t="s">
        <v>81</v>
      </c>
      <c r="E89" s="119" t="s">
        <v>87</v>
      </c>
      <c r="F89" s="119"/>
      <c r="G89" s="120"/>
      <c r="H89" s="121"/>
      <c r="I89" s="122">
        <v>0</v>
      </c>
      <c r="J89" s="121">
        <f t="shared" si="15"/>
        <v>0</v>
      </c>
      <c r="K89" s="138">
        <f t="shared" si="16"/>
        <v>0</v>
      </c>
      <c r="N89" s="46"/>
      <c r="O89" s="46"/>
      <c r="P89" s="46"/>
      <c r="Q89" s="46"/>
      <c r="R89" s="46"/>
      <c r="S89" s="46"/>
      <c r="T89" s="46"/>
      <c r="U89" s="46"/>
      <c r="V89" s="46"/>
      <c r="Y89" s="2"/>
      <c r="AA89" s="138">
        <v>0</v>
      </c>
      <c r="AC89" s="171">
        <f t="shared" si="17"/>
        <v>0</v>
      </c>
      <c r="AD89" s="171">
        <f t="shared" si="17"/>
        <v>0</v>
      </c>
    </row>
    <row r="90" spans="1:30">
      <c r="A90" s="118" t="s">
        <v>277</v>
      </c>
      <c r="B90" s="119" t="s">
        <v>278</v>
      </c>
      <c r="C90" s="119" t="s">
        <v>70</v>
      </c>
      <c r="D90" s="119" t="s">
        <v>81</v>
      </c>
      <c r="E90" s="119" t="s">
        <v>486</v>
      </c>
      <c r="F90" s="119" t="s">
        <v>279</v>
      </c>
      <c r="G90" s="113">
        <f>$E$8</f>
        <v>363</v>
      </c>
      <c r="H90" s="121">
        <v>1244.1000000000001</v>
      </c>
      <c r="I90" s="122">
        <v>0</v>
      </c>
      <c r="J90" s="121">
        <f t="shared" si="15"/>
        <v>1244.1000000000001</v>
      </c>
      <c r="K90" s="138">
        <f t="shared" si="16"/>
        <v>451608.30000000005</v>
      </c>
      <c r="N90" s="46" t="s">
        <v>1159</v>
      </c>
      <c r="O90" s="46"/>
      <c r="P90" s="46"/>
      <c r="Q90" s="46"/>
      <c r="R90" s="46"/>
      <c r="S90" s="46"/>
      <c r="T90" s="46"/>
      <c r="U90" s="46"/>
      <c r="V90" s="46"/>
      <c r="Y90" s="2"/>
      <c r="AA90" s="138">
        <v>451608.30000000005</v>
      </c>
      <c r="AC90" s="171">
        <f t="shared" si="17"/>
        <v>0</v>
      </c>
      <c r="AD90" s="171">
        <f t="shared" si="17"/>
        <v>0</v>
      </c>
    </row>
    <row r="91" spans="1:30">
      <c r="A91" s="118" t="s">
        <v>281</v>
      </c>
      <c r="B91" s="119" t="s">
        <v>278</v>
      </c>
      <c r="C91" s="119" t="s">
        <v>90</v>
      </c>
      <c r="D91" s="119" t="s">
        <v>81</v>
      </c>
      <c r="E91" s="119" t="s">
        <v>76</v>
      </c>
      <c r="F91" s="119" t="s">
        <v>279</v>
      </c>
      <c r="G91" s="113">
        <f>$E$8</f>
        <v>363</v>
      </c>
      <c r="H91" s="121">
        <v>75</v>
      </c>
      <c r="I91" s="122">
        <v>0</v>
      </c>
      <c r="J91" s="121">
        <f t="shared" si="15"/>
        <v>75</v>
      </c>
      <c r="K91" s="138">
        <f t="shared" si="16"/>
        <v>27225</v>
      </c>
      <c r="N91" s="46"/>
      <c r="O91" s="46"/>
      <c r="P91" s="46"/>
      <c r="Q91" s="46"/>
      <c r="R91" s="46"/>
      <c r="S91" s="46"/>
      <c r="T91" s="46"/>
      <c r="U91" s="46"/>
      <c r="V91" s="46"/>
      <c r="Y91" s="2"/>
      <c r="AA91" s="138">
        <v>27225</v>
      </c>
      <c r="AC91" s="171">
        <f t="shared" si="17"/>
        <v>0</v>
      </c>
      <c r="AD91" s="171">
        <f t="shared" si="17"/>
        <v>0</v>
      </c>
    </row>
    <row r="92" spans="1:30">
      <c r="A92" s="118" t="s">
        <v>282</v>
      </c>
      <c r="B92" s="119" t="s">
        <v>283</v>
      </c>
      <c r="C92" s="119" t="s">
        <v>70</v>
      </c>
      <c r="D92" s="119" t="s">
        <v>110</v>
      </c>
      <c r="E92" s="119" t="s">
        <v>87</v>
      </c>
      <c r="F92" s="119"/>
      <c r="G92" s="120"/>
      <c r="H92" s="121"/>
      <c r="I92" s="122">
        <v>0</v>
      </c>
      <c r="J92" s="121">
        <f t="shared" si="15"/>
        <v>0</v>
      </c>
      <c r="K92" s="138">
        <f t="shared" si="16"/>
        <v>0</v>
      </c>
      <c r="N92" s="46"/>
      <c r="O92" s="46"/>
      <c r="P92" s="46"/>
      <c r="Q92" s="46"/>
      <c r="R92" s="46"/>
      <c r="S92" s="46"/>
      <c r="T92" s="46"/>
      <c r="U92" s="46"/>
      <c r="V92" s="46"/>
      <c r="Y92" s="2"/>
      <c r="AA92" s="138">
        <v>0</v>
      </c>
      <c r="AC92" s="171">
        <f t="shared" si="17"/>
        <v>0</v>
      </c>
      <c r="AD92" s="171">
        <f t="shared" si="17"/>
        <v>0</v>
      </c>
    </row>
    <row r="93" spans="1:30">
      <c r="A93" s="118" t="s">
        <v>284</v>
      </c>
      <c r="B93" s="119" t="s">
        <v>285</v>
      </c>
      <c r="C93" s="119" t="s">
        <v>70</v>
      </c>
      <c r="D93" s="119" t="s">
        <v>103</v>
      </c>
      <c r="E93" s="119" t="s">
        <v>87</v>
      </c>
      <c r="F93" s="119"/>
      <c r="G93" s="120"/>
      <c r="H93" s="121"/>
      <c r="I93" s="122">
        <v>0</v>
      </c>
      <c r="J93" s="121">
        <f t="shared" si="15"/>
        <v>0</v>
      </c>
      <c r="K93" s="138">
        <f t="shared" si="16"/>
        <v>0</v>
      </c>
      <c r="N93" s="46"/>
      <c r="O93" s="46"/>
      <c r="P93" s="46"/>
      <c r="Q93" s="46"/>
      <c r="R93" s="46"/>
      <c r="S93" s="46"/>
      <c r="T93" s="46"/>
      <c r="U93" s="46"/>
      <c r="V93" s="46"/>
      <c r="Y93" s="2"/>
      <c r="AA93" s="138">
        <v>0</v>
      </c>
      <c r="AC93" s="171">
        <f t="shared" si="17"/>
        <v>0</v>
      </c>
      <c r="AD93" s="171">
        <f t="shared" si="17"/>
        <v>0</v>
      </c>
    </row>
    <row r="94" spans="1:30">
      <c r="A94" s="118" t="s">
        <v>286</v>
      </c>
      <c r="B94" s="119" t="s">
        <v>287</v>
      </c>
      <c r="C94" s="119" t="s">
        <v>70</v>
      </c>
      <c r="D94" s="119" t="s">
        <v>81</v>
      </c>
      <c r="E94" s="119" t="s">
        <v>87</v>
      </c>
      <c r="F94" s="119"/>
      <c r="G94" s="120"/>
      <c r="H94" s="121"/>
      <c r="I94" s="122">
        <v>0</v>
      </c>
      <c r="J94" s="121">
        <f t="shared" si="15"/>
        <v>0</v>
      </c>
      <c r="K94" s="138">
        <f t="shared" si="16"/>
        <v>0</v>
      </c>
      <c r="N94" s="46"/>
      <c r="O94" s="46"/>
      <c r="P94" s="46"/>
      <c r="Q94" s="46"/>
      <c r="R94" s="46"/>
      <c r="S94" s="46"/>
      <c r="T94" s="46"/>
      <c r="U94" s="46"/>
      <c r="V94" s="46"/>
      <c r="Y94" s="2"/>
      <c r="AA94" s="138">
        <v>0</v>
      </c>
      <c r="AC94" s="171">
        <f t="shared" si="17"/>
        <v>0</v>
      </c>
      <c r="AD94" s="171">
        <f t="shared" si="17"/>
        <v>0</v>
      </c>
    </row>
    <row r="95" spans="1:30">
      <c r="A95" s="118" t="s">
        <v>288</v>
      </c>
      <c r="B95" s="119" t="s">
        <v>289</v>
      </c>
      <c r="C95" s="119" t="s">
        <v>70</v>
      </c>
      <c r="D95" s="119" t="s">
        <v>81</v>
      </c>
      <c r="E95" s="119" t="s">
        <v>87</v>
      </c>
      <c r="F95" s="119"/>
      <c r="G95" s="120"/>
      <c r="H95" s="121"/>
      <c r="I95" s="122">
        <v>0</v>
      </c>
      <c r="J95" s="121">
        <f t="shared" si="15"/>
        <v>0</v>
      </c>
      <c r="K95" s="138">
        <f t="shared" si="16"/>
        <v>0</v>
      </c>
      <c r="N95" s="46"/>
      <c r="O95" s="46"/>
      <c r="P95" s="46"/>
      <c r="Q95" s="46"/>
      <c r="R95" s="46"/>
      <c r="S95" s="46"/>
      <c r="T95" s="46"/>
      <c r="U95" s="46"/>
      <c r="V95" s="46"/>
      <c r="Y95" s="2"/>
      <c r="AA95" s="138">
        <v>0</v>
      </c>
      <c r="AC95" s="171">
        <f t="shared" si="17"/>
        <v>0</v>
      </c>
      <c r="AD95" s="171">
        <f t="shared" si="17"/>
        <v>0</v>
      </c>
    </row>
    <row r="96" spans="1:30">
      <c r="A96" s="118" t="s">
        <v>290</v>
      </c>
      <c r="B96" s="119" t="s">
        <v>291</v>
      </c>
      <c r="C96" s="119" t="s">
        <v>70</v>
      </c>
      <c r="D96" s="119" t="s">
        <v>81</v>
      </c>
      <c r="E96" s="119" t="s">
        <v>87</v>
      </c>
      <c r="F96" s="119"/>
      <c r="G96" s="120"/>
      <c r="H96" s="121"/>
      <c r="I96" s="122">
        <v>0</v>
      </c>
      <c r="J96" s="121">
        <f t="shared" si="15"/>
        <v>0</v>
      </c>
      <c r="K96" s="138">
        <f t="shared" si="16"/>
        <v>0</v>
      </c>
      <c r="N96" s="46"/>
      <c r="O96" s="46"/>
      <c r="P96" s="46"/>
      <c r="Q96" s="46"/>
      <c r="R96" s="46"/>
      <c r="S96" s="46"/>
      <c r="T96" s="46"/>
      <c r="U96" s="46"/>
      <c r="V96" s="46"/>
      <c r="Y96" s="2"/>
      <c r="AA96" s="138">
        <v>0</v>
      </c>
      <c r="AC96" s="171">
        <f t="shared" si="17"/>
        <v>0</v>
      </c>
      <c r="AD96" s="171">
        <f t="shared" si="17"/>
        <v>0</v>
      </c>
    </row>
    <row r="97" spans="1:30">
      <c r="A97" s="118" t="s">
        <v>292</v>
      </c>
      <c r="B97" s="119" t="s">
        <v>289</v>
      </c>
      <c r="C97" s="119" t="s">
        <v>70</v>
      </c>
      <c r="D97" s="119" t="s">
        <v>81</v>
      </c>
      <c r="E97" s="119" t="s">
        <v>87</v>
      </c>
      <c r="F97" s="119"/>
      <c r="G97" s="120"/>
      <c r="H97" s="121"/>
      <c r="I97" s="122">
        <v>0</v>
      </c>
      <c r="J97" s="121">
        <f t="shared" si="15"/>
        <v>0</v>
      </c>
      <c r="K97" s="138">
        <f t="shared" si="16"/>
        <v>0</v>
      </c>
      <c r="N97" s="46"/>
      <c r="O97" s="46"/>
      <c r="P97" s="46"/>
      <c r="Q97" s="46"/>
      <c r="R97" s="46"/>
      <c r="S97" s="46"/>
      <c r="T97" s="46"/>
      <c r="U97" s="46"/>
      <c r="V97" s="46"/>
      <c r="Y97" s="2"/>
      <c r="AA97" s="138">
        <v>0</v>
      </c>
      <c r="AC97" s="171">
        <f t="shared" si="17"/>
        <v>0</v>
      </c>
      <c r="AD97" s="171">
        <f t="shared" si="17"/>
        <v>0</v>
      </c>
    </row>
    <row r="98" spans="1:30">
      <c r="A98" s="118" t="s">
        <v>293</v>
      </c>
      <c r="B98" s="119" t="s">
        <v>289</v>
      </c>
      <c r="C98" s="119" t="s">
        <v>70</v>
      </c>
      <c r="D98" s="119" t="s">
        <v>81</v>
      </c>
      <c r="E98" s="119" t="s">
        <v>1049</v>
      </c>
      <c r="F98" s="119" t="s">
        <v>311</v>
      </c>
      <c r="G98" s="113">
        <f>$E$8</f>
        <v>363</v>
      </c>
      <c r="H98" s="121">
        <v>180</v>
      </c>
      <c r="I98" s="122">
        <v>0</v>
      </c>
      <c r="J98" s="121">
        <f t="shared" si="15"/>
        <v>180</v>
      </c>
      <c r="K98" s="138">
        <f t="shared" si="16"/>
        <v>65340</v>
      </c>
      <c r="N98" s="46"/>
      <c r="O98" s="46"/>
      <c r="P98" s="46"/>
      <c r="Q98" s="46"/>
      <c r="R98" s="46"/>
      <c r="S98" s="46"/>
      <c r="T98" s="46"/>
      <c r="U98" s="46"/>
      <c r="V98" s="46"/>
      <c r="Y98" s="2"/>
      <c r="AA98" s="138">
        <v>65340</v>
      </c>
      <c r="AC98" s="171">
        <f t="shared" si="17"/>
        <v>0</v>
      </c>
      <c r="AD98" s="171">
        <f t="shared" si="17"/>
        <v>0</v>
      </c>
    </row>
    <row r="99" spans="1:30">
      <c r="A99" s="118" t="s">
        <v>296</v>
      </c>
      <c r="B99" s="119" t="s">
        <v>289</v>
      </c>
      <c r="C99" s="119" t="s">
        <v>70</v>
      </c>
      <c r="D99" s="119" t="s">
        <v>81</v>
      </c>
      <c r="E99" s="119" t="s">
        <v>1049</v>
      </c>
      <c r="F99" s="119" t="s">
        <v>132</v>
      </c>
      <c r="G99" s="120">
        <f>$B$11*2</f>
        <v>6</v>
      </c>
      <c r="H99" s="121">
        <v>200</v>
      </c>
      <c r="I99" s="122">
        <v>0</v>
      </c>
      <c r="J99" s="121">
        <f t="shared" si="15"/>
        <v>200</v>
      </c>
      <c r="K99" s="138">
        <f t="shared" si="16"/>
        <v>1200</v>
      </c>
      <c r="N99" s="46"/>
      <c r="O99" s="46"/>
      <c r="P99" s="46"/>
      <c r="Q99" s="46"/>
      <c r="R99" s="46"/>
      <c r="S99" s="46"/>
      <c r="T99" s="46"/>
      <c r="U99" s="46"/>
      <c r="V99" s="46"/>
      <c r="Y99" s="2"/>
      <c r="AA99" s="138">
        <v>1200</v>
      </c>
      <c r="AC99" s="171">
        <f t="shared" si="17"/>
        <v>0</v>
      </c>
      <c r="AD99" s="171">
        <f t="shared" si="17"/>
        <v>0</v>
      </c>
    </row>
    <row r="100" spans="1:30">
      <c r="A100" s="96" t="s">
        <v>391</v>
      </c>
      <c r="B100" s="97" t="s">
        <v>392</v>
      </c>
      <c r="C100" s="97"/>
      <c r="D100" s="97"/>
      <c r="E100" s="97"/>
      <c r="F100" s="97"/>
      <c r="G100" s="98"/>
      <c r="H100" s="99"/>
      <c r="I100" s="100"/>
      <c r="J100" s="99"/>
      <c r="K100" s="131"/>
      <c r="L100" s="103">
        <f>SUM(K101:K136)</f>
        <v>5615983.3453300335</v>
      </c>
      <c r="N100" s="46"/>
      <c r="O100" s="46"/>
      <c r="P100" s="46"/>
      <c r="Q100" s="46"/>
      <c r="R100" s="46"/>
      <c r="S100" s="46"/>
      <c r="T100" s="46"/>
      <c r="U100" s="46"/>
      <c r="V100" s="46"/>
      <c r="Y100" s="2"/>
      <c r="AA100" s="131"/>
      <c r="AB100" s="103">
        <v>5615983.3453300335</v>
      </c>
      <c r="AC100" s="171">
        <f t="shared" si="17"/>
        <v>0</v>
      </c>
      <c r="AD100" s="171">
        <f t="shared" si="17"/>
        <v>0</v>
      </c>
    </row>
    <row r="101" spans="1:30">
      <c r="A101" s="111" t="s">
        <v>299</v>
      </c>
      <c r="B101" s="112" t="s">
        <v>300</v>
      </c>
      <c r="C101" s="112" t="s">
        <v>70</v>
      </c>
      <c r="D101" s="112" t="s">
        <v>81</v>
      </c>
      <c r="E101" s="112" t="s">
        <v>1160</v>
      </c>
      <c r="F101" s="112" t="s">
        <v>185</v>
      </c>
      <c r="G101" s="113">
        <f t="shared" ref="G101:G128" si="18">$B$8</f>
        <v>329194</v>
      </c>
      <c r="H101" s="114">
        <v>0.05</v>
      </c>
      <c r="I101" s="115">
        <v>0</v>
      </c>
      <c r="J101" s="116">
        <f t="shared" ref="J101:J136" si="19">H101*(1+I101)</f>
        <v>0.05</v>
      </c>
      <c r="K101" s="117">
        <f t="shared" ref="K101:K136" si="20">J101*G101</f>
        <v>16459.7</v>
      </c>
      <c r="N101" s="46"/>
      <c r="O101" s="46"/>
      <c r="P101" s="46"/>
      <c r="Q101" s="46"/>
      <c r="R101" s="46"/>
      <c r="S101" s="46"/>
      <c r="T101" s="46"/>
      <c r="U101" s="46"/>
      <c r="V101" s="46"/>
      <c r="Y101" s="2"/>
      <c r="AA101" s="117">
        <v>16459.7</v>
      </c>
      <c r="AC101" s="171">
        <f t="shared" si="17"/>
        <v>0</v>
      </c>
      <c r="AD101" s="171">
        <f t="shared" si="17"/>
        <v>0</v>
      </c>
    </row>
    <row r="102" spans="1:30">
      <c r="A102" s="118" t="s">
        <v>1161</v>
      </c>
      <c r="B102" s="119" t="s">
        <v>302</v>
      </c>
      <c r="C102" s="119" t="s">
        <v>70</v>
      </c>
      <c r="D102" s="119" t="s">
        <v>81</v>
      </c>
      <c r="E102" s="119" t="s">
        <v>1160</v>
      </c>
      <c r="F102" s="119" t="s">
        <v>185</v>
      </c>
      <c r="G102" s="120">
        <f t="shared" si="18"/>
        <v>329194</v>
      </c>
      <c r="H102" s="121">
        <v>0.08</v>
      </c>
      <c r="I102" s="122">
        <v>0</v>
      </c>
      <c r="J102" s="121">
        <f t="shared" si="19"/>
        <v>0.08</v>
      </c>
      <c r="K102" s="138">
        <f t="shared" si="20"/>
        <v>26335.52</v>
      </c>
      <c r="N102" s="46"/>
      <c r="O102" s="46"/>
      <c r="P102" s="46"/>
      <c r="Q102" s="46"/>
      <c r="R102" s="46"/>
      <c r="S102" s="46"/>
      <c r="T102" s="46"/>
      <c r="U102" s="46"/>
      <c r="V102" s="46"/>
      <c r="Y102" s="2"/>
      <c r="AA102" s="138">
        <v>26335.520000000004</v>
      </c>
      <c r="AC102" s="171">
        <f t="shared" si="17"/>
        <v>0</v>
      </c>
      <c r="AD102" s="171">
        <f t="shared" si="17"/>
        <v>0</v>
      </c>
    </row>
    <row r="103" spans="1:30">
      <c r="A103" s="118" t="s">
        <v>303</v>
      </c>
      <c r="B103" s="119" t="s">
        <v>304</v>
      </c>
      <c r="C103" s="119" t="s">
        <v>70</v>
      </c>
      <c r="D103" s="119" t="s">
        <v>81</v>
      </c>
      <c r="E103" s="119" t="s">
        <v>1160</v>
      </c>
      <c r="F103" s="119" t="s">
        <v>185</v>
      </c>
      <c r="G103" s="120">
        <f t="shared" si="18"/>
        <v>329194</v>
      </c>
      <c r="H103" s="121">
        <v>0.6</v>
      </c>
      <c r="I103" s="122">
        <v>0</v>
      </c>
      <c r="J103" s="121">
        <f t="shared" si="19"/>
        <v>0.6</v>
      </c>
      <c r="K103" s="138">
        <f t="shared" si="20"/>
        <v>197516.4</v>
      </c>
      <c r="N103" s="46"/>
      <c r="O103" s="46"/>
      <c r="P103" s="46"/>
      <c r="Q103" s="46"/>
      <c r="R103" s="46"/>
      <c r="S103" s="46"/>
      <c r="T103" s="46"/>
      <c r="U103" s="46"/>
      <c r="V103" s="46"/>
      <c r="Y103" s="2"/>
      <c r="AA103" s="138">
        <v>197516.39999999997</v>
      </c>
      <c r="AC103" s="171">
        <f t="shared" si="17"/>
        <v>0</v>
      </c>
      <c r="AD103" s="171">
        <f t="shared" si="17"/>
        <v>0</v>
      </c>
    </row>
    <row r="104" spans="1:30">
      <c r="A104" s="118" t="s">
        <v>1162</v>
      </c>
      <c r="B104" s="119" t="s">
        <v>307</v>
      </c>
      <c r="C104" s="119" t="s">
        <v>70</v>
      </c>
      <c r="D104" s="119" t="s">
        <v>81</v>
      </c>
      <c r="E104" s="119" t="s">
        <v>1160</v>
      </c>
      <c r="F104" s="119" t="s">
        <v>185</v>
      </c>
      <c r="G104" s="120">
        <f t="shared" si="18"/>
        <v>329194</v>
      </c>
      <c r="H104" s="121">
        <v>0.36</v>
      </c>
      <c r="I104" s="122">
        <v>0</v>
      </c>
      <c r="J104" s="121">
        <f t="shared" si="19"/>
        <v>0.36</v>
      </c>
      <c r="K104" s="138">
        <f t="shared" si="20"/>
        <v>118509.84</v>
      </c>
      <c r="N104" s="46"/>
      <c r="O104" s="46"/>
      <c r="P104" s="46"/>
      <c r="Q104" s="46"/>
      <c r="R104" s="46"/>
      <c r="S104" s="46"/>
      <c r="T104" s="46"/>
      <c r="U104" s="46"/>
      <c r="V104" s="46"/>
      <c r="Y104" s="2"/>
      <c r="AA104" s="138">
        <v>118509.84</v>
      </c>
      <c r="AC104" s="171">
        <f t="shared" si="17"/>
        <v>0</v>
      </c>
      <c r="AD104" s="171">
        <f t="shared" si="17"/>
        <v>0</v>
      </c>
    </row>
    <row r="105" spans="1:30">
      <c r="A105" s="118" t="s">
        <v>308</v>
      </c>
      <c r="B105" s="119" t="s">
        <v>309</v>
      </c>
      <c r="C105" s="119" t="s">
        <v>70</v>
      </c>
      <c r="D105" s="119" t="s">
        <v>310</v>
      </c>
      <c r="E105" s="119" t="s">
        <v>1163</v>
      </c>
      <c r="F105" s="119" t="s">
        <v>311</v>
      </c>
      <c r="G105" s="113">
        <f>$E$8</f>
        <v>363</v>
      </c>
      <c r="H105" s="121">
        <v>79</v>
      </c>
      <c r="I105" s="122">
        <v>0</v>
      </c>
      <c r="J105" s="121">
        <f t="shared" si="19"/>
        <v>79</v>
      </c>
      <c r="K105" s="138">
        <f t="shared" si="20"/>
        <v>28677</v>
      </c>
      <c r="N105" s="46"/>
      <c r="O105" s="46"/>
      <c r="P105" s="46"/>
      <c r="Q105" s="46"/>
      <c r="R105" s="46"/>
      <c r="S105" s="46"/>
      <c r="T105" s="46"/>
      <c r="U105" s="46"/>
      <c r="V105" s="46"/>
      <c r="Y105" s="2"/>
      <c r="AA105" s="138">
        <v>28677</v>
      </c>
      <c r="AC105" s="171">
        <f t="shared" si="17"/>
        <v>0</v>
      </c>
      <c r="AD105" s="171">
        <f t="shared" si="17"/>
        <v>0</v>
      </c>
    </row>
    <row r="106" spans="1:30">
      <c r="A106" s="118" t="s">
        <v>312</v>
      </c>
      <c r="B106" s="119" t="s">
        <v>313</v>
      </c>
      <c r="C106" s="119" t="s">
        <v>70</v>
      </c>
      <c r="D106" s="119" t="s">
        <v>75</v>
      </c>
      <c r="E106" s="119" t="s">
        <v>1160</v>
      </c>
      <c r="F106" s="90"/>
      <c r="G106" s="240"/>
      <c r="H106" s="121">
        <v>0.11</v>
      </c>
      <c r="I106" s="122">
        <v>0</v>
      </c>
      <c r="J106" s="121">
        <f t="shared" si="19"/>
        <v>0.11</v>
      </c>
      <c r="K106" s="138">
        <f>J106*G123</f>
        <v>36211.340000000004</v>
      </c>
      <c r="N106" s="46"/>
      <c r="O106" s="46"/>
      <c r="P106" s="46"/>
      <c r="Q106" s="46"/>
      <c r="R106" s="46"/>
      <c r="S106" s="46"/>
      <c r="T106" s="46"/>
      <c r="U106" s="46"/>
      <c r="V106" s="46"/>
      <c r="Y106" s="2"/>
      <c r="AA106" s="138">
        <v>36211.340000000004</v>
      </c>
      <c r="AC106" s="171">
        <f t="shared" si="17"/>
        <v>0</v>
      </c>
      <c r="AD106" s="171">
        <f t="shared" si="17"/>
        <v>0</v>
      </c>
    </row>
    <row r="107" spans="1:30">
      <c r="A107" s="118" t="s">
        <v>315</v>
      </c>
      <c r="B107" s="119" t="s">
        <v>316</v>
      </c>
      <c r="C107" s="119" t="s">
        <v>70</v>
      </c>
      <c r="D107" s="119" t="s">
        <v>81</v>
      </c>
      <c r="E107" s="119" t="s">
        <v>343</v>
      </c>
      <c r="F107" s="119" t="s">
        <v>351</v>
      </c>
      <c r="G107" s="120">
        <f>O10</f>
        <v>18377.333333333336</v>
      </c>
      <c r="H107" s="121">
        <v>40.818673883626523</v>
      </c>
      <c r="I107" s="122">
        <v>0</v>
      </c>
      <c r="J107" s="121">
        <f t="shared" si="19"/>
        <v>40.818673883626523</v>
      </c>
      <c r="K107" s="138">
        <f t="shared" si="20"/>
        <v>750138.37618403265</v>
      </c>
      <c r="N107" s="46" t="s">
        <v>1164</v>
      </c>
      <c r="O107" s="46"/>
      <c r="P107" s="46"/>
      <c r="Q107" s="46"/>
      <c r="R107" s="46"/>
      <c r="S107" s="46"/>
      <c r="T107" s="46"/>
      <c r="U107" s="46"/>
      <c r="V107" s="46"/>
      <c r="Y107" s="2"/>
      <c r="AA107" s="138">
        <v>750138.37618403253</v>
      </c>
      <c r="AC107" s="171">
        <f t="shared" si="17"/>
        <v>0</v>
      </c>
      <c r="AD107" s="171">
        <f t="shared" si="17"/>
        <v>0</v>
      </c>
    </row>
    <row r="108" spans="1:30">
      <c r="A108" s="118" t="s">
        <v>319</v>
      </c>
      <c r="B108" s="119" t="s">
        <v>316</v>
      </c>
      <c r="C108" s="119" t="s">
        <v>144</v>
      </c>
      <c r="D108" s="119" t="s">
        <v>93</v>
      </c>
      <c r="E108" s="119" t="s">
        <v>76</v>
      </c>
      <c r="F108" s="119" t="s">
        <v>83</v>
      </c>
      <c r="G108" s="120">
        <v>1</v>
      </c>
      <c r="H108" s="121">
        <v>6000</v>
      </c>
      <c r="I108" s="122">
        <v>0</v>
      </c>
      <c r="J108" s="121">
        <f t="shared" si="19"/>
        <v>6000</v>
      </c>
      <c r="K108" s="138">
        <f t="shared" si="20"/>
        <v>6000</v>
      </c>
      <c r="N108" s="46"/>
      <c r="O108" s="46"/>
      <c r="P108" s="46"/>
      <c r="Q108" s="46"/>
      <c r="R108" s="46"/>
      <c r="S108" s="46"/>
      <c r="T108" s="46"/>
      <c r="U108" s="46"/>
      <c r="V108" s="46"/>
      <c r="Y108" s="2"/>
      <c r="AA108" s="138">
        <v>6000</v>
      </c>
      <c r="AC108" s="171">
        <f t="shared" si="17"/>
        <v>0</v>
      </c>
      <c r="AD108" s="171">
        <f t="shared" si="17"/>
        <v>0</v>
      </c>
    </row>
    <row r="109" spans="1:30">
      <c r="A109" s="118" t="s">
        <v>321</v>
      </c>
      <c r="B109" s="119" t="s">
        <v>322</v>
      </c>
      <c r="C109" s="119" t="s">
        <v>70</v>
      </c>
      <c r="D109" s="119" t="s">
        <v>103</v>
      </c>
      <c r="E109" s="119" t="s">
        <v>87</v>
      </c>
      <c r="F109" s="119"/>
      <c r="G109" s="120"/>
      <c r="H109" s="121"/>
      <c r="I109" s="122">
        <v>0</v>
      </c>
      <c r="J109" s="121">
        <f t="shared" si="19"/>
        <v>0</v>
      </c>
      <c r="K109" s="138">
        <f t="shared" si="20"/>
        <v>0</v>
      </c>
      <c r="N109" s="46"/>
      <c r="O109" s="46"/>
      <c r="P109" s="46"/>
      <c r="Q109" s="46"/>
      <c r="R109" s="46"/>
      <c r="S109" s="46"/>
      <c r="T109" s="46"/>
      <c r="U109" s="46"/>
      <c r="V109" s="46"/>
      <c r="Y109" s="2"/>
      <c r="AA109" s="138">
        <v>0</v>
      </c>
      <c r="AC109" s="171">
        <f t="shared" si="17"/>
        <v>0</v>
      </c>
      <c r="AD109" s="171">
        <f t="shared" si="17"/>
        <v>0</v>
      </c>
    </row>
    <row r="110" spans="1:30">
      <c r="A110" s="118" t="s">
        <v>323</v>
      </c>
      <c r="B110" s="119" t="s">
        <v>324</v>
      </c>
      <c r="C110" s="119" t="s">
        <v>144</v>
      </c>
      <c r="D110" s="119" t="s">
        <v>103</v>
      </c>
      <c r="E110" s="119" t="s">
        <v>76</v>
      </c>
      <c r="F110" s="119" t="s">
        <v>83</v>
      </c>
      <c r="G110" s="120">
        <f>$O$6</f>
        <v>2</v>
      </c>
      <c r="H110" s="121">
        <v>2000</v>
      </c>
      <c r="I110" s="122">
        <v>0</v>
      </c>
      <c r="J110" s="121">
        <f t="shared" si="19"/>
        <v>2000</v>
      </c>
      <c r="K110" s="138">
        <f t="shared" si="20"/>
        <v>4000</v>
      </c>
      <c r="N110" s="46"/>
      <c r="O110" s="46"/>
      <c r="P110" s="46"/>
      <c r="Q110" s="46"/>
      <c r="R110" s="46"/>
      <c r="S110" s="46"/>
      <c r="T110" s="46"/>
      <c r="U110" s="46"/>
      <c r="V110" s="46"/>
      <c r="Y110" s="2"/>
      <c r="AA110" s="138">
        <v>4000</v>
      </c>
      <c r="AC110" s="171">
        <f t="shared" si="17"/>
        <v>0</v>
      </c>
      <c r="AD110" s="171">
        <f t="shared" si="17"/>
        <v>0</v>
      </c>
    </row>
    <row r="111" spans="1:30">
      <c r="A111" s="118" t="s">
        <v>325</v>
      </c>
      <c r="B111" s="119" t="s">
        <v>326</v>
      </c>
      <c r="C111" s="119" t="s">
        <v>70</v>
      </c>
      <c r="D111" s="119" t="s">
        <v>103</v>
      </c>
      <c r="E111" s="119" t="s">
        <v>87</v>
      </c>
      <c r="F111" s="119"/>
      <c r="G111" s="120"/>
      <c r="H111" s="121"/>
      <c r="I111" s="122">
        <v>0</v>
      </c>
      <c r="J111" s="121">
        <f t="shared" si="19"/>
        <v>0</v>
      </c>
      <c r="K111" s="138">
        <f t="shared" si="20"/>
        <v>0</v>
      </c>
      <c r="N111" s="46"/>
      <c r="O111" s="46"/>
      <c r="P111" s="46"/>
      <c r="Q111" s="46"/>
      <c r="R111" s="46"/>
      <c r="S111" s="46"/>
      <c r="T111" s="46"/>
      <c r="U111" s="46"/>
      <c r="V111" s="46"/>
      <c r="Y111" s="2"/>
      <c r="AA111" s="138">
        <v>0</v>
      </c>
      <c r="AC111" s="171">
        <f t="shared" si="17"/>
        <v>0</v>
      </c>
      <c r="AD111" s="171">
        <f t="shared" si="17"/>
        <v>0</v>
      </c>
    </row>
    <row r="112" spans="1:30">
      <c r="A112" s="118" t="s">
        <v>327</v>
      </c>
      <c r="B112" s="119" t="s">
        <v>328</v>
      </c>
      <c r="C112" s="119" t="s">
        <v>70</v>
      </c>
      <c r="D112" s="119" t="s">
        <v>110</v>
      </c>
      <c r="E112" s="119" t="s">
        <v>87</v>
      </c>
      <c r="F112" s="119"/>
      <c r="G112" s="120"/>
      <c r="H112" s="121"/>
      <c r="I112" s="122">
        <v>0</v>
      </c>
      <c r="J112" s="121">
        <f t="shared" si="19"/>
        <v>0</v>
      </c>
      <c r="K112" s="138">
        <f t="shared" si="20"/>
        <v>0</v>
      </c>
      <c r="N112" s="46"/>
      <c r="O112" s="46"/>
      <c r="P112" s="46"/>
      <c r="Q112" s="46"/>
      <c r="R112" s="46"/>
      <c r="S112" s="46"/>
      <c r="T112" s="46"/>
      <c r="U112" s="46"/>
      <c r="V112" s="46"/>
      <c r="Y112" s="2"/>
      <c r="AA112" s="138">
        <v>0</v>
      </c>
      <c r="AC112" s="171">
        <f t="shared" si="17"/>
        <v>0</v>
      </c>
      <c r="AD112" s="171">
        <f t="shared" si="17"/>
        <v>0</v>
      </c>
    </row>
    <row r="113" spans="1:30">
      <c r="A113" s="118" t="s">
        <v>330</v>
      </c>
      <c r="B113" s="119" t="s">
        <v>331</v>
      </c>
      <c r="C113" s="119" t="s">
        <v>90</v>
      </c>
      <c r="D113" s="119" t="s">
        <v>81</v>
      </c>
      <c r="E113" s="119" t="s">
        <v>76</v>
      </c>
      <c r="F113" s="119" t="s">
        <v>83</v>
      </c>
      <c r="G113" s="120">
        <v>1</v>
      </c>
      <c r="H113" s="237">
        <f>'[59]Scenario 2 - Phase 1'!H113+'[59]Scenario 2 - Phase 2'!H113</f>
        <v>9000</v>
      </c>
      <c r="I113" s="122">
        <v>0</v>
      </c>
      <c r="J113" s="121">
        <f t="shared" si="19"/>
        <v>9000</v>
      </c>
      <c r="K113" s="138">
        <f t="shared" si="20"/>
        <v>9000</v>
      </c>
      <c r="N113" s="46"/>
      <c r="O113" s="46"/>
      <c r="P113" s="46"/>
      <c r="Q113" s="46"/>
      <c r="R113" s="46"/>
      <c r="S113" s="46"/>
      <c r="T113" s="46"/>
      <c r="U113" s="46"/>
      <c r="V113" s="46"/>
      <c r="Y113" s="2"/>
      <c r="AA113" s="138">
        <v>9000</v>
      </c>
      <c r="AC113" s="171">
        <f t="shared" si="17"/>
        <v>0</v>
      </c>
      <c r="AD113" s="171">
        <f t="shared" si="17"/>
        <v>0</v>
      </c>
    </row>
    <row r="114" spans="1:30">
      <c r="A114" s="118" t="s">
        <v>332</v>
      </c>
      <c r="B114" s="119" t="s">
        <v>333</v>
      </c>
      <c r="C114" s="119" t="s">
        <v>70</v>
      </c>
      <c r="D114" s="119" t="s">
        <v>81</v>
      </c>
      <c r="E114" s="119" t="s">
        <v>343</v>
      </c>
      <c r="F114" s="119" t="s">
        <v>185</v>
      </c>
      <c r="G114" s="120">
        <f t="shared" ref="G114" si="21">$B$8</f>
        <v>329194</v>
      </c>
      <c r="H114" s="121">
        <v>8.02</v>
      </c>
      <c r="I114" s="122">
        <v>0</v>
      </c>
      <c r="J114" s="121">
        <f t="shared" si="19"/>
        <v>8.02</v>
      </c>
      <c r="K114" s="138">
        <f t="shared" si="20"/>
        <v>2640135.88</v>
      </c>
      <c r="N114" s="46"/>
      <c r="O114" s="46"/>
      <c r="P114" s="46"/>
      <c r="Q114" s="46"/>
      <c r="R114" s="46"/>
      <c r="S114" s="46"/>
      <c r="T114" s="46"/>
      <c r="U114" s="46"/>
      <c r="V114" s="46"/>
      <c r="Y114" s="2"/>
      <c r="AA114" s="138">
        <v>2640135.88</v>
      </c>
      <c r="AC114" s="171">
        <f t="shared" si="17"/>
        <v>0</v>
      </c>
      <c r="AD114" s="171">
        <f t="shared" si="17"/>
        <v>0</v>
      </c>
    </row>
    <row r="115" spans="1:30">
      <c r="A115" s="118" t="s">
        <v>335</v>
      </c>
      <c r="B115" s="119" t="s">
        <v>336</v>
      </c>
      <c r="C115" s="119" t="s">
        <v>90</v>
      </c>
      <c r="D115" s="119" t="s">
        <v>81</v>
      </c>
      <c r="E115" s="119" t="s">
        <v>76</v>
      </c>
      <c r="F115" s="119" t="s">
        <v>311</v>
      </c>
      <c r="G115" s="113">
        <f>$E$8</f>
        <v>363</v>
      </c>
      <c r="H115" s="121">
        <v>85</v>
      </c>
      <c r="I115" s="122">
        <v>0</v>
      </c>
      <c r="J115" s="121">
        <f t="shared" si="19"/>
        <v>85</v>
      </c>
      <c r="K115" s="138">
        <f t="shared" si="20"/>
        <v>30855</v>
      </c>
      <c r="N115" s="46"/>
      <c r="O115" s="46"/>
      <c r="P115" s="46"/>
      <c r="Q115" s="46"/>
      <c r="R115" s="46"/>
      <c r="S115" s="46"/>
      <c r="T115" s="46"/>
      <c r="U115" s="46"/>
      <c r="V115" s="46"/>
      <c r="Y115" s="2"/>
      <c r="AA115" s="138">
        <v>30855</v>
      </c>
      <c r="AC115" s="171">
        <f t="shared" si="17"/>
        <v>0</v>
      </c>
      <c r="AD115" s="171">
        <f t="shared" si="17"/>
        <v>0</v>
      </c>
    </row>
    <row r="116" spans="1:30">
      <c r="A116" s="118" t="s">
        <v>339</v>
      </c>
      <c r="B116" s="119" t="s">
        <v>340</v>
      </c>
      <c r="C116" s="119" t="s">
        <v>70</v>
      </c>
      <c r="D116" s="119" t="s">
        <v>81</v>
      </c>
      <c r="E116" s="119" t="s">
        <v>87</v>
      </c>
      <c r="F116" s="119"/>
      <c r="G116" s="120"/>
      <c r="H116" s="121"/>
      <c r="I116" s="122">
        <v>0</v>
      </c>
      <c r="J116" s="121">
        <f t="shared" si="19"/>
        <v>0</v>
      </c>
      <c r="K116" s="138">
        <f t="shared" si="20"/>
        <v>0</v>
      </c>
      <c r="N116" s="46"/>
      <c r="O116" s="46"/>
      <c r="P116" s="46"/>
      <c r="Q116" s="46"/>
      <c r="R116" s="46"/>
      <c r="S116" s="46"/>
      <c r="T116" s="46"/>
      <c r="U116" s="46"/>
      <c r="V116" s="46"/>
      <c r="Y116" s="2"/>
      <c r="AA116" s="138">
        <v>0</v>
      </c>
      <c r="AC116" s="171">
        <f t="shared" si="17"/>
        <v>0</v>
      </c>
      <c r="AD116" s="171">
        <f t="shared" si="17"/>
        <v>0</v>
      </c>
    </row>
    <row r="117" spans="1:30">
      <c r="A117" s="118" t="s">
        <v>341</v>
      </c>
      <c r="B117" s="119" t="s">
        <v>342</v>
      </c>
      <c r="C117" s="119" t="s">
        <v>70</v>
      </c>
      <c r="D117" s="119" t="s">
        <v>173</v>
      </c>
      <c r="E117" s="119" t="s">
        <v>1049</v>
      </c>
      <c r="F117" s="119" t="s">
        <v>83</v>
      </c>
      <c r="G117" s="238">
        <f>'[59]Scenario 2 - Phase 1'!G117+'[59]Scenario 2 - Phase 2'!G117</f>
        <v>4</v>
      </c>
      <c r="H117" s="121">
        <v>17191</v>
      </c>
      <c r="I117" s="122">
        <v>0</v>
      </c>
      <c r="J117" s="121">
        <f t="shared" si="19"/>
        <v>17191</v>
      </c>
      <c r="K117" s="138">
        <f t="shared" si="20"/>
        <v>68764</v>
      </c>
      <c r="N117" s="46"/>
      <c r="O117" s="46"/>
      <c r="P117" s="46"/>
      <c r="Q117" s="46"/>
      <c r="R117" s="46"/>
      <c r="S117" s="46"/>
      <c r="T117" s="46"/>
      <c r="U117" s="46"/>
      <c r="V117" s="46"/>
      <c r="Y117" s="2"/>
      <c r="AA117" s="138">
        <v>68764</v>
      </c>
      <c r="AC117" s="171">
        <f t="shared" si="17"/>
        <v>0</v>
      </c>
      <c r="AD117" s="171">
        <f t="shared" si="17"/>
        <v>0</v>
      </c>
    </row>
    <row r="118" spans="1:30">
      <c r="A118" s="118" t="s">
        <v>346</v>
      </c>
      <c r="B118" s="119" t="s">
        <v>347</v>
      </c>
      <c r="C118" s="119" t="s">
        <v>70</v>
      </c>
      <c r="D118" s="119" t="s">
        <v>81</v>
      </c>
      <c r="E118" s="119" t="s">
        <v>87</v>
      </c>
      <c r="F118" s="119"/>
      <c r="G118" s="120"/>
      <c r="H118" s="121"/>
      <c r="I118" s="122">
        <v>0</v>
      </c>
      <c r="J118" s="121">
        <f t="shared" si="19"/>
        <v>0</v>
      </c>
      <c r="K118" s="138">
        <f t="shared" si="20"/>
        <v>0</v>
      </c>
      <c r="N118" s="46"/>
      <c r="O118" s="46"/>
      <c r="P118" s="46"/>
      <c r="Q118" s="46"/>
      <c r="R118" s="46"/>
      <c r="S118" s="46"/>
      <c r="T118" s="46"/>
      <c r="U118" s="46"/>
      <c r="V118" s="46"/>
      <c r="Y118" s="2"/>
      <c r="AA118" s="138">
        <v>0</v>
      </c>
      <c r="AC118" s="171">
        <f t="shared" si="17"/>
        <v>0</v>
      </c>
      <c r="AD118" s="171">
        <f t="shared" si="17"/>
        <v>0</v>
      </c>
    </row>
    <row r="119" spans="1:30">
      <c r="A119" s="118" t="s">
        <v>348</v>
      </c>
      <c r="B119" s="119" t="s">
        <v>349</v>
      </c>
      <c r="C119" s="119" t="s">
        <v>70</v>
      </c>
      <c r="D119" s="119" t="s">
        <v>103</v>
      </c>
      <c r="E119" s="119" t="s">
        <v>87</v>
      </c>
      <c r="F119" s="119"/>
      <c r="G119" s="120"/>
      <c r="H119" s="121"/>
      <c r="I119" s="122">
        <v>0</v>
      </c>
      <c r="J119" s="121">
        <f t="shared" si="19"/>
        <v>0</v>
      </c>
      <c r="K119" s="138">
        <f t="shared" si="20"/>
        <v>0</v>
      </c>
      <c r="N119" s="46"/>
      <c r="O119" s="46"/>
      <c r="P119" s="46"/>
      <c r="Q119" s="46"/>
      <c r="R119" s="46"/>
      <c r="S119" s="46"/>
      <c r="T119" s="46"/>
      <c r="U119" s="46"/>
      <c r="V119" s="46"/>
      <c r="Y119" s="2"/>
      <c r="AA119" s="138">
        <v>0</v>
      </c>
      <c r="AC119" s="171">
        <f t="shared" si="17"/>
        <v>0</v>
      </c>
      <c r="AD119" s="171">
        <f t="shared" si="17"/>
        <v>0</v>
      </c>
    </row>
    <row r="120" spans="1:30">
      <c r="A120" s="118" t="s">
        <v>202</v>
      </c>
      <c r="B120" s="119" t="s">
        <v>350</v>
      </c>
      <c r="C120" s="119" t="s">
        <v>70</v>
      </c>
      <c r="D120" s="119" t="s">
        <v>81</v>
      </c>
      <c r="E120" s="119" t="s">
        <v>418</v>
      </c>
      <c r="F120" s="119" t="s">
        <v>185</v>
      </c>
      <c r="G120" s="120">
        <f>O11</f>
        <v>282874</v>
      </c>
      <c r="H120" s="121">
        <v>1.83</v>
      </c>
      <c r="I120" s="122">
        <v>0</v>
      </c>
      <c r="J120" s="121">
        <f t="shared" si="19"/>
        <v>1.83</v>
      </c>
      <c r="K120" s="138">
        <f t="shared" si="20"/>
        <v>517659.42000000004</v>
      </c>
      <c r="N120" s="46"/>
      <c r="O120" s="46"/>
      <c r="P120" s="46"/>
      <c r="Q120" s="46"/>
      <c r="R120" s="46"/>
      <c r="S120" s="46"/>
      <c r="T120" s="46"/>
      <c r="U120" s="46"/>
      <c r="V120" s="46"/>
      <c r="Y120" s="2"/>
      <c r="AA120" s="138">
        <v>517659.42000000004</v>
      </c>
      <c r="AC120" s="171">
        <f t="shared" si="17"/>
        <v>0</v>
      </c>
      <c r="AD120" s="171">
        <f t="shared" si="17"/>
        <v>0</v>
      </c>
    </row>
    <row r="121" spans="1:30">
      <c r="A121" s="118" t="s">
        <v>353</v>
      </c>
      <c r="B121" s="119" t="s">
        <v>354</v>
      </c>
      <c r="C121" s="119" t="s">
        <v>70</v>
      </c>
      <c r="D121" s="119" t="s">
        <v>173</v>
      </c>
      <c r="E121" s="119" t="s">
        <v>1160</v>
      </c>
      <c r="F121" s="119" t="s">
        <v>83</v>
      </c>
      <c r="G121" s="238">
        <f>'[59]Scenario 2 - Phase 1'!G121+'[59]Scenario 2 - Phase 2'!G121</f>
        <v>3</v>
      </c>
      <c r="H121" s="121">
        <v>30184</v>
      </c>
      <c r="I121" s="122">
        <v>0</v>
      </c>
      <c r="J121" s="121">
        <f t="shared" si="19"/>
        <v>30184</v>
      </c>
      <c r="K121" s="138">
        <f t="shared" si="20"/>
        <v>90552</v>
      </c>
      <c r="N121" s="46"/>
      <c r="O121" s="46"/>
      <c r="P121" s="46"/>
      <c r="Q121" s="46"/>
      <c r="R121" s="46"/>
      <c r="S121" s="46"/>
      <c r="T121" s="46"/>
      <c r="U121" s="46"/>
      <c r="V121" s="46"/>
      <c r="Y121" s="2"/>
      <c r="AA121" s="138">
        <v>90552</v>
      </c>
      <c r="AC121" s="171">
        <f t="shared" si="17"/>
        <v>0</v>
      </c>
      <c r="AD121" s="171">
        <f t="shared" si="17"/>
        <v>0</v>
      </c>
    </row>
    <row r="122" spans="1:30">
      <c r="A122" s="118" t="s">
        <v>355</v>
      </c>
      <c r="B122" s="119" t="s">
        <v>356</v>
      </c>
      <c r="C122" s="119" t="s">
        <v>70</v>
      </c>
      <c r="D122" s="119" t="s">
        <v>173</v>
      </c>
      <c r="E122" s="119" t="s">
        <v>1160</v>
      </c>
      <c r="F122" s="119" t="s">
        <v>83</v>
      </c>
      <c r="G122" s="238">
        <f>'[59]Scenario 2 - Phase 1'!G122+'[59]Scenario 2 - Phase 2'!G122</f>
        <v>3</v>
      </c>
      <c r="H122" s="121">
        <v>1994</v>
      </c>
      <c r="I122" s="122">
        <v>0</v>
      </c>
      <c r="J122" s="121">
        <f t="shared" si="19"/>
        <v>1994</v>
      </c>
      <c r="K122" s="138">
        <f t="shared" si="20"/>
        <v>5982</v>
      </c>
      <c r="N122" s="46"/>
      <c r="O122" s="46"/>
      <c r="P122" s="46"/>
      <c r="Q122" s="46"/>
      <c r="R122" s="46"/>
      <c r="S122" s="46"/>
      <c r="T122" s="46"/>
      <c r="U122" s="46"/>
      <c r="V122" s="46"/>
      <c r="Y122" s="2"/>
      <c r="AA122" s="138">
        <v>5982</v>
      </c>
      <c r="AC122" s="171">
        <f t="shared" si="17"/>
        <v>0</v>
      </c>
      <c r="AD122" s="171">
        <f t="shared" si="17"/>
        <v>0</v>
      </c>
    </row>
    <row r="123" spans="1:30">
      <c r="A123" s="118" t="s">
        <v>357</v>
      </c>
      <c r="B123" s="119" t="s">
        <v>358</v>
      </c>
      <c r="C123" s="119" t="s">
        <v>70</v>
      </c>
      <c r="D123" s="119" t="s">
        <v>173</v>
      </c>
      <c r="E123" s="119" t="s">
        <v>1160</v>
      </c>
      <c r="F123" s="119" t="s">
        <v>185</v>
      </c>
      <c r="G123" s="120">
        <f t="shared" si="18"/>
        <v>329194</v>
      </c>
      <c r="H123" s="121">
        <v>0.5</v>
      </c>
      <c r="I123" s="122">
        <v>0</v>
      </c>
      <c r="J123" s="121">
        <f t="shared" si="19"/>
        <v>0.5</v>
      </c>
      <c r="K123" s="138">
        <f t="shared" si="20"/>
        <v>164597</v>
      </c>
      <c r="N123" s="46"/>
      <c r="O123" s="46"/>
      <c r="P123" s="46"/>
      <c r="Q123" s="46"/>
      <c r="R123" s="46"/>
      <c r="S123" s="46"/>
      <c r="T123" s="46"/>
      <c r="U123" s="46"/>
      <c r="V123" s="46"/>
      <c r="Y123" s="2"/>
      <c r="AA123" s="138">
        <v>164597</v>
      </c>
      <c r="AC123" s="171">
        <f t="shared" si="17"/>
        <v>0</v>
      </c>
      <c r="AD123" s="171">
        <f t="shared" si="17"/>
        <v>0</v>
      </c>
    </row>
    <row r="124" spans="1:30">
      <c r="A124" s="118" t="s">
        <v>360</v>
      </c>
      <c r="B124" s="119" t="s">
        <v>361</v>
      </c>
      <c r="C124" s="119" t="s">
        <v>144</v>
      </c>
      <c r="D124" s="119" t="s">
        <v>173</v>
      </c>
      <c r="E124" s="119" t="s">
        <v>76</v>
      </c>
      <c r="F124" s="119" t="s">
        <v>132</v>
      </c>
      <c r="G124" s="120">
        <f>O3</f>
        <v>6</v>
      </c>
      <c r="H124" s="121">
        <v>1500</v>
      </c>
      <c r="I124" s="122">
        <v>0</v>
      </c>
      <c r="J124" s="121">
        <f t="shared" si="19"/>
        <v>1500</v>
      </c>
      <c r="K124" s="138">
        <f t="shared" si="20"/>
        <v>9000</v>
      </c>
      <c r="N124" s="46"/>
      <c r="O124" s="46"/>
      <c r="P124" s="46"/>
      <c r="Q124" s="46"/>
      <c r="R124" s="46"/>
      <c r="S124" s="46"/>
      <c r="T124" s="46"/>
      <c r="U124" s="46"/>
      <c r="V124" s="46"/>
      <c r="Y124" s="2"/>
      <c r="AA124" s="138">
        <v>9000</v>
      </c>
      <c r="AC124" s="171">
        <f t="shared" si="17"/>
        <v>0</v>
      </c>
      <c r="AD124" s="171">
        <f t="shared" si="17"/>
        <v>0</v>
      </c>
    </row>
    <row r="125" spans="1:30">
      <c r="A125" s="118" t="s">
        <v>362</v>
      </c>
      <c r="B125" s="119" t="s">
        <v>363</v>
      </c>
      <c r="C125" s="119" t="s">
        <v>70</v>
      </c>
      <c r="D125" s="119" t="s">
        <v>173</v>
      </c>
      <c r="E125" s="119" t="s">
        <v>1160</v>
      </c>
      <c r="F125" s="119" t="s">
        <v>185</v>
      </c>
      <c r="G125" s="120">
        <f t="shared" si="18"/>
        <v>329194</v>
      </c>
      <c r="H125" s="121">
        <v>9.0909000000000004E-2</v>
      </c>
      <c r="I125" s="122">
        <v>0</v>
      </c>
      <c r="J125" s="121">
        <f t="shared" si="19"/>
        <v>9.0909000000000004E-2</v>
      </c>
      <c r="K125" s="138">
        <f t="shared" si="20"/>
        <v>29926.697346000001</v>
      </c>
      <c r="N125" s="46"/>
      <c r="O125" s="46"/>
      <c r="P125" s="46"/>
      <c r="Q125" s="46"/>
      <c r="R125" s="46"/>
      <c r="S125" s="46"/>
      <c r="T125" s="46"/>
      <c r="U125" s="46"/>
      <c r="V125" s="46"/>
      <c r="Y125" s="2"/>
      <c r="AA125" s="138">
        <v>29926.697346000001</v>
      </c>
      <c r="AC125" s="171">
        <f t="shared" si="17"/>
        <v>0</v>
      </c>
      <c r="AD125" s="171">
        <f t="shared" si="17"/>
        <v>0</v>
      </c>
    </row>
    <row r="126" spans="1:30">
      <c r="A126" s="118" t="s">
        <v>364</v>
      </c>
      <c r="B126" s="119" t="s">
        <v>365</v>
      </c>
      <c r="C126" s="119" t="s">
        <v>70</v>
      </c>
      <c r="D126" s="119" t="s">
        <v>173</v>
      </c>
      <c r="E126" s="119" t="s">
        <v>1160</v>
      </c>
      <c r="F126" s="119" t="s">
        <v>185</v>
      </c>
      <c r="G126" s="120">
        <f t="shared" si="18"/>
        <v>329194</v>
      </c>
      <c r="H126" s="121">
        <v>0.182</v>
      </c>
      <c r="I126" s="122">
        <v>0</v>
      </c>
      <c r="J126" s="121">
        <f t="shared" si="19"/>
        <v>0.182</v>
      </c>
      <c r="K126" s="138">
        <f t="shared" si="20"/>
        <v>59913.307999999997</v>
      </c>
      <c r="N126" s="46"/>
      <c r="O126" s="46"/>
      <c r="P126" s="46"/>
      <c r="Q126" s="46"/>
      <c r="R126" s="46"/>
      <c r="S126" s="46"/>
      <c r="T126" s="46"/>
      <c r="U126" s="46"/>
      <c r="V126" s="46"/>
      <c r="Y126" s="2"/>
      <c r="AA126" s="138">
        <v>59913.308000000005</v>
      </c>
      <c r="AC126" s="171">
        <f t="shared" si="17"/>
        <v>0</v>
      </c>
      <c r="AD126" s="171">
        <f t="shared" si="17"/>
        <v>0</v>
      </c>
    </row>
    <row r="127" spans="1:30">
      <c r="A127" s="118" t="s">
        <v>366</v>
      </c>
      <c r="B127" s="119" t="s">
        <v>367</v>
      </c>
      <c r="C127" s="119" t="s">
        <v>70</v>
      </c>
      <c r="D127" s="119" t="s">
        <v>173</v>
      </c>
      <c r="E127" s="119" t="s">
        <v>1049</v>
      </c>
      <c r="F127" s="119" t="s">
        <v>185</v>
      </c>
      <c r="G127" s="120">
        <f>1300*O7</f>
        <v>2600</v>
      </c>
      <c r="H127" s="121">
        <v>15.91</v>
      </c>
      <c r="I127" s="122">
        <v>0</v>
      </c>
      <c r="J127" s="121">
        <f t="shared" si="19"/>
        <v>15.91</v>
      </c>
      <c r="K127" s="138">
        <f t="shared" si="20"/>
        <v>41366</v>
      </c>
      <c r="N127" s="46" t="s">
        <v>1165</v>
      </c>
      <c r="O127" s="46"/>
      <c r="P127" s="46"/>
      <c r="Q127" s="46"/>
      <c r="R127" s="46"/>
      <c r="S127" s="46"/>
      <c r="T127" s="46"/>
      <c r="U127" s="46"/>
      <c r="V127" s="46"/>
      <c r="Y127" s="2"/>
      <c r="AA127" s="138">
        <v>41366</v>
      </c>
      <c r="AC127" s="171">
        <f t="shared" si="17"/>
        <v>0</v>
      </c>
      <c r="AD127" s="171">
        <f t="shared" si="17"/>
        <v>0</v>
      </c>
    </row>
    <row r="128" spans="1:30">
      <c r="A128" s="118" t="s">
        <v>369</v>
      </c>
      <c r="B128" s="119" t="s">
        <v>370</v>
      </c>
      <c r="C128" s="119" t="s">
        <v>70</v>
      </c>
      <c r="D128" s="119" t="s">
        <v>173</v>
      </c>
      <c r="E128" s="119" t="s">
        <v>1160</v>
      </c>
      <c r="F128" s="119" t="s">
        <v>185</v>
      </c>
      <c r="G128" s="120">
        <f t="shared" si="18"/>
        <v>329194</v>
      </c>
      <c r="H128" s="121">
        <v>7.2700000000000001E-2</v>
      </c>
      <c r="I128" s="122">
        <v>0</v>
      </c>
      <c r="J128" s="121">
        <f t="shared" si="19"/>
        <v>7.2700000000000001E-2</v>
      </c>
      <c r="K128" s="138">
        <f t="shared" si="20"/>
        <v>23932.4038</v>
      </c>
      <c r="N128" s="46"/>
      <c r="O128" s="46"/>
      <c r="P128" s="46"/>
      <c r="Q128" s="46"/>
      <c r="R128" s="46"/>
      <c r="S128" s="46"/>
      <c r="T128" s="46"/>
      <c r="U128" s="46"/>
      <c r="V128" s="46"/>
      <c r="Y128" s="2"/>
      <c r="AA128" s="138">
        <v>23932.4038</v>
      </c>
      <c r="AC128" s="171">
        <f t="shared" si="17"/>
        <v>0</v>
      </c>
      <c r="AD128" s="171">
        <f t="shared" si="17"/>
        <v>0</v>
      </c>
    </row>
    <row r="129" spans="1:30">
      <c r="A129" s="118" t="s">
        <v>372</v>
      </c>
      <c r="B129" s="119" t="s">
        <v>373</v>
      </c>
      <c r="C129" s="119" t="s">
        <v>70</v>
      </c>
      <c r="D129" s="119" t="s">
        <v>173</v>
      </c>
      <c r="E129" s="119" t="s">
        <v>1049</v>
      </c>
      <c r="F129" s="119" t="s">
        <v>185</v>
      </c>
      <c r="G129" s="120">
        <f>SUM($S$14:$S$16)*0.25</f>
        <v>9033</v>
      </c>
      <c r="H129" s="121">
        <v>1.5</v>
      </c>
      <c r="I129" s="122">
        <v>0</v>
      </c>
      <c r="J129" s="121">
        <f t="shared" si="19"/>
        <v>1.5</v>
      </c>
      <c r="K129" s="138">
        <f t="shared" si="20"/>
        <v>13549.5</v>
      </c>
      <c r="N129" s="46" t="s">
        <v>1070</v>
      </c>
      <c r="O129" s="46"/>
      <c r="P129" s="46"/>
      <c r="Q129" s="46"/>
      <c r="R129" s="46"/>
      <c r="S129" s="46"/>
      <c r="T129" s="46"/>
      <c r="U129" s="46"/>
      <c r="V129" s="46"/>
      <c r="Y129" s="2"/>
      <c r="AA129" s="138">
        <v>13549.5</v>
      </c>
      <c r="AC129" s="171">
        <f t="shared" si="17"/>
        <v>0</v>
      </c>
      <c r="AD129" s="171">
        <f t="shared" si="17"/>
        <v>0</v>
      </c>
    </row>
    <row r="130" spans="1:30">
      <c r="A130" s="118" t="s">
        <v>375</v>
      </c>
      <c r="B130" s="119" t="s">
        <v>376</v>
      </c>
      <c r="C130" s="119" t="s">
        <v>70</v>
      </c>
      <c r="D130" s="119" t="s">
        <v>173</v>
      </c>
      <c r="E130" s="119" t="s">
        <v>1049</v>
      </c>
      <c r="F130" s="119" t="s">
        <v>185</v>
      </c>
      <c r="G130" s="120">
        <f>SUM($S$14:$S$16)*0.25</f>
        <v>9033</v>
      </c>
      <c r="H130" s="121">
        <v>10</v>
      </c>
      <c r="I130" s="122">
        <v>0</v>
      </c>
      <c r="J130" s="121">
        <f t="shared" si="19"/>
        <v>10</v>
      </c>
      <c r="K130" s="138">
        <f t="shared" si="20"/>
        <v>90330</v>
      </c>
      <c r="N130" s="46" t="s">
        <v>1070</v>
      </c>
      <c r="O130" s="46"/>
      <c r="P130" s="46"/>
      <c r="Q130" s="46"/>
      <c r="R130" s="46"/>
      <c r="S130" s="46"/>
      <c r="T130" s="46"/>
      <c r="U130" s="46"/>
      <c r="V130" s="46"/>
      <c r="Y130" s="2"/>
      <c r="AA130" s="138">
        <v>90330</v>
      </c>
      <c r="AC130" s="171">
        <f t="shared" si="17"/>
        <v>0</v>
      </c>
      <c r="AD130" s="171">
        <f t="shared" si="17"/>
        <v>0</v>
      </c>
    </row>
    <row r="131" spans="1:30">
      <c r="A131" s="118" t="s">
        <v>378</v>
      </c>
      <c r="B131" s="119" t="s">
        <v>379</v>
      </c>
      <c r="C131" s="119" t="s">
        <v>90</v>
      </c>
      <c r="D131" s="119" t="s">
        <v>81</v>
      </c>
      <c r="E131" s="119" t="s">
        <v>76</v>
      </c>
      <c r="F131" s="119" t="s">
        <v>311</v>
      </c>
      <c r="G131" s="113">
        <f>$E$8</f>
        <v>363</v>
      </c>
      <c r="H131" s="121">
        <v>85</v>
      </c>
      <c r="I131" s="122">
        <v>0</v>
      </c>
      <c r="J131" s="121">
        <f t="shared" si="19"/>
        <v>85</v>
      </c>
      <c r="K131" s="138">
        <f t="shared" si="20"/>
        <v>30855</v>
      </c>
      <c r="N131" s="46"/>
      <c r="O131" s="46"/>
      <c r="P131" s="46"/>
      <c r="Q131" s="46"/>
      <c r="R131" s="46"/>
      <c r="S131" s="46"/>
      <c r="T131" s="46"/>
      <c r="U131" s="46"/>
      <c r="V131" s="46"/>
      <c r="Y131" s="2"/>
      <c r="AA131" s="138">
        <v>30855</v>
      </c>
      <c r="AC131" s="171">
        <f t="shared" si="17"/>
        <v>0</v>
      </c>
      <c r="AD131" s="171">
        <f t="shared" si="17"/>
        <v>0</v>
      </c>
    </row>
    <row r="132" spans="1:30">
      <c r="A132" s="118" t="s">
        <v>380</v>
      </c>
      <c r="B132" s="119" t="s">
        <v>381</v>
      </c>
      <c r="C132" s="119" t="s">
        <v>70</v>
      </c>
      <c r="D132" s="119" t="s">
        <v>81</v>
      </c>
      <c r="E132" s="119" t="s">
        <v>343</v>
      </c>
      <c r="F132" s="119" t="s">
        <v>185</v>
      </c>
      <c r="G132" s="120">
        <f t="shared" ref="G132" si="22">$B$8</f>
        <v>329194</v>
      </c>
      <c r="H132" s="121">
        <v>1.84</v>
      </c>
      <c r="I132" s="122">
        <v>0</v>
      </c>
      <c r="J132" s="121">
        <f t="shared" si="19"/>
        <v>1.84</v>
      </c>
      <c r="K132" s="138">
        <f t="shared" si="20"/>
        <v>605716.96000000008</v>
      </c>
      <c r="N132" s="46"/>
      <c r="O132" s="46"/>
      <c r="P132" s="46"/>
      <c r="Q132" s="46"/>
      <c r="R132" s="46"/>
      <c r="S132" s="46"/>
      <c r="T132" s="46"/>
      <c r="U132" s="46"/>
      <c r="V132" s="46"/>
      <c r="Y132" s="2"/>
      <c r="AA132" s="138">
        <v>605716.96</v>
      </c>
      <c r="AC132" s="171">
        <f t="shared" si="17"/>
        <v>0</v>
      </c>
      <c r="AD132" s="171">
        <f t="shared" si="17"/>
        <v>0</v>
      </c>
    </row>
    <row r="133" spans="1:30">
      <c r="A133" s="118" t="s">
        <v>384</v>
      </c>
      <c r="B133" s="119" t="s">
        <v>385</v>
      </c>
      <c r="C133" s="119" t="s">
        <v>70</v>
      </c>
      <c r="D133" s="119" t="s">
        <v>81</v>
      </c>
      <c r="E133" s="119" t="s">
        <v>87</v>
      </c>
      <c r="F133" s="119"/>
      <c r="G133" s="120"/>
      <c r="H133" s="121"/>
      <c r="I133" s="122">
        <v>0</v>
      </c>
      <c r="J133" s="121">
        <f t="shared" si="19"/>
        <v>0</v>
      </c>
      <c r="K133" s="138">
        <f t="shared" si="20"/>
        <v>0</v>
      </c>
      <c r="N133" s="46"/>
      <c r="O133" s="46"/>
      <c r="P133" s="46"/>
      <c r="Q133" s="46"/>
      <c r="R133" s="46"/>
      <c r="S133" s="46"/>
      <c r="T133" s="46"/>
      <c r="U133" s="46"/>
      <c r="V133" s="46"/>
      <c r="Y133" s="2"/>
      <c r="AA133" s="138">
        <v>0</v>
      </c>
      <c r="AC133" s="171">
        <f t="shared" si="17"/>
        <v>0</v>
      </c>
      <c r="AD133" s="171">
        <f t="shared" si="17"/>
        <v>0</v>
      </c>
    </row>
    <row r="134" spans="1:30">
      <c r="A134" s="118" t="s">
        <v>386</v>
      </c>
      <c r="B134" s="119" t="s">
        <v>387</v>
      </c>
      <c r="C134" s="119" t="s">
        <v>70</v>
      </c>
      <c r="D134" s="119" t="s">
        <v>103</v>
      </c>
      <c r="E134" s="119" t="s">
        <v>87</v>
      </c>
      <c r="F134" s="119"/>
      <c r="G134" s="120"/>
      <c r="H134" s="121"/>
      <c r="I134" s="122">
        <v>0</v>
      </c>
      <c r="J134" s="121">
        <f t="shared" si="19"/>
        <v>0</v>
      </c>
      <c r="K134" s="138">
        <f t="shared" si="20"/>
        <v>0</v>
      </c>
      <c r="N134" s="46"/>
      <c r="O134" s="46"/>
      <c r="P134" s="46"/>
      <c r="Q134" s="46"/>
      <c r="R134" s="46"/>
      <c r="S134" s="46"/>
      <c r="T134" s="46"/>
      <c r="U134" s="46"/>
      <c r="V134" s="46"/>
      <c r="Y134" s="2"/>
      <c r="AA134" s="138">
        <v>0</v>
      </c>
      <c r="AC134" s="171">
        <f t="shared" si="17"/>
        <v>0</v>
      </c>
      <c r="AD134" s="171">
        <f t="shared" si="17"/>
        <v>0</v>
      </c>
    </row>
    <row r="135" spans="1:30">
      <c r="A135" s="118" t="s">
        <v>388</v>
      </c>
      <c r="B135" s="119"/>
      <c r="C135" s="119" t="s">
        <v>70</v>
      </c>
      <c r="D135" s="119" t="s">
        <v>173</v>
      </c>
      <c r="E135" s="119" t="s">
        <v>87</v>
      </c>
      <c r="F135" s="119"/>
      <c r="G135" s="120"/>
      <c r="H135" s="121"/>
      <c r="I135" s="122">
        <v>0</v>
      </c>
      <c r="J135" s="121">
        <f t="shared" si="19"/>
        <v>0</v>
      </c>
      <c r="K135" s="138">
        <f t="shared" si="20"/>
        <v>0</v>
      </c>
      <c r="N135" s="46"/>
      <c r="O135" s="46"/>
      <c r="P135" s="46"/>
      <c r="Q135" s="46"/>
      <c r="R135" s="46"/>
      <c r="S135" s="46"/>
      <c r="T135" s="46"/>
      <c r="U135" s="46"/>
      <c r="V135" s="46"/>
      <c r="Y135" s="2"/>
      <c r="AA135" s="138">
        <v>0</v>
      </c>
      <c r="AC135" s="171">
        <f t="shared" si="17"/>
        <v>0</v>
      </c>
      <c r="AD135" s="171">
        <f t="shared" si="17"/>
        <v>0</v>
      </c>
    </row>
    <row r="136" spans="1:30">
      <c r="A136" s="118" t="s">
        <v>389</v>
      </c>
      <c r="B136" s="119" t="s">
        <v>390</v>
      </c>
      <c r="C136" s="119" t="s">
        <v>70</v>
      </c>
      <c r="D136" s="119" t="s">
        <v>173</v>
      </c>
      <c r="E136" s="119" t="s">
        <v>87</v>
      </c>
      <c r="F136" s="119"/>
      <c r="G136" s="120"/>
      <c r="H136" s="121"/>
      <c r="I136" s="122">
        <v>0</v>
      </c>
      <c r="J136" s="121">
        <f t="shared" si="19"/>
        <v>0</v>
      </c>
      <c r="K136" s="138">
        <f t="shared" si="20"/>
        <v>0</v>
      </c>
      <c r="N136" s="46"/>
      <c r="O136" s="46"/>
      <c r="P136" s="46"/>
      <c r="Q136" s="46"/>
      <c r="R136" s="46"/>
      <c r="S136" s="46"/>
      <c r="T136" s="46"/>
      <c r="U136" s="46"/>
      <c r="V136" s="46"/>
      <c r="Y136" s="2"/>
      <c r="AA136" s="138">
        <v>0</v>
      </c>
      <c r="AC136" s="171">
        <f t="shared" si="17"/>
        <v>0</v>
      </c>
      <c r="AD136" s="171">
        <f t="shared" si="17"/>
        <v>0</v>
      </c>
    </row>
    <row r="137" spans="1:30">
      <c r="A137" s="96" t="s">
        <v>431</v>
      </c>
      <c r="B137" s="97" t="s">
        <v>432</v>
      </c>
      <c r="C137" s="97"/>
      <c r="D137" s="97"/>
      <c r="E137" s="97"/>
      <c r="F137" s="97"/>
      <c r="G137" s="98"/>
      <c r="H137" s="99"/>
      <c r="I137" s="100"/>
      <c r="J137" s="99"/>
      <c r="K137" s="131"/>
      <c r="L137" s="103">
        <f>SUM(K138:K153)</f>
        <v>373369</v>
      </c>
      <c r="N137" s="46"/>
      <c r="O137" s="46"/>
      <c r="P137" s="46"/>
      <c r="Q137" s="46"/>
      <c r="R137" s="46"/>
      <c r="S137" s="46"/>
      <c r="T137" s="46"/>
      <c r="U137" s="46"/>
      <c r="V137" s="46"/>
      <c r="Y137" s="2"/>
      <c r="AA137" s="131"/>
      <c r="AB137" s="103">
        <v>373369</v>
      </c>
      <c r="AC137" s="171">
        <f t="shared" si="17"/>
        <v>0</v>
      </c>
      <c r="AD137" s="171">
        <f t="shared" si="17"/>
        <v>0</v>
      </c>
    </row>
    <row r="138" spans="1:30">
      <c r="A138" s="111" t="s">
        <v>393</v>
      </c>
      <c r="B138" s="112" t="s">
        <v>394</v>
      </c>
      <c r="C138" s="112" t="s">
        <v>70</v>
      </c>
      <c r="D138" s="112" t="s">
        <v>75</v>
      </c>
      <c r="E138" s="112" t="s">
        <v>87</v>
      </c>
      <c r="F138" s="112"/>
      <c r="G138" s="113"/>
      <c r="H138" s="114"/>
      <c r="I138" s="115">
        <v>0</v>
      </c>
      <c r="J138" s="116">
        <f t="shared" ref="J138:J153" si="23">H138*(1+I138)</f>
        <v>0</v>
      </c>
      <c r="K138" s="117">
        <f t="shared" ref="K138:K153" si="24">J138*G138</f>
        <v>0</v>
      </c>
      <c r="N138" s="46"/>
      <c r="O138" s="46"/>
      <c r="P138" s="46"/>
      <c r="Q138" s="46"/>
      <c r="R138" s="46"/>
      <c r="S138" s="46"/>
      <c r="T138" s="46"/>
      <c r="U138" s="46"/>
      <c r="V138" s="46"/>
      <c r="Y138" s="2"/>
      <c r="AA138" s="117">
        <v>0</v>
      </c>
      <c r="AC138" s="171">
        <f t="shared" si="17"/>
        <v>0</v>
      </c>
      <c r="AD138" s="171">
        <f t="shared" si="17"/>
        <v>0</v>
      </c>
    </row>
    <row r="139" spans="1:30">
      <c r="A139" s="118" t="s">
        <v>395</v>
      </c>
      <c r="B139" s="119" t="s">
        <v>396</v>
      </c>
      <c r="C139" s="119" t="s">
        <v>70</v>
      </c>
      <c r="D139" s="119" t="s">
        <v>397</v>
      </c>
      <c r="E139" s="119" t="s">
        <v>1049</v>
      </c>
      <c r="F139" s="119" t="s">
        <v>344</v>
      </c>
      <c r="G139" s="113">
        <f>$E$8</f>
        <v>363</v>
      </c>
      <c r="H139" s="121">
        <v>155</v>
      </c>
      <c r="I139" s="122">
        <v>0</v>
      </c>
      <c r="J139" s="121">
        <f t="shared" si="23"/>
        <v>155</v>
      </c>
      <c r="K139" s="138">
        <f>J139*G139</f>
        <v>56265</v>
      </c>
      <c r="N139" s="46"/>
      <c r="O139" s="46"/>
      <c r="P139" s="46"/>
      <c r="Q139" s="46"/>
      <c r="R139" s="46"/>
      <c r="S139" s="46"/>
      <c r="T139" s="46"/>
      <c r="U139" s="46"/>
      <c r="V139" s="46"/>
      <c r="Y139" s="2"/>
      <c r="AA139" s="138">
        <v>56265</v>
      </c>
      <c r="AC139" s="171">
        <f t="shared" si="17"/>
        <v>0</v>
      </c>
      <c r="AD139" s="171">
        <f t="shared" si="17"/>
        <v>0</v>
      </c>
    </row>
    <row r="140" spans="1:30">
      <c r="A140" s="118" t="s">
        <v>399</v>
      </c>
      <c r="B140" s="119" t="s">
        <v>400</v>
      </c>
      <c r="C140" s="119" t="s">
        <v>70</v>
      </c>
      <c r="D140" s="119" t="s">
        <v>75</v>
      </c>
      <c r="E140" s="90" t="s">
        <v>1049</v>
      </c>
      <c r="F140" s="119" t="s">
        <v>83</v>
      </c>
      <c r="G140" s="120">
        <v>1</v>
      </c>
      <c r="H140" s="121">
        <v>5688</v>
      </c>
      <c r="I140" s="122">
        <v>0</v>
      </c>
      <c r="J140" s="121">
        <f t="shared" si="23"/>
        <v>5688</v>
      </c>
      <c r="K140" s="138">
        <f t="shared" si="24"/>
        <v>5688</v>
      </c>
      <c r="N140" s="46"/>
      <c r="O140" s="46"/>
      <c r="P140" s="46"/>
      <c r="Q140" s="46"/>
      <c r="R140" s="46"/>
      <c r="S140" s="46"/>
      <c r="T140" s="46"/>
      <c r="U140" s="46"/>
      <c r="V140" s="46"/>
      <c r="Y140" s="2"/>
      <c r="AA140" s="138">
        <v>5688</v>
      </c>
      <c r="AC140" s="171">
        <f t="shared" si="17"/>
        <v>0</v>
      </c>
      <c r="AD140" s="171">
        <f t="shared" si="17"/>
        <v>0</v>
      </c>
    </row>
    <row r="141" spans="1:30">
      <c r="A141" s="118" t="s">
        <v>401</v>
      </c>
      <c r="B141" s="119" t="s">
        <v>402</v>
      </c>
      <c r="C141" s="119" t="s">
        <v>70</v>
      </c>
      <c r="D141" s="119" t="s">
        <v>75</v>
      </c>
      <c r="E141" s="119" t="s">
        <v>1049</v>
      </c>
      <c r="F141" s="119" t="s">
        <v>83</v>
      </c>
      <c r="G141" s="120">
        <v>1</v>
      </c>
      <c r="H141" s="121">
        <v>4500</v>
      </c>
      <c r="I141" s="122">
        <v>0</v>
      </c>
      <c r="J141" s="121">
        <f t="shared" si="23"/>
        <v>4500</v>
      </c>
      <c r="K141" s="138">
        <f t="shared" si="24"/>
        <v>4500</v>
      </c>
      <c r="N141" s="46"/>
      <c r="O141" s="46"/>
      <c r="P141" s="46"/>
      <c r="Q141" s="46"/>
      <c r="R141" s="46"/>
      <c r="S141" s="46"/>
      <c r="T141" s="46"/>
      <c r="U141" s="46"/>
      <c r="V141" s="46"/>
      <c r="Y141" s="2"/>
      <c r="AA141" s="138">
        <v>4500</v>
      </c>
      <c r="AC141" s="171">
        <f t="shared" si="17"/>
        <v>0</v>
      </c>
      <c r="AD141" s="171">
        <f t="shared" si="17"/>
        <v>0</v>
      </c>
    </row>
    <row r="142" spans="1:30">
      <c r="A142" s="118" t="s">
        <v>403</v>
      </c>
      <c r="B142" s="119" t="s">
        <v>404</v>
      </c>
      <c r="C142" s="119" t="s">
        <v>70</v>
      </c>
      <c r="D142" s="119" t="s">
        <v>405</v>
      </c>
      <c r="E142" s="119" t="s">
        <v>76</v>
      </c>
      <c r="F142" s="119" t="s">
        <v>83</v>
      </c>
      <c r="G142" s="120">
        <v>1</v>
      </c>
      <c r="H142" s="121">
        <v>7000</v>
      </c>
      <c r="I142" s="122">
        <v>0</v>
      </c>
      <c r="J142" s="121">
        <f t="shared" si="23"/>
        <v>7000</v>
      </c>
      <c r="K142" s="138">
        <f t="shared" si="24"/>
        <v>7000</v>
      </c>
      <c r="N142" s="46"/>
      <c r="O142" s="46"/>
      <c r="P142" s="46"/>
      <c r="Q142" s="46"/>
      <c r="R142" s="46"/>
      <c r="S142" s="46"/>
      <c r="T142" s="46"/>
      <c r="U142" s="46"/>
      <c r="V142" s="46"/>
      <c r="Y142" s="2"/>
      <c r="AA142" s="138">
        <v>7000</v>
      </c>
      <c r="AC142" s="171">
        <f t="shared" si="17"/>
        <v>0</v>
      </c>
      <c r="AD142" s="171">
        <f t="shared" si="17"/>
        <v>0</v>
      </c>
    </row>
    <row r="143" spans="1:30">
      <c r="A143" s="118" t="s">
        <v>406</v>
      </c>
      <c r="B143" s="119" t="s">
        <v>407</v>
      </c>
      <c r="C143" s="119" t="s">
        <v>70</v>
      </c>
      <c r="D143" s="119" t="s">
        <v>81</v>
      </c>
      <c r="E143" s="119" t="s">
        <v>1049</v>
      </c>
      <c r="F143" s="119" t="s">
        <v>344</v>
      </c>
      <c r="G143" s="113">
        <f>$E$8</f>
        <v>363</v>
      </c>
      <c r="H143" s="121">
        <v>17</v>
      </c>
      <c r="I143" s="122">
        <v>0</v>
      </c>
      <c r="J143" s="121">
        <f t="shared" si="23"/>
        <v>17</v>
      </c>
      <c r="K143" s="138">
        <f t="shared" si="24"/>
        <v>6171</v>
      </c>
      <c r="N143" s="46"/>
      <c r="O143" s="46"/>
      <c r="P143" s="46"/>
      <c r="Q143" s="46"/>
      <c r="R143" s="46"/>
      <c r="S143" s="46"/>
      <c r="T143" s="46"/>
      <c r="U143" s="46"/>
      <c r="V143" s="46"/>
      <c r="Y143" s="2"/>
      <c r="AA143" s="138">
        <v>6171</v>
      </c>
      <c r="AC143" s="171">
        <f t="shared" si="17"/>
        <v>0</v>
      </c>
      <c r="AD143" s="171">
        <f t="shared" si="17"/>
        <v>0</v>
      </c>
    </row>
    <row r="144" spans="1:30">
      <c r="A144" s="118" t="s">
        <v>410</v>
      </c>
      <c r="B144" s="119" t="s">
        <v>411</v>
      </c>
      <c r="C144" s="119" t="s">
        <v>70</v>
      </c>
      <c r="D144" s="119" t="s">
        <v>81</v>
      </c>
      <c r="E144" s="119" t="s">
        <v>87</v>
      </c>
      <c r="F144" s="119"/>
      <c r="G144" s="120"/>
      <c r="H144" s="121"/>
      <c r="I144" s="122">
        <v>0</v>
      </c>
      <c r="J144" s="121">
        <f t="shared" si="23"/>
        <v>0</v>
      </c>
      <c r="K144" s="138">
        <f t="shared" si="24"/>
        <v>0</v>
      </c>
      <c r="N144" s="46"/>
      <c r="O144" s="46"/>
      <c r="P144" s="46"/>
      <c r="Q144" s="46"/>
      <c r="R144" s="46"/>
      <c r="S144" s="46"/>
      <c r="T144" s="46"/>
      <c r="U144" s="46"/>
      <c r="V144" s="46"/>
      <c r="Y144" s="2"/>
      <c r="AA144" s="138">
        <v>0</v>
      </c>
      <c r="AC144" s="171">
        <f t="shared" si="17"/>
        <v>0</v>
      </c>
      <c r="AD144" s="171">
        <f t="shared" si="17"/>
        <v>0</v>
      </c>
    </row>
    <row r="145" spans="1:30">
      <c r="A145" s="118" t="s">
        <v>412</v>
      </c>
      <c r="B145" s="119" t="s">
        <v>413</v>
      </c>
      <c r="C145" s="119" t="s">
        <v>70</v>
      </c>
      <c r="D145" s="119" t="s">
        <v>81</v>
      </c>
      <c r="E145" s="119" t="s">
        <v>87</v>
      </c>
      <c r="F145" s="119"/>
      <c r="G145" s="120"/>
      <c r="H145" s="121"/>
      <c r="I145" s="122">
        <v>0</v>
      </c>
      <c r="J145" s="121">
        <f t="shared" si="23"/>
        <v>0</v>
      </c>
      <c r="K145" s="138">
        <f t="shared" si="24"/>
        <v>0</v>
      </c>
      <c r="N145" s="46"/>
      <c r="O145" s="46"/>
      <c r="P145" s="46"/>
      <c r="Q145" s="46"/>
      <c r="R145" s="46"/>
      <c r="S145" s="46"/>
      <c r="T145" s="46"/>
      <c r="U145" s="46"/>
      <c r="V145" s="46"/>
      <c r="Y145" s="2"/>
      <c r="AA145" s="138">
        <v>0</v>
      </c>
      <c r="AC145" s="171">
        <f t="shared" si="17"/>
        <v>0</v>
      </c>
      <c r="AD145" s="171">
        <f t="shared" si="17"/>
        <v>0</v>
      </c>
    </row>
    <row r="146" spans="1:30">
      <c r="A146" s="118" t="s">
        <v>414</v>
      </c>
      <c r="B146" s="119" t="s">
        <v>415</v>
      </c>
      <c r="C146" s="119" t="s">
        <v>70</v>
      </c>
      <c r="D146" s="119" t="s">
        <v>103</v>
      </c>
      <c r="E146" s="119" t="s">
        <v>87</v>
      </c>
      <c r="F146" s="119"/>
      <c r="G146" s="120"/>
      <c r="H146" s="121"/>
      <c r="I146" s="122">
        <v>0</v>
      </c>
      <c r="J146" s="121">
        <f t="shared" si="23"/>
        <v>0</v>
      </c>
      <c r="K146" s="138">
        <f t="shared" si="24"/>
        <v>0</v>
      </c>
      <c r="N146" s="46"/>
      <c r="O146" s="46"/>
      <c r="P146" s="46"/>
      <c r="Q146" s="46"/>
      <c r="R146" s="46"/>
      <c r="S146" s="46"/>
      <c r="T146" s="46"/>
      <c r="U146" s="46"/>
      <c r="V146" s="46"/>
      <c r="Y146" s="2"/>
      <c r="AA146" s="138">
        <v>0</v>
      </c>
      <c r="AC146" s="171">
        <f t="shared" si="17"/>
        <v>0</v>
      </c>
      <c r="AD146" s="171">
        <f t="shared" si="17"/>
        <v>0</v>
      </c>
    </row>
    <row r="147" spans="1:30">
      <c r="A147" s="118" t="s">
        <v>416</v>
      </c>
      <c r="B147" s="119" t="s">
        <v>417</v>
      </c>
      <c r="C147" s="119" t="s">
        <v>70</v>
      </c>
      <c r="D147" s="119" t="s">
        <v>103</v>
      </c>
      <c r="E147" s="119" t="s">
        <v>418</v>
      </c>
      <c r="F147" s="119" t="s">
        <v>83</v>
      </c>
      <c r="G147" s="120">
        <f>G64</f>
        <v>4</v>
      </c>
      <c r="H147" s="121">
        <v>3360</v>
      </c>
      <c r="I147" s="122">
        <v>0</v>
      </c>
      <c r="J147" s="121">
        <f t="shared" si="23"/>
        <v>3360</v>
      </c>
      <c r="K147" s="138">
        <f t="shared" si="24"/>
        <v>13440</v>
      </c>
      <c r="N147" s="46"/>
      <c r="O147" s="46"/>
      <c r="P147" s="46"/>
      <c r="Q147" s="46"/>
      <c r="R147" s="46"/>
      <c r="S147" s="46"/>
      <c r="T147" s="46"/>
      <c r="U147" s="46"/>
      <c r="V147" s="46"/>
      <c r="Y147" s="2"/>
      <c r="AA147" s="138">
        <v>13440</v>
      </c>
      <c r="AC147" s="171">
        <f t="shared" si="17"/>
        <v>0</v>
      </c>
      <c r="AD147" s="171">
        <f t="shared" si="17"/>
        <v>0</v>
      </c>
    </row>
    <row r="148" spans="1:30">
      <c r="A148" s="118" t="s">
        <v>419</v>
      </c>
      <c r="B148" s="119" t="s">
        <v>420</v>
      </c>
      <c r="C148" s="119" t="s">
        <v>70</v>
      </c>
      <c r="D148" s="119" t="s">
        <v>75</v>
      </c>
      <c r="E148" s="119" t="s">
        <v>76</v>
      </c>
      <c r="F148" s="119" t="s">
        <v>132</v>
      </c>
      <c r="G148" s="238">
        <f>'[59]Scenario 2 - Phase 1'!G148+'[59]Scenario 2 - Phase 2'!G148</f>
        <v>8</v>
      </c>
      <c r="H148" s="121">
        <v>550</v>
      </c>
      <c r="I148" s="122">
        <v>0</v>
      </c>
      <c r="J148" s="121">
        <f t="shared" si="23"/>
        <v>550</v>
      </c>
      <c r="K148" s="138">
        <f t="shared" si="24"/>
        <v>4400</v>
      </c>
      <c r="N148" s="46"/>
      <c r="O148" s="46"/>
      <c r="P148" s="46"/>
      <c r="Q148" s="46"/>
      <c r="R148" s="46"/>
      <c r="S148" s="46"/>
      <c r="T148" s="46"/>
      <c r="U148" s="46"/>
      <c r="V148" s="46"/>
      <c r="Y148" s="2"/>
      <c r="AA148" s="138">
        <v>4400</v>
      </c>
      <c r="AC148" s="171">
        <f t="shared" si="17"/>
        <v>0</v>
      </c>
      <c r="AD148" s="171">
        <f t="shared" si="17"/>
        <v>0</v>
      </c>
    </row>
    <row r="149" spans="1:30">
      <c r="A149" s="118" t="s">
        <v>421</v>
      </c>
      <c r="B149" s="119" t="s">
        <v>422</v>
      </c>
      <c r="C149" s="119" t="s">
        <v>70</v>
      </c>
      <c r="D149" s="119" t="s">
        <v>81</v>
      </c>
      <c r="E149" s="119" t="s">
        <v>1049</v>
      </c>
      <c r="F149" s="119" t="s">
        <v>344</v>
      </c>
      <c r="G149" s="113">
        <f>$E$8</f>
        <v>363</v>
      </c>
      <c r="H149" s="121">
        <v>79</v>
      </c>
      <c r="I149" s="122">
        <v>0</v>
      </c>
      <c r="J149" s="121">
        <f t="shared" si="23"/>
        <v>79</v>
      </c>
      <c r="K149" s="138">
        <f>J149*G149</f>
        <v>28677</v>
      </c>
      <c r="N149" s="46"/>
      <c r="O149" s="46"/>
      <c r="P149" s="46"/>
      <c r="Q149" s="46"/>
      <c r="R149" s="46"/>
      <c r="S149" s="46"/>
      <c r="T149" s="46"/>
      <c r="U149" s="46"/>
      <c r="V149" s="46"/>
      <c r="Y149" s="2"/>
      <c r="AA149" s="138">
        <v>28677</v>
      </c>
      <c r="AC149" s="171">
        <f t="shared" ref="AC149:AD212" si="25">AA149-K149</f>
        <v>0</v>
      </c>
      <c r="AD149" s="171">
        <f t="shared" si="25"/>
        <v>0</v>
      </c>
    </row>
    <row r="150" spans="1:30">
      <c r="A150" s="118" t="s">
        <v>424</v>
      </c>
      <c r="B150" s="119" t="s">
        <v>425</v>
      </c>
      <c r="C150" s="119" t="s">
        <v>70</v>
      </c>
      <c r="D150" s="119" t="s">
        <v>81</v>
      </c>
      <c r="E150" s="119" t="s">
        <v>1072</v>
      </c>
      <c r="F150" s="119" t="s">
        <v>344</v>
      </c>
      <c r="G150" s="113">
        <f>$E$8</f>
        <v>363</v>
      </c>
      <c r="H150" s="121">
        <v>153</v>
      </c>
      <c r="I150" s="122">
        <v>0</v>
      </c>
      <c r="J150" s="121">
        <f t="shared" si="23"/>
        <v>153</v>
      </c>
      <c r="K150" s="138">
        <f t="shared" si="24"/>
        <v>55539</v>
      </c>
      <c r="N150" s="46"/>
      <c r="O150" s="46"/>
      <c r="P150" s="46"/>
      <c r="Q150" s="46"/>
      <c r="R150" s="46"/>
      <c r="S150" s="46"/>
      <c r="T150" s="46"/>
      <c r="U150" s="46"/>
      <c r="V150" s="46"/>
      <c r="Y150" s="2"/>
      <c r="AA150" s="138">
        <v>55539</v>
      </c>
      <c r="AC150" s="171">
        <f t="shared" si="25"/>
        <v>0</v>
      </c>
      <c r="AD150" s="171">
        <f t="shared" si="25"/>
        <v>0</v>
      </c>
    </row>
    <row r="151" spans="1:30">
      <c r="A151" s="118" t="s">
        <v>426</v>
      </c>
      <c r="B151" s="119" t="s">
        <v>427</v>
      </c>
      <c r="C151" s="119" t="s">
        <v>70</v>
      </c>
      <c r="D151" s="119" t="s">
        <v>81</v>
      </c>
      <c r="E151" s="119" t="s">
        <v>329</v>
      </c>
      <c r="F151" s="119" t="s">
        <v>344</v>
      </c>
      <c r="G151" s="113">
        <f>$E$8</f>
        <v>363</v>
      </c>
      <c r="H151" s="121">
        <v>203</v>
      </c>
      <c r="I151" s="122">
        <v>0</v>
      </c>
      <c r="J151" s="121">
        <f t="shared" si="23"/>
        <v>203</v>
      </c>
      <c r="K151" s="138">
        <f t="shared" si="24"/>
        <v>73689</v>
      </c>
      <c r="N151" s="46"/>
      <c r="O151" s="46"/>
      <c r="P151" s="46"/>
      <c r="Q151" s="46"/>
      <c r="R151" s="46"/>
      <c r="S151" s="46"/>
      <c r="T151" s="46"/>
      <c r="U151" s="46"/>
      <c r="V151" s="46"/>
      <c r="Y151" s="2"/>
      <c r="AA151" s="138">
        <v>73689</v>
      </c>
      <c r="AC151" s="171">
        <f t="shared" si="25"/>
        <v>0</v>
      </c>
      <c r="AD151" s="171">
        <f t="shared" si="25"/>
        <v>0</v>
      </c>
    </row>
    <row r="152" spans="1:30">
      <c r="A152" s="118" t="s">
        <v>428</v>
      </c>
      <c r="B152" s="119" t="s">
        <v>429</v>
      </c>
      <c r="C152" s="119" t="s">
        <v>70</v>
      </c>
      <c r="D152" s="119" t="s">
        <v>81</v>
      </c>
      <c r="E152" s="119" t="s">
        <v>1097</v>
      </c>
      <c r="F152" s="119" t="s">
        <v>132</v>
      </c>
      <c r="G152" s="238">
        <f>'[59]Scenario 2 - Phase 1'!G152+'[59]Scenario 2 - Phase 2'!G152</f>
        <v>20</v>
      </c>
      <c r="H152" s="121">
        <v>2500</v>
      </c>
      <c r="I152" s="122">
        <v>0</v>
      </c>
      <c r="J152" s="121">
        <f t="shared" si="23"/>
        <v>2500</v>
      </c>
      <c r="K152" s="138">
        <f t="shared" si="24"/>
        <v>50000</v>
      </c>
      <c r="N152" s="46" t="s">
        <v>1166</v>
      </c>
      <c r="O152" s="46"/>
      <c r="P152" s="46"/>
      <c r="Q152" s="46"/>
      <c r="R152" s="46"/>
      <c r="S152" s="46"/>
      <c r="T152" s="46"/>
      <c r="U152" s="46"/>
      <c r="V152" s="46"/>
      <c r="Y152" s="2"/>
      <c r="AA152" s="138">
        <v>50000</v>
      </c>
      <c r="AC152" s="171">
        <f t="shared" si="25"/>
        <v>0</v>
      </c>
      <c r="AD152" s="171">
        <f t="shared" si="25"/>
        <v>0</v>
      </c>
    </row>
    <row r="153" spans="1:30">
      <c r="A153" s="118" t="s">
        <v>430</v>
      </c>
      <c r="B153" s="119" t="s">
        <v>429</v>
      </c>
      <c r="C153" s="119" t="s">
        <v>70</v>
      </c>
      <c r="D153" s="119" t="s">
        <v>81</v>
      </c>
      <c r="E153" s="119" t="s">
        <v>1097</v>
      </c>
      <c r="F153" s="119" t="s">
        <v>132</v>
      </c>
      <c r="G153" s="238">
        <f>'[59]Scenario 2 - Phase 1'!G153+'[59]Scenario 2 - Phase 2'!G153</f>
        <v>8</v>
      </c>
      <c r="H153" s="121">
        <v>8500</v>
      </c>
      <c r="I153" s="122">
        <v>0</v>
      </c>
      <c r="J153" s="121">
        <f t="shared" si="23"/>
        <v>8500</v>
      </c>
      <c r="K153" s="138">
        <f t="shared" si="24"/>
        <v>68000</v>
      </c>
      <c r="N153" s="46" t="s">
        <v>1166</v>
      </c>
      <c r="O153" s="46"/>
      <c r="P153" s="46"/>
      <c r="Q153" s="46"/>
      <c r="R153" s="46"/>
      <c r="S153" s="46"/>
      <c r="T153" s="46"/>
      <c r="U153" s="46"/>
      <c r="V153" s="46"/>
      <c r="Y153" s="2"/>
      <c r="AA153" s="138">
        <v>68000</v>
      </c>
      <c r="AC153" s="171">
        <f t="shared" si="25"/>
        <v>0</v>
      </c>
      <c r="AD153" s="171">
        <f t="shared" si="25"/>
        <v>0</v>
      </c>
    </row>
    <row r="154" spans="1:30">
      <c r="A154" s="96" t="s">
        <v>440</v>
      </c>
      <c r="B154" s="97" t="s">
        <v>441</v>
      </c>
      <c r="C154" s="97"/>
      <c r="D154" s="97"/>
      <c r="E154" s="97"/>
      <c r="F154" s="97"/>
      <c r="G154" s="98"/>
      <c r="H154" s="99"/>
      <c r="I154" s="100"/>
      <c r="J154" s="99"/>
      <c r="K154" s="131"/>
      <c r="L154" s="103">
        <f>SUM(K155)</f>
        <v>1160874</v>
      </c>
      <c r="N154" s="46"/>
      <c r="O154" s="46"/>
      <c r="P154" s="46"/>
      <c r="Q154" s="46"/>
      <c r="R154" s="46"/>
      <c r="S154" s="46"/>
      <c r="T154" s="46"/>
      <c r="U154" s="46"/>
      <c r="V154" s="46"/>
      <c r="Y154" s="2"/>
      <c r="AA154" s="131"/>
      <c r="AB154" s="103">
        <v>1160874</v>
      </c>
      <c r="AC154" s="171">
        <f t="shared" si="25"/>
        <v>0</v>
      </c>
      <c r="AD154" s="171">
        <f t="shared" si="25"/>
        <v>0</v>
      </c>
    </row>
    <row r="155" spans="1:30">
      <c r="A155" s="104" t="s">
        <v>433</v>
      </c>
      <c r="B155" s="105" t="s">
        <v>434</v>
      </c>
      <c r="C155" s="105" t="s">
        <v>70</v>
      </c>
      <c r="D155" s="105" t="s">
        <v>81</v>
      </c>
      <c r="E155" s="105" t="s">
        <v>1049</v>
      </c>
      <c r="F155" s="105" t="s">
        <v>344</v>
      </c>
      <c r="G155" s="106">
        <f>$E$8</f>
        <v>363</v>
      </c>
      <c r="H155" s="107">
        <v>3198</v>
      </c>
      <c r="I155" s="108">
        <v>0</v>
      </c>
      <c r="J155" s="109">
        <f t="shared" ref="J155" si="26">H155*(1+I155)</f>
        <v>3198</v>
      </c>
      <c r="K155" s="110">
        <f t="shared" ref="K155" si="27">J155*G155</f>
        <v>1160874</v>
      </c>
      <c r="N155" s="46"/>
      <c r="O155" s="46"/>
      <c r="P155" s="46"/>
      <c r="Q155" s="46"/>
      <c r="R155" s="46"/>
      <c r="S155" s="46"/>
      <c r="T155" s="46"/>
      <c r="U155" s="46"/>
      <c r="V155" s="46"/>
      <c r="Y155" s="2"/>
      <c r="AA155" s="110">
        <v>1160874</v>
      </c>
      <c r="AC155" s="171">
        <f t="shared" si="25"/>
        <v>0</v>
      </c>
      <c r="AD155" s="171">
        <f t="shared" si="25"/>
        <v>0</v>
      </c>
    </row>
    <row r="156" spans="1:30">
      <c r="A156" s="96" t="s">
        <v>476</v>
      </c>
      <c r="B156" s="97" t="s">
        <v>477</v>
      </c>
      <c r="C156" s="97"/>
      <c r="D156" s="97"/>
      <c r="E156" s="97"/>
      <c r="F156" s="97"/>
      <c r="G156" s="98"/>
      <c r="H156" s="99"/>
      <c r="I156" s="100"/>
      <c r="J156" s="99"/>
      <c r="K156" s="131"/>
      <c r="L156" s="103">
        <f>SUM(K157:K164)</f>
        <v>2185435.16</v>
      </c>
      <c r="N156" s="46"/>
      <c r="O156" s="46"/>
      <c r="P156" s="46"/>
      <c r="Q156" s="46"/>
      <c r="R156" s="46"/>
      <c r="S156" s="46"/>
      <c r="T156" s="46"/>
      <c r="U156" s="46"/>
      <c r="V156" s="46"/>
      <c r="Y156" s="2"/>
      <c r="AA156" s="131"/>
      <c r="AB156" s="103">
        <v>2185435.16</v>
      </c>
      <c r="AC156" s="171">
        <f t="shared" si="25"/>
        <v>0</v>
      </c>
      <c r="AD156" s="171">
        <f t="shared" si="25"/>
        <v>0</v>
      </c>
    </row>
    <row r="157" spans="1:30">
      <c r="A157" s="111" t="s">
        <v>308</v>
      </c>
      <c r="B157" s="112" t="s">
        <v>442</v>
      </c>
      <c r="C157" s="112" t="s">
        <v>70</v>
      </c>
      <c r="D157" s="112" t="s">
        <v>310</v>
      </c>
      <c r="E157" s="112" t="s">
        <v>1163</v>
      </c>
      <c r="F157" s="112" t="s">
        <v>344</v>
      </c>
      <c r="G157" s="113">
        <f>$E$8</f>
        <v>363</v>
      </c>
      <c r="H157" s="114">
        <v>79</v>
      </c>
      <c r="I157" s="115">
        <v>0</v>
      </c>
      <c r="J157" s="116">
        <f t="shared" ref="J157:J164" si="28">H157*(1+I157)</f>
        <v>79</v>
      </c>
      <c r="K157" s="117">
        <f>J157*G157</f>
        <v>28677</v>
      </c>
      <c r="N157" s="46"/>
      <c r="O157" s="46"/>
      <c r="P157" s="46"/>
      <c r="Q157" s="46"/>
      <c r="R157" s="46"/>
      <c r="S157" s="46"/>
      <c r="T157" s="46"/>
      <c r="U157" s="46"/>
      <c r="V157" s="46"/>
      <c r="Y157" s="2"/>
      <c r="AA157" s="117">
        <v>28677</v>
      </c>
      <c r="AC157" s="171">
        <f t="shared" si="25"/>
        <v>0</v>
      </c>
      <c r="AD157" s="171">
        <f t="shared" si="25"/>
        <v>0</v>
      </c>
    </row>
    <row r="158" spans="1:30">
      <c r="A158" s="118" t="s">
        <v>213</v>
      </c>
      <c r="B158" s="119" t="s">
        <v>449</v>
      </c>
      <c r="C158" s="119" t="s">
        <v>70</v>
      </c>
      <c r="D158" s="119" t="s">
        <v>81</v>
      </c>
      <c r="E158" s="119" t="s">
        <v>1049</v>
      </c>
      <c r="F158" s="119" t="s">
        <v>279</v>
      </c>
      <c r="G158" s="120">
        <f>$E$8</f>
        <v>363</v>
      </c>
      <c r="H158" s="121">
        <v>252.82</v>
      </c>
      <c r="I158" s="122">
        <v>0</v>
      </c>
      <c r="J158" s="121">
        <f t="shared" si="28"/>
        <v>252.82</v>
      </c>
      <c r="K158" s="138">
        <f t="shared" ref="K158:K164" si="29">J158*G158</f>
        <v>91773.66</v>
      </c>
      <c r="N158" s="241"/>
      <c r="O158" s="46"/>
      <c r="P158" s="46"/>
      <c r="Q158" s="46"/>
      <c r="R158" s="46"/>
      <c r="S158" s="46"/>
      <c r="T158" s="46"/>
      <c r="U158" s="46"/>
      <c r="V158" s="46"/>
      <c r="Y158" s="2"/>
      <c r="AA158" s="138">
        <v>91773.66</v>
      </c>
      <c r="AC158" s="171">
        <f t="shared" si="25"/>
        <v>0</v>
      </c>
      <c r="AD158" s="171">
        <f t="shared" si="25"/>
        <v>0</v>
      </c>
    </row>
    <row r="159" spans="1:30">
      <c r="A159" s="118" t="s">
        <v>453</v>
      </c>
      <c r="B159" s="119" t="s">
        <v>454</v>
      </c>
      <c r="C159" s="119" t="s">
        <v>70</v>
      </c>
      <c r="D159" s="119" t="s">
        <v>81</v>
      </c>
      <c r="E159" s="119" t="s">
        <v>329</v>
      </c>
      <c r="F159" s="119" t="s">
        <v>344</v>
      </c>
      <c r="G159" s="113">
        <f>$E$8</f>
        <v>363</v>
      </c>
      <c r="H159" s="121">
        <v>3114</v>
      </c>
      <c r="I159" s="122">
        <v>0</v>
      </c>
      <c r="J159" s="121">
        <f t="shared" si="28"/>
        <v>3114</v>
      </c>
      <c r="K159" s="138">
        <f t="shared" si="29"/>
        <v>1130382</v>
      </c>
      <c r="N159" s="46"/>
      <c r="O159" s="46"/>
      <c r="P159" s="46"/>
      <c r="Q159" s="46"/>
      <c r="R159" s="46"/>
      <c r="S159" s="46"/>
      <c r="T159" s="46"/>
      <c r="U159" s="46"/>
      <c r="V159" s="46"/>
      <c r="Y159" s="2"/>
      <c r="AA159" s="138">
        <v>1130382</v>
      </c>
      <c r="AC159" s="171">
        <f t="shared" si="25"/>
        <v>0</v>
      </c>
      <c r="AD159" s="171">
        <f t="shared" si="25"/>
        <v>0</v>
      </c>
    </row>
    <row r="160" spans="1:30">
      <c r="A160" s="118" t="s">
        <v>460</v>
      </c>
      <c r="B160" s="119" t="s">
        <v>461</v>
      </c>
      <c r="C160" s="119" t="s">
        <v>70</v>
      </c>
      <c r="D160" s="119" t="s">
        <v>81</v>
      </c>
      <c r="E160" s="119" t="s">
        <v>329</v>
      </c>
      <c r="F160" s="119" t="s">
        <v>83</v>
      </c>
      <c r="G160" s="238">
        <f>'[59]Scenario 2 - Phase 1'!G160+'[59]Scenario 2 - Phase 2'!G160</f>
        <v>4</v>
      </c>
      <c r="H160" s="121">
        <v>15700</v>
      </c>
      <c r="I160" s="122">
        <v>0</v>
      </c>
      <c r="J160" s="121">
        <f t="shared" si="28"/>
        <v>15700</v>
      </c>
      <c r="K160" s="138">
        <f t="shared" si="29"/>
        <v>62800</v>
      </c>
      <c r="N160" s="215"/>
      <c r="O160" s="46"/>
      <c r="P160" s="46"/>
      <c r="Q160" s="46"/>
      <c r="R160" s="46"/>
      <c r="S160" s="46"/>
      <c r="T160" s="46"/>
      <c r="U160" s="46"/>
      <c r="V160" s="46"/>
      <c r="Y160" s="2"/>
      <c r="AA160" s="138">
        <v>62800</v>
      </c>
      <c r="AC160" s="171">
        <f t="shared" si="25"/>
        <v>0</v>
      </c>
      <c r="AD160" s="171">
        <f t="shared" si="25"/>
        <v>0</v>
      </c>
    </row>
    <row r="161" spans="1:30">
      <c r="A161" s="118" t="s">
        <v>464</v>
      </c>
      <c r="B161" s="119" t="s">
        <v>465</v>
      </c>
      <c r="C161" s="119" t="s">
        <v>70</v>
      </c>
      <c r="D161" s="119" t="s">
        <v>81</v>
      </c>
      <c r="E161" s="119" t="s">
        <v>418</v>
      </c>
      <c r="F161" s="119" t="s">
        <v>185</v>
      </c>
      <c r="G161" s="120">
        <f>SUM(S2:S3)</f>
        <v>25125</v>
      </c>
      <c r="H161" s="121">
        <v>29.62</v>
      </c>
      <c r="I161" s="122">
        <v>0</v>
      </c>
      <c r="J161" s="121">
        <f t="shared" si="28"/>
        <v>29.62</v>
      </c>
      <c r="K161" s="138">
        <f t="shared" si="29"/>
        <v>744202.5</v>
      </c>
      <c r="N161" s="46" t="s">
        <v>1167</v>
      </c>
      <c r="O161" s="46"/>
      <c r="P161" s="46"/>
      <c r="Q161" s="46"/>
      <c r="R161" s="46"/>
      <c r="S161" s="46"/>
      <c r="T161" s="46"/>
      <c r="U161" s="46"/>
      <c r="V161" s="46"/>
      <c r="Y161" s="2"/>
      <c r="AA161" s="138">
        <v>744202.5</v>
      </c>
      <c r="AC161" s="171">
        <f t="shared" si="25"/>
        <v>0</v>
      </c>
      <c r="AD161" s="171">
        <f t="shared" si="25"/>
        <v>0</v>
      </c>
    </row>
    <row r="162" spans="1:30">
      <c r="A162" s="118" t="s">
        <v>470</v>
      </c>
      <c r="B162" s="119" t="s">
        <v>471</v>
      </c>
      <c r="C162" s="119" t="s">
        <v>144</v>
      </c>
      <c r="D162" s="119" t="s">
        <v>81</v>
      </c>
      <c r="E162" s="119" t="s">
        <v>76</v>
      </c>
      <c r="F162" s="119" t="s">
        <v>83</v>
      </c>
      <c r="G162" s="238">
        <f>'[59]Scenario 2 - Phase 1'!G162+'[59]Scenario 2 - Phase 2'!G162</f>
        <v>3</v>
      </c>
      <c r="H162" s="237">
        <f t="shared" ref="H162" si="30">K162/G162</f>
        <v>28333.333333333332</v>
      </c>
      <c r="I162" s="122">
        <v>0</v>
      </c>
      <c r="J162" s="121"/>
      <c r="K162" s="239">
        <f>'[59]Scenario 2 - Phase 1'!K162+'[59]Scenario 2 - Phase 2'!K162</f>
        <v>85000</v>
      </c>
      <c r="N162" s="46" t="s">
        <v>1168</v>
      </c>
      <c r="O162" s="46"/>
      <c r="P162" s="46"/>
      <c r="Q162" s="46"/>
      <c r="R162" s="46"/>
      <c r="S162" s="46"/>
      <c r="T162" s="46"/>
      <c r="U162" s="46"/>
      <c r="V162" s="46"/>
      <c r="Y162" s="2"/>
      <c r="AA162" s="138">
        <v>85000</v>
      </c>
      <c r="AC162" s="171">
        <f t="shared" si="25"/>
        <v>0</v>
      </c>
      <c r="AD162" s="171">
        <f t="shared" si="25"/>
        <v>0</v>
      </c>
    </row>
    <row r="163" spans="1:30">
      <c r="A163" s="118" t="s">
        <v>472</v>
      </c>
      <c r="B163" s="119" t="s">
        <v>473</v>
      </c>
      <c r="C163" s="119" t="s">
        <v>70</v>
      </c>
      <c r="D163" s="119" t="s">
        <v>103</v>
      </c>
      <c r="E163" s="119" t="s">
        <v>87</v>
      </c>
      <c r="F163" s="119"/>
      <c r="G163" s="120"/>
      <c r="H163" s="121"/>
      <c r="I163" s="122">
        <v>0</v>
      </c>
      <c r="J163" s="121">
        <f t="shared" si="28"/>
        <v>0</v>
      </c>
      <c r="K163" s="138">
        <f t="shared" si="29"/>
        <v>0</v>
      </c>
      <c r="N163" s="46"/>
      <c r="O163" s="46"/>
      <c r="P163" s="46"/>
      <c r="Q163" s="46"/>
      <c r="R163" s="46"/>
      <c r="S163" s="46"/>
      <c r="T163" s="46"/>
      <c r="U163" s="46"/>
      <c r="V163" s="46"/>
      <c r="Y163" s="2"/>
      <c r="AA163" s="138">
        <v>0</v>
      </c>
      <c r="AC163" s="171">
        <f t="shared" si="25"/>
        <v>0</v>
      </c>
      <c r="AD163" s="171">
        <f t="shared" si="25"/>
        <v>0</v>
      </c>
    </row>
    <row r="164" spans="1:30">
      <c r="A164" s="118" t="s">
        <v>474</v>
      </c>
      <c r="B164" s="119" t="s">
        <v>475</v>
      </c>
      <c r="C164" s="119" t="s">
        <v>70</v>
      </c>
      <c r="D164" s="119" t="s">
        <v>103</v>
      </c>
      <c r="E164" s="119" t="s">
        <v>1049</v>
      </c>
      <c r="F164" s="119" t="s">
        <v>83</v>
      </c>
      <c r="G164" s="238">
        <f>'[59]Scenario 2 - Phase 1'!G164+'[59]Scenario 2 - Phase 2'!G164</f>
        <v>4</v>
      </c>
      <c r="H164" s="121">
        <v>10650</v>
      </c>
      <c r="I164" s="122">
        <v>0</v>
      </c>
      <c r="J164" s="121">
        <f t="shared" si="28"/>
        <v>10650</v>
      </c>
      <c r="K164" s="138">
        <f t="shared" si="29"/>
        <v>42600</v>
      </c>
      <c r="N164" s="46" t="s">
        <v>1169</v>
      </c>
      <c r="O164" s="46"/>
      <c r="P164" s="46"/>
      <c r="Q164" s="46"/>
      <c r="R164" s="46"/>
      <c r="S164" s="46"/>
      <c r="T164" s="46"/>
      <c r="U164" s="46"/>
      <c r="V164" s="46"/>
      <c r="Y164" s="2"/>
      <c r="AA164" s="138">
        <v>42600</v>
      </c>
      <c r="AC164" s="171">
        <f t="shared" si="25"/>
        <v>0</v>
      </c>
      <c r="AD164" s="171">
        <f t="shared" si="25"/>
        <v>0</v>
      </c>
    </row>
    <row r="165" spans="1:30">
      <c r="A165" s="96" t="s">
        <v>487</v>
      </c>
      <c r="B165" s="97" t="s">
        <v>488</v>
      </c>
      <c r="C165" s="97"/>
      <c r="D165" s="97"/>
      <c r="E165" s="97"/>
      <c r="F165" s="97"/>
      <c r="G165" s="98"/>
      <c r="H165" s="99"/>
      <c r="I165" s="100"/>
      <c r="J165" s="99"/>
      <c r="K165" s="131"/>
      <c r="L165" s="103">
        <f>SUM(K166:K168)</f>
        <v>1491093.76076</v>
      </c>
      <c r="N165" s="46"/>
      <c r="O165" s="46"/>
      <c r="P165" s="46"/>
      <c r="Q165" s="46"/>
      <c r="R165" s="46"/>
      <c r="S165" s="46"/>
      <c r="T165" s="46"/>
      <c r="U165" s="46"/>
      <c r="V165" s="46"/>
      <c r="Y165" s="2"/>
      <c r="AA165" s="131"/>
      <c r="AB165" s="103">
        <v>1491093.76076</v>
      </c>
      <c r="AC165" s="171">
        <f t="shared" si="25"/>
        <v>0</v>
      </c>
      <c r="AD165" s="171">
        <f t="shared" si="25"/>
        <v>0</v>
      </c>
    </row>
    <row r="166" spans="1:30">
      <c r="A166" s="111" t="s">
        <v>479</v>
      </c>
      <c r="B166" s="112" t="s">
        <v>480</v>
      </c>
      <c r="C166" s="112" t="s">
        <v>70</v>
      </c>
      <c r="D166" s="112" t="s">
        <v>103</v>
      </c>
      <c r="E166" s="112" t="s">
        <v>343</v>
      </c>
      <c r="F166" s="112" t="s">
        <v>83</v>
      </c>
      <c r="G166" s="113">
        <f>$O$6</f>
        <v>2</v>
      </c>
      <c r="H166" s="114">
        <v>245000</v>
      </c>
      <c r="I166" s="115">
        <v>0</v>
      </c>
      <c r="J166" s="116">
        <f t="shared" ref="J166:J168" si="31">H166*(1+I166)</f>
        <v>245000</v>
      </c>
      <c r="K166" s="117">
        <f t="shared" ref="K166:K168" si="32">J166*G166</f>
        <v>490000</v>
      </c>
      <c r="N166" s="46"/>
      <c r="O166" s="46"/>
      <c r="P166" s="46"/>
      <c r="Q166" s="46"/>
      <c r="R166" s="46"/>
      <c r="S166" s="46"/>
      <c r="T166" s="46"/>
      <c r="U166" s="46"/>
      <c r="V166" s="46"/>
      <c r="Y166" s="2"/>
      <c r="AA166" s="117">
        <v>490000</v>
      </c>
      <c r="AC166" s="171">
        <f t="shared" si="25"/>
        <v>0</v>
      </c>
      <c r="AD166" s="171">
        <f t="shared" si="25"/>
        <v>0</v>
      </c>
    </row>
    <row r="167" spans="1:30">
      <c r="A167" s="118" t="s">
        <v>482</v>
      </c>
      <c r="B167" s="119" t="s">
        <v>483</v>
      </c>
      <c r="C167" s="119" t="s">
        <v>70</v>
      </c>
      <c r="D167" s="119" t="s">
        <v>397</v>
      </c>
      <c r="E167" s="119" t="s">
        <v>1049</v>
      </c>
      <c r="F167" s="119" t="s">
        <v>132</v>
      </c>
      <c r="G167" s="120">
        <f>O12</f>
        <v>423.59999999999997</v>
      </c>
      <c r="H167" s="121">
        <v>2330.3440999999998</v>
      </c>
      <c r="I167" s="122">
        <v>0</v>
      </c>
      <c r="J167" s="121">
        <f t="shared" si="31"/>
        <v>2330.3440999999998</v>
      </c>
      <c r="K167" s="138">
        <f t="shared" si="32"/>
        <v>987133.76075999986</v>
      </c>
      <c r="N167" s="46" t="s">
        <v>1170</v>
      </c>
      <c r="O167" s="46"/>
      <c r="P167" s="46"/>
      <c r="Q167" s="46"/>
      <c r="R167" s="46"/>
      <c r="S167" s="46"/>
      <c r="T167" s="46"/>
      <c r="U167" s="46"/>
      <c r="V167" s="46"/>
      <c r="Y167" s="2"/>
      <c r="AA167" s="138">
        <v>987133.76075999986</v>
      </c>
      <c r="AC167" s="171">
        <f t="shared" si="25"/>
        <v>0</v>
      </c>
      <c r="AD167" s="171">
        <f t="shared" si="25"/>
        <v>0</v>
      </c>
    </row>
    <row r="168" spans="1:30">
      <c r="A168" s="118" t="s">
        <v>484</v>
      </c>
      <c r="B168" s="119" t="s">
        <v>485</v>
      </c>
      <c r="C168" s="119" t="s">
        <v>70</v>
      </c>
      <c r="D168" s="119" t="s">
        <v>110</v>
      </c>
      <c r="E168" s="119" t="s">
        <v>1049</v>
      </c>
      <c r="F168" s="119" t="s">
        <v>132</v>
      </c>
      <c r="G168" s="120">
        <f>$O$6</f>
        <v>2</v>
      </c>
      <c r="H168" s="121">
        <v>6980</v>
      </c>
      <c r="I168" s="122">
        <v>0</v>
      </c>
      <c r="J168" s="121">
        <f t="shared" si="31"/>
        <v>6980</v>
      </c>
      <c r="K168" s="138">
        <f t="shared" si="32"/>
        <v>13960</v>
      </c>
      <c r="N168" s="46"/>
      <c r="O168" s="46"/>
      <c r="P168" s="46"/>
      <c r="Q168" s="46"/>
      <c r="R168" s="46"/>
      <c r="S168" s="46"/>
      <c r="T168" s="46"/>
      <c r="U168" s="46"/>
      <c r="V168" s="46"/>
      <c r="Y168" s="2"/>
      <c r="AA168" s="138">
        <v>13960</v>
      </c>
      <c r="AC168" s="171">
        <f t="shared" si="25"/>
        <v>0</v>
      </c>
      <c r="AD168" s="171">
        <f t="shared" si="25"/>
        <v>0</v>
      </c>
    </row>
    <row r="169" spans="1:30">
      <c r="A169" s="96" t="s">
        <v>489</v>
      </c>
      <c r="B169" s="97" t="s">
        <v>490</v>
      </c>
      <c r="C169" s="97"/>
      <c r="D169" s="97"/>
      <c r="E169" s="97"/>
      <c r="F169" s="97"/>
      <c r="G169" s="98"/>
      <c r="H169" s="99"/>
      <c r="I169" s="100"/>
      <c r="J169" s="99"/>
      <c r="K169" s="131"/>
      <c r="L169" s="103">
        <f>SUM(K170)</f>
        <v>0</v>
      </c>
      <c r="N169" s="46"/>
      <c r="O169" s="46"/>
      <c r="P169" s="46"/>
      <c r="Q169" s="46"/>
      <c r="R169" s="46"/>
      <c r="S169" s="46"/>
      <c r="T169" s="46"/>
      <c r="U169" s="46"/>
      <c r="V169" s="46"/>
      <c r="Y169" s="2"/>
      <c r="AA169" s="131"/>
      <c r="AB169" s="103">
        <v>0</v>
      </c>
      <c r="AC169" s="171">
        <f t="shared" si="25"/>
        <v>0</v>
      </c>
      <c r="AD169" s="171">
        <f t="shared" si="25"/>
        <v>0</v>
      </c>
    </row>
    <row r="170" spans="1:30">
      <c r="A170" s="104" t="s">
        <v>489</v>
      </c>
      <c r="B170" s="105" t="s">
        <v>490</v>
      </c>
      <c r="C170" s="105" t="s">
        <v>70</v>
      </c>
      <c r="D170" s="105" t="s">
        <v>81</v>
      </c>
      <c r="E170" s="105" t="s">
        <v>87</v>
      </c>
      <c r="F170" s="105"/>
      <c r="G170" s="106"/>
      <c r="H170" s="107"/>
      <c r="I170" s="108">
        <v>0</v>
      </c>
      <c r="J170" s="109">
        <f t="shared" ref="J170" si="33">H170*(1+I170)</f>
        <v>0</v>
      </c>
      <c r="K170" s="110">
        <f t="shared" ref="K170" si="34">J170*G170</f>
        <v>0</v>
      </c>
      <c r="N170" s="46"/>
      <c r="O170" s="46"/>
      <c r="P170" s="46"/>
      <c r="Q170" s="46"/>
      <c r="R170" s="46"/>
      <c r="S170" s="46"/>
      <c r="T170" s="46"/>
      <c r="U170" s="46"/>
      <c r="V170" s="46"/>
      <c r="Y170" s="2"/>
      <c r="AA170" s="110">
        <v>0</v>
      </c>
      <c r="AC170" s="171">
        <f t="shared" si="25"/>
        <v>0</v>
      </c>
      <c r="AD170" s="171">
        <f t="shared" si="25"/>
        <v>0</v>
      </c>
    </row>
    <row r="171" spans="1:30">
      <c r="A171" s="96" t="s">
        <v>496</v>
      </c>
      <c r="B171" s="97" t="s">
        <v>497</v>
      </c>
      <c r="C171" s="97"/>
      <c r="D171" s="97"/>
      <c r="E171" s="97"/>
      <c r="F171" s="97"/>
      <c r="G171" s="98"/>
      <c r="H171" s="99"/>
      <c r="I171" s="100"/>
      <c r="J171" s="99"/>
      <c r="K171" s="131"/>
      <c r="L171" s="103">
        <f>SUM(K172:K173)</f>
        <v>670462</v>
      </c>
      <c r="N171" s="46"/>
      <c r="O171" s="46"/>
      <c r="P171" s="46"/>
      <c r="Q171" s="46"/>
      <c r="R171" s="46"/>
      <c r="S171" s="46"/>
      <c r="T171" s="46"/>
      <c r="U171" s="46"/>
      <c r="V171" s="46"/>
      <c r="Y171" s="2"/>
      <c r="AA171" s="131"/>
      <c r="AB171" s="103">
        <v>670462</v>
      </c>
      <c r="AC171" s="171">
        <f t="shared" si="25"/>
        <v>0</v>
      </c>
      <c r="AD171" s="171">
        <f t="shared" si="25"/>
        <v>0</v>
      </c>
    </row>
    <row r="172" spans="1:30">
      <c r="A172" s="111" t="s">
        <v>491</v>
      </c>
      <c r="B172" s="112" t="s">
        <v>492</v>
      </c>
      <c r="C172" s="112" t="s">
        <v>70</v>
      </c>
      <c r="D172" s="112" t="s">
        <v>81</v>
      </c>
      <c r="E172" s="112" t="s">
        <v>486</v>
      </c>
      <c r="F172" s="112" t="s">
        <v>126</v>
      </c>
      <c r="G172" s="242">
        <f>'[59]Scenario 2 - Phase 1'!G172+'[59]Scenario 2 - Phase 2'!G172</f>
        <v>14</v>
      </c>
      <c r="H172" s="114">
        <v>46033</v>
      </c>
      <c r="I172" s="115">
        <v>0</v>
      </c>
      <c r="J172" s="116">
        <f t="shared" ref="J172:J173" si="35">H172*(1+I172)</f>
        <v>46033</v>
      </c>
      <c r="K172" s="117">
        <f t="shared" ref="K172:K173" si="36">J172*G172</f>
        <v>644462</v>
      </c>
      <c r="N172" s="46"/>
      <c r="O172" s="46"/>
      <c r="P172" s="46"/>
      <c r="Q172" s="46"/>
      <c r="R172" s="46"/>
      <c r="S172" s="46"/>
      <c r="T172" s="46"/>
      <c r="U172" s="46"/>
      <c r="V172" s="46"/>
      <c r="Y172" s="2"/>
      <c r="AA172" s="117">
        <v>644462</v>
      </c>
      <c r="AC172" s="171">
        <f t="shared" si="25"/>
        <v>0</v>
      </c>
      <c r="AD172" s="171">
        <f t="shared" si="25"/>
        <v>0</v>
      </c>
    </row>
    <row r="173" spans="1:30">
      <c r="A173" s="118" t="s">
        <v>494</v>
      </c>
      <c r="B173" s="119" t="s">
        <v>495</v>
      </c>
      <c r="C173" s="119" t="s">
        <v>70</v>
      </c>
      <c r="D173" s="119" t="s">
        <v>103</v>
      </c>
      <c r="E173" s="119" t="s">
        <v>1049</v>
      </c>
      <c r="F173" s="119" t="s">
        <v>132</v>
      </c>
      <c r="G173" s="120">
        <f>$O$6*2</f>
        <v>4</v>
      </c>
      <c r="H173" s="121">
        <v>6500</v>
      </c>
      <c r="I173" s="122">
        <v>0</v>
      </c>
      <c r="J173" s="121">
        <f t="shared" si="35"/>
        <v>6500</v>
      </c>
      <c r="K173" s="138">
        <f t="shared" si="36"/>
        <v>26000</v>
      </c>
      <c r="N173" s="46"/>
      <c r="O173" s="46"/>
      <c r="P173" s="46"/>
      <c r="Q173" s="46"/>
      <c r="R173" s="46"/>
      <c r="S173" s="46"/>
      <c r="T173" s="46"/>
      <c r="U173" s="46"/>
      <c r="V173" s="46"/>
      <c r="Y173" s="2"/>
      <c r="AA173" s="138">
        <v>26000</v>
      </c>
      <c r="AC173" s="171">
        <f t="shared" si="25"/>
        <v>0</v>
      </c>
      <c r="AD173" s="171">
        <f t="shared" si="25"/>
        <v>0</v>
      </c>
    </row>
    <row r="174" spans="1:30">
      <c r="A174" s="96" t="s">
        <v>506</v>
      </c>
      <c r="B174" s="97" t="s">
        <v>507</v>
      </c>
      <c r="C174" s="97"/>
      <c r="D174" s="97"/>
      <c r="E174" s="97"/>
      <c r="F174" s="97"/>
      <c r="G174" s="98"/>
      <c r="H174" s="99"/>
      <c r="I174" s="100"/>
      <c r="J174" s="99"/>
      <c r="K174" s="131"/>
      <c r="L174" s="103">
        <f>SUM(K175:K177)</f>
        <v>959276.94000000006</v>
      </c>
      <c r="N174" s="46"/>
      <c r="O174" s="46"/>
      <c r="P174" s="46"/>
      <c r="Q174" s="46"/>
      <c r="R174" s="46"/>
      <c r="S174" s="46"/>
      <c r="T174" s="46"/>
      <c r="U174" s="46"/>
      <c r="V174" s="46"/>
      <c r="Y174" s="2"/>
      <c r="AA174" s="131"/>
      <c r="AB174" s="103">
        <v>959276.94000000006</v>
      </c>
      <c r="AC174" s="171">
        <f t="shared" si="25"/>
        <v>0</v>
      </c>
      <c r="AD174" s="171">
        <f t="shared" si="25"/>
        <v>0</v>
      </c>
    </row>
    <row r="175" spans="1:30">
      <c r="A175" s="111" t="s">
        <v>1104</v>
      </c>
      <c r="B175" s="112" t="s">
        <v>499</v>
      </c>
      <c r="C175" s="112" t="s">
        <v>70</v>
      </c>
      <c r="D175" s="112" t="s">
        <v>81</v>
      </c>
      <c r="E175" s="112" t="s">
        <v>76</v>
      </c>
      <c r="F175" s="112" t="s">
        <v>185</v>
      </c>
      <c r="G175" s="113">
        <f t="shared" ref="G175:G187" si="37">$B$8</f>
        <v>329194</v>
      </c>
      <c r="H175" s="114">
        <v>0.06</v>
      </c>
      <c r="I175" s="115">
        <v>0</v>
      </c>
      <c r="J175" s="116">
        <f t="shared" ref="J175:J177" si="38">H175*(1+I175)</f>
        <v>0.06</v>
      </c>
      <c r="K175" s="117">
        <f>J175*G175</f>
        <v>19751.64</v>
      </c>
      <c r="N175" s="46"/>
      <c r="O175" s="46"/>
      <c r="P175" s="46"/>
      <c r="Q175" s="46"/>
      <c r="R175" s="46"/>
      <c r="S175" s="46"/>
      <c r="T175" s="46"/>
      <c r="U175" s="46"/>
      <c r="V175" s="46"/>
      <c r="Y175" s="2"/>
      <c r="AA175" s="117">
        <v>19751.64</v>
      </c>
      <c r="AC175" s="171">
        <f t="shared" si="25"/>
        <v>0</v>
      </c>
      <c r="AD175" s="171">
        <f t="shared" si="25"/>
        <v>0</v>
      </c>
    </row>
    <row r="176" spans="1:30">
      <c r="A176" s="118" t="s">
        <v>500</v>
      </c>
      <c r="B176" s="119" t="s">
        <v>501</v>
      </c>
      <c r="C176" s="119" t="s">
        <v>70</v>
      </c>
      <c r="D176" s="119" t="s">
        <v>81</v>
      </c>
      <c r="E176" s="119" t="s">
        <v>343</v>
      </c>
      <c r="F176" s="119" t="s">
        <v>185</v>
      </c>
      <c r="G176" s="120">
        <f t="shared" si="37"/>
        <v>329194</v>
      </c>
      <c r="H176" s="121">
        <v>2.4500000000000002</v>
      </c>
      <c r="I176" s="122">
        <v>0</v>
      </c>
      <c r="J176" s="121">
        <f t="shared" si="38"/>
        <v>2.4500000000000002</v>
      </c>
      <c r="K176" s="138">
        <f>J176*G176</f>
        <v>806525.3</v>
      </c>
      <c r="N176" s="46"/>
      <c r="O176" s="46"/>
      <c r="P176" s="46"/>
      <c r="Q176" s="46"/>
      <c r="R176" s="46"/>
      <c r="S176" s="46"/>
      <c r="T176" s="46"/>
      <c r="U176" s="46"/>
      <c r="V176" s="46"/>
      <c r="Y176" s="2"/>
      <c r="AA176" s="138">
        <v>806525.3</v>
      </c>
      <c r="AC176" s="171">
        <f t="shared" si="25"/>
        <v>0</v>
      </c>
      <c r="AD176" s="171">
        <f t="shared" si="25"/>
        <v>0</v>
      </c>
    </row>
    <row r="177" spans="1:30">
      <c r="A177" s="118" t="s">
        <v>503</v>
      </c>
      <c r="B177" s="119" t="s">
        <v>504</v>
      </c>
      <c r="C177" s="119" t="s">
        <v>70</v>
      </c>
      <c r="D177" s="119" t="s">
        <v>93</v>
      </c>
      <c r="E177" s="119" t="s">
        <v>343</v>
      </c>
      <c r="F177" s="119" t="s">
        <v>132</v>
      </c>
      <c r="G177" s="120">
        <v>1</v>
      </c>
      <c r="H177" s="121">
        <v>133000</v>
      </c>
      <c r="I177" s="122">
        <v>0</v>
      </c>
      <c r="J177" s="121">
        <f t="shared" si="38"/>
        <v>133000</v>
      </c>
      <c r="K177" s="138">
        <f t="shared" ref="K177" si="39">J177*G177</f>
        <v>133000</v>
      </c>
      <c r="N177" s="46"/>
      <c r="O177" s="46"/>
      <c r="P177" s="46"/>
      <c r="Q177" s="46"/>
      <c r="R177" s="46"/>
      <c r="S177" s="46"/>
      <c r="T177" s="46"/>
      <c r="U177" s="46"/>
      <c r="V177" s="46"/>
      <c r="Y177" s="2"/>
      <c r="AA177" s="138">
        <v>133000</v>
      </c>
      <c r="AC177" s="171">
        <f t="shared" si="25"/>
        <v>0</v>
      </c>
      <c r="AD177" s="171">
        <f t="shared" si="25"/>
        <v>0</v>
      </c>
    </row>
    <row r="178" spans="1:30">
      <c r="A178" s="96" t="s">
        <v>520</v>
      </c>
      <c r="B178" s="97" t="s">
        <v>521</v>
      </c>
      <c r="C178" s="97"/>
      <c r="D178" s="97"/>
      <c r="E178" s="97"/>
      <c r="F178" s="97"/>
      <c r="G178" s="98"/>
      <c r="H178" s="99"/>
      <c r="I178" s="100"/>
      <c r="J178" s="99"/>
      <c r="K178" s="131"/>
      <c r="L178" s="103">
        <f>SUM(K179:K183)</f>
        <v>3882162</v>
      </c>
      <c r="N178" s="46"/>
      <c r="O178" s="46"/>
      <c r="P178" s="46"/>
      <c r="Q178" s="46"/>
      <c r="R178" s="46"/>
      <c r="S178" s="46"/>
      <c r="T178" s="46"/>
      <c r="U178" s="46"/>
      <c r="V178" s="46"/>
      <c r="Y178" s="2"/>
      <c r="AA178" s="131"/>
      <c r="AB178" s="103">
        <v>3882162</v>
      </c>
      <c r="AC178" s="171">
        <f t="shared" si="25"/>
        <v>0</v>
      </c>
      <c r="AD178" s="171">
        <f t="shared" si="25"/>
        <v>0</v>
      </c>
    </row>
    <row r="179" spans="1:30">
      <c r="A179" s="111" t="s">
        <v>508</v>
      </c>
      <c r="B179" s="112" t="s">
        <v>509</v>
      </c>
      <c r="C179" s="112" t="s">
        <v>70</v>
      </c>
      <c r="D179" s="112" t="s">
        <v>81</v>
      </c>
      <c r="E179" s="112" t="s">
        <v>343</v>
      </c>
      <c r="F179" s="112" t="s">
        <v>132</v>
      </c>
      <c r="G179" s="113">
        <f>E3+E4+E5</f>
        <v>363</v>
      </c>
      <c r="H179" s="114">
        <v>10526</v>
      </c>
      <c r="I179" s="115">
        <v>0</v>
      </c>
      <c r="J179" s="116">
        <f t="shared" ref="J179:J183" si="40">H179*(1+I179)</f>
        <v>10526</v>
      </c>
      <c r="K179" s="117">
        <f t="shared" ref="K179:K183" si="41">J179*G179</f>
        <v>3820938</v>
      </c>
      <c r="N179" s="46"/>
      <c r="O179" s="46"/>
      <c r="P179" s="46"/>
      <c r="Q179" s="46"/>
      <c r="R179" s="46"/>
      <c r="S179" s="46"/>
      <c r="T179" s="46"/>
      <c r="U179" s="46"/>
      <c r="V179" s="46"/>
      <c r="Y179" s="2"/>
      <c r="AA179" s="117">
        <v>3820938</v>
      </c>
      <c r="AC179" s="171">
        <f t="shared" si="25"/>
        <v>0</v>
      </c>
      <c r="AD179" s="171">
        <f t="shared" si="25"/>
        <v>0</v>
      </c>
    </row>
    <row r="180" spans="1:30">
      <c r="A180" s="118" t="s">
        <v>513</v>
      </c>
      <c r="B180" s="119" t="s">
        <v>509</v>
      </c>
      <c r="C180" s="119" t="s">
        <v>70</v>
      </c>
      <c r="D180" s="119" t="s">
        <v>81</v>
      </c>
      <c r="E180" s="119" t="s">
        <v>87</v>
      </c>
      <c r="F180" s="119"/>
      <c r="G180" s="120">
        <f>E6+E7</f>
        <v>0</v>
      </c>
      <c r="H180" s="121"/>
      <c r="I180" s="122">
        <v>0</v>
      </c>
      <c r="J180" s="121">
        <f t="shared" si="40"/>
        <v>0</v>
      </c>
      <c r="K180" s="138">
        <f t="shared" si="41"/>
        <v>0</v>
      </c>
      <c r="N180" s="46"/>
      <c r="O180" s="46"/>
      <c r="P180" s="46"/>
      <c r="Q180" s="46"/>
      <c r="R180" s="46"/>
      <c r="S180" s="46"/>
      <c r="T180" s="46"/>
      <c r="U180" s="46"/>
      <c r="V180" s="46"/>
      <c r="Y180" s="2"/>
      <c r="AA180" s="138">
        <v>0</v>
      </c>
      <c r="AC180" s="171">
        <f t="shared" si="25"/>
        <v>0</v>
      </c>
      <c r="AD180" s="171">
        <f t="shared" si="25"/>
        <v>0</v>
      </c>
    </row>
    <row r="181" spans="1:30">
      <c r="A181" s="118" t="s">
        <v>1171</v>
      </c>
      <c r="B181" s="119"/>
      <c r="C181" s="119" t="s">
        <v>70</v>
      </c>
      <c r="D181" s="119" t="s">
        <v>81</v>
      </c>
      <c r="E181" s="119" t="s">
        <v>87</v>
      </c>
      <c r="F181" s="119"/>
      <c r="G181" s="120"/>
      <c r="H181" s="121"/>
      <c r="I181" s="122">
        <v>0</v>
      </c>
      <c r="J181" s="121">
        <f t="shared" si="40"/>
        <v>0</v>
      </c>
      <c r="K181" s="138">
        <f t="shared" si="41"/>
        <v>0</v>
      </c>
      <c r="N181" s="46"/>
      <c r="O181" s="46"/>
      <c r="P181" s="46"/>
      <c r="Q181" s="46"/>
      <c r="R181" s="46"/>
      <c r="S181" s="46"/>
      <c r="T181" s="46"/>
      <c r="U181" s="46"/>
      <c r="V181" s="46"/>
      <c r="Y181" s="2"/>
      <c r="AA181" s="138">
        <v>0</v>
      </c>
      <c r="AC181" s="171">
        <f t="shared" si="25"/>
        <v>0</v>
      </c>
      <c r="AD181" s="171">
        <f t="shared" si="25"/>
        <v>0</v>
      </c>
    </row>
    <row r="182" spans="1:30">
      <c r="A182" s="118" t="s">
        <v>516</v>
      </c>
      <c r="B182" s="119" t="s">
        <v>517</v>
      </c>
      <c r="C182" s="119" t="s">
        <v>70</v>
      </c>
      <c r="D182" s="119" t="s">
        <v>103</v>
      </c>
      <c r="E182" s="119" t="s">
        <v>1049</v>
      </c>
      <c r="F182" s="119" t="s">
        <v>83</v>
      </c>
      <c r="G182" s="120">
        <f>$O$6</f>
        <v>2</v>
      </c>
      <c r="H182" s="121">
        <v>24612</v>
      </c>
      <c r="I182" s="122">
        <v>0</v>
      </c>
      <c r="J182" s="121">
        <f t="shared" si="40"/>
        <v>24612</v>
      </c>
      <c r="K182" s="138">
        <f t="shared" si="41"/>
        <v>49224</v>
      </c>
      <c r="N182" s="46"/>
      <c r="O182" s="46"/>
      <c r="P182" s="46"/>
      <c r="Q182" s="46"/>
      <c r="R182" s="46"/>
      <c r="S182" s="46"/>
      <c r="T182" s="46"/>
      <c r="U182" s="46"/>
      <c r="V182" s="46"/>
      <c r="Y182" s="2"/>
      <c r="AA182" s="138">
        <v>49224</v>
      </c>
      <c r="AC182" s="171">
        <f t="shared" si="25"/>
        <v>0</v>
      </c>
      <c r="AD182" s="171">
        <f t="shared" si="25"/>
        <v>0</v>
      </c>
    </row>
    <row r="183" spans="1:30">
      <c r="A183" s="118" t="s">
        <v>518</v>
      </c>
      <c r="B183" s="119" t="s">
        <v>519</v>
      </c>
      <c r="C183" s="119" t="s">
        <v>70</v>
      </c>
      <c r="D183" s="119" t="s">
        <v>110</v>
      </c>
      <c r="E183" s="119" t="s">
        <v>76</v>
      </c>
      <c r="F183" s="119" t="s">
        <v>83</v>
      </c>
      <c r="G183" s="120">
        <f>$O$6</f>
        <v>2</v>
      </c>
      <c r="H183" s="121">
        <v>6000</v>
      </c>
      <c r="I183" s="122">
        <v>0</v>
      </c>
      <c r="J183" s="121">
        <f t="shared" si="40"/>
        <v>6000</v>
      </c>
      <c r="K183" s="138">
        <f t="shared" si="41"/>
        <v>12000</v>
      </c>
      <c r="N183" s="46"/>
      <c r="O183" s="46"/>
      <c r="P183" s="46"/>
      <c r="Q183" s="46"/>
      <c r="R183" s="46"/>
      <c r="S183" s="46"/>
      <c r="T183" s="46"/>
      <c r="U183" s="46"/>
      <c r="V183" s="46"/>
      <c r="Y183" s="2"/>
      <c r="AA183" s="138">
        <v>12000</v>
      </c>
      <c r="AC183" s="171">
        <f t="shared" si="25"/>
        <v>0</v>
      </c>
      <c r="AD183" s="171">
        <f t="shared" si="25"/>
        <v>0</v>
      </c>
    </row>
    <row r="184" spans="1:30">
      <c r="A184" s="96" t="s">
        <v>527</v>
      </c>
      <c r="B184" s="97" t="s">
        <v>528</v>
      </c>
      <c r="C184" s="97"/>
      <c r="D184" s="97"/>
      <c r="E184" s="97"/>
      <c r="F184" s="97"/>
      <c r="G184" s="98"/>
      <c r="H184" s="99"/>
      <c r="I184" s="100"/>
      <c r="J184" s="99"/>
      <c r="K184" s="131"/>
      <c r="L184" s="103">
        <f>SUM(K185)</f>
        <v>3888782.7000000007</v>
      </c>
      <c r="N184" s="46"/>
      <c r="O184" s="46"/>
      <c r="P184" s="46"/>
      <c r="Q184" s="46"/>
      <c r="R184" s="46"/>
      <c r="S184" s="46"/>
      <c r="T184" s="46"/>
      <c r="U184" s="46"/>
      <c r="V184" s="46"/>
      <c r="Y184" s="2"/>
      <c r="AA184" s="131"/>
      <c r="AB184" s="103">
        <v>3888782.7000000007</v>
      </c>
      <c r="AC184" s="171">
        <f t="shared" si="25"/>
        <v>0</v>
      </c>
      <c r="AD184" s="171">
        <f t="shared" si="25"/>
        <v>0</v>
      </c>
    </row>
    <row r="185" spans="1:30">
      <c r="A185" s="104" t="s">
        <v>522</v>
      </c>
      <c r="B185" s="105" t="s">
        <v>523</v>
      </c>
      <c r="C185" s="105" t="s">
        <v>70</v>
      </c>
      <c r="D185" s="105" t="s">
        <v>81</v>
      </c>
      <c r="E185" s="105" t="s">
        <v>343</v>
      </c>
      <c r="F185" s="105" t="s">
        <v>344</v>
      </c>
      <c r="G185" s="106">
        <f>$E$8</f>
        <v>363</v>
      </c>
      <c r="H185" s="107">
        <v>10712.900000000001</v>
      </c>
      <c r="I185" s="108">
        <v>0</v>
      </c>
      <c r="J185" s="109">
        <f t="shared" ref="J185" si="42">H185*(1+I185)</f>
        <v>10712.900000000001</v>
      </c>
      <c r="K185" s="110">
        <f t="shared" ref="K185" si="43">J185*G185</f>
        <v>3888782.7000000007</v>
      </c>
      <c r="N185" s="46" t="s">
        <v>1172</v>
      </c>
      <c r="O185" s="46"/>
      <c r="P185" s="46"/>
      <c r="Q185" s="46"/>
      <c r="R185" s="46"/>
      <c r="S185" s="46"/>
      <c r="T185" s="46"/>
      <c r="U185" s="46"/>
      <c r="V185" s="46"/>
      <c r="Y185" s="2"/>
      <c r="AA185" s="110">
        <v>3888782.7000000007</v>
      </c>
      <c r="AC185" s="171">
        <f t="shared" si="25"/>
        <v>0</v>
      </c>
      <c r="AD185" s="171">
        <f t="shared" si="25"/>
        <v>0</v>
      </c>
    </row>
    <row r="186" spans="1:30">
      <c r="A186" s="96" t="s">
        <v>561</v>
      </c>
      <c r="B186" s="97" t="s">
        <v>562</v>
      </c>
      <c r="C186" s="97"/>
      <c r="D186" s="97"/>
      <c r="E186" s="97"/>
      <c r="F186" s="97"/>
      <c r="G186" s="98"/>
      <c r="H186" s="99"/>
      <c r="I186" s="100"/>
      <c r="J186" s="99"/>
      <c r="K186" s="131"/>
      <c r="L186" s="103">
        <f>SUM(K187:K202)</f>
        <v>3679076.5799999996</v>
      </c>
      <c r="N186" s="46"/>
      <c r="O186" s="46"/>
      <c r="P186" s="46"/>
      <c r="Q186" s="46"/>
      <c r="R186" s="46"/>
      <c r="S186" s="46"/>
      <c r="T186" s="46"/>
      <c r="U186" s="46"/>
      <c r="V186" s="46"/>
      <c r="Y186" s="2"/>
      <c r="AA186" s="131"/>
      <c r="AB186" s="103">
        <v>3679076.5799999996</v>
      </c>
      <c r="AC186" s="171">
        <f t="shared" si="25"/>
        <v>0</v>
      </c>
      <c r="AD186" s="171">
        <f t="shared" si="25"/>
        <v>0</v>
      </c>
    </row>
    <row r="187" spans="1:30">
      <c r="A187" s="111" t="s">
        <v>107</v>
      </c>
      <c r="B187" s="112" t="s">
        <v>529</v>
      </c>
      <c r="C187" s="112" t="s">
        <v>70</v>
      </c>
      <c r="D187" s="112" t="s">
        <v>81</v>
      </c>
      <c r="E187" s="112" t="s">
        <v>343</v>
      </c>
      <c r="F187" s="112" t="s">
        <v>1173</v>
      </c>
      <c r="G187" s="113">
        <f t="shared" si="37"/>
        <v>329194</v>
      </c>
      <c r="H187" s="114">
        <v>9.27</v>
      </c>
      <c r="I187" s="115">
        <v>0</v>
      </c>
      <c r="J187" s="116">
        <f t="shared" ref="J187:J202" si="44">H187*(1+I187)</f>
        <v>9.27</v>
      </c>
      <c r="K187" s="117">
        <f>J187*G187</f>
        <v>3051628.38</v>
      </c>
      <c r="N187" s="243"/>
      <c r="O187" s="244"/>
      <c r="P187" s="244"/>
      <c r="Q187" s="46"/>
      <c r="R187" s="46"/>
      <c r="S187" s="46"/>
      <c r="T187" s="46"/>
      <c r="U187" s="46"/>
      <c r="V187" s="46"/>
      <c r="Y187" s="2"/>
      <c r="AA187" s="117">
        <v>3051628.38</v>
      </c>
      <c r="AC187" s="171">
        <f t="shared" si="25"/>
        <v>0</v>
      </c>
      <c r="AD187" s="171">
        <f t="shared" si="25"/>
        <v>0</v>
      </c>
    </row>
    <row r="188" spans="1:30">
      <c r="A188" s="118" t="s">
        <v>252</v>
      </c>
      <c r="B188" s="119" t="s">
        <v>532</v>
      </c>
      <c r="C188" s="119" t="s">
        <v>70</v>
      </c>
      <c r="D188" s="119" t="s">
        <v>81</v>
      </c>
      <c r="E188" s="119" t="s">
        <v>1049</v>
      </c>
      <c r="F188" s="119" t="s">
        <v>344</v>
      </c>
      <c r="G188" s="120">
        <f>$E$8</f>
        <v>363</v>
      </c>
      <c r="H188" s="121">
        <v>594</v>
      </c>
      <c r="I188" s="122">
        <v>0</v>
      </c>
      <c r="J188" s="121">
        <f t="shared" si="44"/>
        <v>594</v>
      </c>
      <c r="K188" s="138">
        <f t="shared" ref="K188:K202" si="45">J188*G188</f>
        <v>215622</v>
      </c>
      <c r="N188" s="46"/>
      <c r="O188" s="46"/>
      <c r="P188" s="46"/>
      <c r="Q188" s="46"/>
      <c r="R188" s="46"/>
      <c r="S188" s="46"/>
      <c r="T188" s="46"/>
      <c r="U188" s="46"/>
      <c r="V188" s="46"/>
      <c r="Y188" s="2"/>
      <c r="AA188" s="138">
        <v>215622</v>
      </c>
      <c r="AC188" s="171">
        <f t="shared" si="25"/>
        <v>0</v>
      </c>
      <c r="AD188" s="171">
        <f t="shared" si="25"/>
        <v>0</v>
      </c>
    </row>
    <row r="189" spans="1:30">
      <c r="A189" s="118" t="s">
        <v>533</v>
      </c>
      <c r="B189" s="119" t="s">
        <v>534</v>
      </c>
      <c r="C189" s="119" t="s">
        <v>70</v>
      </c>
      <c r="D189" s="119" t="s">
        <v>81</v>
      </c>
      <c r="E189" s="119" t="s">
        <v>1049</v>
      </c>
      <c r="F189" s="119" t="s">
        <v>344</v>
      </c>
      <c r="G189" s="120">
        <f>$E$8</f>
        <v>363</v>
      </c>
      <c r="H189" s="121">
        <v>119</v>
      </c>
      <c r="I189" s="122">
        <v>0</v>
      </c>
      <c r="J189" s="121">
        <f t="shared" si="44"/>
        <v>119</v>
      </c>
      <c r="K189" s="138">
        <f t="shared" si="45"/>
        <v>43197</v>
      </c>
      <c r="N189" s="46"/>
      <c r="O189" s="46"/>
      <c r="P189" s="46"/>
      <c r="Q189" s="46"/>
      <c r="R189" s="46"/>
      <c r="S189" s="46"/>
      <c r="T189" s="46"/>
      <c r="U189" s="46"/>
      <c r="V189" s="46"/>
      <c r="Y189" s="2"/>
      <c r="AA189" s="138">
        <v>43197</v>
      </c>
      <c r="AC189" s="171">
        <f t="shared" si="25"/>
        <v>0</v>
      </c>
      <c r="AD189" s="171">
        <f t="shared" si="25"/>
        <v>0</v>
      </c>
    </row>
    <row r="190" spans="1:30">
      <c r="A190" s="118" t="s">
        <v>536</v>
      </c>
      <c r="B190" s="119" t="s">
        <v>537</v>
      </c>
      <c r="C190" s="119" t="s">
        <v>70</v>
      </c>
      <c r="D190" s="119" t="s">
        <v>81</v>
      </c>
      <c r="E190" s="119" t="s">
        <v>1049</v>
      </c>
      <c r="F190" s="119" t="s">
        <v>344</v>
      </c>
      <c r="G190" s="120">
        <f>$E$8</f>
        <v>363</v>
      </c>
      <c r="H190" s="121">
        <v>112</v>
      </c>
      <c r="I190" s="122">
        <v>0</v>
      </c>
      <c r="J190" s="121">
        <f t="shared" si="44"/>
        <v>112</v>
      </c>
      <c r="K190" s="138">
        <f t="shared" si="45"/>
        <v>40656</v>
      </c>
      <c r="N190" s="46"/>
      <c r="O190" s="46"/>
      <c r="P190" s="46"/>
      <c r="Q190" s="46"/>
      <c r="R190" s="46"/>
      <c r="S190" s="46"/>
      <c r="T190" s="46"/>
      <c r="U190" s="46"/>
      <c r="V190" s="46"/>
      <c r="Y190" s="2"/>
      <c r="AA190" s="138">
        <v>40656</v>
      </c>
      <c r="AC190" s="171">
        <f t="shared" si="25"/>
        <v>0</v>
      </c>
      <c r="AD190" s="171">
        <f t="shared" si="25"/>
        <v>0</v>
      </c>
    </row>
    <row r="191" spans="1:30">
      <c r="A191" s="118" t="s">
        <v>539</v>
      </c>
      <c r="B191" s="119" t="s">
        <v>529</v>
      </c>
      <c r="C191" s="119" t="s">
        <v>70</v>
      </c>
      <c r="D191" s="119" t="s">
        <v>397</v>
      </c>
      <c r="E191" s="119" t="s">
        <v>1049</v>
      </c>
      <c r="F191" s="119" t="s">
        <v>540</v>
      </c>
      <c r="G191" s="120">
        <f>$O$12</f>
        <v>423.59999999999997</v>
      </c>
      <c r="H191" s="121">
        <v>138</v>
      </c>
      <c r="I191" s="122">
        <v>0</v>
      </c>
      <c r="J191" s="121">
        <f t="shared" si="44"/>
        <v>138</v>
      </c>
      <c r="K191" s="138">
        <f t="shared" si="45"/>
        <v>58456.799999999996</v>
      </c>
      <c r="N191" s="46"/>
      <c r="O191" s="46"/>
      <c r="P191" s="46"/>
      <c r="Q191" s="46"/>
      <c r="R191" s="46"/>
      <c r="S191" s="46"/>
      <c r="T191" s="46"/>
      <c r="U191" s="46"/>
      <c r="V191" s="46"/>
      <c r="Y191" s="2"/>
      <c r="AA191" s="138">
        <v>58456.799999999996</v>
      </c>
      <c r="AC191" s="171">
        <f t="shared" si="25"/>
        <v>0</v>
      </c>
      <c r="AD191" s="171">
        <f t="shared" si="25"/>
        <v>0</v>
      </c>
    </row>
    <row r="192" spans="1:30">
      <c r="A192" s="118" t="s">
        <v>541</v>
      </c>
      <c r="B192" s="119" t="s">
        <v>532</v>
      </c>
      <c r="C192" s="119" t="s">
        <v>70</v>
      </c>
      <c r="D192" s="119" t="s">
        <v>397</v>
      </c>
      <c r="E192" s="119" t="s">
        <v>1049</v>
      </c>
      <c r="F192" s="119" t="s">
        <v>540</v>
      </c>
      <c r="G192" s="120">
        <f>$O$12</f>
        <v>423.59999999999997</v>
      </c>
      <c r="H192" s="121">
        <v>24</v>
      </c>
      <c r="I192" s="122">
        <v>0</v>
      </c>
      <c r="J192" s="121">
        <f t="shared" si="44"/>
        <v>24</v>
      </c>
      <c r="K192" s="138">
        <f t="shared" si="45"/>
        <v>10166.4</v>
      </c>
      <c r="N192" s="46"/>
      <c r="O192" s="46"/>
      <c r="P192" s="46"/>
      <c r="Q192" s="46"/>
      <c r="R192" s="46"/>
      <c r="S192" s="46"/>
      <c r="T192" s="46"/>
      <c r="U192" s="46"/>
      <c r="V192" s="46"/>
      <c r="Y192" s="2"/>
      <c r="AA192" s="138">
        <v>10166.4</v>
      </c>
      <c r="AC192" s="171">
        <f t="shared" si="25"/>
        <v>0</v>
      </c>
      <c r="AD192" s="171">
        <f t="shared" si="25"/>
        <v>0</v>
      </c>
    </row>
    <row r="193" spans="1:30">
      <c r="A193" s="118" t="s">
        <v>542</v>
      </c>
      <c r="B193" s="119" t="s">
        <v>529</v>
      </c>
      <c r="C193" s="119" t="s">
        <v>70</v>
      </c>
      <c r="D193" s="119" t="s">
        <v>103</v>
      </c>
      <c r="E193" s="119" t="s">
        <v>87</v>
      </c>
      <c r="F193" s="119"/>
      <c r="G193" s="120"/>
      <c r="H193" s="121"/>
      <c r="I193" s="122">
        <v>0</v>
      </c>
      <c r="J193" s="121">
        <f t="shared" si="44"/>
        <v>0</v>
      </c>
      <c r="K193" s="138">
        <f t="shared" si="45"/>
        <v>0</v>
      </c>
      <c r="N193" s="46"/>
      <c r="O193" s="46"/>
      <c r="P193" s="46"/>
      <c r="Q193" s="46"/>
      <c r="R193" s="46"/>
      <c r="S193" s="46"/>
      <c r="T193" s="46"/>
      <c r="U193" s="46"/>
      <c r="V193" s="46"/>
      <c r="Y193" s="2"/>
      <c r="AA193" s="138">
        <v>0</v>
      </c>
      <c r="AC193" s="171">
        <f t="shared" si="25"/>
        <v>0</v>
      </c>
      <c r="AD193" s="171">
        <f t="shared" si="25"/>
        <v>0</v>
      </c>
    </row>
    <row r="194" spans="1:30">
      <c r="A194" s="118" t="s">
        <v>543</v>
      </c>
      <c r="B194" s="119" t="s">
        <v>544</v>
      </c>
      <c r="C194" s="119" t="s">
        <v>70</v>
      </c>
      <c r="D194" s="119" t="s">
        <v>103</v>
      </c>
      <c r="E194" s="119" t="s">
        <v>87</v>
      </c>
      <c r="F194" s="119"/>
      <c r="G194" s="120"/>
      <c r="H194" s="121"/>
      <c r="I194" s="122">
        <v>0</v>
      </c>
      <c r="J194" s="121">
        <f t="shared" si="44"/>
        <v>0</v>
      </c>
      <c r="K194" s="138">
        <f t="shared" si="45"/>
        <v>0</v>
      </c>
      <c r="N194" s="46"/>
      <c r="O194" s="46"/>
      <c r="P194" s="46"/>
      <c r="Q194" s="46"/>
      <c r="R194" s="46"/>
      <c r="S194" s="46"/>
      <c r="T194" s="46"/>
      <c r="U194" s="46"/>
      <c r="V194" s="46"/>
      <c r="Y194" s="2"/>
      <c r="AA194" s="138">
        <v>0</v>
      </c>
      <c r="AC194" s="171">
        <f t="shared" si="25"/>
        <v>0</v>
      </c>
      <c r="AD194" s="171">
        <f t="shared" si="25"/>
        <v>0</v>
      </c>
    </row>
    <row r="195" spans="1:30">
      <c r="A195" s="118" t="s">
        <v>545</v>
      </c>
      <c r="B195" s="119" t="s">
        <v>546</v>
      </c>
      <c r="C195" s="119" t="s">
        <v>70</v>
      </c>
      <c r="D195" s="119" t="s">
        <v>405</v>
      </c>
      <c r="E195" s="119" t="s">
        <v>131</v>
      </c>
      <c r="F195" s="119" t="s">
        <v>132</v>
      </c>
      <c r="G195" s="120">
        <v>6</v>
      </c>
      <c r="H195" s="121">
        <v>25000</v>
      </c>
      <c r="I195" s="122">
        <v>0</v>
      </c>
      <c r="J195" s="121">
        <f t="shared" si="44"/>
        <v>25000</v>
      </c>
      <c r="K195" s="138">
        <f t="shared" si="45"/>
        <v>150000</v>
      </c>
      <c r="N195" s="46"/>
      <c r="O195" s="46"/>
      <c r="P195" s="46"/>
      <c r="Q195" s="46"/>
      <c r="R195" s="46"/>
      <c r="S195" s="46"/>
      <c r="T195" s="46"/>
      <c r="U195" s="46"/>
      <c r="V195" s="46"/>
      <c r="Y195" s="2"/>
      <c r="AA195" s="138">
        <v>150000</v>
      </c>
      <c r="AC195" s="171">
        <f t="shared" si="25"/>
        <v>0</v>
      </c>
      <c r="AD195" s="171">
        <f t="shared" si="25"/>
        <v>0</v>
      </c>
    </row>
    <row r="196" spans="1:30">
      <c r="A196" s="118" t="s">
        <v>548</v>
      </c>
      <c r="B196" s="119" t="s">
        <v>549</v>
      </c>
      <c r="C196" s="119" t="s">
        <v>70</v>
      </c>
      <c r="D196" s="119" t="s">
        <v>75</v>
      </c>
      <c r="E196" s="119" t="s">
        <v>1049</v>
      </c>
      <c r="F196" s="119" t="s">
        <v>552</v>
      </c>
      <c r="G196" s="151">
        <f>$B$9</f>
        <v>17.25</v>
      </c>
      <c r="H196" s="121">
        <v>1000</v>
      </c>
      <c r="I196" s="122">
        <v>0</v>
      </c>
      <c r="J196" s="121">
        <f t="shared" si="44"/>
        <v>1000</v>
      </c>
      <c r="K196" s="138">
        <f t="shared" si="45"/>
        <v>17250</v>
      </c>
      <c r="N196" s="46"/>
      <c r="O196" s="46"/>
      <c r="P196" s="46"/>
      <c r="Q196" s="46"/>
      <c r="R196" s="46"/>
      <c r="S196" s="46"/>
      <c r="T196" s="46"/>
      <c r="U196" s="46"/>
      <c r="V196" s="46"/>
      <c r="Y196" s="2"/>
      <c r="AA196" s="138">
        <v>17250</v>
      </c>
      <c r="AC196" s="171">
        <f t="shared" si="25"/>
        <v>0</v>
      </c>
      <c r="AD196" s="171">
        <f t="shared" si="25"/>
        <v>0</v>
      </c>
    </row>
    <row r="197" spans="1:30">
      <c r="A197" s="118" t="s">
        <v>550</v>
      </c>
      <c r="B197" s="119" t="s">
        <v>551</v>
      </c>
      <c r="C197" s="119" t="s">
        <v>70</v>
      </c>
      <c r="D197" s="119" t="s">
        <v>75</v>
      </c>
      <c r="E197" s="119" t="s">
        <v>1049</v>
      </c>
      <c r="F197" s="119" t="s">
        <v>552</v>
      </c>
      <c r="G197" s="151">
        <f>$B$9</f>
        <v>17.25</v>
      </c>
      <c r="H197" s="121">
        <v>1000</v>
      </c>
      <c r="I197" s="122">
        <v>0</v>
      </c>
      <c r="J197" s="121">
        <f t="shared" si="44"/>
        <v>1000</v>
      </c>
      <c r="K197" s="138">
        <f t="shared" si="45"/>
        <v>17250</v>
      </c>
      <c r="N197" s="46"/>
      <c r="O197" s="46"/>
      <c r="P197" s="46"/>
      <c r="Q197" s="46"/>
      <c r="R197" s="46"/>
      <c r="S197" s="46"/>
      <c r="T197" s="46"/>
      <c r="U197" s="46"/>
      <c r="V197" s="46"/>
      <c r="Y197" s="2"/>
      <c r="AA197" s="138">
        <v>17250</v>
      </c>
      <c r="AC197" s="171">
        <f t="shared" si="25"/>
        <v>0</v>
      </c>
      <c r="AD197" s="171">
        <f t="shared" si="25"/>
        <v>0</v>
      </c>
    </row>
    <row r="198" spans="1:30">
      <c r="A198" s="118" t="s">
        <v>553</v>
      </c>
      <c r="B198" s="119" t="s">
        <v>554</v>
      </c>
      <c r="C198" s="119" t="s">
        <v>70</v>
      </c>
      <c r="D198" s="119" t="s">
        <v>103</v>
      </c>
      <c r="E198" s="119" t="s">
        <v>1049</v>
      </c>
      <c r="F198" s="119" t="s">
        <v>83</v>
      </c>
      <c r="G198" s="120">
        <f>$O$6</f>
        <v>2</v>
      </c>
      <c r="H198" s="121">
        <v>17000</v>
      </c>
      <c r="I198" s="122">
        <v>0</v>
      </c>
      <c r="J198" s="121">
        <f t="shared" si="44"/>
        <v>17000</v>
      </c>
      <c r="K198" s="138">
        <f t="shared" si="45"/>
        <v>34000</v>
      </c>
      <c r="N198" s="46"/>
      <c r="O198" s="46"/>
      <c r="P198" s="46"/>
      <c r="Q198" s="46"/>
      <c r="R198" s="46"/>
      <c r="S198" s="46"/>
      <c r="T198" s="46"/>
      <c r="U198" s="46"/>
      <c r="V198" s="46"/>
      <c r="Y198" s="2"/>
      <c r="AA198" s="138">
        <v>34000</v>
      </c>
      <c r="AC198" s="171">
        <f t="shared" si="25"/>
        <v>0</v>
      </c>
      <c r="AD198" s="171">
        <f t="shared" si="25"/>
        <v>0</v>
      </c>
    </row>
    <row r="199" spans="1:30">
      <c r="A199" s="118" t="s">
        <v>555</v>
      </c>
      <c r="B199" s="119" t="s">
        <v>556</v>
      </c>
      <c r="C199" s="119" t="s">
        <v>70</v>
      </c>
      <c r="D199" s="119" t="s">
        <v>103</v>
      </c>
      <c r="E199" s="119" t="s">
        <v>1049</v>
      </c>
      <c r="F199" s="119" t="s">
        <v>83</v>
      </c>
      <c r="G199" s="120">
        <f>$O$6</f>
        <v>2</v>
      </c>
      <c r="H199" s="121">
        <v>11000</v>
      </c>
      <c r="I199" s="122">
        <v>0</v>
      </c>
      <c r="J199" s="121">
        <f t="shared" si="44"/>
        <v>11000</v>
      </c>
      <c r="K199" s="138">
        <f t="shared" si="45"/>
        <v>22000</v>
      </c>
      <c r="N199" s="46"/>
      <c r="O199" s="46"/>
      <c r="P199" s="46"/>
      <c r="Q199" s="46"/>
      <c r="R199" s="46"/>
      <c r="S199" s="46"/>
      <c r="T199" s="46"/>
      <c r="U199" s="46"/>
      <c r="V199" s="46"/>
      <c r="Y199" s="2"/>
      <c r="AA199" s="138">
        <v>22000</v>
      </c>
      <c r="AC199" s="171">
        <f t="shared" si="25"/>
        <v>0</v>
      </c>
      <c r="AD199" s="171">
        <f t="shared" si="25"/>
        <v>0</v>
      </c>
    </row>
    <row r="200" spans="1:30">
      <c r="A200" s="118" t="s">
        <v>557</v>
      </c>
      <c r="B200" s="119" t="s">
        <v>558</v>
      </c>
      <c r="C200" s="119" t="s">
        <v>70</v>
      </c>
      <c r="D200" s="119" t="s">
        <v>110</v>
      </c>
      <c r="E200" s="119" t="s">
        <v>1049</v>
      </c>
      <c r="F200" s="119" t="s">
        <v>83</v>
      </c>
      <c r="G200" s="120">
        <f>$O$6</f>
        <v>2</v>
      </c>
      <c r="H200" s="121">
        <v>2000</v>
      </c>
      <c r="I200" s="122">
        <v>0</v>
      </c>
      <c r="J200" s="121">
        <f t="shared" si="44"/>
        <v>2000</v>
      </c>
      <c r="K200" s="138">
        <f t="shared" si="45"/>
        <v>4000</v>
      </c>
      <c r="N200" s="46"/>
      <c r="O200" s="46"/>
      <c r="P200" s="46"/>
      <c r="Q200" s="46"/>
      <c r="R200" s="46"/>
      <c r="S200" s="46"/>
      <c r="T200" s="46"/>
      <c r="U200" s="46"/>
      <c r="V200" s="46"/>
      <c r="Y200" s="2"/>
      <c r="AA200" s="138">
        <v>4000</v>
      </c>
      <c r="AC200" s="171">
        <f t="shared" si="25"/>
        <v>0</v>
      </c>
      <c r="AD200" s="171">
        <f t="shared" si="25"/>
        <v>0</v>
      </c>
    </row>
    <row r="201" spans="1:30">
      <c r="A201" s="118" t="s">
        <v>559</v>
      </c>
      <c r="B201" s="119" t="s">
        <v>529</v>
      </c>
      <c r="C201" s="119" t="s">
        <v>70</v>
      </c>
      <c r="D201" s="119" t="s">
        <v>93</v>
      </c>
      <c r="E201" s="119" t="s">
        <v>1049</v>
      </c>
      <c r="F201" s="119" t="s">
        <v>83</v>
      </c>
      <c r="G201" s="120">
        <v>1</v>
      </c>
      <c r="H201" s="121">
        <v>14250</v>
      </c>
      <c r="I201" s="122">
        <v>0</v>
      </c>
      <c r="J201" s="121">
        <f t="shared" si="44"/>
        <v>14250</v>
      </c>
      <c r="K201" s="138">
        <f t="shared" si="45"/>
        <v>14250</v>
      </c>
      <c r="N201" s="46"/>
      <c r="O201" s="46"/>
      <c r="P201" s="46"/>
      <c r="Q201" s="46"/>
      <c r="R201" s="46"/>
      <c r="S201" s="46"/>
      <c r="T201" s="46"/>
      <c r="U201" s="46"/>
      <c r="V201" s="46"/>
      <c r="Y201" s="2"/>
      <c r="AA201" s="138">
        <v>14250</v>
      </c>
      <c r="AC201" s="171">
        <f t="shared" si="25"/>
        <v>0</v>
      </c>
      <c r="AD201" s="171">
        <f t="shared" si="25"/>
        <v>0</v>
      </c>
    </row>
    <row r="202" spans="1:30">
      <c r="A202" s="118" t="s">
        <v>560</v>
      </c>
      <c r="B202" s="119" t="s">
        <v>532</v>
      </c>
      <c r="C202" s="119" t="s">
        <v>70</v>
      </c>
      <c r="D202" s="119" t="s">
        <v>93</v>
      </c>
      <c r="E202" s="119" t="s">
        <v>1049</v>
      </c>
      <c r="F202" s="119" t="s">
        <v>83</v>
      </c>
      <c r="G202" s="120">
        <v>1</v>
      </c>
      <c r="H202" s="121">
        <v>600</v>
      </c>
      <c r="I202" s="122">
        <v>0</v>
      </c>
      <c r="J202" s="121">
        <f t="shared" si="44"/>
        <v>600</v>
      </c>
      <c r="K202" s="138">
        <f t="shared" si="45"/>
        <v>600</v>
      </c>
      <c r="N202" s="46"/>
      <c r="O202" s="46"/>
      <c r="P202" s="46"/>
      <c r="Q202" s="46"/>
      <c r="R202" s="46"/>
      <c r="S202" s="46"/>
      <c r="T202" s="46"/>
      <c r="U202" s="46"/>
      <c r="V202" s="46"/>
      <c r="Y202" s="2"/>
      <c r="AA202" s="138">
        <v>600</v>
      </c>
      <c r="AC202" s="171">
        <f t="shared" si="25"/>
        <v>0</v>
      </c>
      <c r="AD202" s="171">
        <f t="shared" si="25"/>
        <v>0</v>
      </c>
    </row>
    <row r="203" spans="1:30">
      <c r="A203" s="96" t="s">
        <v>571</v>
      </c>
      <c r="B203" s="97" t="s">
        <v>572</v>
      </c>
      <c r="C203" s="97"/>
      <c r="D203" s="97"/>
      <c r="E203" s="97"/>
      <c r="F203" s="97"/>
      <c r="G203" s="98"/>
      <c r="H203" s="99"/>
      <c r="I203" s="100"/>
      <c r="J203" s="99"/>
      <c r="K203" s="131"/>
      <c r="L203" s="103">
        <f>SUM(K204:K206)</f>
        <v>198524.46</v>
      </c>
      <c r="N203" s="46"/>
      <c r="O203" s="46"/>
      <c r="P203" s="46"/>
      <c r="Q203" s="46"/>
      <c r="R203" s="46"/>
      <c r="S203" s="46"/>
      <c r="T203" s="46"/>
      <c r="U203" s="46"/>
      <c r="V203" s="46"/>
      <c r="Y203" s="2"/>
      <c r="AA203" s="131"/>
      <c r="AB203" s="103">
        <v>198524.46</v>
      </c>
      <c r="AC203" s="171">
        <f t="shared" si="25"/>
        <v>0</v>
      </c>
      <c r="AD203" s="171">
        <f t="shared" si="25"/>
        <v>0</v>
      </c>
    </row>
    <row r="204" spans="1:30">
      <c r="A204" s="111" t="s">
        <v>563</v>
      </c>
      <c r="B204" s="112" t="s">
        <v>564</v>
      </c>
      <c r="C204" s="112" t="s">
        <v>144</v>
      </c>
      <c r="D204" s="112" t="s">
        <v>81</v>
      </c>
      <c r="E204" s="112" t="s">
        <v>76</v>
      </c>
      <c r="F204" s="112" t="s">
        <v>83</v>
      </c>
      <c r="G204" s="113">
        <f>$B$11</f>
        <v>3</v>
      </c>
      <c r="H204" s="114">
        <v>900</v>
      </c>
      <c r="I204" s="115">
        <v>0</v>
      </c>
      <c r="J204" s="116">
        <f t="shared" ref="J204:J206" si="46">H204*(1+I204)</f>
        <v>900</v>
      </c>
      <c r="K204" s="117">
        <f t="shared" ref="K204:K206" si="47">J204*G204</f>
        <v>2700</v>
      </c>
      <c r="N204" s="46" t="s">
        <v>565</v>
      </c>
      <c r="O204" s="46"/>
      <c r="P204" s="46"/>
      <c r="Q204" s="46"/>
      <c r="R204" s="46"/>
      <c r="S204" s="46"/>
      <c r="T204" s="46"/>
      <c r="U204" s="46"/>
      <c r="V204" s="46"/>
      <c r="Y204" s="2"/>
      <c r="AA204" s="117">
        <v>2700</v>
      </c>
      <c r="AC204" s="171">
        <f t="shared" si="25"/>
        <v>0</v>
      </c>
      <c r="AD204" s="171">
        <f t="shared" si="25"/>
        <v>0</v>
      </c>
    </row>
    <row r="205" spans="1:30">
      <c r="A205" s="118" t="s">
        <v>566</v>
      </c>
      <c r="B205" s="119" t="s">
        <v>567</v>
      </c>
      <c r="C205" s="119" t="s">
        <v>70</v>
      </c>
      <c r="D205" s="119" t="s">
        <v>81</v>
      </c>
      <c r="E205" s="119" t="s">
        <v>329</v>
      </c>
      <c r="F205" s="119" t="s">
        <v>185</v>
      </c>
      <c r="G205" s="120">
        <f t="shared" ref="G205" si="48">$B$8</f>
        <v>329194</v>
      </c>
      <c r="H205" s="121">
        <v>0.59</v>
      </c>
      <c r="I205" s="122">
        <v>0</v>
      </c>
      <c r="J205" s="121">
        <f t="shared" si="46"/>
        <v>0.59</v>
      </c>
      <c r="K205" s="138">
        <f t="shared" si="47"/>
        <v>194224.46</v>
      </c>
      <c r="N205" s="46"/>
      <c r="O205" s="46"/>
      <c r="P205" s="46"/>
      <c r="Q205" s="46"/>
      <c r="R205" s="46"/>
      <c r="S205" s="46"/>
      <c r="T205" s="46"/>
      <c r="U205" s="46"/>
      <c r="V205" s="46"/>
      <c r="Y205" s="2"/>
      <c r="AA205" s="138">
        <v>194224.46</v>
      </c>
      <c r="AC205" s="171">
        <f t="shared" si="25"/>
        <v>0</v>
      </c>
      <c r="AD205" s="171">
        <f t="shared" si="25"/>
        <v>0</v>
      </c>
    </row>
    <row r="206" spans="1:30">
      <c r="A206" s="118" t="s">
        <v>568</v>
      </c>
      <c r="B206" s="119" t="s">
        <v>569</v>
      </c>
      <c r="C206" s="119" t="s">
        <v>70</v>
      </c>
      <c r="D206" s="119" t="s">
        <v>103</v>
      </c>
      <c r="E206" s="119" t="s">
        <v>87</v>
      </c>
      <c r="F206" s="119" t="s">
        <v>83</v>
      </c>
      <c r="G206" s="120">
        <f>$O$6</f>
        <v>2</v>
      </c>
      <c r="H206" s="121">
        <v>800</v>
      </c>
      <c r="I206" s="122">
        <v>0</v>
      </c>
      <c r="J206" s="121">
        <f t="shared" si="46"/>
        <v>800</v>
      </c>
      <c r="K206" s="138">
        <f t="shared" si="47"/>
        <v>1600</v>
      </c>
      <c r="N206" s="46" t="s">
        <v>570</v>
      </c>
      <c r="O206" s="46"/>
      <c r="P206" s="46"/>
      <c r="Q206" s="46"/>
      <c r="R206" s="46"/>
      <c r="S206" s="46"/>
      <c r="T206" s="46"/>
      <c r="U206" s="46"/>
      <c r="V206" s="46"/>
      <c r="Y206" s="2"/>
      <c r="AA206" s="138">
        <v>1600</v>
      </c>
      <c r="AC206" s="171">
        <f t="shared" si="25"/>
        <v>0</v>
      </c>
      <c r="AD206" s="171">
        <f t="shared" si="25"/>
        <v>0</v>
      </c>
    </row>
    <row r="207" spans="1:30">
      <c r="A207" s="96" t="s">
        <v>582</v>
      </c>
      <c r="B207" s="97" t="s">
        <v>583</v>
      </c>
      <c r="C207" s="97"/>
      <c r="D207" s="97"/>
      <c r="E207" s="97"/>
      <c r="F207" s="97"/>
      <c r="G207" s="98"/>
      <c r="H207" s="99"/>
      <c r="I207" s="100"/>
      <c r="J207" s="99"/>
      <c r="K207" s="131"/>
      <c r="L207" s="103">
        <f>SUM(K208:K210)</f>
        <v>908865</v>
      </c>
      <c r="N207" s="46"/>
      <c r="O207" s="46"/>
      <c r="P207" s="46"/>
      <c r="Q207" s="46"/>
      <c r="R207" s="46"/>
      <c r="S207" s="46"/>
      <c r="T207" s="46"/>
      <c r="U207" s="46"/>
      <c r="V207" s="46"/>
      <c r="Y207" s="2"/>
      <c r="AA207" s="131"/>
      <c r="AB207" s="103">
        <v>908865</v>
      </c>
      <c r="AC207" s="171">
        <f t="shared" si="25"/>
        <v>0</v>
      </c>
      <c r="AD207" s="171">
        <f t="shared" si="25"/>
        <v>0</v>
      </c>
    </row>
    <row r="208" spans="1:30">
      <c r="A208" s="152" t="s">
        <v>573</v>
      </c>
      <c r="B208" s="112" t="s">
        <v>574</v>
      </c>
      <c r="C208" s="112" t="s">
        <v>70</v>
      </c>
      <c r="D208" s="112" t="s">
        <v>81</v>
      </c>
      <c r="E208" s="112" t="s">
        <v>1049</v>
      </c>
      <c r="F208" s="112" t="s">
        <v>344</v>
      </c>
      <c r="G208" s="113">
        <f>$E$8</f>
        <v>363</v>
      </c>
      <c r="H208" s="114">
        <v>580</v>
      </c>
      <c r="I208" s="115">
        <v>0</v>
      </c>
      <c r="J208" s="116">
        <f t="shared" ref="J208:J209" si="49">H208*(1+I208)</f>
        <v>580</v>
      </c>
      <c r="K208" s="117">
        <f t="shared" ref="K208:K209" si="50">J208*G208</f>
        <v>210540</v>
      </c>
      <c r="N208" s="46"/>
      <c r="O208" s="46"/>
      <c r="P208" s="46"/>
      <c r="Q208" s="46"/>
      <c r="R208" s="46"/>
      <c r="S208" s="46"/>
      <c r="T208" s="46"/>
      <c r="U208" s="46"/>
      <c r="V208" s="46"/>
      <c r="Y208" s="2"/>
      <c r="AA208" s="117">
        <v>210540</v>
      </c>
      <c r="AC208" s="171">
        <f t="shared" si="25"/>
        <v>0</v>
      </c>
      <c r="AD208" s="171">
        <f t="shared" si="25"/>
        <v>0</v>
      </c>
    </row>
    <row r="209" spans="1:30">
      <c r="A209" s="118" t="s">
        <v>575</v>
      </c>
      <c r="B209" s="119" t="s">
        <v>576</v>
      </c>
      <c r="C209" s="119" t="s">
        <v>70</v>
      </c>
      <c r="D209" s="119" t="s">
        <v>75</v>
      </c>
      <c r="E209" s="119" t="s">
        <v>1049</v>
      </c>
      <c r="F209" s="119" t="s">
        <v>344</v>
      </c>
      <c r="G209" s="120">
        <f>$E$8</f>
        <v>363</v>
      </c>
      <c r="H209" s="121">
        <v>327</v>
      </c>
      <c r="I209" s="122">
        <v>0</v>
      </c>
      <c r="J209" s="121">
        <f t="shared" si="49"/>
        <v>327</v>
      </c>
      <c r="K209" s="138">
        <f t="shared" si="50"/>
        <v>118701</v>
      </c>
      <c r="N209" s="46"/>
      <c r="O209" s="46"/>
      <c r="P209" s="46"/>
      <c r="Q209" s="46"/>
      <c r="R209" s="46"/>
      <c r="S209" s="46"/>
      <c r="T209" s="46"/>
      <c r="U209" s="46"/>
      <c r="V209" s="46"/>
      <c r="Y209" s="2"/>
      <c r="AA209" s="138">
        <v>118701</v>
      </c>
      <c r="AC209" s="171">
        <f t="shared" si="25"/>
        <v>0</v>
      </c>
      <c r="AD209" s="171">
        <f t="shared" si="25"/>
        <v>0</v>
      </c>
    </row>
    <row r="210" spans="1:30">
      <c r="A210" s="118" t="s">
        <v>578</v>
      </c>
      <c r="B210" s="119" t="s">
        <v>579</v>
      </c>
      <c r="C210" s="119" t="s">
        <v>70</v>
      </c>
      <c r="D210" s="119" t="s">
        <v>81</v>
      </c>
      <c r="E210" s="119" t="s">
        <v>343</v>
      </c>
      <c r="F210" s="119" t="s">
        <v>344</v>
      </c>
      <c r="G210" s="238">
        <f>'[59]Scenario 2 - Phase 1'!G210+'[59]Scenario 2 - Phase 2'!G210</f>
        <v>363</v>
      </c>
      <c r="H210" s="237">
        <f t="shared" ref="H210" si="51">K210/G210</f>
        <v>1596.7603305785124</v>
      </c>
      <c r="I210" s="122">
        <v>0</v>
      </c>
      <c r="J210" s="121"/>
      <c r="K210" s="239">
        <f>'[59]Scenario 2 - Phase 1'!K210+'[59]Scenario 2 - Phase 2'!K210</f>
        <v>579624</v>
      </c>
      <c r="N210" s="46"/>
      <c r="O210" s="46"/>
      <c r="P210" s="46"/>
      <c r="Q210" s="46"/>
      <c r="R210" s="46"/>
      <c r="S210" s="46"/>
      <c r="T210" s="46"/>
      <c r="U210" s="46"/>
      <c r="V210" s="46"/>
      <c r="Y210" s="2"/>
      <c r="AA210" s="138">
        <v>579624</v>
      </c>
      <c r="AC210" s="171">
        <f t="shared" si="25"/>
        <v>0</v>
      </c>
      <c r="AD210" s="171">
        <f t="shared" si="25"/>
        <v>0</v>
      </c>
    </row>
    <row r="211" spans="1:30">
      <c r="A211" s="96" t="s">
        <v>603</v>
      </c>
      <c r="B211" s="97" t="s">
        <v>604</v>
      </c>
      <c r="C211" s="97"/>
      <c r="D211" s="97"/>
      <c r="E211" s="97"/>
      <c r="F211" s="97"/>
      <c r="G211" s="98"/>
      <c r="H211" s="99"/>
      <c r="I211" s="100"/>
      <c r="J211" s="99"/>
      <c r="K211" s="131"/>
      <c r="L211" s="103">
        <f>SUM(K212:K220)</f>
        <v>1317559.3374999999</v>
      </c>
      <c r="N211" s="46"/>
      <c r="O211" s="46"/>
      <c r="P211" s="46"/>
      <c r="Q211" s="46"/>
      <c r="R211" s="46"/>
      <c r="S211" s="46"/>
      <c r="T211" s="46"/>
      <c r="U211" s="46"/>
      <c r="V211" s="46"/>
      <c r="Y211" s="2"/>
      <c r="AA211" s="131"/>
      <c r="AB211" s="103">
        <v>1317559.3374999999</v>
      </c>
      <c r="AC211" s="171">
        <f t="shared" si="25"/>
        <v>0</v>
      </c>
      <c r="AD211" s="171">
        <f t="shared" si="25"/>
        <v>0</v>
      </c>
    </row>
    <row r="212" spans="1:30">
      <c r="A212" s="111" t="s">
        <v>584</v>
      </c>
      <c r="B212" s="112" t="s">
        <v>585</v>
      </c>
      <c r="C212" s="112" t="s">
        <v>70</v>
      </c>
      <c r="D212" s="112" t="s">
        <v>75</v>
      </c>
      <c r="E212" s="112" t="s">
        <v>1160</v>
      </c>
      <c r="F212" s="112" t="s">
        <v>552</v>
      </c>
      <c r="G212" s="153">
        <f>$B$9</f>
        <v>17.25</v>
      </c>
      <c r="H212" s="114">
        <v>6331.5499999999993</v>
      </c>
      <c r="I212" s="115">
        <v>0</v>
      </c>
      <c r="J212" s="116">
        <f t="shared" ref="J212:J220" si="52">H212*(1+I212)</f>
        <v>6331.5499999999993</v>
      </c>
      <c r="K212" s="117">
        <f t="shared" ref="K212:K220" si="53">J212*G212</f>
        <v>109219.23749999999</v>
      </c>
      <c r="N212" s="46"/>
      <c r="O212" s="46"/>
      <c r="P212" s="46"/>
      <c r="Q212" s="46"/>
      <c r="R212" s="46"/>
      <c r="S212" s="46"/>
      <c r="T212" s="46"/>
      <c r="U212" s="46"/>
      <c r="V212" s="46"/>
      <c r="Y212" s="2"/>
      <c r="AA212" s="117">
        <v>109219.23749999999</v>
      </c>
      <c r="AC212" s="171">
        <f t="shared" si="25"/>
        <v>0</v>
      </c>
      <c r="AD212" s="171">
        <f t="shared" si="25"/>
        <v>0</v>
      </c>
    </row>
    <row r="213" spans="1:30">
      <c r="A213" s="118" t="s">
        <v>586</v>
      </c>
      <c r="B213" s="119" t="s">
        <v>587</v>
      </c>
      <c r="C213" s="119" t="s">
        <v>70</v>
      </c>
      <c r="D213" s="119" t="s">
        <v>75</v>
      </c>
      <c r="E213" s="119" t="s">
        <v>1160</v>
      </c>
      <c r="F213" s="119" t="s">
        <v>552</v>
      </c>
      <c r="G213" s="151">
        <f>$B$9</f>
        <v>17.25</v>
      </c>
      <c r="H213" s="121">
        <v>3485.6</v>
      </c>
      <c r="I213" s="122">
        <v>0</v>
      </c>
      <c r="J213" s="121">
        <f t="shared" si="52"/>
        <v>3485.6</v>
      </c>
      <c r="K213" s="138">
        <f t="shared" si="53"/>
        <v>60126.6</v>
      </c>
      <c r="N213" s="46"/>
      <c r="O213" s="46"/>
      <c r="P213" s="46"/>
      <c r="Q213" s="46"/>
      <c r="R213" s="46"/>
      <c r="S213" s="46"/>
      <c r="T213" s="46"/>
      <c r="U213" s="46"/>
      <c r="V213" s="46"/>
      <c r="Y213" s="2"/>
      <c r="AA213" s="138">
        <v>60126.6</v>
      </c>
      <c r="AC213" s="171">
        <f t="shared" ref="AC213:AD276" si="54">AA213-K213</f>
        <v>0</v>
      </c>
      <c r="AD213" s="171">
        <f t="shared" si="54"/>
        <v>0</v>
      </c>
    </row>
    <row r="214" spans="1:30">
      <c r="A214" s="118" t="s">
        <v>1111</v>
      </c>
      <c r="B214" s="119" t="s">
        <v>589</v>
      </c>
      <c r="C214" s="119" t="s">
        <v>70</v>
      </c>
      <c r="D214" s="119" t="s">
        <v>75</v>
      </c>
      <c r="E214" s="119" t="s">
        <v>87</v>
      </c>
      <c r="F214" s="119"/>
      <c r="G214" s="120"/>
      <c r="H214" s="121"/>
      <c r="I214" s="122">
        <v>0</v>
      </c>
      <c r="J214" s="121">
        <f t="shared" si="52"/>
        <v>0</v>
      </c>
      <c r="K214" s="138">
        <f t="shared" si="53"/>
        <v>0</v>
      </c>
      <c r="N214" s="46"/>
      <c r="O214" s="46"/>
      <c r="P214" s="46"/>
      <c r="Q214" s="46"/>
      <c r="R214" s="46"/>
      <c r="S214" s="46"/>
      <c r="T214" s="46"/>
      <c r="U214" s="46"/>
      <c r="V214" s="46"/>
      <c r="Y214" s="2"/>
      <c r="AA214" s="138">
        <v>0</v>
      </c>
      <c r="AC214" s="171">
        <f t="shared" si="54"/>
        <v>0</v>
      </c>
      <c r="AD214" s="171">
        <f t="shared" si="54"/>
        <v>0</v>
      </c>
    </row>
    <row r="215" spans="1:30">
      <c r="A215" s="118" t="s">
        <v>590</v>
      </c>
      <c r="B215" s="119" t="s">
        <v>591</v>
      </c>
      <c r="C215" s="119" t="s">
        <v>70</v>
      </c>
      <c r="D215" s="119" t="s">
        <v>75</v>
      </c>
      <c r="E215" s="119" t="s">
        <v>131</v>
      </c>
      <c r="F215" s="119" t="s">
        <v>83</v>
      </c>
      <c r="G215" s="238">
        <f>'[59]Scenario 2 - Phase 1'!G215+'[59]Scenario 2 - Phase 2'!G215</f>
        <v>2</v>
      </c>
      <c r="H215" s="237">
        <f>K215/G215</f>
        <v>62500</v>
      </c>
      <c r="I215" s="122">
        <v>0</v>
      </c>
      <c r="J215" s="121"/>
      <c r="K215" s="239">
        <f>'[59]Scenario 2 - Phase 1'!K215+'[59]Scenario 2 - Phase 2'!K215</f>
        <v>125000</v>
      </c>
      <c r="N215" s="46" t="s">
        <v>611</v>
      </c>
      <c r="O215" s="46"/>
      <c r="P215" s="46"/>
      <c r="Q215" s="46"/>
      <c r="R215" s="46"/>
      <c r="S215" s="46"/>
      <c r="T215" s="46"/>
      <c r="U215" s="46"/>
      <c r="V215" s="46"/>
      <c r="Y215" s="2"/>
      <c r="AA215" s="138">
        <v>125000</v>
      </c>
      <c r="AC215" s="171">
        <f t="shared" si="54"/>
        <v>0</v>
      </c>
      <c r="AD215" s="171">
        <f t="shared" si="54"/>
        <v>0</v>
      </c>
    </row>
    <row r="216" spans="1:30">
      <c r="A216" s="118" t="s">
        <v>592</v>
      </c>
      <c r="B216" s="119" t="s">
        <v>593</v>
      </c>
      <c r="C216" s="119" t="s">
        <v>70</v>
      </c>
      <c r="D216" s="119" t="s">
        <v>75</v>
      </c>
      <c r="E216" s="119" t="s">
        <v>131</v>
      </c>
      <c r="F216" s="119" t="s">
        <v>83</v>
      </c>
      <c r="G216" s="238">
        <f>'[59]Scenario 2 - Phase 1'!G216+'[59]Scenario 2 - Phase 2'!G216</f>
        <v>2</v>
      </c>
      <c r="H216" s="237">
        <f>K216/G216</f>
        <v>330561</v>
      </c>
      <c r="I216" s="122">
        <v>0</v>
      </c>
      <c r="J216" s="121"/>
      <c r="K216" s="239">
        <f>'[59]Scenario 2 - Phase 1'!K216+'[59]Scenario 2 - Phase 2'!K216</f>
        <v>661122</v>
      </c>
      <c r="N216" s="46" t="s">
        <v>611</v>
      </c>
      <c r="O216" s="46"/>
      <c r="P216" s="46"/>
      <c r="Q216" s="46"/>
      <c r="R216" s="46"/>
      <c r="S216" s="46"/>
      <c r="T216" s="46"/>
      <c r="U216" s="46"/>
      <c r="V216" s="46"/>
      <c r="Y216" s="2"/>
      <c r="AA216" s="138">
        <v>661122</v>
      </c>
      <c r="AC216" s="171">
        <f t="shared" si="54"/>
        <v>0</v>
      </c>
      <c r="AD216" s="171">
        <f t="shared" si="54"/>
        <v>0</v>
      </c>
    </row>
    <row r="217" spans="1:30">
      <c r="A217" s="118" t="s">
        <v>595</v>
      </c>
      <c r="B217" s="119" t="s">
        <v>596</v>
      </c>
      <c r="C217" s="119" t="s">
        <v>70</v>
      </c>
      <c r="D217" s="119" t="s">
        <v>75</v>
      </c>
      <c r="E217" s="119" t="s">
        <v>131</v>
      </c>
      <c r="F217" s="119" t="s">
        <v>83</v>
      </c>
      <c r="G217" s="238">
        <f>'[59]Scenario 2 - Phase 1'!G217+'[59]Scenario 2 - Phase 2'!G217</f>
        <v>2</v>
      </c>
      <c r="H217" s="237">
        <f t="shared" ref="H217:H218" si="55">K217/G217</f>
        <v>8707</v>
      </c>
      <c r="I217" s="122">
        <v>0</v>
      </c>
      <c r="J217" s="121"/>
      <c r="K217" s="239">
        <f>'[59]Scenario 2 - Phase 1'!K217+'[59]Scenario 2 - Phase 2'!K217</f>
        <v>17414</v>
      </c>
      <c r="N217" s="46" t="s">
        <v>611</v>
      </c>
      <c r="O217" s="46"/>
      <c r="P217" s="46"/>
      <c r="Q217" s="46"/>
      <c r="R217" s="46"/>
      <c r="S217" s="46"/>
      <c r="T217" s="46"/>
      <c r="U217" s="46"/>
      <c r="V217" s="46"/>
      <c r="Y217" s="2"/>
      <c r="AA217" s="138">
        <v>17414</v>
      </c>
      <c r="AC217" s="171">
        <f t="shared" si="54"/>
        <v>0</v>
      </c>
      <c r="AD217" s="171">
        <f t="shared" si="54"/>
        <v>0</v>
      </c>
    </row>
    <row r="218" spans="1:30">
      <c r="A218" s="118" t="s">
        <v>597</v>
      </c>
      <c r="B218" s="119" t="s">
        <v>598</v>
      </c>
      <c r="C218" s="119" t="s">
        <v>70</v>
      </c>
      <c r="D218" s="119" t="s">
        <v>75</v>
      </c>
      <c r="E218" s="119" t="s">
        <v>131</v>
      </c>
      <c r="F218" s="119" t="s">
        <v>83</v>
      </c>
      <c r="G218" s="238">
        <f>'[59]Scenario 2 - Phase 1'!G218+'[59]Scenario 2 - Phase 2'!G218</f>
        <v>2</v>
      </c>
      <c r="H218" s="237">
        <f t="shared" si="55"/>
        <v>150000</v>
      </c>
      <c r="I218" s="122">
        <v>0</v>
      </c>
      <c r="J218" s="121"/>
      <c r="K218" s="239">
        <f>'[59]Scenario 2 - Phase 1'!K218+'[59]Scenario 2 - Phase 2'!K218</f>
        <v>300000</v>
      </c>
      <c r="N218" s="46" t="s">
        <v>611</v>
      </c>
      <c r="O218" s="46"/>
      <c r="P218" s="46"/>
      <c r="Q218" s="46"/>
      <c r="R218" s="46"/>
      <c r="S218" s="46"/>
      <c r="T218" s="46"/>
      <c r="U218" s="46"/>
      <c r="V218" s="46"/>
      <c r="Y218" s="2"/>
      <c r="AA218" s="138">
        <v>300000</v>
      </c>
      <c r="AC218" s="171">
        <f t="shared" si="54"/>
        <v>0</v>
      </c>
      <c r="AD218" s="171">
        <f t="shared" si="54"/>
        <v>0</v>
      </c>
    </row>
    <row r="219" spans="1:30">
      <c r="A219" s="118" t="s">
        <v>599</v>
      </c>
      <c r="B219" s="119" t="s">
        <v>600</v>
      </c>
      <c r="C219" s="119" t="s">
        <v>70</v>
      </c>
      <c r="D219" s="119" t="s">
        <v>75</v>
      </c>
      <c r="E219" s="119" t="s">
        <v>87</v>
      </c>
      <c r="F219" s="119"/>
      <c r="G219" s="120"/>
      <c r="H219" s="121"/>
      <c r="I219" s="122">
        <v>0</v>
      </c>
      <c r="J219" s="121">
        <f t="shared" si="52"/>
        <v>0</v>
      </c>
      <c r="K219" s="138">
        <f t="shared" si="53"/>
        <v>0</v>
      </c>
      <c r="N219" s="46"/>
      <c r="O219" s="46"/>
      <c r="P219" s="46"/>
      <c r="Q219" s="46"/>
      <c r="R219" s="46"/>
      <c r="S219" s="46"/>
      <c r="T219" s="46"/>
      <c r="U219" s="46"/>
      <c r="V219" s="46"/>
      <c r="Y219" s="2"/>
      <c r="AA219" s="138">
        <v>0</v>
      </c>
      <c r="AC219" s="171">
        <f t="shared" si="54"/>
        <v>0</v>
      </c>
      <c r="AD219" s="171">
        <f t="shared" si="54"/>
        <v>0</v>
      </c>
    </row>
    <row r="220" spans="1:30">
      <c r="A220" s="118" t="s">
        <v>601</v>
      </c>
      <c r="B220" s="119" t="s">
        <v>602</v>
      </c>
      <c r="C220" s="119" t="s">
        <v>70</v>
      </c>
      <c r="D220" s="119" t="s">
        <v>75</v>
      </c>
      <c r="E220" s="119" t="s">
        <v>1160</v>
      </c>
      <c r="F220" s="119" t="s">
        <v>552</v>
      </c>
      <c r="G220" s="151">
        <f>$B$9</f>
        <v>17.25</v>
      </c>
      <c r="H220" s="121">
        <v>2590</v>
      </c>
      <c r="I220" s="122">
        <v>0</v>
      </c>
      <c r="J220" s="121">
        <f t="shared" si="52"/>
        <v>2590</v>
      </c>
      <c r="K220" s="138">
        <f t="shared" si="53"/>
        <v>44677.5</v>
      </c>
      <c r="N220" s="46"/>
      <c r="O220" s="46"/>
      <c r="P220" s="46"/>
      <c r="Q220" s="46"/>
      <c r="R220" s="46"/>
      <c r="S220" s="46"/>
      <c r="T220" s="46"/>
      <c r="U220" s="46"/>
      <c r="V220" s="46"/>
      <c r="Y220" s="2"/>
      <c r="AA220" s="138">
        <v>44677.5</v>
      </c>
      <c r="AC220" s="171">
        <f t="shared" si="54"/>
        <v>0</v>
      </c>
      <c r="AD220" s="171">
        <f t="shared" si="54"/>
        <v>0</v>
      </c>
    </row>
    <row r="221" spans="1:30">
      <c r="A221" s="96" t="s">
        <v>679</v>
      </c>
      <c r="B221" s="97" t="s">
        <v>680</v>
      </c>
      <c r="C221" s="97"/>
      <c r="D221" s="97"/>
      <c r="E221" s="97"/>
      <c r="F221" s="97"/>
      <c r="G221" s="98"/>
      <c r="H221" s="99"/>
      <c r="I221" s="100"/>
      <c r="J221" s="99"/>
      <c r="K221" s="131"/>
      <c r="L221" s="103">
        <f>SUM(K222:K257)</f>
        <v>6058984.0669230772</v>
      </c>
      <c r="N221" s="46"/>
      <c r="O221" s="46"/>
      <c r="P221" s="46"/>
      <c r="Q221" s="46"/>
      <c r="R221" s="46"/>
      <c r="S221" s="46"/>
      <c r="T221" s="46"/>
      <c r="U221" s="46"/>
      <c r="V221" s="46"/>
      <c r="Y221" s="2"/>
      <c r="AA221" s="131"/>
      <c r="AB221" s="103">
        <v>6212777.8153968258</v>
      </c>
      <c r="AC221" s="171">
        <f t="shared" si="54"/>
        <v>0</v>
      </c>
      <c r="AD221" s="171">
        <f t="shared" si="54"/>
        <v>153793.74847374856</v>
      </c>
    </row>
    <row r="222" spans="1:30">
      <c r="A222" s="111" t="s">
        <v>605</v>
      </c>
      <c r="B222" s="112" t="s">
        <v>606</v>
      </c>
      <c r="C222" s="112" t="s">
        <v>90</v>
      </c>
      <c r="D222" s="112" t="s">
        <v>75</v>
      </c>
      <c r="E222" s="112" t="s">
        <v>1049</v>
      </c>
      <c r="F222" s="112" t="s">
        <v>83</v>
      </c>
      <c r="G222" s="238">
        <f>'[59]Scenario 2 - Phase 1'!G222+'[59]Scenario 2 - Phase 2'!G222</f>
        <v>2</v>
      </c>
      <c r="H222" s="237">
        <f t="shared" ref="H222:H225" si="56">K222/G222</f>
        <v>5000</v>
      </c>
      <c r="I222" s="122">
        <v>0</v>
      </c>
      <c r="J222" s="121"/>
      <c r="K222" s="239">
        <f>'[59]Scenario 2 - Phase 1'!K222+'[59]Scenario 2 - Phase 2'!K222</f>
        <v>10000</v>
      </c>
      <c r="N222" s="46"/>
      <c r="O222" s="46"/>
      <c r="P222" s="46"/>
      <c r="Q222" s="46"/>
      <c r="R222" s="46"/>
      <c r="S222" s="46"/>
      <c r="T222" s="46"/>
      <c r="U222" s="46"/>
      <c r="V222" s="46"/>
      <c r="Y222" s="2"/>
      <c r="AA222" s="117">
        <v>10000</v>
      </c>
      <c r="AC222" s="171">
        <f t="shared" si="54"/>
        <v>0</v>
      </c>
      <c r="AD222" s="171">
        <f t="shared" si="54"/>
        <v>0</v>
      </c>
    </row>
    <row r="223" spans="1:30">
      <c r="A223" s="118" t="s">
        <v>607</v>
      </c>
      <c r="B223" s="119" t="s">
        <v>608</v>
      </c>
      <c r="C223" s="119" t="s">
        <v>70</v>
      </c>
      <c r="D223" s="119" t="s">
        <v>97</v>
      </c>
      <c r="E223" s="119" t="s">
        <v>1049</v>
      </c>
      <c r="F223" s="119" t="s">
        <v>83</v>
      </c>
      <c r="G223" s="238">
        <f>'[59]Scenario 2 - Phase 1'!G223+'[59]Scenario 2 - Phase 2'!G223</f>
        <v>2</v>
      </c>
      <c r="H223" s="237">
        <f t="shared" si="56"/>
        <v>7500</v>
      </c>
      <c r="I223" s="122">
        <v>0</v>
      </c>
      <c r="J223" s="121"/>
      <c r="K223" s="239">
        <f>'[59]Scenario 2 - Phase 1'!K223+'[59]Scenario 2 - Phase 2'!K223</f>
        <v>15000</v>
      </c>
      <c r="N223" s="46"/>
      <c r="O223" s="46"/>
      <c r="P223" s="46"/>
      <c r="Q223" s="46"/>
      <c r="R223" s="46"/>
      <c r="S223" s="46"/>
      <c r="T223" s="46"/>
      <c r="U223" s="46"/>
      <c r="V223" s="46"/>
      <c r="Y223" s="2"/>
      <c r="AA223" s="138">
        <v>15000</v>
      </c>
      <c r="AC223" s="171">
        <f t="shared" si="54"/>
        <v>0</v>
      </c>
      <c r="AD223" s="171">
        <f t="shared" si="54"/>
        <v>0</v>
      </c>
    </row>
    <row r="224" spans="1:30">
      <c r="A224" s="118" t="s">
        <v>609</v>
      </c>
      <c r="B224" s="119" t="s">
        <v>610</v>
      </c>
      <c r="C224" s="119" t="s">
        <v>70</v>
      </c>
      <c r="D224" s="119" t="s">
        <v>75</v>
      </c>
      <c r="E224" s="119" t="s">
        <v>131</v>
      </c>
      <c r="F224" s="119" t="s">
        <v>83</v>
      </c>
      <c r="G224" s="238">
        <f>'[59]Scenario 2 - Phase 1'!G224+'[59]Scenario 2 - Phase 2'!G224</f>
        <v>2</v>
      </c>
      <c r="H224" s="237">
        <f t="shared" si="56"/>
        <v>11250</v>
      </c>
      <c r="I224" s="122">
        <v>0</v>
      </c>
      <c r="J224" s="121"/>
      <c r="K224" s="239">
        <f>'[59]Scenario 2 - Phase 1'!K224+'[59]Scenario 2 - Phase 2'!K224</f>
        <v>22500</v>
      </c>
      <c r="N224" s="46" t="s">
        <v>611</v>
      </c>
      <c r="O224" s="46"/>
      <c r="P224" s="46"/>
      <c r="Q224" s="46"/>
      <c r="R224" s="46"/>
      <c r="S224" s="46"/>
      <c r="T224" s="46"/>
      <c r="U224" s="46"/>
      <c r="V224" s="46"/>
      <c r="Y224" s="2"/>
      <c r="AA224" s="138">
        <v>22500</v>
      </c>
      <c r="AC224" s="171">
        <f t="shared" si="54"/>
        <v>0</v>
      </c>
      <c r="AD224" s="171">
        <f t="shared" si="54"/>
        <v>0</v>
      </c>
    </row>
    <row r="225" spans="1:30">
      <c r="A225" s="118" t="s">
        <v>612</v>
      </c>
      <c r="B225" s="119" t="s">
        <v>613</v>
      </c>
      <c r="C225" s="119" t="s">
        <v>70</v>
      </c>
      <c r="D225" s="119" t="s">
        <v>75</v>
      </c>
      <c r="E225" s="119" t="s">
        <v>131</v>
      </c>
      <c r="F225" s="119" t="s">
        <v>83</v>
      </c>
      <c r="G225" s="238">
        <f>'[59]Scenario 2 - Phase 1'!G225+'[59]Scenario 2 - Phase 2'!G225</f>
        <v>2</v>
      </c>
      <c r="H225" s="237">
        <f t="shared" si="56"/>
        <v>372987.97</v>
      </c>
      <c r="I225" s="122">
        <v>0</v>
      </c>
      <c r="J225" s="121"/>
      <c r="K225" s="239">
        <f>'[59]Scenario 2 - Phase 1'!K225+'[59]Scenario 2 - Phase 2'!K225</f>
        <v>745975.94</v>
      </c>
      <c r="N225" s="46" t="s">
        <v>611</v>
      </c>
      <c r="O225" s="46"/>
      <c r="P225" s="46"/>
      <c r="Q225" s="46"/>
      <c r="R225" s="46"/>
      <c r="S225" s="46"/>
      <c r="T225" s="46"/>
      <c r="U225" s="46"/>
      <c r="V225" s="46"/>
      <c r="Y225" s="2"/>
      <c r="AA225" s="138">
        <v>745975.94</v>
      </c>
      <c r="AC225" s="171">
        <f t="shared" si="54"/>
        <v>0</v>
      </c>
      <c r="AD225" s="171">
        <f t="shared" si="54"/>
        <v>0</v>
      </c>
    </row>
    <row r="226" spans="1:30">
      <c r="A226" s="118" t="s">
        <v>615</v>
      </c>
      <c r="B226" s="119" t="s">
        <v>616</v>
      </c>
      <c r="C226" s="119" t="s">
        <v>70</v>
      </c>
      <c r="D226" s="119" t="s">
        <v>75</v>
      </c>
      <c r="E226" s="119" t="s">
        <v>1049</v>
      </c>
      <c r="F226" s="119" t="s">
        <v>185</v>
      </c>
      <c r="G226" s="120">
        <f>$O$13</f>
        <v>285447</v>
      </c>
      <c r="H226" s="121">
        <v>0.15</v>
      </c>
      <c r="I226" s="122">
        <v>0</v>
      </c>
      <c r="J226" s="121">
        <f t="shared" ref="J226:J257" si="57">H226*(1+I226)</f>
        <v>0.15</v>
      </c>
      <c r="K226" s="138">
        <f t="shared" ref="K226:K257" si="58">J226*G226</f>
        <v>42817.049999999996</v>
      </c>
      <c r="N226" s="46"/>
      <c r="O226" s="46"/>
      <c r="P226" s="46"/>
      <c r="Q226" s="46"/>
      <c r="R226" s="46"/>
      <c r="S226" s="46"/>
      <c r="T226" s="46"/>
      <c r="U226" s="46"/>
      <c r="V226" s="46"/>
      <c r="Y226" s="2"/>
      <c r="AA226" s="138">
        <v>42817.05</v>
      </c>
      <c r="AC226" s="171">
        <f t="shared" si="54"/>
        <v>0</v>
      </c>
      <c r="AD226" s="171">
        <f t="shared" si="54"/>
        <v>0</v>
      </c>
    </row>
    <row r="227" spans="1:30">
      <c r="A227" s="118" t="s">
        <v>617</v>
      </c>
      <c r="B227" s="119" t="s">
        <v>618</v>
      </c>
      <c r="C227" s="119" t="s">
        <v>70</v>
      </c>
      <c r="D227" s="119" t="s">
        <v>87</v>
      </c>
      <c r="E227" s="119" t="s">
        <v>1049</v>
      </c>
      <c r="F227" s="119"/>
      <c r="G227" s="120"/>
      <c r="H227" s="121">
        <v>7.5</v>
      </c>
      <c r="I227" s="122">
        <v>0</v>
      </c>
      <c r="J227" s="121">
        <f t="shared" si="57"/>
        <v>7.5</v>
      </c>
      <c r="K227" s="138">
        <f t="shared" si="58"/>
        <v>0</v>
      </c>
      <c r="N227" s="46"/>
      <c r="O227" s="46"/>
      <c r="P227" s="46"/>
      <c r="Q227" s="46"/>
      <c r="R227" s="46"/>
      <c r="S227" s="46"/>
      <c r="T227" s="46"/>
      <c r="U227" s="46"/>
      <c r="V227" s="46"/>
      <c r="Y227" s="2"/>
      <c r="AA227" s="138">
        <v>0</v>
      </c>
      <c r="AC227" s="171">
        <f t="shared" si="54"/>
        <v>0</v>
      </c>
      <c r="AD227" s="171">
        <f t="shared" si="54"/>
        <v>0</v>
      </c>
    </row>
    <row r="228" spans="1:30">
      <c r="A228" s="118" t="s">
        <v>619</v>
      </c>
      <c r="B228" s="119" t="s">
        <v>620</v>
      </c>
      <c r="C228" s="119" t="s">
        <v>70</v>
      </c>
      <c r="D228" s="119" t="s">
        <v>103</v>
      </c>
      <c r="E228" s="119" t="s">
        <v>1049</v>
      </c>
      <c r="F228" s="119" t="s">
        <v>185</v>
      </c>
      <c r="G228" s="120">
        <v>15600</v>
      </c>
      <c r="H228" s="121">
        <v>7.5</v>
      </c>
      <c r="I228" s="122">
        <v>0</v>
      </c>
      <c r="J228" s="121">
        <f t="shared" si="57"/>
        <v>7.5</v>
      </c>
      <c r="K228" s="138">
        <f t="shared" si="58"/>
        <v>117000</v>
      </c>
      <c r="N228" s="46"/>
      <c r="O228" s="46"/>
      <c r="P228" s="46"/>
      <c r="Q228" s="46"/>
      <c r="R228" s="46"/>
      <c r="S228" s="46"/>
      <c r="T228" s="46"/>
      <c r="U228" s="46"/>
      <c r="V228" s="46"/>
      <c r="Y228" s="2"/>
      <c r="AA228" s="138">
        <v>117000</v>
      </c>
      <c r="AC228" s="171">
        <f t="shared" si="54"/>
        <v>0</v>
      </c>
      <c r="AD228" s="171">
        <f t="shared" si="54"/>
        <v>0</v>
      </c>
    </row>
    <row r="229" spans="1:30">
      <c r="A229" s="118" t="s">
        <v>622</v>
      </c>
      <c r="B229" s="119" t="s">
        <v>623</v>
      </c>
      <c r="C229" s="119" t="s">
        <v>70</v>
      </c>
      <c r="D229" s="119" t="s">
        <v>75</v>
      </c>
      <c r="E229" s="119" t="s">
        <v>131</v>
      </c>
      <c r="F229" s="119" t="s">
        <v>83</v>
      </c>
      <c r="G229" s="238">
        <f>'[59]Scenario 2 - Phase 1'!G229+'[59]Scenario 2 - Phase 2'!G229</f>
        <v>2</v>
      </c>
      <c r="H229" s="237">
        <f t="shared" ref="H229:H231" si="59">K229/G229</f>
        <v>58143.5</v>
      </c>
      <c r="I229" s="122">
        <v>0</v>
      </c>
      <c r="J229" s="121"/>
      <c r="K229" s="239">
        <f>'[59]Scenario 2 - Phase 1'!K229+'[59]Scenario 2 - Phase 2'!K229</f>
        <v>116287</v>
      </c>
      <c r="N229" s="46" t="s">
        <v>611</v>
      </c>
      <c r="O229" s="46"/>
      <c r="P229" s="46"/>
      <c r="Q229" s="46"/>
      <c r="R229" s="46"/>
      <c r="S229" s="46"/>
      <c r="T229" s="46"/>
      <c r="U229" s="46"/>
      <c r="V229" s="46"/>
      <c r="Y229" s="2"/>
      <c r="AA229" s="138">
        <v>116287</v>
      </c>
      <c r="AC229" s="171">
        <f t="shared" si="54"/>
        <v>0</v>
      </c>
      <c r="AD229" s="171">
        <f t="shared" si="54"/>
        <v>0</v>
      </c>
    </row>
    <row r="230" spans="1:30">
      <c r="A230" s="118" t="s">
        <v>624</v>
      </c>
      <c r="B230" s="119" t="s">
        <v>625</v>
      </c>
      <c r="C230" s="119" t="s">
        <v>70</v>
      </c>
      <c r="D230" s="119" t="s">
        <v>75</v>
      </c>
      <c r="E230" s="119" t="s">
        <v>131</v>
      </c>
      <c r="F230" s="119" t="s">
        <v>83</v>
      </c>
      <c r="G230" s="238">
        <f>'[59]Scenario 2 - Phase 1'!G230+'[59]Scenario 2 - Phase 2'!G230</f>
        <v>2</v>
      </c>
      <c r="H230" s="237">
        <f t="shared" si="59"/>
        <v>48966</v>
      </c>
      <c r="I230" s="122">
        <v>0</v>
      </c>
      <c r="J230" s="121"/>
      <c r="K230" s="239">
        <f>'[59]Scenario 2 - Phase 1'!K230+'[59]Scenario 2 - Phase 2'!K230</f>
        <v>97932</v>
      </c>
      <c r="N230" s="46" t="s">
        <v>611</v>
      </c>
      <c r="O230" s="46"/>
      <c r="P230" s="46"/>
      <c r="Q230" s="46"/>
      <c r="R230" s="46"/>
      <c r="S230" s="46"/>
      <c r="T230" s="46"/>
      <c r="U230" s="46"/>
      <c r="V230" s="46"/>
      <c r="Y230" s="2"/>
      <c r="AA230" s="138">
        <v>97932</v>
      </c>
      <c r="AC230" s="171">
        <f t="shared" si="54"/>
        <v>0</v>
      </c>
      <c r="AD230" s="171">
        <f t="shared" si="54"/>
        <v>0</v>
      </c>
    </row>
    <row r="231" spans="1:30">
      <c r="A231" s="118" t="s">
        <v>626</v>
      </c>
      <c r="B231" s="119" t="s">
        <v>627</v>
      </c>
      <c r="C231" s="119" t="s">
        <v>70</v>
      </c>
      <c r="D231" s="119" t="s">
        <v>75</v>
      </c>
      <c r="E231" s="119" t="s">
        <v>131</v>
      </c>
      <c r="F231" s="119" t="s">
        <v>83</v>
      </c>
      <c r="G231" s="238">
        <f>'[59]Scenario 2 - Phase 1'!G231+'[59]Scenario 2 - Phase 2'!G231</f>
        <v>2</v>
      </c>
      <c r="H231" s="237">
        <f t="shared" si="59"/>
        <v>147951</v>
      </c>
      <c r="I231" s="122">
        <v>0</v>
      </c>
      <c r="J231" s="121"/>
      <c r="K231" s="239">
        <f>'[59]Scenario 2 - Phase 1'!K231+'[59]Scenario 2 - Phase 2'!K231</f>
        <v>295902</v>
      </c>
      <c r="N231" s="46" t="s">
        <v>611</v>
      </c>
      <c r="O231" s="46"/>
      <c r="P231" s="46"/>
      <c r="Q231" s="46"/>
      <c r="R231" s="46"/>
      <c r="S231" s="46"/>
      <c r="T231" s="46"/>
      <c r="U231" s="46"/>
      <c r="V231" s="46"/>
      <c r="Y231" s="2"/>
      <c r="AA231" s="138">
        <v>295902</v>
      </c>
      <c r="AC231" s="171">
        <f t="shared" si="54"/>
        <v>0</v>
      </c>
      <c r="AD231" s="171">
        <f t="shared" si="54"/>
        <v>0</v>
      </c>
    </row>
    <row r="232" spans="1:30">
      <c r="A232" s="118" t="s">
        <v>628</v>
      </c>
      <c r="B232" s="119" t="s">
        <v>629</v>
      </c>
      <c r="C232" s="119" t="s">
        <v>70</v>
      </c>
      <c r="D232" s="119" t="s">
        <v>97</v>
      </c>
      <c r="E232" s="119" t="s">
        <v>87</v>
      </c>
      <c r="F232" s="119"/>
      <c r="G232" s="120"/>
      <c r="H232" s="121"/>
      <c r="I232" s="122">
        <v>0</v>
      </c>
      <c r="J232" s="121">
        <f t="shared" si="57"/>
        <v>0</v>
      </c>
      <c r="K232" s="138">
        <f t="shared" si="58"/>
        <v>0</v>
      </c>
      <c r="N232" s="46"/>
      <c r="O232" s="46"/>
      <c r="P232" s="46"/>
      <c r="Q232" s="46"/>
      <c r="R232" s="46"/>
      <c r="S232" s="46"/>
      <c r="T232" s="46"/>
      <c r="U232" s="46"/>
      <c r="V232" s="46"/>
      <c r="Y232" s="2"/>
      <c r="AA232" s="138">
        <v>0</v>
      </c>
      <c r="AC232" s="171">
        <f t="shared" si="54"/>
        <v>0</v>
      </c>
      <c r="AD232" s="171">
        <f t="shared" si="54"/>
        <v>0</v>
      </c>
    </row>
    <row r="233" spans="1:30">
      <c r="A233" s="118" t="s">
        <v>630</v>
      </c>
      <c r="B233" s="119" t="s">
        <v>631</v>
      </c>
      <c r="C233" s="119" t="s">
        <v>70</v>
      </c>
      <c r="D233" s="119" t="s">
        <v>103</v>
      </c>
      <c r="E233" s="119" t="s">
        <v>1049</v>
      </c>
      <c r="F233" s="119" t="s">
        <v>83</v>
      </c>
      <c r="G233" s="120">
        <f>$O$6</f>
        <v>2</v>
      </c>
      <c r="H233" s="121">
        <v>9660</v>
      </c>
      <c r="I233" s="122">
        <v>0</v>
      </c>
      <c r="J233" s="121">
        <f t="shared" si="57"/>
        <v>9660</v>
      </c>
      <c r="K233" s="138">
        <f t="shared" si="58"/>
        <v>19320</v>
      </c>
      <c r="N233" s="46"/>
      <c r="O233" s="46"/>
      <c r="P233" s="46"/>
      <c r="Q233" s="46"/>
      <c r="R233" s="46"/>
      <c r="S233" s="46"/>
      <c r="T233" s="46"/>
      <c r="U233" s="46"/>
      <c r="V233" s="46"/>
      <c r="Y233" s="2"/>
      <c r="AA233" s="138">
        <v>19320</v>
      </c>
      <c r="AC233" s="171">
        <f t="shared" si="54"/>
        <v>0</v>
      </c>
      <c r="AD233" s="171">
        <f t="shared" si="54"/>
        <v>0</v>
      </c>
    </row>
    <row r="234" spans="1:30">
      <c r="A234" s="118" t="s">
        <v>632</v>
      </c>
      <c r="B234" s="119" t="s">
        <v>633</v>
      </c>
      <c r="C234" s="119" t="s">
        <v>70</v>
      </c>
      <c r="D234" s="119" t="s">
        <v>75</v>
      </c>
      <c r="E234" s="119" t="s">
        <v>1049</v>
      </c>
      <c r="F234" s="119" t="s">
        <v>552</v>
      </c>
      <c r="G234" s="151">
        <f>$B$9</f>
        <v>17.25</v>
      </c>
      <c r="H234" s="121">
        <v>2476</v>
      </c>
      <c r="I234" s="122">
        <v>0</v>
      </c>
      <c r="J234" s="121">
        <f t="shared" si="57"/>
        <v>2476</v>
      </c>
      <c r="K234" s="138">
        <f t="shared" si="58"/>
        <v>42711</v>
      </c>
      <c r="N234" s="46"/>
      <c r="O234" s="46"/>
      <c r="P234" s="46"/>
      <c r="Q234" s="46"/>
      <c r="R234" s="46"/>
      <c r="S234" s="46"/>
      <c r="T234" s="46"/>
      <c r="U234" s="46"/>
      <c r="V234" s="46"/>
      <c r="Y234" s="2"/>
      <c r="AA234" s="138">
        <v>42711</v>
      </c>
      <c r="AC234" s="171">
        <f t="shared" si="54"/>
        <v>0</v>
      </c>
      <c r="AD234" s="171">
        <f t="shared" si="54"/>
        <v>0</v>
      </c>
    </row>
    <row r="235" spans="1:30">
      <c r="A235" s="118" t="s">
        <v>634</v>
      </c>
      <c r="B235" s="119" t="s">
        <v>635</v>
      </c>
      <c r="C235" s="119" t="s">
        <v>70</v>
      </c>
      <c r="D235" s="119" t="s">
        <v>75</v>
      </c>
      <c r="E235" s="119" t="s">
        <v>131</v>
      </c>
      <c r="F235" s="119" t="s">
        <v>83</v>
      </c>
      <c r="G235" s="238">
        <f>'[59]Scenario 2 - Phase 1'!G235+'[59]Scenario 2 - Phase 2'!G235</f>
        <v>2</v>
      </c>
      <c r="H235" s="237">
        <f t="shared" ref="H235" si="60">K235/G235</f>
        <v>92900</v>
      </c>
      <c r="I235" s="122">
        <v>0</v>
      </c>
      <c r="J235" s="121"/>
      <c r="K235" s="239">
        <f>'[59]Scenario 2 - Phase 1'!K235+'[59]Scenario 2 - Phase 2'!K235</f>
        <v>185800</v>
      </c>
      <c r="N235" s="46" t="s">
        <v>611</v>
      </c>
      <c r="O235" s="46"/>
      <c r="P235" s="46"/>
      <c r="Q235" s="46"/>
      <c r="R235" s="46"/>
      <c r="S235" s="46"/>
      <c r="T235" s="46"/>
      <c r="U235" s="46"/>
      <c r="V235" s="46"/>
      <c r="Y235" s="2"/>
      <c r="AA235" s="138">
        <v>185800</v>
      </c>
      <c r="AC235" s="171">
        <f t="shared" si="54"/>
        <v>0</v>
      </c>
      <c r="AD235" s="171">
        <f t="shared" si="54"/>
        <v>0</v>
      </c>
    </row>
    <row r="236" spans="1:30">
      <c r="A236" s="118" t="s">
        <v>636</v>
      </c>
      <c r="B236" s="119" t="s">
        <v>637</v>
      </c>
      <c r="C236" s="119" t="s">
        <v>70</v>
      </c>
      <c r="D236" s="119" t="s">
        <v>97</v>
      </c>
      <c r="E236" s="119" t="s">
        <v>131</v>
      </c>
      <c r="F236" s="119" t="s">
        <v>132</v>
      </c>
      <c r="G236" s="120">
        <f>$O$4</f>
        <v>10.542857142857143</v>
      </c>
      <c r="H236" s="121">
        <v>2485</v>
      </c>
      <c r="I236" s="122">
        <v>0</v>
      </c>
      <c r="J236" s="121">
        <f t="shared" si="57"/>
        <v>2485</v>
      </c>
      <c r="K236" s="138">
        <f t="shared" si="58"/>
        <v>26199</v>
      </c>
      <c r="N236" s="46"/>
      <c r="O236" s="46"/>
      <c r="P236" s="46"/>
      <c r="Q236" s="46"/>
      <c r="R236" s="46"/>
      <c r="S236" s="46"/>
      <c r="T236" s="46"/>
      <c r="U236" s="46"/>
      <c r="V236" s="46"/>
      <c r="Y236" s="2"/>
      <c r="AA236" s="138">
        <v>26199</v>
      </c>
      <c r="AC236" s="171">
        <f t="shared" si="54"/>
        <v>0</v>
      </c>
      <c r="AD236" s="171">
        <f t="shared" si="54"/>
        <v>0</v>
      </c>
    </row>
    <row r="237" spans="1:30">
      <c r="A237" s="118" t="s">
        <v>638</v>
      </c>
      <c r="B237" s="119" t="s">
        <v>639</v>
      </c>
      <c r="C237" s="119" t="s">
        <v>144</v>
      </c>
      <c r="D237" s="119" t="s">
        <v>97</v>
      </c>
      <c r="E237" s="119" t="s">
        <v>76</v>
      </c>
      <c r="F237" s="119" t="s">
        <v>83</v>
      </c>
      <c r="G237" s="238">
        <f>'[59]Scenario 2 - Phase 1'!G237+'[59]Scenario 2 - Phase 2'!G237</f>
        <v>2</v>
      </c>
      <c r="H237" s="237">
        <f t="shared" ref="H237" si="61">K237/G237</f>
        <v>12500</v>
      </c>
      <c r="I237" s="122">
        <v>0</v>
      </c>
      <c r="J237" s="121"/>
      <c r="K237" s="239">
        <f>'[59]Scenario 2 - Phase 1'!K237+'[59]Scenario 2 - Phase 2'!K237</f>
        <v>25000</v>
      </c>
      <c r="N237" s="46"/>
      <c r="O237" s="46"/>
      <c r="P237" s="46"/>
      <c r="Q237" s="46"/>
      <c r="R237" s="46"/>
      <c r="S237" s="46"/>
      <c r="T237" s="46"/>
      <c r="U237" s="46"/>
      <c r="V237" s="46"/>
      <c r="Y237" s="2"/>
      <c r="AA237" s="138">
        <v>25000</v>
      </c>
      <c r="AC237" s="171">
        <f t="shared" si="54"/>
        <v>0</v>
      </c>
      <c r="AD237" s="171">
        <f t="shared" si="54"/>
        <v>0</v>
      </c>
    </row>
    <row r="238" spans="1:30">
      <c r="A238" s="118" t="s">
        <v>640</v>
      </c>
      <c r="B238" s="119" t="s">
        <v>641</v>
      </c>
      <c r="C238" s="119" t="s">
        <v>70</v>
      </c>
      <c r="D238" s="119" t="s">
        <v>75</v>
      </c>
      <c r="E238" s="119" t="s">
        <v>343</v>
      </c>
      <c r="F238" s="119" t="s">
        <v>169</v>
      </c>
      <c r="G238" s="120">
        <f>S13*2</f>
        <v>510</v>
      </c>
      <c r="H238" s="121">
        <v>70</v>
      </c>
      <c r="I238" s="122">
        <v>0</v>
      </c>
      <c r="J238" s="121">
        <f t="shared" si="57"/>
        <v>70</v>
      </c>
      <c r="K238" s="138">
        <f t="shared" si="58"/>
        <v>35700</v>
      </c>
      <c r="N238" s="46" t="s">
        <v>1174</v>
      </c>
      <c r="O238" s="46"/>
      <c r="P238" s="46"/>
      <c r="Q238" s="46"/>
      <c r="R238" s="46"/>
      <c r="S238" s="46"/>
      <c r="T238" s="46"/>
      <c r="U238" s="46"/>
      <c r="V238" s="46"/>
      <c r="Y238" s="2"/>
      <c r="AA238" s="138">
        <v>35700</v>
      </c>
      <c r="AC238" s="171">
        <f t="shared" si="54"/>
        <v>0</v>
      </c>
      <c r="AD238" s="171">
        <f t="shared" si="54"/>
        <v>0</v>
      </c>
    </row>
    <row r="239" spans="1:30">
      <c r="A239" s="118" t="s">
        <v>642</v>
      </c>
      <c r="B239" s="119" t="s">
        <v>643</v>
      </c>
      <c r="C239" s="119" t="s">
        <v>70</v>
      </c>
      <c r="D239" s="119" t="s">
        <v>103</v>
      </c>
      <c r="E239" s="119" t="s">
        <v>131</v>
      </c>
      <c r="F239" s="119" t="s">
        <v>169</v>
      </c>
      <c r="G239" s="120">
        <f>O6*S12</f>
        <v>508</v>
      </c>
      <c r="H239" s="121">
        <v>75</v>
      </c>
      <c r="I239" s="122">
        <v>0</v>
      </c>
      <c r="J239" s="121">
        <f t="shared" si="57"/>
        <v>75</v>
      </c>
      <c r="K239" s="138">
        <f t="shared" si="58"/>
        <v>38100</v>
      </c>
      <c r="N239" s="46" t="s">
        <v>1175</v>
      </c>
      <c r="O239" s="46"/>
      <c r="P239" s="46"/>
      <c r="Q239" s="46"/>
      <c r="R239" s="46"/>
      <c r="S239" s="46"/>
      <c r="T239" s="46"/>
      <c r="U239" s="46"/>
      <c r="V239" s="46"/>
      <c r="Y239" s="2"/>
      <c r="AA239" s="138">
        <v>38100</v>
      </c>
      <c r="AC239" s="171">
        <f t="shared" si="54"/>
        <v>0</v>
      </c>
      <c r="AD239" s="171">
        <f t="shared" si="54"/>
        <v>0</v>
      </c>
    </row>
    <row r="240" spans="1:30">
      <c r="A240" s="118" t="s">
        <v>644</v>
      </c>
      <c r="B240" s="119" t="s">
        <v>643</v>
      </c>
      <c r="C240" s="119" t="s">
        <v>70</v>
      </c>
      <c r="D240" s="119" t="s">
        <v>103</v>
      </c>
      <c r="E240" s="119" t="s">
        <v>131</v>
      </c>
      <c r="F240" s="119" t="s">
        <v>132</v>
      </c>
      <c r="G240" s="120">
        <f>2*2</f>
        <v>4</v>
      </c>
      <c r="H240" s="121">
        <v>1950</v>
      </c>
      <c r="I240" s="122">
        <v>0</v>
      </c>
      <c r="J240" s="121">
        <f t="shared" si="57"/>
        <v>1950</v>
      </c>
      <c r="K240" s="138">
        <f t="shared" si="58"/>
        <v>7800</v>
      </c>
      <c r="N240" s="46" t="s">
        <v>1175</v>
      </c>
      <c r="O240" s="46"/>
      <c r="P240" s="46"/>
      <c r="Q240" s="46"/>
      <c r="R240" s="46"/>
      <c r="S240" s="46"/>
      <c r="T240" s="46"/>
      <c r="U240" s="46"/>
      <c r="V240" s="46"/>
      <c r="Y240" s="2"/>
      <c r="AA240" s="138">
        <v>7800</v>
      </c>
      <c r="AC240" s="171">
        <f t="shared" si="54"/>
        <v>0</v>
      </c>
      <c r="AD240" s="171">
        <f t="shared" si="54"/>
        <v>0</v>
      </c>
    </row>
    <row r="241" spans="1:30">
      <c r="A241" s="118" t="s">
        <v>645</v>
      </c>
      <c r="B241" s="119" t="s">
        <v>646</v>
      </c>
      <c r="C241" s="119" t="s">
        <v>70</v>
      </c>
      <c r="D241" s="119" t="s">
        <v>75</v>
      </c>
      <c r="E241" s="119" t="s">
        <v>87</v>
      </c>
      <c r="F241" s="119"/>
      <c r="G241" s="120"/>
      <c r="H241" s="121">
        <v>96000</v>
      </c>
      <c r="I241" s="122">
        <v>0</v>
      </c>
      <c r="J241" s="121">
        <f t="shared" si="57"/>
        <v>96000</v>
      </c>
      <c r="K241" s="138">
        <f t="shared" si="58"/>
        <v>0</v>
      </c>
      <c r="N241" s="46"/>
      <c r="O241" s="46"/>
      <c r="P241" s="46"/>
      <c r="Q241" s="46"/>
      <c r="R241" s="46"/>
      <c r="S241" s="46"/>
      <c r="T241" s="46"/>
      <c r="U241" s="46"/>
      <c r="V241" s="46"/>
      <c r="Y241" s="2"/>
      <c r="AA241" s="138">
        <v>0</v>
      </c>
      <c r="AC241" s="171">
        <f t="shared" si="54"/>
        <v>0</v>
      </c>
      <c r="AD241" s="171">
        <f t="shared" si="54"/>
        <v>0</v>
      </c>
    </row>
    <row r="242" spans="1:30">
      <c r="A242" s="118" t="s">
        <v>648</v>
      </c>
      <c r="B242" s="119" t="s">
        <v>649</v>
      </c>
      <c r="C242" s="119" t="s">
        <v>70</v>
      </c>
      <c r="D242" s="119" t="s">
        <v>75</v>
      </c>
      <c r="E242" s="119" t="s">
        <v>87</v>
      </c>
      <c r="F242" s="119"/>
      <c r="G242" s="120"/>
      <c r="H242" s="121">
        <v>3555</v>
      </c>
      <c r="I242" s="122">
        <v>0</v>
      </c>
      <c r="J242" s="121">
        <f t="shared" si="57"/>
        <v>3555</v>
      </c>
      <c r="K242" s="138">
        <f t="shared" si="58"/>
        <v>0</v>
      </c>
      <c r="N242" s="46"/>
      <c r="O242" s="46"/>
      <c r="P242" s="46"/>
      <c r="Q242" s="46"/>
      <c r="R242" s="46"/>
      <c r="S242" s="46"/>
      <c r="T242" s="46"/>
      <c r="U242" s="46"/>
      <c r="V242" s="46"/>
      <c r="Y242" s="2"/>
      <c r="AA242" s="138">
        <v>0</v>
      </c>
      <c r="AC242" s="171">
        <f t="shared" si="54"/>
        <v>0</v>
      </c>
      <c r="AD242" s="171">
        <f t="shared" si="54"/>
        <v>0</v>
      </c>
    </row>
    <row r="243" spans="1:30">
      <c r="A243" s="118" t="s">
        <v>650</v>
      </c>
      <c r="B243" s="119" t="s">
        <v>651</v>
      </c>
      <c r="C243" s="119" t="s">
        <v>70</v>
      </c>
      <c r="D243" s="119" t="s">
        <v>75</v>
      </c>
      <c r="E243" s="119" t="s">
        <v>87</v>
      </c>
      <c r="F243" s="119"/>
      <c r="G243" s="120"/>
      <c r="H243" s="121">
        <v>44</v>
      </c>
      <c r="I243" s="122">
        <v>0</v>
      </c>
      <c r="J243" s="121">
        <f t="shared" si="57"/>
        <v>44</v>
      </c>
      <c r="K243" s="138">
        <f t="shared" si="58"/>
        <v>0</v>
      </c>
      <c r="N243" s="46"/>
      <c r="O243" s="46"/>
      <c r="P243" s="46"/>
      <c r="Q243" s="46"/>
      <c r="R243" s="46"/>
      <c r="S243" s="46"/>
      <c r="T243" s="46"/>
      <c r="U243" s="46"/>
      <c r="V243" s="46"/>
      <c r="Y243" s="2"/>
      <c r="AA243" s="138">
        <v>0</v>
      </c>
      <c r="AC243" s="171">
        <f t="shared" si="54"/>
        <v>0</v>
      </c>
      <c r="AD243" s="171">
        <f t="shared" si="54"/>
        <v>0</v>
      </c>
    </row>
    <row r="244" spans="1:30">
      <c r="A244" s="118" t="s">
        <v>652</v>
      </c>
      <c r="B244" s="119" t="s">
        <v>653</v>
      </c>
      <c r="C244" s="119" t="s">
        <v>70</v>
      </c>
      <c r="D244" s="119" t="s">
        <v>75</v>
      </c>
      <c r="E244" s="119" t="s">
        <v>87</v>
      </c>
      <c r="F244" s="119"/>
      <c r="G244" s="120"/>
      <c r="H244" s="121">
        <v>1950</v>
      </c>
      <c r="I244" s="122">
        <v>0</v>
      </c>
      <c r="J244" s="121">
        <f t="shared" si="57"/>
        <v>1950</v>
      </c>
      <c r="K244" s="138">
        <f t="shared" si="58"/>
        <v>0</v>
      </c>
      <c r="N244" s="46"/>
      <c r="O244" s="46"/>
      <c r="P244" s="46"/>
      <c r="Q244" s="46"/>
      <c r="R244" s="46"/>
      <c r="S244" s="46"/>
      <c r="T244" s="46"/>
      <c r="U244" s="46"/>
      <c r="V244" s="46"/>
      <c r="Y244" s="2"/>
      <c r="AA244" s="138">
        <v>0</v>
      </c>
      <c r="AC244" s="171">
        <f t="shared" si="54"/>
        <v>0</v>
      </c>
      <c r="AD244" s="171">
        <f t="shared" si="54"/>
        <v>0</v>
      </c>
    </row>
    <row r="245" spans="1:30">
      <c r="A245" s="118" t="s">
        <v>654</v>
      </c>
      <c r="B245" s="119" t="s">
        <v>655</v>
      </c>
      <c r="C245" s="119" t="s">
        <v>70</v>
      </c>
      <c r="D245" s="119" t="s">
        <v>75</v>
      </c>
      <c r="E245" s="119" t="s">
        <v>1049</v>
      </c>
      <c r="F245" s="119" t="s">
        <v>552</v>
      </c>
      <c r="G245" s="151">
        <f>$B$9</f>
        <v>17.25</v>
      </c>
      <c r="H245" s="121">
        <v>2500</v>
      </c>
      <c r="I245" s="122">
        <v>0</v>
      </c>
      <c r="J245" s="121">
        <f t="shared" si="57"/>
        <v>2500</v>
      </c>
      <c r="K245" s="138">
        <f t="shared" si="58"/>
        <v>43125</v>
      </c>
      <c r="N245" s="46"/>
      <c r="O245" s="46"/>
      <c r="P245" s="46"/>
      <c r="Q245" s="46"/>
      <c r="R245" s="46"/>
      <c r="S245" s="46"/>
      <c r="T245" s="46"/>
      <c r="U245" s="46"/>
      <c r="V245" s="46"/>
      <c r="Y245" s="2"/>
      <c r="AA245" s="138">
        <v>43125</v>
      </c>
      <c r="AC245" s="171">
        <f t="shared" si="54"/>
        <v>0</v>
      </c>
      <c r="AD245" s="171">
        <f t="shared" si="54"/>
        <v>0</v>
      </c>
    </row>
    <row r="246" spans="1:30">
      <c r="A246" s="118" t="s">
        <v>656</v>
      </c>
      <c r="B246" s="119" t="s">
        <v>657</v>
      </c>
      <c r="C246" s="119" t="s">
        <v>70</v>
      </c>
      <c r="D246" s="119" t="s">
        <v>75</v>
      </c>
      <c r="E246" s="119" t="s">
        <v>131</v>
      </c>
      <c r="F246" s="119" t="s">
        <v>83</v>
      </c>
      <c r="G246" s="238">
        <f>'[59]Scenario 2 - Phase 1'!G246+'[59]Scenario 2 - Phase 2'!G246</f>
        <v>2</v>
      </c>
      <c r="H246" s="237">
        <f t="shared" ref="H246" si="62">K246/G246</f>
        <v>131434</v>
      </c>
      <c r="I246" s="122">
        <v>0</v>
      </c>
      <c r="J246" s="121"/>
      <c r="K246" s="239">
        <f>'[59]Scenario 2 - Phase 1'!K246+'[59]Scenario 2 - Phase 2'!K246</f>
        <v>262868</v>
      </c>
      <c r="N246" s="46" t="s">
        <v>611</v>
      </c>
      <c r="O246" s="46"/>
      <c r="P246" s="46"/>
      <c r="Q246" s="46"/>
      <c r="R246" s="46"/>
      <c r="S246" s="46"/>
      <c r="T246" s="46"/>
      <c r="U246" s="46"/>
      <c r="V246" s="46"/>
      <c r="Y246" s="2"/>
      <c r="AA246" s="138">
        <v>262868</v>
      </c>
      <c r="AC246" s="171">
        <f t="shared" si="54"/>
        <v>0</v>
      </c>
      <c r="AD246" s="171">
        <f t="shared" si="54"/>
        <v>0</v>
      </c>
    </row>
    <row r="247" spans="1:30">
      <c r="A247" s="118" t="s">
        <v>658</v>
      </c>
      <c r="B247" s="119" t="s">
        <v>659</v>
      </c>
      <c r="C247" s="119" t="s">
        <v>70</v>
      </c>
      <c r="D247" s="119" t="s">
        <v>75</v>
      </c>
      <c r="E247" s="119" t="s">
        <v>273</v>
      </c>
      <c r="F247" s="119" t="s">
        <v>83</v>
      </c>
      <c r="G247" s="120">
        <v>1</v>
      </c>
      <c r="H247" s="121">
        <v>0</v>
      </c>
      <c r="I247" s="122">
        <v>0</v>
      </c>
      <c r="J247" s="121">
        <f t="shared" si="57"/>
        <v>0</v>
      </c>
      <c r="K247" s="138">
        <f t="shared" si="58"/>
        <v>0</v>
      </c>
      <c r="N247" s="46"/>
      <c r="O247" s="46"/>
      <c r="P247" s="46"/>
      <c r="Q247" s="46"/>
      <c r="R247" s="46"/>
      <c r="S247" s="46"/>
      <c r="T247" s="46"/>
      <c r="U247" s="46"/>
      <c r="V247" s="46"/>
      <c r="Y247" s="2"/>
      <c r="AA247" s="138">
        <v>0</v>
      </c>
      <c r="AC247" s="171">
        <f t="shared" si="54"/>
        <v>0</v>
      </c>
      <c r="AD247" s="171">
        <f t="shared" si="54"/>
        <v>0</v>
      </c>
    </row>
    <row r="248" spans="1:30">
      <c r="A248" s="118" t="s">
        <v>661</v>
      </c>
      <c r="B248" s="119" t="s">
        <v>662</v>
      </c>
      <c r="C248" s="119" t="s">
        <v>70</v>
      </c>
      <c r="D248" s="119" t="s">
        <v>75</v>
      </c>
      <c r="E248" s="119" t="s">
        <v>76</v>
      </c>
      <c r="F248" s="119" t="s">
        <v>83</v>
      </c>
      <c r="G248" s="238">
        <f>'[59]Scenario 2 - Phase 1'!G248+'[59]Scenario 2 - Phase 2'!G248</f>
        <v>2</v>
      </c>
      <c r="H248" s="237">
        <f t="shared" ref="H248" si="63">K248/G248</f>
        <v>100000</v>
      </c>
      <c r="I248" s="122">
        <v>0</v>
      </c>
      <c r="J248" s="121"/>
      <c r="K248" s="239">
        <f>'[59]Scenario 2 - Phase 1'!K248+'[59]Scenario 2 - Phase 2'!K248</f>
        <v>200000</v>
      </c>
      <c r="N248" s="46" t="s">
        <v>611</v>
      </c>
      <c r="O248" s="46"/>
      <c r="P248" s="46"/>
      <c r="Q248" s="46"/>
      <c r="R248" s="46"/>
      <c r="S248" s="46"/>
      <c r="T248" s="46"/>
      <c r="U248" s="46"/>
      <c r="V248" s="46"/>
      <c r="Y248" s="2"/>
      <c r="AA248" s="138">
        <v>200000</v>
      </c>
      <c r="AC248" s="171">
        <f t="shared" si="54"/>
        <v>0</v>
      </c>
      <c r="AD248" s="171">
        <f t="shared" si="54"/>
        <v>0</v>
      </c>
    </row>
    <row r="249" spans="1:30">
      <c r="A249" s="118" t="s">
        <v>663</v>
      </c>
      <c r="B249" s="119" t="s">
        <v>664</v>
      </c>
      <c r="C249" s="119" t="s">
        <v>144</v>
      </c>
      <c r="D249" s="119" t="s">
        <v>103</v>
      </c>
      <c r="E249" s="119" t="s">
        <v>76</v>
      </c>
      <c r="F249" s="119" t="s">
        <v>83</v>
      </c>
      <c r="G249" s="120">
        <v>1</v>
      </c>
      <c r="H249" s="121">
        <v>11000</v>
      </c>
      <c r="I249" s="122">
        <v>0</v>
      </c>
      <c r="J249" s="121">
        <f t="shared" si="57"/>
        <v>11000</v>
      </c>
      <c r="K249" s="138">
        <f t="shared" si="58"/>
        <v>11000</v>
      </c>
      <c r="N249" s="46"/>
      <c r="O249" s="46"/>
      <c r="P249" s="46"/>
      <c r="Q249" s="46"/>
      <c r="R249" s="46"/>
      <c r="S249" s="46"/>
      <c r="T249" s="46"/>
      <c r="U249" s="46"/>
      <c r="V249" s="46"/>
      <c r="Y249" s="2"/>
      <c r="AA249" s="138">
        <v>11000</v>
      </c>
      <c r="AC249" s="171">
        <f t="shared" si="54"/>
        <v>0</v>
      </c>
      <c r="AD249" s="171">
        <f t="shared" si="54"/>
        <v>0</v>
      </c>
    </row>
    <row r="250" spans="1:30">
      <c r="A250" s="118" t="s">
        <v>665</v>
      </c>
      <c r="B250" s="119" t="s">
        <v>666</v>
      </c>
      <c r="C250" s="119" t="s">
        <v>144</v>
      </c>
      <c r="D250" s="119" t="s">
        <v>81</v>
      </c>
      <c r="E250" s="119" t="s">
        <v>76</v>
      </c>
      <c r="F250" s="119" t="s">
        <v>83</v>
      </c>
      <c r="G250" s="238">
        <f>'[59]Scenario 2 - Phase 1'!G250+'[59]Scenario 2 - Phase 2'!G250</f>
        <v>2</v>
      </c>
      <c r="H250" s="237">
        <f t="shared" ref="H250:H251" si="64">K250/G250</f>
        <v>7000</v>
      </c>
      <c r="I250" s="122">
        <v>0</v>
      </c>
      <c r="J250" s="121"/>
      <c r="K250" s="239">
        <f>'[59]Scenario 2 - Phase 1'!K250+'[59]Scenario 2 - Phase 2'!K250</f>
        <v>14000</v>
      </c>
      <c r="N250" s="46"/>
      <c r="O250" s="46"/>
      <c r="P250" s="46"/>
      <c r="Q250" s="46"/>
      <c r="R250" s="46"/>
      <c r="S250" s="46"/>
      <c r="T250" s="46"/>
      <c r="U250" s="46"/>
      <c r="V250" s="46"/>
      <c r="Y250" s="2"/>
      <c r="AA250" s="138">
        <v>14000</v>
      </c>
      <c r="AC250" s="171">
        <f t="shared" si="54"/>
        <v>0</v>
      </c>
      <c r="AD250" s="171">
        <f t="shared" si="54"/>
        <v>0</v>
      </c>
    </row>
    <row r="251" spans="1:30">
      <c r="A251" s="118" t="s">
        <v>210</v>
      </c>
      <c r="B251" s="119" t="s">
        <v>667</v>
      </c>
      <c r="C251" s="119" t="s">
        <v>70</v>
      </c>
      <c r="D251" s="119" t="s">
        <v>75</v>
      </c>
      <c r="E251" s="119" t="s">
        <v>486</v>
      </c>
      <c r="F251" s="119" t="s">
        <v>185</v>
      </c>
      <c r="G251" s="238">
        <f>'[59]Scenario 2 - Phase 1'!G251+'[59]Scenario 2 - Phase 2'!G251</f>
        <v>363</v>
      </c>
      <c r="H251" s="237">
        <f t="shared" si="64"/>
        <v>10010.283958465778</v>
      </c>
      <c r="I251" s="122">
        <v>0</v>
      </c>
      <c r="J251" s="121">
        <f t="shared" si="57"/>
        <v>10010.283958465778</v>
      </c>
      <c r="K251" s="239">
        <f>'[59]Scenario 2 - Phase 1'!K251+'[59]Scenario 2 - Phase 2'!K251</f>
        <v>3633733.076923077</v>
      </c>
      <c r="N251" s="46"/>
      <c r="O251" s="46"/>
      <c r="P251" s="46"/>
      <c r="Q251" s="46"/>
      <c r="R251" s="46"/>
      <c r="S251" s="46"/>
      <c r="T251" s="46"/>
      <c r="U251" s="46"/>
      <c r="V251" s="46"/>
      <c r="Y251" s="2"/>
      <c r="AA251" s="138">
        <v>3787526.8253968256</v>
      </c>
      <c r="AC251" s="171">
        <f t="shared" si="54"/>
        <v>153793.74847374856</v>
      </c>
      <c r="AD251" s="171">
        <f t="shared" si="54"/>
        <v>0</v>
      </c>
    </row>
    <row r="252" spans="1:30">
      <c r="A252" s="118" t="s">
        <v>669</v>
      </c>
      <c r="B252" s="119" t="s">
        <v>667</v>
      </c>
      <c r="C252" s="119" t="s">
        <v>70</v>
      </c>
      <c r="D252" s="119" t="s">
        <v>75</v>
      </c>
      <c r="E252" s="119" t="s">
        <v>87</v>
      </c>
      <c r="F252" s="119"/>
      <c r="G252" s="120"/>
      <c r="H252" s="121"/>
      <c r="I252" s="122">
        <v>0</v>
      </c>
      <c r="J252" s="121">
        <f t="shared" si="57"/>
        <v>0</v>
      </c>
      <c r="K252" s="138">
        <f t="shared" si="58"/>
        <v>0</v>
      </c>
      <c r="N252" s="46"/>
      <c r="O252" s="46"/>
      <c r="P252" s="46"/>
      <c r="Q252" s="46"/>
      <c r="R252" s="46"/>
      <c r="S252" s="46"/>
      <c r="T252" s="46"/>
      <c r="U252" s="46"/>
      <c r="V252" s="46"/>
      <c r="Y252" s="2"/>
      <c r="AA252" s="138">
        <v>0</v>
      </c>
      <c r="AC252" s="171">
        <f t="shared" si="54"/>
        <v>0</v>
      </c>
      <c r="AD252" s="171">
        <f t="shared" si="54"/>
        <v>0</v>
      </c>
    </row>
    <row r="253" spans="1:30">
      <c r="A253" s="118" t="s">
        <v>670</v>
      </c>
      <c r="B253" s="119" t="s">
        <v>671</v>
      </c>
      <c r="C253" s="119" t="s">
        <v>70</v>
      </c>
      <c r="D253" s="119" t="s">
        <v>75</v>
      </c>
      <c r="E253" s="119" t="s">
        <v>87</v>
      </c>
      <c r="F253" s="119"/>
      <c r="G253" s="120"/>
      <c r="H253" s="121"/>
      <c r="I253" s="122">
        <v>0</v>
      </c>
      <c r="J253" s="121">
        <f t="shared" si="57"/>
        <v>0</v>
      </c>
      <c r="K253" s="138">
        <f t="shared" si="58"/>
        <v>0</v>
      </c>
      <c r="N253" s="46"/>
      <c r="O253" s="46"/>
      <c r="P253" s="46"/>
      <c r="Q253" s="46"/>
      <c r="R253" s="46"/>
      <c r="S253" s="46"/>
      <c r="T253" s="46"/>
      <c r="U253" s="46"/>
      <c r="V253" s="46"/>
      <c r="Y253" s="2"/>
      <c r="AA253" s="138">
        <v>0</v>
      </c>
      <c r="AC253" s="171">
        <f t="shared" si="54"/>
        <v>0</v>
      </c>
      <c r="AD253" s="171">
        <f t="shared" si="54"/>
        <v>0</v>
      </c>
    </row>
    <row r="254" spans="1:30">
      <c r="A254" s="118" t="s">
        <v>672</v>
      </c>
      <c r="B254" s="119" t="s">
        <v>610</v>
      </c>
      <c r="C254" s="119" t="s">
        <v>70</v>
      </c>
      <c r="D254" s="119" t="s">
        <v>405</v>
      </c>
      <c r="E254" s="119" t="s">
        <v>131</v>
      </c>
      <c r="F254" s="119" t="s">
        <v>83</v>
      </c>
      <c r="G254" s="120">
        <v>1</v>
      </c>
      <c r="H254" s="121">
        <v>4500</v>
      </c>
      <c r="I254" s="122">
        <v>0</v>
      </c>
      <c r="J254" s="121">
        <f t="shared" si="57"/>
        <v>4500</v>
      </c>
      <c r="K254" s="138">
        <f t="shared" si="58"/>
        <v>4500</v>
      </c>
      <c r="N254" s="46" t="s">
        <v>611</v>
      </c>
      <c r="O254" s="46"/>
      <c r="P254" s="46"/>
      <c r="Q254" s="46"/>
      <c r="R254" s="46"/>
      <c r="S254" s="46"/>
      <c r="T254" s="46"/>
      <c r="U254" s="46"/>
      <c r="V254" s="46"/>
      <c r="Y254" s="2"/>
      <c r="AA254" s="138">
        <v>4500</v>
      </c>
      <c r="AC254" s="171">
        <f t="shared" si="54"/>
        <v>0</v>
      </c>
      <c r="AD254" s="171">
        <f t="shared" si="54"/>
        <v>0</v>
      </c>
    </row>
    <row r="255" spans="1:30">
      <c r="A255" s="118" t="s">
        <v>674</v>
      </c>
      <c r="B255" s="119" t="s">
        <v>613</v>
      </c>
      <c r="C255" s="119" t="s">
        <v>70</v>
      </c>
      <c r="D255" s="119" t="s">
        <v>405</v>
      </c>
      <c r="E255" s="119" t="s">
        <v>131</v>
      </c>
      <c r="F255" s="119" t="s">
        <v>83</v>
      </c>
      <c r="G255" s="120">
        <v>1</v>
      </c>
      <c r="H255" s="121">
        <v>19250</v>
      </c>
      <c r="I255" s="122">
        <v>0</v>
      </c>
      <c r="J255" s="121">
        <f t="shared" si="57"/>
        <v>19250</v>
      </c>
      <c r="K255" s="138">
        <f t="shared" si="58"/>
        <v>19250</v>
      </c>
      <c r="N255" s="46" t="s">
        <v>611</v>
      </c>
      <c r="O255" s="46"/>
      <c r="P255" s="46"/>
      <c r="Q255" s="46"/>
      <c r="R255" s="46"/>
      <c r="S255" s="46"/>
      <c r="T255" s="46"/>
      <c r="U255" s="46"/>
      <c r="V255" s="46"/>
      <c r="Y255" s="2"/>
      <c r="AA255" s="138">
        <v>19250</v>
      </c>
      <c r="AC255" s="171">
        <f t="shared" si="54"/>
        <v>0</v>
      </c>
      <c r="AD255" s="171">
        <f t="shared" si="54"/>
        <v>0</v>
      </c>
    </row>
    <row r="256" spans="1:30">
      <c r="A256" s="118" t="s">
        <v>675</v>
      </c>
      <c r="B256" s="119" t="s">
        <v>623</v>
      </c>
      <c r="C256" s="119" t="s">
        <v>70</v>
      </c>
      <c r="D256" s="119" t="s">
        <v>405</v>
      </c>
      <c r="E256" s="119" t="s">
        <v>131</v>
      </c>
      <c r="F256" s="119" t="s">
        <v>83</v>
      </c>
      <c r="G256" s="120">
        <v>1</v>
      </c>
      <c r="H256" s="121">
        <v>920</v>
      </c>
      <c r="I256" s="122">
        <v>0</v>
      </c>
      <c r="J256" s="121">
        <f t="shared" si="57"/>
        <v>920</v>
      </c>
      <c r="K256" s="138">
        <f t="shared" si="58"/>
        <v>920</v>
      </c>
      <c r="N256" s="46" t="s">
        <v>611</v>
      </c>
      <c r="O256" s="46"/>
      <c r="P256" s="46"/>
      <c r="Q256" s="46"/>
      <c r="R256" s="46"/>
      <c r="S256" s="46"/>
      <c r="T256" s="46"/>
      <c r="U256" s="46"/>
      <c r="V256" s="46"/>
      <c r="Y256" s="2"/>
      <c r="AA256" s="138">
        <v>920</v>
      </c>
      <c r="AC256" s="171">
        <f t="shared" si="54"/>
        <v>0</v>
      </c>
      <c r="AD256" s="171">
        <f t="shared" si="54"/>
        <v>0</v>
      </c>
    </row>
    <row r="257" spans="1:30">
      <c r="A257" s="118" t="s">
        <v>676</v>
      </c>
      <c r="B257" s="119" t="s">
        <v>627</v>
      </c>
      <c r="C257" s="119" t="s">
        <v>70</v>
      </c>
      <c r="D257" s="119" t="s">
        <v>405</v>
      </c>
      <c r="E257" s="119" t="s">
        <v>131</v>
      </c>
      <c r="F257" s="119" t="s">
        <v>83</v>
      </c>
      <c r="G257" s="120">
        <v>1</v>
      </c>
      <c r="H257" s="121">
        <v>25544</v>
      </c>
      <c r="I257" s="122">
        <v>0</v>
      </c>
      <c r="J257" s="121">
        <f t="shared" si="57"/>
        <v>25544</v>
      </c>
      <c r="K257" s="138">
        <f t="shared" si="58"/>
        <v>25544</v>
      </c>
      <c r="N257" s="46" t="s">
        <v>611</v>
      </c>
      <c r="O257" s="46"/>
      <c r="P257" s="46"/>
      <c r="Q257" s="46"/>
      <c r="R257" s="46"/>
      <c r="S257" s="46"/>
      <c r="T257" s="46"/>
      <c r="U257" s="46"/>
      <c r="V257" s="46"/>
      <c r="Y257" s="2"/>
      <c r="AA257" s="138">
        <v>25544</v>
      </c>
      <c r="AC257" s="171">
        <f t="shared" si="54"/>
        <v>0</v>
      </c>
      <c r="AD257" s="171">
        <f t="shared" si="54"/>
        <v>0</v>
      </c>
    </row>
    <row r="258" spans="1:30">
      <c r="A258" s="96" t="s">
        <v>708</v>
      </c>
      <c r="B258" s="97" t="s">
        <v>709</v>
      </c>
      <c r="C258" s="97"/>
      <c r="D258" s="97"/>
      <c r="E258" s="97"/>
      <c r="F258" s="97"/>
      <c r="G258" s="98"/>
      <c r="H258" s="99"/>
      <c r="I258" s="100"/>
      <c r="J258" s="99"/>
      <c r="K258" s="131"/>
      <c r="L258" s="103">
        <f>SUM(K259:K273)</f>
        <v>3596130.8846153845</v>
      </c>
      <c r="N258" s="46"/>
      <c r="O258" s="46"/>
      <c r="P258" s="46"/>
      <c r="Q258" s="46"/>
      <c r="R258" s="46"/>
      <c r="S258" s="46"/>
      <c r="T258" s="46"/>
      <c r="U258" s="46"/>
      <c r="V258" s="46"/>
      <c r="Y258" s="2"/>
      <c r="AA258" s="131"/>
      <c r="AB258" s="103">
        <v>3596130.8846153845</v>
      </c>
      <c r="AC258" s="171">
        <f t="shared" si="54"/>
        <v>0</v>
      </c>
      <c r="AD258" s="171">
        <f t="shared" si="54"/>
        <v>0</v>
      </c>
    </row>
    <row r="259" spans="1:30">
      <c r="A259" s="111" t="s">
        <v>238</v>
      </c>
      <c r="B259" s="112" t="s">
        <v>681</v>
      </c>
      <c r="C259" s="112" t="s">
        <v>144</v>
      </c>
      <c r="D259" s="112"/>
      <c r="E259" s="112" t="s">
        <v>1097</v>
      </c>
      <c r="F259" s="112" t="s">
        <v>344</v>
      </c>
      <c r="G259" s="113">
        <f>$E$8</f>
        <v>363</v>
      </c>
      <c r="H259" s="114">
        <f>112356/312</f>
        <v>360.11538461538464</v>
      </c>
      <c r="I259" s="115">
        <v>0</v>
      </c>
      <c r="J259" s="116">
        <f t="shared" ref="J259:J273" si="65">H259*(1+I259)</f>
        <v>360.11538461538464</v>
      </c>
      <c r="K259" s="117">
        <f t="shared" ref="K259:K272" si="66">J259*G259</f>
        <v>130721.88461538462</v>
      </c>
      <c r="N259" s="46" t="s">
        <v>1176</v>
      </c>
      <c r="O259" s="46"/>
      <c r="P259" s="46"/>
      <c r="Q259" s="46"/>
      <c r="R259" s="46"/>
      <c r="S259" s="46"/>
      <c r="T259" s="46"/>
      <c r="U259" s="46"/>
      <c r="V259" s="46"/>
      <c r="Y259" s="2"/>
      <c r="AA259" s="117">
        <v>130721.88461538462</v>
      </c>
      <c r="AC259" s="171">
        <f t="shared" si="54"/>
        <v>0</v>
      </c>
      <c r="AD259" s="171">
        <f t="shared" si="54"/>
        <v>0</v>
      </c>
    </row>
    <row r="260" spans="1:30">
      <c r="A260" s="118" t="s">
        <v>682</v>
      </c>
      <c r="B260" s="119" t="s">
        <v>683</v>
      </c>
      <c r="C260" s="119" t="s">
        <v>144</v>
      </c>
      <c r="D260" s="119" t="s">
        <v>405</v>
      </c>
      <c r="E260" s="119" t="s">
        <v>87</v>
      </c>
      <c r="F260" s="119"/>
      <c r="G260" s="120"/>
      <c r="H260" s="121"/>
      <c r="I260" s="122">
        <v>0</v>
      </c>
      <c r="J260" s="121">
        <f t="shared" si="65"/>
        <v>0</v>
      </c>
      <c r="K260" s="138">
        <f t="shared" si="66"/>
        <v>0</v>
      </c>
      <c r="N260" s="46"/>
      <c r="O260" s="46"/>
      <c r="P260" s="46"/>
      <c r="Q260" s="46"/>
      <c r="R260" s="46"/>
      <c r="S260" s="46"/>
      <c r="T260" s="46"/>
      <c r="U260" s="46"/>
      <c r="V260" s="46"/>
      <c r="Y260" s="2"/>
      <c r="AA260" s="138">
        <v>0</v>
      </c>
      <c r="AC260" s="171">
        <f t="shared" si="54"/>
        <v>0</v>
      </c>
      <c r="AD260" s="171">
        <f t="shared" si="54"/>
        <v>0</v>
      </c>
    </row>
    <row r="261" spans="1:30">
      <c r="A261" s="245" t="s">
        <v>684</v>
      </c>
      <c r="B261" s="119" t="s">
        <v>683</v>
      </c>
      <c r="C261" s="119" t="s">
        <v>70</v>
      </c>
      <c r="D261" s="119" t="s">
        <v>75</v>
      </c>
      <c r="E261" s="119" t="s">
        <v>131</v>
      </c>
      <c r="F261" s="119" t="s">
        <v>83</v>
      </c>
      <c r="G261" s="238">
        <f>'[59]Scenario 2 - Phase 1'!G261+'[59]Scenario 2 - Phase 2'!G261</f>
        <v>2</v>
      </c>
      <c r="H261" s="237">
        <f t="shared" ref="H261:H262" si="67">K261/G261</f>
        <v>927597.5</v>
      </c>
      <c r="I261" s="122">
        <v>0</v>
      </c>
      <c r="J261" s="121"/>
      <c r="K261" s="239">
        <f>'[59]Scenario 2 - Phase 1'!K261+'[59]Scenario 2 - Phase 2'!K261</f>
        <v>1855195</v>
      </c>
      <c r="N261" s="46" t="s">
        <v>611</v>
      </c>
      <c r="O261" s="46"/>
      <c r="P261" s="46"/>
      <c r="Q261" s="46"/>
      <c r="R261" s="46"/>
      <c r="S261" s="46"/>
      <c r="T261" s="46"/>
      <c r="U261" s="46"/>
      <c r="V261" s="46"/>
      <c r="Y261" s="2"/>
      <c r="AA261" s="138">
        <v>1855195</v>
      </c>
      <c r="AC261" s="171">
        <f t="shared" si="54"/>
        <v>0</v>
      </c>
      <c r="AD261" s="171">
        <f t="shared" si="54"/>
        <v>0</v>
      </c>
    </row>
    <row r="262" spans="1:30">
      <c r="A262" s="137" t="s">
        <v>686</v>
      </c>
      <c r="B262" s="119" t="s">
        <v>687</v>
      </c>
      <c r="C262" s="119" t="s">
        <v>70</v>
      </c>
      <c r="D262" s="119" t="s">
        <v>75</v>
      </c>
      <c r="E262" s="119" t="s">
        <v>131</v>
      </c>
      <c r="F262" s="119" t="s">
        <v>83</v>
      </c>
      <c r="G262" s="120">
        <v>1</v>
      </c>
      <c r="H262" s="237">
        <f t="shared" si="67"/>
        <v>546750</v>
      </c>
      <c r="I262" s="122">
        <v>0</v>
      </c>
      <c r="J262" s="121">
        <f t="shared" si="65"/>
        <v>546750</v>
      </c>
      <c r="K262" s="239">
        <f>'[59]Scenario 2 - Phase 1'!K262+'[59]Scenario 2 - Phase 2'!K262</f>
        <v>546750</v>
      </c>
      <c r="N262" s="46" t="s">
        <v>611</v>
      </c>
      <c r="O262" s="46"/>
      <c r="P262" s="46"/>
      <c r="Q262" s="46"/>
      <c r="R262" s="46"/>
      <c r="S262" s="46"/>
      <c r="T262" s="46"/>
      <c r="U262" s="46"/>
      <c r="V262" s="46"/>
      <c r="Y262" s="2"/>
      <c r="AA262" s="138">
        <v>546750</v>
      </c>
      <c r="AC262" s="171">
        <f t="shared" si="54"/>
        <v>0</v>
      </c>
      <c r="AD262" s="171">
        <f t="shared" si="54"/>
        <v>0</v>
      </c>
    </row>
    <row r="263" spans="1:30">
      <c r="A263" s="245" t="s">
        <v>688</v>
      </c>
      <c r="B263" s="119" t="s">
        <v>689</v>
      </c>
      <c r="C263" s="119" t="s">
        <v>70</v>
      </c>
      <c r="D263" s="119"/>
      <c r="E263" s="119" t="s">
        <v>87</v>
      </c>
      <c r="F263" s="119"/>
      <c r="G263" s="120"/>
      <c r="H263" s="121"/>
      <c r="I263" s="122">
        <v>0</v>
      </c>
      <c r="J263" s="121">
        <f t="shared" si="65"/>
        <v>0</v>
      </c>
      <c r="K263" s="138">
        <f t="shared" si="66"/>
        <v>0</v>
      </c>
      <c r="N263" s="46"/>
      <c r="O263" s="46"/>
      <c r="P263" s="46"/>
      <c r="Q263" s="46"/>
      <c r="R263" s="46"/>
      <c r="S263" s="46"/>
      <c r="T263" s="46"/>
      <c r="U263" s="46"/>
      <c r="V263" s="46"/>
      <c r="Y263" s="2"/>
      <c r="AA263" s="138">
        <v>0</v>
      </c>
      <c r="AC263" s="171">
        <f t="shared" si="54"/>
        <v>0</v>
      </c>
      <c r="AD263" s="171">
        <f t="shared" si="54"/>
        <v>0</v>
      </c>
    </row>
    <row r="264" spans="1:30">
      <c r="A264" s="118" t="s">
        <v>690</v>
      </c>
      <c r="B264" s="119" t="s">
        <v>691</v>
      </c>
      <c r="C264" s="119" t="s">
        <v>144</v>
      </c>
      <c r="D264" s="119"/>
      <c r="E264" s="119" t="s">
        <v>76</v>
      </c>
      <c r="F264" s="119" t="s">
        <v>83</v>
      </c>
      <c r="G264" s="238">
        <f>'[59]Scenario 2 - Phase 1'!G264+'[59]Scenario 2 - Phase 2'!G264</f>
        <v>2</v>
      </c>
      <c r="H264" s="237">
        <f t="shared" ref="H264:H266" si="68">K264/G264</f>
        <v>5000</v>
      </c>
      <c r="I264" s="122">
        <v>0</v>
      </c>
      <c r="J264" s="121"/>
      <c r="K264" s="239">
        <f>'[59]Scenario 2 - Phase 1'!K264+'[59]Scenario 2 - Phase 2'!K264</f>
        <v>10000</v>
      </c>
      <c r="N264" s="46"/>
      <c r="O264" s="46"/>
      <c r="P264" s="46"/>
      <c r="Q264" s="46"/>
      <c r="R264" s="46"/>
      <c r="S264" s="46"/>
      <c r="T264" s="46"/>
      <c r="U264" s="46"/>
      <c r="V264" s="46"/>
      <c r="Y264" s="2"/>
      <c r="AA264" s="138">
        <v>10000</v>
      </c>
      <c r="AC264" s="171">
        <f t="shared" si="54"/>
        <v>0</v>
      </c>
      <c r="AD264" s="171">
        <f t="shared" si="54"/>
        <v>0</v>
      </c>
    </row>
    <row r="265" spans="1:30">
      <c r="A265" s="118" t="s">
        <v>694</v>
      </c>
      <c r="B265" s="119" t="s">
        <v>695</v>
      </c>
      <c r="C265" s="119" t="s">
        <v>70</v>
      </c>
      <c r="D265" s="119"/>
      <c r="E265" s="119" t="s">
        <v>131</v>
      </c>
      <c r="F265" s="119" t="s">
        <v>83</v>
      </c>
      <c r="G265" s="238">
        <f>'[59]Scenario 2 - Phase 1'!G265+'[59]Scenario 2 - Phase 2'!G265</f>
        <v>2</v>
      </c>
      <c r="H265" s="237">
        <f t="shared" si="68"/>
        <v>137500</v>
      </c>
      <c r="I265" s="122">
        <v>0</v>
      </c>
      <c r="J265" s="121"/>
      <c r="K265" s="239">
        <f>'[59]Scenario 2 - Phase 1'!K265+'[59]Scenario 2 - Phase 2'!K265</f>
        <v>275000</v>
      </c>
      <c r="N265" s="46"/>
      <c r="O265" s="46"/>
      <c r="P265" s="46"/>
      <c r="Q265" s="46"/>
      <c r="R265" s="46"/>
      <c r="S265" s="46"/>
      <c r="T265" s="46"/>
      <c r="U265" s="46"/>
      <c r="V265" s="46"/>
      <c r="Y265" s="2"/>
      <c r="AA265" s="138">
        <v>275000</v>
      </c>
      <c r="AC265" s="171">
        <f t="shared" si="54"/>
        <v>0</v>
      </c>
      <c r="AD265" s="171">
        <f t="shared" si="54"/>
        <v>0</v>
      </c>
    </row>
    <row r="266" spans="1:30">
      <c r="A266" s="118" t="s">
        <v>696</v>
      </c>
      <c r="B266" s="119" t="s">
        <v>697</v>
      </c>
      <c r="C266" s="119" t="s">
        <v>144</v>
      </c>
      <c r="D266" s="119"/>
      <c r="E266" s="119" t="s">
        <v>76</v>
      </c>
      <c r="F266" s="119" t="s">
        <v>83</v>
      </c>
      <c r="G266" s="238">
        <f>'[59]Scenario 2 - Phase 1'!G266+'[59]Scenario 2 - Phase 2'!G266</f>
        <v>2</v>
      </c>
      <c r="H266" s="237">
        <f t="shared" si="68"/>
        <v>10000</v>
      </c>
      <c r="I266" s="122">
        <v>0</v>
      </c>
      <c r="J266" s="121"/>
      <c r="K266" s="239">
        <f>'[59]Scenario 2 - Phase 1'!K266+'[59]Scenario 2 - Phase 2'!K266</f>
        <v>20000</v>
      </c>
      <c r="N266" s="46"/>
      <c r="O266" s="46"/>
      <c r="P266" s="46"/>
      <c r="Q266" s="46"/>
      <c r="R266" s="46"/>
      <c r="S266" s="46"/>
      <c r="T266" s="46"/>
      <c r="U266" s="46"/>
      <c r="V266" s="46"/>
      <c r="Y266" s="2"/>
      <c r="AA266" s="138">
        <v>20000</v>
      </c>
      <c r="AC266" s="171">
        <f t="shared" si="54"/>
        <v>0</v>
      </c>
      <c r="AD266" s="171">
        <f t="shared" si="54"/>
        <v>0</v>
      </c>
    </row>
    <row r="267" spans="1:30">
      <c r="A267" s="118" t="s">
        <v>698</v>
      </c>
      <c r="B267" s="119" t="s">
        <v>699</v>
      </c>
      <c r="C267" s="119" t="s">
        <v>70</v>
      </c>
      <c r="D267" s="119"/>
      <c r="E267" s="119" t="s">
        <v>87</v>
      </c>
      <c r="F267" s="119"/>
      <c r="G267" s="120"/>
      <c r="H267" s="121"/>
      <c r="I267" s="122">
        <v>0</v>
      </c>
      <c r="J267" s="121">
        <f t="shared" si="65"/>
        <v>0</v>
      </c>
      <c r="K267" s="138">
        <f t="shared" si="66"/>
        <v>0</v>
      </c>
      <c r="N267" s="46"/>
      <c r="O267" s="46"/>
      <c r="P267" s="46"/>
      <c r="Q267" s="46"/>
      <c r="R267" s="46"/>
      <c r="S267" s="46"/>
      <c r="T267" s="46"/>
      <c r="U267" s="46"/>
      <c r="V267" s="46"/>
      <c r="Y267" s="2"/>
      <c r="AA267" s="138">
        <v>0</v>
      </c>
      <c r="AC267" s="171">
        <f t="shared" si="54"/>
        <v>0</v>
      </c>
      <c r="AD267" s="171">
        <f t="shared" si="54"/>
        <v>0</v>
      </c>
    </row>
    <row r="268" spans="1:30">
      <c r="A268" s="118" t="s">
        <v>700</v>
      </c>
      <c r="B268" s="119" t="s">
        <v>701</v>
      </c>
      <c r="C268" s="119" t="s">
        <v>70</v>
      </c>
      <c r="D268" s="119"/>
      <c r="E268" s="119" t="s">
        <v>87</v>
      </c>
      <c r="F268" s="119"/>
      <c r="G268" s="120"/>
      <c r="H268" s="121"/>
      <c r="I268" s="122">
        <v>0</v>
      </c>
      <c r="J268" s="121">
        <f t="shared" si="65"/>
        <v>0</v>
      </c>
      <c r="K268" s="138">
        <f t="shared" si="66"/>
        <v>0</v>
      </c>
      <c r="N268" s="46"/>
      <c r="O268" s="46"/>
      <c r="P268" s="46"/>
      <c r="Q268" s="46"/>
      <c r="R268" s="46"/>
      <c r="S268" s="46"/>
      <c r="T268" s="46"/>
      <c r="U268" s="46"/>
      <c r="V268" s="46"/>
      <c r="Y268" s="2"/>
      <c r="AA268" s="138">
        <v>0</v>
      </c>
      <c r="AC268" s="171">
        <f t="shared" si="54"/>
        <v>0</v>
      </c>
      <c r="AD268" s="171">
        <f t="shared" si="54"/>
        <v>0</v>
      </c>
    </row>
    <row r="269" spans="1:30">
      <c r="A269" s="118" t="s">
        <v>702</v>
      </c>
      <c r="B269" s="119" t="s">
        <v>703</v>
      </c>
      <c r="C269" s="119" t="s">
        <v>70</v>
      </c>
      <c r="D269" s="119"/>
      <c r="E269" s="119" t="s">
        <v>87</v>
      </c>
      <c r="F269" s="119"/>
      <c r="G269" s="120"/>
      <c r="H269" s="121"/>
      <c r="I269" s="122">
        <v>0</v>
      </c>
      <c r="J269" s="121">
        <f t="shared" si="65"/>
        <v>0</v>
      </c>
      <c r="K269" s="138">
        <f t="shared" si="66"/>
        <v>0</v>
      </c>
      <c r="N269" s="46"/>
      <c r="O269" s="46"/>
      <c r="P269" s="46"/>
      <c r="Q269" s="46"/>
      <c r="R269" s="46"/>
      <c r="S269" s="46"/>
      <c r="T269" s="46"/>
      <c r="U269" s="46"/>
      <c r="V269" s="46"/>
      <c r="Y269" s="2"/>
      <c r="AA269" s="138">
        <v>0</v>
      </c>
      <c r="AC269" s="171">
        <f t="shared" si="54"/>
        <v>0</v>
      </c>
      <c r="AD269" s="171">
        <f t="shared" si="54"/>
        <v>0</v>
      </c>
    </row>
    <row r="270" spans="1:30">
      <c r="A270" s="118" t="s">
        <v>704</v>
      </c>
      <c r="B270" s="119" t="s">
        <v>683</v>
      </c>
      <c r="C270" s="119" t="s">
        <v>70</v>
      </c>
      <c r="D270" s="119" t="s">
        <v>405</v>
      </c>
      <c r="E270" s="119"/>
      <c r="F270" s="119" t="s">
        <v>83</v>
      </c>
      <c r="G270" s="238">
        <f>'[59]Scenario 2 - Phase 1'!G270+'[59]Scenario 2 - Phase 2'!G270</f>
        <v>1</v>
      </c>
      <c r="H270" s="237">
        <f t="shared" ref="H270:H271" si="69">K270/G270</f>
        <v>499900</v>
      </c>
      <c r="I270" s="122">
        <v>0</v>
      </c>
      <c r="J270" s="121">
        <f t="shared" si="65"/>
        <v>499900</v>
      </c>
      <c r="K270" s="239">
        <f>'[59]Scenario 2 - Phase 1'!K270+'[59]Scenario 2 - Phase 2'!K270</f>
        <v>499900</v>
      </c>
      <c r="N270" s="46" t="s">
        <v>611</v>
      </c>
      <c r="O270" s="46"/>
      <c r="P270" s="46"/>
      <c r="Q270" s="46"/>
      <c r="R270" s="46"/>
      <c r="S270" s="46"/>
      <c r="T270" s="46"/>
      <c r="U270" s="46"/>
      <c r="V270" s="46"/>
      <c r="Y270" s="2"/>
      <c r="AA270" s="138">
        <v>499900</v>
      </c>
      <c r="AC270" s="171">
        <f t="shared" si="54"/>
        <v>0</v>
      </c>
      <c r="AD270" s="171">
        <f t="shared" si="54"/>
        <v>0</v>
      </c>
    </row>
    <row r="271" spans="1:30">
      <c r="A271" s="118" t="s">
        <v>705</v>
      </c>
      <c r="B271" s="119" t="s">
        <v>687</v>
      </c>
      <c r="C271" s="119" t="s">
        <v>70</v>
      </c>
      <c r="D271" s="119" t="s">
        <v>405</v>
      </c>
      <c r="E271" s="119"/>
      <c r="F271" s="119" t="s">
        <v>83</v>
      </c>
      <c r="G271" s="238">
        <f>'[59]Scenario 2 - Phase 1'!G271+'[59]Scenario 2 - Phase 2'!G271</f>
        <v>1</v>
      </c>
      <c r="H271" s="237">
        <f t="shared" si="69"/>
        <v>132664</v>
      </c>
      <c r="I271" s="122">
        <v>0</v>
      </c>
      <c r="J271" s="121">
        <f t="shared" si="65"/>
        <v>132664</v>
      </c>
      <c r="K271" s="239">
        <f>'[59]Scenario 2 - Phase 1'!K271+'[59]Scenario 2 - Phase 2'!K271</f>
        <v>132664</v>
      </c>
      <c r="N271" s="46" t="s">
        <v>611</v>
      </c>
      <c r="O271" s="46"/>
      <c r="P271" s="46"/>
      <c r="Q271" s="46"/>
      <c r="R271" s="46"/>
      <c r="S271" s="46"/>
      <c r="T271" s="46"/>
      <c r="U271" s="46"/>
      <c r="V271" s="46"/>
      <c r="Y271" s="2"/>
      <c r="AA271" s="138">
        <v>132664</v>
      </c>
      <c r="AC271" s="171">
        <f t="shared" si="54"/>
        <v>0</v>
      </c>
      <c r="AD271" s="171">
        <f t="shared" si="54"/>
        <v>0</v>
      </c>
    </row>
    <row r="272" spans="1:30">
      <c r="A272" s="118" t="s">
        <v>688</v>
      </c>
      <c r="B272" s="119" t="s">
        <v>689</v>
      </c>
      <c r="C272" s="119" t="s">
        <v>70</v>
      </c>
      <c r="D272" s="119" t="s">
        <v>405</v>
      </c>
      <c r="E272" s="119" t="s">
        <v>87</v>
      </c>
      <c r="F272" s="119"/>
      <c r="G272" s="120"/>
      <c r="H272" s="121"/>
      <c r="I272" s="122">
        <v>0</v>
      </c>
      <c r="J272" s="121">
        <f t="shared" si="65"/>
        <v>0</v>
      </c>
      <c r="K272" s="138">
        <f t="shared" si="66"/>
        <v>0</v>
      </c>
      <c r="N272" s="46"/>
      <c r="O272" s="46"/>
      <c r="P272" s="46"/>
      <c r="Q272" s="46"/>
      <c r="R272" s="46"/>
      <c r="S272" s="46"/>
      <c r="T272" s="46"/>
      <c r="U272" s="46"/>
      <c r="V272" s="46"/>
      <c r="Y272" s="2"/>
      <c r="AA272" s="138">
        <v>0</v>
      </c>
      <c r="AC272" s="171">
        <f t="shared" si="54"/>
        <v>0</v>
      </c>
      <c r="AD272" s="171">
        <f t="shared" si="54"/>
        <v>0</v>
      </c>
    </row>
    <row r="273" spans="1:30">
      <c r="A273" s="118" t="s">
        <v>707</v>
      </c>
      <c r="B273" s="119" t="s">
        <v>695</v>
      </c>
      <c r="C273" s="119" t="s">
        <v>70</v>
      </c>
      <c r="D273" s="119" t="s">
        <v>405</v>
      </c>
      <c r="E273" s="119" t="s">
        <v>87</v>
      </c>
      <c r="F273" s="119"/>
      <c r="G273" s="238">
        <f>'[59]Scenario 2 - Phase 1'!G273+'[59]Scenario 2 - Phase 2'!G273</f>
        <v>1</v>
      </c>
      <c r="H273" s="237">
        <f t="shared" ref="H273" si="70">K273/G273</f>
        <v>125900</v>
      </c>
      <c r="I273" s="122">
        <v>0</v>
      </c>
      <c r="J273" s="121">
        <f t="shared" si="65"/>
        <v>125900</v>
      </c>
      <c r="K273" s="239">
        <f>'[59]Scenario 2 - Phase 1'!K273+'[59]Scenario 2 - Phase 2'!K273</f>
        <v>125900</v>
      </c>
      <c r="N273" s="46"/>
      <c r="O273" s="46"/>
      <c r="P273" s="46"/>
      <c r="Q273" s="46"/>
      <c r="R273" s="46"/>
      <c r="S273" s="46"/>
      <c r="T273" s="46"/>
      <c r="U273" s="46"/>
      <c r="V273" s="46"/>
      <c r="Y273" s="2"/>
      <c r="AA273" s="138">
        <v>125900</v>
      </c>
      <c r="AC273" s="171">
        <f t="shared" si="54"/>
        <v>0</v>
      </c>
      <c r="AD273" s="171">
        <f t="shared" si="54"/>
        <v>0</v>
      </c>
    </row>
    <row r="274" spans="1:30">
      <c r="A274" s="96" t="s">
        <v>717</v>
      </c>
      <c r="B274" s="97" t="s">
        <v>718</v>
      </c>
      <c r="C274" s="97"/>
      <c r="D274" s="97"/>
      <c r="E274" s="97"/>
      <c r="F274" s="97"/>
      <c r="G274" s="98"/>
      <c r="H274" s="99"/>
      <c r="I274" s="100"/>
      <c r="J274" s="99"/>
      <c r="K274" s="131"/>
      <c r="L274" s="103">
        <f>SUM(K275)</f>
        <v>7500</v>
      </c>
      <c r="N274" s="46"/>
      <c r="O274" s="46"/>
      <c r="P274" s="46"/>
      <c r="Q274" s="46"/>
      <c r="R274" s="46"/>
      <c r="S274" s="46"/>
      <c r="T274" s="46"/>
      <c r="U274" s="46"/>
      <c r="V274" s="46"/>
      <c r="Y274" s="2"/>
      <c r="AA274" s="131"/>
      <c r="AB274" s="103">
        <v>7500</v>
      </c>
      <c r="AC274" s="171">
        <f t="shared" si="54"/>
        <v>0</v>
      </c>
      <c r="AD274" s="171">
        <f t="shared" si="54"/>
        <v>0</v>
      </c>
    </row>
    <row r="275" spans="1:30">
      <c r="A275" s="104" t="s">
        <v>715</v>
      </c>
      <c r="B275" s="105" t="s">
        <v>716</v>
      </c>
      <c r="C275" s="105" t="s">
        <v>144</v>
      </c>
      <c r="D275" s="105" t="s">
        <v>405</v>
      </c>
      <c r="E275" s="105" t="s">
        <v>76</v>
      </c>
      <c r="F275" s="105" t="s">
        <v>83</v>
      </c>
      <c r="G275" s="106">
        <v>1</v>
      </c>
      <c r="H275" s="107">
        <v>7500</v>
      </c>
      <c r="I275" s="108">
        <v>0</v>
      </c>
      <c r="J275" s="109">
        <f t="shared" ref="J275" si="71">H275*(1+I275)</f>
        <v>7500</v>
      </c>
      <c r="K275" s="110">
        <f t="shared" ref="K275" si="72">J275*G275</f>
        <v>7500</v>
      </c>
      <c r="N275" s="46"/>
      <c r="O275" s="46"/>
      <c r="P275" s="46"/>
      <c r="Q275" s="46"/>
      <c r="R275" s="46"/>
      <c r="S275" s="46"/>
      <c r="T275" s="46"/>
      <c r="U275" s="46"/>
      <c r="V275" s="46"/>
      <c r="Y275" s="2"/>
      <c r="AA275" s="110">
        <v>7500</v>
      </c>
      <c r="AC275" s="171">
        <f t="shared" si="54"/>
        <v>0</v>
      </c>
      <c r="AD275" s="171">
        <f t="shared" si="54"/>
        <v>0</v>
      </c>
    </row>
    <row r="276" spans="1:30">
      <c r="A276" s="96" t="s">
        <v>726</v>
      </c>
      <c r="B276" s="97" t="s">
        <v>727</v>
      </c>
      <c r="C276" s="97"/>
      <c r="D276" s="97"/>
      <c r="E276" s="97"/>
      <c r="F276" s="97"/>
      <c r="G276" s="98"/>
      <c r="H276" s="99"/>
      <c r="I276" s="100"/>
      <c r="J276" s="99"/>
      <c r="K276" s="131"/>
      <c r="L276" s="103">
        <f>SUM(K277:K279)</f>
        <v>1019108</v>
      </c>
      <c r="N276" s="46"/>
      <c r="O276" s="46"/>
      <c r="P276" s="46"/>
      <c r="Q276" s="46"/>
      <c r="R276" s="46"/>
      <c r="S276" s="46"/>
      <c r="T276" s="46"/>
      <c r="U276" s="46"/>
      <c r="V276" s="46"/>
      <c r="Y276" s="2"/>
      <c r="AA276" s="131"/>
      <c r="AB276" s="103">
        <v>1019108</v>
      </c>
      <c r="AC276" s="171">
        <f t="shared" si="54"/>
        <v>0</v>
      </c>
      <c r="AD276" s="171">
        <f t="shared" si="54"/>
        <v>0</v>
      </c>
    </row>
    <row r="277" spans="1:30">
      <c r="A277" s="111" t="s">
        <v>719</v>
      </c>
      <c r="B277" s="112" t="s">
        <v>720</v>
      </c>
      <c r="C277" s="112" t="s">
        <v>70</v>
      </c>
      <c r="D277" s="112"/>
      <c r="E277" s="112" t="s">
        <v>1160</v>
      </c>
      <c r="F277" s="112" t="s">
        <v>344</v>
      </c>
      <c r="G277" s="238">
        <f>'[59]Scenario 2 - Phase 1'!G277+'[59]Scenario 2 - Phase 2'!G277</f>
        <v>1</v>
      </c>
      <c r="H277" s="237">
        <f t="shared" ref="H277:H278" si="73">K277/G277</f>
        <v>977434</v>
      </c>
      <c r="I277" s="115">
        <v>0</v>
      </c>
      <c r="J277" s="116">
        <f t="shared" ref="J277:J279" si="74">H277*(1+I277)</f>
        <v>977434</v>
      </c>
      <c r="K277" s="239">
        <f>'[59]Scenario 2 - Phase 1'!K277+'[59]Scenario 2 - Phase 2'!K277</f>
        <v>977434</v>
      </c>
      <c r="N277" s="46"/>
      <c r="O277" s="46"/>
      <c r="P277" s="46"/>
      <c r="Q277" s="46"/>
      <c r="R277" s="46"/>
      <c r="S277" s="46"/>
      <c r="T277" s="46"/>
      <c r="U277" s="46"/>
      <c r="V277" s="46"/>
      <c r="Y277" s="2"/>
      <c r="AA277" s="117">
        <v>977434</v>
      </c>
      <c r="AC277" s="171">
        <f t="shared" ref="AC277:AD326" si="75">AA277-K277</f>
        <v>0</v>
      </c>
      <c r="AD277" s="171">
        <f t="shared" si="75"/>
        <v>0</v>
      </c>
    </row>
    <row r="278" spans="1:30">
      <c r="A278" s="118" t="s">
        <v>722</v>
      </c>
      <c r="B278" s="119" t="s">
        <v>723</v>
      </c>
      <c r="C278" s="119" t="s">
        <v>144</v>
      </c>
      <c r="D278" s="119"/>
      <c r="E278" s="119" t="s">
        <v>76</v>
      </c>
      <c r="F278" s="119" t="s">
        <v>83</v>
      </c>
      <c r="G278" s="238">
        <f>'[59]Scenario 2 - Phase 1'!G278+'[59]Scenario 2 - Phase 2'!G278</f>
        <v>2</v>
      </c>
      <c r="H278" s="237">
        <f t="shared" si="73"/>
        <v>20837</v>
      </c>
      <c r="I278" s="122">
        <v>0</v>
      </c>
      <c r="J278" s="121"/>
      <c r="K278" s="239">
        <f>'[59]Scenario 2 - Phase 1'!K278+'[59]Scenario 2 - Phase 2'!K278</f>
        <v>41674</v>
      </c>
      <c r="N278" s="46"/>
      <c r="O278" s="46"/>
      <c r="P278" s="46"/>
      <c r="Q278" s="46"/>
      <c r="R278" s="46"/>
      <c r="S278" s="46"/>
      <c r="T278" s="46"/>
      <c r="U278" s="46"/>
      <c r="V278" s="46"/>
      <c r="Y278" s="2"/>
      <c r="AA278" s="138">
        <v>41674</v>
      </c>
      <c r="AC278" s="171">
        <f t="shared" si="75"/>
        <v>0</v>
      </c>
      <c r="AD278" s="171">
        <f t="shared" si="75"/>
        <v>0</v>
      </c>
    </row>
    <row r="279" spans="1:30">
      <c r="A279" s="118" t="s">
        <v>724</v>
      </c>
      <c r="B279" s="119" t="s">
        <v>725</v>
      </c>
      <c r="C279" s="119" t="s">
        <v>144</v>
      </c>
      <c r="D279" s="119"/>
      <c r="E279" s="119" t="s">
        <v>87</v>
      </c>
      <c r="F279" s="119"/>
      <c r="G279" s="120"/>
      <c r="H279" s="121"/>
      <c r="I279" s="122">
        <v>0</v>
      </c>
      <c r="J279" s="121">
        <f t="shared" si="74"/>
        <v>0</v>
      </c>
      <c r="K279" s="138">
        <f t="shared" ref="K279" si="76">J279*G279</f>
        <v>0</v>
      </c>
      <c r="N279" s="46"/>
      <c r="O279" s="46"/>
      <c r="P279" s="46"/>
      <c r="Q279" s="46"/>
      <c r="R279" s="46"/>
      <c r="S279" s="46"/>
      <c r="T279" s="46"/>
      <c r="U279" s="46"/>
      <c r="V279" s="46"/>
      <c r="Y279" s="2"/>
      <c r="AA279" s="138">
        <v>0</v>
      </c>
      <c r="AC279" s="171">
        <f t="shared" si="75"/>
        <v>0</v>
      </c>
      <c r="AD279" s="171">
        <f t="shared" si="75"/>
        <v>0</v>
      </c>
    </row>
    <row r="280" spans="1:30">
      <c r="A280" s="96" t="s">
        <v>748</v>
      </c>
      <c r="B280" s="97" t="s">
        <v>749</v>
      </c>
      <c r="C280" s="97"/>
      <c r="D280" s="97"/>
      <c r="E280" s="97"/>
      <c r="F280" s="97"/>
      <c r="G280" s="98"/>
      <c r="H280" s="99"/>
      <c r="I280" s="100"/>
      <c r="J280" s="99"/>
      <c r="K280" s="131"/>
      <c r="L280" s="103">
        <f>SUM(K281:K289)</f>
        <v>465812.10000000009</v>
      </c>
      <c r="N280" s="46"/>
      <c r="O280" s="46"/>
      <c r="P280" s="46"/>
      <c r="Q280" s="46"/>
      <c r="R280" s="46"/>
      <c r="S280" s="46"/>
      <c r="T280" s="46"/>
      <c r="U280" s="46"/>
      <c r="V280" s="46"/>
      <c r="Y280" s="2"/>
      <c r="AA280" s="131"/>
      <c r="AB280" s="103">
        <v>465812.10000000009</v>
      </c>
      <c r="AC280" s="171">
        <f t="shared" si="75"/>
        <v>0</v>
      </c>
      <c r="AD280" s="171">
        <f t="shared" si="75"/>
        <v>0</v>
      </c>
    </row>
    <row r="281" spans="1:30">
      <c r="A281" s="111" t="s">
        <v>728</v>
      </c>
      <c r="B281" s="112" t="s">
        <v>729</v>
      </c>
      <c r="C281" s="112" t="s">
        <v>70</v>
      </c>
      <c r="D281" s="112"/>
      <c r="E281" s="112" t="s">
        <v>1160</v>
      </c>
      <c r="F281" s="112" t="s">
        <v>83</v>
      </c>
      <c r="G281" s="153">
        <f>$B$9</f>
        <v>17.25</v>
      </c>
      <c r="H281" s="114">
        <v>2914</v>
      </c>
      <c r="I281" s="115">
        <v>0</v>
      </c>
      <c r="J281" s="116">
        <f t="shared" ref="J281:J289" si="77">H281*(1+I281)</f>
        <v>2914</v>
      </c>
      <c r="K281" s="117">
        <f t="shared" ref="K281:K289" si="78">J281*G281</f>
        <v>50266.5</v>
      </c>
      <c r="N281" s="46"/>
      <c r="O281" s="46"/>
      <c r="P281" s="46"/>
      <c r="Q281" s="46"/>
      <c r="R281" s="46"/>
      <c r="S281" s="46"/>
      <c r="T281" s="46"/>
      <c r="U281" s="46"/>
      <c r="V281" s="46"/>
      <c r="Y281" s="2"/>
      <c r="AA281" s="117">
        <v>50266.5</v>
      </c>
      <c r="AC281" s="171">
        <f t="shared" si="75"/>
        <v>0</v>
      </c>
      <c r="AD281" s="171">
        <f t="shared" si="75"/>
        <v>0</v>
      </c>
    </row>
    <row r="282" spans="1:30">
      <c r="A282" s="118" t="s">
        <v>731</v>
      </c>
      <c r="B282" s="119" t="s">
        <v>732</v>
      </c>
      <c r="C282" s="119" t="s">
        <v>70</v>
      </c>
      <c r="D282" s="119"/>
      <c r="E282" s="119" t="s">
        <v>1160</v>
      </c>
      <c r="F282" s="119" t="s">
        <v>83</v>
      </c>
      <c r="G282" s="151">
        <f t="shared" ref="G282:G289" si="79">$B$9</f>
        <v>17.25</v>
      </c>
      <c r="H282" s="121">
        <v>1542</v>
      </c>
      <c r="I282" s="122">
        <v>0</v>
      </c>
      <c r="J282" s="121">
        <f t="shared" si="77"/>
        <v>1542</v>
      </c>
      <c r="K282" s="138">
        <f t="shared" si="78"/>
        <v>26599.5</v>
      </c>
      <c r="N282" s="46"/>
      <c r="O282" s="46"/>
      <c r="P282" s="46"/>
      <c r="Q282" s="46"/>
      <c r="R282" s="46"/>
      <c r="S282" s="46"/>
      <c r="T282" s="46"/>
      <c r="U282" s="46"/>
      <c r="V282" s="46"/>
      <c r="Y282" s="2"/>
      <c r="AA282" s="138">
        <v>26599.5</v>
      </c>
      <c r="AC282" s="171">
        <f t="shared" si="75"/>
        <v>0</v>
      </c>
      <c r="AD282" s="171">
        <f t="shared" si="75"/>
        <v>0</v>
      </c>
    </row>
    <row r="283" spans="1:30">
      <c r="A283" s="118" t="s">
        <v>733</v>
      </c>
      <c r="B283" s="119" t="s">
        <v>734</v>
      </c>
      <c r="C283" s="119" t="s">
        <v>70</v>
      </c>
      <c r="D283" s="119"/>
      <c r="E283" s="119" t="s">
        <v>1160</v>
      </c>
      <c r="F283" s="119" t="s">
        <v>83</v>
      </c>
      <c r="G283" s="151">
        <f t="shared" si="79"/>
        <v>17.25</v>
      </c>
      <c r="H283" s="121">
        <v>1870</v>
      </c>
      <c r="I283" s="122">
        <v>0</v>
      </c>
      <c r="J283" s="121">
        <f t="shared" si="77"/>
        <v>1870</v>
      </c>
      <c r="K283" s="138">
        <f t="shared" si="78"/>
        <v>32257.5</v>
      </c>
      <c r="N283" s="46"/>
      <c r="O283" s="46"/>
      <c r="P283" s="46"/>
      <c r="Q283" s="46"/>
      <c r="R283" s="46"/>
      <c r="S283" s="46"/>
      <c r="T283" s="46"/>
      <c r="U283" s="46"/>
      <c r="V283" s="46"/>
      <c r="Y283" s="2"/>
      <c r="AA283" s="138">
        <v>32257.5</v>
      </c>
      <c r="AC283" s="171">
        <f t="shared" si="75"/>
        <v>0</v>
      </c>
      <c r="AD283" s="171">
        <f t="shared" si="75"/>
        <v>0</v>
      </c>
    </row>
    <row r="284" spans="1:30">
      <c r="A284" s="118" t="s">
        <v>735</v>
      </c>
      <c r="B284" s="119" t="s">
        <v>736</v>
      </c>
      <c r="C284" s="119" t="s">
        <v>70</v>
      </c>
      <c r="D284" s="119"/>
      <c r="E284" s="119" t="s">
        <v>1160</v>
      </c>
      <c r="F284" s="119" t="s">
        <v>83</v>
      </c>
      <c r="G284" s="151">
        <f t="shared" si="79"/>
        <v>17.25</v>
      </c>
      <c r="H284" s="121">
        <v>6618.4</v>
      </c>
      <c r="I284" s="122">
        <v>0</v>
      </c>
      <c r="J284" s="121">
        <f t="shared" si="77"/>
        <v>6618.4</v>
      </c>
      <c r="K284" s="138">
        <f t="shared" si="78"/>
        <v>114167.4</v>
      </c>
      <c r="N284" s="46"/>
      <c r="O284" s="46"/>
      <c r="P284" s="46"/>
      <c r="Q284" s="46"/>
      <c r="R284" s="46"/>
      <c r="S284" s="46"/>
      <c r="T284" s="46"/>
      <c r="U284" s="46"/>
      <c r="V284" s="46"/>
      <c r="Y284" s="2"/>
      <c r="AA284" s="138">
        <v>114167.4</v>
      </c>
      <c r="AC284" s="171">
        <f t="shared" si="75"/>
        <v>0</v>
      </c>
      <c r="AD284" s="171">
        <f t="shared" si="75"/>
        <v>0</v>
      </c>
    </row>
    <row r="285" spans="1:30">
      <c r="A285" s="118" t="s">
        <v>738</v>
      </c>
      <c r="B285" s="119" t="s">
        <v>739</v>
      </c>
      <c r="C285" s="119" t="s">
        <v>70</v>
      </c>
      <c r="D285" s="119"/>
      <c r="E285" s="119" t="s">
        <v>1160</v>
      </c>
      <c r="F285" s="119" t="s">
        <v>83</v>
      </c>
      <c r="G285" s="151">
        <f t="shared" si="79"/>
        <v>17.25</v>
      </c>
      <c r="H285" s="121">
        <v>4006</v>
      </c>
      <c r="I285" s="122">
        <v>0</v>
      </c>
      <c r="J285" s="121">
        <f t="shared" si="77"/>
        <v>4006</v>
      </c>
      <c r="K285" s="138">
        <f t="shared" si="78"/>
        <v>69103.5</v>
      </c>
      <c r="N285" s="46"/>
      <c r="O285" s="46"/>
      <c r="P285" s="46"/>
      <c r="Q285" s="46"/>
      <c r="R285" s="46"/>
      <c r="S285" s="46"/>
      <c r="T285" s="46"/>
      <c r="U285" s="46"/>
      <c r="V285" s="46"/>
      <c r="Y285" s="2"/>
      <c r="AA285" s="138">
        <v>69103.5</v>
      </c>
      <c r="AC285" s="171">
        <f t="shared" si="75"/>
        <v>0</v>
      </c>
      <c r="AD285" s="171">
        <f t="shared" si="75"/>
        <v>0</v>
      </c>
    </row>
    <row r="286" spans="1:30">
      <c r="A286" s="118" t="s">
        <v>740</v>
      </c>
      <c r="B286" s="119" t="s">
        <v>741</v>
      </c>
      <c r="C286" s="119" t="s">
        <v>70</v>
      </c>
      <c r="D286" s="119"/>
      <c r="E286" s="119" t="s">
        <v>1160</v>
      </c>
      <c r="F286" s="119" t="s">
        <v>83</v>
      </c>
      <c r="G286" s="151">
        <f t="shared" si="79"/>
        <v>17.25</v>
      </c>
      <c r="H286" s="121">
        <v>3544.2</v>
      </c>
      <c r="I286" s="122">
        <v>0</v>
      </c>
      <c r="J286" s="121">
        <f t="shared" si="77"/>
        <v>3544.2</v>
      </c>
      <c r="K286" s="138">
        <f t="shared" si="78"/>
        <v>61137.45</v>
      </c>
      <c r="N286" s="46"/>
      <c r="O286" s="46"/>
      <c r="P286" s="46"/>
      <c r="Q286" s="46"/>
      <c r="R286" s="46"/>
      <c r="S286" s="46"/>
      <c r="T286" s="46"/>
      <c r="U286" s="46"/>
      <c r="V286" s="46"/>
      <c r="Y286" s="2"/>
      <c r="AA286" s="138">
        <v>61137.45</v>
      </c>
      <c r="AC286" s="171">
        <f t="shared" si="75"/>
        <v>0</v>
      </c>
      <c r="AD286" s="171">
        <f t="shared" si="75"/>
        <v>0</v>
      </c>
    </row>
    <row r="287" spans="1:30">
      <c r="A287" s="118" t="s">
        <v>742</v>
      </c>
      <c r="B287" s="119" t="s">
        <v>743</v>
      </c>
      <c r="C287" s="119" t="s">
        <v>70</v>
      </c>
      <c r="D287" s="119"/>
      <c r="E287" s="119" t="s">
        <v>1160</v>
      </c>
      <c r="F287" s="119" t="s">
        <v>83</v>
      </c>
      <c r="G287" s="151">
        <f t="shared" si="79"/>
        <v>17.25</v>
      </c>
      <c r="H287" s="121">
        <v>816</v>
      </c>
      <c r="I287" s="122">
        <v>0</v>
      </c>
      <c r="J287" s="121">
        <f t="shared" si="77"/>
        <v>816</v>
      </c>
      <c r="K287" s="138">
        <f t="shared" si="78"/>
        <v>14076</v>
      </c>
      <c r="N287" s="46"/>
      <c r="O287" s="46"/>
      <c r="P287" s="46"/>
      <c r="Q287" s="46"/>
      <c r="R287" s="46"/>
      <c r="S287" s="46"/>
      <c r="T287" s="46"/>
      <c r="U287" s="46"/>
      <c r="V287" s="46"/>
      <c r="Y287" s="2"/>
      <c r="AA287" s="138">
        <v>14076</v>
      </c>
      <c r="AC287" s="171">
        <f t="shared" si="75"/>
        <v>0</v>
      </c>
      <c r="AD287" s="171">
        <f t="shared" si="75"/>
        <v>0</v>
      </c>
    </row>
    <row r="288" spans="1:30">
      <c r="A288" s="118" t="s">
        <v>744</v>
      </c>
      <c r="B288" s="119" t="s">
        <v>745</v>
      </c>
      <c r="C288" s="119" t="s">
        <v>70</v>
      </c>
      <c r="D288" s="119"/>
      <c r="E288" s="119" t="s">
        <v>1160</v>
      </c>
      <c r="F288" s="119" t="s">
        <v>83</v>
      </c>
      <c r="G288" s="151">
        <f t="shared" si="79"/>
        <v>17.25</v>
      </c>
      <c r="H288" s="121">
        <v>716.4</v>
      </c>
      <c r="I288" s="122">
        <v>0</v>
      </c>
      <c r="J288" s="121">
        <f t="shared" si="77"/>
        <v>716.4</v>
      </c>
      <c r="K288" s="138">
        <f t="shared" si="78"/>
        <v>12357.9</v>
      </c>
      <c r="N288" s="46"/>
      <c r="O288" s="46"/>
      <c r="P288" s="46"/>
      <c r="Q288" s="46"/>
      <c r="R288" s="46"/>
      <c r="S288" s="46"/>
      <c r="T288" s="46"/>
      <c r="U288" s="46"/>
      <c r="V288" s="46"/>
      <c r="Y288" s="2"/>
      <c r="AA288" s="138">
        <v>12357.9</v>
      </c>
      <c r="AC288" s="171">
        <f t="shared" si="75"/>
        <v>0</v>
      </c>
      <c r="AD288" s="171">
        <f t="shared" si="75"/>
        <v>0</v>
      </c>
    </row>
    <row r="289" spans="1:30">
      <c r="A289" s="118" t="s">
        <v>746</v>
      </c>
      <c r="B289" s="119" t="s">
        <v>747</v>
      </c>
      <c r="C289" s="119" t="s">
        <v>70</v>
      </c>
      <c r="D289" s="119"/>
      <c r="E289" s="119" t="s">
        <v>1160</v>
      </c>
      <c r="F289" s="119" t="s">
        <v>83</v>
      </c>
      <c r="G289" s="151">
        <f t="shared" si="79"/>
        <v>17.25</v>
      </c>
      <c r="H289" s="121">
        <v>4976.6000000000004</v>
      </c>
      <c r="I289" s="122">
        <v>0</v>
      </c>
      <c r="J289" s="121">
        <f t="shared" si="77"/>
        <v>4976.6000000000004</v>
      </c>
      <c r="K289" s="138">
        <f t="shared" si="78"/>
        <v>85846.35</v>
      </c>
      <c r="N289" s="46"/>
      <c r="O289" s="46"/>
      <c r="P289" s="46"/>
      <c r="Q289" s="46"/>
      <c r="R289" s="46"/>
      <c r="S289" s="46"/>
      <c r="T289" s="46"/>
      <c r="U289" s="46"/>
      <c r="V289" s="46"/>
      <c r="Y289" s="2"/>
      <c r="AA289" s="138">
        <v>85846.35</v>
      </c>
      <c r="AC289" s="171">
        <f t="shared" si="75"/>
        <v>0</v>
      </c>
      <c r="AD289" s="171">
        <f t="shared" si="75"/>
        <v>0</v>
      </c>
    </row>
    <row r="290" spans="1:30">
      <c r="A290" s="96" t="s">
        <v>806</v>
      </c>
      <c r="B290" s="97" t="s">
        <v>122</v>
      </c>
      <c r="C290" s="97"/>
      <c r="D290" s="97"/>
      <c r="E290" s="97"/>
      <c r="F290" s="97"/>
      <c r="G290" s="98"/>
      <c r="H290" s="99"/>
      <c r="I290" s="100"/>
      <c r="J290" s="99"/>
      <c r="K290" s="131"/>
      <c r="L290" s="103">
        <f>SUM(K291:K298)</f>
        <v>1288500</v>
      </c>
      <c r="N290" s="46"/>
      <c r="O290" s="46"/>
      <c r="P290" s="46"/>
      <c r="Q290" s="46"/>
      <c r="R290" s="46"/>
      <c r="S290" s="46"/>
      <c r="T290" s="46"/>
      <c r="U290" s="46"/>
      <c r="V290" s="46"/>
      <c r="Y290" s="2"/>
      <c r="AA290" s="131"/>
      <c r="AB290" s="103">
        <v>1288500</v>
      </c>
      <c r="AC290" s="171">
        <f t="shared" si="75"/>
        <v>0</v>
      </c>
      <c r="AD290" s="171">
        <f t="shared" si="75"/>
        <v>0</v>
      </c>
    </row>
    <row r="291" spans="1:30" ht="30" customHeight="1">
      <c r="A291" s="111" t="s">
        <v>1177</v>
      </c>
      <c r="B291" s="112"/>
      <c r="C291" s="112"/>
      <c r="D291" s="112"/>
      <c r="E291" s="112" t="s">
        <v>131</v>
      </c>
      <c r="F291" s="112" t="s">
        <v>83</v>
      </c>
      <c r="G291" s="113">
        <v>2</v>
      </c>
      <c r="H291" s="114">
        <f>594250+50000</f>
        <v>644250</v>
      </c>
      <c r="I291" s="115">
        <v>0</v>
      </c>
      <c r="J291" s="116">
        <f t="shared" ref="J291:J298" si="80">H291*(1+I291)</f>
        <v>644250</v>
      </c>
      <c r="K291" s="117">
        <f t="shared" ref="K291:K298" si="81">J291*G291</f>
        <v>1288500</v>
      </c>
      <c r="N291" s="674" t="s">
        <v>1178</v>
      </c>
      <c r="O291" s="674"/>
      <c r="P291" s="674"/>
      <c r="Q291" s="674"/>
      <c r="R291" s="674"/>
      <c r="S291" s="674"/>
      <c r="T291" s="674"/>
      <c r="U291" s="674"/>
      <c r="V291" s="674"/>
      <c r="Y291" s="2"/>
      <c r="AA291" s="117">
        <v>1288500</v>
      </c>
      <c r="AC291" s="171">
        <f t="shared" si="75"/>
        <v>0</v>
      </c>
      <c r="AD291" s="171">
        <f t="shared" si="75"/>
        <v>0</v>
      </c>
    </row>
    <row r="292" spans="1:30">
      <c r="A292" s="118"/>
      <c r="B292" s="119"/>
      <c r="C292" s="119"/>
      <c r="D292" s="119"/>
      <c r="E292" s="119" t="s">
        <v>87</v>
      </c>
      <c r="F292" s="119"/>
      <c r="G292" s="120"/>
      <c r="H292" s="121"/>
      <c r="I292" s="122">
        <v>0</v>
      </c>
      <c r="J292" s="121">
        <f t="shared" si="80"/>
        <v>0</v>
      </c>
      <c r="K292" s="138">
        <f t="shared" si="81"/>
        <v>0</v>
      </c>
      <c r="N292" s="46"/>
      <c r="O292" s="46"/>
      <c r="P292" s="46"/>
      <c r="Q292" s="46"/>
      <c r="R292" s="46"/>
      <c r="S292" s="46"/>
      <c r="T292" s="46"/>
      <c r="U292" s="46"/>
      <c r="V292" s="46"/>
      <c r="Y292" s="2"/>
      <c r="AA292" s="138">
        <v>0</v>
      </c>
      <c r="AC292" s="171">
        <f t="shared" si="75"/>
        <v>0</v>
      </c>
      <c r="AD292" s="171">
        <f t="shared" si="75"/>
        <v>0</v>
      </c>
    </row>
    <row r="293" spans="1:30">
      <c r="A293" s="118"/>
      <c r="B293" s="119"/>
      <c r="C293" s="119"/>
      <c r="D293" s="119"/>
      <c r="E293" s="119" t="s">
        <v>87</v>
      </c>
      <c r="F293" s="119"/>
      <c r="G293" s="120"/>
      <c r="H293" s="121"/>
      <c r="I293" s="122">
        <v>0</v>
      </c>
      <c r="J293" s="121">
        <f t="shared" si="80"/>
        <v>0</v>
      </c>
      <c r="K293" s="138">
        <f t="shared" si="81"/>
        <v>0</v>
      </c>
      <c r="N293" s="46"/>
      <c r="O293" s="46"/>
      <c r="P293" s="46"/>
      <c r="Q293" s="46"/>
      <c r="R293" s="46"/>
      <c r="S293" s="46"/>
      <c r="T293" s="46"/>
      <c r="U293" s="46"/>
      <c r="V293" s="46"/>
      <c r="Y293" s="2"/>
      <c r="AA293" s="138">
        <v>0</v>
      </c>
      <c r="AC293" s="171">
        <f t="shared" si="75"/>
        <v>0</v>
      </c>
      <c r="AD293" s="171">
        <f t="shared" si="75"/>
        <v>0</v>
      </c>
    </row>
    <row r="294" spans="1:30">
      <c r="A294" s="118"/>
      <c r="B294" s="119"/>
      <c r="C294" s="119"/>
      <c r="D294" s="119"/>
      <c r="E294" s="119" t="s">
        <v>87</v>
      </c>
      <c r="F294" s="119"/>
      <c r="G294" s="120"/>
      <c r="H294" s="121"/>
      <c r="I294" s="122">
        <v>0</v>
      </c>
      <c r="J294" s="121">
        <f t="shared" si="80"/>
        <v>0</v>
      </c>
      <c r="K294" s="138">
        <f t="shared" si="81"/>
        <v>0</v>
      </c>
      <c r="N294" s="46"/>
      <c r="O294" s="46"/>
      <c r="P294" s="46"/>
      <c r="Q294" s="46"/>
      <c r="R294" s="46"/>
      <c r="S294" s="46"/>
      <c r="T294" s="46"/>
      <c r="U294" s="46"/>
      <c r="V294" s="46"/>
      <c r="Y294" s="2"/>
      <c r="AA294" s="138">
        <v>0</v>
      </c>
      <c r="AC294" s="171">
        <f t="shared" si="75"/>
        <v>0</v>
      </c>
      <c r="AD294" s="171">
        <f t="shared" si="75"/>
        <v>0</v>
      </c>
    </row>
    <row r="295" spans="1:30">
      <c r="A295" s="118"/>
      <c r="B295" s="119"/>
      <c r="C295" s="119"/>
      <c r="D295" s="119"/>
      <c r="E295" s="119" t="s">
        <v>87</v>
      </c>
      <c r="F295" s="119"/>
      <c r="G295" s="120"/>
      <c r="H295" s="121"/>
      <c r="I295" s="122">
        <v>0</v>
      </c>
      <c r="J295" s="121">
        <f t="shared" si="80"/>
        <v>0</v>
      </c>
      <c r="K295" s="138">
        <f t="shared" si="81"/>
        <v>0</v>
      </c>
      <c r="N295" s="46"/>
      <c r="O295" s="46"/>
      <c r="P295" s="46"/>
      <c r="Q295" s="46"/>
      <c r="R295" s="46"/>
      <c r="S295" s="46"/>
      <c r="T295" s="46"/>
      <c r="U295" s="46"/>
      <c r="V295" s="46"/>
      <c r="Y295" s="2"/>
      <c r="AA295" s="138">
        <v>0</v>
      </c>
      <c r="AC295" s="171">
        <f t="shared" si="75"/>
        <v>0</v>
      </c>
      <c r="AD295" s="171">
        <f t="shared" si="75"/>
        <v>0</v>
      </c>
    </row>
    <row r="296" spans="1:30">
      <c r="A296" s="118"/>
      <c r="B296" s="119"/>
      <c r="C296" s="119"/>
      <c r="D296" s="119"/>
      <c r="E296" s="119" t="s">
        <v>87</v>
      </c>
      <c r="F296" s="119"/>
      <c r="G296" s="120"/>
      <c r="H296" s="121"/>
      <c r="I296" s="122">
        <v>0</v>
      </c>
      <c r="J296" s="121">
        <f t="shared" si="80"/>
        <v>0</v>
      </c>
      <c r="K296" s="138">
        <f t="shared" si="81"/>
        <v>0</v>
      </c>
      <c r="N296" s="46"/>
      <c r="O296" s="46"/>
      <c r="P296" s="46"/>
      <c r="Q296" s="46"/>
      <c r="R296" s="46"/>
      <c r="S296" s="46"/>
      <c r="T296" s="46"/>
      <c r="U296" s="46"/>
      <c r="V296" s="46"/>
      <c r="Y296" s="2"/>
      <c r="AA296" s="138">
        <v>0</v>
      </c>
      <c r="AC296" s="171">
        <f t="shared" si="75"/>
        <v>0</v>
      </c>
      <c r="AD296" s="171">
        <f t="shared" si="75"/>
        <v>0</v>
      </c>
    </row>
    <row r="297" spans="1:30">
      <c r="A297" s="118"/>
      <c r="B297" s="119"/>
      <c r="C297" s="119"/>
      <c r="D297" s="119"/>
      <c r="E297" s="119" t="s">
        <v>87</v>
      </c>
      <c r="F297" s="119"/>
      <c r="G297" s="120"/>
      <c r="H297" s="121"/>
      <c r="I297" s="122">
        <v>0</v>
      </c>
      <c r="J297" s="121">
        <f t="shared" si="80"/>
        <v>0</v>
      </c>
      <c r="K297" s="138">
        <f t="shared" si="81"/>
        <v>0</v>
      </c>
      <c r="N297" s="46"/>
      <c r="O297" s="46"/>
      <c r="P297" s="46"/>
      <c r="Q297" s="46"/>
      <c r="R297" s="46"/>
      <c r="S297" s="46"/>
      <c r="T297" s="46"/>
      <c r="U297" s="46"/>
      <c r="V297" s="46"/>
      <c r="Y297" s="2"/>
      <c r="AA297" s="138">
        <v>0</v>
      </c>
      <c r="AC297" s="171">
        <f t="shared" si="75"/>
        <v>0</v>
      </c>
      <c r="AD297" s="171">
        <f t="shared" si="75"/>
        <v>0</v>
      </c>
    </row>
    <row r="298" spans="1:30">
      <c r="A298" s="118"/>
      <c r="B298" s="119"/>
      <c r="C298" s="119"/>
      <c r="D298" s="119"/>
      <c r="E298" s="119" t="s">
        <v>87</v>
      </c>
      <c r="F298" s="119"/>
      <c r="G298" s="120"/>
      <c r="H298" s="121"/>
      <c r="I298" s="122">
        <v>0</v>
      </c>
      <c r="J298" s="121">
        <f t="shared" si="80"/>
        <v>0</v>
      </c>
      <c r="K298" s="138">
        <f t="shared" si="81"/>
        <v>0</v>
      </c>
      <c r="N298" s="46"/>
      <c r="O298" s="46"/>
      <c r="P298" s="46"/>
      <c r="Q298" s="46"/>
      <c r="R298" s="46"/>
      <c r="S298" s="46"/>
      <c r="T298" s="46"/>
      <c r="U298" s="46"/>
      <c r="V298" s="46"/>
      <c r="Y298" s="2"/>
      <c r="AA298" s="138">
        <v>0</v>
      </c>
      <c r="AC298" s="171">
        <f t="shared" si="75"/>
        <v>0</v>
      </c>
      <c r="AD298" s="171">
        <f t="shared" si="75"/>
        <v>0</v>
      </c>
    </row>
    <row r="299" spans="1:30">
      <c r="A299" s="96" t="s">
        <v>751</v>
      </c>
      <c r="B299" s="97" t="s">
        <v>751</v>
      </c>
      <c r="C299" s="97"/>
      <c r="D299" s="97"/>
      <c r="E299" s="97"/>
      <c r="F299" s="97"/>
      <c r="G299" s="98"/>
      <c r="H299" s="99"/>
      <c r="I299" s="100"/>
      <c r="J299" s="99"/>
      <c r="K299" s="131"/>
      <c r="L299" s="246">
        <f>SUM(K300)</f>
        <v>1052926.3540315069</v>
      </c>
      <c r="N299" s="46"/>
      <c r="O299" s="46"/>
      <c r="P299" s="46"/>
      <c r="Q299" s="46"/>
      <c r="R299" s="46"/>
      <c r="S299" s="46"/>
      <c r="T299" s="46"/>
      <c r="U299" s="46"/>
      <c r="V299" s="46"/>
      <c r="Y299" s="2"/>
      <c r="AA299" s="131"/>
      <c r="AB299" s="103">
        <v>1056002.2290009821</v>
      </c>
      <c r="AC299" s="171">
        <f t="shared" si="75"/>
        <v>0</v>
      </c>
      <c r="AD299" s="171">
        <f t="shared" si="75"/>
        <v>3075.8749694752041</v>
      </c>
    </row>
    <row r="300" spans="1:30">
      <c r="A300" s="104" t="s">
        <v>751</v>
      </c>
      <c r="B300" s="105"/>
      <c r="C300" s="105"/>
      <c r="D300" s="105"/>
      <c r="E300" s="105"/>
      <c r="F300" s="105"/>
      <c r="G300" s="157">
        <v>0.02</v>
      </c>
      <c r="H300" s="107"/>
      <c r="I300" s="108"/>
      <c r="J300" s="109"/>
      <c r="K300" s="110">
        <f>G300*SUM(K23:K299)</f>
        <v>1052926.3540315069</v>
      </c>
      <c r="N300" s="46"/>
      <c r="O300" s="46"/>
      <c r="P300" s="46"/>
      <c r="Q300" s="46"/>
      <c r="R300" s="46"/>
      <c r="S300" s="46"/>
      <c r="T300" s="46"/>
      <c r="U300" s="46"/>
      <c r="V300" s="46"/>
      <c r="Y300" s="2"/>
      <c r="AA300" s="110">
        <v>1056002.2290009821</v>
      </c>
      <c r="AC300" s="171">
        <f t="shared" si="75"/>
        <v>3075.8749694752041</v>
      </c>
      <c r="AD300" s="171">
        <f t="shared" si="75"/>
        <v>0</v>
      </c>
    </row>
    <row r="301" spans="1:30">
      <c r="A301" s="96" t="s">
        <v>781</v>
      </c>
      <c r="B301" s="97" t="s">
        <v>782</v>
      </c>
      <c r="C301" s="97"/>
      <c r="D301" s="97"/>
      <c r="E301" s="97"/>
      <c r="F301" s="97"/>
      <c r="G301" s="98"/>
      <c r="H301" s="99"/>
      <c r="I301" s="100"/>
      <c r="J301" s="99"/>
      <c r="K301" s="131"/>
      <c r="L301" s="103">
        <f>SUM(K302:K315)</f>
        <v>3014642.8</v>
      </c>
      <c r="N301" s="46"/>
      <c r="O301" s="46"/>
      <c r="P301" s="46"/>
      <c r="Q301" s="46"/>
      <c r="R301" s="46"/>
      <c r="S301" s="46"/>
      <c r="T301" s="46"/>
      <c r="U301" s="46"/>
      <c r="V301" s="46"/>
      <c r="Y301" s="2"/>
      <c r="AA301" s="131"/>
      <c r="AB301" s="103">
        <v>3014642.8</v>
      </c>
      <c r="AC301" s="171">
        <f t="shared" si="75"/>
        <v>0</v>
      </c>
      <c r="AD301" s="171">
        <f t="shared" si="75"/>
        <v>0</v>
      </c>
    </row>
    <row r="302" spans="1:30">
      <c r="A302" s="111" t="s">
        <v>753</v>
      </c>
      <c r="B302" s="112" t="s">
        <v>754</v>
      </c>
      <c r="C302" s="112" t="s">
        <v>70</v>
      </c>
      <c r="D302" s="112"/>
      <c r="E302" s="112" t="s">
        <v>1179</v>
      </c>
      <c r="F302" s="112" t="s">
        <v>83</v>
      </c>
      <c r="G302" s="113">
        <v>1</v>
      </c>
      <c r="H302" s="114">
        <v>10000</v>
      </c>
      <c r="I302" s="115">
        <v>0</v>
      </c>
      <c r="J302" s="116">
        <f t="shared" ref="J302:J315" si="82">H302*(1+I302)</f>
        <v>10000</v>
      </c>
      <c r="K302" s="117">
        <f t="shared" ref="K302:K315" si="83">J302*G302</f>
        <v>10000</v>
      </c>
      <c r="N302" s="46"/>
      <c r="O302" s="46"/>
      <c r="P302" s="46"/>
      <c r="Q302" s="46"/>
      <c r="R302" s="46"/>
      <c r="S302" s="46"/>
      <c r="T302" s="46"/>
      <c r="U302" s="46"/>
      <c r="V302" s="46"/>
      <c r="Y302" s="2"/>
      <c r="AA302" s="117">
        <v>10000</v>
      </c>
      <c r="AC302" s="171">
        <f t="shared" si="75"/>
        <v>0</v>
      </c>
      <c r="AD302" s="171">
        <f t="shared" si="75"/>
        <v>0</v>
      </c>
    </row>
    <row r="303" spans="1:30">
      <c r="A303" s="118" t="s">
        <v>755</v>
      </c>
      <c r="B303" s="119" t="s">
        <v>756</v>
      </c>
      <c r="C303" s="119" t="s">
        <v>70</v>
      </c>
      <c r="D303" s="119"/>
      <c r="E303" s="119" t="s">
        <v>87</v>
      </c>
      <c r="F303" s="119"/>
      <c r="G303" s="120"/>
      <c r="H303" s="121"/>
      <c r="I303" s="122">
        <v>0</v>
      </c>
      <c r="J303" s="121">
        <f t="shared" si="82"/>
        <v>0</v>
      </c>
      <c r="K303" s="138">
        <f t="shared" si="83"/>
        <v>0</v>
      </c>
      <c r="N303" s="46"/>
      <c r="O303" s="46"/>
      <c r="P303" s="46"/>
      <c r="Q303" s="46"/>
      <c r="R303" s="46"/>
      <c r="S303" s="46"/>
      <c r="T303" s="46"/>
      <c r="U303" s="46"/>
      <c r="V303" s="46"/>
      <c r="Y303" s="2"/>
      <c r="AA303" s="138">
        <v>0</v>
      </c>
      <c r="AC303" s="171">
        <f t="shared" si="75"/>
        <v>0</v>
      </c>
      <c r="AD303" s="171">
        <f t="shared" si="75"/>
        <v>0</v>
      </c>
    </row>
    <row r="304" spans="1:30">
      <c r="A304" s="118" t="s">
        <v>757</v>
      </c>
      <c r="B304" s="119" t="s">
        <v>758</v>
      </c>
      <c r="C304" s="119" t="s">
        <v>70</v>
      </c>
      <c r="D304" s="119"/>
      <c r="E304" s="119" t="s">
        <v>1179</v>
      </c>
      <c r="F304" s="119" t="s">
        <v>83</v>
      </c>
      <c r="G304" s="120">
        <v>1</v>
      </c>
      <c r="H304" s="121">
        <v>21000</v>
      </c>
      <c r="I304" s="122">
        <v>0</v>
      </c>
      <c r="J304" s="121">
        <f t="shared" si="82"/>
        <v>21000</v>
      </c>
      <c r="K304" s="138">
        <f t="shared" si="83"/>
        <v>21000</v>
      </c>
      <c r="N304" s="46"/>
      <c r="O304" s="46"/>
      <c r="P304" s="46"/>
      <c r="Q304" s="46"/>
      <c r="R304" s="46"/>
      <c r="S304" s="46"/>
      <c r="T304" s="46"/>
      <c r="U304" s="46"/>
      <c r="V304" s="46"/>
      <c r="Y304" s="2"/>
      <c r="AA304" s="138">
        <v>21000</v>
      </c>
      <c r="AC304" s="171">
        <f t="shared" si="75"/>
        <v>0</v>
      </c>
      <c r="AD304" s="171">
        <f t="shared" si="75"/>
        <v>0</v>
      </c>
    </row>
    <row r="305" spans="1:30">
      <c r="A305" s="118" t="s">
        <v>759</v>
      </c>
      <c r="B305" s="119" t="s">
        <v>760</v>
      </c>
      <c r="C305" s="119" t="s">
        <v>70</v>
      </c>
      <c r="D305" s="119"/>
      <c r="E305" s="119" t="s">
        <v>1049</v>
      </c>
      <c r="F305" s="119" t="s">
        <v>83</v>
      </c>
      <c r="G305" s="120">
        <v>1</v>
      </c>
      <c r="H305" s="121">
        <v>21900</v>
      </c>
      <c r="I305" s="122">
        <v>0</v>
      </c>
      <c r="J305" s="121">
        <f t="shared" si="82"/>
        <v>21900</v>
      </c>
      <c r="K305" s="138">
        <f t="shared" si="83"/>
        <v>21900</v>
      </c>
      <c r="N305" s="46"/>
      <c r="O305" s="46"/>
      <c r="P305" s="46"/>
      <c r="Q305" s="46"/>
      <c r="R305" s="46"/>
      <c r="S305" s="46"/>
      <c r="T305" s="46"/>
      <c r="U305" s="46"/>
      <c r="V305" s="46"/>
      <c r="Y305" s="2"/>
      <c r="AA305" s="138">
        <v>21900</v>
      </c>
      <c r="AC305" s="171">
        <f t="shared" si="75"/>
        <v>0</v>
      </c>
      <c r="AD305" s="171">
        <f t="shared" si="75"/>
        <v>0</v>
      </c>
    </row>
    <row r="306" spans="1:30">
      <c r="A306" s="158" t="s">
        <v>761</v>
      </c>
      <c r="B306" s="119" t="s">
        <v>762</v>
      </c>
      <c r="C306" s="119" t="s">
        <v>70</v>
      </c>
      <c r="D306" s="119"/>
      <c r="E306" s="119" t="s">
        <v>1049</v>
      </c>
      <c r="F306" s="119" t="s">
        <v>1180</v>
      </c>
      <c r="G306" s="120">
        <f>$O$7</f>
        <v>2</v>
      </c>
      <c r="H306" s="159">
        <f>95000</f>
        <v>95000</v>
      </c>
      <c r="I306" s="122">
        <v>0</v>
      </c>
      <c r="J306" s="121">
        <f>H306*(1+I306)</f>
        <v>95000</v>
      </c>
      <c r="K306" s="138">
        <f>J306*G306</f>
        <v>190000</v>
      </c>
      <c r="N306" s="46"/>
      <c r="O306" s="46"/>
      <c r="P306" s="46"/>
      <c r="Q306" s="46"/>
      <c r="R306" s="46"/>
      <c r="S306" s="46"/>
      <c r="T306" s="46"/>
      <c r="U306" s="46"/>
      <c r="V306" s="46"/>
      <c r="Y306" s="2"/>
      <c r="AA306" s="138">
        <v>190000</v>
      </c>
      <c r="AB306" s="235"/>
      <c r="AC306" s="171">
        <f t="shared" si="75"/>
        <v>0</v>
      </c>
      <c r="AD306" s="171">
        <f t="shared" si="75"/>
        <v>0</v>
      </c>
    </row>
    <row r="307" spans="1:30">
      <c r="A307" s="158" t="s">
        <v>763</v>
      </c>
      <c r="B307" s="119" t="s">
        <v>764</v>
      </c>
      <c r="C307" s="119" t="s">
        <v>70</v>
      </c>
      <c r="D307" s="119"/>
      <c r="E307" s="119" t="s">
        <v>87</v>
      </c>
      <c r="F307" s="119"/>
      <c r="G307" s="120"/>
      <c r="H307" s="121"/>
      <c r="I307" s="122">
        <v>0</v>
      </c>
      <c r="J307" s="121">
        <f t="shared" si="82"/>
        <v>0</v>
      </c>
      <c r="K307" s="138">
        <f t="shared" si="83"/>
        <v>0</v>
      </c>
      <c r="N307" s="46"/>
      <c r="O307" s="46"/>
      <c r="P307" s="46"/>
      <c r="Q307" s="46"/>
      <c r="R307" s="46"/>
      <c r="S307" s="46"/>
      <c r="T307" s="46"/>
      <c r="U307" s="46"/>
      <c r="V307" s="46"/>
      <c r="Y307" s="2"/>
      <c r="AA307" s="138">
        <v>0</v>
      </c>
      <c r="AC307" s="171">
        <f t="shared" si="75"/>
        <v>0</v>
      </c>
      <c r="AD307" s="171">
        <f t="shared" si="75"/>
        <v>0</v>
      </c>
    </row>
    <row r="308" spans="1:30">
      <c r="A308" s="158" t="s">
        <v>765</v>
      </c>
      <c r="B308" s="119" t="s">
        <v>766</v>
      </c>
      <c r="C308" s="119" t="s">
        <v>70</v>
      </c>
      <c r="D308" s="119"/>
      <c r="E308" s="119" t="s">
        <v>1049</v>
      </c>
      <c r="F308" s="119" t="s">
        <v>83</v>
      </c>
      <c r="G308" s="120">
        <v>1</v>
      </c>
      <c r="H308" s="121">
        <v>15000</v>
      </c>
      <c r="I308" s="122">
        <v>0</v>
      </c>
      <c r="J308" s="121">
        <f t="shared" si="82"/>
        <v>15000</v>
      </c>
      <c r="K308" s="138">
        <f t="shared" si="83"/>
        <v>15000</v>
      </c>
      <c r="N308" s="46"/>
      <c r="O308" s="46"/>
      <c r="P308" s="46"/>
      <c r="Q308" s="46"/>
      <c r="R308" s="46"/>
      <c r="S308" s="46"/>
      <c r="T308" s="46"/>
      <c r="U308" s="46"/>
      <c r="V308" s="46"/>
      <c r="Y308" s="2"/>
      <c r="AA308" s="138">
        <v>15000</v>
      </c>
      <c r="AC308" s="171">
        <f t="shared" si="75"/>
        <v>0</v>
      </c>
      <c r="AD308" s="171">
        <f t="shared" si="75"/>
        <v>0</v>
      </c>
    </row>
    <row r="309" spans="1:30">
      <c r="A309" s="158" t="s">
        <v>767</v>
      </c>
      <c r="B309" s="119" t="s">
        <v>768</v>
      </c>
      <c r="C309" s="119" t="s">
        <v>70</v>
      </c>
      <c r="D309" s="119"/>
      <c r="E309" s="119" t="s">
        <v>1049</v>
      </c>
      <c r="F309" s="119" t="s">
        <v>83</v>
      </c>
      <c r="G309" s="120">
        <v>1</v>
      </c>
      <c r="H309" s="121">
        <v>5000</v>
      </c>
      <c r="I309" s="122">
        <v>0</v>
      </c>
      <c r="J309" s="121">
        <f t="shared" si="82"/>
        <v>5000</v>
      </c>
      <c r="K309" s="138">
        <f t="shared" si="83"/>
        <v>5000</v>
      </c>
      <c r="N309" s="46"/>
      <c r="O309" s="46"/>
      <c r="P309" s="46"/>
      <c r="Q309" s="46"/>
      <c r="R309" s="46"/>
      <c r="S309" s="46"/>
      <c r="T309" s="46"/>
      <c r="U309" s="46"/>
      <c r="V309" s="46"/>
      <c r="Y309" s="2"/>
      <c r="AA309" s="138">
        <v>5000</v>
      </c>
      <c r="AC309" s="171">
        <f t="shared" si="75"/>
        <v>0</v>
      </c>
      <c r="AD309" s="171">
        <f t="shared" si="75"/>
        <v>0</v>
      </c>
    </row>
    <row r="310" spans="1:30">
      <c r="A310" s="158" t="s">
        <v>770</v>
      </c>
      <c r="B310" s="119" t="s">
        <v>771</v>
      </c>
      <c r="C310" s="119" t="s">
        <v>70</v>
      </c>
      <c r="D310" s="119"/>
      <c r="E310" s="119" t="s">
        <v>87</v>
      </c>
      <c r="F310" s="119"/>
      <c r="G310" s="120"/>
      <c r="H310" s="121"/>
      <c r="I310" s="122">
        <v>0</v>
      </c>
      <c r="J310" s="121">
        <f t="shared" si="82"/>
        <v>0</v>
      </c>
      <c r="K310" s="138">
        <f t="shared" si="83"/>
        <v>0</v>
      </c>
      <c r="N310" s="46"/>
      <c r="O310" s="46"/>
      <c r="P310" s="46"/>
      <c r="Q310" s="46"/>
      <c r="R310" s="46"/>
      <c r="S310" s="46"/>
      <c r="T310" s="46"/>
      <c r="U310" s="46"/>
      <c r="V310" s="46"/>
      <c r="Y310" s="2"/>
      <c r="AA310" s="138">
        <v>0</v>
      </c>
      <c r="AC310" s="171">
        <f t="shared" si="75"/>
        <v>0</v>
      </c>
      <c r="AD310" s="171">
        <f t="shared" si="75"/>
        <v>0</v>
      </c>
    </row>
    <row r="311" spans="1:30">
      <c r="A311" s="118" t="s">
        <v>772</v>
      </c>
      <c r="B311" s="119" t="s">
        <v>773</v>
      </c>
      <c r="C311" s="119" t="s">
        <v>70</v>
      </c>
      <c r="D311" s="119"/>
      <c r="E311" s="119" t="s">
        <v>1160</v>
      </c>
      <c r="F311" s="119" t="s">
        <v>1181</v>
      </c>
      <c r="G311" s="120">
        <f>$B$11</f>
        <v>3</v>
      </c>
      <c r="H311" s="121">
        <f>823200</f>
        <v>823200</v>
      </c>
      <c r="I311" s="122">
        <v>0</v>
      </c>
      <c r="J311" s="121">
        <f>H311*(1+I311)</f>
        <v>823200</v>
      </c>
      <c r="K311" s="138">
        <f t="shared" si="83"/>
        <v>2469600</v>
      </c>
      <c r="N311" s="46"/>
      <c r="O311" s="46"/>
      <c r="P311" s="46"/>
      <c r="Q311" s="46"/>
      <c r="R311" s="46"/>
      <c r="S311" s="46"/>
      <c r="T311" s="46"/>
      <c r="U311" s="46"/>
      <c r="V311" s="46"/>
      <c r="Y311" s="2"/>
      <c r="AA311" s="138">
        <v>2469600</v>
      </c>
      <c r="AC311" s="171">
        <f t="shared" si="75"/>
        <v>0</v>
      </c>
      <c r="AD311" s="171">
        <f t="shared" si="75"/>
        <v>0</v>
      </c>
    </row>
    <row r="312" spans="1:30">
      <c r="A312" s="118" t="s">
        <v>222</v>
      </c>
      <c r="B312" s="119" t="s">
        <v>775</v>
      </c>
      <c r="C312" s="119" t="s">
        <v>70</v>
      </c>
      <c r="D312" s="119"/>
      <c r="E312" s="119" t="s">
        <v>1160</v>
      </c>
      <c r="F312" s="119" t="s">
        <v>1181</v>
      </c>
      <c r="G312" s="120">
        <f>$B$11</f>
        <v>3</v>
      </c>
      <c r="H312" s="121">
        <f>72147.6</f>
        <v>72147.600000000006</v>
      </c>
      <c r="I312" s="122">
        <v>0</v>
      </c>
      <c r="J312" s="121">
        <f t="shared" si="82"/>
        <v>72147.600000000006</v>
      </c>
      <c r="K312" s="138">
        <f t="shared" si="83"/>
        <v>216442.80000000002</v>
      </c>
      <c r="N312" s="46"/>
      <c r="O312" s="46"/>
      <c r="P312" s="46"/>
      <c r="Q312" s="46"/>
      <c r="R312" s="46"/>
      <c r="S312" s="46"/>
      <c r="T312" s="46"/>
      <c r="U312" s="46"/>
      <c r="V312" s="46"/>
      <c r="Y312" s="2"/>
      <c r="AA312" s="138">
        <v>216442.80000000002</v>
      </c>
      <c r="AC312" s="171">
        <f t="shared" si="75"/>
        <v>0</v>
      </c>
      <c r="AD312" s="171">
        <f t="shared" si="75"/>
        <v>0</v>
      </c>
    </row>
    <row r="313" spans="1:30">
      <c r="A313" s="158" t="s">
        <v>776</v>
      </c>
      <c r="B313" s="119" t="s">
        <v>564</v>
      </c>
      <c r="C313" s="119" t="s">
        <v>70</v>
      </c>
      <c r="D313" s="119"/>
      <c r="E313" s="119" t="s">
        <v>1049</v>
      </c>
      <c r="F313" s="119" t="s">
        <v>83</v>
      </c>
      <c r="G313" s="238">
        <f>'[59]Scenario 2 - Phase 1'!G313+'[59]Scenario 2 - Phase 2'!G313</f>
        <v>3</v>
      </c>
      <c r="H313" s="237">
        <f t="shared" ref="H313:H314" si="84">K313/G313</f>
        <v>19500</v>
      </c>
      <c r="I313" s="122">
        <v>0</v>
      </c>
      <c r="J313" s="121"/>
      <c r="K313" s="239">
        <f>'[59]Scenario 2 - Phase 1'!K313+'[59]Scenario 2 - Phase 2'!K313</f>
        <v>58500</v>
      </c>
      <c r="N313" s="46"/>
      <c r="O313" s="46"/>
      <c r="P313" s="46"/>
      <c r="Q313" s="46"/>
      <c r="R313" s="46"/>
      <c r="S313" s="46"/>
      <c r="T313" s="46"/>
      <c r="U313" s="46"/>
      <c r="V313" s="46"/>
      <c r="Y313" s="2"/>
      <c r="AA313" s="138">
        <v>58500</v>
      </c>
      <c r="AC313" s="171">
        <f t="shared" si="75"/>
        <v>0</v>
      </c>
      <c r="AD313" s="171">
        <f t="shared" si="75"/>
        <v>0</v>
      </c>
    </row>
    <row r="314" spans="1:30">
      <c r="A314" s="158" t="s">
        <v>777</v>
      </c>
      <c r="B314" s="119" t="s">
        <v>778</v>
      </c>
      <c r="C314" s="119" t="s">
        <v>70</v>
      </c>
      <c r="D314" s="119"/>
      <c r="E314" s="119" t="s">
        <v>1049</v>
      </c>
      <c r="F314" s="119" t="s">
        <v>83</v>
      </c>
      <c r="G314" s="238">
        <f>'[59]Scenario 2 - Phase 1'!G314+'[59]Scenario 2 - Phase 2'!G314</f>
        <v>3</v>
      </c>
      <c r="H314" s="237">
        <f t="shared" si="84"/>
        <v>2000</v>
      </c>
      <c r="I314" s="122">
        <v>0</v>
      </c>
      <c r="J314" s="121"/>
      <c r="K314" s="239">
        <f>'[59]Scenario 2 - Phase 1'!K314+'[59]Scenario 2 - Phase 2'!K314</f>
        <v>6000</v>
      </c>
      <c r="N314" s="46"/>
      <c r="O314" s="46"/>
      <c r="P314" s="46"/>
      <c r="Q314" s="46"/>
      <c r="R314" s="46"/>
      <c r="S314" s="46"/>
      <c r="T314" s="46"/>
      <c r="U314" s="46"/>
      <c r="V314" s="46"/>
      <c r="Y314" s="2"/>
      <c r="AA314" s="138">
        <v>6000</v>
      </c>
      <c r="AC314" s="171">
        <f t="shared" si="75"/>
        <v>0</v>
      </c>
      <c r="AD314" s="171">
        <f t="shared" si="75"/>
        <v>0</v>
      </c>
    </row>
    <row r="315" spans="1:30">
      <c r="A315" s="158" t="s">
        <v>779</v>
      </c>
      <c r="B315" s="119" t="s">
        <v>780</v>
      </c>
      <c r="C315" s="119" t="s">
        <v>70</v>
      </c>
      <c r="D315" s="119"/>
      <c r="E315" s="119" t="s">
        <v>1049</v>
      </c>
      <c r="F315" s="119" t="s">
        <v>83</v>
      </c>
      <c r="G315" s="120">
        <v>1</v>
      </c>
      <c r="H315" s="121">
        <v>1200</v>
      </c>
      <c r="I315" s="122">
        <v>0</v>
      </c>
      <c r="J315" s="121">
        <f t="shared" si="82"/>
        <v>1200</v>
      </c>
      <c r="K315" s="138">
        <f t="shared" si="83"/>
        <v>1200</v>
      </c>
      <c r="N315" s="46"/>
      <c r="O315" s="46"/>
      <c r="P315" s="46"/>
      <c r="Q315" s="46"/>
      <c r="R315" s="46"/>
      <c r="S315" s="46"/>
      <c r="T315" s="46"/>
      <c r="U315" s="46"/>
      <c r="V315" s="46"/>
      <c r="Y315" s="2"/>
      <c r="AA315" s="138">
        <v>1200</v>
      </c>
      <c r="AC315" s="171">
        <f t="shared" si="75"/>
        <v>0</v>
      </c>
      <c r="AD315" s="171">
        <f t="shared" si="75"/>
        <v>0</v>
      </c>
    </row>
    <row r="316" spans="1:30">
      <c r="A316" s="96" t="s">
        <v>783</v>
      </c>
      <c r="B316" s="97" t="s">
        <v>785</v>
      </c>
      <c r="C316" s="97"/>
      <c r="D316" s="97"/>
      <c r="E316" s="97"/>
      <c r="F316" s="97"/>
      <c r="G316" s="98"/>
      <c r="H316" s="99"/>
      <c r="I316" s="100"/>
      <c r="J316" s="99"/>
      <c r="K316" s="131"/>
      <c r="L316" s="103">
        <f>SUM(K317)</f>
        <v>2860711.5177803431</v>
      </c>
      <c r="N316" s="46"/>
      <c r="O316" s="46"/>
      <c r="P316" s="46"/>
      <c r="Q316" s="46"/>
      <c r="R316" s="46"/>
      <c r="S316" s="46"/>
      <c r="T316" s="46"/>
      <c r="U316" s="46"/>
      <c r="V316" s="46"/>
      <c r="Y316" s="2"/>
      <c r="AA316" s="131"/>
      <c r="AB316" s="103">
        <v>2868554.9989525047</v>
      </c>
      <c r="AC316" s="171">
        <f t="shared" si="75"/>
        <v>0</v>
      </c>
      <c r="AD316" s="171">
        <f t="shared" si="75"/>
        <v>7843.4811721616425</v>
      </c>
    </row>
    <row r="317" spans="1:30">
      <c r="A317" s="104" t="s">
        <v>783</v>
      </c>
      <c r="B317" s="105" t="s">
        <v>784</v>
      </c>
      <c r="C317" s="105"/>
      <c r="D317" s="105"/>
      <c r="E317" s="105"/>
      <c r="F317" s="105"/>
      <c r="G317" s="157">
        <v>0.05</v>
      </c>
      <c r="H317" s="107"/>
      <c r="I317" s="108"/>
      <c r="J317" s="109"/>
      <c r="K317" s="110">
        <f>G317*SUM(K20:K300)</f>
        <v>2860711.5177803431</v>
      </c>
      <c r="N317" s="46"/>
      <c r="O317" s="46"/>
      <c r="P317" s="46"/>
      <c r="Q317" s="46"/>
      <c r="R317" s="46"/>
      <c r="S317" s="46"/>
      <c r="T317" s="46"/>
      <c r="U317" s="46"/>
      <c r="V317" s="46"/>
      <c r="Y317" s="2"/>
      <c r="AA317" s="110">
        <v>2868554.9989525047</v>
      </c>
      <c r="AC317" s="171">
        <f t="shared" si="75"/>
        <v>7843.4811721616425</v>
      </c>
      <c r="AD317" s="171">
        <f t="shared" si="75"/>
        <v>0</v>
      </c>
    </row>
    <row r="318" spans="1:30">
      <c r="A318" s="96" t="s">
        <v>786</v>
      </c>
      <c r="B318" s="97" t="s">
        <v>789</v>
      </c>
      <c r="C318" s="97"/>
      <c r="D318" s="97"/>
      <c r="E318" s="97"/>
      <c r="F318" s="97"/>
      <c r="G318" s="98"/>
      <c r="H318" s="99"/>
      <c r="I318" s="100"/>
      <c r="J318" s="99"/>
      <c r="K318" s="131"/>
      <c r="L318" s="103">
        <f>SUM(K319)</f>
        <v>684402.1301204795</v>
      </c>
      <c r="N318" s="46"/>
      <c r="O318" s="46"/>
      <c r="P318" s="46"/>
      <c r="Q318" s="46"/>
      <c r="R318" s="46"/>
      <c r="S318" s="46"/>
      <c r="T318" s="46"/>
      <c r="U318" s="46"/>
      <c r="V318" s="46"/>
      <c r="Y318" s="2"/>
      <c r="AA318" s="131"/>
      <c r="AB318" s="103">
        <v>686401.44885063835</v>
      </c>
      <c r="AC318" s="171">
        <f t="shared" si="75"/>
        <v>0</v>
      </c>
      <c r="AD318" s="171">
        <f t="shared" si="75"/>
        <v>1999.3187301588478</v>
      </c>
    </row>
    <row r="319" spans="1:30">
      <c r="A319" s="104" t="s">
        <v>786</v>
      </c>
      <c r="B319" s="105" t="s">
        <v>787</v>
      </c>
      <c r="C319" s="105" t="s">
        <v>788</v>
      </c>
      <c r="D319" s="105"/>
      <c r="E319" s="105"/>
      <c r="F319" s="105"/>
      <c r="G319" s="157">
        <v>1.2999999999999999E-2</v>
      </c>
      <c r="H319" s="107"/>
      <c r="I319" s="108"/>
      <c r="J319" s="109"/>
      <c r="K319" s="110">
        <f>G319*SUM(K22:K298)</f>
        <v>684402.1301204795</v>
      </c>
      <c r="N319" s="46"/>
      <c r="O319" s="46"/>
      <c r="P319" s="46"/>
      <c r="Q319" s="46"/>
      <c r="R319" s="46"/>
      <c r="S319" s="46"/>
      <c r="T319" s="46"/>
      <c r="U319" s="46"/>
      <c r="V319" s="46"/>
      <c r="Y319" s="2"/>
      <c r="AA319" s="110">
        <v>686401.44885063835</v>
      </c>
      <c r="AC319" s="171">
        <f t="shared" si="75"/>
        <v>1999.3187301588478</v>
      </c>
      <c r="AD319" s="171">
        <f t="shared" si="75"/>
        <v>0</v>
      </c>
    </row>
    <row r="320" spans="1:30">
      <c r="A320" s="96" t="s">
        <v>797</v>
      </c>
      <c r="B320" s="97" t="s">
        <v>789</v>
      </c>
      <c r="C320" s="97"/>
      <c r="D320" s="97"/>
      <c r="E320" s="97"/>
      <c r="F320" s="97"/>
      <c r="G320" s="98"/>
      <c r="H320" s="99"/>
      <c r="I320" s="100"/>
      <c r="J320" s="99"/>
      <c r="K320" s="131"/>
      <c r="L320" s="103">
        <f>SUM(K321:K323)</f>
        <v>386470.36002925644</v>
      </c>
      <c r="N320" s="46"/>
      <c r="O320" s="46"/>
      <c r="P320" s="46"/>
      <c r="Q320" s="46"/>
      <c r="R320" s="46"/>
      <c r="S320" s="46"/>
      <c r="T320" s="46"/>
      <c r="U320" s="46"/>
      <c r="V320" s="46"/>
      <c r="Y320" s="2"/>
      <c r="AA320" s="131"/>
      <c r="AB320" s="103">
        <v>387480.63731473061</v>
      </c>
      <c r="AC320" s="171">
        <f t="shared" si="75"/>
        <v>0</v>
      </c>
      <c r="AD320" s="171">
        <f t="shared" si="75"/>
        <v>1010.2772854741779</v>
      </c>
    </row>
    <row r="321" spans="1:30">
      <c r="A321" s="111" t="s">
        <v>790</v>
      </c>
      <c r="B321" s="112" t="s">
        <v>791</v>
      </c>
      <c r="C321" s="112"/>
      <c r="D321" s="112"/>
      <c r="E321" s="112"/>
      <c r="F321" s="112" t="s">
        <v>792</v>
      </c>
      <c r="G321" s="160">
        <v>3.03</v>
      </c>
      <c r="H321" s="114"/>
      <c r="I321" s="115"/>
      <c r="J321" s="116"/>
      <c r="K321" s="117">
        <f>SUM(K20:K319)/1000*G321</f>
        <v>193235.18001462825</v>
      </c>
      <c r="N321" s="46"/>
      <c r="O321" s="46"/>
      <c r="P321" s="46"/>
      <c r="Q321" s="46"/>
      <c r="R321" s="46"/>
      <c r="S321" s="46"/>
      <c r="T321" s="46"/>
      <c r="U321" s="46"/>
      <c r="V321" s="46"/>
      <c r="Y321" s="2"/>
      <c r="AA321" s="117">
        <v>193740.31865736531</v>
      </c>
      <c r="AC321" s="171">
        <f t="shared" si="75"/>
        <v>505.13864273705985</v>
      </c>
      <c r="AD321" s="171">
        <f t="shared" si="75"/>
        <v>0</v>
      </c>
    </row>
    <row r="322" spans="1:30">
      <c r="A322" s="158" t="s">
        <v>793</v>
      </c>
      <c r="B322" s="119" t="s">
        <v>791</v>
      </c>
      <c r="C322" s="119"/>
      <c r="D322" s="119"/>
      <c r="E322" s="119"/>
      <c r="F322" s="119" t="s">
        <v>794</v>
      </c>
      <c r="G322" s="122">
        <v>0.05</v>
      </c>
      <c r="H322" s="121"/>
      <c r="I322" s="122"/>
      <c r="J322" s="121"/>
      <c r="K322" s="138">
        <f>K321*G322</f>
        <v>9661.759000731412</v>
      </c>
      <c r="N322" s="46"/>
      <c r="O322" s="46"/>
      <c r="P322" s="46"/>
      <c r="Q322" s="46"/>
      <c r="R322" s="46"/>
      <c r="S322" s="46"/>
      <c r="T322" s="46"/>
      <c r="U322" s="46"/>
      <c r="V322" s="46"/>
      <c r="Y322" s="2"/>
      <c r="AA322" s="138">
        <v>9687.0159328682657</v>
      </c>
      <c r="AC322" s="171">
        <f t="shared" si="75"/>
        <v>25.25693213685372</v>
      </c>
      <c r="AD322" s="171">
        <f t="shared" si="75"/>
        <v>0</v>
      </c>
    </row>
    <row r="323" spans="1:30">
      <c r="A323" s="158" t="s">
        <v>795</v>
      </c>
      <c r="B323" s="119" t="s">
        <v>791</v>
      </c>
      <c r="C323" s="119"/>
      <c r="D323" s="119"/>
      <c r="E323" s="119"/>
      <c r="F323" s="119" t="s">
        <v>796</v>
      </c>
      <c r="G323" s="122">
        <v>0.95</v>
      </c>
      <c r="H323" s="121"/>
      <c r="I323" s="122"/>
      <c r="J323" s="121"/>
      <c r="K323" s="138">
        <f>K321*G323</f>
        <v>183573.42101389682</v>
      </c>
      <c r="N323" s="46"/>
      <c r="O323" s="46"/>
      <c r="P323" s="46"/>
      <c r="Q323" s="46"/>
      <c r="R323" s="46"/>
      <c r="S323" s="46"/>
      <c r="T323" s="46"/>
      <c r="U323" s="46"/>
      <c r="V323" s="46"/>
      <c r="Y323" s="2"/>
      <c r="AA323" s="138">
        <v>184053.30272449704</v>
      </c>
      <c r="AC323" s="171">
        <f t="shared" si="75"/>
        <v>479.88171060022432</v>
      </c>
      <c r="AD323" s="171">
        <f t="shared" si="75"/>
        <v>0</v>
      </c>
    </row>
    <row r="324" spans="1:30">
      <c r="A324" s="96" t="s">
        <v>800</v>
      </c>
      <c r="B324" s="97" t="s">
        <v>799</v>
      </c>
      <c r="C324" s="97"/>
      <c r="D324" s="97"/>
      <c r="E324" s="97"/>
      <c r="F324" s="97"/>
      <c r="G324" s="98"/>
      <c r="H324" s="99"/>
      <c r="I324" s="100"/>
      <c r="J324" s="99"/>
      <c r="K324" s="131"/>
      <c r="L324" s="103">
        <f>SUM(K325)</f>
        <v>5132836.5730829546</v>
      </c>
      <c r="N324" s="46"/>
      <c r="O324" s="46"/>
      <c r="P324" s="46"/>
      <c r="Q324" s="46"/>
      <c r="R324" s="46"/>
      <c r="S324" s="46"/>
      <c r="T324" s="46"/>
      <c r="U324" s="46"/>
      <c r="V324" s="46"/>
      <c r="Y324" s="2"/>
      <c r="AA324" s="131"/>
      <c r="AB324" s="103">
        <v>5146254.3891334375</v>
      </c>
      <c r="AC324" s="171">
        <f t="shared" si="75"/>
        <v>0</v>
      </c>
      <c r="AD324" s="171">
        <f t="shared" si="75"/>
        <v>13417.816050482914</v>
      </c>
    </row>
    <row r="325" spans="1:30">
      <c r="A325" s="89" t="s">
        <v>1182</v>
      </c>
      <c r="B325" s="90" t="s">
        <v>799</v>
      </c>
      <c r="C325" s="90"/>
      <c r="D325" s="90"/>
      <c r="E325" s="90"/>
      <c r="F325" s="90"/>
      <c r="G325" s="161">
        <v>0.08</v>
      </c>
      <c r="H325" s="162"/>
      <c r="I325" s="93"/>
      <c r="J325" s="94"/>
      <c r="K325" s="95">
        <f>SUM(K20:K324)*G325</f>
        <v>5132836.5730829546</v>
      </c>
      <c r="N325" s="46"/>
      <c r="O325" s="46"/>
      <c r="P325" s="46"/>
      <c r="Q325" s="46"/>
      <c r="R325" s="46"/>
      <c r="S325" s="46"/>
      <c r="T325" s="46"/>
      <c r="U325" s="46"/>
      <c r="V325" s="46"/>
      <c r="Y325" s="2"/>
      <c r="AA325" s="95">
        <v>5146254.3891334375</v>
      </c>
      <c r="AC325" s="171">
        <f t="shared" si="75"/>
        <v>13417.816050482914</v>
      </c>
      <c r="AD325" s="171">
        <f t="shared" si="75"/>
        <v>0</v>
      </c>
    </row>
    <row r="326" spans="1:30" ht="15.75" thickBot="1">
      <c r="A326" s="163" t="s">
        <v>802</v>
      </c>
      <c r="B326" s="164"/>
      <c r="C326" s="164"/>
      <c r="D326" s="164"/>
      <c r="E326" s="164"/>
      <c r="F326" s="164"/>
      <c r="G326" s="164"/>
      <c r="H326" s="165"/>
      <c r="I326" s="166"/>
      <c r="J326" s="167"/>
      <c r="K326" s="167"/>
      <c r="L326" s="168">
        <f>SUM(L20:L325)</f>
        <v>69293293.736619905</v>
      </c>
      <c r="N326" s="169"/>
      <c r="O326" s="169"/>
      <c r="P326" s="169"/>
      <c r="Q326" s="169"/>
      <c r="R326" s="169"/>
      <c r="S326" s="169"/>
      <c r="T326" s="169"/>
      <c r="U326" s="169"/>
      <c r="V326" s="169"/>
      <c r="Y326" s="2"/>
      <c r="AA326" s="167"/>
      <c r="AB326" s="168">
        <v>69474434.253301397</v>
      </c>
      <c r="AC326" s="171">
        <f t="shared" si="75"/>
        <v>0</v>
      </c>
      <c r="AD326" s="171">
        <f t="shared" si="75"/>
        <v>181140.51668149233</v>
      </c>
    </row>
    <row r="327" spans="1:30">
      <c r="G327" s="2"/>
      <c r="H327" s="2"/>
      <c r="I327" s="170"/>
      <c r="L327" s="171">
        <f>SUM(K20:K326)-L326</f>
        <v>0</v>
      </c>
    </row>
    <row r="328" spans="1:30">
      <c r="A328" s="172" t="s">
        <v>72</v>
      </c>
      <c r="B328" s="20" t="s">
        <v>69</v>
      </c>
      <c r="C328" s="20"/>
      <c r="D328" s="20"/>
      <c r="E328" s="173">
        <f>_xlfn.XLOOKUP(A328,$A$20:$A$326,$L$20:$L$326)</f>
        <v>3514986.3</v>
      </c>
    </row>
    <row r="329" spans="1:30">
      <c r="A329" s="175" t="s">
        <v>77</v>
      </c>
      <c r="B329" s="18" t="s">
        <v>78</v>
      </c>
      <c r="C329" s="18"/>
      <c r="D329" s="18"/>
      <c r="E329" s="176">
        <f t="shared" ref="E329:E339" si="85">_xlfn.XLOOKUP(A329,$A$20:$A$326,$L$20:$L$326)</f>
        <v>16000</v>
      </c>
    </row>
    <row r="330" spans="1:30">
      <c r="A330" s="175" t="s">
        <v>121</v>
      </c>
      <c r="B330" s="18" t="s">
        <v>122</v>
      </c>
      <c r="C330" s="18"/>
      <c r="D330" s="18"/>
      <c r="E330" s="176">
        <f t="shared" si="85"/>
        <v>2594295.6785714286</v>
      </c>
    </row>
    <row r="331" spans="1:30">
      <c r="A331" s="175" t="s">
        <v>804</v>
      </c>
      <c r="B331" s="18" t="s">
        <v>805</v>
      </c>
      <c r="C331" s="18"/>
      <c r="D331" s="18"/>
      <c r="E331" s="176">
        <f t="shared" si="85"/>
        <v>0</v>
      </c>
    </row>
    <row r="332" spans="1:30">
      <c r="A332" s="175" t="s">
        <v>146</v>
      </c>
      <c r="B332" s="18" t="s">
        <v>147</v>
      </c>
      <c r="C332" s="18"/>
      <c r="D332" s="18"/>
      <c r="E332" s="176">
        <f t="shared" si="85"/>
        <v>174094.28571428571</v>
      </c>
    </row>
    <row r="333" spans="1:30">
      <c r="A333" s="175" t="s">
        <v>175</v>
      </c>
      <c r="B333" s="18" t="s">
        <v>176</v>
      </c>
      <c r="C333" s="18"/>
      <c r="D333" s="18"/>
      <c r="E333" s="176">
        <f t="shared" si="85"/>
        <v>413758.91216114117</v>
      </c>
    </row>
    <row r="334" spans="1:30">
      <c r="A334" s="175" t="s">
        <v>220</v>
      </c>
      <c r="B334" s="18" t="s">
        <v>221</v>
      </c>
      <c r="C334" s="18"/>
      <c r="D334" s="18"/>
      <c r="E334" s="176">
        <f t="shared" si="85"/>
        <v>8101853.5200000005</v>
      </c>
    </row>
    <row r="335" spans="1:30">
      <c r="A335" s="175" t="s">
        <v>267</v>
      </c>
      <c r="B335" s="18" t="s">
        <v>268</v>
      </c>
      <c r="C335" s="18"/>
      <c r="D335" s="18"/>
      <c r="E335" s="176">
        <f t="shared" si="85"/>
        <v>2004765.6700000002</v>
      </c>
    </row>
    <row r="336" spans="1:30">
      <c r="A336" s="175" t="s">
        <v>297</v>
      </c>
      <c r="B336" s="18" t="s">
        <v>298</v>
      </c>
      <c r="C336" s="18"/>
      <c r="D336" s="18"/>
      <c r="E336" s="176">
        <f t="shared" si="85"/>
        <v>574050.30000000005</v>
      </c>
    </row>
    <row r="337" spans="1:5">
      <c r="A337" s="175" t="s">
        <v>391</v>
      </c>
      <c r="B337" s="18" t="s">
        <v>392</v>
      </c>
      <c r="C337" s="18"/>
      <c r="D337" s="18"/>
      <c r="E337" s="176">
        <f t="shared" si="85"/>
        <v>5615983.3453300335</v>
      </c>
    </row>
    <row r="338" spans="1:5">
      <c r="A338" s="175" t="s">
        <v>431</v>
      </c>
      <c r="B338" s="18" t="s">
        <v>432</v>
      </c>
      <c r="C338" s="18"/>
      <c r="D338" s="18"/>
      <c r="E338" s="176">
        <f t="shared" si="85"/>
        <v>373369</v>
      </c>
    </row>
    <row r="339" spans="1:5">
      <c r="A339" s="179" t="s">
        <v>440</v>
      </c>
      <c r="B339" s="35" t="s">
        <v>441</v>
      </c>
      <c r="C339" s="35"/>
      <c r="D339" s="35"/>
      <c r="E339" s="180">
        <f t="shared" si="85"/>
        <v>1160874</v>
      </c>
    </row>
    <row r="340" spans="1:5">
      <c r="A340" s="172" t="s">
        <v>476</v>
      </c>
      <c r="B340" s="20" t="s">
        <v>477</v>
      </c>
      <c r="C340" s="20"/>
      <c r="D340" s="20"/>
      <c r="E340" s="173">
        <f>_xlfn.XLOOKUP(A340,$A$20:$A$326,$L$20:$L$326)</f>
        <v>2185435.16</v>
      </c>
    </row>
    <row r="341" spans="1:5">
      <c r="A341" s="175" t="s">
        <v>487</v>
      </c>
      <c r="B341" s="18" t="s">
        <v>488</v>
      </c>
      <c r="C341" s="18"/>
      <c r="D341" s="18"/>
      <c r="E341" s="176">
        <f t="shared" ref="E341:E351" si="86">_xlfn.XLOOKUP(A341,$A$20:$A$326,$L$20:$L$326)</f>
        <v>1491093.76076</v>
      </c>
    </row>
    <row r="342" spans="1:5">
      <c r="A342" s="175" t="s">
        <v>489</v>
      </c>
      <c r="B342" s="18" t="s">
        <v>490</v>
      </c>
      <c r="C342" s="18"/>
      <c r="D342" s="18"/>
      <c r="E342" s="176">
        <f t="shared" si="86"/>
        <v>0</v>
      </c>
    </row>
    <row r="343" spans="1:5">
      <c r="A343" s="175" t="s">
        <v>496</v>
      </c>
      <c r="B343" s="18" t="s">
        <v>497</v>
      </c>
      <c r="C343" s="18"/>
      <c r="D343" s="18"/>
      <c r="E343" s="176">
        <f t="shared" si="86"/>
        <v>670462</v>
      </c>
    </row>
    <row r="344" spans="1:5">
      <c r="A344" s="175" t="s">
        <v>506</v>
      </c>
      <c r="B344" s="18" t="s">
        <v>507</v>
      </c>
      <c r="C344" s="18"/>
      <c r="D344" s="18"/>
      <c r="E344" s="176">
        <f t="shared" si="86"/>
        <v>959276.94000000006</v>
      </c>
    </row>
    <row r="345" spans="1:5">
      <c r="A345" s="175" t="s">
        <v>520</v>
      </c>
      <c r="B345" s="18" t="s">
        <v>521</v>
      </c>
      <c r="C345" s="18"/>
      <c r="D345" s="18"/>
      <c r="E345" s="176">
        <f t="shared" si="86"/>
        <v>3882162</v>
      </c>
    </row>
    <row r="346" spans="1:5">
      <c r="A346" s="175" t="s">
        <v>527</v>
      </c>
      <c r="B346" s="18" t="s">
        <v>528</v>
      </c>
      <c r="C346" s="18"/>
      <c r="D346" s="18"/>
      <c r="E346" s="176">
        <f t="shared" si="86"/>
        <v>3888782.7000000007</v>
      </c>
    </row>
    <row r="347" spans="1:5">
      <c r="A347" s="175" t="s">
        <v>561</v>
      </c>
      <c r="B347" s="18" t="s">
        <v>562</v>
      </c>
      <c r="C347" s="18"/>
      <c r="D347" s="18"/>
      <c r="E347" s="176">
        <f t="shared" si="86"/>
        <v>3679076.5799999996</v>
      </c>
    </row>
    <row r="348" spans="1:5">
      <c r="A348" s="175" t="s">
        <v>571</v>
      </c>
      <c r="B348" s="18" t="s">
        <v>572</v>
      </c>
      <c r="C348" s="18"/>
      <c r="D348" s="18"/>
      <c r="E348" s="176">
        <f t="shared" si="86"/>
        <v>198524.46</v>
      </c>
    </row>
    <row r="349" spans="1:5">
      <c r="A349" s="175" t="s">
        <v>582</v>
      </c>
      <c r="B349" s="18" t="s">
        <v>583</v>
      </c>
      <c r="C349" s="18"/>
      <c r="D349" s="18"/>
      <c r="E349" s="176">
        <f t="shared" si="86"/>
        <v>908865</v>
      </c>
    </row>
    <row r="350" spans="1:5">
      <c r="A350" s="175" t="s">
        <v>603</v>
      </c>
      <c r="B350" s="18" t="s">
        <v>604</v>
      </c>
      <c r="C350" s="18"/>
      <c r="D350" s="18"/>
      <c r="E350" s="176">
        <f t="shared" si="86"/>
        <v>1317559.3374999999</v>
      </c>
    </row>
    <row r="351" spans="1:5">
      <c r="A351" s="179" t="s">
        <v>679</v>
      </c>
      <c r="B351" s="35" t="s">
        <v>680</v>
      </c>
      <c r="C351" s="35"/>
      <c r="D351" s="35"/>
      <c r="E351" s="180">
        <f t="shared" si="86"/>
        <v>6058984.0669230772</v>
      </c>
    </row>
    <row r="352" spans="1:5">
      <c r="A352" s="172" t="s">
        <v>708</v>
      </c>
      <c r="B352" s="20" t="s">
        <v>709</v>
      </c>
      <c r="C352" s="20"/>
      <c r="D352" s="20"/>
      <c r="E352" s="173">
        <f>_xlfn.XLOOKUP(A352,$A$20:$A$326,$L$20:$L$326)</f>
        <v>3596130.8846153845</v>
      </c>
    </row>
    <row r="353" spans="1:6">
      <c r="A353" s="175" t="s">
        <v>717</v>
      </c>
      <c r="B353" s="18" t="s">
        <v>718</v>
      </c>
      <c r="C353" s="18"/>
      <c r="D353" s="18"/>
      <c r="E353" s="176">
        <f t="shared" ref="E353:E363" si="87">_xlfn.XLOOKUP(A353,$A$20:$A$326,$L$20:$L$326)</f>
        <v>7500</v>
      </c>
    </row>
    <row r="354" spans="1:6">
      <c r="A354" s="175" t="s">
        <v>726</v>
      </c>
      <c r="B354" s="18" t="s">
        <v>727</v>
      </c>
      <c r="C354" s="18"/>
      <c r="D354" s="18"/>
      <c r="E354" s="176">
        <f t="shared" si="87"/>
        <v>1019108</v>
      </c>
    </row>
    <row r="355" spans="1:6">
      <c r="A355" s="175" t="s">
        <v>748</v>
      </c>
      <c r="B355" s="18" t="s">
        <v>749</v>
      </c>
      <c r="C355" s="18"/>
      <c r="D355" s="18"/>
      <c r="E355" s="176">
        <f t="shared" si="87"/>
        <v>465812.10000000009</v>
      </c>
    </row>
    <row r="356" spans="1:6">
      <c r="A356" s="175" t="s">
        <v>806</v>
      </c>
      <c r="B356" s="18"/>
      <c r="C356" s="18"/>
      <c r="D356" s="18"/>
      <c r="E356" s="176">
        <f t="shared" si="87"/>
        <v>1288500</v>
      </c>
    </row>
    <row r="357" spans="1:6">
      <c r="A357" s="175" t="s">
        <v>751</v>
      </c>
      <c r="B357" s="18"/>
      <c r="C357" s="18"/>
      <c r="D357" s="18"/>
      <c r="E357" s="176">
        <f t="shared" si="87"/>
        <v>1052926.3540315069</v>
      </c>
    </row>
    <row r="358" spans="1:6">
      <c r="A358" s="175" t="s">
        <v>781</v>
      </c>
      <c r="B358" s="18"/>
      <c r="C358" s="18"/>
      <c r="D358" s="18"/>
      <c r="E358" s="176">
        <f t="shared" si="87"/>
        <v>3014642.8</v>
      </c>
    </row>
    <row r="359" spans="1:6">
      <c r="A359" s="175" t="s">
        <v>783</v>
      </c>
      <c r="B359" s="18" t="s">
        <v>785</v>
      </c>
      <c r="C359" s="18"/>
      <c r="D359" s="18"/>
      <c r="E359" s="176">
        <f t="shared" si="87"/>
        <v>2860711.5177803431</v>
      </c>
    </row>
    <row r="360" spans="1:6">
      <c r="A360" s="175" t="s">
        <v>786</v>
      </c>
      <c r="B360" s="18" t="s">
        <v>789</v>
      </c>
      <c r="C360" s="18"/>
      <c r="D360" s="18"/>
      <c r="E360" s="176">
        <f t="shared" si="87"/>
        <v>684402.1301204795</v>
      </c>
    </row>
    <row r="361" spans="1:6">
      <c r="A361" s="175" t="s">
        <v>797</v>
      </c>
      <c r="B361" s="18" t="s">
        <v>789</v>
      </c>
      <c r="C361" s="18"/>
      <c r="D361" s="18"/>
      <c r="E361" s="176">
        <f t="shared" si="87"/>
        <v>386470.36002925644</v>
      </c>
    </row>
    <row r="362" spans="1:6">
      <c r="A362" s="175" t="s">
        <v>800</v>
      </c>
      <c r="B362" s="18" t="s">
        <v>799</v>
      </c>
      <c r="C362" s="18"/>
      <c r="D362" s="18"/>
      <c r="E362" s="176">
        <f t="shared" si="87"/>
        <v>5132836.5730829546</v>
      </c>
    </row>
    <row r="363" spans="1:6">
      <c r="A363" s="181" t="s">
        <v>802</v>
      </c>
      <c r="B363" s="35"/>
      <c r="C363" s="35"/>
      <c r="D363" s="35"/>
      <c r="E363" s="180">
        <f t="shared" si="87"/>
        <v>69293293.736619905</v>
      </c>
    </row>
    <row r="364" spans="1:6">
      <c r="B364" s="3"/>
      <c r="C364" s="3"/>
      <c r="D364" s="3"/>
      <c r="E364" s="182">
        <f>SUM(E328:E339,E340:E351,E352:E362)-E363</f>
        <v>0</v>
      </c>
    </row>
    <row r="368" spans="1:6">
      <c r="F368" s="183" t="s">
        <v>56</v>
      </c>
    </row>
    <row r="369" spans="1:6">
      <c r="A369" s="139"/>
      <c r="B369" s="184"/>
      <c r="C369" s="184"/>
      <c r="D369" s="184"/>
      <c r="E369" s="184"/>
      <c r="F369" s="183" t="s">
        <v>66</v>
      </c>
    </row>
    <row r="370" spans="1:6">
      <c r="A370" s="139" t="s">
        <v>807</v>
      </c>
      <c r="B370" s="184" t="s">
        <v>69</v>
      </c>
      <c r="C370" s="184"/>
      <c r="D370" s="184"/>
      <c r="E370" s="184"/>
      <c r="F370" s="185">
        <f>SUMIF($B$20:$B$326,B370,$L$20:$L$326)</f>
        <v>3514986.3</v>
      </c>
    </row>
    <row r="371" spans="1:6">
      <c r="A371" s="139" t="s">
        <v>808</v>
      </c>
      <c r="B371" s="184" t="s">
        <v>78</v>
      </c>
      <c r="C371" s="184"/>
      <c r="D371" s="184"/>
      <c r="E371" s="184"/>
      <c r="F371" s="185">
        <f t="shared" ref="F371:F400" si="88">SUMIF($B$20:$B$326,B371,$L$20:$L$326)</f>
        <v>16000</v>
      </c>
    </row>
    <row r="372" spans="1:6">
      <c r="A372" s="139" t="s">
        <v>809</v>
      </c>
      <c r="B372" s="184" t="s">
        <v>122</v>
      </c>
      <c r="C372" s="184"/>
      <c r="D372" s="184"/>
      <c r="E372" s="184"/>
      <c r="F372" s="185">
        <f t="shared" si="88"/>
        <v>3882795.6785714286</v>
      </c>
    </row>
    <row r="373" spans="1:6">
      <c r="A373" s="139" t="s">
        <v>810</v>
      </c>
      <c r="B373" s="184" t="s">
        <v>147</v>
      </c>
      <c r="C373" s="184"/>
      <c r="D373" s="184"/>
      <c r="E373" s="184"/>
      <c r="F373" s="185">
        <f t="shared" si="88"/>
        <v>174094.28571428571</v>
      </c>
    </row>
    <row r="374" spans="1:6">
      <c r="A374" s="139" t="s">
        <v>811</v>
      </c>
      <c r="B374" s="184" t="s">
        <v>176</v>
      </c>
      <c r="C374" s="184"/>
      <c r="D374" s="184"/>
      <c r="E374" s="184"/>
      <c r="F374" s="185">
        <f t="shared" si="88"/>
        <v>413758.91216114117</v>
      </c>
    </row>
    <row r="375" spans="1:6">
      <c r="A375" s="139" t="s">
        <v>812</v>
      </c>
      <c r="B375" s="184" t="s">
        <v>221</v>
      </c>
      <c r="C375" s="184"/>
      <c r="D375" s="184"/>
      <c r="E375" s="184"/>
      <c r="F375" s="185">
        <f t="shared" si="88"/>
        <v>8101853.5200000005</v>
      </c>
    </row>
    <row r="376" spans="1:6">
      <c r="A376" s="139" t="s">
        <v>813</v>
      </c>
      <c r="B376" s="184" t="s">
        <v>268</v>
      </c>
      <c r="C376" s="184"/>
      <c r="D376" s="184"/>
      <c r="E376" s="184"/>
      <c r="F376" s="185">
        <f t="shared" si="88"/>
        <v>2004765.6700000002</v>
      </c>
    </row>
    <row r="377" spans="1:6">
      <c r="A377" s="139" t="s">
        <v>814</v>
      </c>
      <c r="B377" s="184" t="s">
        <v>298</v>
      </c>
      <c r="C377" s="184"/>
      <c r="D377" s="184"/>
      <c r="E377" s="184"/>
      <c r="F377" s="185">
        <f t="shared" si="88"/>
        <v>574050.30000000005</v>
      </c>
    </row>
    <row r="378" spans="1:6">
      <c r="A378" s="139" t="s">
        <v>815</v>
      </c>
      <c r="B378" s="184" t="s">
        <v>392</v>
      </c>
      <c r="C378" s="184"/>
      <c r="D378" s="184"/>
      <c r="E378" s="184"/>
      <c r="F378" s="185">
        <f t="shared" si="88"/>
        <v>5615983.3453300335</v>
      </c>
    </row>
    <row r="379" spans="1:6">
      <c r="A379" s="139" t="s">
        <v>816</v>
      </c>
      <c r="B379" s="184" t="s">
        <v>432</v>
      </c>
      <c r="C379" s="184"/>
      <c r="D379" s="184"/>
      <c r="E379" s="184"/>
      <c r="F379" s="185">
        <f t="shared" si="88"/>
        <v>373369</v>
      </c>
    </row>
    <row r="380" spans="1:6">
      <c r="A380" s="139" t="s">
        <v>817</v>
      </c>
      <c r="B380" s="184" t="s">
        <v>441</v>
      </c>
      <c r="C380" s="184"/>
      <c r="D380" s="184"/>
      <c r="E380" s="184"/>
      <c r="F380" s="185">
        <f t="shared" si="88"/>
        <v>1160874</v>
      </c>
    </row>
    <row r="381" spans="1:6">
      <c r="A381" s="139" t="s">
        <v>818</v>
      </c>
      <c r="B381" s="184" t="s">
        <v>477</v>
      </c>
      <c r="C381" s="184"/>
      <c r="D381" s="184"/>
      <c r="E381" s="184"/>
      <c r="F381" s="185">
        <f t="shared" si="88"/>
        <v>2185435.16</v>
      </c>
    </row>
    <row r="382" spans="1:6">
      <c r="A382" s="139" t="s">
        <v>819</v>
      </c>
      <c r="B382" s="184" t="s">
        <v>488</v>
      </c>
      <c r="C382" s="184"/>
      <c r="D382" s="184"/>
      <c r="E382" s="184"/>
      <c r="F382" s="185">
        <f t="shared" si="88"/>
        <v>1491093.76076</v>
      </c>
    </row>
    <row r="383" spans="1:6">
      <c r="A383" s="139" t="s">
        <v>820</v>
      </c>
      <c r="B383" s="184" t="s">
        <v>497</v>
      </c>
      <c r="C383" s="184"/>
      <c r="D383" s="184"/>
      <c r="E383" s="184"/>
      <c r="F383" s="185">
        <f t="shared" si="88"/>
        <v>670462</v>
      </c>
    </row>
    <row r="384" spans="1:6">
      <c r="A384" s="139" t="s">
        <v>821</v>
      </c>
      <c r="B384" s="184" t="s">
        <v>507</v>
      </c>
      <c r="C384" s="184"/>
      <c r="D384" s="184"/>
      <c r="E384" s="184"/>
      <c r="F384" s="185">
        <f t="shared" si="88"/>
        <v>959276.94000000006</v>
      </c>
    </row>
    <row r="385" spans="1:6">
      <c r="A385" s="139" t="s">
        <v>822</v>
      </c>
      <c r="B385" s="184" t="s">
        <v>521</v>
      </c>
      <c r="C385" s="184"/>
      <c r="D385" s="184"/>
      <c r="E385" s="184"/>
      <c r="F385" s="185">
        <f t="shared" si="88"/>
        <v>3882162</v>
      </c>
    </row>
    <row r="386" spans="1:6">
      <c r="A386" s="139" t="s">
        <v>823</v>
      </c>
      <c r="B386" s="184" t="s">
        <v>528</v>
      </c>
      <c r="C386" s="184"/>
      <c r="D386" s="184"/>
      <c r="E386" s="184"/>
      <c r="F386" s="185">
        <f t="shared" si="88"/>
        <v>3888782.7000000007</v>
      </c>
    </row>
    <row r="387" spans="1:6">
      <c r="A387" s="139" t="s">
        <v>824</v>
      </c>
      <c r="B387" s="184" t="s">
        <v>562</v>
      </c>
      <c r="C387" s="184"/>
      <c r="D387" s="184"/>
      <c r="E387" s="184"/>
      <c r="F387" s="185">
        <f t="shared" si="88"/>
        <v>3679076.5799999996</v>
      </c>
    </row>
    <row r="388" spans="1:6">
      <c r="A388" s="139" t="s">
        <v>825</v>
      </c>
      <c r="B388" s="184" t="s">
        <v>572</v>
      </c>
      <c r="C388" s="184"/>
      <c r="D388" s="184"/>
      <c r="E388" s="184"/>
      <c r="F388" s="185">
        <f t="shared" si="88"/>
        <v>198524.46</v>
      </c>
    </row>
    <row r="389" spans="1:6">
      <c r="A389" s="139" t="s">
        <v>826</v>
      </c>
      <c r="B389" s="184" t="s">
        <v>583</v>
      </c>
      <c r="C389" s="184"/>
      <c r="D389" s="184"/>
      <c r="E389" s="184"/>
      <c r="F389" s="185">
        <f t="shared" si="88"/>
        <v>908865</v>
      </c>
    </row>
    <row r="390" spans="1:6">
      <c r="A390" s="139" t="s">
        <v>827</v>
      </c>
      <c r="B390" s="184" t="s">
        <v>604</v>
      </c>
      <c r="C390" s="184"/>
      <c r="D390" s="184"/>
      <c r="E390" s="184"/>
      <c r="F390" s="185">
        <f t="shared" si="88"/>
        <v>1317559.3374999999</v>
      </c>
    </row>
    <row r="391" spans="1:6">
      <c r="A391" s="139" t="s">
        <v>828</v>
      </c>
      <c r="B391" s="184" t="s">
        <v>680</v>
      </c>
      <c r="C391" s="184"/>
      <c r="D391" s="184"/>
      <c r="E391" s="184"/>
      <c r="F391" s="185">
        <f t="shared" si="88"/>
        <v>6058984.0669230772</v>
      </c>
    </row>
    <row r="392" spans="1:6">
      <c r="A392" s="139" t="s">
        <v>829</v>
      </c>
      <c r="B392" s="184" t="s">
        <v>709</v>
      </c>
      <c r="C392" s="184"/>
      <c r="D392" s="184"/>
      <c r="E392" s="184"/>
      <c r="F392" s="185">
        <f t="shared" si="88"/>
        <v>3596130.8846153845</v>
      </c>
    </row>
    <row r="393" spans="1:6">
      <c r="A393" s="139" t="s">
        <v>830</v>
      </c>
      <c r="B393" s="184" t="s">
        <v>718</v>
      </c>
      <c r="C393" s="184"/>
      <c r="D393" s="184"/>
      <c r="E393" s="184"/>
      <c r="F393" s="185">
        <f t="shared" si="88"/>
        <v>7500</v>
      </c>
    </row>
    <row r="394" spans="1:6">
      <c r="A394" s="139" t="s">
        <v>831</v>
      </c>
      <c r="B394" s="184" t="s">
        <v>727</v>
      </c>
      <c r="C394" s="184"/>
      <c r="D394" s="184"/>
      <c r="E394" s="184"/>
      <c r="F394" s="185">
        <f t="shared" si="88"/>
        <v>1019108</v>
      </c>
    </row>
    <row r="395" spans="1:6">
      <c r="A395" s="139" t="s">
        <v>832</v>
      </c>
      <c r="B395" s="184" t="s">
        <v>749</v>
      </c>
      <c r="C395" s="184"/>
      <c r="D395" s="184"/>
      <c r="E395" s="184"/>
      <c r="F395" s="185">
        <f t="shared" si="88"/>
        <v>465812.10000000009</v>
      </c>
    </row>
    <row r="396" spans="1:6">
      <c r="A396" s="139" t="s">
        <v>751</v>
      </c>
      <c r="B396" s="184" t="s">
        <v>751</v>
      </c>
      <c r="C396" s="184"/>
      <c r="D396" s="184"/>
      <c r="E396" s="184"/>
      <c r="F396" s="185">
        <f t="shared" si="88"/>
        <v>1052926.3540315069</v>
      </c>
    </row>
    <row r="397" spans="1:6">
      <c r="A397" s="139" t="s">
        <v>782</v>
      </c>
      <c r="B397" s="184" t="s">
        <v>782</v>
      </c>
      <c r="C397" s="184"/>
      <c r="D397" s="184"/>
      <c r="E397" s="184"/>
      <c r="F397" s="185">
        <f t="shared" si="88"/>
        <v>3014642.8</v>
      </c>
    </row>
    <row r="398" spans="1:6">
      <c r="A398" s="139" t="s">
        <v>833</v>
      </c>
      <c r="B398" s="184" t="s">
        <v>789</v>
      </c>
      <c r="C398" s="184"/>
      <c r="D398" s="184"/>
      <c r="E398" s="184"/>
      <c r="F398" s="185">
        <f t="shared" si="88"/>
        <v>1070872.4901497359</v>
      </c>
    </row>
    <row r="399" spans="1:6">
      <c r="A399" s="139" t="s">
        <v>834</v>
      </c>
      <c r="B399" s="184" t="s">
        <v>785</v>
      </c>
      <c r="C399" s="184"/>
      <c r="D399" s="184"/>
      <c r="E399" s="184"/>
      <c r="F399" s="185">
        <f t="shared" si="88"/>
        <v>2860711.5177803431</v>
      </c>
    </row>
    <row r="400" spans="1:6">
      <c r="A400" s="139" t="s">
        <v>835</v>
      </c>
      <c r="B400" s="184" t="s">
        <v>799</v>
      </c>
      <c r="C400" s="184"/>
      <c r="D400" s="184"/>
      <c r="E400" s="184"/>
      <c r="F400" s="185">
        <f t="shared" si="88"/>
        <v>5132836.5730829546</v>
      </c>
    </row>
    <row r="401" spans="1:7">
      <c r="A401" s="139" t="s">
        <v>66</v>
      </c>
      <c r="B401" s="184"/>
      <c r="C401" s="184"/>
      <c r="D401" s="184"/>
      <c r="E401" s="184"/>
      <c r="F401" s="186">
        <f>SUM(F370:F400)</f>
        <v>69293293.736619905</v>
      </c>
    </row>
    <row r="402" spans="1:7">
      <c r="A402" s="187" t="s">
        <v>836</v>
      </c>
      <c r="B402" s="188"/>
      <c r="C402" s="188"/>
      <c r="D402" s="188"/>
      <c r="E402" s="188"/>
      <c r="F402" s="189">
        <f>$L$326-F401</f>
        <v>0</v>
      </c>
    </row>
    <row r="404" spans="1:7">
      <c r="A404" s="190" t="s">
        <v>837</v>
      </c>
      <c r="B404" s="184"/>
      <c r="C404" s="184"/>
      <c r="D404" s="184"/>
      <c r="E404" s="184"/>
      <c r="F404" s="184"/>
      <c r="G404" s="139"/>
    </row>
    <row r="405" spans="1:7">
      <c r="A405" s="190" t="s">
        <v>838</v>
      </c>
      <c r="B405" s="184"/>
      <c r="C405" s="184"/>
      <c r="D405" s="184"/>
      <c r="E405" s="184"/>
      <c r="F405" s="184"/>
      <c r="G405" s="139"/>
    </row>
    <row r="406" spans="1:7">
      <c r="A406" s="139" t="s">
        <v>202</v>
      </c>
      <c r="B406" s="184" t="s">
        <v>350</v>
      </c>
      <c r="C406" s="184"/>
      <c r="D406" s="184"/>
      <c r="E406" s="184"/>
      <c r="F406" s="185">
        <f t="shared" ref="F406:F416" si="89">SUMIF($B$20:$B$326,B406,$K$20:$K$326)</f>
        <v>517659.42000000004</v>
      </c>
      <c r="G406" s="184" t="s">
        <v>392</v>
      </c>
    </row>
    <row r="407" spans="1:7">
      <c r="A407" s="139" t="s">
        <v>353</v>
      </c>
      <c r="B407" s="184" t="s">
        <v>354</v>
      </c>
      <c r="C407" s="184"/>
      <c r="D407" s="184"/>
      <c r="E407" s="184"/>
      <c r="F407" s="185">
        <f t="shared" si="89"/>
        <v>90552</v>
      </c>
      <c r="G407" s="184" t="s">
        <v>392</v>
      </c>
    </row>
    <row r="408" spans="1:7">
      <c r="A408" s="139" t="s">
        <v>355</v>
      </c>
      <c r="B408" s="184" t="s">
        <v>356</v>
      </c>
      <c r="C408" s="184"/>
      <c r="D408" s="184"/>
      <c r="E408" s="184"/>
      <c r="F408" s="185">
        <f t="shared" si="89"/>
        <v>5982</v>
      </c>
      <c r="G408" s="184" t="s">
        <v>392</v>
      </c>
    </row>
    <row r="409" spans="1:7">
      <c r="A409" s="139" t="s">
        <v>357</v>
      </c>
      <c r="B409" s="184" t="s">
        <v>358</v>
      </c>
      <c r="C409" s="184"/>
      <c r="D409" s="184"/>
      <c r="E409" s="184"/>
      <c r="F409" s="185">
        <f t="shared" si="89"/>
        <v>164597</v>
      </c>
      <c r="G409" s="184" t="s">
        <v>392</v>
      </c>
    </row>
    <row r="410" spans="1:7">
      <c r="A410" s="139" t="s">
        <v>360</v>
      </c>
      <c r="B410" s="184" t="s">
        <v>361</v>
      </c>
      <c r="C410" s="184"/>
      <c r="D410" s="184"/>
      <c r="E410" s="184"/>
      <c r="F410" s="185">
        <f t="shared" si="89"/>
        <v>9000</v>
      </c>
      <c r="G410" s="184" t="s">
        <v>392</v>
      </c>
    </row>
    <row r="411" spans="1:7">
      <c r="A411" s="139" t="s">
        <v>362</v>
      </c>
      <c r="B411" s="184" t="s">
        <v>363</v>
      </c>
      <c r="C411" s="184"/>
      <c r="D411" s="184"/>
      <c r="E411" s="184"/>
      <c r="F411" s="185">
        <f t="shared" si="89"/>
        <v>29926.697346000001</v>
      </c>
      <c r="G411" s="184" t="s">
        <v>392</v>
      </c>
    </row>
    <row r="412" spans="1:7">
      <c r="A412" s="139" t="s">
        <v>364</v>
      </c>
      <c r="B412" s="184" t="s">
        <v>365</v>
      </c>
      <c r="C412" s="184"/>
      <c r="D412" s="184"/>
      <c r="E412" s="184"/>
      <c r="F412" s="185">
        <f t="shared" si="89"/>
        <v>59913.307999999997</v>
      </c>
      <c r="G412" s="184" t="s">
        <v>392</v>
      </c>
    </row>
    <row r="413" spans="1:7">
      <c r="A413" s="139" t="s">
        <v>839</v>
      </c>
      <c r="B413" s="184" t="s">
        <v>367</v>
      </c>
      <c r="C413" s="184"/>
      <c r="D413" s="184"/>
      <c r="E413" s="184"/>
      <c r="F413" s="185">
        <f t="shared" si="89"/>
        <v>41366</v>
      </c>
      <c r="G413" s="184" t="s">
        <v>392</v>
      </c>
    </row>
    <row r="414" spans="1:7">
      <c r="A414" s="139" t="s">
        <v>840</v>
      </c>
      <c r="B414" s="184" t="s">
        <v>370</v>
      </c>
      <c r="C414" s="184"/>
      <c r="D414" s="184"/>
      <c r="E414" s="184"/>
      <c r="F414" s="185">
        <f t="shared" si="89"/>
        <v>23932.4038</v>
      </c>
      <c r="G414" s="184" t="s">
        <v>392</v>
      </c>
    </row>
    <row r="415" spans="1:7">
      <c r="A415" s="139" t="s">
        <v>433</v>
      </c>
      <c r="B415" s="184" t="s">
        <v>434</v>
      </c>
      <c r="C415" s="184"/>
      <c r="D415" s="184"/>
      <c r="E415" s="184"/>
      <c r="F415" s="185">
        <f t="shared" si="89"/>
        <v>1160874</v>
      </c>
      <c r="G415" s="184" t="s">
        <v>441</v>
      </c>
    </row>
    <row r="416" spans="1:7" ht="17.25">
      <c r="A416" s="139" t="s">
        <v>213</v>
      </c>
      <c r="B416" s="184" t="s">
        <v>449</v>
      </c>
      <c r="C416" s="184"/>
      <c r="D416" s="184"/>
      <c r="E416" s="184"/>
      <c r="F416" s="191">
        <f t="shared" si="89"/>
        <v>91773.66</v>
      </c>
      <c r="G416" s="184" t="s">
        <v>477</v>
      </c>
    </row>
    <row r="417" spans="1:7">
      <c r="A417" s="139" t="s">
        <v>841</v>
      </c>
      <c r="B417" s="184"/>
      <c r="C417" s="184"/>
      <c r="D417" s="184"/>
      <c r="E417" s="184"/>
      <c r="F417" s="186">
        <f>SUM(F406:F416)</f>
        <v>2195576.4891460002</v>
      </c>
      <c r="G417" s="139"/>
    </row>
    <row r="418" spans="1:7">
      <c r="A418" s="139"/>
      <c r="B418" s="184"/>
      <c r="C418" s="184"/>
      <c r="D418" s="184"/>
      <c r="E418" s="184"/>
      <c r="F418" s="184"/>
      <c r="G418" s="139"/>
    </row>
    <row r="419" spans="1:7">
      <c r="A419" s="139"/>
      <c r="B419" s="184"/>
      <c r="C419" s="184"/>
      <c r="D419" s="184"/>
      <c r="E419" s="184"/>
      <c r="F419" s="139"/>
      <c r="G419" s="139"/>
    </row>
    <row r="420" spans="1:7">
      <c r="A420" s="190" t="s">
        <v>842</v>
      </c>
      <c r="B420" s="184"/>
      <c r="C420" s="184"/>
      <c r="D420" s="184"/>
      <c r="E420" s="184"/>
      <c r="F420" s="184"/>
      <c r="G420" s="139"/>
    </row>
    <row r="421" spans="1:7">
      <c r="A421" s="187" t="s">
        <v>843</v>
      </c>
      <c r="B421" s="184"/>
      <c r="C421" s="184"/>
      <c r="D421" s="184"/>
      <c r="E421" s="184"/>
      <c r="F421" s="184"/>
      <c r="G421" s="139"/>
    </row>
    <row r="422" spans="1:7">
      <c r="A422" s="139" t="s">
        <v>844</v>
      </c>
      <c r="B422" s="184">
        <v>2</v>
      </c>
      <c r="C422" s="184"/>
      <c r="D422" s="184"/>
      <c r="E422" s="184"/>
      <c r="F422" s="185">
        <f t="shared" ref="F422:F427" si="90">SUMIF($B$20:$B$326,B422,$L$20:$L$326)</f>
        <v>16000</v>
      </c>
      <c r="G422" s="139"/>
    </row>
    <row r="423" spans="1:7">
      <c r="A423" s="139" t="s">
        <v>845</v>
      </c>
      <c r="B423" s="184">
        <v>31</v>
      </c>
      <c r="C423" s="184"/>
      <c r="D423" s="184"/>
      <c r="E423" s="184"/>
      <c r="F423" s="185">
        <f t="shared" si="90"/>
        <v>1317559.3374999999</v>
      </c>
      <c r="G423" s="139"/>
    </row>
    <row r="424" spans="1:7">
      <c r="A424" s="139" t="s">
        <v>846</v>
      </c>
      <c r="B424" s="184">
        <v>32</v>
      </c>
      <c r="C424" s="184"/>
      <c r="D424" s="184"/>
      <c r="E424" s="184"/>
      <c r="F424" s="185">
        <f t="shared" si="90"/>
        <v>6058984.0669230772</v>
      </c>
      <c r="G424" s="139"/>
    </row>
    <row r="425" spans="1:7">
      <c r="A425" s="139" t="s">
        <v>847</v>
      </c>
      <c r="B425" s="184">
        <v>33</v>
      </c>
      <c r="C425" s="184"/>
      <c r="D425" s="184"/>
      <c r="E425" s="184"/>
      <c r="F425" s="185">
        <f t="shared" si="90"/>
        <v>3596130.8846153845</v>
      </c>
      <c r="G425" s="139"/>
    </row>
    <row r="426" spans="1:7">
      <c r="A426" s="139" t="s">
        <v>848</v>
      </c>
      <c r="B426" s="184">
        <v>34</v>
      </c>
      <c r="C426" s="184"/>
      <c r="D426" s="184"/>
      <c r="E426" s="184"/>
      <c r="F426" s="185">
        <f t="shared" si="90"/>
        <v>7500</v>
      </c>
      <c r="G426" s="139"/>
    </row>
    <row r="427" spans="1:7">
      <c r="A427" s="139" t="s">
        <v>849</v>
      </c>
      <c r="B427" s="184">
        <v>48</v>
      </c>
      <c r="C427" s="184"/>
      <c r="D427" s="184"/>
      <c r="E427" s="184"/>
      <c r="F427" s="185">
        <f t="shared" si="90"/>
        <v>1019108</v>
      </c>
      <c r="G427" s="139"/>
    </row>
    <row r="428" spans="1:7">
      <c r="A428" s="139"/>
      <c r="B428" s="184"/>
      <c r="C428" s="184"/>
      <c r="D428" s="184"/>
      <c r="E428" s="184"/>
      <c r="F428" s="185"/>
      <c r="G428" s="139"/>
    </row>
    <row r="429" spans="1:7">
      <c r="A429" s="187" t="s">
        <v>850</v>
      </c>
      <c r="B429" s="184"/>
      <c r="C429" s="184"/>
      <c r="D429" s="184"/>
      <c r="E429" s="184"/>
      <c r="F429" s="185"/>
      <c r="G429" s="139"/>
    </row>
    <row r="430" spans="1:7">
      <c r="A430" s="139" t="s">
        <v>482</v>
      </c>
      <c r="B430" s="184" t="s">
        <v>483</v>
      </c>
      <c r="C430" s="184"/>
      <c r="D430" s="184"/>
      <c r="E430" s="184"/>
      <c r="F430" s="185">
        <f t="shared" ref="F430:F437" si="91">SUMIF($B$20:$B$326,B430,$K$20:$K$326)</f>
        <v>987133.76075999986</v>
      </c>
      <c r="G430" s="139"/>
    </row>
    <row r="431" spans="1:7">
      <c r="A431" s="139" t="s">
        <v>308</v>
      </c>
      <c r="B431" s="184" t="s">
        <v>851</v>
      </c>
      <c r="C431" s="184"/>
      <c r="D431" s="184"/>
      <c r="E431" s="184"/>
      <c r="F431" s="185">
        <f t="shared" si="91"/>
        <v>28677</v>
      </c>
      <c r="G431" s="139"/>
    </row>
    <row r="432" spans="1:7">
      <c r="A432" s="139" t="s">
        <v>852</v>
      </c>
      <c r="B432" s="184"/>
      <c r="C432" s="184"/>
      <c r="D432" s="184"/>
      <c r="E432" s="184"/>
      <c r="F432" s="185">
        <f t="shared" si="91"/>
        <v>0</v>
      </c>
      <c r="G432" s="139"/>
    </row>
    <row r="433" spans="1:7">
      <c r="A433" s="139" t="s">
        <v>853</v>
      </c>
      <c r="B433" s="184"/>
      <c r="C433" s="184"/>
      <c r="D433" s="184"/>
      <c r="E433" s="184"/>
      <c r="F433" s="185">
        <f t="shared" si="91"/>
        <v>0</v>
      </c>
      <c r="G433" s="139"/>
    </row>
    <row r="434" spans="1:7">
      <c r="A434" s="139" t="s">
        <v>479</v>
      </c>
      <c r="B434" s="184" t="s">
        <v>480</v>
      </c>
      <c r="C434" s="184"/>
      <c r="D434" s="184"/>
      <c r="E434" s="184"/>
      <c r="F434" s="185">
        <f t="shared" si="91"/>
        <v>490000</v>
      </c>
      <c r="G434" s="139"/>
    </row>
    <row r="435" spans="1:7">
      <c r="A435" s="139" t="s">
        <v>403</v>
      </c>
      <c r="B435" s="184" t="s">
        <v>854</v>
      </c>
      <c r="C435" s="184"/>
      <c r="D435" s="184"/>
      <c r="E435" s="184"/>
      <c r="F435" s="185">
        <f t="shared" si="91"/>
        <v>0</v>
      </c>
      <c r="G435" s="139"/>
    </row>
    <row r="436" spans="1:7">
      <c r="A436" s="139" t="s">
        <v>545</v>
      </c>
      <c r="B436" s="184" t="s">
        <v>855</v>
      </c>
      <c r="C436" s="184"/>
      <c r="D436" s="184"/>
      <c r="E436" s="184"/>
      <c r="F436" s="185">
        <f t="shared" si="91"/>
        <v>0</v>
      </c>
      <c r="G436" s="139"/>
    </row>
    <row r="437" spans="1:7">
      <c r="A437" s="139" t="s">
        <v>92</v>
      </c>
      <c r="B437" s="184" t="s">
        <v>80</v>
      </c>
      <c r="C437" s="184"/>
      <c r="D437" s="184"/>
      <c r="E437" s="139"/>
      <c r="F437" s="185">
        <f t="shared" si="91"/>
        <v>1995712.03</v>
      </c>
      <c r="G437" s="139"/>
    </row>
    <row r="438" spans="1:7">
      <c r="A438" s="190" t="s">
        <v>856</v>
      </c>
      <c r="B438" s="183"/>
      <c r="C438" s="183"/>
      <c r="D438" s="183"/>
      <c r="E438" s="190"/>
      <c r="F438" s="192">
        <f>SUM(F422:F437)</f>
        <v>15516805.07979846</v>
      </c>
      <c r="G438" s="139"/>
    </row>
    <row r="439" spans="1:7">
      <c r="A439" s="139"/>
      <c r="B439" s="184"/>
      <c r="C439" s="184"/>
      <c r="D439" s="184"/>
      <c r="E439" s="139"/>
      <c r="F439" s="139"/>
      <c r="G439" s="139"/>
    </row>
    <row r="440" spans="1:7">
      <c r="A440" s="139"/>
      <c r="B440" s="139"/>
      <c r="C440" s="139"/>
      <c r="D440" s="139"/>
      <c r="E440" s="139"/>
      <c r="F440" s="139"/>
      <c r="G440" s="139"/>
    </row>
    <row r="441" spans="1:7">
      <c r="A441" s="139" t="s">
        <v>672</v>
      </c>
      <c r="B441" s="184" t="s">
        <v>857</v>
      </c>
      <c r="C441" s="184"/>
      <c r="D441" s="184"/>
      <c r="E441" s="193" t="s">
        <v>858</v>
      </c>
      <c r="F441" s="184"/>
      <c r="G441" s="139"/>
    </row>
    <row r="442" spans="1:7">
      <c r="A442" s="139" t="s">
        <v>674</v>
      </c>
      <c r="B442" s="184" t="s">
        <v>859</v>
      </c>
      <c r="C442" s="184"/>
      <c r="D442" s="184"/>
      <c r="E442" s="193" t="s">
        <v>858</v>
      </c>
      <c r="F442" s="184"/>
      <c r="G442" s="139"/>
    </row>
    <row r="443" spans="1:7">
      <c r="A443" s="139" t="s">
        <v>675</v>
      </c>
      <c r="B443" s="184" t="s">
        <v>860</v>
      </c>
      <c r="C443" s="184"/>
      <c r="D443" s="184"/>
      <c r="E443" s="193" t="s">
        <v>858</v>
      </c>
      <c r="F443" s="184"/>
      <c r="G443" s="139"/>
    </row>
    <row r="444" spans="1:7">
      <c r="A444" s="139" t="s">
        <v>676</v>
      </c>
      <c r="B444" s="184" t="s">
        <v>861</v>
      </c>
      <c r="C444" s="184"/>
      <c r="D444" s="184"/>
      <c r="E444" s="193" t="s">
        <v>858</v>
      </c>
      <c r="F444" s="184"/>
      <c r="G444" s="139"/>
    </row>
    <row r="445" spans="1:7">
      <c r="A445" s="139" t="s">
        <v>688</v>
      </c>
      <c r="B445" s="184" t="s">
        <v>862</v>
      </c>
      <c r="C445" s="184"/>
      <c r="D445" s="184"/>
      <c r="E445" s="193" t="s">
        <v>863</v>
      </c>
      <c r="F445" s="184"/>
      <c r="G445" s="139"/>
    </row>
    <row r="446" spans="1:7">
      <c r="A446" s="139" t="s">
        <v>704</v>
      </c>
      <c r="B446" s="184" t="s">
        <v>864</v>
      </c>
      <c r="C446" s="184"/>
      <c r="D446" s="184"/>
      <c r="E446" s="193" t="s">
        <v>863</v>
      </c>
      <c r="F446" s="184"/>
      <c r="G446" s="139"/>
    </row>
    <row r="447" spans="1:7">
      <c r="A447" s="139" t="s">
        <v>705</v>
      </c>
      <c r="B447" s="184" t="s">
        <v>865</v>
      </c>
      <c r="C447" s="184"/>
      <c r="D447" s="184"/>
      <c r="E447" s="193" t="s">
        <v>863</v>
      </c>
      <c r="F447" s="184"/>
      <c r="G447" s="139"/>
    </row>
    <row r="448" spans="1:7">
      <c r="A448" s="139" t="s">
        <v>707</v>
      </c>
      <c r="B448" s="184" t="s">
        <v>866</v>
      </c>
      <c r="C448" s="184"/>
      <c r="D448" s="184"/>
      <c r="E448" s="193" t="s">
        <v>863</v>
      </c>
      <c r="F448" s="139"/>
      <c r="G448" s="139"/>
    </row>
    <row r="449" spans="1:8">
      <c r="A449" s="139" t="s">
        <v>715</v>
      </c>
      <c r="B449" s="184" t="s">
        <v>867</v>
      </c>
      <c r="C449" s="184"/>
      <c r="D449" s="184"/>
      <c r="E449" s="193" t="s">
        <v>868</v>
      </c>
      <c r="F449" s="139"/>
      <c r="G449" s="139"/>
    </row>
    <row r="450" spans="1:8">
      <c r="A450" s="139" t="s">
        <v>92</v>
      </c>
      <c r="B450" s="184" t="s">
        <v>80</v>
      </c>
      <c r="C450" s="184"/>
      <c r="D450" s="184"/>
      <c r="E450" s="184"/>
      <c r="F450" s="139"/>
      <c r="G450" s="139"/>
    </row>
    <row r="451" spans="1:8">
      <c r="A451" s="139"/>
      <c r="B451" s="184"/>
      <c r="C451" s="184"/>
      <c r="D451" s="184"/>
      <c r="E451" s="184"/>
      <c r="F451" s="139"/>
      <c r="G451" s="139"/>
    </row>
    <row r="452" spans="1:8">
      <c r="A452" s="190" t="s">
        <v>869</v>
      </c>
      <c r="B452" s="184"/>
      <c r="C452" s="184"/>
      <c r="D452" s="184"/>
      <c r="E452" s="184"/>
      <c r="F452" s="139"/>
      <c r="G452" s="139"/>
    </row>
    <row r="453" spans="1:8">
      <c r="A453" s="190" t="s">
        <v>870</v>
      </c>
      <c r="B453" s="184"/>
      <c r="C453" s="184"/>
      <c r="D453" s="184"/>
      <c r="E453" s="184"/>
      <c r="F453" s="139"/>
      <c r="G453" s="139"/>
    </row>
    <row r="454" spans="1:8">
      <c r="A454" s="139" t="s">
        <v>403</v>
      </c>
      <c r="B454" s="184" t="s">
        <v>405</v>
      </c>
      <c r="C454" s="184"/>
      <c r="D454" s="184"/>
      <c r="E454" s="184"/>
      <c r="F454" s="185">
        <f>SUMIF($D$20:$D$326,B454,$K$20:$K$326)</f>
        <v>973178</v>
      </c>
      <c r="G454" s="139"/>
      <c r="H454" s="184" t="s">
        <v>854</v>
      </c>
    </row>
    <row r="455" spans="1:8">
      <c r="A455" s="139" t="s">
        <v>545</v>
      </c>
      <c r="B455" s="184"/>
      <c r="C455" s="184"/>
      <c r="D455" s="184"/>
      <c r="E455" s="184"/>
      <c r="F455" s="185"/>
      <c r="G455" s="139"/>
      <c r="H455" s="184" t="s">
        <v>855</v>
      </c>
    </row>
    <row r="456" spans="1:8">
      <c r="A456" s="139" t="s">
        <v>672</v>
      </c>
      <c r="B456" s="184"/>
      <c r="C456" s="184"/>
      <c r="D456" s="184"/>
      <c r="E456" s="184"/>
      <c r="F456" s="185"/>
      <c r="G456" s="139"/>
      <c r="H456" s="184" t="s">
        <v>857</v>
      </c>
    </row>
    <row r="457" spans="1:8">
      <c r="A457" s="139" t="s">
        <v>674</v>
      </c>
      <c r="B457" s="184"/>
      <c r="C457" s="184"/>
      <c r="D457" s="184"/>
      <c r="E457" s="184"/>
      <c r="F457" s="185"/>
      <c r="G457" s="139"/>
      <c r="H457" s="184" t="s">
        <v>859</v>
      </c>
    </row>
    <row r="458" spans="1:8">
      <c r="A458" s="139" t="s">
        <v>675</v>
      </c>
      <c r="B458" s="184"/>
      <c r="C458" s="184"/>
      <c r="D458" s="184"/>
      <c r="E458" s="184"/>
      <c r="F458" s="185"/>
      <c r="G458" s="139"/>
      <c r="H458" s="184" t="s">
        <v>860</v>
      </c>
    </row>
    <row r="459" spans="1:8">
      <c r="A459" s="139" t="s">
        <v>676</v>
      </c>
      <c r="B459" s="184"/>
      <c r="C459" s="184"/>
      <c r="D459" s="184"/>
      <c r="E459" s="184"/>
      <c r="F459" s="185"/>
      <c r="G459" s="139"/>
      <c r="H459" s="184" t="s">
        <v>861</v>
      </c>
    </row>
    <row r="460" spans="1:8">
      <c r="A460" s="139" t="s">
        <v>704</v>
      </c>
      <c r="B460" s="184"/>
      <c r="C460" s="184"/>
      <c r="D460" s="184"/>
      <c r="E460" s="184"/>
      <c r="F460" s="185"/>
      <c r="G460" s="139"/>
      <c r="H460" s="184" t="s">
        <v>864</v>
      </c>
    </row>
    <row r="461" spans="1:8">
      <c r="A461" s="139" t="s">
        <v>705</v>
      </c>
      <c r="B461" s="184"/>
      <c r="C461" s="184"/>
      <c r="D461" s="184"/>
      <c r="E461" s="184"/>
      <c r="F461" s="185"/>
      <c r="G461" s="139"/>
      <c r="H461" s="184" t="s">
        <v>865</v>
      </c>
    </row>
    <row r="462" spans="1:8">
      <c r="A462" s="139" t="s">
        <v>688</v>
      </c>
      <c r="B462" s="184"/>
      <c r="C462" s="184"/>
      <c r="D462" s="184"/>
      <c r="E462" s="184"/>
      <c r="F462" s="185"/>
      <c r="G462" s="139"/>
      <c r="H462" s="184" t="s">
        <v>862</v>
      </c>
    </row>
    <row r="463" spans="1:8">
      <c r="A463" s="139" t="s">
        <v>707</v>
      </c>
      <c r="B463" s="184"/>
      <c r="C463" s="184"/>
      <c r="D463" s="184"/>
      <c r="E463" s="184"/>
      <c r="F463" s="185"/>
      <c r="G463" s="139"/>
      <c r="H463" s="184" t="s">
        <v>866</v>
      </c>
    </row>
    <row r="464" spans="1:8">
      <c r="A464" s="139" t="s">
        <v>715</v>
      </c>
      <c r="B464" s="184"/>
      <c r="C464" s="184"/>
      <c r="D464" s="184"/>
      <c r="E464" s="184"/>
      <c r="F464" s="185"/>
      <c r="G464" s="139"/>
      <c r="H464" s="184" t="s">
        <v>867</v>
      </c>
    </row>
    <row r="465" spans="1:7">
      <c r="A465" s="139"/>
      <c r="B465" s="184"/>
      <c r="C465" s="184"/>
      <c r="D465" s="184"/>
      <c r="E465" s="184"/>
      <c r="F465" s="139"/>
      <c r="G465" s="139"/>
    </row>
    <row r="466" spans="1:7">
      <c r="A466" s="190" t="s">
        <v>871</v>
      </c>
      <c r="B466" s="184"/>
      <c r="C466" s="184"/>
      <c r="D466" s="184"/>
      <c r="E466" s="184"/>
      <c r="F466" s="139"/>
      <c r="G466" s="139"/>
    </row>
    <row r="467" spans="1:7">
      <c r="A467" s="187" t="s">
        <v>843</v>
      </c>
      <c r="B467" s="184"/>
      <c r="C467" s="184"/>
      <c r="D467" s="184"/>
      <c r="E467" s="184"/>
      <c r="F467" s="139"/>
      <c r="G467" s="139"/>
    </row>
    <row r="468" spans="1:7">
      <c r="A468" s="139" t="s">
        <v>804</v>
      </c>
      <c r="B468" s="184" t="s">
        <v>805</v>
      </c>
      <c r="C468" s="184"/>
      <c r="D468" s="184"/>
      <c r="E468" s="184"/>
      <c r="F468" s="185">
        <f t="shared" ref="F468" si="92">SUMIF($B$20:$B$326,B468,$K$20:$K$326)</f>
        <v>0</v>
      </c>
      <c r="G468" s="139"/>
    </row>
    <row r="469" spans="1:7">
      <c r="A469" s="139"/>
      <c r="B469" s="184"/>
      <c r="C469" s="184"/>
      <c r="D469" s="184"/>
      <c r="E469" s="184"/>
      <c r="F469" s="139"/>
      <c r="G469" s="139"/>
    </row>
    <row r="470" spans="1:7">
      <c r="A470" s="187" t="s">
        <v>850</v>
      </c>
      <c r="B470" s="184"/>
      <c r="C470" s="184"/>
      <c r="D470" s="184"/>
      <c r="E470" s="184"/>
      <c r="F470" s="139"/>
      <c r="G470" s="139"/>
    </row>
    <row r="471" spans="1:7">
      <c r="A471" s="139" t="s">
        <v>92</v>
      </c>
      <c r="B471" s="184" t="s">
        <v>80</v>
      </c>
      <c r="C471" s="184"/>
      <c r="D471" s="184"/>
      <c r="E471" s="184"/>
      <c r="F471" s="185">
        <f t="shared" ref="F471:F520" si="93">SUMIF($B$20:$B$326,B471,$K$20:$K$326)</f>
        <v>1995712.03</v>
      </c>
      <c r="G471" s="139"/>
    </row>
    <row r="472" spans="1:7">
      <c r="A472" s="139" t="s">
        <v>101</v>
      </c>
      <c r="B472" s="184" t="s">
        <v>102</v>
      </c>
      <c r="C472" s="184"/>
      <c r="D472" s="184"/>
      <c r="E472" s="184"/>
      <c r="F472" s="185">
        <f t="shared" si="93"/>
        <v>7500</v>
      </c>
      <c r="G472" s="139"/>
    </row>
    <row r="473" spans="1:7">
      <c r="A473" s="139" t="s">
        <v>105</v>
      </c>
      <c r="B473" s="184" t="s">
        <v>106</v>
      </c>
      <c r="C473" s="184"/>
      <c r="D473" s="184"/>
      <c r="E473" s="184"/>
      <c r="F473" s="185">
        <f t="shared" si="93"/>
        <v>0</v>
      </c>
      <c r="G473" s="139"/>
    </row>
    <row r="474" spans="1:7">
      <c r="A474" s="139" t="s">
        <v>108</v>
      </c>
      <c r="B474" s="184" t="s">
        <v>109</v>
      </c>
      <c r="C474" s="184"/>
      <c r="D474" s="184"/>
      <c r="E474" s="184"/>
      <c r="F474" s="185">
        <f t="shared" si="93"/>
        <v>0</v>
      </c>
      <c r="G474" s="139"/>
    </row>
    <row r="475" spans="1:7">
      <c r="A475" s="139" t="s">
        <v>117</v>
      </c>
      <c r="B475" s="184" t="s">
        <v>118</v>
      </c>
      <c r="C475" s="184"/>
      <c r="D475" s="184"/>
      <c r="E475" s="184"/>
      <c r="F475" s="185">
        <f t="shared" si="93"/>
        <v>78723.840000000011</v>
      </c>
      <c r="G475" s="139"/>
    </row>
    <row r="476" spans="1:7">
      <c r="A476" s="139" t="s">
        <v>139</v>
      </c>
      <c r="B476" s="184" t="s">
        <v>140</v>
      </c>
      <c r="C476" s="184"/>
      <c r="D476" s="184"/>
      <c r="E476" s="184"/>
      <c r="F476" s="185">
        <f t="shared" si="93"/>
        <v>0</v>
      </c>
      <c r="G476" s="139"/>
    </row>
    <row r="477" spans="1:7">
      <c r="A477" s="139" t="s">
        <v>872</v>
      </c>
      <c r="B477" s="184" t="s">
        <v>143</v>
      </c>
      <c r="C477" s="184"/>
      <c r="D477" s="184"/>
      <c r="E477" s="184"/>
      <c r="F477" s="185">
        <f t="shared" si="93"/>
        <v>0</v>
      </c>
      <c r="G477" s="139"/>
    </row>
    <row r="478" spans="1:7">
      <c r="A478" s="139" t="s">
        <v>161</v>
      </c>
      <c r="B478" s="184" t="s">
        <v>162</v>
      </c>
      <c r="C478" s="184"/>
      <c r="D478" s="184"/>
      <c r="E478" s="184"/>
      <c r="F478" s="185">
        <f t="shared" si="93"/>
        <v>0</v>
      </c>
      <c r="G478" s="139"/>
    </row>
    <row r="479" spans="1:7">
      <c r="A479" s="139" t="s">
        <v>164</v>
      </c>
      <c r="B479" s="184" t="s">
        <v>165</v>
      </c>
      <c r="C479" s="184"/>
      <c r="D479" s="184"/>
      <c r="E479" s="184"/>
      <c r="F479" s="185">
        <f t="shared" si="93"/>
        <v>3900</v>
      </c>
      <c r="G479" s="139"/>
    </row>
    <row r="480" spans="1:7">
      <c r="A480" s="139" t="s">
        <v>189</v>
      </c>
      <c r="B480" s="184" t="s">
        <v>190</v>
      </c>
      <c r="C480" s="184"/>
      <c r="D480" s="184"/>
      <c r="E480" s="184"/>
      <c r="F480" s="185">
        <f t="shared" si="93"/>
        <v>0</v>
      </c>
      <c r="G480" s="139"/>
    </row>
    <row r="481" spans="1:7">
      <c r="A481" s="139" t="s">
        <v>192</v>
      </c>
      <c r="B481" s="184" t="s">
        <v>193</v>
      </c>
      <c r="C481" s="184"/>
      <c r="D481" s="184"/>
      <c r="E481" s="184"/>
      <c r="F481" s="185">
        <f t="shared" si="93"/>
        <v>11240</v>
      </c>
      <c r="G481" s="139"/>
    </row>
    <row r="482" spans="1:7">
      <c r="A482" s="139" t="s">
        <v>195</v>
      </c>
      <c r="B482" s="184" t="s">
        <v>196</v>
      </c>
      <c r="C482" s="184"/>
      <c r="D482" s="184"/>
      <c r="E482" s="184"/>
      <c r="F482" s="185">
        <f t="shared" si="93"/>
        <v>0</v>
      </c>
      <c r="G482" s="139"/>
    </row>
    <row r="483" spans="1:7">
      <c r="A483" s="139" t="s">
        <v>198</v>
      </c>
      <c r="B483" s="184" t="s">
        <v>199</v>
      </c>
      <c r="C483" s="184"/>
      <c r="D483" s="184"/>
      <c r="E483" s="184"/>
      <c r="F483" s="185">
        <f t="shared" si="93"/>
        <v>0</v>
      </c>
      <c r="G483" s="139"/>
    </row>
    <row r="484" spans="1:7">
      <c r="A484" s="139" t="s">
        <v>214</v>
      </c>
      <c r="B484" s="184" t="s">
        <v>215</v>
      </c>
      <c r="C484" s="184"/>
      <c r="D484" s="184"/>
      <c r="E484" s="184"/>
      <c r="F484" s="185">
        <f t="shared" si="93"/>
        <v>4124</v>
      </c>
      <c r="G484" s="139"/>
    </row>
    <row r="485" spans="1:7">
      <c r="A485" s="139" t="s">
        <v>239</v>
      </c>
      <c r="B485" s="184" t="s">
        <v>240</v>
      </c>
      <c r="C485" s="184"/>
      <c r="D485" s="184"/>
      <c r="E485" s="184"/>
      <c r="F485" s="185">
        <f t="shared" si="93"/>
        <v>6700</v>
      </c>
      <c r="G485" s="139"/>
    </row>
    <row r="486" spans="1:7">
      <c r="A486" s="139" t="s">
        <v>244</v>
      </c>
      <c r="B486" s="184" t="s">
        <v>240</v>
      </c>
      <c r="C486" s="184"/>
      <c r="D486" s="184"/>
      <c r="E486" s="184"/>
      <c r="F486" s="185">
        <f t="shared" si="93"/>
        <v>6700</v>
      </c>
      <c r="G486" s="139"/>
    </row>
    <row r="487" spans="1:7">
      <c r="A487" s="139" t="s">
        <v>282</v>
      </c>
      <c r="B487" s="184" t="s">
        <v>283</v>
      </c>
      <c r="C487" s="184"/>
      <c r="D487" s="184"/>
      <c r="E487" s="184"/>
      <c r="F487" s="185">
        <f t="shared" si="93"/>
        <v>0</v>
      </c>
      <c r="G487" s="139"/>
    </row>
    <row r="488" spans="1:7">
      <c r="A488" s="139" t="s">
        <v>284</v>
      </c>
      <c r="B488" s="184" t="s">
        <v>285</v>
      </c>
      <c r="C488" s="184"/>
      <c r="D488" s="184"/>
      <c r="E488" s="184"/>
      <c r="F488" s="185">
        <f t="shared" si="93"/>
        <v>0</v>
      </c>
      <c r="G488" s="139"/>
    </row>
    <row r="489" spans="1:7">
      <c r="A489" s="139" t="s">
        <v>319</v>
      </c>
      <c r="B489" s="184" t="s">
        <v>316</v>
      </c>
      <c r="C489" s="184"/>
      <c r="D489" s="184"/>
      <c r="E489" s="184"/>
      <c r="F489" s="185">
        <f t="shared" si="93"/>
        <v>756138.37618403265</v>
      </c>
      <c r="G489" s="139"/>
    </row>
    <row r="490" spans="1:7">
      <c r="A490" s="139" t="s">
        <v>325</v>
      </c>
      <c r="B490" s="184" t="s">
        <v>316</v>
      </c>
      <c r="C490" s="184"/>
      <c r="D490" s="184"/>
      <c r="E490" s="184"/>
      <c r="F490" s="185">
        <f t="shared" si="93"/>
        <v>756138.37618403265</v>
      </c>
      <c r="G490" s="139"/>
    </row>
    <row r="491" spans="1:7">
      <c r="A491" s="139" t="s">
        <v>873</v>
      </c>
      <c r="B491" s="184" t="s">
        <v>316</v>
      </c>
      <c r="C491" s="184"/>
      <c r="D491" s="184"/>
      <c r="E491" s="184"/>
      <c r="F491" s="185">
        <f t="shared" si="93"/>
        <v>756138.37618403265</v>
      </c>
      <c r="G491" s="139"/>
    </row>
    <row r="492" spans="1:7">
      <c r="A492" s="139" t="s">
        <v>395</v>
      </c>
      <c r="B492" s="184" t="s">
        <v>396</v>
      </c>
      <c r="C492" s="184"/>
      <c r="D492" s="184"/>
      <c r="E492" s="184"/>
      <c r="F492" s="185">
        <f t="shared" si="93"/>
        <v>56265</v>
      </c>
      <c r="G492" s="139"/>
    </row>
    <row r="493" spans="1:7">
      <c r="A493" s="139" t="s">
        <v>414</v>
      </c>
      <c r="B493" s="184" t="s">
        <v>415</v>
      </c>
      <c r="C493" s="184"/>
      <c r="D493" s="184"/>
      <c r="E493" s="184"/>
      <c r="F493" s="185">
        <f t="shared" si="93"/>
        <v>0</v>
      </c>
      <c r="G493" s="139"/>
    </row>
    <row r="494" spans="1:7">
      <c r="A494" s="139" t="s">
        <v>416</v>
      </c>
      <c r="B494" s="184" t="s">
        <v>417</v>
      </c>
      <c r="C494" s="184"/>
      <c r="D494" s="184"/>
      <c r="E494" s="184"/>
      <c r="F494" s="185">
        <f t="shared" si="93"/>
        <v>13440</v>
      </c>
      <c r="G494" s="139"/>
    </row>
    <row r="495" spans="1:7">
      <c r="A495" s="139" t="s">
        <v>474</v>
      </c>
      <c r="B495" s="184" t="s">
        <v>475</v>
      </c>
      <c r="C495" s="184"/>
      <c r="D495" s="184"/>
      <c r="E495" s="184"/>
      <c r="F495" s="185">
        <f t="shared" si="93"/>
        <v>42600</v>
      </c>
      <c r="G495" s="139"/>
    </row>
    <row r="496" spans="1:7">
      <c r="A496" s="139" t="s">
        <v>479</v>
      </c>
      <c r="B496" s="184" t="s">
        <v>480</v>
      </c>
      <c r="C496" s="184"/>
      <c r="D496" s="184"/>
      <c r="E496" s="184"/>
      <c r="F496" s="185">
        <f t="shared" si="93"/>
        <v>490000</v>
      </c>
      <c r="G496" s="139"/>
    </row>
    <row r="497" spans="1:7">
      <c r="A497" s="139" t="s">
        <v>482</v>
      </c>
      <c r="B497" s="184" t="s">
        <v>483</v>
      </c>
      <c r="C497" s="184"/>
      <c r="D497" s="184"/>
      <c r="E497" s="184"/>
      <c r="F497" s="185">
        <f t="shared" si="93"/>
        <v>987133.76075999986</v>
      </c>
      <c r="G497" s="139"/>
    </row>
    <row r="498" spans="1:7">
      <c r="A498" s="139" t="s">
        <v>484</v>
      </c>
      <c r="B498" s="184" t="s">
        <v>485</v>
      </c>
      <c r="C498" s="184"/>
      <c r="D498" s="184"/>
      <c r="E498" s="184"/>
      <c r="F498" s="185">
        <f t="shared" si="93"/>
        <v>13960</v>
      </c>
      <c r="G498" s="139"/>
    </row>
    <row r="499" spans="1:7">
      <c r="A499" s="139" t="s">
        <v>494</v>
      </c>
      <c r="B499" s="184" t="s">
        <v>495</v>
      </c>
      <c r="C499" s="184"/>
      <c r="D499" s="184"/>
      <c r="E499" s="184"/>
      <c r="F499" s="185">
        <f t="shared" si="93"/>
        <v>26000</v>
      </c>
      <c r="G499" s="139"/>
    </row>
    <row r="500" spans="1:7">
      <c r="A500" s="139" t="s">
        <v>516</v>
      </c>
      <c r="B500" s="184" t="s">
        <v>517</v>
      </c>
      <c r="C500" s="184"/>
      <c r="D500" s="184"/>
      <c r="E500" s="184"/>
      <c r="F500" s="185">
        <f t="shared" si="93"/>
        <v>49224</v>
      </c>
      <c r="G500" s="139"/>
    </row>
    <row r="501" spans="1:7">
      <c r="A501" s="139" t="s">
        <v>518</v>
      </c>
      <c r="B501" s="184" t="s">
        <v>519</v>
      </c>
      <c r="C501" s="184"/>
      <c r="D501" s="184"/>
      <c r="E501" s="184"/>
      <c r="F501" s="185">
        <f t="shared" si="93"/>
        <v>12000</v>
      </c>
      <c r="G501" s="139"/>
    </row>
    <row r="502" spans="1:7">
      <c r="A502" s="139" t="s">
        <v>539</v>
      </c>
      <c r="B502" s="184" t="s">
        <v>529</v>
      </c>
      <c r="C502" s="184"/>
      <c r="D502" s="184"/>
      <c r="E502" s="184"/>
      <c r="F502" s="185">
        <f t="shared" si="93"/>
        <v>3124335.1799999997</v>
      </c>
      <c r="G502" s="139"/>
    </row>
    <row r="503" spans="1:7">
      <c r="A503" s="139" t="s">
        <v>541</v>
      </c>
      <c r="B503" s="184" t="s">
        <v>532</v>
      </c>
      <c r="C503" s="184"/>
      <c r="D503" s="184"/>
      <c r="E503" s="184"/>
      <c r="F503" s="185">
        <f t="shared" si="93"/>
        <v>226388.4</v>
      </c>
      <c r="G503" s="139"/>
    </row>
    <row r="504" spans="1:7">
      <c r="A504" s="139" t="s">
        <v>542</v>
      </c>
      <c r="B504" s="184" t="s">
        <v>529</v>
      </c>
      <c r="C504" s="184"/>
      <c r="D504" s="184"/>
      <c r="E504" s="184"/>
      <c r="F504" s="185">
        <f t="shared" si="93"/>
        <v>3124335.1799999997</v>
      </c>
      <c r="G504" s="139"/>
    </row>
    <row r="505" spans="1:7">
      <c r="A505" s="139" t="s">
        <v>543</v>
      </c>
      <c r="B505" s="184" t="s">
        <v>544</v>
      </c>
      <c r="C505" s="184"/>
      <c r="D505" s="184"/>
      <c r="E505" s="184"/>
      <c r="F505" s="185">
        <f t="shared" si="93"/>
        <v>0</v>
      </c>
      <c r="G505" s="139"/>
    </row>
    <row r="506" spans="1:7">
      <c r="A506" s="139" t="s">
        <v>553</v>
      </c>
      <c r="B506" s="184" t="s">
        <v>554</v>
      </c>
      <c r="C506" s="184"/>
      <c r="D506" s="184"/>
      <c r="E506" s="184"/>
      <c r="F506" s="185">
        <f t="shared" si="93"/>
        <v>34000</v>
      </c>
      <c r="G506" s="139"/>
    </row>
    <row r="507" spans="1:7">
      <c r="A507" s="139" t="s">
        <v>555</v>
      </c>
      <c r="B507" s="184" t="s">
        <v>556</v>
      </c>
      <c r="C507" s="184"/>
      <c r="D507" s="184"/>
      <c r="E507" s="184"/>
      <c r="F507" s="185">
        <f t="shared" si="93"/>
        <v>22000</v>
      </c>
      <c r="G507" s="139"/>
    </row>
    <row r="508" spans="1:7">
      <c r="A508" s="139" t="s">
        <v>557</v>
      </c>
      <c r="B508" s="184" t="s">
        <v>558</v>
      </c>
      <c r="C508" s="184"/>
      <c r="D508" s="184"/>
      <c r="E508" s="184"/>
      <c r="F508" s="185">
        <f t="shared" si="93"/>
        <v>4000</v>
      </c>
      <c r="G508" s="139"/>
    </row>
    <row r="509" spans="1:7">
      <c r="A509" s="139" t="s">
        <v>559</v>
      </c>
      <c r="B509" s="184" t="s">
        <v>529</v>
      </c>
      <c r="C509" s="184"/>
      <c r="D509" s="184"/>
      <c r="E509" s="184"/>
      <c r="F509" s="185">
        <f t="shared" si="93"/>
        <v>3124335.1799999997</v>
      </c>
      <c r="G509" s="139"/>
    </row>
    <row r="510" spans="1:7">
      <c r="A510" s="139" t="s">
        <v>560</v>
      </c>
      <c r="B510" s="184" t="s">
        <v>532</v>
      </c>
      <c r="C510" s="184"/>
      <c r="D510" s="184"/>
      <c r="E510" s="184"/>
      <c r="F510" s="185">
        <f t="shared" si="93"/>
        <v>226388.4</v>
      </c>
      <c r="G510" s="139"/>
    </row>
    <row r="511" spans="1:7">
      <c r="A511" s="139" t="s">
        <v>619</v>
      </c>
      <c r="B511" s="184" t="s">
        <v>620</v>
      </c>
      <c r="C511" s="184"/>
      <c r="D511" s="184"/>
      <c r="E511" s="184"/>
      <c r="F511" s="185">
        <f t="shared" si="93"/>
        <v>117000</v>
      </c>
      <c r="G511" s="139"/>
    </row>
    <row r="512" spans="1:7">
      <c r="A512" s="139" t="s">
        <v>630</v>
      </c>
      <c r="B512" s="184" t="s">
        <v>631</v>
      </c>
      <c r="C512" s="184"/>
      <c r="D512" s="184"/>
      <c r="E512" s="184"/>
      <c r="F512" s="185">
        <f t="shared" si="93"/>
        <v>19320</v>
      </c>
      <c r="G512" s="139"/>
    </row>
    <row r="513" spans="1:7">
      <c r="A513" s="139" t="s">
        <v>642</v>
      </c>
      <c r="B513" s="184" t="s">
        <v>643</v>
      </c>
      <c r="C513" s="184"/>
      <c r="D513" s="184"/>
      <c r="E513" s="184"/>
      <c r="F513" s="185">
        <f t="shared" si="93"/>
        <v>45900</v>
      </c>
      <c r="G513" s="139"/>
    </row>
    <row r="514" spans="1:7">
      <c r="A514" s="139" t="s">
        <v>663</v>
      </c>
      <c r="B514" s="184" t="s">
        <v>664</v>
      </c>
      <c r="C514" s="184"/>
      <c r="D514" s="184"/>
      <c r="E514" s="184"/>
      <c r="F514" s="185">
        <f t="shared" si="93"/>
        <v>11000</v>
      </c>
      <c r="G514" s="139"/>
    </row>
    <row r="515" spans="1:7">
      <c r="A515" s="139" t="s">
        <v>757</v>
      </c>
      <c r="B515" s="184" t="s">
        <v>758</v>
      </c>
      <c r="C515" s="184"/>
      <c r="D515" s="184"/>
      <c r="E515" s="184"/>
      <c r="F515" s="185">
        <f t="shared" si="93"/>
        <v>21000</v>
      </c>
      <c r="G515" s="139"/>
    </row>
    <row r="516" spans="1:7">
      <c r="A516" s="139" t="s">
        <v>759</v>
      </c>
      <c r="B516" s="184" t="s">
        <v>760</v>
      </c>
      <c r="C516" s="184"/>
      <c r="D516" s="184"/>
      <c r="E516" s="184"/>
      <c r="F516" s="185">
        <f t="shared" si="93"/>
        <v>21900</v>
      </c>
      <c r="G516" s="139"/>
    </row>
    <row r="517" spans="1:7">
      <c r="A517" s="139" t="s">
        <v>761</v>
      </c>
      <c r="B517" s="184" t="s">
        <v>762</v>
      </c>
      <c r="C517" s="184"/>
      <c r="D517" s="184"/>
      <c r="E517" s="184"/>
      <c r="F517" s="185">
        <f t="shared" si="93"/>
        <v>190000</v>
      </c>
      <c r="G517" s="139"/>
    </row>
    <row r="518" spans="1:7">
      <c r="A518" s="139" t="s">
        <v>763</v>
      </c>
      <c r="B518" s="184" t="s">
        <v>764</v>
      </c>
      <c r="C518" s="184"/>
      <c r="D518" s="184"/>
      <c r="E518" s="184"/>
      <c r="F518" s="185">
        <f t="shared" si="93"/>
        <v>0</v>
      </c>
      <c r="G518" s="139"/>
    </row>
    <row r="519" spans="1:7">
      <c r="A519" s="139" t="s">
        <v>776</v>
      </c>
      <c r="B519" s="184" t="s">
        <v>564</v>
      </c>
      <c r="C519" s="184"/>
      <c r="D519" s="184"/>
      <c r="E519" s="184"/>
      <c r="F519" s="185">
        <f t="shared" si="93"/>
        <v>61200</v>
      </c>
      <c r="G519" s="139"/>
    </row>
    <row r="520" spans="1:7">
      <c r="A520" s="139" t="s">
        <v>777</v>
      </c>
      <c r="B520" s="184" t="s">
        <v>778</v>
      </c>
      <c r="C520" s="184"/>
      <c r="D520" s="184"/>
      <c r="E520" s="184"/>
      <c r="F520" s="185">
        <f t="shared" si="93"/>
        <v>6000</v>
      </c>
      <c r="G520" s="139"/>
    </row>
  </sheetData>
  <sheetProtection algorithmName="SHA-512" hashValue="6Gvq4bhXhm0nZnmRLTZIj66YaXkayj+kTL/ZjPN2Ic49p5riNM2rIwJmEyS5jAep7K1p/Tc9NE4sDFBJDEEW5A==" saltValue="cRYuJhZ1npYoGGZoM5mHxA==" spinCount="100000" sheet="1" objects="1" scenarios="1"/>
  <mergeCells count="1">
    <mergeCell ref="N291:V291"/>
  </mergeCells>
  <conditionalFormatting sqref="A2:B11 N292:V325">
    <cfRule type="expression" dxfId="15" priority="13">
      <formula>MOD(ROW(),2)</formula>
    </cfRule>
  </conditionalFormatting>
  <conditionalFormatting sqref="A13:B16">
    <cfRule type="expression" dxfId="14" priority="15">
      <formula>MOD(ROW(),2)=0</formula>
    </cfRule>
  </conditionalFormatting>
  <conditionalFormatting sqref="A291:K298">
    <cfRule type="expression" dxfId="13" priority="5">
      <formula>MOD(ROW(),2)</formula>
    </cfRule>
  </conditionalFormatting>
  <conditionalFormatting sqref="D3:F7">
    <cfRule type="expression" dxfId="12" priority="16">
      <formula>MOD(ROW(),2)=0</formula>
    </cfRule>
  </conditionalFormatting>
  <conditionalFormatting sqref="D10:F16">
    <cfRule type="expression" dxfId="11" priority="7">
      <formula>MOD(ROW(),2)</formula>
    </cfRule>
  </conditionalFormatting>
  <conditionalFormatting sqref="D15:F15">
    <cfRule type="expression" dxfId="10" priority="14">
      <formula>MOD(ROW(),2)=0</formula>
    </cfRule>
  </conditionalFormatting>
  <conditionalFormatting sqref="E364">
    <cfRule type="cellIs" dxfId="9" priority="9" operator="lessThan">
      <formula>0</formula>
    </cfRule>
    <cfRule type="cellIs" dxfId="8" priority="10" operator="greaterThan">
      <formula>0</formula>
    </cfRule>
  </conditionalFormatting>
  <conditionalFormatting sqref="E20:L20 A20:D290 E21:K21 E22:L22 E23:K23 E24:L24 E25:K33 E34:L35 E36:K43 E44:L44 E45:K49 E50:L50 E51:K58 E59:L59 E60:K71 E72:L72 E73:K83 E84:L84 E85:K99 E100:L100 E101:K136 E137:L137 E138:K153 E154:L154 E155:K155 E156:L156 E157:K164 E165:L165 E166:K168 E169:L169 E170:K170 E171:L171 E172:K173 E174:L174 E175:K177 E178:L178 E179:K183 E184:L184 E185:K185 E186:L186 E187:K202 E203:L203 E204:K206 E207:L207 E208:K210 E211:L211 E212:K220 E221:L221 E222:K257 E258:L258 E259:K273 E274:L274 E275:K275 E276:L276 E277:K279 E280:L280 E281:K289 E290:L290 E299:L299 A299:D325 E300:K300 E301:L301 E302:K315 E316:L316 E317:K317 E318:L318 E319:K319 E320:L320 E321:K323 E324:L324 E325:K325 A326:L326">
    <cfRule type="expression" dxfId="7" priority="11">
      <formula>MOD(ROW(),2)</formula>
    </cfRule>
  </conditionalFormatting>
  <conditionalFormatting sqref="L327">
    <cfRule type="cellIs" dxfId="6" priority="8" operator="lessThan">
      <formula>0</formula>
    </cfRule>
    <cfRule type="cellIs" dxfId="5" priority="12" operator="greaterThan">
      <formula>0</formula>
    </cfRule>
  </conditionalFormatting>
  <conditionalFormatting sqref="N1:P17">
    <cfRule type="expression" dxfId="4" priority="4">
      <formula>MOD(ROW(),2)</formula>
    </cfRule>
  </conditionalFormatting>
  <conditionalFormatting sqref="N20:V290">
    <cfRule type="expression" dxfId="3" priority="6">
      <formula>MOD(ROW(),2)</formula>
    </cfRule>
  </conditionalFormatting>
  <conditionalFormatting sqref="R1:T17">
    <cfRule type="expression" dxfId="2" priority="3">
      <formula>MOD(ROW(),2)</formula>
    </cfRule>
  </conditionalFormatting>
  <conditionalFormatting sqref="AA20:AA326">
    <cfRule type="expression" dxfId="1" priority="2">
      <formula>MOD(ROW(),2)</formula>
    </cfRule>
  </conditionalFormatting>
  <conditionalFormatting sqref="AB20 AB22 AB24 AB34:AB35 AB44 AB50 AB59 AB72 AB84 AB100 AB137 AB154 AB156 AB165 AB169 AB171 AB174 AB178 AB184 AB186 AB203 AB207 AB211 AB221 AB258 AB274 AB276 AB280 AB290 AB299 AB301 AB316 AB318 AB320 AB324 AB326">
    <cfRule type="expression" dxfId="0" priority="1">
      <formula>MOD(ROW(),2)</formula>
    </cfRule>
  </conditionalFormatting>
  <dataValidations count="2">
    <dataValidation type="list" allowBlank="1" showInputMessage="1" showErrorMessage="1" sqref="B3" xr:uid="{25E5A673-E7B2-4095-8F39-42D315BDC83A}">
      <formula1>"Level 1, Level 2, Level 3"</formula1>
    </dataValidation>
    <dataValidation type="list" allowBlank="1" showInputMessage="1" showErrorMessage="1" sqref="B4" xr:uid="{F9C7E981-B24E-4626-9149-8899531BC365}">
      <formula1>"Urban, Market, Senior"</formula1>
    </dataValidation>
  </dataValidations>
  <printOptions horizontalCentered="1" verticalCentered="1"/>
  <pageMargins left="0.25" right="0.25" top="0.7" bottom="0.5" header="0.35" footer="0.05"/>
  <pageSetup paperSize="3" scale="13" fitToHeight="12" orientation="landscape" r:id="rId1"/>
  <headerFooter>
    <oddHeader>&amp;R&amp;G</odd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2D693-9458-4824-9447-54AF7EA064F8}">
  <dimension ref="A1:S39"/>
  <sheetViews>
    <sheetView topLeftCell="C1" workbookViewId="0">
      <selection activeCell="F24" sqref="F24"/>
    </sheetView>
  </sheetViews>
  <sheetFormatPr defaultRowHeight="15" outlineLevelRow="1" outlineLevelCol="1"/>
  <cols>
    <col min="1" max="2" width="5.85546875" hidden="1" customWidth="1" outlineLevel="1"/>
    <col min="3" max="3" width="3.85546875" customWidth="1" collapsed="1"/>
    <col min="4" max="4" width="38" customWidth="1"/>
    <col min="5" max="5" width="13.140625" customWidth="1"/>
    <col min="6" max="6" width="14.5703125" customWidth="1" outlineLevel="1"/>
    <col min="7" max="7" width="13.42578125" customWidth="1" outlineLevel="1"/>
    <col min="8" max="8" width="14.7109375" customWidth="1" outlineLevel="1"/>
    <col min="9" max="9" width="18.140625" customWidth="1"/>
    <col min="10" max="10" width="12.42578125" customWidth="1"/>
    <col min="11" max="11" width="13.7109375" customWidth="1"/>
    <col min="14" max="18" width="8.42578125" customWidth="1"/>
    <col min="19" max="19" width="3.140625" customWidth="1"/>
  </cols>
  <sheetData>
    <row r="1" spans="2:19" ht="15.75">
      <c r="C1" s="393" t="s">
        <v>1183</v>
      </c>
      <c r="D1" s="393"/>
      <c r="E1" s="394"/>
      <c r="F1" s="395"/>
      <c r="G1" s="395"/>
      <c r="H1" s="396"/>
      <c r="I1" s="397"/>
      <c r="J1" s="397"/>
      <c r="K1" s="397"/>
      <c r="L1" s="398"/>
      <c r="M1" s="398"/>
      <c r="N1" s="398"/>
      <c r="O1" s="398"/>
      <c r="P1" s="398"/>
      <c r="Q1" s="398"/>
      <c r="R1" s="398"/>
      <c r="S1" s="398" t="s">
        <v>1184</v>
      </c>
    </row>
    <row r="2" spans="2:19">
      <c r="C2" s="399" t="s">
        <v>1185</v>
      </c>
      <c r="D2" s="399"/>
      <c r="F2" s="400"/>
      <c r="G2" s="400"/>
      <c r="H2" s="400"/>
      <c r="I2" s="327"/>
      <c r="J2" s="327"/>
      <c r="K2" s="327"/>
      <c r="L2" s="401"/>
      <c r="M2" s="401"/>
      <c r="N2" s="401"/>
      <c r="O2" s="401"/>
      <c r="P2" s="401"/>
      <c r="Q2" s="401"/>
      <c r="R2" s="401"/>
      <c r="S2" s="401"/>
    </row>
    <row r="3" spans="2:19">
      <c r="F3" s="402"/>
    </row>
    <row r="4" spans="2:19">
      <c r="F4" s="403"/>
      <c r="G4" s="404"/>
    </row>
    <row r="6" spans="2:19" ht="16.5">
      <c r="D6" s="405" t="s">
        <v>1186</v>
      </c>
      <c r="E6" s="406" t="s">
        <v>56</v>
      </c>
      <c r="F6" s="406" t="s">
        <v>1187</v>
      </c>
      <c r="G6" s="405"/>
      <c r="H6" s="406" t="s">
        <v>1188</v>
      </c>
      <c r="I6" s="406" t="s">
        <v>1189</v>
      </c>
      <c r="J6" s="406" t="s">
        <v>1190</v>
      </c>
      <c r="K6" s="406" t="s">
        <v>1191</v>
      </c>
      <c r="M6" s="407"/>
      <c r="N6" s="407"/>
      <c r="O6" s="407"/>
      <c r="P6" s="407"/>
      <c r="Q6" s="407"/>
      <c r="R6" s="407"/>
    </row>
    <row r="7" spans="2:19">
      <c r="B7" t="s">
        <v>69</v>
      </c>
      <c r="D7" t="s">
        <v>807</v>
      </c>
      <c r="E7" s="408" t="s">
        <v>69</v>
      </c>
      <c r="F7" s="402">
        <v>3514986.3</v>
      </c>
      <c r="G7" s="409">
        <v>0.06</v>
      </c>
      <c r="H7" s="410">
        <f>G7*SUM($I$8:$I$35)</f>
        <v>3435049.9795035045</v>
      </c>
      <c r="I7" s="410">
        <f t="shared" ref="I7:I37" si="0">IF(ISBLANK(H7)=FALSE,H7,F7)</f>
        <v>3435049.9795035045</v>
      </c>
      <c r="J7" s="411">
        <f>I7/[60]Input!$C$20</f>
        <v>11.040135949192024</v>
      </c>
      <c r="K7" s="410">
        <f>I7/[60]Input!$C$13</f>
        <v>9462.947601938029</v>
      </c>
    </row>
    <row r="8" spans="2:19">
      <c r="B8" t="s">
        <v>1192</v>
      </c>
      <c r="D8" t="s">
        <v>808</v>
      </c>
      <c r="E8" s="408" t="s">
        <v>78</v>
      </c>
      <c r="F8" s="402">
        <v>16000</v>
      </c>
      <c r="G8" s="412"/>
      <c r="H8" s="410"/>
      <c r="I8" s="410">
        <f t="shared" si="0"/>
        <v>16000</v>
      </c>
      <c r="J8" s="411">
        <f>I8/[60]Input!$C$20</f>
        <v>5.1423465813037132E-2</v>
      </c>
      <c r="K8" s="410">
        <f>I8/[60]Input!$C$13</f>
        <v>44.077134986225893</v>
      </c>
    </row>
    <row r="9" spans="2:19">
      <c r="B9" t="s">
        <v>1192</v>
      </c>
      <c r="D9" t="s">
        <v>809</v>
      </c>
      <c r="E9" s="408" t="s">
        <v>122</v>
      </c>
      <c r="F9" s="402">
        <v>3882795.6785714286</v>
      </c>
      <c r="G9" s="412"/>
      <c r="H9" s="410"/>
      <c r="I9" s="410">
        <f t="shared" si="0"/>
        <v>3882795.6785714286</v>
      </c>
      <c r="J9" s="411">
        <f>I9/[60]Input!$C$20</f>
        <v>12.479175677251636</v>
      </c>
      <c r="K9" s="410">
        <f>I9/[60]Input!$C$13</f>
        <v>10696.406828020465</v>
      </c>
    </row>
    <row r="10" spans="2:19">
      <c r="B10" t="s">
        <v>1192</v>
      </c>
      <c r="D10" t="s">
        <v>810</v>
      </c>
      <c r="E10" s="408" t="s">
        <v>147</v>
      </c>
      <c r="F10" s="402">
        <v>174094.28571428571</v>
      </c>
      <c r="G10" s="412"/>
      <c r="H10" s="410"/>
      <c r="I10" s="410">
        <f t="shared" si="0"/>
        <v>174094.28571428571</v>
      </c>
      <c r="J10" s="411">
        <f>I10/[60]Input!$C$20</f>
        <v>0.55953322185460563</v>
      </c>
      <c r="K10" s="410">
        <f>I10/[60]Input!$C$13</f>
        <v>479.59858323494689</v>
      </c>
    </row>
    <row r="11" spans="2:19">
      <c r="B11" t="s">
        <v>1192</v>
      </c>
      <c r="D11" t="s">
        <v>811</v>
      </c>
      <c r="E11" s="408" t="s">
        <v>176</v>
      </c>
      <c r="F11" s="402">
        <v>413758.91216114117</v>
      </c>
      <c r="G11" s="412"/>
      <c r="H11" s="410"/>
      <c r="I11" s="410">
        <f t="shared" si="0"/>
        <v>413758.91216114117</v>
      </c>
      <c r="J11" s="411">
        <f>I11/[60]Input!$C$20</f>
        <v>1.3298073296473674</v>
      </c>
      <c r="K11" s="410">
        <f>I11/[60]Input!$C$13</f>
        <v>1139.8317139425376</v>
      </c>
    </row>
    <row r="12" spans="2:19">
      <c r="B12" t="s">
        <v>1192</v>
      </c>
      <c r="D12" t="s">
        <v>812</v>
      </c>
      <c r="E12" s="408" t="s">
        <v>221</v>
      </c>
      <c r="F12" s="402">
        <v>8101853.5200000005</v>
      </c>
      <c r="G12" s="412"/>
      <c r="H12" s="410"/>
      <c r="I12" s="410">
        <f t="shared" si="0"/>
        <v>8101853.5200000005</v>
      </c>
      <c r="J12" s="411">
        <f>I12/[60]Input!$C$20</f>
        <v>26.039086719247162</v>
      </c>
      <c r="K12" s="410">
        <f>I12/[60]Input!$C$13</f>
        <v>22319.15570247934</v>
      </c>
    </row>
    <row r="13" spans="2:19">
      <c r="B13" t="s">
        <v>1192</v>
      </c>
      <c r="D13" t="s">
        <v>813</v>
      </c>
      <c r="E13" s="408" t="s">
        <v>268</v>
      </c>
      <c r="F13" s="402">
        <v>2004765.6700000002</v>
      </c>
      <c r="G13" s="412"/>
      <c r="H13" s="410"/>
      <c r="I13" s="410">
        <f t="shared" si="0"/>
        <v>2004765.6700000002</v>
      </c>
      <c r="J13" s="411">
        <f>I13/[60]Input!$C$20</f>
        <v>6.443249930899718</v>
      </c>
      <c r="K13" s="410">
        <f>I13/[60]Input!$C$13</f>
        <v>5522.77044077135</v>
      </c>
    </row>
    <row r="14" spans="2:19">
      <c r="B14" t="s">
        <v>1192</v>
      </c>
      <c r="D14" t="s">
        <v>814</v>
      </c>
      <c r="E14" s="408" t="s">
        <v>298</v>
      </c>
      <c r="F14" s="402">
        <v>574050.30000000005</v>
      </c>
      <c r="G14" s="412"/>
      <c r="H14" s="410"/>
      <c r="I14" s="410">
        <f t="shared" si="0"/>
        <v>574050.30000000005</v>
      </c>
      <c r="J14" s="411">
        <f>I14/[60]Input!$C$20</f>
        <v>1.844978498563357</v>
      </c>
      <c r="K14" s="410">
        <f>I14/[60]Input!$C$13</f>
        <v>1581.405785123967</v>
      </c>
    </row>
    <row r="15" spans="2:19">
      <c r="B15" t="s">
        <v>1192</v>
      </c>
      <c r="D15" t="s">
        <v>815</v>
      </c>
      <c r="E15" s="408" t="s">
        <v>392</v>
      </c>
      <c r="F15" s="402">
        <v>5615983.3453300335</v>
      </c>
      <c r="G15" s="412"/>
      <c r="H15" s="410"/>
      <c r="I15" s="410">
        <f t="shared" si="0"/>
        <v>5615983.3453300335</v>
      </c>
      <c r="J15" s="411">
        <f>I15/[60]Input!$C$20</f>
        <v>18.049582972822805</v>
      </c>
      <c r="K15" s="410">
        <f>I15/[60]Input!$C$13</f>
        <v>15471.028499531772</v>
      </c>
    </row>
    <row r="16" spans="2:19">
      <c r="B16" t="s">
        <v>1192</v>
      </c>
      <c r="D16" t="s">
        <v>816</v>
      </c>
      <c r="E16" s="408" t="s">
        <v>432</v>
      </c>
      <c r="F16" s="402">
        <v>373369</v>
      </c>
      <c r="G16" s="412"/>
      <c r="H16" s="410"/>
      <c r="I16" s="410">
        <f t="shared" si="0"/>
        <v>373369</v>
      </c>
      <c r="J16" s="411">
        <f>I16/[60]Input!$C$20</f>
        <v>1.1999955004467413</v>
      </c>
      <c r="K16" s="410">
        <f>I16/[60]Input!$C$13</f>
        <v>1028.564738292011</v>
      </c>
    </row>
    <row r="17" spans="2:11">
      <c r="B17" t="s">
        <v>1192</v>
      </c>
      <c r="D17" t="s">
        <v>817</v>
      </c>
      <c r="E17" s="408" t="s">
        <v>441</v>
      </c>
      <c r="F17" s="402">
        <v>1160874</v>
      </c>
      <c r="G17" s="412"/>
      <c r="H17" s="410"/>
      <c r="I17" s="410">
        <f t="shared" si="0"/>
        <v>1160874</v>
      </c>
      <c r="J17" s="411">
        <f>I17/[60]Input!$C$20</f>
        <v>3.7310102782652295</v>
      </c>
      <c r="K17" s="410">
        <f>I17/[60]Input!$C$13</f>
        <v>3198</v>
      </c>
    </row>
    <row r="18" spans="2:11">
      <c r="B18" t="s">
        <v>1192</v>
      </c>
      <c r="D18" t="s">
        <v>818</v>
      </c>
      <c r="E18" s="408" t="s">
        <v>477</v>
      </c>
      <c r="F18" s="402">
        <v>2185435.16</v>
      </c>
      <c r="G18" s="412"/>
      <c r="H18" s="410"/>
      <c r="I18" s="410">
        <f t="shared" si="0"/>
        <v>2185435.16</v>
      </c>
      <c r="J18" s="411">
        <f>I18/[60]Input!$C$20</f>
        <v>7.0239156398043345</v>
      </c>
      <c r="K18" s="410">
        <f>I18/[60]Input!$C$13</f>
        <v>6020.4825344352621</v>
      </c>
    </row>
    <row r="19" spans="2:11">
      <c r="B19" t="s">
        <v>1192</v>
      </c>
      <c r="D19" t="s">
        <v>819</v>
      </c>
      <c r="E19" s="408" t="s">
        <v>488</v>
      </c>
      <c r="F19" s="402">
        <v>1491093.76076</v>
      </c>
      <c r="G19" s="412"/>
      <c r="H19" s="410"/>
      <c r="I19" s="410">
        <f t="shared" si="0"/>
        <v>1491093.76076</v>
      </c>
      <c r="J19" s="411">
        <f>I19/[60]Input!$C$20</f>
        <v>4.7923255644046767</v>
      </c>
      <c r="K19" s="410">
        <f>I19/[60]Input!$C$13</f>
        <v>4107.6963106336088</v>
      </c>
    </row>
    <row r="20" spans="2:11">
      <c r="B20" t="s">
        <v>1192</v>
      </c>
      <c r="D20" t="s">
        <v>820</v>
      </c>
      <c r="E20" s="408" t="s">
        <v>497</v>
      </c>
      <c r="F20" s="402">
        <v>670462</v>
      </c>
      <c r="G20" s="412"/>
      <c r="H20" s="410"/>
      <c r="I20" s="410">
        <f t="shared" si="0"/>
        <v>670462</v>
      </c>
      <c r="J20" s="411">
        <f>I20/[60]Input!$C$20</f>
        <v>2.1548424834962816</v>
      </c>
      <c r="K20" s="410">
        <f>I20/[60]Input!$C$13</f>
        <v>1847.0027548209366</v>
      </c>
    </row>
    <row r="21" spans="2:11">
      <c r="B21" t="s">
        <v>1192</v>
      </c>
      <c r="D21" t="s">
        <v>821</v>
      </c>
      <c r="E21" s="408" t="s">
        <v>507</v>
      </c>
      <c r="F21" s="402">
        <v>959276.94000000006</v>
      </c>
      <c r="G21" s="412"/>
      <c r="H21" s="410"/>
      <c r="I21" s="410">
        <f t="shared" si="0"/>
        <v>959276.94000000006</v>
      </c>
      <c r="J21" s="411">
        <f>I21/[60]Input!$C$20</f>
        <v>3.0830840580828047</v>
      </c>
      <c r="K21" s="410">
        <f>I21/[60]Input!$C$13</f>
        <v>2642.6361983471074</v>
      </c>
    </row>
    <row r="22" spans="2:11">
      <c r="B22" t="s">
        <v>1192</v>
      </c>
      <c r="D22" t="s">
        <v>822</v>
      </c>
      <c r="E22" s="408" t="s">
        <v>521</v>
      </c>
      <c r="F22" s="402">
        <v>3882162</v>
      </c>
      <c r="G22" s="412"/>
      <c r="H22" s="410"/>
      <c r="I22" s="410">
        <f t="shared" si="0"/>
        <v>3882162</v>
      </c>
      <c r="J22" s="411">
        <f>I22/[60]Input!$C$20</f>
        <v>12.477139055479492</v>
      </c>
      <c r="K22" s="410">
        <f>I22/[60]Input!$C$13</f>
        <v>10694.661157024793</v>
      </c>
    </row>
    <row r="23" spans="2:11">
      <c r="B23" t="s">
        <v>1192</v>
      </c>
      <c r="D23" t="s">
        <v>823</v>
      </c>
      <c r="E23" s="408" t="s">
        <v>528</v>
      </c>
      <c r="F23" s="402">
        <v>3888782.7000000007</v>
      </c>
      <c r="G23" s="412"/>
      <c r="H23" s="410"/>
      <c r="I23" s="410">
        <f t="shared" si="0"/>
        <v>3888782.7000000007</v>
      </c>
      <c r="J23" s="411">
        <f>I23/[60]Input!$C$20</f>
        <v>12.498417764236267</v>
      </c>
      <c r="K23" s="410">
        <f>I23/[60]Input!$C$13</f>
        <v>10712.900000000001</v>
      </c>
    </row>
    <row r="24" spans="2:11">
      <c r="B24" t="s">
        <v>1192</v>
      </c>
      <c r="D24" t="s">
        <v>824</v>
      </c>
      <c r="E24" s="408" t="s">
        <v>562</v>
      </c>
      <c r="F24" s="402">
        <v>3679076.5799999996</v>
      </c>
      <c r="G24" s="412"/>
      <c r="H24" s="410"/>
      <c r="I24" s="410">
        <f t="shared" si="0"/>
        <v>3679076.5799999996</v>
      </c>
      <c r="J24" s="411">
        <f>I24/[60]Input!$C$20</f>
        <v>11.824429295948473</v>
      </c>
      <c r="K24" s="410">
        <f>I24/[60]Input!$C$13</f>
        <v>10135.197190082643</v>
      </c>
    </row>
    <row r="25" spans="2:11">
      <c r="B25" t="s">
        <v>1192</v>
      </c>
      <c r="D25" t="s">
        <v>825</v>
      </c>
      <c r="E25" s="408" t="s">
        <v>572</v>
      </c>
      <c r="F25" s="402">
        <v>198524.46</v>
      </c>
      <c r="G25" s="412"/>
      <c r="H25" s="410"/>
      <c r="I25" s="410">
        <f t="shared" si="0"/>
        <v>198524.46</v>
      </c>
      <c r="J25" s="411">
        <f>I25/[60]Input!$C$20</f>
        <v>0.6380509863663536</v>
      </c>
      <c r="K25" s="410">
        <f>I25/[60]Input!$C$13</f>
        <v>546.89933884297523</v>
      </c>
    </row>
    <row r="26" spans="2:11">
      <c r="B26" t="s">
        <v>1192</v>
      </c>
      <c r="D26" t="s">
        <v>826</v>
      </c>
      <c r="E26" s="408" t="s">
        <v>583</v>
      </c>
      <c r="F26" s="402">
        <v>908865</v>
      </c>
      <c r="G26" s="412"/>
      <c r="H26" s="410"/>
      <c r="I26" s="410">
        <f t="shared" si="0"/>
        <v>908865</v>
      </c>
      <c r="J26" s="411">
        <f>I26/[60]Input!$C$20</f>
        <v>2.9210617660103746</v>
      </c>
      <c r="K26" s="410">
        <f>I26/[60]Input!$C$13</f>
        <v>2503.7603305785124</v>
      </c>
    </row>
    <row r="27" spans="2:11">
      <c r="B27" t="s">
        <v>1192</v>
      </c>
      <c r="D27" t="s">
        <v>827</v>
      </c>
      <c r="E27" s="408" t="s">
        <v>604</v>
      </c>
      <c r="F27" s="402">
        <v>1317559.3374999999</v>
      </c>
      <c r="G27" s="412"/>
      <c r="H27" s="410"/>
      <c r="I27" s="410">
        <f t="shared" si="0"/>
        <v>1317559.3374999999</v>
      </c>
      <c r="J27" s="411">
        <f>I27/[60]Input!$C$20</f>
        <v>4.2345917217861935</v>
      </c>
      <c r="K27" s="410">
        <f>I27/[60]Input!$C$13</f>
        <v>3629.6400482093663</v>
      </c>
    </row>
    <row r="28" spans="2:11">
      <c r="B28" t="s">
        <v>1192</v>
      </c>
      <c r="D28" t="s">
        <v>828</v>
      </c>
      <c r="E28" s="408" t="s">
        <v>680</v>
      </c>
      <c r="F28" s="402">
        <v>6058984.0669230772</v>
      </c>
      <c r="G28" s="412"/>
      <c r="H28" s="410"/>
      <c r="I28" s="410">
        <f t="shared" si="0"/>
        <v>6058984.0669230772</v>
      </c>
      <c r="J28" s="411">
        <f>I28/[60]Input!$C$20</f>
        <v>19.473372501697224</v>
      </c>
      <c r="K28" s="410">
        <f>I28/[60]Input!$C$13</f>
        <v>16691.416162322526</v>
      </c>
    </row>
    <row r="29" spans="2:11">
      <c r="B29" t="s">
        <v>1192</v>
      </c>
      <c r="D29" t="s">
        <v>829</v>
      </c>
      <c r="E29" s="408" t="s">
        <v>709</v>
      </c>
      <c r="F29" s="402">
        <v>3596130.8846153845</v>
      </c>
      <c r="G29" s="412"/>
      <c r="H29" s="410"/>
      <c r="I29" s="410">
        <f t="shared" si="0"/>
        <v>3596130.8846153845</v>
      </c>
      <c r="J29" s="411">
        <f>I29/[60]Input!$C$20</f>
        <v>11.557844600264138</v>
      </c>
      <c r="K29" s="410">
        <f>I29/[60]Input!$C$13</f>
        <v>9906.6966518330155</v>
      </c>
    </row>
    <row r="30" spans="2:11">
      <c r="B30" t="s">
        <v>1192</v>
      </c>
      <c r="D30" t="s">
        <v>830</v>
      </c>
      <c r="E30" s="408" t="s">
        <v>718</v>
      </c>
      <c r="F30" s="402">
        <v>7500</v>
      </c>
      <c r="G30" s="412"/>
      <c r="H30" s="410"/>
      <c r="I30" s="410">
        <f t="shared" si="0"/>
        <v>7500</v>
      </c>
      <c r="J30" s="411">
        <f>I30/[60]Input!$C$20</f>
        <v>2.4104749599861156E-2</v>
      </c>
      <c r="K30" s="410">
        <f>I30/[60]Input!$C$13</f>
        <v>20.66115702479339</v>
      </c>
    </row>
    <row r="31" spans="2:11">
      <c r="B31" t="s">
        <v>1192</v>
      </c>
      <c r="D31" t="s">
        <v>831</v>
      </c>
      <c r="E31" s="408" t="s">
        <v>727</v>
      </c>
      <c r="F31" s="402">
        <v>1019108</v>
      </c>
      <c r="G31" s="412"/>
      <c r="H31" s="413"/>
      <c r="I31" s="410">
        <f>IF(ISBLANK(H31)=FALSE,H31,F31)</f>
        <v>1019108</v>
      </c>
      <c r="J31" s="411">
        <f>I31/[60]Input!$C$20</f>
        <v>3.2753790873620403</v>
      </c>
      <c r="K31" s="410">
        <f>I31/[60]Input!$C$13</f>
        <v>2807.4600550964187</v>
      </c>
    </row>
    <row r="32" spans="2:11">
      <c r="B32" t="s">
        <v>1192</v>
      </c>
      <c r="D32" t="s">
        <v>832</v>
      </c>
      <c r="E32" s="408" t="s">
        <v>749</v>
      </c>
      <c r="F32" s="402">
        <v>465812.10000000009</v>
      </c>
      <c r="G32" s="412"/>
      <c r="H32" s="413"/>
      <c r="I32" s="410">
        <f t="shared" si="0"/>
        <v>465812.10000000009</v>
      </c>
      <c r="J32" s="411">
        <f>I32/[60]Input!$C$20</f>
        <v>1.4971045374780649</v>
      </c>
      <c r="K32" s="410">
        <f>I32/[60]Input!$C$13</f>
        <v>1283.2289256198349</v>
      </c>
    </row>
    <row r="33" spans="2:18">
      <c r="B33" t="s">
        <v>751</v>
      </c>
      <c r="D33" t="s">
        <v>751</v>
      </c>
      <c r="E33" s="408" t="s">
        <v>751</v>
      </c>
      <c r="F33" s="402">
        <v>1052926.3540315069</v>
      </c>
      <c r="G33" s="414">
        <v>0</v>
      </c>
      <c r="H33" s="413">
        <f>G33*SUM(I8:I32)</f>
        <v>0</v>
      </c>
      <c r="I33" s="410">
        <f t="shared" si="0"/>
        <v>0</v>
      </c>
      <c r="J33" s="411">
        <f>I33/[60]Input!$C$20</f>
        <v>0</v>
      </c>
      <c r="K33" s="410">
        <f>I33/[60]Input!$C$13</f>
        <v>0</v>
      </c>
    </row>
    <row r="34" spans="2:18">
      <c r="B34" t="s">
        <v>782</v>
      </c>
      <c r="D34" t="s">
        <v>782</v>
      </c>
      <c r="E34" s="408" t="s">
        <v>782</v>
      </c>
      <c r="F34" s="402">
        <v>3014642.8</v>
      </c>
      <c r="G34" s="412"/>
      <c r="H34" s="413"/>
      <c r="I34" s="410">
        <f t="shared" si="0"/>
        <v>3014642.8</v>
      </c>
      <c r="J34" s="411">
        <f>I34/[60]Input!$C$20</f>
        <v>9.6889613102699084</v>
      </c>
      <c r="K34" s="410">
        <f>I34/[60]Input!$C$13</f>
        <v>8304.8011019283749</v>
      </c>
    </row>
    <row r="35" spans="2:18">
      <c r="B35" t="s">
        <v>789</v>
      </c>
      <c r="D35" t="s">
        <v>1193</v>
      </c>
      <c r="E35" s="408" t="s">
        <v>789</v>
      </c>
      <c r="F35" s="402">
        <v>1070872.4901497359</v>
      </c>
      <c r="G35" s="412"/>
      <c r="H35" s="413">
        <f>556000-59000+22000</f>
        <v>519000</v>
      </c>
      <c r="I35" s="410">
        <f>IF(ISBLANK(H35)=FALSE,H35+F35,F35)</f>
        <v>1589872.4901497359</v>
      </c>
      <c r="J35" s="411">
        <f>I35/[60]Input!$C$20</f>
        <v>5.1097971027689475</v>
      </c>
      <c r="K35" s="410">
        <f>I35/[60]Input!$C$13</f>
        <v>4379.8140224510635</v>
      </c>
    </row>
    <row r="36" spans="2:18">
      <c r="B36" t="s">
        <v>785</v>
      </c>
      <c r="D36" t="s">
        <v>834</v>
      </c>
      <c r="E36" s="408" t="s">
        <v>785</v>
      </c>
      <c r="F36" s="402">
        <v>2860711.5177803431</v>
      </c>
      <c r="G36" s="409">
        <v>0.05</v>
      </c>
      <c r="H36" s="410">
        <f>G36*SUM(I7:I35,I37:I37)</f>
        <v>3263297.4805283304</v>
      </c>
      <c r="I36" s="410">
        <f t="shared" si="0"/>
        <v>3263297.4805283304</v>
      </c>
      <c r="J36" s="411">
        <f>I36/[60]Input!$C$20</f>
        <v>10.488129151732426</v>
      </c>
      <c r="K36" s="410">
        <f>I36/[60]Input!$C$13</f>
        <v>8989.8002218411311</v>
      </c>
    </row>
    <row r="37" spans="2:18">
      <c r="B37" t="s">
        <v>799</v>
      </c>
      <c r="D37" t="s">
        <v>835</v>
      </c>
      <c r="E37" s="408" t="s">
        <v>799</v>
      </c>
      <c r="F37" s="402">
        <v>5132836.5730829546</v>
      </c>
      <c r="G37" s="409">
        <v>0.08</v>
      </c>
      <c r="H37" s="410">
        <f>G37*SUM($I$8:$I$35)</f>
        <v>4580066.6393380063</v>
      </c>
      <c r="I37" s="410">
        <f t="shared" si="0"/>
        <v>4580066.6393380063</v>
      </c>
      <c r="J37" s="411">
        <f>I37/[60]Input!$C$20</f>
        <v>14.720181265589366</v>
      </c>
      <c r="K37" s="410">
        <f>I37/[60]Input!$C$13</f>
        <v>12617.263469250705</v>
      </c>
    </row>
    <row r="38" spans="2:18" outlineLevel="1">
      <c r="E38" s="408"/>
      <c r="F38" s="402"/>
      <c r="G38" s="409"/>
      <c r="H38" s="410"/>
      <c r="I38" s="410"/>
      <c r="J38" s="411"/>
      <c r="K38" s="410"/>
    </row>
    <row r="39" spans="2:18">
      <c r="D39" s="415" t="s">
        <v>802</v>
      </c>
      <c r="E39" s="415"/>
      <c r="F39" s="416">
        <f>SUM(F7:F37)</f>
        <v>69293293.736619905</v>
      </c>
      <c r="G39" s="415"/>
      <c r="H39" s="416"/>
      <c r="I39" s="416">
        <f>SUM(I7:I37)</f>
        <v>68529247.091094926</v>
      </c>
      <c r="J39" s="417">
        <f>I39/[60]Input!$C$20</f>
        <v>220.25071218638089</v>
      </c>
      <c r="K39" s="416">
        <f>I39/[60]Input!$C$13</f>
        <v>188785.80465866372</v>
      </c>
      <c r="M39" s="418"/>
      <c r="N39" s="418"/>
      <c r="O39" s="418"/>
      <c r="P39" s="418"/>
      <c r="Q39" s="418"/>
      <c r="R39" s="41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C69E-0A10-4737-954B-22A459B03BC7}">
  <dimension ref="B4:D10"/>
  <sheetViews>
    <sheetView workbookViewId="0"/>
  </sheetViews>
  <sheetFormatPr defaultRowHeight="15"/>
  <cols>
    <col min="2" max="4" width="19.28515625" customWidth="1"/>
  </cols>
  <sheetData>
    <row r="4" spans="2:4">
      <c r="B4" s="69" t="s">
        <v>1194</v>
      </c>
      <c r="C4" s="69"/>
    </row>
    <row r="5" spans="2:4">
      <c r="B5" s="3" t="s">
        <v>597</v>
      </c>
      <c r="C5" s="438">
        <v>125000</v>
      </c>
    </row>
    <row r="6" spans="2:4">
      <c r="B6" s="3" t="s">
        <v>1195</v>
      </c>
      <c r="C6" s="438">
        <f>281450-198000</f>
        <v>83450</v>
      </c>
    </row>
    <row r="7" spans="2:4">
      <c r="B7" s="3" t="s">
        <v>1196</v>
      </c>
      <c r="C7" s="438">
        <f>301916.16-109008</f>
        <v>192908.15999999997</v>
      </c>
      <c r="D7" t="s">
        <v>1197</v>
      </c>
    </row>
    <row r="8" spans="2:4">
      <c r="B8" s="3" t="s">
        <v>1198</v>
      </c>
      <c r="C8" s="438">
        <f>339456-322420</f>
        <v>17036</v>
      </c>
    </row>
    <row r="9" spans="2:4">
      <c r="B9" s="453" t="s">
        <v>1199</v>
      </c>
      <c r="C9" s="454">
        <f>364153-206648</f>
        <v>157505</v>
      </c>
    </row>
    <row r="10" spans="2:4">
      <c r="B10" s="3" t="s">
        <v>66</v>
      </c>
      <c r="C10" s="441">
        <f>SUM(C5:C9)</f>
        <v>575899.15999999992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92C3-C4C7-40B1-81E7-9B35AC9D6284}">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117A48C4ED034C8E36595417A70FA7" ma:contentTypeVersion="13" ma:contentTypeDescription="Create a new document." ma:contentTypeScope="" ma:versionID="beda784ec6848bd6b033ef57eda2c7f3">
  <xsd:schema xmlns:xsd="http://www.w3.org/2001/XMLSchema" xmlns:xs="http://www.w3.org/2001/XMLSchema" xmlns:p="http://schemas.microsoft.com/office/2006/metadata/properties" xmlns:ns2="2ef068e7-c9bb-4725-97f3-1c2dc85159f3" xmlns:ns3="4e92597e-5b46-4d1b-902f-47e9ae7c3c22" targetNamespace="http://schemas.microsoft.com/office/2006/metadata/properties" ma:root="true" ma:fieldsID="48345bc7d524223f544a20acb54cdae8" ns2:_="" ns3:_="">
    <xsd:import namespace="2ef068e7-c9bb-4725-97f3-1c2dc85159f3"/>
    <xsd:import namespace="4e92597e-5b46-4d1b-902f-47e9ae7c3c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f068e7-c9bb-4725-97f3-1c2dc85159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8da4bc3-7db5-4444-a7c1-2e26fae20a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2597e-5b46-4d1b-902f-47e9ae7c3c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403f9da-2e20-4aac-a6a2-483043c2b3f0}" ma:internalName="TaxCatchAll" ma:showField="CatchAllData" ma:web="4e92597e-5b46-4d1b-902f-47e9ae7c3c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ef068e7-c9bb-4725-97f3-1c2dc85159f3">
      <Terms xmlns="http://schemas.microsoft.com/office/infopath/2007/PartnerControls"/>
    </lcf76f155ced4ddcb4097134ff3c332f>
    <TaxCatchAll xmlns="4e92597e-5b46-4d1b-902f-47e9ae7c3c22" xsi:nil="true"/>
  </documentManagement>
</p:properties>
</file>

<file path=customXml/itemProps1.xml><?xml version="1.0" encoding="utf-8"?>
<ds:datastoreItem xmlns:ds="http://schemas.openxmlformats.org/officeDocument/2006/customXml" ds:itemID="{077A58E5-A66E-4336-A815-AC8C37D0D72E}"/>
</file>

<file path=customXml/itemProps2.xml><?xml version="1.0" encoding="utf-8"?>
<ds:datastoreItem xmlns:ds="http://schemas.openxmlformats.org/officeDocument/2006/customXml" ds:itemID="{A3FDB249-51EB-4616-9F19-B9F0D565E1E1}"/>
</file>

<file path=customXml/itemProps3.xml><?xml version="1.0" encoding="utf-8"?>
<ds:datastoreItem xmlns:ds="http://schemas.openxmlformats.org/officeDocument/2006/customXml" ds:itemID="{796C724C-1B2A-4F1D-ABF3-2DBC907F0C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Alvarez</dc:creator>
  <cp:keywords/>
  <dc:description/>
  <cp:lastModifiedBy/>
  <cp:revision/>
  <dcterms:created xsi:type="dcterms:W3CDTF">2025-01-31T16:45:01Z</dcterms:created>
  <dcterms:modified xsi:type="dcterms:W3CDTF">2026-06-17T22:27:48Z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0x01010056117A48C4ED034C8E36595417A70FA7</vt:lpwstr>
  </property>
  <property fmtid="{D5CDD505-2E9C-101B-9397-08002B2CF9AE}" pid="4" name="_ExtendedDescription">
    <vt:lpwstr/>
  </property>
</Properties>
</file>